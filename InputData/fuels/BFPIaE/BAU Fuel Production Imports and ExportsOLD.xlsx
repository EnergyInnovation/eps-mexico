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C:\Users\Rachel Goldstein\Desktop\EPS Models\Mexico EPS\InputData\fuels\BFPIaE\"/>
    </mc:Choice>
  </mc:AlternateContent>
  <xr:revisionPtr revIDLastSave="0" documentId="13_ncr:1_{3CB66E3D-32EA-4A1F-AF0C-E200A596B3BF}" xr6:coauthVersionLast="47" xr6:coauthVersionMax="47" xr10:uidLastSave="{00000000-0000-0000-0000-000000000000}"/>
  <bookViews>
    <workbookView xWindow="37515" yWindow="750" windowWidth="20565" windowHeight="13815" tabRatio="684" firstSheet="9" activeTab="12" xr2:uid="{00000000-000D-0000-FFFF-FFFF00000000}"/>
  </bookViews>
  <sheets>
    <sheet name="About" sheetId="4" r:id="rId1"/>
    <sheet name="Petroleum and Biofuel Data" sheetId="5" r:id="rId2"/>
    <sheet name="Biomass Data" sheetId="6" r:id="rId3"/>
    <sheet name="Uranium, Coal, MSW, Hydrogen" sheetId="8" r:id="rId4"/>
    <sheet name="AEO Table 1" sheetId="17" r:id="rId5"/>
    <sheet name="AEO Table 73" sheetId="15" r:id="rId6"/>
    <sheet name="GREET1 Fuel_Specs" sheetId="16" r:id="rId7"/>
    <sheet name="energeticos" sheetId="20" r:id="rId8"/>
    <sheet name="OrigenDestino_2019" sheetId="21" r:id="rId9"/>
    <sheet name="Start Year Data" sheetId="9" r:id="rId10"/>
    <sheet name="Time Series Scaling Factors" sheetId="18" r:id="rId11"/>
    <sheet name="BFPIaE-production" sheetId="12" r:id="rId12"/>
    <sheet name="BFPIaE-imports" sheetId="19" r:id="rId13"/>
    <sheet name="BFPIaE-exports" sheetId="13" r:id="rId14"/>
  </sheets>
  <externalReferences>
    <externalReference r:id="rId15"/>
    <externalReference r:id="rId16"/>
    <externalReference r:id="rId17"/>
  </externalReferences>
  <definedNames>
    <definedName name="Fraction_coal">[1]About!#REF!</definedName>
    <definedName name="gal_per_barrel">[2]About!$A$63</definedName>
    <definedName name="Percent_rural">[1]About!#REF!</definedName>
    <definedName name="Percent_urban">[1]About!#REF!</definedName>
    <definedName name="quadrillion">[1]About!$B$62</definedName>
    <definedName name="Table4">#REF!</definedName>
    <definedName name="Table4_1">#REF!</definedName>
    <definedName name="Table4_A">#REF!</definedName>
    <definedName name="Table5">#REF!</definedName>
    <definedName name="Table5_1">#REF!</definedName>
    <definedName name="Table5_A">#REF!</definedName>
    <definedName name="UrbFrac">'[3]MX urban Rural'!$B$3</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C4" i="9"/>
  <c r="B4" i="9"/>
  <c r="B28" i="9"/>
  <c r="B4" i="12" s="1"/>
  <c r="AH2" i="19"/>
  <c r="AI2" i="19" s="1"/>
  <c r="AJ2" i="19" s="1"/>
  <c r="AK2" i="19" s="1"/>
  <c r="AL2" i="19" s="1"/>
  <c r="AM2" i="19"/>
  <c r="AN2" i="19"/>
  <c r="AO2" i="19" s="1"/>
  <c r="AP2" i="19" s="1"/>
  <c r="AQ2" i="19" s="1"/>
  <c r="AR2" i="19" s="1"/>
  <c r="AS2" i="19" s="1"/>
  <c r="AT2" i="19" s="1"/>
  <c r="AU2" i="19" s="1"/>
  <c r="AV2" i="19" s="1"/>
  <c r="AW2" i="19" s="1"/>
  <c r="AX2" i="19" s="1"/>
  <c r="AY2" i="19" s="1"/>
  <c r="AZ2" i="19" s="1"/>
  <c r="BA2" i="19" s="1"/>
  <c r="AH3" i="19"/>
  <c r="AI3" i="19"/>
  <c r="AJ3" i="19"/>
  <c r="AK3" i="19"/>
  <c r="AL3" i="19" s="1"/>
  <c r="AM3" i="19" s="1"/>
  <c r="AN3" i="19" s="1"/>
  <c r="AO3" i="19" s="1"/>
  <c r="AP3" i="19" s="1"/>
  <c r="AQ3" i="19" s="1"/>
  <c r="AR3" i="19" s="1"/>
  <c r="AS3" i="19" s="1"/>
  <c r="AT3" i="19" s="1"/>
  <c r="AU3" i="19" s="1"/>
  <c r="AV3" i="19" s="1"/>
  <c r="AW3" i="19" s="1"/>
  <c r="AX3" i="19" s="1"/>
  <c r="AY3" i="19" s="1"/>
  <c r="AZ3" i="19" s="1"/>
  <c r="BA3" i="19" s="1"/>
  <c r="AH5" i="19"/>
  <c r="AI5" i="19"/>
  <c r="AJ5" i="19"/>
  <c r="AK5" i="19" s="1"/>
  <c r="AL5" i="19" s="1"/>
  <c r="AM5" i="19" s="1"/>
  <c r="AN5" i="19" s="1"/>
  <c r="AO5" i="19" s="1"/>
  <c r="AP5" i="19" s="1"/>
  <c r="AQ5" i="19" s="1"/>
  <c r="AR5" i="19" s="1"/>
  <c r="AS5" i="19" s="1"/>
  <c r="AT5" i="19" s="1"/>
  <c r="AU5" i="19" s="1"/>
  <c r="AV5" i="19" s="1"/>
  <c r="AW5" i="19" s="1"/>
  <c r="AX5" i="19" s="1"/>
  <c r="AY5" i="19" s="1"/>
  <c r="AZ5" i="19" s="1"/>
  <c r="BA5" i="19" s="1"/>
  <c r="AH6" i="19"/>
  <c r="AI6" i="19" s="1"/>
  <c r="AJ6" i="19" s="1"/>
  <c r="AK6" i="19" s="1"/>
  <c r="AL6" i="19" s="1"/>
  <c r="AM6" i="19" s="1"/>
  <c r="AN6" i="19" s="1"/>
  <c r="AO6" i="19" s="1"/>
  <c r="AP6" i="19" s="1"/>
  <c r="AQ6" i="19" s="1"/>
  <c r="AR6" i="19" s="1"/>
  <c r="AS6" i="19" s="1"/>
  <c r="AT6" i="19" s="1"/>
  <c r="AU6" i="19" s="1"/>
  <c r="AV6" i="19" s="1"/>
  <c r="AW6" i="19" s="1"/>
  <c r="AX6" i="19" s="1"/>
  <c r="AY6" i="19" s="1"/>
  <c r="AZ6" i="19" s="1"/>
  <c r="BA6" i="19" s="1"/>
  <c r="AH7" i="19"/>
  <c r="AI7" i="19"/>
  <c r="AJ7" i="19" s="1"/>
  <c r="AK7" i="19" s="1"/>
  <c r="AL7" i="19" s="1"/>
  <c r="AM7" i="19" s="1"/>
  <c r="AN7" i="19" s="1"/>
  <c r="AO7" i="19" s="1"/>
  <c r="AP7" i="19" s="1"/>
  <c r="AQ7" i="19"/>
  <c r="AR7" i="19" s="1"/>
  <c r="AS7" i="19" s="1"/>
  <c r="AT7" i="19" s="1"/>
  <c r="AU7" i="19" s="1"/>
  <c r="AV7" i="19" s="1"/>
  <c r="AW7" i="19" s="1"/>
  <c r="AX7" i="19" s="1"/>
  <c r="AY7" i="19" s="1"/>
  <c r="AZ7" i="19" s="1"/>
  <c r="BA7" i="19" s="1"/>
  <c r="AH8" i="19"/>
  <c r="AI8" i="19" s="1"/>
  <c r="AJ8" i="19" s="1"/>
  <c r="AK8" i="19" s="1"/>
  <c r="AL8" i="19" s="1"/>
  <c r="AM8" i="19" s="1"/>
  <c r="AN8" i="19"/>
  <c r="AO8" i="19"/>
  <c r="AP8" i="19" s="1"/>
  <c r="AQ8" i="19" s="1"/>
  <c r="AR8" i="19" s="1"/>
  <c r="AS8" i="19" s="1"/>
  <c r="AT8" i="19" s="1"/>
  <c r="AU8" i="19" s="1"/>
  <c r="AV8" i="19" s="1"/>
  <c r="AW8" i="19" s="1"/>
  <c r="AX8" i="19" s="1"/>
  <c r="AY8" i="19" s="1"/>
  <c r="AZ8" i="19" s="1"/>
  <c r="BA8" i="19" s="1"/>
  <c r="AH9" i="19"/>
  <c r="AI9" i="19"/>
  <c r="AJ9" i="19" s="1"/>
  <c r="AK9" i="19"/>
  <c r="AL9" i="19" s="1"/>
  <c r="AM9" i="19" s="1"/>
  <c r="AN9" i="19" s="1"/>
  <c r="AO9" i="19" s="1"/>
  <c r="AP9" i="19" s="1"/>
  <c r="AQ9" i="19" s="1"/>
  <c r="AR9" i="19" s="1"/>
  <c r="AS9" i="19" s="1"/>
  <c r="AT9" i="19" s="1"/>
  <c r="AU9" i="19" s="1"/>
  <c r="AV9" i="19" s="1"/>
  <c r="AW9" i="19" s="1"/>
  <c r="AX9" i="19" s="1"/>
  <c r="AY9" i="19" s="1"/>
  <c r="AZ9" i="19" s="1"/>
  <c r="BA9" i="19" s="1"/>
  <c r="AH10" i="19"/>
  <c r="AI10" i="19" s="1"/>
  <c r="AJ10" i="19" s="1"/>
  <c r="AK10" i="19" s="1"/>
  <c r="AL10" i="19" s="1"/>
  <c r="AM10" i="19"/>
  <c r="AN10" i="19"/>
  <c r="AO10" i="19"/>
  <c r="AP10" i="19" s="1"/>
  <c r="AQ10" i="19" s="1"/>
  <c r="AR10" i="19" s="1"/>
  <c r="AS10" i="19" s="1"/>
  <c r="AT10" i="19" s="1"/>
  <c r="AU10" i="19" s="1"/>
  <c r="AV10" i="19" s="1"/>
  <c r="AW10" i="19" s="1"/>
  <c r="AX10" i="19" s="1"/>
  <c r="AY10" i="19" s="1"/>
  <c r="AZ10" i="19" s="1"/>
  <c r="BA10" i="19" s="1"/>
  <c r="AH11" i="19"/>
  <c r="AI11" i="19"/>
  <c r="AJ11" i="19"/>
  <c r="AK11" i="19" s="1"/>
  <c r="AL11" i="19" s="1"/>
  <c r="AM11" i="19" s="1"/>
  <c r="AN11" i="19" s="1"/>
  <c r="AO11" i="19" s="1"/>
  <c r="AP11" i="19" s="1"/>
  <c r="AQ11" i="19" s="1"/>
  <c r="AR11" i="19" s="1"/>
  <c r="AS11" i="19" s="1"/>
  <c r="AT11" i="19" s="1"/>
  <c r="AU11" i="19" s="1"/>
  <c r="AV11" i="19" s="1"/>
  <c r="AW11" i="19" s="1"/>
  <c r="AX11" i="19" s="1"/>
  <c r="AY11" i="19" s="1"/>
  <c r="AZ11" i="19" s="1"/>
  <c r="BA11" i="19" s="1"/>
  <c r="AH12" i="19"/>
  <c r="AI12" i="19" s="1"/>
  <c r="AJ12" i="19" s="1"/>
  <c r="AK12" i="19" s="1"/>
  <c r="AL12" i="19" s="1"/>
  <c r="AM12" i="19" s="1"/>
  <c r="AN12" i="19" s="1"/>
  <c r="AO12" i="19" s="1"/>
  <c r="AP12" i="19" s="1"/>
  <c r="AQ12" i="19" s="1"/>
  <c r="AR12" i="19" s="1"/>
  <c r="AS12" i="19" s="1"/>
  <c r="AT12" i="19" s="1"/>
  <c r="AU12" i="19" s="1"/>
  <c r="AV12" i="19" s="1"/>
  <c r="AW12" i="19" s="1"/>
  <c r="AX12" i="19" s="1"/>
  <c r="AY12" i="19" s="1"/>
  <c r="AZ12" i="19" s="1"/>
  <c r="BA12" i="19" s="1"/>
  <c r="AH13" i="19"/>
  <c r="AI13" i="19"/>
  <c r="AJ13" i="19" s="1"/>
  <c r="AK13" i="19" s="1"/>
  <c r="AL13" i="19" s="1"/>
  <c r="AM13" i="19" s="1"/>
  <c r="AN13" i="19" s="1"/>
  <c r="AO13" i="19" s="1"/>
  <c r="AP13" i="19" s="1"/>
  <c r="AQ13" i="19" s="1"/>
  <c r="AR13" i="19" s="1"/>
  <c r="AS13" i="19" s="1"/>
  <c r="AT13" i="19" s="1"/>
  <c r="AU13" i="19" s="1"/>
  <c r="AV13" i="19" s="1"/>
  <c r="AW13" i="19" s="1"/>
  <c r="AX13" i="19" s="1"/>
  <c r="AY13" i="19" s="1"/>
  <c r="AZ13" i="19" s="1"/>
  <c r="BA13" i="19" s="1"/>
  <c r="AH14" i="19"/>
  <c r="AI14" i="19" s="1"/>
  <c r="AJ14" i="19" s="1"/>
  <c r="AK14" i="19" s="1"/>
  <c r="AL14" i="19" s="1"/>
  <c r="AM14" i="19"/>
  <c r="AN14" i="19" s="1"/>
  <c r="AO14" i="19" s="1"/>
  <c r="AP14" i="19" s="1"/>
  <c r="AQ14" i="19" s="1"/>
  <c r="AR14" i="19" s="1"/>
  <c r="AS14" i="19" s="1"/>
  <c r="AT14" i="19" s="1"/>
  <c r="AU14" i="19" s="1"/>
  <c r="AV14" i="19" s="1"/>
  <c r="AW14" i="19" s="1"/>
  <c r="AX14" i="19" s="1"/>
  <c r="AY14" i="19" s="1"/>
  <c r="AZ14" i="19" s="1"/>
  <c r="BA14" i="19" s="1"/>
  <c r="AH15" i="19"/>
  <c r="AI15" i="19"/>
  <c r="AJ15" i="19"/>
  <c r="AK15" i="19" s="1"/>
  <c r="AL15" i="19" s="1"/>
  <c r="AM15" i="19" s="1"/>
  <c r="AN15" i="19" s="1"/>
  <c r="AO15" i="19" s="1"/>
  <c r="AP15" i="19" s="1"/>
  <c r="AQ15" i="19" s="1"/>
  <c r="AR15" i="19"/>
  <c r="AS15" i="19"/>
  <c r="AT15" i="19" s="1"/>
  <c r="AU15" i="19" s="1"/>
  <c r="AV15" i="19" s="1"/>
  <c r="AW15" i="19" s="1"/>
  <c r="AX15" i="19" s="1"/>
  <c r="AY15" i="19" s="1"/>
  <c r="AZ15" i="19" s="1"/>
  <c r="BA15" i="19" s="1"/>
  <c r="AH16" i="19"/>
  <c r="AI16" i="19" s="1"/>
  <c r="AJ16" i="19" s="1"/>
  <c r="AK16" i="19" s="1"/>
  <c r="AL16" i="19" s="1"/>
  <c r="AM16" i="19" s="1"/>
  <c r="AN16" i="19" s="1"/>
  <c r="AO16" i="19" s="1"/>
  <c r="AP16" i="19" s="1"/>
  <c r="AQ16" i="19" s="1"/>
  <c r="AR16" i="19" s="1"/>
  <c r="AS16" i="19" s="1"/>
  <c r="AT16" i="19" s="1"/>
  <c r="AU16" i="19" s="1"/>
  <c r="AV16" i="19" s="1"/>
  <c r="AW16" i="19" s="1"/>
  <c r="AX16" i="19" s="1"/>
  <c r="AY16" i="19" s="1"/>
  <c r="AZ16" i="19" s="1"/>
  <c r="BA16" i="19" s="1"/>
  <c r="AH17" i="19"/>
  <c r="AI17" i="19" s="1"/>
  <c r="AJ17" i="19" s="1"/>
  <c r="AK17" i="19" s="1"/>
  <c r="AL17" i="19" s="1"/>
  <c r="AM17" i="19" s="1"/>
  <c r="AN17" i="19" s="1"/>
  <c r="AO17" i="19" s="1"/>
  <c r="AP17" i="19" s="1"/>
  <c r="AQ17" i="19" s="1"/>
  <c r="AR17" i="19" s="1"/>
  <c r="AS17" i="19" s="1"/>
  <c r="AT17" i="19" s="1"/>
  <c r="AU17" i="19" s="1"/>
  <c r="AV17" i="19" s="1"/>
  <c r="AW17" i="19" s="1"/>
  <c r="AX17" i="19" s="1"/>
  <c r="AY17" i="19" s="1"/>
  <c r="AZ17" i="19" s="1"/>
  <c r="BA17" i="19" s="1"/>
  <c r="AH18" i="19"/>
  <c r="AI18" i="19" s="1"/>
  <c r="AJ18" i="19" s="1"/>
  <c r="AK18" i="19" s="1"/>
  <c r="AL18" i="19" s="1"/>
  <c r="AM18" i="19" s="1"/>
  <c r="AN18" i="19" s="1"/>
  <c r="AO18" i="19" s="1"/>
  <c r="AP18" i="19" s="1"/>
  <c r="AQ18" i="19" s="1"/>
  <c r="AR18" i="19" s="1"/>
  <c r="AS18" i="19" s="1"/>
  <c r="AT18" i="19" s="1"/>
  <c r="AU18" i="19" s="1"/>
  <c r="AV18" i="19" s="1"/>
  <c r="AW18" i="19" s="1"/>
  <c r="AX18" i="19" s="1"/>
  <c r="AY18" i="19" s="1"/>
  <c r="AZ18" i="19" s="1"/>
  <c r="BA18" i="19" s="1"/>
  <c r="AH19" i="19"/>
  <c r="AI19" i="19" s="1"/>
  <c r="AJ19" i="19" s="1"/>
  <c r="AK19" i="19" s="1"/>
  <c r="AL19" i="19" s="1"/>
  <c r="AM19" i="19" s="1"/>
  <c r="AN19" i="19" s="1"/>
  <c r="AO19" i="19" s="1"/>
  <c r="AP19" i="19" s="1"/>
  <c r="AQ19" i="19" s="1"/>
  <c r="AR19" i="19" s="1"/>
  <c r="AS19" i="19" s="1"/>
  <c r="AT19" i="19" s="1"/>
  <c r="AU19" i="19" s="1"/>
  <c r="AV19" i="19" s="1"/>
  <c r="AW19" i="19" s="1"/>
  <c r="AX19" i="19" s="1"/>
  <c r="AY19" i="19" s="1"/>
  <c r="AZ19" i="19" s="1"/>
  <c r="BA19" i="19" s="1"/>
  <c r="AH20" i="19"/>
  <c r="AI20" i="19" s="1"/>
  <c r="AJ20" i="19" s="1"/>
  <c r="AK20" i="19" s="1"/>
  <c r="AL20" i="19" s="1"/>
  <c r="AM20" i="19" s="1"/>
  <c r="AN20" i="19" s="1"/>
  <c r="AO20" i="19" s="1"/>
  <c r="AP20" i="19" s="1"/>
  <c r="AQ20" i="19" s="1"/>
  <c r="AR20" i="19" s="1"/>
  <c r="AS20" i="19" s="1"/>
  <c r="AT20" i="19" s="1"/>
  <c r="AU20" i="19" s="1"/>
  <c r="AV20" i="19" s="1"/>
  <c r="AW20" i="19" s="1"/>
  <c r="AX20" i="19" s="1"/>
  <c r="AY20" i="19" s="1"/>
  <c r="AZ20" i="19" s="1"/>
  <c r="BA20" i="19" s="1"/>
  <c r="AH21" i="19"/>
  <c r="AI21" i="19"/>
  <c r="AJ21" i="19"/>
  <c r="AK21" i="19"/>
  <c r="AL21" i="19" s="1"/>
  <c r="AM21" i="19" s="1"/>
  <c r="AN21" i="19" s="1"/>
  <c r="AO21" i="19" s="1"/>
  <c r="AP21" i="19" s="1"/>
  <c r="AQ21" i="19" s="1"/>
  <c r="AR21" i="19" s="1"/>
  <c r="AS21" i="19" s="1"/>
  <c r="AT21" i="19" s="1"/>
  <c r="AU21" i="19" s="1"/>
  <c r="AV21" i="19" s="1"/>
  <c r="AW21" i="19" s="1"/>
  <c r="AX21" i="19" s="1"/>
  <c r="AY21" i="19" s="1"/>
  <c r="AZ21" i="19" s="1"/>
  <c r="BA21" i="19" s="1"/>
  <c r="AH22" i="19"/>
  <c r="AI22" i="19" s="1"/>
  <c r="AJ22" i="19" s="1"/>
  <c r="AK22" i="19" s="1"/>
  <c r="AL22" i="19"/>
  <c r="AM22" i="19" s="1"/>
  <c r="AN22" i="19" s="1"/>
  <c r="AO22" i="19" s="1"/>
  <c r="AP22" i="19" s="1"/>
  <c r="AQ22" i="19" s="1"/>
  <c r="AR22" i="19" s="1"/>
  <c r="AS22" i="19" s="1"/>
  <c r="AT22" i="19" s="1"/>
  <c r="AU22" i="19" s="1"/>
  <c r="AV22" i="19" s="1"/>
  <c r="AW22" i="19" s="1"/>
  <c r="AX22" i="19" s="1"/>
  <c r="AY22" i="19" s="1"/>
  <c r="AZ22" i="19" s="1"/>
  <c r="BA22" i="19" s="1"/>
  <c r="AH2" i="13"/>
  <c r="AI2" i="13"/>
  <c r="AJ2" i="13" s="1"/>
  <c r="AK2" i="13" s="1"/>
  <c r="AL2" i="13" s="1"/>
  <c r="AM2" i="13" s="1"/>
  <c r="AN2" i="13" s="1"/>
  <c r="AO2" i="13" s="1"/>
  <c r="AP2" i="13" s="1"/>
  <c r="AQ2" i="13" s="1"/>
  <c r="AR2" i="13" s="1"/>
  <c r="AS2" i="13" s="1"/>
  <c r="AT2" i="13" s="1"/>
  <c r="AU2" i="13" s="1"/>
  <c r="AV2" i="13" s="1"/>
  <c r="AW2" i="13" s="1"/>
  <c r="AX2" i="13" s="1"/>
  <c r="AY2" i="13" s="1"/>
  <c r="AZ2" i="13" s="1"/>
  <c r="BA2" i="13" s="1"/>
  <c r="AH3" i="13"/>
  <c r="AI3" i="13" s="1"/>
  <c r="AJ3" i="13" s="1"/>
  <c r="AK3" i="13"/>
  <c r="AL3" i="13" s="1"/>
  <c r="AM3" i="13" s="1"/>
  <c r="AN3" i="13" s="1"/>
  <c r="AO3" i="13" s="1"/>
  <c r="AP3" i="13" s="1"/>
  <c r="AQ3" i="13" s="1"/>
  <c r="AR3" i="13" s="1"/>
  <c r="AS3" i="13" s="1"/>
  <c r="AT3" i="13" s="1"/>
  <c r="AU3" i="13" s="1"/>
  <c r="AV3" i="13" s="1"/>
  <c r="AW3" i="13" s="1"/>
  <c r="AX3" i="13" s="1"/>
  <c r="AY3" i="13" s="1"/>
  <c r="AZ3" i="13" s="1"/>
  <c r="BA3" i="13" s="1"/>
  <c r="AH5" i="13"/>
  <c r="AI5" i="13" s="1"/>
  <c r="AJ5" i="13" s="1"/>
  <c r="AK5" i="13" s="1"/>
  <c r="AL5" i="13" s="1"/>
  <c r="AM5" i="13" s="1"/>
  <c r="AN5" i="13" s="1"/>
  <c r="AO5" i="13" s="1"/>
  <c r="AP5" i="13" s="1"/>
  <c r="AQ5" i="13" s="1"/>
  <c r="AR5" i="13" s="1"/>
  <c r="AS5" i="13" s="1"/>
  <c r="AT5" i="13" s="1"/>
  <c r="AU5" i="13" s="1"/>
  <c r="AV5" i="13" s="1"/>
  <c r="AW5" i="13" s="1"/>
  <c r="AX5" i="13" s="1"/>
  <c r="AY5" i="13" s="1"/>
  <c r="AZ5" i="13" s="1"/>
  <c r="BA5" i="13" s="1"/>
  <c r="AH6" i="13"/>
  <c r="AI6" i="13" s="1"/>
  <c r="AJ6" i="13" s="1"/>
  <c r="AK6" i="13" s="1"/>
  <c r="AL6" i="13" s="1"/>
  <c r="AM6" i="13" s="1"/>
  <c r="AN6" i="13" s="1"/>
  <c r="AO6" i="13" s="1"/>
  <c r="AP6" i="13" s="1"/>
  <c r="AQ6" i="13" s="1"/>
  <c r="AR6" i="13" s="1"/>
  <c r="AS6" i="13" s="1"/>
  <c r="AT6" i="13" s="1"/>
  <c r="AU6" i="13" s="1"/>
  <c r="AV6" i="13" s="1"/>
  <c r="AW6" i="13" s="1"/>
  <c r="AX6" i="13" s="1"/>
  <c r="AY6" i="13" s="1"/>
  <c r="AZ6" i="13" s="1"/>
  <c r="BA6" i="13" s="1"/>
  <c r="AH7" i="13"/>
  <c r="AI7" i="13" s="1"/>
  <c r="AJ7" i="13" s="1"/>
  <c r="AK7" i="13" s="1"/>
  <c r="AL7" i="13" s="1"/>
  <c r="AM7" i="13" s="1"/>
  <c r="AN7" i="13" s="1"/>
  <c r="AO7" i="13" s="1"/>
  <c r="AP7" i="13" s="1"/>
  <c r="AQ7" i="13" s="1"/>
  <c r="AR7" i="13" s="1"/>
  <c r="AS7" i="13" s="1"/>
  <c r="AT7" i="13" s="1"/>
  <c r="AU7" i="13" s="1"/>
  <c r="AV7" i="13" s="1"/>
  <c r="AW7" i="13" s="1"/>
  <c r="AX7" i="13" s="1"/>
  <c r="AY7" i="13" s="1"/>
  <c r="AZ7" i="13" s="1"/>
  <c r="BA7" i="13" s="1"/>
  <c r="AH8" i="13"/>
  <c r="AI8" i="13"/>
  <c r="AJ8" i="13" s="1"/>
  <c r="AK8" i="13" s="1"/>
  <c r="AL8" i="13" s="1"/>
  <c r="AM8" i="13" s="1"/>
  <c r="AN8" i="13" s="1"/>
  <c r="AO8" i="13" s="1"/>
  <c r="AP8" i="13" s="1"/>
  <c r="AQ8" i="13" s="1"/>
  <c r="AR8" i="13" s="1"/>
  <c r="AS8" i="13" s="1"/>
  <c r="AT8" i="13" s="1"/>
  <c r="AU8" i="13" s="1"/>
  <c r="AV8" i="13" s="1"/>
  <c r="AW8" i="13" s="1"/>
  <c r="AX8" i="13" s="1"/>
  <c r="AY8" i="13" s="1"/>
  <c r="AZ8" i="13" s="1"/>
  <c r="BA8" i="13" s="1"/>
  <c r="AH9" i="13"/>
  <c r="AI9" i="13" s="1"/>
  <c r="AJ9" i="13" s="1"/>
  <c r="AK9" i="13" s="1"/>
  <c r="AL9" i="13" s="1"/>
  <c r="AM9" i="13" s="1"/>
  <c r="AN9" i="13" s="1"/>
  <c r="AO9" i="13" s="1"/>
  <c r="AP9" i="13" s="1"/>
  <c r="AQ9" i="13" s="1"/>
  <c r="AR9" i="13" s="1"/>
  <c r="AS9" i="13" s="1"/>
  <c r="AT9" i="13" s="1"/>
  <c r="AU9" i="13" s="1"/>
  <c r="AV9" i="13" s="1"/>
  <c r="AW9" i="13" s="1"/>
  <c r="AX9" i="13" s="1"/>
  <c r="AY9" i="13" s="1"/>
  <c r="AZ9" i="13" s="1"/>
  <c r="BA9" i="13" s="1"/>
  <c r="AH10" i="13"/>
  <c r="AI10" i="13" s="1"/>
  <c r="AJ10" i="13" s="1"/>
  <c r="AK10" i="13"/>
  <c r="AL10" i="13"/>
  <c r="AM10" i="13" s="1"/>
  <c r="AN10" i="13" s="1"/>
  <c r="AO10" i="13" s="1"/>
  <c r="AP10" i="13" s="1"/>
  <c r="AQ10" i="13" s="1"/>
  <c r="AR10" i="13" s="1"/>
  <c r="AS10" i="13" s="1"/>
  <c r="AT10" i="13" s="1"/>
  <c r="AU10" i="13" s="1"/>
  <c r="AV10" i="13" s="1"/>
  <c r="AW10" i="13" s="1"/>
  <c r="AX10" i="13" s="1"/>
  <c r="AY10" i="13" s="1"/>
  <c r="AZ10" i="13" s="1"/>
  <c r="BA10" i="13" s="1"/>
  <c r="AH11" i="13"/>
  <c r="AI11" i="13" s="1"/>
  <c r="AJ11" i="13" s="1"/>
  <c r="AK11" i="13" s="1"/>
  <c r="AL11" i="13" s="1"/>
  <c r="AM11" i="13" s="1"/>
  <c r="AN11" i="13" s="1"/>
  <c r="AO11" i="13" s="1"/>
  <c r="AP11" i="13" s="1"/>
  <c r="AQ11" i="13" s="1"/>
  <c r="AR11" i="13" s="1"/>
  <c r="AS11" i="13" s="1"/>
  <c r="AT11" i="13" s="1"/>
  <c r="AU11" i="13" s="1"/>
  <c r="AV11" i="13" s="1"/>
  <c r="AW11" i="13" s="1"/>
  <c r="AX11" i="13" s="1"/>
  <c r="AY11" i="13" s="1"/>
  <c r="AZ11" i="13" s="1"/>
  <c r="BA11" i="13" s="1"/>
  <c r="AH12" i="13"/>
  <c r="AI12" i="13"/>
  <c r="AJ12" i="13" s="1"/>
  <c r="AK12" i="13" s="1"/>
  <c r="AL12" i="13"/>
  <c r="AM12" i="13"/>
  <c r="AN12" i="13" s="1"/>
  <c r="AO12" i="13" s="1"/>
  <c r="AP12" i="13" s="1"/>
  <c r="AQ12" i="13" s="1"/>
  <c r="AR12" i="13" s="1"/>
  <c r="AS12" i="13" s="1"/>
  <c r="AT12" i="13" s="1"/>
  <c r="AU12" i="13" s="1"/>
  <c r="AV12" i="13" s="1"/>
  <c r="AW12" i="13" s="1"/>
  <c r="AX12" i="13" s="1"/>
  <c r="AY12" i="13" s="1"/>
  <c r="AZ12" i="13" s="1"/>
  <c r="BA12" i="13" s="1"/>
  <c r="AH13" i="13"/>
  <c r="AI13" i="13" s="1"/>
  <c r="AJ13" i="13" s="1"/>
  <c r="AK13" i="13" s="1"/>
  <c r="AL13" i="13" s="1"/>
  <c r="AM13" i="13" s="1"/>
  <c r="AN13" i="13" s="1"/>
  <c r="AO13" i="13" s="1"/>
  <c r="AP13" i="13" s="1"/>
  <c r="AQ13" i="13" s="1"/>
  <c r="AR13" i="13" s="1"/>
  <c r="AS13" i="13" s="1"/>
  <c r="AT13" i="13" s="1"/>
  <c r="AU13" i="13" s="1"/>
  <c r="AV13" i="13" s="1"/>
  <c r="AW13" i="13" s="1"/>
  <c r="AX13" i="13" s="1"/>
  <c r="AY13" i="13" s="1"/>
  <c r="AZ13" i="13" s="1"/>
  <c r="BA13" i="13" s="1"/>
  <c r="AH14" i="13"/>
  <c r="AI14" i="13"/>
  <c r="AJ14" i="13"/>
  <c r="AK14" i="13" s="1"/>
  <c r="AL14" i="13" s="1"/>
  <c r="AM14" i="13" s="1"/>
  <c r="AN14" i="13" s="1"/>
  <c r="AO14" i="13" s="1"/>
  <c r="AP14" i="13" s="1"/>
  <c r="AQ14" i="13" s="1"/>
  <c r="AR14" i="13" s="1"/>
  <c r="AS14" i="13" s="1"/>
  <c r="AT14" i="13" s="1"/>
  <c r="AU14" i="13" s="1"/>
  <c r="AV14" i="13" s="1"/>
  <c r="AW14" i="13" s="1"/>
  <c r="AX14" i="13" s="1"/>
  <c r="AY14" i="13" s="1"/>
  <c r="AZ14" i="13" s="1"/>
  <c r="BA14" i="13" s="1"/>
  <c r="AH15" i="13"/>
  <c r="AI15" i="13"/>
  <c r="AJ15" i="13"/>
  <c r="AK15" i="13" s="1"/>
  <c r="AL15" i="13" s="1"/>
  <c r="AM15" i="13" s="1"/>
  <c r="AN15" i="13" s="1"/>
  <c r="AO15" i="13" s="1"/>
  <c r="AP15" i="13" s="1"/>
  <c r="AQ15" i="13" s="1"/>
  <c r="AR15" i="13" s="1"/>
  <c r="AS15" i="13" s="1"/>
  <c r="AT15" i="13" s="1"/>
  <c r="AU15" i="13" s="1"/>
  <c r="AV15" i="13" s="1"/>
  <c r="AW15" i="13" s="1"/>
  <c r="AX15" i="13" s="1"/>
  <c r="AY15" i="13" s="1"/>
  <c r="AZ15" i="13" s="1"/>
  <c r="BA15" i="13" s="1"/>
  <c r="AH16" i="13"/>
  <c r="AI16" i="13" s="1"/>
  <c r="AJ16" i="13" s="1"/>
  <c r="AK16" i="13"/>
  <c r="AL16" i="13"/>
  <c r="AM16" i="13" s="1"/>
  <c r="AN16" i="13" s="1"/>
  <c r="AO16" i="13" s="1"/>
  <c r="AP16" i="13" s="1"/>
  <c r="AQ16" i="13" s="1"/>
  <c r="AR16" i="13" s="1"/>
  <c r="AS16" i="13" s="1"/>
  <c r="AT16" i="13" s="1"/>
  <c r="AU16" i="13" s="1"/>
  <c r="AV16" i="13" s="1"/>
  <c r="AW16" i="13" s="1"/>
  <c r="AX16" i="13" s="1"/>
  <c r="AY16" i="13" s="1"/>
  <c r="AZ16" i="13" s="1"/>
  <c r="BA16" i="13" s="1"/>
  <c r="AH17" i="13"/>
  <c r="AI17" i="13" s="1"/>
  <c r="AJ17" i="13" s="1"/>
  <c r="AK17" i="13" s="1"/>
  <c r="AL17" i="13" s="1"/>
  <c r="AM17" i="13" s="1"/>
  <c r="AN17" i="13" s="1"/>
  <c r="AO17" i="13" s="1"/>
  <c r="AP17" i="13" s="1"/>
  <c r="AQ17" i="13" s="1"/>
  <c r="AR17" i="13" s="1"/>
  <c r="AS17" i="13" s="1"/>
  <c r="AT17" i="13" s="1"/>
  <c r="AU17" i="13" s="1"/>
  <c r="AV17" i="13" s="1"/>
  <c r="AW17" i="13" s="1"/>
  <c r="AX17" i="13" s="1"/>
  <c r="AY17" i="13" s="1"/>
  <c r="AZ17" i="13" s="1"/>
  <c r="BA17" i="13" s="1"/>
  <c r="AH18" i="13"/>
  <c r="AI18" i="13" s="1"/>
  <c r="AJ18" i="13" s="1"/>
  <c r="AK18" i="13" s="1"/>
  <c r="AL18" i="13" s="1"/>
  <c r="AM18" i="13" s="1"/>
  <c r="AN18" i="13" s="1"/>
  <c r="AO18" i="13" s="1"/>
  <c r="AP18" i="13" s="1"/>
  <c r="AQ18" i="13" s="1"/>
  <c r="AR18" i="13" s="1"/>
  <c r="AS18" i="13" s="1"/>
  <c r="AT18" i="13" s="1"/>
  <c r="AU18" i="13" s="1"/>
  <c r="AV18" i="13" s="1"/>
  <c r="AW18" i="13" s="1"/>
  <c r="AX18" i="13" s="1"/>
  <c r="AY18" i="13" s="1"/>
  <c r="AZ18" i="13" s="1"/>
  <c r="BA18" i="13" s="1"/>
  <c r="AH19" i="13"/>
  <c r="AI19" i="13" s="1"/>
  <c r="AJ19" i="13" s="1"/>
  <c r="AK19" i="13" s="1"/>
  <c r="AL19" i="13" s="1"/>
  <c r="AM19" i="13" s="1"/>
  <c r="AN19" i="13" s="1"/>
  <c r="AO19" i="13" s="1"/>
  <c r="AP19" i="13" s="1"/>
  <c r="AQ19" i="13" s="1"/>
  <c r="AR19" i="13" s="1"/>
  <c r="AS19" i="13" s="1"/>
  <c r="AT19" i="13" s="1"/>
  <c r="AU19" i="13" s="1"/>
  <c r="AV19" i="13" s="1"/>
  <c r="AW19" i="13" s="1"/>
  <c r="AX19" i="13" s="1"/>
  <c r="AY19" i="13" s="1"/>
  <c r="AZ19" i="13" s="1"/>
  <c r="BA19" i="13" s="1"/>
  <c r="AH20" i="13"/>
  <c r="AI20" i="13" s="1"/>
  <c r="AJ20" i="13" s="1"/>
  <c r="AK20" i="13" s="1"/>
  <c r="AL20" i="13" s="1"/>
  <c r="AM20" i="13" s="1"/>
  <c r="AN20" i="13" s="1"/>
  <c r="AO20" i="13" s="1"/>
  <c r="AP20" i="13" s="1"/>
  <c r="AQ20" i="13" s="1"/>
  <c r="AR20" i="13" s="1"/>
  <c r="AS20" i="13" s="1"/>
  <c r="AT20" i="13" s="1"/>
  <c r="AU20" i="13" s="1"/>
  <c r="AV20" i="13" s="1"/>
  <c r="AW20" i="13" s="1"/>
  <c r="AX20" i="13" s="1"/>
  <c r="AY20" i="13" s="1"/>
  <c r="AZ20" i="13" s="1"/>
  <c r="BA20" i="13" s="1"/>
  <c r="AH21" i="13"/>
  <c r="AI21" i="13"/>
  <c r="AJ21" i="13"/>
  <c r="AK21" i="13" s="1"/>
  <c r="AL21" i="13" s="1"/>
  <c r="AM21" i="13" s="1"/>
  <c r="AN21" i="13" s="1"/>
  <c r="AO21" i="13" s="1"/>
  <c r="AP21" i="13" s="1"/>
  <c r="AQ21" i="13" s="1"/>
  <c r="AR21" i="13" s="1"/>
  <c r="AS21" i="13" s="1"/>
  <c r="AT21" i="13" s="1"/>
  <c r="AU21" i="13" s="1"/>
  <c r="AV21" i="13" s="1"/>
  <c r="AW21" i="13" s="1"/>
  <c r="AX21" i="13" s="1"/>
  <c r="AY21" i="13" s="1"/>
  <c r="AZ21" i="13" s="1"/>
  <c r="BA21" i="13" s="1"/>
  <c r="AH22" i="13"/>
  <c r="AI22" i="13" s="1"/>
  <c r="AJ22" i="13" s="1"/>
  <c r="AK22" i="13" s="1"/>
  <c r="AL22" i="13" s="1"/>
  <c r="AM22" i="13" s="1"/>
  <c r="AN22" i="13" s="1"/>
  <c r="AO22" i="13" s="1"/>
  <c r="AP22" i="13" s="1"/>
  <c r="AQ22" i="13" s="1"/>
  <c r="AR22" i="13" s="1"/>
  <c r="AS22" i="13" s="1"/>
  <c r="AT22" i="13" s="1"/>
  <c r="AU22" i="13" s="1"/>
  <c r="AV22" i="13" s="1"/>
  <c r="AW22" i="13" s="1"/>
  <c r="AX22" i="13" s="1"/>
  <c r="AY22" i="13" s="1"/>
  <c r="AZ22" i="13" s="1"/>
  <c r="BA22" i="13" s="1"/>
  <c r="AH2" i="12"/>
  <c r="AI2" i="12"/>
  <c r="AJ2" i="12"/>
  <c r="AK2" i="12"/>
  <c r="AL2" i="12"/>
  <c r="AM2" i="12" s="1"/>
  <c r="AN2" i="12" s="1"/>
  <c r="AO2" i="12" s="1"/>
  <c r="AP2" i="12" s="1"/>
  <c r="AQ2" i="12" s="1"/>
  <c r="AR2" i="12" s="1"/>
  <c r="AS2" i="12" s="1"/>
  <c r="AT2" i="12" s="1"/>
  <c r="AU2" i="12" s="1"/>
  <c r="AV2" i="12" s="1"/>
  <c r="AW2" i="12" s="1"/>
  <c r="AX2" i="12" s="1"/>
  <c r="AY2" i="12" s="1"/>
  <c r="AZ2" i="12" s="1"/>
  <c r="BA2" i="12" s="1"/>
  <c r="AH3" i="12"/>
  <c r="AI3" i="12" s="1"/>
  <c r="AJ3" i="12" s="1"/>
  <c r="AK3" i="12"/>
  <c r="AL3" i="12"/>
  <c r="AM3" i="12"/>
  <c r="AN3" i="12"/>
  <c r="AO3" i="12" s="1"/>
  <c r="AP3" i="12" s="1"/>
  <c r="AQ3" i="12" s="1"/>
  <c r="AR3" i="12" s="1"/>
  <c r="AS3" i="12" s="1"/>
  <c r="AT3" i="12" s="1"/>
  <c r="AU3" i="12" s="1"/>
  <c r="AV3" i="12" s="1"/>
  <c r="AW3" i="12" s="1"/>
  <c r="AX3" i="12" s="1"/>
  <c r="AY3" i="12" s="1"/>
  <c r="AZ3" i="12" s="1"/>
  <c r="BA3" i="12" s="1"/>
  <c r="AH5" i="12"/>
  <c r="AI5" i="12" s="1"/>
  <c r="AJ5" i="12" s="1"/>
  <c r="AK5" i="12" s="1"/>
  <c r="AL5" i="12" s="1"/>
  <c r="AM5" i="12" s="1"/>
  <c r="AN5" i="12" s="1"/>
  <c r="AO5" i="12" s="1"/>
  <c r="AP5" i="12" s="1"/>
  <c r="AQ5" i="12" s="1"/>
  <c r="AR5" i="12" s="1"/>
  <c r="AS5" i="12" s="1"/>
  <c r="AT5" i="12" s="1"/>
  <c r="AU5" i="12" s="1"/>
  <c r="AV5" i="12" s="1"/>
  <c r="AW5" i="12" s="1"/>
  <c r="AX5" i="12" s="1"/>
  <c r="AY5" i="12" s="1"/>
  <c r="AZ5" i="12" s="1"/>
  <c r="BA5" i="12" s="1"/>
  <c r="AH6" i="12"/>
  <c r="AI6" i="12" s="1"/>
  <c r="AJ6" i="12" s="1"/>
  <c r="AK6" i="12" s="1"/>
  <c r="AL6" i="12" s="1"/>
  <c r="AM6" i="12" s="1"/>
  <c r="AN6" i="12" s="1"/>
  <c r="AO6" i="12" s="1"/>
  <c r="AP6" i="12" s="1"/>
  <c r="AQ6" i="12" s="1"/>
  <c r="AR6" i="12" s="1"/>
  <c r="AS6" i="12" s="1"/>
  <c r="AT6" i="12" s="1"/>
  <c r="AU6" i="12" s="1"/>
  <c r="AV6" i="12" s="1"/>
  <c r="AW6" i="12" s="1"/>
  <c r="AX6" i="12" s="1"/>
  <c r="AY6" i="12" s="1"/>
  <c r="AZ6" i="12" s="1"/>
  <c r="BA6" i="12" s="1"/>
  <c r="AH7" i="12"/>
  <c r="AI7" i="12" s="1"/>
  <c r="AJ7" i="12" s="1"/>
  <c r="AK7" i="12" s="1"/>
  <c r="AL7" i="12" s="1"/>
  <c r="AM7" i="12" s="1"/>
  <c r="AN7" i="12" s="1"/>
  <c r="AO7" i="12" s="1"/>
  <c r="AP7" i="12" s="1"/>
  <c r="AQ7" i="12" s="1"/>
  <c r="AR7" i="12" s="1"/>
  <c r="AS7" i="12" s="1"/>
  <c r="AT7" i="12" s="1"/>
  <c r="AU7" i="12" s="1"/>
  <c r="AV7" i="12" s="1"/>
  <c r="AW7" i="12" s="1"/>
  <c r="AX7" i="12" s="1"/>
  <c r="AY7" i="12" s="1"/>
  <c r="AZ7" i="12" s="1"/>
  <c r="BA7" i="12" s="1"/>
  <c r="AH8" i="12"/>
  <c r="AI8" i="12"/>
  <c r="AJ8" i="12"/>
  <c r="AK8" i="12" s="1"/>
  <c r="AL8" i="12" s="1"/>
  <c r="AM8" i="12" s="1"/>
  <c r="AN8" i="12" s="1"/>
  <c r="AO8" i="12" s="1"/>
  <c r="AP8" i="12" s="1"/>
  <c r="AQ8" i="12" s="1"/>
  <c r="AR8" i="12" s="1"/>
  <c r="AS8" i="12" s="1"/>
  <c r="AT8" i="12" s="1"/>
  <c r="AU8" i="12" s="1"/>
  <c r="AV8" i="12" s="1"/>
  <c r="AW8" i="12" s="1"/>
  <c r="AX8" i="12" s="1"/>
  <c r="AY8" i="12" s="1"/>
  <c r="AZ8" i="12" s="1"/>
  <c r="BA8" i="12" s="1"/>
  <c r="AH9" i="12"/>
  <c r="AI9" i="12" s="1"/>
  <c r="AJ9" i="12" s="1"/>
  <c r="AK9" i="12"/>
  <c r="AL9" i="12"/>
  <c r="AM9" i="12" s="1"/>
  <c r="AN9" i="12" s="1"/>
  <c r="AO9" i="12" s="1"/>
  <c r="AP9" i="12" s="1"/>
  <c r="AQ9" i="12" s="1"/>
  <c r="AR9" i="12" s="1"/>
  <c r="AS9" i="12" s="1"/>
  <c r="AT9" i="12" s="1"/>
  <c r="AU9" i="12"/>
  <c r="AV9" i="12"/>
  <c r="AW9" i="12" s="1"/>
  <c r="AX9" i="12" s="1"/>
  <c r="AY9" i="12" s="1"/>
  <c r="AZ9" i="12" s="1"/>
  <c r="BA9" i="12" s="1"/>
  <c r="AH10" i="12"/>
  <c r="AI10" i="12"/>
  <c r="AJ10" i="12"/>
  <c r="AK10" i="12"/>
  <c r="AL10" i="12"/>
  <c r="AM10" i="12" s="1"/>
  <c r="AN10" i="12" s="1"/>
  <c r="AO10" i="12" s="1"/>
  <c r="AP10" i="12" s="1"/>
  <c r="AQ10" i="12" s="1"/>
  <c r="AR10" i="12" s="1"/>
  <c r="AS10" i="12" s="1"/>
  <c r="AT10" i="12" s="1"/>
  <c r="AU10" i="12" s="1"/>
  <c r="AV10" i="12" s="1"/>
  <c r="AW10" i="12" s="1"/>
  <c r="AX10" i="12"/>
  <c r="AY10" i="12" s="1"/>
  <c r="AZ10" i="12" s="1"/>
  <c r="BA10" i="12" s="1"/>
  <c r="AH11" i="12"/>
  <c r="AI11" i="12" s="1"/>
  <c r="AJ11" i="12" s="1"/>
  <c r="AK11" i="12"/>
  <c r="AL11" i="12"/>
  <c r="AM11" i="12"/>
  <c r="AN11" i="12"/>
  <c r="AO11" i="12" s="1"/>
  <c r="AP11" i="12" s="1"/>
  <c r="AQ11" i="12" s="1"/>
  <c r="AR11" i="12" s="1"/>
  <c r="AS11" i="12" s="1"/>
  <c r="AT11" i="12" s="1"/>
  <c r="AU11" i="12" s="1"/>
  <c r="AV11" i="12" s="1"/>
  <c r="AW11" i="12" s="1"/>
  <c r="AX11" i="12"/>
  <c r="AY11" i="12" s="1"/>
  <c r="AZ11" i="12" s="1"/>
  <c r="BA11" i="12" s="1"/>
  <c r="AH12" i="12"/>
  <c r="AI12" i="12"/>
  <c r="AJ12" i="12"/>
  <c r="AK12" i="12"/>
  <c r="AL12" i="12"/>
  <c r="AM12" i="12" s="1"/>
  <c r="AN12" i="12" s="1"/>
  <c r="AO12" i="12" s="1"/>
  <c r="AP12" i="12" s="1"/>
  <c r="AQ12" i="12" s="1"/>
  <c r="AR12" i="12" s="1"/>
  <c r="AS12" i="12"/>
  <c r="AT12" i="12" s="1"/>
  <c r="AU12" i="12" s="1"/>
  <c r="AV12" i="12" s="1"/>
  <c r="AW12" i="12" s="1"/>
  <c r="AX12" i="12" s="1"/>
  <c r="AY12" i="12" s="1"/>
  <c r="AZ12" i="12" s="1"/>
  <c r="BA12" i="12" s="1"/>
  <c r="AH13" i="12"/>
  <c r="AI13" i="12" s="1"/>
  <c r="AJ13" i="12" s="1"/>
  <c r="AK13" i="12" s="1"/>
  <c r="AL13" i="12" s="1"/>
  <c r="AM13" i="12" s="1"/>
  <c r="AN13" i="12" s="1"/>
  <c r="AO13" i="12"/>
  <c r="AP13" i="12"/>
  <c r="AQ13" i="12" s="1"/>
  <c r="AR13" i="12" s="1"/>
  <c r="AS13" i="12" s="1"/>
  <c r="AT13" i="12" s="1"/>
  <c r="AU13" i="12" s="1"/>
  <c r="AV13" i="12" s="1"/>
  <c r="AW13" i="12"/>
  <c r="AX13" i="12"/>
  <c r="AY13" i="12" s="1"/>
  <c r="AZ13" i="12" s="1"/>
  <c r="BA13" i="12" s="1"/>
  <c r="AH14" i="12"/>
  <c r="AI14" i="12"/>
  <c r="AJ14" i="12"/>
  <c r="AK14" i="12"/>
  <c r="AL14" i="12"/>
  <c r="AM14" i="12" s="1"/>
  <c r="AN14" i="12" s="1"/>
  <c r="AO14" i="12" s="1"/>
  <c r="AP14" i="12" s="1"/>
  <c r="AQ14" i="12" s="1"/>
  <c r="AR14" i="12" s="1"/>
  <c r="AS14" i="12"/>
  <c r="AT14" i="12"/>
  <c r="AU14" i="12" s="1"/>
  <c r="AV14" i="12" s="1"/>
  <c r="AW14" i="12" s="1"/>
  <c r="AX14" i="12" s="1"/>
  <c r="AY14" i="12" s="1"/>
  <c r="AZ14" i="12" s="1"/>
  <c r="BA14" i="12"/>
  <c r="AH15" i="12"/>
  <c r="AI15" i="12" s="1"/>
  <c r="AJ15" i="12" s="1"/>
  <c r="AK15" i="12" s="1"/>
  <c r="AL15" i="12" s="1"/>
  <c r="AM15" i="12" s="1"/>
  <c r="AN15" i="12" s="1"/>
  <c r="AO15" i="12" s="1"/>
  <c r="AP15" i="12" s="1"/>
  <c r="AQ15" i="12" s="1"/>
  <c r="AR15" i="12" s="1"/>
  <c r="AS15" i="12" s="1"/>
  <c r="AT15" i="12" s="1"/>
  <c r="AU15" i="12" s="1"/>
  <c r="AV15" i="12" s="1"/>
  <c r="AW15" i="12" s="1"/>
  <c r="AX15" i="12" s="1"/>
  <c r="AY15" i="12" s="1"/>
  <c r="AZ15" i="12" s="1"/>
  <c r="BA15" i="12" s="1"/>
  <c r="AH16" i="12"/>
  <c r="AI16" i="12"/>
  <c r="AJ16" i="12"/>
  <c r="AK16" i="12"/>
  <c r="AL16" i="12" s="1"/>
  <c r="AM16" i="12" s="1"/>
  <c r="AN16" i="12" s="1"/>
  <c r="AO16" i="12" s="1"/>
  <c r="AP16" i="12" s="1"/>
  <c r="AQ16" i="12" s="1"/>
  <c r="AR16" i="12" s="1"/>
  <c r="AS16" i="12" s="1"/>
  <c r="AT16" i="12" s="1"/>
  <c r="AU16" i="12" s="1"/>
  <c r="AV16" i="12" s="1"/>
  <c r="AW16" i="12" s="1"/>
  <c r="AX16" i="12" s="1"/>
  <c r="AY16" i="12" s="1"/>
  <c r="AZ16" i="12" s="1"/>
  <c r="BA16" i="12" s="1"/>
  <c r="AH17" i="12"/>
  <c r="AI17" i="12" s="1"/>
  <c r="AJ17" i="12" s="1"/>
  <c r="AK17" i="12" s="1"/>
  <c r="AL17" i="12" s="1"/>
  <c r="AM17" i="12" s="1"/>
  <c r="AN17" i="12" s="1"/>
  <c r="AO17" i="12"/>
  <c r="AP17" i="12"/>
  <c r="AQ17" i="12" s="1"/>
  <c r="AR17" i="12" s="1"/>
  <c r="AS17" i="12" s="1"/>
  <c r="AT17" i="12" s="1"/>
  <c r="AU17" i="12" s="1"/>
  <c r="AV17" i="12" s="1"/>
  <c r="AW17" i="12"/>
  <c r="AX17" i="12" s="1"/>
  <c r="AY17" i="12" s="1"/>
  <c r="AZ17" i="12" s="1"/>
  <c r="BA17" i="12" s="1"/>
  <c r="AH18" i="12"/>
  <c r="AI18" i="12"/>
  <c r="AJ18" i="12"/>
  <c r="AK18" i="12"/>
  <c r="AL18" i="12"/>
  <c r="AM18" i="12" s="1"/>
  <c r="AN18" i="12" s="1"/>
  <c r="AO18" i="12" s="1"/>
  <c r="AP18" i="12" s="1"/>
  <c r="AQ18" i="12" s="1"/>
  <c r="AR18" i="12" s="1"/>
  <c r="AS18" i="12"/>
  <c r="AT18" i="12"/>
  <c r="AU18" i="12" s="1"/>
  <c r="AV18" i="12" s="1"/>
  <c r="AW18" i="12" s="1"/>
  <c r="AX18" i="12" s="1"/>
  <c r="AY18" i="12" s="1"/>
  <c r="AZ18" i="12" s="1"/>
  <c r="BA18" i="12" s="1"/>
  <c r="AH19" i="12"/>
  <c r="AI19" i="12" s="1"/>
  <c r="AJ19" i="12" s="1"/>
  <c r="AK19" i="12" s="1"/>
  <c r="AL19" i="12" s="1"/>
  <c r="AM19" i="12" s="1"/>
  <c r="AN19" i="12" s="1"/>
  <c r="AO19" i="12"/>
  <c r="AP19" i="12"/>
  <c r="AQ19" i="12" s="1"/>
  <c r="AR19" i="12" s="1"/>
  <c r="AS19" i="12" s="1"/>
  <c r="AT19" i="12" s="1"/>
  <c r="AU19" i="12" s="1"/>
  <c r="AV19" i="12" s="1"/>
  <c r="AW19" i="12"/>
  <c r="AX19" i="12"/>
  <c r="AY19" i="12" s="1"/>
  <c r="AZ19" i="12" s="1"/>
  <c r="BA19" i="12" s="1"/>
  <c r="AH20" i="12"/>
  <c r="AI20" i="12"/>
  <c r="AJ20" i="12"/>
  <c r="AK20" i="12"/>
  <c r="AL20" i="12"/>
  <c r="AM20" i="12" s="1"/>
  <c r="AN20" i="12" s="1"/>
  <c r="AO20" i="12" s="1"/>
  <c r="AP20" i="12" s="1"/>
  <c r="AQ20" i="12" s="1"/>
  <c r="AR20" i="12" s="1"/>
  <c r="AS20" i="12"/>
  <c r="AT20" i="12"/>
  <c r="AU20" i="12" s="1"/>
  <c r="AV20" i="12" s="1"/>
  <c r="AW20" i="12" s="1"/>
  <c r="AX20" i="12" s="1"/>
  <c r="AY20" i="12" s="1"/>
  <c r="AZ20" i="12" s="1"/>
  <c r="BA20" i="12"/>
  <c r="AH21" i="12"/>
  <c r="AI21" i="12"/>
  <c r="AJ21" i="12" s="1"/>
  <c r="AK21" i="12" s="1"/>
  <c r="AL21" i="12" s="1"/>
  <c r="AM21" i="12" s="1"/>
  <c r="AN21" i="12" s="1"/>
  <c r="AO21" i="12" s="1"/>
  <c r="AP21" i="12" s="1"/>
  <c r="AQ21" i="12" s="1"/>
  <c r="AR21" i="12" s="1"/>
  <c r="AS21" i="12" s="1"/>
  <c r="AT21" i="12" s="1"/>
  <c r="AU21" i="12" s="1"/>
  <c r="AV21" i="12" s="1"/>
  <c r="AW21" i="12" s="1"/>
  <c r="AX21" i="12" s="1"/>
  <c r="AY21" i="12" s="1"/>
  <c r="AZ21" i="12" s="1"/>
  <c r="BA21" i="12" s="1"/>
  <c r="AH22" i="12"/>
  <c r="AI22" i="12"/>
  <c r="AJ22" i="12"/>
  <c r="AK22" i="12"/>
  <c r="AL22" i="12"/>
  <c r="AM22" i="12"/>
  <c r="AN22" i="12" s="1"/>
  <c r="AO22" i="12" s="1"/>
  <c r="AP22" i="12" s="1"/>
  <c r="AQ22" i="12" s="1"/>
  <c r="AR22" i="12" s="1"/>
  <c r="AS22" i="12"/>
  <c r="AT22" i="12"/>
  <c r="AU22" i="12"/>
  <c r="AV22" i="12" s="1"/>
  <c r="AW22" i="12" s="1"/>
  <c r="AX22" i="12" s="1"/>
  <c r="AY22" i="12" s="1"/>
  <c r="AZ22" i="12" s="1"/>
  <c r="BA22" i="12"/>
  <c r="H28" i="9"/>
  <c r="H29" i="9"/>
  <c r="H30" i="9"/>
  <c r="H31" i="9"/>
  <c r="H32" i="9"/>
  <c r="H33" i="9"/>
  <c r="H34" i="9"/>
  <c r="H35" i="9"/>
  <c r="H36" i="9"/>
  <c r="H37" i="9"/>
  <c r="H38" i="9"/>
  <c r="H39" i="9"/>
  <c r="H40" i="9"/>
  <c r="H41" i="9"/>
  <c r="H42" i="9"/>
  <c r="H43" i="9"/>
  <c r="H44" i="9"/>
  <c r="H45" i="9"/>
  <c r="H46" i="9"/>
  <c r="H27" i="9"/>
  <c r="D9" i="9"/>
  <c r="C9" i="9"/>
  <c r="B9" i="9"/>
  <c r="D3" i="9"/>
  <c r="C3" i="9"/>
  <c r="B3" i="9"/>
  <c r="D5" i="9"/>
  <c r="C5" i="9"/>
  <c r="B5" i="9"/>
  <c r="D11" i="9"/>
  <c r="C11" i="9"/>
  <c r="B11" i="9"/>
  <c r="D10" i="9"/>
  <c r="C10" i="9"/>
  <c r="B10" i="9"/>
  <c r="D14" i="9"/>
  <c r="C14" i="9"/>
  <c r="B14" i="9"/>
  <c r="D18" i="9"/>
  <c r="C18" i="9"/>
  <c r="B18" i="9"/>
  <c r="B20" i="9"/>
  <c r="C20" i="9"/>
  <c r="D20" i="9"/>
  <c r="D19" i="9"/>
  <c r="C19" i="9"/>
  <c r="B19" i="9"/>
  <c r="I28" i="9"/>
  <c r="J28" i="9"/>
  <c r="I29" i="9"/>
  <c r="J29" i="9"/>
  <c r="J30" i="9" s="1"/>
  <c r="J31" i="9" s="1"/>
  <c r="J32" i="9" s="1"/>
  <c r="J33" i="9" s="1"/>
  <c r="J34" i="9" s="1"/>
  <c r="J35" i="9" s="1"/>
  <c r="J36" i="9" s="1"/>
  <c r="J37" i="9" s="1"/>
  <c r="J38" i="9" s="1"/>
  <c r="J39" i="9" s="1"/>
  <c r="J40" i="9" s="1"/>
  <c r="J41" i="9" s="1"/>
  <c r="J42" i="9" s="1"/>
  <c r="J43" i="9" s="1"/>
  <c r="J44" i="9" s="1"/>
  <c r="J45" i="9" s="1"/>
  <c r="J46" i="9" s="1"/>
  <c r="I30" i="9"/>
  <c r="I31" i="9" s="1"/>
  <c r="I32" i="9" s="1"/>
  <c r="I33" i="9" s="1"/>
  <c r="I34" i="9" s="1"/>
  <c r="I35" i="9" s="1"/>
  <c r="I36" i="9" s="1"/>
  <c r="I37" i="9" s="1"/>
  <c r="I38" i="9" s="1"/>
  <c r="I39" i="9" s="1"/>
  <c r="I40" i="9" s="1"/>
  <c r="I41" i="9" s="1"/>
  <c r="I42" i="9" s="1"/>
  <c r="I43" i="9" s="1"/>
  <c r="I44" i="9" s="1"/>
  <c r="I45" i="9" s="1"/>
  <c r="I46" i="9" s="1"/>
  <c r="E3" i="9" l="1"/>
  <c r="C27" i="9" l="1"/>
  <c r="C52" i="18"/>
  <c r="D52" i="18"/>
  <c r="E52" i="18"/>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B52" i="18"/>
  <c r="C27" i="18"/>
  <c r="D27" i="18"/>
  <c r="E27" i="18"/>
  <c r="F27" i="18"/>
  <c r="G27" i="18"/>
  <c r="H27" i="18"/>
  <c r="I27" i="18"/>
  <c r="J27" i="18"/>
  <c r="K27" i="18"/>
  <c r="L27" i="18"/>
  <c r="M27" i="18"/>
  <c r="N27" i="18"/>
  <c r="O27" i="18"/>
  <c r="P27" i="18"/>
  <c r="Q27" i="18"/>
  <c r="R27" i="18"/>
  <c r="S27" i="18"/>
  <c r="T27" i="18"/>
  <c r="U27" i="18"/>
  <c r="V27" i="18"/>
  <c r="W27" i="18"/>
  <c r="X27" i="18"/>
  <c r="Y27" i="18"/>
  <c r="Z27" i="18"/>
  <c r="AA27" i="18"/>
  <c r="AB27" i="18"/>
  <c r="AC27" i="18"/>
  <c r="AD27" i="18"/>
  <c r="AE27" i="18"/>
  <c r="AF27" i="18"/>
  <c r="AG27" i="18"/>
  <c r="B27" i="18"/>
  <c r="AC16" i="19" l="1"/>
  <c r="Z16" i="19"/>
  <c r="U16" i="19"/>
  <c r="R16" i="19"/>
  <c r="M16" i="19"/>
  <c r="J16" i="19"/>
  <c r="E16" i="19"/>
  <c r="Z15" i="19"/>
  <c r="R15" i="19"/>
  <c r="M15" i="19"/>
  <c r="J15" i="19"/>
  <c r="E15" i="19"/>
  <c r="Z8" i="19"/>
  <c r="AC7" i="19"/>
  <c r="Z7" i="19"/>
  <c r="U7" i="19"/>
  <c r="R7" i="19"/>
  <c r="M7" i="19"/>
  <c r="J7" i="19"/>
  <c r="E7" i="19"/>
  <c r="AC6" i="19"/>
  <c r="Z6" i="19"/>
  <c r="U6" i="19"/>
  <c r="R6" i="19"/>
  <c r="M6" i="19"/>
  <c r="J6" i="19"/>
  <c r="E6" i="19"/>
  <c r="AE2" i="19"/>
  <c r="AC2" i="19"/>
  <c r="Z2" i="19"/>
  <c r="W2" i="19"/>
  <c r="U2" i="19"/>
  <c r="R2" i="19"/>
  <c r="O2" i="19"/>
  <c r="M2" i="19"/>
  <c r="J2" i="19"/>
  <c r="G2" i="19"/>
  <c r="E2" i="19"/>
  <c r="C7" i="19"/>
  <c r="C16" i="19"/>
  <c r="C2" i="19"/>
  <c r="AG40" i="18"/>
  <c r="AF40" i="18"/>
  <c r="AE40" i="18"/>
  <c r="AD40" i="18"/>
  <c r="AC40" i="18"/>
  <c r="AB40" i="18"/>
  <c r="AA40" i="18"/>
  <c r="Z40" i="18"/>
  <c r="Y40" i="18"/>
  <c r="X40" i="18"/>
  <c r="W40" i="18"/>
  <c r="V40" i="18"/>
  <c r="U40" i="18"/>
  <c r="T40" i="18"/>
  <c r="S40" i="18"/>
  <c r="R40" i="18"/>
  <c r="Q40" i="18"/>
  <c r="P40" i="18"/>
  <c r="O40" i="18"/>
  <c r="N40" i="18"/>
  <c r="M40" i="18"/>
  <c r="L40" i="18"/>
  <c r="K40" i="18"/>
  <c r="J40" i="18"/>
  <c r="I40" i="18"/>
  <c r="H40" i="18"/>
  <c r="G40" i="18"/>
  <c r="F40" i="18"/>
  <c r="E40" i="18"/>
  <c r="D40" i="18"/>
  <c r="C40" i="18"/>
  <c r="B40" i="18"/>
  <c r="AG39" i="18"/>
  <c r="AF39" i="18"/>
  <c r="AE39" i="18"/>
  <c r="AD39" i="18"/>
  <c r="AC39" i="18"/>
  <c r="AB39" i="18"/>
  <c r="AA39" i="18"/>
  <c r="Z39" i="18"/>
  <c r="Y39" i="18"/>
  <c r="X39" i="18"/>
  <c r="W39" i="18"/>
  <c r="V39" i="18"/>
  <c r="U39" i="18"/>
  <c r="T39" i="18"/>
  <c r="S39" i="18"/>
  <c r="R39" i="18"/>
  <c r="Q39" i="18"/>
  <c r="P39" i="18"/>
  <c r="O39" i="18"/>
  <c r="N39" i="18"/>
  <c r="M39" i="18"/>
  <c r="L39" i="18"/>
  <c r="K39" i="18"/>
  <c r="J39" i="18"/>
  <c r="I39" i="18"/>
  <c r="H39" i="18"/>
  <c r="G39" i="18"/>
  <c r="F39" i="18"/>
  <c r="E39" i="18"/>
  <c r="D39" i="18"/>
  <c r="C39" i="18"/>
  <c r="B39" i="18"/>
  <c r="AG38" i="18"/>
  <c r="AF38" i="18"/>
  <c r="AE38" i="18"/>
  <c r="AD38" i="18"/>
  <c r="AC38" i="18"/>
  <c r="AB38" i="18"/>
  <c r="AA38" i="18"/>
  <c r="Z38" i="18"/>
  <c r="Y38" i="18"/>
  <c r="X38" i="18"/>
  <c r="W38" i="18"/>
  <c r="V38" i="18"/>
  <c r="U38" i="18"/>
  <c r="T38" i="18"/>
  <c r="S38" i="18"/>
  <c r="R38" i="18"/>
  <c r="Q38" i="18"/>
  <c r="P38" i="18"/>
  <c r="O38" i="18"/>
  <c r="N38" i="18"/>
  <c r="M38" i="18"/>
  <c r="L38" i="18"/>
  <c r="K38" i="18"/>
  <c r="J38" i="18"/>
  <c r="I38" i="18"/>
  <c r="H38" i="18"/>
  <c r="G38" i="18"/>
  <c r="F38" i="18"/>
  <c r="E38" i="18"/>
  <c r="D38" i="18"/>
  <c r="C38" i="18"/>
  <c r="B38" i="18"/>
  <c r="AG37"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G37" i="18"/>
  <c r="F37" i="18"/>
  <c r="E37" i="18"/>
  <c r="D37" i="18"/>
  <c r="C37" i="18"/>
  <c r="B37" i="18"/>
  <c r="AG36" i="18"/>
  <c r="AF36" i="18"/>
  <c r="AE36" i="18"/>
  <c r="AD36" i="18"/>
  <c r="AC36" i="18"/>
  <c r="AB36" i="18"/>
  <c r="AA36" i="18"/>
  <c r="Z36" i="18"/>
  <c r="Y36" i="18"/>
  <c r="X36" i="18"/>
  <c r="W36" i="18"/>
  <c r="V36" i="18"/>
  <c r="U36" i="18"/>
  <c r="T36" i="18"/>
  <c r="S36" i="18"/>
  <c r="R36" i="18"/>
  <c r="Q36" i="18"/>
  <c r="P36" i="18"/>
  <c r="O36" i="18"/>
  <c r="N36" i="18"/>
  <c r="M36" i="18"/>
  <c r="L36" i="18"/>
  <c r="K36" i="18"/>
  <c r="J36" i="18"/>
  <c r="I36" i="18"/>
  <c r="H36" i="18"/>
  <c r="G36" i="18"/>
  <c r="F36" i="18"/>
  <c r="E36" i="18"/>
  <c r="D36" i="18"/>
  <c r="C36" i="18"/>
  <c r="B36" i="18"/>
  <c r="AG46" i="18"/>
  <c r="AF46" i="18"/>
  <c r="AE46" i="18"/>
  <c r="AD46" i="18"/>
  <c r="AC46" i="18"/>
  <c r="AB46" i="18"/>
  <c r="AA46" i="18"/>
  <c r="Z46" i="18"/>
  <c r="Y46" i="18"/>
  <c r="X46" i="18"/>
  <c r="W46" i="18"/>
  <c r="V46" i="18"/>
  <c r="U46" i="18"/>
  <c r="T46" i="18"/>
  <c r="S46" i="18"/>
  <c r="R46" i="18"/>
  <c r="Q46" i="18"/>
  <c r="P46" i="18"/>
  <c r="O46" i="18"/>
  <c r="N46" i="18"/>
  <c r="M46" i="18"/>
  <c r="L46" i="18"/>
  <c r="K46" i="18"/>
  <c r="J46" i="18"/>
  <c r="I46" i="18"/>
  <c r="H46" i="18"/>
  <c r="G46" i="18"/>
  <c r="F46" i="18"/>
  <c r="E46" i="18"/>
  <c r="D46" i="18"/>
  <c r="C46" i="18"/>
  <c r="B46" i="18"/>
  <c r="AG45" i="18"/>
  <c r="AF45" i="18"/>
  <c r="AE45" i="18"/>
  <c r="AD45" i="18"/>
  <c r="AC45" i="18"/>
  <c r="AB45" i="18"/>
  <c r="AA45" i="18"/>
  <c r="Z45" i="18"/>
  <c r="Y45" i="18"/>
  <c r="X45" i="18"/>
  <c r="W45" i="18"/>
  <c r="V45" i="18"/>
  <c r="U45" i="18"/>
  <c r="T45" i="18"/>
  <c r="S45" i="18"/>
  <c r="R45" i="18"/>
  <c r="Q45" i="18"/>
  <c r="P45" i="18"/>
  <c r="O45" i="18"/>
  <c r="N45" i="18"/>
  <c r="M45" i="18"/>
  <c r="L45" i="18"/>
  <c r="K45" i="18"/>
  <c r="J45" i="18"/>
  <c r="I45" i="18"/>
  <c r="H45" i="18"/>
  <c r="G45" i="18"/>
  <c r="F45" i="18"/>
  <c r="E45" i="18"/>
  <c r="D45" i="18"/>
  <c r="C45" i="18"/>
  <c r="B45"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B44" i="18"/>
  <c r="C30" i="18"/>
  <c r="D30" i="18"/>
  <c r="E30" i="18"/>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B30" i="18"/>
  <c r="AG43" i="18"/>
  <c r="AF43" i="18"/>
  <c r="AE43" i="18"/>
  <c r="AD43" i="18"/>
  <c r="AC43" i="18"/>
  <c r="AB43" i="18"/>
  <c r="AA43" i="18"/>
  <c r="Z43" i="18"/>
  <c r="Y43" i="18"/>
  <c r="X43" i="18"/>
  <c r="W43" i="18"/>
  <c r="V43" i="18"/>
  <c r="U43" i="18"/>
  <c r="T43" i="18"/>
  <c r="S43" i="18"/>
  <c r="R43" i="18"/>
  <c r="Q43" i="18"/>
  <c r="P43" i="18"/>
  <c r="O43" i="18"/>
  <c r="N43" i="18"/>
  <c r="M43" i="18"/>
  <c r="L43" i="18"/>
  <c r="K43" i="18"/>
  <c r="J43" i="18"/>
  <c r="I43" i="18"/>
  <c r="H43" i="18"/>
  <c r="G43" i="18"/>
  <c r="F43" i="18"/>
  <c r="E43" i="18"/>
  <c r="D43" i="18"/>
  <c r="C43" i="18"/>
  <c r="B43" i="18"/>
  <c r="P29" i="18"/>
  <c r="Q29" i="18"/>
  <c r="R29" i="18"/>
  <c r="S29" i="18"/>
  <c r="T29" i="18"/>
  <c r="U29" i="18"/>
  <c r="V29" i="18"/>
  <c r="W29" i="18"/>
  <c r="X29" i="18"/>
  <c r="Y29" i="18"/>
  <c r="Z29" i="18"/>
  <c r="AA29" i="18"/>
  <c r="AB29" i="18"/>
  <c r="AC29" i="18"/>
  <c r="AD29" i="18"/>
  <c r="AE29" i="18"/>
  <c r="AF29" i="18"/>
  <c r="AG29" i="18"/>
  <c r="C29" i="18"/>
  <c r="D29" i="18"/>
  <c r="E29" i="18"/>
  <c r="F29" i="18"/>
  <c r="G29" i="18"/>
  <c r="H29" i="18"/>
  <c r="I29" i="18"/>
  <c r="J29" i="18"/>
  <c r="K29" i="18"/>
  <c r="L29" i="18"/>
  <c r="M29" i="18"/>
  <c r="N29" i="18"/>
  <c r="O29" i="18"/>
  <c r="B29"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C71" i="18"/>
  <c r="B71" i="18"/>
  <c r="B6" i="19"/>
  <c r="B7" i="19"/>
  <c r="B8" i="19"/>
  <c r="J8" i="19" s="1"/>
  <c r="B15" i="19"/>
  <c r="B16" i="19"/>
  <c r="B2" i="19"/>
  <c r="R8" i="19" l="1"/>
  <c r="U8" i="19"/>
  <c r="AC8" i="19"/>
  <c r="E8" i="19"/>
  <c r="AA8" i="19"/>
  <c r="S8" i="19"/>
  <c r="K8" i="19"/>
  <c r="AG8" i="19"/>
  <c r="Y8" i="19"/>
  <c r="Q8" i="19"/>
  <c r="I8" i="19"/>
  <c r="AF8" i="19"/>
  <c r="X8" i="19"/>
  <c r="P8" i="19"/>
  <c r="H8" i="19"/>
  <c r="AE8" i="19"/>
  <c r="W8" i="19"/>
  <c r="O8" i="19"/>
  <c r="G8" i="19"/>
  <c r="AD8" i="19"/>
  <c r="V8" i="19"/>
  <c r="N8" i="19"/>
  <c r="F8" i="19"/>
  <c r="C8" i="19"/>
  <c r="AB8" i="19"/>
  <c r="T8" i="19"/>
  <c r="L8" i="19"/>
  <c r="D8" i="19"/>
  <c r="M8" i="19"/>
  <c r="D2" i="19"/>
  <c r="L2" i="19"/>
  <c r="T2" i="19"/>
  <c r="AB2" i="19"/>
  <c r="D6" i="19"/>
  <c r="L6" i="19"/>
  <c r="T6" i="19"/>
  <c r="AB6" i="19"/>
  <c r="D7" i="19"/>
  <c r="L7" i="19"/>
  <c r="T7" i="19"/>
  <c r="AB7" i="19"/>
  <c r="D15" i="19"/>
  <c r="L15" i="19"/>
  <c r="T15" i="19"/>
  <c r="AB15" i="19"/>
  <c r="D16" i="19"/>
  <c r="L16" i="19"/>
  <c r="T16" i="19"/>
  <c r="AB16" i="19"/>
  <c r="U15" i="19"/>
  <c r="AC15" i="19"/>
  <c r="F2" i="19"/>
  <c r="N2" i="19"/>
  <c r="V2" i="19"/>
  <c r="AD2" i="19"/>
  <c r="F6" i="19"/>
  <c r="N6" i="19"/>
  <c r="V6" i="19"/>
  <c r="AD6" i="19"/>
  <c r="F7" i="19"/>
  <c r="N7" i="19"/>
  <c r="V7" i="19"/>
  <c r="AD7" i="19"/>
  <c r="F15" i="19"/>
  <c r="N15" i="19"/>
  <c r="V15" i="19"/>
  <c r="AD15" i="19"/>
  <c r="F16" i="19"/>
  <c r="N16" i="19"/>
  <c r="V16" i="19"/>
  <c r="AD16" i="19"/>
  <c r="G6" i="19"/>
  <c r="O6" i="19"/>
  <c r="W6" i="19"/>
  <c r="AE6" i="19"/>
  <c r="G7" i="19"/>
  <c r="O7" i="19"/>
  <c r="W7" i="19"/>
  <c r="AE7" i="19"/>
  <c r="G15" i="19"/>
  <c r="O15" i="19"/>
  <c r="W15" i="19"/>
  <c r="AE15" i="19"/>
  <c r="G16" i="19"/>
  <c r="O16" i="19"/>
  <c r="W16" i="19"/>
  <c r="AE16" i="19"/>
  <c r="C15" i="19"/>
  <c r="C6" i="19"/>
  <c r="H2" i="19"/>
  <c r="P2" i="19"/>
  <c r="X2" i="19"/>
  <c r="AF2" i="19"/>
  <c r="H6" i="19"/>
  <c r="P6" i="19"/>
  <c r="X6" i="19"/>
  <c r="AF6" i="19"/>
  <c r="H7" i="19"/>
  <c r="P7" i="19"/>
  <c r="X7" i="19"/>
  <c r="AF7" i="19"/>
  <c r="H15" i="19"/>
  <c r="P15" i="19"/>
  <c r="X15" i="19"/>
  <c r="AF15" i="19"/>
  <c r="H16" i="19"/>
  <c r="P16" i="19"/>
  <c r="X16" i="19"/>
  <c r="AF16" i="19"/>
  <c r="I2" i="19"/>
  <c r="Q2" i="19"/>
  <c r="Y2" i="19"/>
  <c r="AG2" i="19"/>
  <c r="I6" i="19"/>
  <c r="Q6" i="19"/>
  <c r="Y6" i="19"/>
  <c r="AG6" i="19"/>
  <c r="I7" i="19"/>
  <c r="Q7" i="19"/>
  <c r="Y7" i="19"/>
  <c r="AG7" i="19"/>
  <c r="I15" i="19"/>
  <c r="Q15" i="19"/>
  <c r="Y15" i="19"/>
  <c r="AG15" i="19"/>
  <c r="I16" i="19"/>
  <c r="Q16" i="19"/>
  <c r="Y16" i="19"/>
  <c r="AG16" i="19"/>
  <c r="K2" i="19"/>
  <c r="S2" i="19"/>
  <c r="AA2" i="19"/>
  <c r="K6" i="19"/>
  <c r="S6" i="19"/>
  <c r="AA6" i="19"/>
  <c r="K7" i="19"/>
  <c r="S7" i="19"/>
  <c r="AA7" i="19"/>
  <c r="K15" i="19"/>
  <c r="S15" i="19"/>
  <c r="AA15" i="19"/>
  <c r="K16" i="19"/>
  <c r="S16" i="19"/>
  <c r="AA16" i="19"/>
  <c r="AG70" i="18" l="1"/>
  <c r="AF70" i="18"/>
  <c r="AE70" i="18"/>
  <c r="AD70" i="18"/>
  <c r="AC70" i="18"/>
  <c r="AB70" i="18"/>
  <c r="AA70" i="18"/>
  <c r="Z70" i="18"/>
  <c r="Y70" i="18"/>
  <c r="X70" i="18"/>
  <c r="W70" i="18"/>
  <c r="V70" i="18"/>
  <c r="U70" i="18"/>
  <c r="T70" i="18"/>
  <c r="S70" i="18"/>
  <c r="R70" i="18"/>
  <c r="Q70" i="18"/>
  <c r="P70" i="18"/>
  <c r="O70" i="18"/>
  <c r="N70" i="18"/>
  <c r="M70" i="18"/>
  <c r="L70" i="18"/>
  <c r="K70" i="18"/>
  <c r="J70" i="18"/>
  <c r="I70" i="18"/>
  <c r="H70" i="18"/>
  <c r="G70" i="18"/>
  <c r="F70" i="18"/>
  <c r="E70" i="18"/>
  <c r="D70" i="18"/>
  <c r="AG69" i="18"/>
  <c r="AF69" i="18"/>
  <c r="AE69" i="18"/>
  <c r="AD69" i="18"/>
  <c r="AC69" i="18"/>
  <c r="AB69" i="18"/>
  <c r="AA69" i="18"/>
  <c r="Z69" i="18"/>
  <c r="Y69" i="18"/>
  <c r="X69" i="18"/>
  <c r="W69" i="18"/>
  <c r="V69" i="18"/>
  <c r="U69" i="18"/>
  <c r="T69" i="18"/>
  <c r="S69" i="18"/>
  <c r="R69" i="18"/>
  <c r="Q69" i="18"/>
  <c r="P69" i="18"/>
  <c r="O69" i="18"/>
  <c r="N69" i="18"/>
  <c r="M69" i="18"/>
  <c r="L69" i="18"/>
  <c r="K69" i="18"/>
  <c r="J69" i="18"/>
  <c r="I69" i="18"/>
  <c r="H69" i="18"/>
  <c r="G69" i="18"/>
  <c r="F69" i="18"/>
  <c r="E69" i="18"/>
  <c r="D69" i="18"/>
  <c r="AG68" i="18"/>
  <c r="AF68" i="18"/>
  <c r="AE68" i="18"/>
  <c r="AD68" i="18"/>
  <c r="AC68" i="18"/>
  <c r="AB68" i="18"/>
  <c r="AA68" i="18"/>
  <c r="Z68" i="18"/>
  <c r="Y68" i="18"/>
  <c r="X68" i="18"/>
  <c r="W68" i="18"/>
  <c r="V68" i="18"/>
  <c r="U68" i="18"/>
  <c r="T68" i="18"/>
  <c r="S68" i="18"/>
  <c r="R68" i="18"/>
  <c r="Q68" i="18"/>
  <c r="P68" i="18"/>
  <c r="O68" i="18"/>
  <c r="N68" i="18"/>
  <c r="M68" i="18"/>
  <c r="L68" i="18"/>
  <c r="K68" i="18"/>
  <c r="J68" i="18"/>
  <c r="I68" i="18"/>
  <c r="H68" i="18"/>
  <c r="G68" i="18"/>
  <c r="F68" i="18"/>
  <c r="E68" i="18"/>
  <c r="D68" i="18"/>
  <c r="AG65" i="18"/>
  <c r="AF65" i="18"/>
  <c r="AE65" i="18"/>
  <c r="AD65" i="18"/>
  <c r="AC65" i="18"/>
  <c r="AB65" i="18"/>
  <c r="AA65" i="18"/>
  <c r="Z65" i="18"/>
  <c r="Y65" i="18"/>
  <c r="X65" i="18"/>
  <c r="W65" i="18"/>
  <c r="V65" i="18"/>
  <c r="U65" i="18"/>
  <c r="T65" i="18"/>
  <c r="S65" i="18"/>
  <c r="R65" i="18"/>
  <c r="Q65" i="18"/>
  <c r="P65" i="18"/>
  <c r="O65" i="18"/>
  <c r="N65" i="18"/>
  <c r="M65" i="18"/>
  <c r="L65" i="18"/>
  <c r="K65" i="18"/>
  <c r="J65" i="18"/>
  <c r="I65" i="18"/>
  <c r="H65" i="18"/>
  <c r="G65" i="18"/>
  <c r="F65" i="18"/>
  <c r="E65" i="18"/>
  <c r="D65"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AG55" i="18"/>
  <c r="AF55" i="18"/>
  <c r="AE55" i="18"/>
  <c r="AD55" i="18"/>
  <c r="AC55" i="18"/>
  <c r="AB55" i="18"/>
  <c r="AA55" i="18"/>
  <c r="Z55" i="18"/>
  <c r="Y55" i="18"/>
  <c r="X55" i="18"/>
  <c r="W55" i="18"/>
  <c r="V55" i="18"/>
  <c r="U55" i="18"/>
  <c r="T55" i="18"/>
  <c r="S55" i="18"/>
  <c r="R55" i="18"/>
  <c r="Q55" i="18"/>
  <c r="P55" i="18"/>
  <c r="O55" i="18"/>
  <c r="N55" i="18"/>
  <c r="M55" i="18"/>
  <c r="L55" i="18"/>
  <c r="K55" i="18"/>
  <c r="J55" i="18"/>
  <c r="I55" i="18"/>
  <c r="H55" i="18"/>
  <c r="G55" i="18"/>
  <c r="F55" i="18"/>
  <c r="E55" i="18"/>
  <c r="D55" i="18"/>
  <c r="AG54" i="18"/>
  <c r="AF54" i="18"/>
  <c r="AE54" i="18"/>
  <c r="AD54" i="18"/>
  <c r="AC54" i="18"/>
  <c r="AB54" i="18"/>
  <c r="AA54" i="18"/>
  <c r="Z54" i="18"/>
  <c r="Y54" i="18"/>
  <c r="X54" i="18"/>
  <c r="W54" i="18"/>
  <c r="V54" i="18"/>
  <c r="U54" i="18"/>
  <c r="T54" i="18"/>
  <c r="S54" i="18"/>
  <c r="R54" i="18"/>
  <c r="Q54" i="18"/>
  <c r="P54" i="18"/>
  <c r="O54" i="18"/>
  <c r="N54" i="18"/>
  <c r="M54" i="18"/>
  <c r="L54" i="18"/>
  <c r="K54" i="18"/>
  <c r="J54" i="18"/>
  <c r="I54" i="18"/>
  <c r="H54" i="18"/>
  <c r="G54" i="18"/>
  <c r="F54" i="18"/>
  <c r="E54" i="18"/>
  <c r="D54" i="18"/>
  <c r="C54" i="18"/>
  <c r="C55" i="18"/>
  <c r="C61" i="18"/>
  <c r="C62" i="18"/>
  <c r="C63" i="18"/>
  <c r="C64" i="18"/>
  <c r="C65" i="18"/>
  <c r="C68" i="18"/>
  <c r="C69" i="18"/>
  <c r="C70" i="18"/>
  <c r="B70" i="18"/>
  <c r="B69" i="18"/>
  <c r="B68" i="18"/>
  <c r="B65" i="18"/>
  <c r="B64" i="18"/>
  <c r="B63" i="18"/>
  <c r="B62" i="18"/>
  <c r="B61" i="18"/>
  <c r="B55" i="18"/>
  <c r="B5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D5" i="18"/>
  <c r="E5" i="18"/>
  <c r="F5" i="18"/>
  <c r="G5" i="18"/>
  <c r="H5" i="18"/>
  <c r="I5" i="18"/>
  <c r="J5" i="18"/>
  <c r="K5" i="18"/>
  <c r="L5" i="18"/>
  <c r="M5" i="18"/>
  <c r="N5" i="18"/>
  <c r="O5" i="18"/>
  <c r="P5" i="18"/>
  <c r="Q5" i="18"/>
  <c r="R5" i="18"/>
  <c r="S5" i="18"/>
  <c r="T5" i="18"/>
  <c r="U5" i="18"/>
  <c r="V5" i="18"/>
  <c r="W5" i="18"/>
  <c r="X5" i="18"/>
  <c r="Y5" i="18"/>
  <c r="Z5" i="18"/>
  <c r="AA5" i="18"/>
  <c r="AB5" i="18"/>
  <c r="AC5" i="18"/>
  <c r="AD5" i="18"/>
  <c r="AE5" i="18"/>
  <c r="AF5" i="18"/>
  <c r="AG5" i="18"/>
  <c r="D6" i="18"/>
  <c r="E6" i="18"/>
  <c r="F6" i="18"/>
  <c r="G6" i="18"/>
  <c r="H6" i="18"/>
  <c r="I6" i="18"/>
  <c r="J6" i="18"/>
  <c r="K6" i="18"/>
  <c r="L6" i="18"/>
  <c r="M6" i="18"/>
  <c r="N6" i="18"/>
  <c r="O6" i="18"/>
  <c r="P6" i="18"/>
  <c r="Q6" i="18"/>
  <c r="R6" i="18"/>
  <c r="S6" i="18"/>
  <c r="T6" i="18"/>
  <c r="U6" i="18"/>
  <c r="V6" i="18"/>
  <c r="W6" i="18"/>
  <c r="X6" i="18"/>
  <c r="Y6" i="18"/>
  <c r="Z6" i="18"/>
  <c r="AA6" i="18"/>
  <c r="AB6" i="18"/>
  <c r="AC6" i="18"/>
  <c r="AD6" i="18"/>
  <c r="AE6" i="18"/>
  <c r="AF6" i="18"/>
  <c r="AG6" i="18"/>
  <c r="D10"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AG10" i="18"/>
  <c r="D11"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D14" i="18"/>
  <c r="E14" i="18"/>
  <c r="F14"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AF14" i="18"/>
  <c r="AG14"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D18" i="18"/>
  <c r="E18" i="18"/>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AF18" i="18"/>
  <c r="AG18"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C4" i="18"/>
  <c r="C5" i="18"/>
  <c r="C6" i="18"/>
  <c r="C10" i="18"/>
  <c r="C11" i="18"/>
  <c r="C12" i="18"/>
  <c r="C13" i="18"/>
  <c r="C14" i="18"/>
  <c r="C15" i="18"/>
  <c r="C18" i="18"/>
  <c r="C19" i="18"/>
  <c r="C20" i="18"/>
  <c r="C21" i="18"/>
  <c r="C22" i="18"/>
  <c r="B22" i="18"/>
  <c r="B21" i="18"/>
  <c r="B20" i="18"/>
  <c r="B19" i="18"/>
  <c r="B18" i="18"/>
  <c r="B15" i="18"/>
  <c r="B14" i="18"/>
  <c r="B13" i="18"/>
  <c r="B12" i="18"/>
  <c r="B11" i="18"/>
  <c r="B10" i="18"/>
  <c r="B6" i="18"/>
  <c r="B5" i="18"/>
  <c r="B4" i="18"/>
  <c r="B6" i="13" l="1"/>
  <c r="B7" i="13"/>
  <c r="B8" i="13"/>
  <c r="B15" i="13"/>
  <c r="B16" i="13"/>
  <c r="B2" i="13"/>
  <c r="B6" i="12"/>
  <c r="B7" i="12"/>
  <c r="B8" i="12"/>
  <c r="B15" i="12"/>
  <c r="B16" i="12"/>
  <c r="B2" i="12"/>
  <c r="C45" i="9"/>
  <c r="B21" i="19" s="1"/>
  <c r="C46" i="9"/>
  <c r="B22" i="19" s="1"/>
  <c r="J16" i="13" l="1"/>
  <c r="R16" i="13"/>
  <c r="Z16" i="13"/>
  <c r="K16" i="13"/>
  <c r="S16" i="13"/>
  <c r="AA16" i="13"/>
  <c r="D16" i="13"/>
  <c r="L16" i="13"/>
  <c r="T16" i="13"/>
  <c r="AB16" i="13"/>
  <c r="E16" i="13"/>
  <c r="M16" i="13"/>
  <c r="U16" i="13"/>
  <c r="AC16" i="13"/>
  <c r="O16" i="13"/>
  <c r="F16" i="13"/>
  <c r="N16" i="13"/>
  <c r="V16" i="13"/>
  <c r="AD16" i="13"/>
  <c r="H16" i="13"/>
  <c r="P16" i="13"/>
  <c r="X16" i="13"/>
  <c r="AF16" i="13"/>
  <c r="W16" i="13"/>
  <c r="I16" i="13"/>
  <c r="Q16" i="13"/>
  <c r="Y16" i="13"/>
  <c r="AG16" i="13"/>
  <c r="C16" i="13"/>
  <c r="G16" i="13"/>
  <c r="AE16" i="13"/>
  <c r="R2" i="12"/>
  <c r="Z2" i="12"/>
  <c r="E2" i="12"/>
  <c r="K2" i="12"/>
  <c r="S2" i="12"/>
  <c r="AA2" i="12"/>
  <c r="F2" i="12"/>
  <c r="L2" i="12"/>
  <c r="T2" i="12"/>
  <c r="AB2" i="12"/>
  <c r="G2" i="12"/>
  <c r="W2" i="12"/>
  <c r="M2" i="12"/>
  <c r="U2" i="12"/>
  <c r="AC2" i="12"/>
  <c r="H2" i="12"/>
  <c r="J2" i="12"/>
  <c r="N2" i="12"/>
  <c r="V2" i="12"/>
  <c r="AD2" i="12"/>
  <c r="I2" i="12"/>
  <c r="O2" i="12"/>
  <c r="P2" i="12"/>
  <c r="X2" i="12"/>
  <c r="AF2" i="12"/>
  <c r="C2" i="12"/>
  <c r="AE2" i="12"/>
  <c r="Q2" i="12"/>
  <c r="Y2" i="12"/>
  <c r="AG2" i="12"/>
  <c r="D2" i="12"/>
  <c r="J15" i="13"/>
  <c r="R15" i="13"/>
  <c r="Z15" i="13"/>
  <c r="O15" i="13"/>
  <c r="K15" i="13"/>
  <c r="S15" i="13"/>
  <c r="AA15" i="13"/>
  <c r="D15" i="13"/>
  <c r="L15" i="13"/>
  <c r="T15" i="13"/>
  <c r="AB15" i="13"/>
  <c r="W15" i="13"/>
  <c r="E15" i="13"/>
  <c r="M15" i="13"/>
  <c r="U15" i="13"/>
  <c r="AC15" i="13"/>
  <c r="F15" i="13"/>
  <c r="N15" i="13"/>
  <c r="V15" i="13"/>
  <c r="AD15" i="13"/>
  <c r="H15" i="13"/>
  <c r="P15" i="13"/>
  <c r="X15" i="13"/>
  <c r="AF15" i="13"/>
  <c r="C15" i="13"/>
  <c r="AE15" i="13"/>
  <c r="I15" i="13"/>
  <c r="Q15" i="13"/>
  <c r="Y15" i="13"/>
  <c r="AG15" i="13"/>
  <c r="G15" i="13"/>
  <c r="Q6" i="12"/>
  <c r="Y6" i="12"/>
  <c r="AG6" i="12"/>
  <c r="F6" i="12"/>
  <c r="N6" i="12"/>
  <c r="R6" i="12"/>
  <c r="Z6" i="12"/>
  <c r="G6" i="12"/>
  <c r="C6" i="12"/>
  <c r="K6" i="12"/>
  <c r="S6" i="12"/>
  <c r="AA6" i="12"/>
  <c r="H6" i="12"/>
  <c r="L6" i="12"/>
  <c r="T6" i="12"/>
  <c r="AB6" i="12"/>
  <c r="I6" i="12"/>
  <c r="AD6" i="12"/>
  <c r="M6" i="12"/>
  <c r="U6" i="12"/>
  <c r="AC6" i="12"/>
  <c r="J6" i="12"/>
  <c r="O6" i="12"/>
  <c r="W6" i="12"/>
  <c r="AE6" i="12"/>
  <c r="D6" i="12"/>
  <c r="P6" i="12"/>
  <c r="X6" i="12"/>
  <c r="AF6" i="12"/>
  <c r="E6" i="12"/>
  <c r="V6" i="12"/>
  <c r="J2" i="13"/>
  <c r="R2" i="13"/>
  <c r="Z2" i="13"/>
  <c r="C2" i="13"/>
  <c r="K2" i="13"/>
  <c r="S2" i="13"/>
  <c r="AA2" i="13"/>
  <c r="D2" i="13"/>
  <c r="L2" i="13"/>
  <c r="T2" i="13"/>
  <c r="AB2" i="13"/>
  <c r="E2" i="13"/>
  <c r="M2" i="13"/>
  <c r="U2" i="13"/>
  <c r="AC2" i="13"/>
  <c r="O2" i="13"/>
  <c r="F2" i="13"/>
  <c r="N2" i="13"/>
  <c r="V2" i="13"/>
  <c r="AD2" i="13"/>
  <c r="H2" i="13"/>
  <c r="P2" i="13"/>
  <c r="X2" i="13"/>
  <c r="AF2" i="13"/>
  <c r="G2" i="13"/>
  <c r="AE2" i="13"/>
  <c r="I2" i="13"/>
  <c r="Q2" i="13"/>
  <c r="Y2" i="13"/>
  <c r="AG2" i="13"/>
  <c r="W2" i="13"/>
  <c r="J8" i="13"/>
  <c r="R8" i="13"/>
  <c r="Z8" i="13"/>
  <c r="K8" i="13"/>
  <c r="S8" i="13"/>
  <c r="AA8" i="13"/>
  <c r="O8" i="13"/>
  <c r="C8" i="13"/>
  <c r="D8" i="13"/>
  <c r="L8" i="13"/>
  <c r="T8" i="13"/>
  <c r="AB8" i="13"/>
  <c r="E8" i="13"/>
  <c r="M8" i="13"/>
  <c r="U8" i="13"/>
  <c r="AC8" i="13"/>
  <c r="F8" i="13"/>
  <c r="N8" i="13"/>
  <c r="V8" i="13"/>
  <c r="AD8" i="13"/>
  <c r="W8" i="13"/>
  <c r="H8" i="13"/>
  <c r="P8" i="13"/>
  <c r="X8" i="13"/>
  <c r="AF8" i="13"/>
  <c r="G8" i="13"/>
  <c r="AE8" i="13"/>
  <c r="I8" i="13"/>
  <c r="Q8" i="13"/>
  <c r="Y8" i="13"/>
  <c r="AG8" i="13"/>
  <c r="M16" i="12"/>
  <c r="U16" i="12"/>
  <c r="AC16" i="12"/>
  <c r="J16" i="12"/>
  <c r="N16" i="12"/>
  <c r="V16" i="12"/>
  <c r="AD16" i="12"/>
  <c r="G16" i="12"/>
  <c r="O16" i="12"/>
  <c r="W16" i="12"/>
  <c r="AE16" i="12"/>
  <c r="D16" i="12"/>
  <c r="Z16" i="12"/>
  <c r="P16" i="12"/>
  <c r="X16" i="12"/>
  <c r="AF16" i="12"/>
  <c r="E16" i="12"/>
  <c r="Q16" i="12"/>
  <c r="Y16" i="12"/>
  <c r="AG16" i="12"/>
  <c r="F16" i="12"/>
  <c r="C16" i="12"/>
  <c r="K16" i="12"/>
  <c r="S16" i="12"/>
  <c r="AA16" i="12"/>
  <c r="H16" i="12"/>
  <c r="R16" i="12"/>
  <c r="L16" i="12"/>
  <c r="T16" i="12"/>
  <c r="AB16" i="12"/>
  <c r="I16" i="12"/>
  <c r="N15" i="12"/>
  <c r="V15" i="12"/>
  <c r="AD15" i="12"/>
  <c r="I15" i="12"/>
  <c r="O15" i="12"/>
  <c r="W15" i="12"/>
  <c r="AE15" i="12"/>
  <c r="J15" i="12"/>
  <c r="P15" i="12"/>
  <c r="X15" i="12"/>
  <c r="AF15" i="12"/>
  <c r="Q15" i="12"/>
  <c r="Y15" i="12"/>
  <c r="AG15" i="12"/>
  <c r="D15" i="12"/>
  <c r="R15" i="12"/>
  <c r="Z15" i="12"/>
  <c r="E15" i="12"/>
  <c r="C15" i="12"/>
  <c r="AA15" i="12"/>
  <c r="L15" i="12"/>
  <c r="T15" i="12"/>
  <c r="AB15" i="12"/>
  <c r="G15" i="12"/>
  <c r="K15" i="12"/>
  <c r="M15" i="12"/>
  <c r="U15" i="12"/>
  <c r="AC15" i="12"/>
  <c r="H15" i="12"/>
  <c r="S15" i="12"/>
  <c r="F15" i="12"/>
  <c r="J7" i="13"/>
  <c r="R7" i="13"/>
  <c r="Z7" i="13"/>
  <c r="G7" i="13"/>
  <c r="K7" i="13"/>
  <c r="S7" i="13"/>
  <c r="AA7" i="13"/>
  <c r="D7" i="13"/>
  <c r="L7" i="13"/>
  <c r="T7" i="13"/>
  <c r="AB7" i="13"/>
  <c r="O7" i="13"/>
  <c r="E7" i="13"/>
  <c r="M7" i="13"/>
  <c r="U7" i="13"/>
  <c r="AC7" i="13"/>
  <c r="W7" i="13"/>
  <c r="F7" i="13"/>
  <c r="N7" i="13"/>
  <c r="V7" i="13"/>
  <c r="AD7" i="13"/>
  <c r="C7" i="13"/>
  <c r="H7" i="13"/>
  <c r="P7" i="13"/>
  <c r="X7" i="13"/>
  <c r="AF7" i="13"/>
  <c r="I7" i="13"/>
  <c r="Q7" i="13"/>
  <c r="Y7" i="13"/>
  <c r="AG7" i="13"/>
  <c r="AE7" i="13"/>
  <c r="O8" i="12"/>
  <c r="W8" i="12"/>
  <c r="AE8" i="12"/>
  <c r="H8" i="12"/>
  <c r="AB8" i="12"/>
  <c r="P8" i="12"/>
  <c r="X8" i="12"/>
  <c r="AF8" i="12"/>
  <c r="I8" i="12"/>
  <c r="Q8" i="12"/>
  <c r="Y8" i="12"/>
  <c r="AG8" i="12"/>
  <c r="J8" i="12"/>
  <c r="T8" i="12"/>
  <c r="R8" i="12"/>
  <c r="Z8" i="12"/>
  <c r="C8" i="12"/>
  <c r="K8" i="12"/>
  <c r="S8" i="12"/>
  <c r="AA8" i="12"/>
  <c r="D8" i="12"/>
  <c r="M8" i="12"/>
  <c r="U8" i="12"/>
  <c r="AC8" i="12"/>
  <c r="F8" i="12"/>
  <c r="E8" i="12"/>
  <c r="N8" i="12"/>
  <c r="V8" i="12"/>
  <c r="AD8" i="12"/>
  <c r="G8" i="12"/>
  <c r="L8" i="12"/>
  <c r="J6" i="13"/>
  <c r="R6" i="13"/>
  <c r="Z6" i="13"/>
  <c r="K6" i="13"/>
  <c r="S6" i="13"/>
  <c r="AA6" i="13"/>
  <c r="D6" i="13"/>
  <c r="L6" i="13"/>
  <c r="T6" i="13"/>
  <c r="AB6" i="13"/>
  <c r="E6" i="13"/>
  <c r="M6" i="13"/>
  <c r="U6" i="13"/>
  <c r="AC6" i="13"/>
  <c r="C6" i="13"/>
  <c r="F6" i="13"/>
  <c r="N6" i="13"/>
  <c r="V6" i="13"/>
  <c r="AD6" i="13"/>
  <c r="O6" i="13"/>
  <c r="H6" i="13"/>
  <c r="P6" i="13"/>
  <c r="X6" i="13"/>
  <c r="AF6" i="13"/>
  <c r="G6" i="13"/>
  <c r="W6" i="13"/>
  <c r="I6" i="13"/>
  <c r="Q6" i="13"/>
  <c r="Y6" i="13"/>
  <c r="AG6" i="13"/>
  <c r="AE6" i="13"/>
  <c r="P7" i="12"/>
  <c r="X7" i="12"/>
  <c r="AF7" i="12"/>
  <c r="G7" i="12"/>
  <c r="D7" i="12"/>
  <c r="Q7" i="12"/>
  <c r="Y7" i="12"/>
  <c r="AG7" i="12"/>
  <c r="H7" i="12"/>
  <c r="U7" i="12"/>
  <c r="R7" i="12"/>
  <c r="Z7" i="12"/>
  <c r="I7" i="12"/>
  <c r="C7" i="12"/>
  <c r="K7" i="12"/>
  <c r="S7" i="12"/>
  <c r="AA7" i="12"/>
  <c r="J7" i="12"/>
  <c r="L7" i="12"/>
  <c r="T7" i="12"/>
  <c r="AB7" i="12"/>
  <c r="AC7" i="12"/>
  <c r="N7" i="12"/>
  <c r="V7" i="12"/>
  <c r="AD7" i="12"/>
  <c r="E7" i="12"/>
  <c r="M7" i="12"/>
  <c r="O7" i="12"/>
  <c r="W7" i="12"/>
  <c r="AE7" i="12"/>
  <c r="F7" i="12"/>
  <c r="AA22" i="19"/>
  <c r="S22" i="19"/>
  <c r="K22" i="19"/>
  <c r="Z22" i="19"/>
  <c r="R22" i="19"/>
  <c r="J22" i="19"/>
  <c r="AG22" i="19"/>
  <c r="Y22" i="19"/>
  <c r="Q22" i="19"/>
  <c r="I22" i="19"/>
  <c r="AF22" i="19"/>
  <c r="X22" i="19"/>
  <c r="P22" i="19"/>
  <c r="H22" i="19"/>
  <c r="C22" i="19"/>
  <c r="AE22" i="19"/>
  <c r="W22" i="19"/>
  <c r="O22" i="19"/>
  <c r="G22" i="19"/>
  <c r="L22" i="19"/>
  <c r="AD22" i="19"/>
  <c r="V22" i="19"/>
  <c r="N22" i="19"/>
  <c r="F22" i="19"/>
  <c r="D22" i="19"/>
  <c r="AC22" i="19"/>
  <c r="U22" i="19"/>
  <c r="M22" i="19"/>
  <c r="E22" i="19"/>
  <c r="AB22" i="19"/>
  <c r="T22" i="19"/>
  <c r="AA21" i="19"/>
  <c r="S21" i="19"/>
  <c r="K21" i="19"/>
  <c r="Z21" i="19"/>
  <c r="R21" i="19"/>
  <c r="J21" i="19"/>
  <c r="AG21" i="19"/>
  <c r="Y21" i="19"/>
  <c r="Q21" i="19"/>
  <c r="I21" i="19"/>
  <c r="C21" i="19"/>
  <c r="AF21" i="19"/>
  <c r="X21" i="19"/>
  <c r="P21" i="19"/>
  <c r="H21" i="19"/>
  <c r="AE21" i="19"/>
  <c r="W21" i="19"/>
  <c r="O21" i="19"/>
  <c r="G21" i="19"/>
  <c r="AD21" i="19"/>
  <c r="V21" i="19"/>
  <c r="N21" i="19"/>
  <c r="F21" i="19"/>
  <c r="AC21" i="19"/>
  <c r="U21" i="19"/>
  <c r="M21" i="19"/>
  <c r="E21" i="19"/>
  <c r="AB21" i="19"/>
  <c r="T21" i="19"/>
  <c r="L21" i="19"/>
  <c r="D21" i="19"/>
  <c r="D45" i="9"/>
  <c r="B21" i="13" s="1"/>
  <c r="D46" i="9"/>
  <c r="B22" i="13" s="1"/>
  <c r="D21" i="13" l="1"/>
  <c r="L21" i="13"/>
  <c r="T21" i="13"/>
  <c r="AB21" i="13"/>
  <c r="C21" i="13"/>
  <c r="M21" i="13"/>
  <c r="F21" i="13"/>
  <c r="N21" i="13"/>
  <c r="V21" i="13"/>
  <c r="AD21" i="13"/>
  <c r="G21" i="13"/>
  <c r="O21" i="13"/>
  <c r="W21" i="13"/>
  <c r="AE21" i="13"/>
  <c r="H21" i="13"/>
  <c r="P21" i="13"/>
  <c r="X21" i="13"/>
  <c r="AF21" i="13"/>
  <c r="I21" i="13"/>
  <c r="Q21" i="13"/>
  <c r="AG21" i="13"/>
  <c r="AC21" i="13"/>
  <c r="Y21" i="13"/>
  <c r="E21" i="13"/>
  <c r="J21" i="13"/>
  <c r="R21" i="13"/>
  <c r="Z21" i="13"/>
  <c r="K21" i="13"/>
  <c r="S21" i="13"/>
  <c r="AA21" i="13"/>
  <c r="U21" i="13"/>
  <c r="D22" i="13"/>
  <c r="L22" i="13"/>
  <c r="T22" i="13"/>
  <c r="AB22" i="13"/>
  <c r="M22" i="13"/>
  <c r="C22" i="13"/>
  <c r="F22" i="13"/>
  <c r="N22" i="13"/>
  <c r="V22" i="13"/>
  <c r="AD22" i="13"/>
  <c r="G22" i="13"/>
  <c r="O22" i="13"/>
  <c r="W22" i="13"/>
  <c r="AE22" i="13"/>
  <c r="E22" i="13"/>
  <c r="H22" i="13"/>
  <c r="P22" i="13"/>
  <c r="X22" i="13"/>
  <c r="AF22" i="13"/>
  <c r="I22" i="13"/>
  <c r="Y22" i="13"/>
  <c r="Q22" i="13"/>
  <c r="AG22" i="13"/>
  <c r="U22" i="13"/>
  <c r="J22" i="13"/>
  <c r="R22" i="13"/>
  <c r="Z22" i="13"/>
  <c r="K22" i="13"/>
  <c r="S22" i="13"/>
  <c r="AA22" i="13"/>
  <c r="AC22" i="13"/>
  <c r="B37" i="9"/>
  <c r="B13" i="12" s="1"/>
  <c r="C37" i="9"/>
  <c r="B13" i="19" s="1"/>
  <c r="D37" i="9"/>
  <c r="B13" i="13" s="1"/>
  <c r="D36" i="9"/>
  <c r="B12" i="13" s="1"/>
  <c r="C36" i="9"/>
  <c r="B12" i="19" s="1"/>
  <c r="B36" i="9"/>
  <c r="B12" i="12" s="1"/>
  <c r="AA12" i="19" l="1"/>
  <c r="S12" i="19"/>
  <c r="K12" i="19"/>
  <c r="C12" i="19"/>
  <c r="AG12" i="19"/>
  <c r="Y12" i="19"/>
  <c r="Q12" i="19"/>
  <c r="I12" i="19"/>
  <c r="AF12" i="19"/>
  <c r="X12" i="19"/>
  <c r="P12" i="19"/>
  <c r="H12" i="19"/>
  <c r="AE12" i="19"/>
  <c r="W12" i="19"/>
  <c r="O12" i="19"/>
  <c r="G12" i="19"/>
  <c r="AD12" i="19"/>
  <c r="V12" i="19"/>
  <c r="N12" i="19"/>
  <c r="F12" i="19"/>
  <c r="AC12" i="19"/>
  <c r="U12" i="19"/>
  <c r="M12" i="19"/>
  <c r="E12" i="19"/>
  <c r="AB12" i="19"/>
  <c r="T12" i="19"/>
  <c r="L12" i="19"/>
  <c r="D12" i="19"/>
  <c r="Z12" i="19"/>
  <c r="R12" i="19"/>
  <c r="J12" i="19"/>
  <c r="Y12" i="12"/>
  <c r="V12" i="12"/>
  <c r="Z12" i="12"/>
  <c r="N12" i="12"/>
  <c r="R12" i="12"/>
  <c r="AC12" i="12"/>
  <c r="AA12" i="12"/>
  <c r="J12" i="12"/>
  <c r="AB12" i="12"/>
  <c r="AG12" i="12"/>
  <c r="F12" i="12"/>
  <c r="U12" i="12"/>
  <c r="T12" i="12"/>
  <c r="AF12" i="12"/>
  <c r="Q12" i="12"/>
  <c r="M12" i="12"/>
  <c r="L12" i="12"/>
  <c r="K12" i="12"/>
  <c r="H12" i="12"/>
  <c r="O12" i="12"/>
  <c r="I12" i="12"/>
  <c r="X12" i="12"/>
  <c r="C12" i="12"/>
  <c r="G12" i="12"/>
  <c r="AD12" i="12"/>
  <c r="AE12" i="12"/>
  <c r="E12" i="12"/>
  <c r="S12" i="12"/>
  <c r="W12" i="12"/>
  <c r="D12" i="12"/>
  <c r="P12" i="12"/>
  <c r="AE13" i="13"/>
  <c r="Z13" i="13"/>
  <c r="M13" i="13"/>
  <c r="C13" i="13"/>
  <c r="AD13" i="13"/>
  <c r="D13" i="13"/>
  <c r="U13" i="13"/>
  <c r="AA13" i="13"/>
  <c r="K13" i="13"/>
  <c r="P13" i="13"/>
  <c r="AC13" i="13"/>
  <c r="Y13" i="13"/>
  <c r="S13" i="13"/>
  <c r="X13" i="13"/>
  <c r="H13" i="13"/>
  <c r="O13" i="13"/>
  <c r="J13" i="13"/>
  <c r="T13" i="13"/>
  <c r="N13" i="13"/>
  <c r="AF13" i="13"/>
  <c r="W13" i="13"/>
  <c r="R13" i="13"/>
  <c r="I13" i="13"/>
  <c r="AB13" i="13"/>
  <c r="E13" i="13"/>
  <c r="V13" i="13"/>
  <c r="G13" i="13"/>
  <c r="L13" i="13"/>
  <c r="F13" i="13"/>
  <c r="AG13" i="13"/>
  <c r="Q13" i="13"/>
  <c r="L13" i="12"/>
  <c r="AA13" i="12"/>
  <c r="X13" i="12"/>
  <c r="AE13" i="12"/>
  <c r="E13" i="12"/>
  <c r="Z13" i="12"/>
  <c r="D13" i="12"/>
  <c r="S13" i="12"/>
  <c r="Q13" i="12"/>
  <c r="P13" i="12"/>
  <c r="W13" i="12"/>
  <c r="K13" i="12"/>
  <c r="H13" i="12"/>
  <c r="AG13" i="12"/>
  <c r="O13" i="12"/>
  <c r="V13" i="12"/>
  <c r="R13" i="12"/>
  <c r="G13" i="12"/>
  <c r="AD13" i="12"/>
  <c r="AB13" i="12"/>
  <c r="C13" i="12"/>
  <c r="F13" i="12"/>
  <c r="U13" i="12"/>
  <c r="T13" i="12"/>
  <c r="AF13" i="12"/>
  <c r="J13" i="12"/>
  <c r="I13" i="12"/>
  <c r="M13" i="12"/>
  <c r="Y13" i="12"/>
  <c r="AC13" i="12"/>
  <c r="N13" i="12"/>
  <c r="AA13" i="19"/>
  <c r="S13" i="19"/>
  <c r="K13" i="19"/>
  <c r="R13" i="19"/>
  <c r="AG13" i="19"/>
  <c r="Y13" i="19"/>
  <c r="Q13" i="19"/>
  <c r="I13" i="19"/>
  <c r="AF13" i="19"/>
  <c r="X13" i="19"/>
  <c r="P13" i="19"/>
  <c r="H13" i="19"/>
  <c r="AE13" i="19"/>
  <c r="W13" i="19"/>
  <c r="O13" i="19"/>
  <c r="G13" i="19"/>
  <c r="AD13" i="19"/>
  <c r="V13" i="19"/>
  <c r="N13" i="19"/>
  <c r="F13" i="19"/>
  <c r="AC13" i="19"/>
  <c r="U13" i="19"/>
  <c r="M13" i="19"/>
  <c r="E13" i="19"/>
  <c r="AB13" i="19"/>
  <c r="T13" i="19"/>
  <c r="L13" i="19"/>
  <c r="D13" i="19"/>
  <c r="Z13" i="19"/>
  <c r="J13" i="19"/>
  <c r="C13" i="19"/>
  <c r="C12" i="13"/>
  <c r="AA12" i="13"/>
  <c r="X12" i="13"/>
  <c r="D12" i="13"/>
  <c r="Y12" i="13"/>
  <c r="AE12" i="13"/>
  <c r="G12" i="13"/>
  <c r="L12" i="13"/>
  <c r="F12" i="13"/>
  <c r="M12" i="13"/>
  <c r="O12" i="13"/>
  <c r="J12" i="13"/>
  <c r="T12" i="13"/>
  <c r="N12" i="13"/>
  <c r="W12" i="13"/>
  <c r="R12" i="13"/>
  <c r="AB12" i="13"/>
  <c r="E12" i="13"/>
  <c r="V12" i="13"/>
  <c r="K12" i="13"/>
  <c r="I12" i="13"/>
  <c r="AC12" i="13"/>
  <c r="AF12" i="13"/>
  <c r="S12" i="13"/>
  <c r="Q12" i="13"/>
  <c r="Z12" i="13"/>
  <c r="P12" i="13"/>
  <c r="AD12" i="13"/>
  <c r="AG12" i="13"/>
  <c r="H12" i="13"/>
  <c r="U12" i="13"/>
  <c r="E22" i="9"/>
  <c r="E46" i="9" s="1"/>
  <c r="B46" i="9"/>
  <c r="B22" i="12" s="1"/>
  <c r="E13" i="9"/>
  <c r="E37" i="9" s="1"/>
  <c r="R22" i="12" l="1"/>
  <c r="Z22" i="12"/>
  <c r="C22" i="12"/>
  <c r="AA22" i="12"/>
  <c r="L22" i="12"/>
  <c r="T22" i="12"/>
  <c r="AB22" i="12"/>
  <c r="J22" i="12"/>
  <c r="M22" i="12"/>
  <c r="U22" i="12"/>
  <c r="AC22" i="12"/>
  <c r="S22" i="12"/>
  <c r="N22" i="12"/>
  <c r="V22" i="12"/>
  <c r="AD22" i="12"/>
  <c r="D22" i="12"/>
  <c r="O22" i="12"/>
  <c r="AE22" i="12"/>
  <c r="E22" i="12"/>
  <c r="H22" i="12"/>
  <c r="K22" i="12"/>
  <c r="I22" i="12"/>
  <c r="W22" i="12"/>
  <c r="P22" i="12"/>
  <c r="X22" i="12"/>
  <c r="AF22" i="12"/>
  <c r="F22" i="12"/>
  <c r="Q22" i="12"/>
  <c r="Y22" i="12"/>
  <c r="AG22" i="12"/>
  <c r="G22" i="12"/>
  <c r="E21" i="9"/>
  <c r="E45" i="9" s="1"/>
  <c r="B45" i="9"/>
  <c r="B21" i="12" s="1"/>
  <c r="D41" i="9"/>
  <c r="B17" i="13" s="1"/>
  <c r="C41" i="9"/>
  <c r="B17" i="19" s="1"/>
  <c r="B14" i="8"/>
  <c r="B41" i="9" s="1"/>
  <c r="B17" i="12" s="1"/>
  <c r="D13" i="8"/>
  <c r="C13" i="8"/>
  <c r="B13" i="8"/>
  <c r="AA17" i="19" l="1"/>
  <c r="S17" i="19"/>
  <c r="K17" i="19"/>
  <c r="Z17" i="19"/>
  <c r="R17" i="19"/>
  <c r="J17" i="19"/>
  <c r="AG17" i="19"/>
  <c r="Y17" i="19"/>
  <c r="Q17" i="19"/>
  <c r="I17" i="19"/>
  <c r="AF17" i="19"/>
  <c r="X17" i="19"/>
  <c r="P17" i="19"/>
  <c r="H17" i="19"/>
  <c r="AE17" i="19"/>
  <c r="W17" i="19"/>
  <c r="O17" i="19"/>
  <c r="G17" i="19"/>
  <c r="AD17" i="19"/>
  <c r="V17" i="19"/>
  <c r="N17" i="19"/>
  <c r="F17" i="19"/>
  <c r="AC17" i="19"/>
  <c r="U17" i="19"/>
  <c r="M17" i="19"/>
  <c r="E17" i="19"/>
  <c r="C17" i="19"/>
  <c r="AB17" i="19"/>
  <c r="T17" i="19"/>
  <c r="L17" i="19"/>
  <c r="D17" i="19"/>
  <c r="AE17" i="13"/>
  <c r="J17" i="13"/>
  <c r="S17" i="13"/>
  <c r="C17" i="13"/>
  <c r="AB17" i="13"/>
  <c r="F17" i="13"/>
  <c r="H17" i="13"/>
  <c r="V17" i="13"/>
  <c r="X17" i="13"/>
  <c r="W17" i="13"/>
  <c r="R17" i="13"/>
  <c r="AA17" i="13"/>
  <c r="K17" i="13"/>
  <c r="Z17" i="13"/>
  <c r="N17" i="13"/>
  <c r="D17" i="13"/>
  <c r="AG17" i="13"/>
  <c r="AD17" i="13"/>
  <c r="M17" i="13"/>
  <c r="L17" i="13"/>
  <c r="P17" i="13"/>
  <c r="E17" i="13"/>
  <c r="I17" i="13"/>
  <c r="AC17" i="13"/>
  <c r="AF17" i="13"/>
  <c r="G17" i="13"/>
  <c r="Y17" i="13"/>
  <c r="O17" i="13"/>
  <c r="Q17" i="13"/>
  <c r="U17" i="13"/>
  <c r="T17" i="13"/>
  <c r="L17" i="12"/>
  <c r="AG17" i="12"/>
  <c r="AD17" i="12"/>
  <c r="C17" i="12"/>
  <c r="E17" i="12"/>
  <c r="U17" i="12"/>
  <c r="Y17" i="12"/>
  <c r="AE17" i="12"/>
  <c r="V17" i="12"/>
  <c r="T17" i="12"/>
  <c r="H17" i="12"/>
  <c r="AB17" i="12"/>
  <c r="Z17" i="12"/>
  <c r="Q17" i="12"/>
  <c r="W17" i="12"/>
  <c r="N17" i="12"/>
  <c r="S17" i="12"/>
  <c r="P17" i="12"/>
  <c r="M17" i="12"/>
  <c r="D17" i="12"/>
  <c r="R17" i="12"/>
  <c r="I17" i="12"/>
  <c r="O17" i="12"/>
  <c r="F17" i="12"/>
  <c r="J17" i="12"/>
  <c r="AF17" i="12"/>
  <c r="G17" i="12"/>
  <c r="AA17" i="12"/>
  <c r="X17" i="12"/>
  <c r="AC17" i="12"/>
  <c r="K17" i="12"/>
  <c r="AD21" i="12"/>
  <c r="J21" i="12"/>
  <c r="AF21" i="12"/>
  <c r="G21" i="12"/>
  <c r="O21" i="12"/>
  <c r="AA21" i="12"/>
  <c r="V21" i="12"/>
  <c r="X21" i="12"/>
  <c r="AC21" i="12"/>
  <c r="W21" i="12"/>
  <c r="I21" i="12"/>
  <c r="T21" i="12"/>
  <c r="S21" i="12"/>
  <c r="P21" i="12"/>
  <c r="F21" i="12"/>
  <c r="U21" i="12"/>
  <c r="L21" i="12"/>
  <c r="K21" i="12"/>
  <c r="AB21" i="12"/>
  <c r="C21" i="12"/>
  <c r="H21" i="12"/>
  <c r="M21" i="12"/>
  <c r="Z21" i="12"/>
  <c r="D21" i="12"/>
  <c r="AG21" i="12"/>
  <c r="E21" i="12"/>
  <c r="R21" i="12"/>
  <c r="N21" i="12"/>
  <c r="Y21" i="12"/>
  <c r="AE21" i="12"/>
  <c r="Q21" i="12"/>
  <c r="E17" i="9"/>
  <c r="E41" i="9" s="1"/>
  <c r="D44" i="9"/>
  <c r="B20" i="13" s="1"/>
  <c r="C44" i="9"/>
  <c r="B20" i="19" s="1"/>
  <c r="B44" i="9"/>
  <c r="B20" i="12" s="1"/>
  <c r="D43" i="9"/>
  <c r="B19" i="13" s="1"/>
  <c r="C43" i="9"/>
  <c r="B19" i="19" s="1"/>
  <c r="B43" i="9"/>
  <c r="B19" i="12" s="1"/>
  <c r="D42" i="9"/>
  <c r="B18" i="13" s="1"/>
  <c r="C42" i="9"/>
  <c r="B18" i="19" s="1"/>
  <c r="B42" i="9"/>
  <c r="B18" i="12" s="1"/>
  <c r="D38" i="9"/>
  <c r="B14" i="13" s="1"/>
  <c r="C38" i="9"/>
  <c r="B14" i="19" s="1"/>
  <c r="B38" i="9"/>
  <c r="B14" i="12" s="1"/>
  <c r="D35" i="9"/>
  <c r="B11" i="13" s="1"/>
  <c r="C35" i="9"/>
  <c r="B11" i="19" s="1"/>
  <c r="B35" i="9"/>
  <c r="B11" i="12" s="1"/>
  <c r="D34" i="9"/>
  <c r="B10" i="13" s="1"/>
  <c r="C34" i="9"/>
  <c r="B10" i="19" s="1"/>
  <c r="B34" i="9"/>
  <c r="B10" i="12" s="1"/>
  <c r="D33" i="9"/>
  <c r="B9" i="13" s="1"/>
  <c r="D29" i="9"/>
  <c r="B5" i="13" s="1"/>
  <c r="C29" i="9"/>
  <c r="B5" i="19" s="1"/>
  <c r="B29" i="9"/>
  <c r="B5" i="12" s="1"/>
  <c r="D28" i="9"/>
  <c r="B4" i="13" s="1"/>
  <c r="C28" i="9"/>
  <c r="B4" i="19" s="1"/>
  <c r="D27" i="9"/>
  <c r="B3" i="13" s="1"/>
  <c r="B3" i="19"/>
  <c r="B27" i="9"/>
  <c r="B3" i="12" s="1"/>
  <c r="A47" i="6"/>
  <c r="A36" i="6"/>
  <c r="A33" i="6"/>
  <c r="B33" i="9" s="1"/>
  <c r="B9" i="12" s="1"/>
  <c r="V10" i="12" l="1"/>
  <c r="X10" i="12"/>
  <c r="J10" i="12"/>
  <c r="N10" i="12"/>
  <c r="I10" i="12"/>
  <c r="AC10" i="12"/>
  <c r="AE10" i="12"/>
  <c r="AB10" i="12"/>
  <c r="F10" i="12"/>
  <c r="U10" i="12"/>
  <c r="AA10" i="12"/>
  <c r="R10" i="12"/>
  <c r="T10" i="12"/>
  <c r="Q10" i="12"/>
  <c r="AF10" i="12"/>
  <c r="M10" i="12"/>
  <c r="K10" i="12"/>
  <c r="C10" i="12"/>
  <c r="H10" i="12"/>
  <c r="O10" i="12"/>
  <c r="L10" i="12"/>
  <c r="Y10" i="12"/>
  <c r="E10" i="12"/>
  <c r="G10" i="12"/>
  <c r="AG10" i="12"/>
  <c r="AD10" i="12"/>
  <c r="P10" i="12"/>
  <c r="S10" i="12"/>
  <c r="D10" i="12"/>
  <c r="Z10" i="12"/>
  <c r="W10" i="12"/>
  <c r="AA14" i="13"/>
  <c r="D14" i="13"/>
  <c r="I14" i="13"/>
  <c r="Z14" i="13"/>
  <c r="G14" i="13"/>
  <c r="P14" i="13"/>
  <c r="L14" i="13"/>
  <c r="F14" i="13"/>
  <c r="V14" i="13"/>
  <c r="AE14" i="13"/>
  <c r="O14" i="13"/>
  <c r="J14" i="13"/>
  <c r="T14" i="13"/>
  <c r="C14" i="13"/>
  <c r="N14" i="13"/>
  <c r="W14" i="13"/>
  <c r="R14" i="13"/>
  <c r="AB14" i="13"/>
  <c r="H14" i="13"/>
  <c r="E14" i="13"/>
  <c r="Y14" i="13"/>
  <c r="X14" i="13"/>
  <c r="K14" i="13"/>
  <c r="AC14" i="13"/>
  <c r="AG14" i="13"/>
  <c r="Q14" i="13"/>
  <c r="S14" i="13"/>
  <c r="AF14" i="13"/>
  <c r="U14" i="13"/>
  <c r="AD14" i="13"/>
  <c r="M14" i="13"/>
  <c r="AA10" i="19"/>
  <c r="S10" i="19"/>
  <c r="K10" i="19"/>
  <c r="AG10" i="19"/>
  <c r="Y10" i="19"/>
  <c r="Q10" i="19"/>
  <c r="I10" i="19"/>
  <c r="AF10" i="19"/>
  <c r="X10" i="19"/>
  <c r="P10" i="19"/>
  <c r="H10" i="19"/>
  <c r="AE10" i="19"/>
  <c r="W10" i="19"/>
  <c r="O10" i="19"/>
  <c r="G10" i="19"/>
  <c r="AD10" i="19"/>
  <c r="V10" i="19"/>
  <c r="N10" i="19"/>
  <c r="F10" i="19"/>
  <c r="AC10" i="19"/>
  <c r="AB10" i="19"/>
  <c r="T10" i="19"/>
  <c r="L10" i="19"/>
  <c r="D10" i="19"/>
  <c r="M10" i="19"/>
  <c r="J10" i="19"/>
  <c r="C10" i="19"/>
  <c r="Z10" i="19"/>
  <c r="E10" i="19"/>
  <c r="U10" i="19"/>
  <c r="R10" i="19"/>
  <c r="AA3" i="13"/>
  <c r="D3" i="13"/>
  <c r="I3" i="13"/>
  <c r="G3" i="13"/>
  <c r="X3" i="13"/>
  <c r="L3" i="13"/>
  <c r="F3" i="13"/>
  <c r="O3" i="13"/>
  <c r="J3" i="13"/>
  <c r="P3" i="13"/>
  <c r="T3" i="13"/>
  <c r="N3" i="13"/>
  <c r="W3" i="13"/>
  <c r="R3" i="13"/>
  <c r="AG3" i="13"/>
  <c r="AB3" i="13"/>
  <c r="E3" i="13"/>
  <c r="H3" i="13"/>
  <c r="V3" i="13"/>
  <c r="K3" i="13"/>
  <c r="AF3" i="13"/>
  <c r="AC3" i="13"/>
  <c r="AE3" i="13"/>
  <c r="Z3" i="13"/>
  <c r="M3" i="13"/>
  <c r="S3" i="13"/>
  <c r="C3" i="13"/>
  <c r="AD3" i="13"/>
  <c r="Q3" i="13"/>
  <c r="Y3" i="13"/>
  <c r="U3" i="13"/>
  <c r="AA4" i="19"/>
  <c r="S4" i="19"/>
  <c r="K4" i="19"/>
  <c r="AG4" i="19"/>
  <c r="AH4" i="19" s="1"/>
  <c r="AI4" i="19" s="1"/>
  <c r="AJ4" i="19" s="1"/>
  <c r="AK4" i="19" s="1"/>
  <c r="AL4" i="19" s="1"/>
  <c r="AM4" i="19" s="1"/>
  <c r="AN4" i="19" s="1"/>
  <c r="AO4" i="19" s="1"/>
  <c r="AP4" i="19" s="1"/>
  <c r="AQ4" i="19" s="1"/>
  <c r="AR4" i="19" s="1"/>
  <c r="AS4" i="19" s="1"/>
  <c r="AT4" i="19" s="1"/>
  <c r="AU4" i="19" s="1"/>
  <c r="AV4" i="19" s="1"/>
  <c r="AW4" i="19" s="1"/>
  <c r="AX4" i="19" s="1"/>
  <c r="AY4" i="19" s="1"/>
  <c r="AZ4" i="19" s="1"/>
  <c r="BA4" i="19" s="1"/>
  <c r="Y4" i="19"/>
  <c r="Q4" i="19"/>
  <c r="I4" i="19"/>
  <c r="AF4" i="19"/>
  <c r="X4" i="19"/>
  <c r="P4" i="19"/>
  <c r="H4" i="19"/>
  <c r="G4" i="19"/>
  <c r="AE4" i="19"/>
  <c r="W4" i="19"/>
  <c r="O4" i="19"/>
  <c r="AD4" i="19"/>
  <c r="V4" i="19"/>
  <c r="N4" i="19"/>
  <c r="F4" i="19"/>
  <c r="AB4" i="19"/>
  <c r="T4" i="19"/>
  <c r="L4" i="19"/>
  <c r="D4" i="19"/>
  <c r="M4" i="19"/>
  <c r="J4" i="19"/>
  <c r="E4" i="19"/>
  <c r="AC4" i="19"/>
  <c r="U4" i="19"/>
  <c r="R4" i="19"/>
  <c r="C4" i="19"/>
  <c r="Z4" i="19"/>
  <c r="AA10" i="13"/>
  <c r="D10" i="13"/>
  <c r="X10" i="13"/>
  <c r="M10" i="13"/>
  <c r="G10" i="13"/>
  <c r="Q10" i="13"/>
  <c r="L10" i="13"/>
  <c r="F10" i="13"/>
  <c r="AF10" i="13"/>
  <c r="O10" i="13"/>
  <c r="H10" i="13"/>
  <c r="J10" i="13"/>
  <c r="C10" i="13"/>
  <c r="T10" i="13"/>
  <c r="I10" i="13"/>
  <c r="N10" i="13"/>
  <c r="AE10" i="13"/>
  <c r="Z10" i="13"/>
  <c r="W10" i="13"/>
  <c r="R10" i="13"/>
  <c r="AB10" i="13"/>
  <c r="E10" i="13"/>
  <c r="V10" i="13"/>
  <c r="K10" i="13"/>
  <c r="Y10" i="13"/>
  <c r="AC10" i="13"/>
  <c r="S10" i="13"/>
  <c r="P10" i="13"/>
  <c r="U10" i="13"/>
  <c r="AG10" i="13"/>
  <c r="AD10" i="13"/>
  <c r="AE4" i="13"/>
  <c r="Z4" i="13"/>
  <c r="I4" i="13"/>
  <c r="M4" i="13"/>
  <c r="AD4" i="13"/>
  <c r="C4" i="13"/>
  <c r="U4" i="13"/>
  <c r="Q4" i="13"/>
  <c r="H4" i="13"/>
  <c r="Y4" i="13"/>
  <c r="K4" i="13"/>
  <c r="AC4" i="13"/>
  <c r="AF4" i="13"/>
  <c r="P4" i="13"/>
  <c r="S4" i="13"/>
  <c r="D4" i="13"/>
  <c r="O4" i="13"/>
  <c r="J4" i="13"/>
  <c r="T4" i="13"/>
  <c r="N4" i="13"/>
  <c r="AA4" i="13"/>
  <c r="AG4" i="13"/>
  <c r="AH4" i="13" s="1"/>
  <c r="AI4" i="13" s="1"/>
  <c r="AJ4" i="13" s="1"/>
  <c r="AK4" i="13" s="1"/>
  <c r="AL4" i="13" s="1"/>
  <c r="AM4" i="13" s="1"/>
  <c r="AN4" i="13" s="1"/>
  <c r="AO4" i="13" s="1"/>
  <c r="AP4" i="13" s="1"/>
  <c r="AQ4" i="13" s="1"/>
  <c r="AR4" i="13" s="1"/>
  <c r="AS4" i="13" s="1"/>
  <c r="AT4" i="13" s="1"/>
  <c r="AU4" i="13" s="1"/>
  <c r="AV4" i="13" s="1"/>
  <c r="AW4" i="13" s="1"/>
  <c r="AX4" i="13" s="1"/>
  <c r="AY4" i="13" s="1"/>
  <c r="AZ4" i="13" s="1"/>
  <c r="BA4" i="13" s="1"/>
  <c r="W4" i="13"/>
  <c r="R4" i="13"/>
  <c r="AB4" i="13"/>
  <c r="E4" i="13"/>
  <c r="V4" i="13"/>
  <c r="X4" i="13"/>
  <c r="F4" i="13"/>
  <c r="G4" i="13"/>
  <c r="L4" i="13"/>
  <c r="L11" i="12"/>
  <c r="AA11" i="12"/>
  <c r="X11" i="12"/>
  <c r="AE11" i="12"/>
  <c r="Z11" i="12"/>
  <c r="Y11" i="12"/>
  <c r="E11" i="12"/>
  <c r="V11" i="12"/>
  <c r="I11" i="12"/>
  <c r="D11" i="12"/>
  <c r="S11" i="12"/>
  <c r="P11" i="12"/>
  <c r="C11" i="12"/>
  <c r="W11" i="12"/>
  <c r="K11" i="12"/>
  <c r="AG11" i="12"/>
  <c r="H11" i="12"/>
  <c r="O11" i="12"/>
  <c r="J11" i="12"/>
  <c r="Q11" i="12"/>
  <c r="G11" i="12"/>
  <c r="AD11" i="12"/>
  <c r="AB11" i="12"/>
  <c r="R11" i="12"/>
  <c r="F11" i="12"/>
  <c r="U11" i="12"/>
  <c r="T11" i="12"/>
  <c r="AF11" i="12"/>
  <c r="M11" i="12"/>
  <c r="AC11" i="12"/>
  <c r="N11" i="12"/>
  <c r="AA14" i="19"/>
  <c r="S14" i="19"/>
  <c r="K14" i="19"/>
  <c r="R14" i="19"/>
  <c r="J14" i="19"/>
  <c r="AG14" i="19"/>
  <c r="Y14" i="19"/>
  <c r="Q14" i="19"/>
  <c r="I14" i="19"/>
  <c r="C14" i="19"/>
  <c r="AF14" i="19"/>
  <c r="X14" i="19"/>
  <c r="P14" i="19"/>
  <c r="H14" i="19"/>
  <c r="AE14" i="19"/>
  <c r="W14" i="19"/>
  <c r="O14" i="19"/>
  <c r="G14" i="19"/>
  <c r="AD14" i="19"/>
  <c r="V14" i="19"/>
  <c r="N14" i="19"/>
  <c r="F14" i="19"/>
  <c r="AC14" i="19"/>
  <c r="U14" i="19"/>
  <c r="M14" i="19"/>
  <c r="E14" i="19"/>
  <c r="AB14" i="19"/>
  <c r="T14" i="19"/>
  <c r="L14" i="19"/>
  <c r="D14" i="19"/>
  <c r="Z14" i="19"/>
  <c r="L5" i="12"/>
  <c r="AA5" i="12"/>
  <c r="X5" i="12"/>
  <c r="AE5" i="12"/>
  <c r="E5" i="12"/>
  <c r="D5" i="12"/>
  <c r="S5" i="12"/>
  <c r="P5" i="12"/>
  <c r="W5" i="12"/>
  <c r="V5" i="12"/>
  <c r="Q5" i="12"/>
  <c r="K5" i="12"/>
  <c r="H5" i="12"/>
  <c r="O5" i="12"/>
  <c r="J5" i="12"/>
  <c r="C5" i="12"/>
  <c r="I5" i="12"/>
  <c r="G5" i="12"/>
  <c r="AD5" i="12"/>
  <c r="AB5" i="12"/>
  <c r="Z5" i="12"/>
  <c r="F5" i="12"/>
  <c r="U5" i="12"/>
  <c r="Y5" i="12"/>
  <c r="T5" i="12"/>
  <c r="AF5" i="12"/>
  <c r="R5" i="12"/>
  <c r="M5" i="12"/>
  <c r="AG5" i="12"/>
  <c r="AC5" i="12"/>
  <c r="N5" i="12"/>
  <c r="AA11" i="19"/>
  <c r="S11" i="19"/>
  <c r="K11" i="19"/>
  <c r="AG11" i="19"/>
  <c r="Y11" i="19"/>
  <c r="Q11" i="19"/>
  <c r="I11" i="19"/>
  <c r="AF11" i="19"/>
  <c r="X11" i="19"/>
  <c r="P11" i="19"/>
  <c r="H11" i="19"/>
  <c r="AE11" i="19"/>
  <c r="W11" i="19"/>
  <c r="O11" i="19"/>
  <c r="G11" i="19"/>
  <c r="AD11" i="19"/>
  <c r="V11" i="19"/>
  <c r="N11" i="19"/>
  <c r="F11" i="19"/>
  <c r="AC11" i="19"/>
  <c r="U11" i="19"/>
  <c r="M11" i="19"/>
  <c r="E11" i="19"/>
  <c r="AB11" i="19"/>
  <c r="T11" i="19"/>
  <c r="L11" i="19"/>
  <c r="D11" i="19"/>
  <c r="C11" i="19"/>
  <c r="Z11" i="19"/>
  <c r="R11" i="19"/>
  <c r="J11" i="19"/>
  <c r="L19" i="12"/>
  <c r="I19" i="12"/>
  <c r="AA19" i="12"/>
  <c r="X19" i="12"/>
  <c r="AE19" i="12"/>
  <c r="E19" i="12"/>
  <c r="D19" i="12"/>
  <c r="S19" i="12"/>
  <c r="P19" i="12"/>
  <c r="W19" i="12"/>
  <c r="K19" i="12"/>
  <c r="H19" i="12"/>
  <c r="O19" i="12"/>
  <c r="AG19" i="12"/>
  <c r="J19" i="12"/>
  <c r="G19" i="12"/>
  <c r="AD19" i="12"/>
  <c r="Q19" i="12"/>
  <c r="AB19" i="12"/>
  <c r="F19" i="12"/>
  <c r="U19" i="12"/>
  <c r="V19" i="12"/>
  <c r="T19" i="12"/>
  <c r="AF19" i="12"/>
  <c r="C19" i="12"/>
  <c r="Z19" i="12"/>
  <c r="M19" i="12"/>
  <c r="R19" i="12"/>
  <c r="AC19" i="12"/>
  <c r="N19" i="12"/>
  <c r="Y19" i="12"/>
  <c r="AA3" i="19"/>
  <c r="S3" i="19"/>
  <c r="K3" i="19"/>
  <c r="C3" i="19"/>
  <c r="AG3" i="19"/>
  <c r="Y3" i="19"/>
  <c r="Q3" i="19"/>
  <c r="I3" i="19"/>
  <c r="AF3" i="19"/>
  <c r="X3" i="19"/>
  <c r="P3" i="19"/>
  <c r="H3" i="19"/>
  <c r="AE3" i="19"/>
  <c r="W3" i="19"/>
  <c r="O3" i="19"/>
  <c r="G3" i="19"/>
  <c r="AD3" i="19"/>
  <c r="V3" i="19"/>
  <c r="N3" i="19"/>
  <c r="F3" i="19"/>
  <c r="AB3" i="19"/>
  <c r="T3" i="19"/>
  <c r="L3" i="19"/>
  <c r="D3" i="19"/>
  <c r="M3" i="19"/>
  <c r="J3" i="19"/>
  <c r="E3" i="19"/>
  <c r="Z3" i="19"/>
  <c r="AC3" i="19"/>
  <c r="U3" i="19"/>
  <c r="R3" i="19"/>
  <c r="J4" i="12"/>
  <c r="AG4" i="12"/>
  <c r="AH4" i="12" s="1"/>
  <c r="AI4" i="12" s="1"/>
  <c r="AJ4" i="12" s="1"/>
  <c r="AK4" i="12" s="1"/>
  <c r="AL4" i="12" s="1"/>
  <c r="AM4" i="12" s="1"/>
  <c r="AN4" i="12" s="1"/>
  <c r="AO4" i="12" s="1"/>
  <c r="AP4" i="12" s="1"/>
  <c r="AQ4" i="12" s="1"/>
  <c r="AR4" i="12" s="1"/>
  <c r="AS4" i="12" s="1"/>
  <c r="AT4" i="12" s="1"/>
  <c r="AU4" i="12" s="1"/>
  <c r="AV4" i="12" s="1"/>
  <c r="AW4" i="12" s="1"/>
  <c r="AX4" i="12" s="1"/>
  <c r="AY4" i="12" s="1"/>
  <c r="AZ4" i="12" s="1"/>
  <c r="BA4" i="12" s="1"/>
  <c r="V4" i="12"/>
  <c r="AE4" i="12"/>
  <c r="N4" i="12"/>
  <c r="AC4" i="12"/>
  <c r="Y4" i="12"/>
  <c r="X4" i="12"/>
  <c r="AB4" i="12"/>
  <c r="F4" i="12"/>
  <c r="U4" i="12"/>
  <c r="E4" i="12"/>
  <c r="Q4" i="12"/>
  <c r="T4" i="12"/>
  <c r="AF4" i="12"/>
  <c r="M4" i="12"/>
  <c r="C4" i="12"/>
  <c r="Z4" i="12"/>
  <c r="K4" i="12"/>
  <c r="H4" i="12"/>
  <c r="I4" i="12"/>
  <c r="O4" i="12"/>
  <c r="AA4" i="12"/>
  <c r="G4" i="12"/>
  <c r="AD4" i="12"/>
  <c r="L4" i="12"/>
  <c r="R4" i="12"/>
  <c r="D4" i="12"/>
  <c r="P4" i="12"/>
  <c r="S4" i="12"/>
  <c r="W4" i="12"/>
  <c r="AA5" i="19"/>
  <c r="S5" i="19"/>
  <c r="K5" i="19"/>
  <c r="AG5" i="19"/>
  <c r="Y5" i="19"/>
  <c r="Q5" i="19"/>
  <c r="I5" i="19"/>
  <c r="C5" i="19"/>
  <c r="AF5" i="19"/>
  <c r="X5" i="19"/>
  <c r="P5" i="19"/>
  <c r="H5" i="19"/>
  <c r="AE5" i="19"/>
  <c r="W5" i="19"/>
  <c r="O5" i="19"/>
  <c r="G5" i="19"/>
  <c r="AD5" i="19"/>
  <c r="V5" i="19"/>
  <c r="N5" i="19"/>
  <c r="F5" i="19"/>
  <c r="AB5" i="19"/>
  <c r="T5" i="19"/>
  <c r="L5" i="19"/>
  <c r="D5" i="19"/>
  <c r="M5" i="19"/>
  <c r="J5" i="19"/>
  <c r="E5" i="19"/>
  <c r="Z5" i="19"/>
  <c r="AC5" i="19"/>
  <c r="U5" i="19"/>
  <c r="R5" i="19"/>
  <c r="AE11" i="13"/>
  <c r="Z11" i="13"/>
  <c r="M11" i="13"/>
  <c r="AD11" i="13"/>
  <c r="AA11" i="13"/>
  <c r="C11" i="13"/>
  <c r="AF11" i="13"/>
  <c r="U11" i="13"/>
  <c r="P11" i="13"/>
  <c r="AG11" i="13"/>
  <c r="K11" i="13"/>
  <c r="AC11" i="13"/>
  <c r="I11" i="13"/>
  <c r="X11" i="13"/>
  <c r="S11" i="13"/>
  <c r="Y11" i="13"/>
  <c r="O11" i="13"/>
  <c r="Q11" i="13"/>
  <c r="J11" i="13"/>
  <c r="T11" i="13"/>
  <c r="N11" i="13"/>
  <c r="W11" i="13"/>
  <c r="R11" i="13"/>
  <c r="AB11" i="13"/>
  <c r="E11" i="13"/>
  <c r="V11" i="13"/>
  <c r="D11" i="13"/>
  <c r="G11" i="13"/>
  <c r="L11" i="13"/>
  <c r="F11" i="13"/>
  <c r="H11" i="13"/>
  <c r="AA19" i="19"/>
  <c r="S19" i="19"/>
  <c r="K19" i="19"/>
  <c r="Z19" i="19"/>
  <c r="J19" i="19"/>
  <c r="AG19" i="19"/>
  <c r="Y19" i="19"/>
  <c r="Q19" i="19"/>
  <c r="I19" i="19"/>
  <c r="AF19" i="19"/>
  <c r="X19" i="19"/>
  <c r="P19" i="19"/>
  <c r="H19" i="19"/>
  <c r="AE19" i="19"/>
  <c r="W19" i="19"/>
  <c r="O19" i="19"/>
  <c r="G19" i="19"/>
  <c r="AD19" i="19"/>
  <c r="V19" i="19"/>
  <c r="N19" i="19"/>
  <c r="F19" i="19"/>
  <c r="C19" i="19"/>
  <c r="U19" i="19"/>
  <c r="M19" i="19"/>
  <c r="E19" i="19"/>
  <c r="AC19" i="19"/>
  <c r="AB19" i="19"/>
  <c r="T19" i="19"/>
  <c r="L19" i="19"/>
  <c r="D19" i="19"/>
  <c r="R19" i="19"/>
  <c r="L3" i="12"/>
  <c r="AA3" i="12"/>
  <c r="X3" i="12"/>
  <c r="AE3" i="12"/>
  <c r="E3" i="12"/>
  <c r="D3" i="12"/>
  <c r="S3" i="12"/>
  <c r="P3" i="12"/>
  <c r="W3" i="12"/>
  <c r="Q3" i="12"/>
  <c r="K3" i="12"/>
  <c r="H3" i="12"/>
  <c r="O3" i="12"/>
  <c r="Z3" i="12"/>
  <c r="G3" i="12"/>
  <c r="AD3" i="12"/>
  <c r="Y3" i="12"/>
  <c r="AB3" i="12"/>
  <c r="F3" i="12"/>
  <c r="U3" i="12"/>
  <c r="V3" i="12"/>
  <c r="T3" i="12"/>
  <c r="J3" i="12"/>
  <c r="R3" i="12"/>
  <c r="AF3" i="12"/>
  <c r="M3" i="12"/>
  <c r="C3" i="12"/>
  <c r="I3" i="12"/>
  <c r="AC3" i="12"/>
  <c r="N3" i="12"/>
  <c r="AG3" i="12"/>
  <c r="J5" i="13"/>
  <c r="R5" i="13"/>
  <c r="Z5" i="13"/>
  <c r="G5" i="13"/>
  <c r="K5" i="13"/>
  <c r="S5" i="13"/>
  <c r="AA5" i="13"/>
  <c r="W5" i="13"/>
  <c r="D5" i="13"/>
  <c r="L5" i="13"/>
  <c r="T5" i="13"/>
  <c r="AB5" i="13"/>
  <c r="C5" i="13"/>
  <c r="O5" i="13"/>
  <c r="E5" i="13"/>
  <c r="M5" i="13"/>
  <c r="U5" i="13"/>
  <c r="AC5" i="13"/>
  <c r="F5" i="13"/>
  <c r="N5" i="13"/>
  <c r="V5" i="13"/>
  <c r="AD5" i="13"/>
  <c r="H5" i="13"/>
  <c r="P5" i="13"/>
  <c r="X5" i="13"/>
  <c r="AF5" i="13"/>
  <c r="I5" i="13"/>
  <c r="Q5" i="13"/>
  <c r="Y5" i="13"/>
  <c r="AG5" i="13"/>
  <c r="AE5" i="13"/>
  <c r="AG14" i="12"/>
  <c r="V14" i="12"/>
  <c r="AA14" i="12"/>
  <c r="E14" i="12"/>
  <c r="Q14" i="12"/>
  <c r="N14" i="12"/>
  <c r="AC14" i="12"/>
  <c r="L14" i="12"/>
  <c r="AB14" i="12"/>
  <c r="F14" i="12"/>
  <c r="U14" i="12"/>
  <c r="C14" i="12"/>
  <c r="X14" i="12"/>
  <c r="AE14" i="12"/>
  <c r="T14" i="12"/>
  <c r="R14" i="12"/>
  <c r="AF14" i="12"/>
  <c r="M14" i="12"/>
  <c r="J14" i="12"/>
  <c r="K14" i="12"/>
  <c r="H14" i="12"/>
  <c r="O14" i="12"/>
  <c r="Z14" i="12"/>
  <c r="Y14" i="12"/>
  <c r="I14" i="12"/>
  <c r="G14" i="12"/>
  <c r="AD14" i="12"/>
  <c r="S14" i="12"/>
  <c r="D14" i="12"/>
  <c r="W14" i="12"/>
  <c r="P14" i="12"/>
  <c r="X19" i="13"/>
  <c r="AE19" i="13"/>
  <c r="C19" i="13"/>
  <c r="Z19" i="13"/>
  <c r="M19" i="13"/>
  <c r="P19" i="13"/>
  <c r="AD19" i="13"/>
  <c r="AG19" i="13"/>
  <c r="U19" i="13"/>
  <c r="D19" i="13"/>
  <c r="K19" i="13"/>
  <c r="AC19" i="13"/>
  <c r="Q19" i="13"/>
  <c r="AA19" i="13"/>
  <c r="AF19" i="13"/>
  <c r="S19" i="13"/>
  <c r="O19" i="13"/>
  <c r="J19" i="13"/>
  <c r="T19" i="13"/>
  <c r="N19" i="13"/>
  <c r="I19" i="13"/>
  <c r="W19" i="13"/>
  <c r="R19" i="13"/>
  <c r="H19" i="13"/>
  <c r="AB19" i="13"/>
  <c r="E19" i="13"/>
  <c r="Y19" i="13"/>
  <c r="V19" i="13"/>
  <c r="G19" i="13"/>
  <c r="L19" i="13"/>
  <c r="F19" i="13"/>
  <c r="D20" i="12"/>
  <c r="AG20" i="12"/>
  <c r="E20" i="12"/>
  <c r="V20" i="12"/>
  <c r="AD20" i="12"/>
  <c r="Y20" i="12"/>
  <c r="AE20" i="12"/>
  <c r="C20" i="12"/>
  <c r="U20" i="12"/>
  <c r="K20" i="12"/>
  <c r="Z20" i="12"/>
  <c r="N20" i="12"/>
  <c r="Q20" i="12"/>
  <c r="W20" i="12"/>
  <c r="AB20" i="12"/>
  <c r="R20" i="12"/>
  <c r="I20" i="12"/>
  <c r="O20" i="12"/>
  <c r="F20" i="12"/>
  <c r="L20" i="12"/>
  <c r="J20" i="12"/>
  <c r="AF20" i="12"/>
  <c r="G20" i="12"/>
  <c r="AA20" i="12"/>
  <c r="T20" i="12"/>
  <c r="X20" i="12"/>
  <c r="AC20" i="12"/>
  <c r="S20" i="12"/>
  <c r="P20" i="12"/>
  <c r="H20" i="12"/>
  <c r="M20" i="12"/>
  <c r="J18" i="12"/>
  <c r="AF18" i="12"/>
  <c r="G18" i="12"/>
  <c r="W18" i="12"/>
  <c r="I18" i="12"/>
  <c r="F18" i="12"/>
  <c r="AA18" i="12"/>
  <c r="AB18" i="12"/>
  <c r="X18" i="12"/>
  <c r="AC18" i="12"/>
  <c r="Q18" i="12"/>
  <c r="S18" i="12"/>
  <c r="P18" i="12"/>
  <c r="U18" i="12"/>
  <c r="T18" i="12"/>
  <c r="N18" i="12"/>
  <c r="K18" i="12"/>
  <c r="H18" i="12"/>
  <c r="M18" i="12"/>
  <c r="R18" i="12"/>
  <c r="C18" i="12"/>
  <c r="AG18" i="12"/>
  <c r="AD18" i="12"/>
  <c r="E18" i="12"/>
  <c r="Z18" i="12"/>
  <c r="L18" i="12"/>
  <c r="Y18" i="12"/>
  <c r="AE18" i="12"/>
  <c r="V18" i="12"/>
  <c r="D18" i="12"/>
  <c r="O18" i="12"/>
  <c r="J9" i="12"/>
  <c r="AF9" i="12"/>
  <c r="G9" i="12"/>
  <c r="Z9" i="12"/>
  <c r="Q9" i="12"/>
  <c r="N9" i="12"/>
  <c r="T9" i="12"/>
  <c r="AA9" i="12"/>
  <c r="AB9" i="12"/>
  <c r="X9" i="12"/>
  <c r="AC9" i="12"/>
  <c r="F9" i="12"/>
  <c r="S9" i="12"/>
  <c r="D9" i="12"/>
  <c r="P9" i="12"/>
  <c r="U9" i="12"/>
  <c r="R9" i="12"/>
  <c r="I9" i="12"/>
  <c r="O9" i="12"/>
  <c r="K9" i="12"/>
  <c r="H9" i="12"/>
  <c r="M9" i="12"/>
  <c r="L9" i="12"/>
  <c r="AG9" i="12"/>
  <c r="C9" i="12"/>
  <c r="AD9" i="12"/>
  <c r="E9" i="12"/>
  <c r="Y9" i="12"/>
  <c r="AE9" i="12"/>
  <c r="V9" i="12"/>
  <c r="W9" i="12"/>
  <c r="AA18" i="19"/>
  <c r="S18" i="19"/>
  <c r="K18" i="19"/>
  <c r="Z18" i="19"/>
  <c r="R18" i="19"/>
  <c r="J18" i="19"/>
  <c r="AG18" i="19"/>
  <c r="Y18" i="19"/>
  <c r="Q18" i="19"/>
  <c r="I18" i="19"/>
  <c r="AF18" i="19"/>
  <c r="X18" i="19"/>
  <c r="P18" i="19"/>
  <c r="H18" i="19"/>
  <c r="AE18" i="19"/>
  <c r="W18" i="19"/>
  <c r="O18" i="19"/>
  <c r="G18" i="19"/>
  <c r="AD18" i="19"/>
  <c r="V18" i="19"/>
  <c r="N18" i="19"/>
  <c r="F18" i="19"/>
  <c r="C18" i="19"/>
  <c r="AC18" i="19"/>
  <c r="U18" i="19"/>
  <c r="M18" i="19"/>
  <c r="E18" i="19"/>
  <c r="AB18" i="19"/>
  <c r="T18" i="19"/>
  <c r="L18" i="19"/>
  <c r="D18" i="19"/>
  <c r="E18" i="13"/>
  <c r="N18" i="13"/>
  <c r="Q18" i="13"/>
  <c r="AG18" i="13"/>
  <c r="F18" i="13"/>
  <c r="G18" i="13"/>
  <c r="Y18" i="13"/>
  <c r="C18" i="13"/>
  <c r="D18" i="13"/>
  <c r="M18" i="13"/>
  <c r="V18" i="13"/>
  <c r="P18" i="13"/>
  <c r="Z18" i="13"/>
  <c r="O18" i="13"/>
  <c r="L18" i="13"/>
  <c r="U18" i="13"/>
  <c r="AD18" i="13"/>
  <c r="AA18" i="13"/>
  <c r="AF18" i="13"/>
  <c r="H18" i="13"/>
  <c r="W18" i="13"/>
  <c r="K18" i="13"/>
  <c r="T18" i="13"/>
  <c r="AC18" i="13"/>
  <c r="AE18" i="13"/>
  <c r="J18" i="13"/>
  <c r="S18" i="13"/>
  <c r="AB18" i="13"/>
  <c r="X18" i="13"/>
  <c r="R18" i="13"/>
  <c r="I18" i="13"/>
  <c r="D9" i="13"/>
  <c r="L9" i="13"/>
  <c r="T9" i="13"/>
  <c r="AB9" i="13"/>
  <c r="U9" i="13"/>
  <c r="F9" i="13"/>
  <c r="N9" i="13"/>
  <c r="V9" i="13"/>
  <c r="AD9" i="13"/>
  <c r="G9" i="13"/>
  <c r="O9" i="13"/>
  <c r="W9" i="13"/>
  <c r="AE9" i="13"/>
  <c r="E9" i="13"/>
  <c r="H9" i="13"/>
  <c r="P9" i="13"/>
  <c r="X9" i="13"/>
  <c r="AF9" i="13"/>
  <c r="C9" i="13"/>
  <c r="I9" i="13"/>
  <c r="Y9" i="13"/>
  <c r="AG9" i="13"/>
  <c r="Q9" i="13"/>
  <c r="M9" i="13"/>
  <c r="J9" i="13"/>
  <c r="R9" i="13"/>
  <c r="Z9" i="13"/>
  <c r="K9" i="13"/>
  <c r="S9" i="13"/>
  <c r="AA9" i="13"/>
  <c r="AC9" i="13"/>
  <c r="AA20" i="19"/>
  <c r="S20" i="19"/>
  <c r="K20" i="19"/>
  <c r="Z20" i="19"/>
  <c r="R20" i="19"/>
  <c r="J20" i="19"/>
  <c r="C20" i="19"/>
  <c r="AG20" i="19"/>
  <c r="Y20" i="19"/>
  <c r="Q20" i="19"/>
  <c r="I20" i="19"/>
  <c r="AF20" i="19"/>
  <c r="X20" i="19"/>
  <c r="P20" i="19"/>
  <c r="H20" i="19"/>
  <c r="AE20" i="19"/>
  <c r="W20" i="19"/>
  <c r="O20" i="19"/>
  <c r="G20" i="19"/>
  <c r="AD20" i="19"/>
  <c r="V20" i="19"/>
  <c r="N20" i="19"/>
  <c r="F20" i="19"/>
  <c r="AC20" i="19"/>
  <c r="U20" i="19"/>
  <c r="M20" i="19"/>
  <c r="E20" i="19"/>
  <c r="AB20" i="19"/>
  <c r="T20" i="19"/>
  <c r="L20" i="19"/>
  <c r="D20" i="19"/>
  <c r="D20" i="13"/>
  <c r="L20" i="13"/>
  <c r="T20" i="13"/>
  <c r="AB20" i="13"/>
  <c r="E20" i="13"/>
  <c r="F20" i="13"/>
  <c r="N20" i="13"/>
  <c r="V20" i="13"/>
  <c r="AD20" i="13"/>
  <c r="G20" i="13"/>
  <c r="O20" i="13"/>
  <c r="W20" i="13"/>
  <c r="AE20" i="13"/>
  <c r="AC20" i="13"/>
  <c r="H20" i="13"/>
  <c r="P20" i="13"/>
  <c r="X20" i="13"/>
  <c r="AF20" i="13"/>
  <c r="Q20" i="13"/>
  <c r="Y20" i="13"/>
  <c r="AG20" i="13"/>
  <c r="U20" i="13"/>
  <c r="I20" i="13"/>
  <c r="J20" i="13"/>
  <c r="R20" i="13"/>
  <c r="Z20" i="13"/>
  <c r="K20" i="13"/>
  <c r="S20" i="13"/>
  <c r="AA20" i="13"/>
  <c r="C20" i="13"/>
  <c r="M20" i="13"/>
  <c r="A50" i="6"/>
  <c r="C33" i="9" s="1"/>
  <c r="B9" i="19" s="1"/>
  <c r="E18" i="9"/>
  <c r="E42" i="9" s="1"/>
  <c r="E10" i="9"/>
  <c r="E14" i="9"/>
  <c r="E11" i="9"/>
  <c r="E19" i="9"/>
  <c r="E43" i="9" s="1"/>
  <c r="E9" i="9"/>
  <c r="E5" i="9"/>
  <c r="E4" i="9"/>
  <c r="E12" i="9"/>
  <c r="E20" i="9"/>
  <c r="E44" i="9" s="1"/>
  <c r="AA9" i="19" l="1"/>
  <c r="S9" i="19"/>
  <c r="K9" i="19"/>
  <c r="AG9" i="19"/>
  <c r="Y9" i="19"/>
  <c r="Q9" i="19"/>
  <c r="I9" i="19"/>
  <c r="AF9" i="19"/>
  <c r="X9" i="19"/>
  <c r="P9" i="19"/>
  <c r="H9" i="19"/>
  <c r="J9" i="19"/>
  <c r="AE9" i="19"/>
  <c r="W9" i="19"/>
  <c r="O9" i="19"/>
  <c r="G9" i="19"/>
  <c r="AB9" i="19"/>
  <c r="D9" i="19"/>
  <c r="R9" i="19"/>
  <c r="AD9" i="19"/>
  <c r="V9" i="19"/>
  <c r="N9" i="19"/>
  <c r="F9" i="19"/>
  <c r="L9" i="19"/>
  <c r="Z9" i="19"/>
  <c r="AC9" i="19"/>
  <c r="U9" i="19"/>
  <c r="M9" i="19"/>
  <c r="E9" i="19"/>
  <c r="C9" i="19"/>
  <c r="T9" i="19"/>
  <c r="E35" i="9"/>
  <c r="E36" i="9"/>
  <c r="E33" i="9"/>
  <c r="E38" i="9"/>
  <c r="E27" i="9"/>
  <c r="E34" i="9"/>
  <c r="E28" i="9"/>
  <c r="E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<sst xmlns="http://schemas.openxmlformats.org/spreadsheetml/2006/main" count="1366" uniqueCount="787">
  <si>
    <t>BFPIaE BAU Fuel Production</t>
  </si>
  <si>
    <t>BFPIaE BAU Fuel Imports</t>
  </si>
  <si>
    <t>BFPIaE BAU Fuel Exports</t>
  </si>
  <si>
    <t>Source:</t>
  </si>
  <si>
    <t>Petroleum-based fuels, biofuels</t>
  </si>
  <si>
    <t>U.S. Energy Information Administration</t>
  </si>
  <si>
    <t>Petroleum &amp; Other Liquids: Supply and Disposition</t>
  </si>
  <si>
    <t>https://www.eia.gov/dnav/pet/pet_sum_snd_d_nus_mbbl_a_cur.htm</t>
  </si>
  <si>
    <t>Area: US, Period: Annual 2017</t>
  </si>
  <si>
    <t>Nuclear Fuel (Uranium)</t>
  </si>
  <si>
    <t>U.S. uranium imports continue as domestic production remains at historical lows</t>
  </si>
  <si>
    <t>https://www.eia.gov/todayinenergy/detail.php?id=37192</t>
  </si>
  <si>
    <t>Paragraph 1</t>
  </si>
  <si>
    <t>Hard Coal, Lignite</t>
  </si>
  <si>
    <t>Coal Explained: Where Our Coal Comes From</t>
  </si>
  <si>
    <t>https://www.eia.gov/energyexplained/index.php?page=coal_where</t>
  </si>
  <si>
    <t>https://www.eia.gov/energyexplained/index.php?page=coal_imports</t>
  </si>
  <si>
    <t>https://www.eia.gov/energyexplained/index.php?page=coal_prices</t>
  </si>
  <si>
    <t>Biomass Production and Exports</t>
  </si>
  <si>
    <t>Monthly Densified Biomass Fuel Report</t>
  </si>
  <si>
    <t>https://www.eia.gov/biofuels/biomass/?year=2016&amp;month=13#table_data</t>
  </si>
  <si>
    <t>Tables 4 and 8</t>
  </si>
  <si>
    <t>Biomass Imports and Exports (for Import to Export Ratio)</t>
  </si>
  <si>
    <t>U.S. International Trade Administration</t>
  </si>
  <si>
    <t>2016 Top Markets Report Renewable Fuels Sector Snapshot: Biomass Wood Pellets</t>
  </si>
  <si>
    <t>https://www.trade.gov/topmarkets/pdf/Renewable_Fuels_Biomass_Wood_Pellets.pdf</t>
  </si>
  <si>
    <t>Tables 2 and 3a</t>
  </si>
  <si>
    <t>Natural Gas, Time Series Scaling Factors</t>
  </si>
  <si>
    <t>Annual Energy Outlook 2019</t>
  </si>
  <si>
    <t>https://www.eia.gov/outlooks/aeo/tables_ref.php</t>
  </si>
  <si>
    <t>Table 1</t>
  </si>
  <si>
    <t>Municipal Solid Waste</t>
  </si>
  <si>
    <t>U.S. Environmental Protection Agency</t>
  </si>
  <si>
    <t>National Overview: Facts and Figures on Materials, Wastes and Recycling</t>
  </si>
  <si>
    <t>https://www.epa.gov/facts-and-figures-about-materials-waste-and-recycling/national-overview-facts-and-figures-materials</t>
  </si>
  <si>
    <t>Hydrogen</t>
  </si>
  <si>
    <t>U.S. Department of Energy</t>
  </si>
  <si>
    <t>Fact of the Month May 2018: 10 Million Metric Tons of Hydrogen Produced Annually in the United States</t>
  </si>
  <si>
    <t>https://www.energy.gov/eere/fuelcells/fact-month-may-2018-10-million-metric-tons-hydrogen-produced-annually-united-states</t>
  </si>
  <si>
    <t>Unit Conversions for hard coal, natural gas, petroleum fuels, liquid biofuels</t>
  </si>
  <si>
    <t>Energy Information Administration</t>
  </si>
  <si>
    <t>Annual Energy Outlook 2020</t>
  </si>
  <si>
    <t>http://www.eia.gov/forecasts/aeo/supplement/excel/suptab_73.xlsx</t>
  </si>
  <si>
    <t>Table 73</t>
  </si>
  <si>
    <t>Unit Conversions for Lignite, Biomass, LPG, municipal solid waste, hydrogen</t>
  </si>
  <si>
    <t>Argonne National Laboratory</t>
  </si>
  <si>
    <t>GREET1 2019</t>
  </si>
  <si>
    <t>https://greet.es.anl.gov/</t>
  </si>
  <si>
    <t>Tab "Fuel_Specs"</t>
  </si>
  <si>
    <t>Unit Conversion for Uranium (U3O8)</t>
  </si>
  <si>
    <t>TradeTech</t>
  </si>
  <si>
    <t>Uranium Primer - Price &amp; Unit Conversion Calculator &amp; Table</t>
  </si>
  <si>
    <t>https://www.uranium.info/unit_conversion_table.php</t>
  </si>
  <si>
    <t>Notes</t>
  </si>
  <si>
    <t>Collect Export, Import, and Production Data for Each Fuel</t>
  </si>
  <si>
    <t>The consolidated data in this variable (production, imports, exports, and domestic use of each fuel)</t>
  </si>
  <si>
    <t>is used in the variable fuels/CiFIaEpUDFS.  Therefore, even though this variable only outputs</t>
  </si>
  <si>
    <t>production and exports, you should also collect data on fuel imports.  (Domestic use data</t>
  </si>
  <si>
    <t>can be calculated from production, imports, and exports.  We ignore changes in fuel stocks,</t>
  </si>
  <si>
    <t>which should average to zero over multi-year timeframes.)</t>
  </si>
  <si>
    <t>Time Series</t>
  </si>
  <si>
    <t>This variable contains time series data.</t>
  </si>
  <si>
    <t>However, only data from the first year are used in variable fuels/CiFIaEpUDFS.</t>
  </si>
  <si>
    <t>In the future, fuels/CiFIaEpUDFS may be replaced with internal Vensim calculations,</t>
  </si>
  <si>
    <t>making those values sensitive to changes over time.</t>
  </si>
  <si>
    <t>Units</t>
  </si>
  <si>
    <t>In this variable, units are standardized to BTU, the internal working energy unit of the model.</t>
  </si>
  <si>
    <t>Variable fuels/CiFIaEpUDFS is not sensitive to the units used, as long as the same unit is used</t>
  </si>
  <si>
    <t>for all quantities associated with the same fuel (imports, exports, production, use).</t>
  </si>
  <si>
    <t>Included Fuels</t>
  </si>
  <si>
    <t>Hydro, wind, solar, and geothermal are neither fuels nor energy carriers</t>
  </si>
  <si>
    <t>and should always contain zeroes in this variable.</t>
  </si>
  <si>
    <t>Electricity and heat are energy carriers and are not handled in this</t>
  </si>
  <si>
    <t>part of the model.  (Electricity imports/exports are exogenous</t>
  </si>
  <si>
    <t>and handled in the power sector.  District heat imports/exports are assumed to be negligible.)</t>
  </si>
  <si>
    <t>Hydrogen is an energy carrier, but can theoretically be imported</t>
  </si>
  <si>
    <t>or exported in bulk, so is included here.</t>
  </si>
  <si>
    <t>Area: US</t>
  </si>
  <si>
    <t>Period: 2017 (Annual)</t>
  </si>
  <si>
    <t>Unit: Thousand Barrels</t>
  </si>
  <si>
    <t>Supply</t>
  </si>
  <si>
    <t>Disposition</t>
  </si>
  <si>
    <t>Ending Stocks</t>
  </si>
  <si>
    <t>Field Production</t>
  </si>
  <si>
    <t>Renewable Fuels &amp; Oxygenate Plant Net Production</t>
  </si>
  <si>
    <t>Refinery &amp; Blender Net Production</t>
  </si>
  <si>
    <t>Imports</t>
  </si>
  <si>
    <t>Net Receipts</t>
  </si>
  <si>
    <t>Adjust- ments</t>
  </si>
  <si>
    <t>Stock Change</t>
  </si>
  <si>
    <t>Refinery &amp; Blender Net Inputs</t>
  </si>
  <si>
    <t>Exports</t>
  </si>
  <si>
    <t>Products Supplied</t>
  </si>
  <si>
    <t>Crude Oil &amp; Petroleum Products</t>
  </si>
  <si>
    <t>Crude Oil</t>
  </si>
  <si>
    <t>- -</t>
  </si>
  <si>
    <t>Hydrocarbon Gas Liquids</t>
  </si>
  <si>
    <t>Natural Gas Liquids</t>
  </si>
  <si>
    <t>Ethane</t>
  </si>
  <si>
    <t>-</t>
  </si>
  <si>
    <t>Propane</t>
  </si>
  <si>
    <t>Normal Butane</t>
  </si>
  <si>
    <t>Isobutane</t>
  </si>
  <si>
    <t>Natural Gasoline</t>
  </si>
  <si>
    <t>Refinery Olefins</t>
  </si>
  <si>
    <t>Ethylene</t>
  </si>
  <si>
    <t>Propylene</t>
  </si>
  <si>
    <t>Normal Butylene</t>
  </si>
  <si>
    <t>Isobutylene</t>
  </si>
  <si>
    <t>Other Liquids</t>
  </si>
  <si>
    <t>Hydrogen/Oxygenates/Renewables/Other Hydrocarbons</t>
  </si>
  <si>
    <t>Oxygenates (excl. Fuel Ethanol)</t>
  </si>
  <si>
    <t>Renewable Fuels (incl. Fuel Ethanol)</t>
  </si>
  <si>
    <t>Fuel Ethanol</t>
  </si>
  <si>
    <t>Renewable Fuels Except Fuel Ethanol</t>
  </si>
  <si>
    <t>Other Hydrocarbons</t>
  </si>
  <si>
    <t>Unfinished Oils</t>
  </si>
  <si>
    <t>Motor Gasoline Blend. Comp.</t>
  </si>
  <si>
    <t>Reformulated</t>
  </si>
  <si>
    <t>Conventional</t>
  </si>
  <si>
    <t>Aviation Gasoline Blend. Comp.</t>
  </si>
  <si>
    <t>Finished Petroleum Products</t>
  </si>
  <si>
    <t>Finished Motor Gasoline</t>
  </si>
  <si>
    <t>Finished Aviation Gasoline</t>
  </si>
  <si>
    <t>Kerosene-Type Jet Fuel</t>
  </si>
  <si>
    <t>Kerosene</t>
  </si>
  <si>
    <t>Distillate Fuel Oil</t>
  </si>
  <si>
    <t>15 ppm Sulfur and Under</t>
  </si>
  <si>
    <t>Greater than 15 to 500 ppm Sulfur</t>
  </si>
  <si>
    <t>Greater than 500 ppm Sulfur</t>
  </si>
  <si>
    <t>Residual Fuel Oil</t>
  </si>
  <si>
    <t>Less than 0.31% Sulfur</t>
  </si>
  <si>
    <t>NA</t>
  </si>
  <si>
    <t>0.31 to 1.00% Sulfur</t>
  </si>
  <si>
    <t>Greater than 1.00% Sulfur</t>
  </si>
  <si>
    <t>Petrochemical Feedstocks</t>
  </si>
  <si>
    <t>Naphtha for Petro. Feed. Use</t>
  </si>
  <si>
    <t>Other Oils for Petro. Feed. Use</t>
  </si>
  <si>
    <t>Special Naphthas</t>
  </si>
  <si>
    <t>Lubricants</t>
  </si>
  <si>
    <t>Waxes</t>
  </si>
  <si>
    <t>Petroleum Coke</t>
  </si>
  <si>
    <t>Marketable</t>
  </si>
  <si>
    <t>Catalyst</t>
  </si>
  <si>
    <t>Asphalt and Road Oil</t>
  </si>
  <si>
    <t>Still Gas</t>
  </si>
  <si>
    <t>Miscellaneous Products</t>
  </si>
  <si>
    <t>Table 4. Production of densified biomass fuel, 2016 (tons)</t>
  </si>
  <si>
    <t>Region</t>
  </si>
  <si>
    <t>Month</t>
  </si>
  <si>
    <t>Wood Pellets, PFI Certified</t>
  </si>
  <si>
    <t>Wood Pellets, Not Certified</t>
  </si>
  <si>
    <t>Wood Pellets Utility</t>
  </si>
  <si>
    <t>Compressed Bricks/Logs</t>
  </si>
  <si>
    <t>U.S. Total</t>
  </si>
  <si>
    <t>Table 8. Export sales and average price of densified biomass fuel, 2016</t>
  </si>
  <si>
    <t>Quantity (tons)</t>
  </si>
  <si>
    <t>Average Price (USD per ton)</t>
  </si>
  <si>
    <t>Total wood pellet production</t>
  </si>
  <si>
    <t>tons</t>
  </si>
  <si>
    <t>Total wood pellet exports</t>
  </si>
  <si>
    <t>We don't have biomass import data from EIA, but we do have some from the International Trade Administration (trade.gov).</t>
  </si>
  <si>
    <t>It uses different units and shows much higher wood pellet quantities than the EIA data, and it lacks production data.</t>
  </si>
  <si>
    <t>Accordingly, we only use it to establish a ratio of exports to imports, and apply that ratio to the EIA export data to</t>
  </si>
  <si>
    <t>estimate wood pellet imports (which are small compared to exports).</t>
  </si>
  <si>
    <t>Unit</t>
  </si>
  <si>
    <t>kg</t>
  </si>
  <si>
    <t>Import to Export Ratio</t>
  </si>
  <si>
    <t>Total wood pellet imports</t>
  </si>
  <si>
    <t>Uranium</t>
  </si>
  <si>
    <t>Production</t>
  </si>
  <si>
    <t>million pounds U3O8</t>
  </si>
  <si>
    <t>Hard Coal and Lignite</t>
  </si>
  <si>
    <t>of U.S. coal production was lignite in 2017</t>
  </si>
  <si>
    <t>million short tons of coal produced (of all types) in 2017</t>
  </si>
  <si>
    <t>million short tons of coal exported in 2017</t>
  </si>
  <si>
    <t>million short tons of coal imported in 2017</t>
  </si>
  <si>
    <t>We assume that all imported and exported coal was hard coal, while all lignite produced was used domestically.</t>
  </si>
  <si>
    <t>Hard Coal</t>
  </si>
  <si>
    <t>million short tons</t>
  </si>
  <si>
    <t>Lignite</t>
  </si>
  <si>
    <t>MSW Tonnage Data for Year 2015</t>
  </si>
  <si>
    <t>U.S. MSW generated (million tons)</t>
  </si>
  <si>
    <t>U.S. MSW burned with energy recovery (million tons)</t>
  </si>
  <si>
    <t>U.S. MSW recycled (million tons)</t>
  </si>
  <si>
    <t>U.S. MSW composted (million tons)</t>
  </si>
  <si>
    <t>U.S. MSW landfilled (million tons)</t>
  </si>
  <si>
    <t>Although the U.S. exports waste to other countries,</t>
  </si>
  <si>
    <t>it is difficult to find statistics for waste exports other than plastic waste.</t>
  </si>
  <si>
    <t>(Plastic waste exports to other countries in 2018 were</t>
  </si>
  <si>
    <t>1.07 million metric tons in 2018.)</t>
  </si>
  <si>
    <t>https://www.plasticpollutioncoalition.org/pft/2019/3/6/157000-shipping-containers-of-us-plastic-waste-exported-to-countries-with-poor-waste-management-in-2018</t>
  </si>
  <si>
    <t>In this model, we are only concerned about MSW that is burned as a</t>
  </si>
  <si>
    <t>fuel.  We will assume that a negligible amount of exported waste</t>
  </si>
  <si>
    <t>is used as a fuel.</t>
  </si>
  <si>
    <t>million metric tons</t>
  </si>
  <si>
    <t>produced in 2018</t>
  </si>
  <si>
    <t>We assume none was imported or exported.</t>
  </si>
  <si>
    <t>highogs.d112619a</t>
  </si>
  <si>
    <t>Report</t>
  </si>
  <si>
    <t>Scenario</t>
  </si>
  <si>
    <t>highogs</t>
  </si>
  <si>
    <t>High oil and gas supply</t>
  </si>
  <si>
    <t>Datekey</t>
  </si>
  <si>
    <t>d112619a</t>
  </si>
  <si>
    <t>Release Date</t>
  </si>
  <si>
    <t xml:space="preserve"> January 2020</t>
  </si>
  <si>
    <t>SUP000</t>
  </si>
  <si>
    <t>1. Total Energy Supply, Disposition, and Price Summary</t>
  </si>
  <si>
    <t>(quadrillion Btu, unless otherwise noted)</t>
  </si>
  <si>
    <t/>
  </si>
  <si>
    <t>2019-</t>
  </si>
  <si>
    <t xml:space="preserve"> Supply, Disposition, and Prices</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</si>
  <si>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</si>
  <si>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</si>
  <si>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</si>
  <si>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</si>
  <si>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</si>
  <si>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</si>
  <si>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</si>
  <si>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</si>
  <si>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</si>
  <si>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</si>
  <si>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</si>
  <si>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</si>
  <si>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</si>
  <si>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</si>
  <si>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</si>
  <si>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</si>
  <si>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</si>
  <si>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</si>
  <si>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</si>
  <si>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</si>
  <si>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</si>
  <si>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</si>
  <si>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</si>
  <si>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</si>
  <si>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</si>
  <si>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</si>
  <si>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</si>
  <si>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</si>
  <si>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</si>
  <si>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SUP000:da_Petroleum</t>
  </si>
  <si>
    <t xml:space="preserve">   Petroleum and Other Liquids 8/</t>
  </si>
  <si>
    <t>SUP000:da_NaturalGas</t>
  </si>
  <si>
    <t>SUP000:da_Coal</t>
  </si>
  <si>
    <t xml:space="preserve">   Coal</t>
  </si>
  <si>
    <t>SUP000:da_Total</t>
  </si>
  <si>
    <t>SUP000:ea_Discrepancy</t>
  </si>
  <si>
    <t>Discrepancy 9/</t>
  </si>
  <si>
    <t>- -</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</si>
  <si>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</si>
  <si>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</si>
  <si>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</si>
  <si>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</si>
  <si>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</si>
  <si>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</si>
  <si>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</si>
  <si>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</si>
  <si>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</si>
  <si>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</si>
  <si>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</si>
  <si>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</si>
  <si>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</si>
  <si>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</si>
  <si>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</si>
  <si>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(2019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</si>
  <si>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</si>
  <si>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</si>
  <si>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</si>
  <si>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</si>
  <si>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</si>
  <si>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</si>
  <si>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</si>
  <si>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</si>
  <si>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</si>
  <si>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</si>
  <si>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</si>
  <si>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</si>
  <si>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</si>
  <si>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</si>
  <si>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</si>
  <si>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</si>
  <si>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</si>
  <si>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</si>
  <si>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</si>
  <si>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</si>
  <si>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</si>
  <si>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</si>
  <si>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 xml:space="preserve">   1/ Includes waste coal.</t>
  </si>
  <si>
    <t xml:space="preserve">   2/ These values represent the energy obtained from uranium when it is used in light water reactors.  The total energy content of uranium</t>
  </si>
  <si>
    <t>is much larger, but alternative processes are required to take advantage of it.</t>
  </si>
  <si>
    <t xml:space="preserve">   3/ Includes grid-connected electricity from wood and wood waste; biomass, such as corn, used for liquid fuels production; and non-electric</t>
  </si>
  <si>
    <t>energy demand from wood.  Refer to Table 17 for details.</t>
  </si>
  <si>
    <t xml:space="preserve">   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</si>
  <si>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</si>
  <si>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</si>
  <si>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 xml:space="preserve">   5/ Includes non-biogenic municipal waste, hydrogen, methanol, and some domestic inputs to refineries.</t>
  </si>
  <si>
    <t xml:space="preserve">   6/ Includes imports of finished petroleum products, unfinished oils, alcohols, ethers, blending components, and renewable fuels such as ethanol.</t>
  </si>
  <si>
    <t xml:space="preserve">   7/ Includes coal, coal coke (net), and electricity (net).  Excludes imports of fuel used in nuclear power plants.</t>
  </si>
  <si>
    <t xml:space="preserve">   8/ Includes crude oil, petroleum products, ethanol, and biodiesel.</t>
  </si>
  <si>
    <t xml:space="preserve">   9/ Balancing item.  Includes unaccounted for supply, losses, gains, and net storage withdrawals.</t>
  </si>
  <si>
    <t xml:space="preserve">   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</si>
  <si>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</si>
  <si>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</si>
  <si>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 xml:space="preserve">   11/ Excludes coal converted to coal-based synthetic liquids and natural gas.</t>
  </si>
  <si>
    <t xml:space="preserve">   12/ Includes grid-connected electricity from wood and wood waste, non-electric energy from wood, and biofuels heat and coproducts used in the</t>
  </si>
  <si>
    <t>production of liquid fuels, but excludes the energy content of the liquid fuels.</t>
  </si>
  <si>
    <t xml:space="preserve">   13/ Includes non-biogenic municipal waste, hydrogen, and net electricity imports.</t>
  </si>
  <si>
    <t xml:space="preserve">   14/ Includes reported prices for both open market and captive mines.  Prices weighted by production, which differs from average minemouth prices</t>
  </si>
  <si>
    <t>published in EIA data reports where it is weighted by reported sales.</t>
  </si>
  <si>
    <t xml:space="preserve">   15/ Prices weighted by consumption; weighted average excludes export free-alongside-ship (f.a.s.) prices.</t>
  </si>
  <si>
    <t xml:space="preserve">   Btu = British thermal unit.</t>
  </si>
  <si>
    <t xml:space="preserve">   MmBtu = Million Btu.</t>
  </si>
  <si>
    <t xml:space="preserve">   - - = Not applicable.</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</si>
  <si>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</si>
  <si>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</si>
  <si>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</si>
  <si>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ref2021.d113020a</t>
  </si>
  <si>
    <t>Annual Energy Outlook 2021</t>
  </si>
  <si>
    <t>ref2021</t>
  </si>
  <si>
    <t>Reference case</t>
  </si>
  <si>
    <t>d113020a</t>
  </si>
  <si>
    <t xml:space="preserve"> January 2021</t>
  </si>
  <si>
    <t>CNV000</t>
  </si>
  <si>
    <t>71. Conversion Factors</t>
  </si>
  <si>
    <t>Compound</t>
  </si>
  <si>
    <t>(from physical units to million Btu)</t>
  </si>
  <si>
    <t xml:space="preserve"> Growth </t>
  </si>
  <si>
    <t xml:space="preserve">2020-2050 </t>
  </si>
  <si>
    <t>(percent)</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</si>
  <si>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</si>
  <si>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</si>
  <si>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</si>
  <si>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</si>
  <si>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</si>
  <si>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</si>
  <si>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</si>
  <si>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</si>
  <si>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</si>
  <si>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</si>
  <si>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</si>
  <si>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</si>
  <si>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</si>
  <si>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</si>
  <si>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</si>
  <si>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</si>
  <si>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</si>
  <si>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</si>
  <si>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</si>
  <si>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</si>
  <si>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</si>
  <si>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</si>
  <si>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</si>
  <si>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</si>
  <si>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</si>
  <si>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</si>
  <si>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</si>
  <si>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</si>
  <si>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</si>
  <si>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</si>
  <si>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</si>
  <si>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</si>
  <si>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</si>
  <si>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</si>
  <si>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</si>
  <si>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</si>
  <si>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</si>
  <si>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</si>
  <si>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</si>
  <si>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</si>
  <si>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</si>
  <si>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</si>
  <si>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</si>
  <si>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</si>
  <si>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</si>
  <si>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</si>
  <si>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</si>
  <si>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</si>
  <si>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</si>
  <si>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</si>
  <si>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</si>
  <si>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</si>
  <si>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</si>
  <si>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</si>
  <si>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</si>
  <si>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</si>
  <si>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</si>
  <si>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</si>
  <si>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</si>
  <si>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</si>
  <si>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</si>
  <si>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</si>
  <si>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</si>
  <si>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</si>
  <si>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</si>
  <si>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</si>
  <si>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</si>
  <si>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</si>
  <si>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</si>
  <si>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</si>
  <si>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</si>
  <si>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</si>
  <si>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</si>
  <si>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</si>
  <si>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</si>
  <si>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</si>
  <si>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</si>
  <si>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</si>
  <si>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</si>
  <si>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</si>
  <si>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</si>
  <si>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</si>
  <si>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</si>
  <si>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</si>
  <si>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</si>
  <si>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</si>
  <si>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</si>
  <si>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</si>
  <si>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</si>
  <si>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</si>
  <si>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</si>
  <si>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</si>
  <si>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</si>
  <si>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</si>
  <si>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</si>
  <si>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</si>
  <si>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</si>
  <si>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</si>
  <si>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</si>
  <si>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</si>
  <si>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</si>
  <si>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</si>
  <si>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</si>
  <si>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</si>
  <si>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</si>
  <si>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</si>
  <si>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</si>
  <si>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</si>
  <si>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</si>
  <si>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Approximate Heat Rates and Heat Content</t>
  </si>
  <si>
    <t>(Btu per kilowatthour)</t>
  </si>
  <si>
    <t>CNV000:da_Electricity</t>
  </si>
  <si>
    <t xml:space="preserve">  Electricity Heat Content</t>
  </si>
  <si>
    <t>CNV000:fossil_hr_us</t>
  </si>
  <si>
    <t xml:space="preserve">  Fossil Fuel Heat Rate</t>
  </si>
  <si>
    <t>1/ Includes ethane, natural gasoline, and refinery olefins.</t>
  </si>
  <si>
    <t>2/ Includes all electricity-only and combined heat and power plants that have a regulatory status.</t>
  </si>
  <si>
    <t>3/ Includes combined heat and power plants that have a non-regulatory status, and small on-site generating systems.</t>
  </si>
  <si>
    <t>- - = Not applicable.</t>
  </si>
  <si>
    <t>Sources:  2020:  U.S. Energy Information Administration (EIA), Short-Term Energy Outlook, October 2020 and EIA,</t>
  </si>
  <si>
    <t>AEO2021 National Energy Modeling System run ref2021.d113020a. Projections:  EIA, AEO2021 National Energy Modeling System run ref2021.d113020a.</t>
  </si>
  <si>
    <t>Specifications of Fuels, Global Warming Potentials of Greenhouse Gases, and Carbon and Sulfur Ratios of Pollutants</t>
  </si>
  <si>
    <t>1) Specifications of Fuels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</si>
  <si>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</si>
  <si>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</si>
  <si>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</si>
  <si>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</si>
  <si>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</si>
  <si>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</si>
  <si>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</si>
  <si>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</si>
  <si>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</si>
  <si>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</si>
  <si>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</si>
  <si>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</si>
  <si>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</si>
  <si>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</si>
  <si>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</si>
  <si>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</si>
  <si>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</si>
  <si>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</si>
  <si>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</si>
  <si>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</si>
  <si>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</si>
  <si>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</si>
  <si>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</si>
  <si>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</si>
  <si>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</si>
  <si>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</si>
  <si>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</si>
  <si>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</si>
  <si>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</si>
  <si>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</si>
  <si>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</si>
  <si>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diesel</t>
  </si>
  <si>
    <t>Diesel for non-road engines</t>
  </si>
  <si>
    <t>Low-sulfur diesel</t>
  </si>
  <si>
    <t>Petroleum naphtha</t>
  </si>
  <si>
    <t>Low Octane Gasoline-Like Fuel (LOF)</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</si>
  <si>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</si>
  <si>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</si>
  <si>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</si>
  <si>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</si>
  <si>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</si>
  <si>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</si>
  <si>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</si>
  <si>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</si>
  <si>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</si>
  <si>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</si>
  <si>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</si>
  <si>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</si>
  <si>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</si>
  <si>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</si>
  <si>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</si>
  <si>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</si>
  <si>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</si>
  <si>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</si>
  <si>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</si>
  <si>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</si>
  <si>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</si>
  <si>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Renewable Gasoline (Ex Situ CFP)</t>
  </si>
  <si>
    <t xml:space="preserve">SPK (FT Jet Fuel/HRJ) </t>
  </si>
  <si>
    <t>Liquid hydrogen</t>
  </si>
  <si>
    <t>Methyl tertiary butyl ether (MTBE)</t>
  </si>
  <si>
    <t>Ethyl tertiary butyl ether (ETBE)</t>
  </si>
  <si>
    <t>Tertiary amyl methyl ether (TAME)</t>
  </si>
  <si>
    <t>Butane</t>
  </si>
  <si>
    <t>Natural gas liquids</t>
  </si>
  <si>
    <t>n-Hexane</t>
  </si>
  <si>
    <t>Gaseous Fuels (at 32F and 1atm):</t>
  </si>
  <si>
    <t>Btu/ft3</t>
  </si>
  <si>
    <t>gms/ft3</t>
  </si>
  <si>
    <t>Natural gas</t>
  </si>
  <si>
    <t>Pure Methane</t>
  </si>
  <si>
    <t>Gaseous hydrogen</t>
  </si>
  <si>
    <t>Carbon Dioxide</t>
  </si>
  <si>
    <t>Still gas (in refineries)</t>
  </si>
  <si>
    <t>Solid Fuels:</t>
  </si>
  <si>
    <t>Btu/ton</t>
  </si>
  <si>
    <t>Coal Mix for Electricity Generation</t>
  </si>
  <si>
    <t>Bituminous coal</t>
  </si>
  <si>
    <t>Subbituminous coal</t>
  </si>
  <si>
    <t>Lignite coal</t>
  </si>
  <si>
    <t>Synthetic coal</t>
  </si>
  <si>
    <t>Waste coal</t>
  </si>
  <si>
    <t>Pet Coke</t>
  </si>
  <si>
    <t>Tire Derived Fuel</t>
  </si>
  <si>
    <t>Coking coal</t>
  </si>
  <si>
    <t>Catalyst Coke</t>
  </si>
  <si>
    <t>Willow</t>
  </si>
  <si>
    <t>Poplar</t>
  </si>
  <si>
    <t>Switchgrass</t>
  </si>
  <si>
    <t>Miscanthus</t>
  </si>
  <si>
    <t>Corn stover</t>
  </si>
  <si>
    <t>Forest residue</t>
  </si>
  <si>
    <t>Clean Pine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</si>
  <si>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</si>
  <si>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</si>
  <si>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</si>
  <si>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</si>
  <si>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</si>
  <si>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</si>
  <si>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</si>
  <si>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</si>
  <si>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</si>
  <si>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Asphalt</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</si>
  <si>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</si>
  <si>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</si>
  <si>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</si>
  <si>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</si>
  <si>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</si>
  <si>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</si>
  <si>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</si>
  <si>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</si>
  <si>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</si>
  <si>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</si>
  <si>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</si>
  <si>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</si>
  <si>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</si>
  <si>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</si>
  <si>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</si>
  <si>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</si>
  <si>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</si>
  <si>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</si>
  <si>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</si>
  <si>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</si>
  <si>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</si>
  <si>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</si>
  <si>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</si>
  <si>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</si>
  <si>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</si>
  <si>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</si>
  <si>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</si>
  <si>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</si>
  <si>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</si>
  <si>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</si>
  <si>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</si>
  <si>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</si>
  <si>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</si>
  <si>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</si>
  <si>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</si>
  <si>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</si>
  <si>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</si>
  <si>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</si>
  <si>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</si>
  <si>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</si>
  <si>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</si>
  <si>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</si>
  <si>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</si>
  <si>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</si>
  <si>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</si>
  <si>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</si>
  <si>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</si>
  <si>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</si>
  <si>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</si>
  <si>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</si>
  <si>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</si>
  <si>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</si>
  <si>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</si>
  <si>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</si>
  <si>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</si>
  <si>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</si>
  <si>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</si>
  <si>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</si>
  <si>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</si>
  <si>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</si>
  <si>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</si>
  <si>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</si>
  <si>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</si>
  <si>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</si>
  <si>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</si>
  <si>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</si>
  <si>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</si>
  <si>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</si>
  <si>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</si>
  <si>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</si>
  <si>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</si>
  <si>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</si>
  <si>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</si>
  <si>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</si>
  <si>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</si>
  <si>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</si>
  <si>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</si>
  <si>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Length</t>
  </si>
  <si>
    <t>mm</t>
  </si>
  <si>
    <t>m</t>
  </si>
  <si>
    <t>km</t>
  </si>
  <si>
    <t>ft</t>
  </si>
  <si>
    <t>mi</t>
  </si>
  <si>
    <t>Sistema de Información Energética</t>
  </si>
  <si>
    <t>Secretaría de Energía</t>
  </si>
  <si>
    <t>Dirección General de Planeación e Información Energéticas</t>
  </si>
  <si>
    <t>Balance Nacional de Energía: Oferta interna bruta total por energético</t>
  </si>
  <si>
    <t>(petajoules)</t>
  </si>
  <si>
    <t>REALES</t>
  </si>
  <si>
    <t>PRODUCCION</t>
  </si>
  <si>
    <t>Total</t>
  </si>
  <si>
    <t>Carbón y coque de carbón</t>
  </si>
  <si>
    <t>Crudo y petrolíferos</t>
  </si>
  <si>
    <t>Gas natural y condensados</t>
  </si>
  <si>
    <t>Nuclear</t>
  </si>
  <si>
    <t>Renovables</t>
  </si>
  <si>
    <t xml:space="preserve">    Biogás</t>
  </si>
  <si>
    <t xml:space="preserve">    Hidro</t>
  </si>
  <si>
    <t xml:space="preserve">    Geo, eólica, solar</t>
  </si>
  <si>
    <t xml:space="preserve">    Biomasa</t>
  </si>
  <si>
    <t>Comercio neto de electricidad</t>
  </si>
  <si>
    <t>Nota:</t>
  </si>
  <si>
    <t xml:space="preserve">    La suma de los parciales puede no coincidir con los totales, debido al redondeo de las cifras.</t>
  </si>
  <si>
    <t xml:space="preserve">    Los datos del a&amp;ntilde;o 2018 son preliminares y están sujetos a cambios sin previo aviso.</t>
  </si>
  <si>
    <t>Fuente: Sistema de Información Energética, SENER.</t>
  </si>
  <si>
    <t>Balance Nacional de Energía: Importación de energía</t>
  </si>
  <si>
    <t>IMPORTACION</t>
  </si>
  <si>
    <t>Energía primaria</t>
  </si>
  <si>
    <t xml:space="preserve">    Carbón</t>
  </si>
  <si>
    <t xml:space="preserve">    Petróleo crudo</t>
  </si>
  <si>
    <t>Energía secundaria</t>
  </si>
  <si>
    <t xml:space="preserve">    Coque</t>
  </si>
  <si>
    <t xml:space="preserve">        Coque de carbón</t>
  </si>
  <si>
    <t xml:space="preserve">        Coque de petróleo</t>
  </si>
  <si>
    <t xml:space="preserve">    Gas licuado</t>
  </si>
  <si>
    <t xml:space="preserve">    Gasolinas y naftas</t>
  </si>
  <si>
    <t xml:space="preserve">    Querosenos</t>
  </si>
  <si>
    <t xml:space="preserve">    Diesel</t>
  </si>
  <si>
    <t xml:space="preserve">    Combustóleo</t>
  </si>
  <si>
    <t xml:space="preserve">    Productos no energéticos</t>
  </si>
  <si>
    <t xml:space="preserve">    Gas seco</t>
  </si>
  <si>
    <t xml:space="preserve">    Electricidad</t>
  </si>
  <si>
    <t>Notas:</t>
  </si>
  <si>
    <t xml:space="preserve">    Las importaciones de gas seco incluyen importaciones de gas natural licuado.</t>
  </si>
  <si>
    <t>Balance Nacional de Energía: Exportación de energía</t>
  </si>
  <si>
    <t>EXPORTACION</t>
  </si>
  <si>
    <t xml:space="preserve">    Condensados</t>
  </si>
  <si>
    <t xml:space="preserve">    La suma de los parciales puede no coincidir con los totales debido al redondeo de las cifras.</t>
  </si>
  <si>
    <t>Balance Nacional de Energía: Origen y destino de la energía</t>
  </si>
  <si>
    <t>REALES 2019</t>
  </si>
  <si>
    <t>Carbón</t>
  </si>
  <si>
    <t>Petróleo crudo</t>
  </si>
  <si>
    <t>Condensados</t>
  </si>
  <si>
    <t>Gas   natural</t>
  </si>
  <si>
    <t>Nucleoenergía</t>
  </si>
  <si>
    <t>Hidroenergía</t>
  </si>
  <si>
    <t>Geoenergía</t>
  </si>
  <si>
    <t>Energía solar</t>
  </si>
  <si>
    <t>Energía eólica</t>
  </si>
  <si>
    <t>Bagazo de ca&amp;ntilde;a</t>
  </si>
  <si>
    <t>Le&amp;ntilde;a</t>
  </si>
  <si>
    <t>Biogás</t>
  </si>
  <si>
    <t>Total de energía primaria</t>
  </si>
  <si>
    <t>Coque de carbón</t>
  </si>
  <si>
    <t>Coque de petróleo</t>
  </si>
  <si>
    <t>Gas LP</t>
  </si>
  <si>
    <t>Gasolinas  y naftas</t>
  </si>
  <si>
    <t>Querosenos</t>
  </si>
  <si>
    <t>Diesel</t>
  </si>
  <si>
    <t>Combustóleo</t>
  </si>
  <si>
    <t>Productos no energéticos</t>
  </si>
  <si>
    <t>Gas seco</t>
  </si>
  <si>
    <t>Otros autogeneración</t>
  </si>
  <si>
    <t>Electricidad</t>
  </si>
  <si>
    <t>Total de energía secundaria</t>
  </si>
  <si>
    <t>Producción</t>
  </si>
  <si>
    <t>De otras fuentes</t>
  </si>
  <si>
    <t>Importación</t>
  </si>
  <si>
    <t>Variación de inventarios</t>
  </si>
  <si>
    <t>Oferta total</t>
  </si>
  <si>
    <t>Exportación</t>
  </si>
  <si>
    <t>No aprovechada</t>
  </si>
  <si>
    <t>Maquila-intercambio neto</t>
  </si>
  <si>
    <t>Oferta interna bruta</t>
  </si>
  <si>
    <t>Total transformación</t>
  </si>
  <si>
    <t>Coquizadoras</t>
  </si>
  <si>
    <t>Refinerías y despuntadoras</t>
  </si>
  <si>
    <t>Plantas de gas y fraccionadoras</t>
  </si>
  <si>
    <t>Centrales eléctricas públicas</t>
  </si>
  <si>
    <t>Centrales eléctricas PIE</t>
  </si>
  <si>
    <t>Centrales eléctricas de autogeneración</t>
  </si>
  <si>
    <t>Centrales eléctricas con modalidad de Generación</t>
  </si>
  <si>
    <t>Consumo propio del sector</t>
  </si>
  <si>
    <t>Transferencias interproductos</t>
  </si>
  <si>
    <t>Recirculaciones</t>
  </si>
  <si>
    <t>Diferencia estadística</t>
  </si>
  <si>
    <t>Pérdidas (transp.,dist. y almac)</t>
  </si>
  <si>
    <t>Consumo final total</t>
  </si>
  <si>
    <t>Consumo final no energético</t>
  </si>
  <si>
    <t>Petroquímica de Pemex</t>
  </si>
  <si>
    <t>Otras ramas económicas</t>
  </si>
  <si>
    <t>Consumo final energético</t>
  </si>
  <si>
    <t>Residencial, comercial y público</t>
  </si>
  <si>
    <t>Transporte</t>
  </si>
  <si>
    <t>Agropecuario</t>
  </si>
  <si>
    <t>Industrial</t>
  </si>
  <si>
    <t>Producción bruta de energía secundaria</t>
  </si>
  <si>
    <t>Nota(s):</t>
  </si>
  <si>
    <t>La suma de los parciales puede no coincidir con los totales debido al redondeo de las cifras.</t>
  </si>
  <si>
    <t>La generación de electricidad mediante módulos fotovoltáicos se consideró como centrales eléctricas autogeneración.</t>
  </si>
  <si>
    <t>Los datos del a&amp;ntilde;o 2018 son preliminares y están sujetos a cambios sin previo aviso.</t>
  </si>
  <si>
    <t>A partir de 2016 se incluye información de las centrales eléctricas con permiso de generación otorgado por la CRE.</t>
  </si>
  <si>
    <t>Domestic Use</t>
  </si>
  <si>
    <t>Domestic use also includes change in domestic inventories, which should average to zero over multi-year timeframes.</t>
  </si>
  <si>
    <t>electricity (not used in this variable)</t>
  </si>
  <si>
    <t>hard coal</t>
  </si>
  <si>
    <t>PJ</t>
  </si>
  <si>
    <t>natural gas</t>
  </si>
  <si>
    <t>uranium</t>
  </si>
  <si>
    <t>hydro (is not a fuel)</t>
  </si>
  <si>
    <t>wind (is not a fuel)</t>
  </si>
  <si>
    <t>solar (is not a fuel)</t>
  </si>
  <si>
    <t>biomass</t>
  </si>
  <si>
    <t>petroleum gasoline</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</si>
  <si>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</si>
  <si>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</si>
  <si>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</si>
  <si>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</si>
  <si>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</si>
  <si>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</si>
  <si>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</si>
  <si>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</si>
  <si>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</si>
  <si>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</si>
  <si>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</si>
  <si>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</si>
  <si>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Converted to BTU</t>
  </si>
  <si>
    <t>Conversion Factors</t>
  </si>
  <si>
    <t>SENER</t>
  </si>
  <si>
    <t>https://sie.energia.gob.mx/bdiController.do?action=convertidor</t>
  </si>
  <si>
    <t>BTU per</t>
  </si>
  <si>
    <t>BTU/PJ</t>
  </si>
  <si>
    <t>Production Scaling Factors</t>
  </si>
  <si>
    <t>Imports Scaling Factors</t>
  </si>
  <si>
    <t>Exports Scaling Factors</t>
  </si>
  <si>
    <t>Fuel (BTU)</t>
  </si>
  <si>
    <t>nuclear</t>
  </si>
  <si>
    <t>heat (energy carrier)</t>
  </si>
  <si>
    <t>National Energy Balance</t>
  </si>
  <si>
    <t xml:space="preserve">https://www.gob.mx/sener/articulos/balance-nacional-de-energia-296106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</si>
</sst>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
    <numFmt numFmtId="165" formatCode="#,##0.0"/>
    <numFmt numFmtId="166" formatCode="#,##0.0000"/>
    <numFmt numFmtId="167" formatCode="0.0000"/>
    <numFmt numFmtId="168" formatCode="0.0"/>
    <numFmt numFmtId="169" formatCode="#,##0.000"/>
    <numFmt numFmtId="170" formatCode="0.000"/>
    <numFmt numFmtId="171" formatCode="#,##0.000000"/>
    <numFmt numFmtId="172" formatCode="0.000000"/>
    <numFmt numFmtId="173" formatCode="#,##0.000000000"/>
    <numFmt numFmtId="174" formatCode="#,##0.0000000000"/>
    <numFmt numFmtId="175" formatCode="#,##0.0000000"/>
    <numFmt numFmtId="176" formatCode="0.0000E+00"/>
  </numFmts>
  <fonts count="31"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9"/>
      <color rgb="FFFFFFFF"/>
      <name val="Arial"/>
      <family val="2"/>
    </font>
    <font>
      <b/>
      <sz val="9"/>
      <color rgb="FF000000"/>
      <name val="Arial"/>
      <family val="2"/>
    </font>
    <font>
      <sz val="9"/>
      <color rgb="FF000000"/>
      <name val="Arial"/>
      <family val="2"/>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i/>
      <sz val="11"/>
      <color theme="1"/>
      <name val="Calibri"/>
      <family val="2"/>
      <scheme val="minor"/>
    </font>
    <font>
      <sz val="11"/>
      <color theme="1"/>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color theme="1"/>
      <name val="Calibri"/>
      <family val="2"/>
      <scheme val="minor"/>
    </font>
    <font>
      <b/>
      <sz val="9"/>
      <color theme="1"/>
      <name val="Calibri"/>
      <family val="2"/>
      <scheme val="minor"/>
    </font>
    <font>
      <u/>
      <sz val="11"/>
      <color rgb="FF0070C0"/>
      <name val="Calibri"/>
      <family val="2"/>
      <scheme val="minor"/>
    </font>
    <font>
      <sz val="11"/>
      <name val="Calibri"/>
      <family val="2"/>
      <scheme val="minor"/>
    </font>
    <font>
      <sz val="10"/>
      <name val="Calibri"/>
      <family val="2"/>
    </font>
    <font>
      <sz val="10"/>
      <color indexed="8"/>
      <name val="Calibri"/>
      <family val="2"/>
    </font>
    <font>
      <b/>
      <sz val="12"/>
      <color theme="1"/>
      <name val="Calibri"/>
      <family val="2"/>
      <scheme val="minor"/>
    </font>
  </fonts>
  <fills count="26">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3F74B6"/>
        <bgColor indexed="64"/>
      </patternFill>
    </fill>
    <fill>
      <patternFill patternType="solid">
        <fgColor rgb="FF7D7D7D"/>
        <bgColor indexed="64"/>
      </patternFill>
    </fill>
    <fill>
      <patternFill patternType="solid">
        <fgColor rgb="FFFFFFFF"/>
        <bgColor indexed="64"/>
      </patternFill>
    </fill>
    <fill>
      <patternFill patternType="solid">
        <fgColor rgb="FFD2E2F2"/>
        <bgColor indexed="64"/>
      </patternFill>
    </fill>
    <fill>
      <patternFill patternType="solid">
        <fgColor rgb="FFCFCFCF"/>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bgColor indexed="64"/>
      </patternFill>
    </fill>
    <fill>
      <patternFill patternType="solid">
        <fgColor theme="9"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ck">
        <color theme="0"/>
      </left>
      <right style="thick">
        <color theme="0"/>
      </right>
      <top/>
      <bottom style="thin">
        <color theme="0" tint="-0.24994659260841701"/>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s>
  <cellStyleXfs count="22">
    <xf numFmtId="0" fontId="0" fillId="0" borderId="0"/>
    <xf numFmtId="0" fontId="3" fillId="0" borderId="0" applyNumberFormat="0" applyFill="0" applyBorder="0" applyAlignment="0" applyProtection="0"/>
    <xf numFmtId="0" fontId="7" fillId="0" borderId="0"/>
    <xf numFmtId="0" fontId="7" fillId="0" borderId="0" applyNumberFormat="0" applyFill="0" applyBorder="0" applyAlignment="0" applyProtection="0"/>
    <xf numFmtId="0" fontId="8" fillId="0" borderId="2" applyNumberFormat="0" applyProtection="0">
      <alignment wrapText="1"/>
    </xf>
    <xf numFmtId="0" fontId="11" fillId="0" borderId="0" applyNumberFormat="0" applyProtection="0">
      <alignment horizontal="left"/>
    </xf>
    <xf numFmtId="0" fontId="8" fillId="0" borderId="3" applyNumberFormat="0" applyProtection="0">
      <alignment wrapText="1"/>
    </xf>
    <xf numFmtId="0" fontId="7" fillId="0" borderId="4" applyNumberFormat="0" applyFont="0" applyProtection="0">
      <alignment wrapText="1"/>
    </xf>
    <xf numFmtId="0" fontId="7" fillId="0" borderId="5" applyNumberFormat="0" applyProtection="0">
      <alignment wrapText="1"/>
    </xf>
    <xf numFmtId="43" fontId="14" fillId="0" borderId="0" applyFont="0" applyFill="0" applyBorder="0" applyAlignment="0" applyProtection="0"/>
    <xf numFmtId="9" fontId="14" fillId="0" borderId="0" applyFont="0" applyFill="0" applyBorder="0" applyAlignment="0" applyProtection="0"/>
    <xf numFmtId="0" fontId="7" fillId="0" borderId="0" applyNumberFormat="0" applyFill="0" applyBorder="0" applyAlignment="0" applyProtection="0"/>
    <xf numFmtId="0" fontId="8" fillId="0" borderId="2" applyNumberFormat="0" applyProtection="0">
      <alignment wrapText="1"/>
    </xf>
    <xf numFmtId="0" fontId="11" fillId="0" borderId="0" applyNumberFormat="0" applyProtection="0">
      <alignment horizontal="left"/>
    </xf>
    <xf numFmtId="0" fontId="8" fillId="0" borderId="3" applyNumberFormat="0" applyProtection="0">
      <alignment wrapText="1"/>
    </xf>
    <xf numFmtId="0" fontId="7" fillId="0" borderId="4" applyNumberFormat="0" applyFont="0" applyProtection="0">
      <alignment wrapText="1"/>
    </xf>
    <xf numFmtId="0" fontId="7" fillId="0" borderId="5" applyNumberFormat="0" applyProtection="0">
      <alignment wrapText="1"/>
    </xf>
    <xf numFmtId="0" fontId="24" fillId="0" borderId="0" applyNumberFormat="0" applyProtection="0">
      <alignment vertical="top" wrapText="1"/>
    </xf>
    <xf numFmtId="0" fontId="25" fillId="0" borderId="20" applyNumberFormat="0" applyProtection="0">
      <alignment horizontal="left" wrapText="1"/>
    </xf>
    <xf numFmtId="0" fontId="24" fillId="0" borderId="21" applyNumberFormat="0" applyFont="0" applyFill="0" applyProtection="0">
      <alignment wrapText="1"/>
    </xf>
    <xf numFmtId="0" fontId="25" fillId="0" borderId="22" applyNumberFormat="0" applyFill="0" applyProtection="0">
      <alignment wrapText="1"/>
    </xf>
    <xf numFmtId="0" fontId="1" fillId="0" borderId="0"/>
  </cellStyleXfs>
  <cellXfs count="238">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1"/>
    <xf numFmtId="0" fontId="0" fillId="3" borderId="0" xfId="0" applyFill="1"/>
    <xf numFmtId="0" fontId="0" fillId="4" borderId="0" xfId="0" applyFill="1"/>
    <xf numFmtId="0" fontId="0" fillId="2" borderId="0" xfId="0" applyFill="1"/>
    <xf numFmtId="0" fontId="5" fillId="8" borderId="1" xfId="0" applyFont="1" applyFill="1" applyBorder="1" applyAlignment="1">
      <alignment horizontal="center" wrapText="1"/>
    </xf>
    <xf numFmtId="0" fontId="5" fillId="9" borderId="1" xfId="0" applyFont="1" applyFill="1" applyBorder="1" applyAlignment="1">
      <alignment horizontal="center" wrapText="1"/>
    </xf>
    <xf numFmtId="0" fontId="5" fillId="10" borderId="1" xfId="0" applyFont="1" applyFill="1" applyBorder="1" applyAlignment="1">
      <alignment horizontal="left" vertical="center" wrapText="1"/>
    </xf>
    <xf numFmtId="0" fontId="0" fillId="0" borderId="1" xfId="0" applyBorder="1"/>
    <xf numFmtId="0" fontId="6" fillId="0" borderId="1" xfId="0" applyFont="1" applyBorder="1" applyAlignment="1">
      <alignment horizontal="right" vertical="center" wrapText="1"/>
    </xf>
    <xf numFmtId="0" fontId="0" fillId="11" borderId="1" xfId="0" applyFill="1" applyBorder="1"/>
    <xf numFmtId="0" fontId="6" fillId="10" borderId="1" xfId="0" applyFont="1" applyFill="1" applyBorder="1" applyAlignment="1">
      <alignment horizontal="left" vertical="center" wrapText="1" indent="1"/>
    </xf>
    <xf numFmtId="0" fontId="6" fillId="10" borderId="1" xfId="0" applyFont="1" applyFill="1" applyBorder="1" applyAlignment="1">
      <alignment horizontal="left" vertical="center" wrapText="1" indent="2"/>
    </xf>
    <xf numFmtId="0" fontId="6" fillId="11" borderId="1" xfId="0" applyFont="1" applyFill="1" applyBorder="1" applyAlignment="1">
      <alignment horizontal="right" vertical="center" wrapText="1"/>
    </xf>
    <xf numFmtId="0" fontId="6" fillId="10" borderId="1" xfId="0" applyFont="1" applyFill="1" applyBorder="1" applyAlignment="1">
      <alignment horizontal="left" vertical="center" wrapText="1" indent="3"/>
    </xf>
    <xf numFmtId="0" fontId="0" fillId="0" borderId="0" xfId="0" applyAlignment="1">
      <alignment horizontal="right"/>
    </xf>
    <xf numFmtId="1" fontId="0" fillId="3" borderId="0" xfId="0" applyNumberFormat="1" applyFill="1"/>
    <xf numFmtId="0" fontId="13" fillId="0" borderId="0" xfId="0" applyFont="1"/>
    <xf numFmtId="3" fontId="0" fillId="0" borderId="0" xfId="0" applyNumberFormat="1" applyAlignment="1">
      <alignment horizontal="right"/>
    </xf>
    <xf numFmtId="4" fontId="0" fillId="0" borderId="0" xfId="0" applyNumberFormat="1" applyAlignment="1">
      <alignment horizontal="right"/>
    </xf>
    <xf numFmtId="1" fontId="0" fillId="0" borderId="0" xfId="0" applyNumberFormat="1" applyAlignment="1">
      <alignment horizontal="right"/>
    </xf>
    <xf numFmtId="0" fontId="2" fillId="0" borderId="0" xfId="0" applyFont="1" applyAlignment="1">
      <alignment wrapText="1"/>
    </xf>
    <xf numFmtId="9" fontId="0" fillId="0" borderId="0" xfId="0" applyNumberFormat="1"/>
    <xf numFmtId="1" fontId="0" fillId="0" borderId="0" xfId="0" applyNumberFormat="1"/>
    <xf numFmtId="168" fontId="0" fillId="0" borderId="0" xfId="0" applyNumberFormat="1"/>
    <xf numFmtId="2" fontId="0" fillId="0" borderId="0" xfId="0" applyNumberFormat="1"/>
    <xf numFmtId="0" fontId="0" fillId="2" borderId="0" xfId="0" applyFill="1" applyAlignment="1">
      <alignment horizontal="right"/>
    </xf>
    <xf numFmtId="0" fontId="0" fillId="2" borderId="0" xfId="0" applyFill="1" applyAlignment="1">
      <alignment horizontal="left"/>
    </xf>
    <xf numFmtId="0" fontId="0" fillId="2" borderId="0" xfId="0" applyFill="1" applyAlignment="1">
      <alignment wrapText="1"/>
    </xf>
    <xf numFmtId="0" fontId="2" fillId="13" borderId="0" xfId="0" applyFont="1" applyFill="1"/>
    <xf numFmtId="0" fontId="2" fillId="13" borderId="0" xfId="0" applyFont="1" applyFill="1" applyAlignment="1">
      <alignment horizontal="right"/>
    </xf>
    <xf numFmtId="0" fontId="2" fillId="13" borderId="0" xfId="0" applyFont="1" applyFill="1" applyAlignment="1">
      <alignment horizontal="right" wrapText="1"/>
    </xf>
    <xf numFmtId="0" fontId="2" fillId="13" borderId="0" xfId="0" applyFont="1" applyFill="1" applyAlignment="1">
      <alignment horizontal="left"/>
    </xf>
    <xf numFmtId="0" fontId="15" fillId="0" borderId="0" xfId="0" applyFont="1"/>
    <xf numFmtId="0" fontId="16" fillId="0" borderId="0" xfId="0" applyFont="1"/>
    <xf numFmtId="0" fontId="17" fillId="0" borderId="6" xfId="0" applyFont="1" applyBorder="1" applyAlignment="1">
      <alignment horizontal="left"/>
    </xf>
    <xf numFmtId="0" fontId="17" fillId="0" borderId="6" xfId="0" applyFont="1" applyBorder="1" applyAlignment="1">
      <alignment horizontal="centerContinuous"/>
    </xf>
    <xf numFmtId="0" fontId="17" fillId="0" borderId="7" xfId="0" applyFont="1" applyBorder="1" applyAlignment="1">
      <alignment horizontal="centerContinuous"/>
    </xf>
    <xf numFmtId="0" fontId="17" fillId="0" borderId="7" xfId="0" applyFont="1" applyBorder="1" applyAlignment="1">
      <alignment horizontal="right"/>
    </xf>
    <xf numFmtId="170" fontId="17" fillId="0" borderId="8" xfId="0" applyNumberFormat="1" applyFont="1" applyBorder="1" applyAlignment="1">
      <alignment horizontal="right"/>
    </xf>
    <xf numFmtId="0" fontId="17" fillId="0" borderId="9" xfId="0" applyFont="1" applyBorder="1" applyAlignment="1">
      <alignment horizontal="right"/>
    </xf>
    <xf numFmtId="0" fontId="17" fillId="0" borderId="9" xfId="0" applyFont="1" applyBorder="1" applyAlignment="1">
      <alignment horizontal="right" wrapText="1"/>
    </xf>
    <xf numFmtId="0" fontId="17" fillId="0" borderId="0" xfId="0" applyFont="1" applyAlignment="1">
      <alignment horizontal="right"/>
    </xf>
    <xf numFmtId="0" fontId="17" fillId="0" borderId="0" xfId="0" applyFont="1" applyAlignment="1">
      <alignment horizontal="right" wrapText="1"/>
    </xf>
    <xf numFmtId="170" fontId="17" fillId="0" borderId="10" xfId="0" applyNumberFormat="1" applyFont="1" applyBorder="1" applyAlignment="1">
      <alignment horizontal="right" wrapText="1"/>
    </xf>
    <xf numFmtId="0" fontId="17" fillId="0" borderId="9" xfId="0" applyFont="1" applyBorder="1"/>
    <xf numFmtId="0" fontId="17" fillId="14" borderId="9" xfId="0" applyFont="1" applyFill="1" applyBorder="1"/>
    <xf numFmtId="0" fontId="18" fillId="0" borderId="0" xfId="0" applyFont="1"/>
    <xf numFmtId="0" fontId="17" fillId="0" borderId="0" xfId="0" applyFont="1"/>
    <xf numFmtId="170" fontId="17" fillId="0" borderId="10" xfId="0" applyNumberFormat="1" applyFont="1" applyBorder="1"/>
    <xf numFmtId="0" fontId="17" fillId="0" borderId="11" xfId="0" applyFont="1" applyBorder="1"/>
    <xf numFmtId="0" fontId="17" fillId="0" borderId="11" xfId="0" applyFont="1" applyBorder="1" applyAlignment="1">
      <alignment horizontal="right"/>
    </xf>
    <xf numFmtId="0" fontId="17" fillId="0" borderId="12" xfId="0" applyFont="1" applyBorder="1" applyAlignment="1">
      <alignment horizontal="right"/>
    </xf>
    <xf numFmtId="0" fontId="17" fillId="0" borderId="12" xfId="0" applyFont="1" applyBorder="1"/>
    <xf numFmtId="170" fontId="17" fillId="0" borderId="13" xfId="0" applyNumberFormat="1" applyFont="1" applyBorder="1"/>
    <xf numFmtId="0" fontId="0" fillId="0" borderId="9" xfId="0" applyBorder="1"/>
    <xf numFmtId="3" fontId="18" fillId="0" borderId="9" xfId="9" applyNumberFormat="1" applyFont="1" applyFill="1" applyBorder="1" applyAlignment="1"/>
    <xf numFmtId="3" fontId="18" fillId="15" borderId="0" xfId="9" applyNumberFormat="1" applyFont="1" applyFill="1" applyBorder="1" applyAlignment="1"/>
    <xf numFmtId="164" fontId="18" fillId="15" borderId="0" xfId="10" applyNumberFormat="1" applyFont="1" applyFill="1" applyBorder="1" applyAlignment="1"/>
    <xf numFmtId="3" fontId="18" fillId="16" borderId="0" xfId="9" applyNumberFormat="1" applyFont="1" applyFill="1" applyBorder="1" applyAlignment="1"/>
    <xf numFmtId="171" fontId="18" fillId="0" borderId="0" xfId="9" applyNumberFormat="1" applyFont="1" applyFill="1" applyBorder="1" applyAlignment="1"/>
    <xf numFmtId="170" fontId="18" fillId="0" borderId="10" xfId="9" applyNumberFormat="1" applyFont="1" applyFill="1" applyBorder="1" applyAlignment="1"/>
    <xf numFmtId="3" fontId="18" fillId="17" borderId="0" xfId="9" applyNumberFormat="1" applyFont="1" applyFill="1" applyBorder="1" applyAlignment="1"/>
    <xf numFmtId="164" fontId="18" fillId="17" borderId="0" xfId="10" applyNumberFormat="1" applyFont="1" applyFill="1" applyBorder="1" applyAlignment="1"/>
    <xf numFmtId="3" fontId="18" fillId="0" borderId="0" xfId="9" applyNumberFormat="1" applyFont="1" applyFill="1" applyBorder="1" applyAlignment="1"/>
    <xf numFmtId="164" fontId="18" fillId="0" borderId="0" xfId="10" applyNumberFormat="1" applyFont="1" applyFill="1" applyBorder="1" applyAlignment="1"/>
    <xf numFmtId="170" fontId="18" fillId="0" borderId="0" xfId="9" applyNumberFormat="1" applyFont="1" applyFill="1" applyBorder="1" applyAlignment="1"/>
    <xf numFmtId="3" fontId="0" fillId="0" borderId="0" xfId="0" applyNumberFormat="1"/>
    <xf numFmtId="3" fontId="18" fillId="0" borderId="0" xfId="0" applyNumberFormat="1" applyFont="1" applyAlignment="1">
      <alignment vertical="top"/>
    </xf>
    <xf numFmtId="0" fontId="0" fillId="18" borderId="0" xfId="0" applyFill="1"/>
    <xf numFmtId="164" fontId="0" fillId="0" borderId="0" xfId="0" applyNumberFormat="1"/>
    <xf numFmtId="1" fontId="18" fillId="0" borderId="0" xfId="10" applyNumberFormat="1" applyFont="1" applyFill="1" applyBorder="1" applyAlignment="1"/>
    <xf numFmtId="0" fontId="18" fillId="0" borderId="9" xfId="0" applyFont="1" applyBorder="1"/>
    <xf numFmtId="164" fontId="18" fillId="0" borderId="0" xfId="9" applyNumberFormat="1" applyFont="1" applyFill="1" applyBorder="1" applyAlignment="1"/>
    <xf numFmtId="3" fontId="18" fillId="12" borderId="0" xfId="9" applyNumberFormat="1" applyFont="1" applyFill="1" applyBorder="1" applyAlignment="1"/>
    <xf numFmtId="164" fontId="18" fillId="16" borderId="0" xfId="10" applyNumberFormat="1" applyFont="1" applyFill="1" applyBorder="1" applyAlignment="1"/>
    <xf numFmtId="3" fontId="0" fillId="12" borderId="0" xfId="0" applyNumberFormat="1" applyFill="1"/>
    <xf numFmtId="164" fontId="0" fillId="12" borderId="0" xfId="0" applyNumberFormat="1" applyFill="1"/>
    <xf numFmtId="164" fontId="18" fillId="12" borderId="0" xfId="10" applyNumberFormat="1" applyFont="1" applyFill="1" applyBorder="1" applyAlignment="1"/>
    <xf numFmtId="3" fontId="18" fillId="0" borderId="0" xfId="10" applyNumberFormat="1" applyFont="1" applyFill="1" applyBorder="1" applyAlignment="1"/>
    <xf numFmtId="3" fontId="18" fillId="0" borderId="0" xfId="9" applyNumberFormat="1" applyFont="1" applyBorder="1" applyAlignment="1"/>
    <xf numFmtId="164" fontId="18" fillId="0" borderId="0" xfId="10" applyNumberFormat="1" applyFont="1" applyBorder="1" applyAlignment="1"/>
    <xf numFmtId="3" fontId="17" fillId="0" borderId="11" xfId="9" applyNumberFormat="1" applyFont="1" applyFill="1" applyBorder="1" applyAlignment="1">
      <alignment horizontal="right"/>
    </xf>
    <xf numFmtId="3" fontId="17" fillId="0" borderId="12" xfId="9" applyNumberFormat="1" applyFont="1" applyFill="1" applyBorder="1" applyAlignment="1">
      <alignment horizontal="right"/>
    </xf>
    <xf numFmtId="164" fontId="17" fillId="0" borderId="12" xfId="10" applyNumberFormat="1" applyFont="1" applyFill="1" applyBorder="1" applyAlignment="1"/>
    <xf numFmtId="3" fontId="17" fillId="0" borderId="12" xfId="9" applyNumberFormat="1" applyFont="1" applyBorder="1" applyAlignment="1"/>
    <xf numFmtId="171" fontId="17" fillId="0" borderId="12" xfId="9" applyNumberFormat="1" applyFont="1" applyFill="1" applyBorder="1" applyAlignment="1"/>
    <xf numFmtId="170" fontId="17" fillId="0" borderId="13" xfId="9" applyNumberFormat="1" applyFont="1" applyFill="1" applyBorder="1" applyAlignment="1"/>
    <xf numFmtId="165" fontId="18" fillId="15" borderId="0" xfId="9" applyNumberFormat="1" applyFont="1" applyFill="1" applyBorder="1" applyAlignment="1"/>
    <xf numFmtId="3" fontId="18" fillId="19" borderId="0" xfId="9" applyNumberFormat="1" applyFont="1" applyFill="1" applyBorder="1" applyAlignment="1"/>
    <xf numFmtId="165" fontId="18" fillId="19" borderId="0" xfId="9" applyNumberFormat="1" applyFont="1" applyFill="1" applyBorder="1" applyAlignment="1"/>
    <xf numFmtId="165" fontId="18" fillId="12" borderId="0" xfId="9" applyNumberFormat="1" applyFont="1" applyFill="1" applyBorder="1" applyAlignment="1"/>
    <xf numFmtId="165" fontId="18" fillId="17" borderId="0" xfId="9" applyNumberFormat="1" applyFont="1" applyFill="1" applyBorder="1" applyAlignment="1"/>
    <xf numFmtId="3" fontId="17" fillId="0" borderId="12" xfId="9" applyNumberFormat="1" applyFont="1" applyBorder="1" applyAlignment="1">
      <alignment horizontal="right"/>
    </xf>
    <xf numFmtId="170" fontId="18" fillId="12" borderId="10" xfId="9" applyNumberFormat="1" applyFont="1" applyFill="1" applyBorder="1" applyAlignment="1"/>
    <xf numFmtId="10" fontId="0" fillId="0" borderId="0" xfId="0" applyNumberFormat="1"/>
    <xf numFmtId="3" fontId="18" fillId="20" borderId="0" xfId="9" applyNumberFormat="1" applyFont="1" applyFill="1" applyBorder="1" applyAlignment="1"/>
    <xf numFmtId="0" fontId="18" fillId="0" borderId="0" xfId="10" applyNumberFormat="1" applyFont="1" applyBorder="1" applyAlignment="1"/>
    <xf numFmtId="172" fontId="18" fillId="0" borderId="0" xfId="9" applyNumberFormat="1" applyFont="1" applyFill="1" applyBorder="1" applyAlignment="1"/>
    <xf numFmtId="164" fontId="18" fillId="16" borderId="0" xfId="0" applyNumberFormat="1" applyFont="1" applyFill="1"/>
    <xf numFmtId="171" fontId="0" fillId="0" borderId="0" xfId="0" applyNumberFormat="1"/>
    <xf numFmtId="170" fontId="0" fillId="0" borderId="10" xfId="0" applyNumberFormat="1" applyBorder="1"/>
    <xf numFmtId="0" fontId="18" fillId="0" borderId="14" xfId="0" applyFont="1" applyBorder="1"/>
    <xf numFmtId="164" fontId="18" fillId="12" borderId="0" xfId="0" applyNumberFormat="1" applyFont="1" applyFill="1"/>
    <xf numFmtId="164" fontId="18" fillId="0" borderId="0" xfId="0" applyNumberFormat="1" applyFont="1"/>
    <xf numFmtId="0" fontId="0" fillId="0" borderId="14" xfId="0" applyBorder="1"/>
    <xf numFmtId="0" fontId="0" fillId="0" borderId="15" xfId="0" applyBorder="1"/>
    <xf numFmtId="3" fontId="18" fillId="0" borderId="16" xfId="9" applyNumberFormat="1" applyFont="1" applyFill="1" applyBorder="1" applyAlignment="1"/>
    <xf numFmtId="3" fontId="18" fillId="12" borderId="16" xfId="9" applyNumberFormat="1" applyFont="1" applyFill="1" applyBorder="1" applyAlignment="1"/>
    <xf numFmtId="164" fontId="18" fillId="12" borderId="16" xfId="0" applyNumberFormat="1" applyFont="1" applyFill="1" applyBorder="1"/>
    <xf numFmtId="171" fontId="0" fillId="0" borderId="16" xfId="0" applyNumberFormat="1" applyBorder="1"/>
    <xf numFmtId="170" fontId="0" fillId="0" borderId="17" xfId="0" applyNumberFormat="1" applyBorder="1"/>
    <xf numFmtId="3" fontId="0" fillId="0" borderId="0" xfId="9" applyNumberFormat="1" applyFont="1" applyFill="1" applyBorder="1" applyAlignment="1"/>
    <xf numFmtId="0" fontId="0" fillId="0" borderId="0" xfId="9" applyNumberFormat="1" applyFont="1" applyFill="1" applyBorder="1" applyAlignment="1"/>
    <xf numFmtId="164" fontId="0" fillId="0" borderId="0" xfId="10" applyNumberFormat="1" applyFont="1" applyFill="1" applyBorder="1" applyAlignment="1"/>
    <xf numFmtId="170" fontId="0" fillId="0" borderId="0" xfId="0" applyNumberFormat="1"/>
    <xf numFmtId="0" fontId="18" fillId="0" borderId="0" xfId="9" applyNumberFormat="1" applyFont="1" applyBorder="1" applyAlignment="1"/>
    <xf numFmtId="0" fontId="0" fillId="0" borderId="6" xfId="0" applyBorder="1" applyAlignment="1">
      <alignment horizontal="right"/>
    </xf>
    <xf numFmtId="0" fontId="18" fillId="21" borderId="18" xfId="9" applyNumberFormat="1" applyFont="1" applyFill="1" applyBorder="1" applyAlignment="1">
      <alignment horizontal="right"/>
    </xf>
    <xf numFmtId="0" fontId="0" fillId="0" borderId="7" xfId="9" applyNumberFormat="1" applyFont="1" applyBorder="1" applyAlignment="1">
      <alignment horizontal="right"/>
    </xf>
    <xf numFmtId="0" fontId="0" fillId="0" borderId="7" xfId="9" applyNumberFormat="1" applyFont="1" applyFill="1" applyBorder="1" applyAlignment="1">
      <alignment horizontal="right"/>
    </xf>
    <xf numFmtId="0" fontId="0" fillId="0" borderId="8" xfId="9" applyNumberFormat="1" applyFont="1" applyFill="1" applyBorder="1" applyAlignment="1">
      <alignment horizontal="right"/>
    </xf>
    <xf numFmtId="0" fontId="0" fillId="0" borderId="19" xfId="0" applyBorder="1" applyAlignment="1">
      <alignment horizontal="right"/>
    </xf>
    <xf numFmtId="0" fontId="18" fillId="21" borderId="15" xfId="9" applyNumberFormat="1" applyFont="1" applyFill="1" applyBorder="1" applyAlignment="1">
      <alignment horizontal="right"/>
    </xf>
    <xf numFmtId="0" fontId="18" fillId="0" borderId="16" xfId="9" applyNumberFormat="1" applyFont="1" applyBorder="1" applyAlignment="1">
      <alignment horizontal="right"/>
    </xf>
    <xf numFmtId="0" fontId="18" fillId="0" borderId="17" xfId="9" applyNumberFormat="1" applyFont="1" applyBorder="1" applyAlignment="1">
      <alignment horizontal="right"/>
    </xf>
    <xf numFmtId="0" fontId="0" fillId="0" borderId="9" xfId="0" applyBorder="1" applyAlignment="1">
      <alignment horizontal="right"/>
    </xf>
    <xf numFmtId="3" fontId="0" fillId="0" borderId="14" xfId="0" applyNumberFormat="1" applyBorder="1"/>
    <xf numFmtId="0" fontId="0" fillId="0" borderId="10" xfId="0" applyBorder="1"/>
    <xf numFmtId="3" fontId="0" fillId="0" borderId="15" xfId="0" applyNumberFormat="1" applyBorder="1"/>
    <xf numFmtId="0" fontId="0" fillId="0" borderId="16" xfId="0" applyBorder="1"/>
    <xf numFmtId="0" fontId="0" fillId="0" borderId="17" xfId="0" applyBorder="1"/>
    <xf numFmtId="0" fontId="0" fillId="0" borderId="6" xfId="0" applyBorder="1" applyAlignment="1">
      <alignment horizontal="left"/>
    </xf>
    <xf numFmtId="3" fontId="0" fillId="21" borderId="18" xfId="0" applyNumberFormat="1" applyFill="1"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20" borderId="0" xfId="0" applyFill="1"/>
    <xf numFmtId="0" fontId="0" fillId="20" borderId="10" xfId="0" applyFill="1" applyBorder="1"/>
    <xf numFmtId="2" fontId="0" fillId="0" borderId="8" xfId="0" applyNumberFormat="1" applyBorder="1"/>
    <xf numFmtId="2" fontId="0" fillId="0" borderId="10" xfId="0" applyNumberFormat="1" applyBorder="1"/>
    <xf numFmtId="2" fontId="0" fillId="0" borderId="17" xfId="0" applyNumberFormat="1" applyBorder="1"/>
    <xf numFmtId="0" fontId="0" fillId="16" borderId="0" xfId="0" applyFill="1" applyAlignment="1">
      <alignment horizontal="center"/>
    </xf>
    <xf numFmtId="168" fontId="0" fillId="16" borderId="0" xfId="0" applyNumberFormat="1" applyFill="1" applyAlignment="1">
      <alignment horizontal="center"/>
    </xf>
    <xf numFmtId="165" fontId="0" fillId="16" borderId="0" xfId="0" applyNumberFormat="1" applyFill="1" applyAlignment="1">
      <alignment horizontal="center"/>
    </xf>
    <xf numFmtId="0" fontId="0" fillId="0" borderId="0" xfId="0" applyAlignment="1">
      <alignment horizontal="center"/>
    </xf>
    <xf numFmtId="168" fontId="0" fillId="0" borderId="0" xfId="0" applyNumberFormat="1" applyAlignment="1">
      <alignment horizontal="center"/>
    </xf>
    <xf numFmtId="165" fontId="0" fillId="0" borderId="0" xfId="0" applyNumberFormat="1" applyAlignment="1">
      <alignment horizontal="center"/>
    </xf>
    <xf numFmtId="0" fontId="17" fillId="0" borderId="11" xfId="0" applyFont="1" applyBorder="1" applyAlignment="1">
      <alignment horizontal="right" wrapText="1"/>
    </xf>
    <xf numFmtId="0" fontId="17" fillId="0" borderId="12" xfId="0" applyFont="1" applyBorder="1" applyAlignment="1">
      <alignment horizontal="center" wrapText="1"/>
    </xf>
    <xf numFmtId="0" fontId="17" fillId="0" borderId="13" xfId="0" applyFont="1" applyBorder="1" applyAlignment="1">
      <alignment horizontal="right" wrapText="1"/>
    </xf>
    <xf numFmtId="0" fontId="17" fillId="0" borderId="12" xfId="0" applyFont="1" applyBorder="1" applyAlignment="1">
      <alignment horizontal="right" wrapText="1"/>
    </xf>
    <xf numFmtId="0" fontId="0" fillId="0" borderId="6" xfId="0" applyBorder="1" applyAlignment="1">
      <alignment horizontal="center"/>
    </xf>
    <xf numFmtId="165" fontId="0" fillId="0" borderId="7" xfId="0" applyNumberFormat="1"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164" fontId="0" fillId="0" borderId="10" xfId="0" applyNumberFormat="1" applyBorder="1" applyAlignment="1">
      <alignment horizontal="center"/>
    </xf>
    <xf numFmtId="0" fontId="17" fillId="0" borderId="9" xfId="0" applyFont="1" applyBorder="1" applyAlignment="1">
      <alignment horizontal="center"/>
    </xf>
    <xf numFmtId="165" fontId="17" fillId="0" borderId="0" xfId="0" applyNumberFormat="1" applyFont="1" applyAlignment="1">
      <alignment horizontal="center"/>
    </xf>
    <xf numFmtId="164" fontId="17" fillId="0" borderId="10" xfId="0" applyNumberFormat="1" applyFont="1" applyBorder="1" applyAlignment="1">
      <alignment horizontal="center"/>
    </xf>
    <xf numFmtId="0" fontId="0" fillId="0" borderId="19" xfId="0" applyBorder="1" applyAlignment="1">
      <alignment horizontal="center"/>
    </xf>
    <xf numFmtId="165" fontId="0" fillId="0" borderId="16" xfId="0" applyNumberFormat="1" applyBorder="1" applyAlignment="1">
      <alignment horizontal="center"/>
    </xf>
    <xf numFmtId="164" fontId="0" fillId="0" borderId="17" xfId="0" applyNumberFormat="1" applyBorder="1" applyAlignment="1">
      <alignment horizontal="center"/>
    </xf>
    <xf numFmtId="0" fontId="17" fillId="0" borderId="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3" fontId="0" fillId="0" borderId="10" xfId="0" applyNumberFormat="1" applyBorder="1" applyAlignment="1">
      <alignment horizontal="center"/>
    </xf>
    <xf numFmtId="171" fontId="0" fillId="0" borderId="0" xfId="0" applyNumberFormat="1" applyAlignment="1">
      <alignment horizontal="center"/>
    </xf>
    <xf numFmtId="169" fontId="0" fillId="0" borderId="10" xfId="0" applyNumberFormat="1" applyBorder="1" applyAlignment="1">
      <alignment horizontal="center"/>
    </xf>
    <xf numFmtId="0" fontId="0" fillId="0" borderId="15" xfId="0" applyBorder="1" applyAlignment="1">
      <alignment horizontal="center"/>
    </xf>
    <xf numFmtId="171" fontId="0" fillId="0" borderId="16" xfId="0" applyNumberFormat="1" applyBorder="1" applyAlignment="1">
      <alignment horizontal="center"/>
    </xf>
    <xf numFmtId="169" fontId="0" fillId="0" borderId="16" xfId="0" applyNumberFormat="1" applyBorder="1" applyAlignment="1">
      <alignment horizontal="center"/>
    </xf>
    <xf numFmtId="3" fontId="0" fillId="0" borderId="17" xfId="0" applyNumberFormat="1" applyBorder="1" applyAlignment="1">
      <alignment horizontal="center"/>
    </xf>
    <xf numFmtId="172" fontId="0" fillId="0" borderId="0" xfId="0" applyNumberFormat="1" applyAlignment="1">
      <alignment horizontal="center"/>
    </xf>
    <xf numFmtId="170" fontId="0" fillId="0" borderId="0" xfId="0" applyNumberFormat="1" applyAlignment="1">
      <alignment horizontal="center"/>
    </xf>
    <xf numFmtId="167" fontId="0" fillId="0" borderId="0" xfId="0" applyNumberFormat="1" applyAlignment="1">
      <alignment horizontal="center"/>
    </xf>
    <xf numFmtId="167" fontId="0" fillId="0" borderId="10" xfId="0" applyNumberFormat="1" applyBorder="1" applyAlignment="1">
      <alignment horizontal="center"/>
    </xf>
    <xf numFmtId="166" fontId="0" fillId="0" borderId="0" xfId="0" applyNumberFormat="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0" fontId="2" fillId="12" borderId="0" xfId="0" applyFont="1" applyFill="1"/>
    <xf numFmtId="0" fontId="0" fillId="12" borderId="0" xfId="0" applyFill="1" applyAlignment="1">
      <alignment horizontal="right"/>
    </xf>
    <xf numFmtId="0" fontId="0" fillId="12" borderId="0" xfId="0" applyFill="1" applyAlignment="1">
      <alignment horizontal="left"/>
    </xf>
    <xf numFmtId="176" fontId="0" fillId="0" borderId="0" xfId="0" applyNumberFormat="1" applyAlignment="1">
      <alignment horizontal="right"/>
    </xf>
    <xf numFmtId="176" fontId="0" fillId="2" borderId="0" xfId="0" applyNumberFormat="1" applyFill="1" applyAlignment="1">
      <alignment horizontal="right"/>
    </xf>
    <xf numFmtId="0" fontId="26" fillId="0" borderId="0" xfId="1" applyFont="1" applyAlignment="1" applyProtection="1"/>
    <xf numFmtId="11" fontId="0" fillId="0" borderId="0" xfId="0" applyNumberFormat="1"/>
    <xf numFmtId="0" fontId="2" fillId="4" borderId="0" xfId="0" applyFont="1" applyFill="1"/>
    <xf numFmtId="0" fontId="2" fillId="22" borderId="0" xfId="0" applyFont="1" applyFill="1"/>
    <xf numFmtId="0" fontId="0" fillId="22" borderId="0" xfId="0" applyFill="1"/>
    <xf numFmtId="0" fontId="27" fillId="0" borderId="0" xfId="1" applyFont="1"/>
    <xf numFmtId="0" fontId="7" fillId="0" borderId="0" xfId="3"/>
    <xf numFmtId="0" fontId="8" fillId="0" borderId="2" xfId="4">
      <alignment wrapText="1"/>
    </xf>
    <xf numFmtId="0" fontId="28" fillId="0" borderId="0" xfId="0" applyFont="1"/>
    <xf numFmtId="0" fontId="29" fillId="0" borderId="0" xfId="0" applyFont="1"/>
    <xf numFmtId="0" fontId="10" fillId="0" borderId="0" xfId="0" applyFont="1"/>
    <xf numFmtId="0" fontId="11" fillId="0" borderId="0" xfId="5">
      <alignment horizontal="left"/>
    </xf>
    <xf numFmtId="0" fontId="8" fillId="0" borderId="0" xfId="0" applyFont="1" applyAlignment="1">
      <alignment horizontal="right"/>
    </xf>
    <xf numFmtId="0" fontId="8" fillId="0" borderId="2" xfId="4" applyAlignment="1">
      <alignment horizontal="right" wrapText="1"/>
    </xf>
    <xf numFmtId="0" fontId="8" fillId="0" borderId="3" xfId="6">
      <alignment wrapText="1"/>
    </xf>
    <xf numFmtId="0" fontId="0" fillId="0" borderId="4" xfId="7" applyFont="1">
      <alignment wrapText="1"/>
    </xf>
    <xf numFmtId="4" fontId="0" fillId="0" borderId="4" xfId="7" applyNumberFormat="1" applyFont="1" applyAlignment="1">
      <alignment horizontal="right" wrapText="1"/>
    </xf>
    <xf numFmtId="164" fontId="0" fillId="0" borderId="4" xfId="7" applyNumberFormat="1" applyFont="1" applyAlignment="1">
      <alignment horizontal="right" wrapText="1"/>
    </xf>
    <xf numFmtId="4" fontId="8" fillId="0" borderId="3" xfId="6" applyNumberFormat="1" applyAlignment="1">
      <alignment horizontal="right" wrapText="1"/>
    </xf>
    <xf numFmtId="164" fontId="8" fillId="0" borderId="3" xfId="6" applyNumberFormat="1" applyAlignment="1">
      <alignment horizontal="right" wrapText="1"/>
    </xf>
    <xf numFmtId="3" fontId="0" fillId="0" borderId="4" xfId="7" applyNumberFormat="1" applyFont="1" applyAlignment="1">
      <alignment horizontal="right" wrapText="1"/>
    </xf>
    <xf numFmtId="165" fontId="0" fillId="0" borderId="4" xfId="7" applyNumberFormat="1" applyFont="1" applyAlignment="1">
      <alignment horizontal="right" wrapText="1"/>
    </xf>
    <xf numFmtId="0" fontId="0" fillId="0" borderId="5" xfId="0" applyBorder="1"/>
    <xf numFmtId="0" fontId="12" fillId="0" borderId="0" xfId="0" applyFont="1"/>
    <xf numFmtId="169" fontId="0" fillId="0" borderId="4" xfId="7" applyNumberFormat="1" applyFont="1" applyAlignment="1">
      <alignment horizontal="right" wrapText="1"/>
    </xf>
    <xf numFmtId="0" fontId="9" fillId="0" borderId="0" xfId="0" applyFont="1"/>
    <xf numFmtId="0" fontId="1" fillId="0" borderId="0" xfId="21"/>
    <xf numFmtId="0" fontId="0" fillId="23" borderId="0" xfId="0" applyFill="1"/>
    <xf numFmtId="0" fontId="1" fillId="23" borderId="0" xfId="21" applyFill="1"/>
    <xf numFmtId="0" fontId="30" fillId="24" borderId="0" xfId="21" applyFont="1" applyFill="1"/>
    <xf numFmtId="0" fontId="30" fillId="0" borderId="0" xfId="21" applyFont="1"/>
    <xf numFmtId="11" fontId="1" fillId="0" borderId="0" xfId="21" applyNumberFormat="1"/>
    <xf numFmtId="0" fontId="30" fillId="0" borderId="0" xfId="21" applyFont="1" applyAlignment="1">
      <alignment wrapText="1"/>
    </xf>
    <xf numFmtId="0" fontId="1" fillId="0" borderId="11" xfId="21" applyBorder="1"/>
    <xf numFmtId="0" fontId="1" fillId="0" borderId="12" xfId="21" applyBorder="1"/>
    <xf numFmtId="0" fontId="1" fillId="0" borderId="13" xfId="21" applyBorder="1"/>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5" fillId="7" borderId="1" xfId="0" applyFont="1" applyFill="1" applyBorder="1" applyAlignment="1">
      <alignment horizontal="center" wrapText="1"/>
    </xf>
    <xf numFmtId="0" fontId="7" fillId="0" borderId="5" xfId="8">
      <alignment wrapText="1"/>
    </xf>
    <xf numFmtId="0" fontId="12" fillId="0" borderId="5" xfId="8" applyFont="1">
      <alignment wrapText="1"/>
    </xf>
    <xf numFmtId="0" fontId="0" fillId="0" borderId="5" xfId="0" applyBorder="1"/>
    <xf numFmtId="0" fontId="0" fillId="0" borderId="0" xfId="0"/>
    <xf numFmtId="0" fontId="2" fillId="25" borderId="0" xfId="0" applyFont="1" applyFill="1"/>
    <xf numFmtId="0" fontId="0" fillId="25" borderId="0" xfId="0" applyFill="1"/>
  </cellXfs>
  <cellStyles count="22">
    <cellStyle name="Body: normal cell" xfId="7" xr:uid="{00000000-0005-0000-0000-000000000000}"/>
    <cellStyle name="Body: normal cell 2" xfId="15" xr:uid="{00000000-0005-0000-0000-000001000000}"/>
    <cellStyle name="Comma" xfId="9" builtinId="3"/>
    <cellStyle name="Font: Calibri, 9pt regular" xfId="3" xr:uid="{00000000-0005-0000-0000-000003000000}"/>
    <cellStyle name="Font: Calibri, 9pt regular 2" xfId="11" xr:uid="{00000000-0005-0000-0000-000004000000}"/>
    <cellStyle name="Footnotes: all except top row" xfId="17" xr:uid="{00000000-0005-0000-0000-000005000000}"/>
    <cellStyle name="Footnotes: top row" xfId="8" xr:uid="{00000000-0005-0000-0000-000006000000}"/>
    <cellStyle name="Footnotes: top row 2" xfId="16" xr:uid="{00000000-0005-0000-0000-000007000000}"/>
    <cellStyle name="Header: bottom row" xfId="4" xr:uid="{00000000-0005-0000-0000-000008000000}"/>
    <cellStyle name="Header: bottom row 2" xfId="12" xr:uid="{00000000-0005-0000-0000-000009000000}"/>
    <cellStyle name="Header: top rows" xfId="18" xr:uid="{00000000-0005-0000-0000-00000A000000}"/>
    <cellStyle name="Hyperlink" xfId="1" builtinId="8"/>
    <cellStyle name="Normal" xfId="0" builtinId="0"/>
    <cellStyle name="Normal 2" xfId="2" xr:uid="{00000000-0005-0000-0000-00000D000000}"/>
    <cellStyle name="Normal 3" xfId="21" xr:uid="{DE89BB4D-14B3-BD4C-A8DA-11EADD4DDDC1}"/>
    <cellStyle name="Parent row" xfId="6" xr:uid="{00000000-0005-0000-0000-00000E000000}"/>
    <cellStyle name="Parent row 2" xfId="14" xr:uid="{00000000-0005-0000-0000-00000F000000}"/>
    <cellStyle name="Percent" xfId="10" builtinId="5"/>
    <cellStyle name="Section Break" xfId="19" xr:uid="{00000000-0005-0000-0000-000011000000}"/>
    <cellStyle name="Section Break: parent row" xfId="20" xr:uid="{00000000-0005-0000-0000-000012000000}"/>
    <cellStyle name="Table title" xfId="5" xr:uid="{00000000-0005-0000-0000-000013000000}"/>
    <cellStyle name="Table title 2" xfId="13"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naxolt/Google%20Drive/2021/D.Development/TARGET_eps-us-3.2.1/InputData/bldgs/BCEU/BAU%20Components%20Energy%20Usechec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riana%20Bulos/Google%20Drive/2018.WRI-EPS2/0.Documentos%20trabajo%20modelo/eps-1.1.4-mexico_PHASE%201/InputData_PHASE%201/bldgs_PHASE%201/BASoBC/BAU%20Amt%20Spent%20on%20Bldg%20Components_PHAS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mmercial"/>
      <sheetName val="Residential"/>
      <sheetName val="MX urban Rural"/>
      <sheetName val="Calculations"/>
      <sheetName val="Scaling Factors"/>
      <sheetName val="BASoBC-urban-residential"/>
      <sheetName val="BASoBC-rural-residential"/>
      <sheetName val="BASoBC-commerci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facts-and-figures-about-materials-waste-and-recycling/national-overview-facts-and-figures-materials" TargetMode="External"/><Relationship Id="rId3" Type="http://schemas.openxmlformats.org/officeDocument/2006/relationships/hyperlink" Target="https://www.eia.gov/todayinenergy/detail.php?id=37192" TargetMode="External"/><Relationship Id="rId7" Type="http://schemas.openxmlformats.org/officeDocument/2006/relationships/hyperlink" Target="https://www.trade.gov/topmarkets/pdf/Renewable_Fuels_Biomass_Wood_Pellets.pdf" TargetMode="External"/><Relationship Id="rId12" Type="http://schemas.openxmlformats.org/officeDocument/2006/relationships/printerSettings" Target="../printerSettings/printerSettings1.bin"/><Relationship Id="rId2" Type="http://schemas.openxmlformats.org/officeDocument/2006/relationships/hyperlink" Target="https://www.eia.gov/dnav/pet/pet_sum_snd_d_nus_mbbl_a_cur.htm" TargetMode="External"/><Relationship Id="rId1" Type="http://schemas.openxmlformats.org/officeDocument/2006/relationships/hyperlink" Target="https://www.eia.gov/outlooks/aeo/tables_ref.php" TargetMode="External"/><Relationship Id="rId6" Type="http://schemas.openxmlformats.org/officeDocument/2006/relationships/hyperlink" Target="https://www.eia.gov/biofuels/biomass/?year=2016&amp;month=13" TargetMode="External"/><Relationship Id="rId11" Type="http://schemas.openxmlformats.org/officeDocument/2006/relationships/hyperlink" Target="https://www.gob.mx/sener/articulos/balance-nacional-de-energia-296106" TargetMode="External"/><Relationship Id="rId5" Type="http://schemas.openxmlformats.org/officeDocument/2006/relationships/hyperlink" Target="https://www.eia.gov/energyexplained/index.php?page=coal_imports" TargetMode="External"/><Relationship Id="rId10" Type="http://schemas.openxmlformats.org/officeDocument/2006/relationships/hyperlink" Target="https://www.uranium.info/unit_conversion_table.php" TargetMode="External"/><Relationship Id="rId4" Type="http://schemas.openxmlformats.org/officeDocument/2006/relationships/hyperlink" Target="https://www.eia.gov/energyexplained/index.php?page=coal_where" TargetMode="External"/><Relationship Id="rId9" Type="http://schemas.openxmlformats.org/officeDocument/2006/relationships/hyperlink" Target="https://www.energy.gov/eere/fuelcells/fact-month-may-2018-10-million-metric-tons-hydrogen-produced-annually-united-st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
  <sheetViews>
    <sheetView workbookViewId="0">
      <selection activeCell="F20" sqref="F20"/>
    </sheetView>
  </sheetViews>
  <sheetFormatPr defaultColWidth="8.88671875" defaultRowHeight="14.4" x14ac:dyDescent="0.3"/>
  <cols>
    <col min="2" max="2" width="82.6640625" customWidth="1"/>
    <col min="6" max="6" width="40.33203125" customWidth="1"/>
  </cols>
  <sheetData>
    <row r="1" spans="1:6" x14ac:dyDescent="0.3">
      <c r="A1" s="1" t="s">
        <v>0</v>
      </c>
    </row>
    <row r="2" spans="1:6" x14ac:dyDescent="0.3">
      <c r="A2" s="1" t="s">
        <v>1</v>
      </c>
    </row>
    <row r="3" spans="1:6" x14ac:dyDescent="0.3">
      <c r="A3" s="1" t="s">
        <v>2</v>
      </c>
    </row>
    <row r="5" spans="1:6" x14ac:dyDescent="0.3">
      <c r="A5" s="1" t="s">
        <v>3</v>
      </c>
      <c r="B5" s="2" t="s">
        <v>4</v>
      </c>
      <c r="F5" s="2" t="s">
        <v>785</v>
      </c>
    </row>
    <row r="6" spans="1:6" ht="15.6" x14ac:dyDescent="0.3">
      <c r="B6" t="s">
        <v>5</v>
      </c>
      <c r="F6" s="219" t="s">
        <v>640</v>
      </c>
    </row>
    <row r="7" spans="1:6" ht="15.6" x14ac:dyDescent="0.3">
      <c r="B7" s="3">
        <v>2019</v>
      </c>
      <c r="F7" s="219" t="s">
        <v>641</v>
      </c>
    </row>
    <row r="8" spans="1:6" ht="15.6" x14ac:dyDescent="0.3">
      <c r="B8" t="s">
        <v>6</v>
      </c>
      <c r="F8" s="219" t="s">
        <v>642</v>
      </c>
    </row>
    <row r="9" spans="1:6" ht="15.6" x14ac:dyDescent="0.3">
      <c r="B9" s="4" t="s">
        <v>7</v>
      </c>
      <c r="F9" s="219" t="s">
        <v>685</v>
      </c>
    </row>
    <row r="10" spans="1:6" ht="15.6" x14ac:dyDescent="0.3">
      <c r="B10" t="s">
        <v>8</v>
      </c>
      <c r="F10" s="219" t="s">
        <v>644</v>
      </c>
    </row>
    <row r="11" spans="1:6" ht="15.6" x14ac:dyDescent="0.3">
      <c r="F11" s="219" t="s">
        <v>686</v>
      </c>
    </row>
    <row r="12" spans="1:6" x14ac:dyDescent="0.3">
      <c r="B12" s="2" t="s">
        <v>9</v>
      </c>
      <c r="F12" s="4" t="s">
        <v>786</v>
      </c>
    </row>
    <row r="13" spans="1:6" x14ac:dyDescent="0.3">
      <c r="B13" t="s">
        <v>5</v>
      </c>
    </row>
    <row r="14" spans="1:6" x14ac:dyDescent="0.3">
      <c r="B14" s="3">
        <v>2018</v>
      </c>
    </row>
    <row r="15" spans="1:6" x14ac:dyDescent="0.3">
      <c r="B15" t="s">
        <v>10</v>
      </c>
    </row>
    <row r="16" spans="1:6" x14ac:dyDescent="0.3">
      <c r="B16" s="4" t="s">
        <v>11</v>
      </c>
    </row>
    <row r="17" spans="2:2" x14ac:dyDescent="0.3">
      <c r="B17" t="s">
        <v>12</v>
      </c>
    </row>
    <row r="19" spans="2:2" x14ac:dyDescent="0.3">
      <c r="B19" s="2" t="s">
        <v>13</v>
      </c>
    </row>
    <row r="20" spans="2:2" x14ac:dyDescent="0.3">
      <c r="B20" t="s">
        <v>5</v>
      </c>
    </row>
    <row r="21" spans="2:2" x14ac:dyDescent="0.3">
      <c r="B21" s="3">
        <v>2019</v>
      </c>
    </row>
    <row r="22" spans="2:2" x14ac:dyDescent="0.3">
      <c r="B22" t="s">
        <v>14</v>
      </c>
    </row>
    <row r="23" spans="2:2" x14ac:dyDescent="0.3">
      <c r="B23" s="4" t="s">
        <v>15</v>
      </c>
    </row>
    <row r="24" spans="2:2" x14ac:dyDescent="0.3">
      <c r="B24" s="4" t="s">
        <v>16</v>
      </c>
    </row>
    <row r="25" spans="2:2" x14ac:dyDescent="0.3">
      <c r="B25" s="4" t="s">
        <v>17</v>
      </c>
    </row>
    <row r="27" spans="2:2" x14ac:dyDescent="0.3">
      <c r="B27" s="2" t="s">
        <v>18</v>
      </c>
    </row>
    <row r="28" spans="2:2" x14ac:dyDescent="0.3">
      <c r="B28" t="s">
        <v>5</v>
      </c>
    </row>
    <row r="29" spans="2:2" x14ac:dyDescent="0.3">
      <c r="B29" s="3">
        <v>2017</v>
      </c>
    </row>
    <row r="30" spans="2:2" x14ac:dyDescent="0.3">
      <c r="B30" t="s">
        <v>19</v>
      </c>
    </row>
    <row r="31" spans="2:2" x14ac:dyDescent="0.3">
      <c r="B31" s="4" t="s">
        <v>20</v>
      </c>
    </row>
    <row r="32" spans="2:2" x14ac:dyDescent="0.3">
      <c r="B32" t="s">
        <v>21</v>
      </c>
    </row>
    <row r="34" spans="2:2" x14ac:dyDescent="0.3">
      <c r="B34" s="2" t="s">
        <v>22</v>
      </c>
    </row>
    <row r="35" spans="2:2" x14ac:dyDescent="0.3">
      <c r="B35" t="s">
        <v>23</v>
      </c>
    </row>
    <row r="36" spans="2:2" x14ac:dyDescent="0.3">
      <c r="B36" s="3">
        <v>2017</v>
      </c>
    </row>
    <row r="37" spans="2:2" x14ac:dyDescent="0.3">
      <c r="B37" t="s">
        <v>24</v>
      </c>
    </row>
    <row r="38" spans="2:2" x14ac:dyDescent="0.3">
      <c r="B38" s="4" t="s">
        <v>25</v>
      </c>
    </row>
    <row r="39" spans="2:2" x14ac:dyDescent="0.3">
      <c r="B39" t="s">
        <v>26</v>
      </c>
    </row>
    <row r="41" spans="2:2" x14ac:dyDescent="0.3">
      <c r="B41" s="2" t="s">
        <v>27</v>
      </c>
    </row>
    <row r="42" spans="2:2" x14ac:dyDescent="0.3">
      <c r="B42" t="s">
        <v>5</v>
      </c>
    </row>
    <row r="43" spans="2:2" x14ac:dyDescent="0.3">
      <c r="B43" s="3">
        <v>2019</v>
      </c>
    </row>
    <row r="44" spans="2:2" x14ac:dyDescent="0.3">
      <c r="B44" t="s">
        <v>28</v>
      </c>
    </row>
    <row r="45" spans="2:2" x14ac:dyDescent="0.3">
      <c r="B45" s="4" t="s">
        <v>29</v>
      </c>
    </row>
    <row r="46" spans="2:2" x14ac:dyDescent="0.3">
      <c r="B46" t="s">
        <v>30</v>
      </c>
    </row>
    <row r="48" spans="2:2" x14ac:dyDescent="0.3">
      <c r="B48" s="2" t="s">
        <v>31</v>
      </c>
    </row>
    <row r="49" spans="2:2" x14ac:dyDescent="0.3">
      <c r="B49" t="s">
        <v>32</v>
      </c>
    </row>
    <row r="50" spans="2:2" x14ac:dyDescent="0.3">
      <c r="B50" s="3">
        <v>2016</v>
      </c>
    </row>
    <row r="51" spans="2:2" x14ac:dyDescent="0.3">
      <c r="B51" t="s">
        <v>33</v>
      </c>
    </row>
    <row r="52" spans="2:2" x14ac:dyDescent="0.3">
      <c r="B52" s="4" t="s">
        <v>34</v>
      </c>
    </row>
    <row r="54" spans="2:2" x14ac:dyDescent="0.3">
      <c r="B54" s="2" t="s">
        <v>35</v>
      </c>
    </row>
    <row r="55" spans="2:2" x14ac:dyDescent="0.3">
      <c r="B55" t="s">
        <v>36</v>
      </c>
    </row>
    <row r="56" spans="2:2" x14ac:dyDescent="0.3">
      <c r="B56" s="3">
        <v>2018</v>
      </c>
    </row>
    <row r="57" spans="2:2" x14ac:dyDescent="0.3">
      <c r="B57" t="s">
        <v>37</v>
      </c>
    </row>
    <row r="58" spans="2:2" x14ac:dyDescent="0.3">
      <c r="B58" s="4" t="s">
        <v>38</v>
      </c>
    </row>
    <row r="59" spans="2:2" x14ac:dyDescent="0.3">
      <c r="B59" s="4"/>
    </row>
    <row r="60" spans="2:2" x14ac:dyDescent="0.3">
      <c r="B60" s="2" t="s">
        <v>39</v>
      </c>
    </row>
    <row r="61" spans="2:2" x14ac:dyDescent="0.3">
      <c r="B61" t="s">
        <v>40</v>
      </c>
    </row>
    <row r="62" spans="2:2" x14ac:dyDescent="0.3">
      <c r="B62" s="3">
        <v>2020</v>
      </c>
    </row>
    <row r="63" spans="2:2" x14ac:dyDescent="0.3">
      <c r="B63" t="s">
        <v>41</v>
      </c>
    </row>
    <row r="64" spans="2:2" x14ac:dyDescent="0.3">
      <c r="B64" s="193" t="s">
        <v>42</v>
      </c>
    </row>
    <row r="65" spans="1:2" x14ac:dyDescent="0.3">
      <c r="B65" t="s">
        <v>43</v>
      </c>
    </row>
    <row r="67" spans="1:2" x14ac:dyDescent="0.3">
      <c r="B67" s="2" t="s">
        <v>44</v>
      </c>
    </row>
    <row r="68" spans="1:2" x14ac:dyDescent="0.3">
      <c r="B68" t="s">
        <v>45</v>
      </c>
    </row>
    <row r="69" spans="1:2" x14ac:dyDescent="0.3">
      <c r="B69" s="3">
        <v>2019</v>
      </c>
    </row>
    <row r="70" spans="1:2" x14ac:dyDescent="0.3">
      <c r="B70" t="s">
        <v>46</v>
      </c>
    </row>
    <row r="71" spans="1:2" x14ac:dyDescent="0.3">
      <c r="B71" t="s">
        <v>47</v>
      </c>
    </row>
    <row r="72" spans="1:2" x14ac:dyDescent="0.3">
      <c r="B72" t="s">
        <v>48</v>
      </c>
    </row>
    <row r="74" spans="1:2" x14ac:dyDescent="0.3">
      <c r="B74" s="2" t="s">
        <v>49</v>
      </c>
    </row>
    <row r="75" spans="1:2" x14ac:dyDescent="0.3">
      <c r="B75" t="s">
        <v>50</v>
      </c>
    </row>
    <row r="76" spans="1:2" x14ac:dyDescent="0.3">
      <c r="B76" s="3">
        <v>2019</v>
      </c>
    </row>
    <row r="77" spans="1:2" x14ac:dyDescent="0.3">
      <c r="B77" t="s">
        <v>51</v>
      </c>
    </row>
    <row r="78" spans="1:2" x14ac:dyDescent="0.3">
      <c r="B78" s="4" t="s">
        <v>52</v>
      </c>
    </row>
    <row r="79" spans="1:2" x14ac:dyDescent="0.3">
      <c r="B79" s="198"/>
    </row>
    <row r="80" spans="1:2" x14ac:dyDescent="0.3">
      <c r="A80" s="1" t="s">
        <v>53</v>
      </c>
    </row>
    <row r="82" spans="1:1" x14ac:dyDescent="0.3">
      <c r="A82" s="1" t="s">
        <v>54</v>
      </c>
    </row>
    <row r="83" spans="1:1" x14ac:dyDescent="0.3">
      <c r="A83" t="s">
        <v>55</v>
      </c>
    </row>
    <row r="84" spans="1:1" x14ac:dyDescent="0.3">
      <c r="A84" t="s">
        <v>56</v>
      </c>
    </row>
    <row r="85" spans="1:1" x14ac:dyDescent="0.3">
      <c r="A85" t="s">
        <v>57</v>
      </c>
    </row>
    <row r="86" spans="1:1" x14ac:dyDescent="0.3">
      <c r="A86" t="s">
        <v>58</v>
      </c>
    </row>
    <row r="87" spans="1:1" x14ac:dyDescent="0.3">
      <c r="A87" t="s">
        <v>59</v>
      </c>
    </row>
    <row r="89" spans="1:1" x14ac:dyDescent="0.3">
      <c r="A89" s="1" t="s">
        <v>60</v>
      </c>
    </row>
    <row r="90" spans="1:1" x14ac:dyDescent="0.3">
      <c r="A90" t="s">
        <v>61</v>
      </c>
    </row>
    <row r="91" spans="1:1" x14ac:dyDescent="0.3">
      <c r="A91" t="s">
        <v>62</v>
      </c>
    </row>
    <row r="92" spans="1:1" x14ac:dyDescent="0.3">
      <c r="A92" t="s">
        <v>63</v>
      </c>
    </row>
    <row r="93" spans="1:1" x14ac:dyDescent="0.3">
      <c r="A93" t="s">
        <v>64</v>
      </c>
    </row>
    <row r="95" spans="1:1" x14ac:dyDescent="0.3">
      <c r="A95" s="1" t="s">
        <v>65</v>
      </c>
    </row>
    <row r="96" spans="1:1" x14ac:dyDescent="0.3">
      <c r="A96" t="s">
        <v>66</v>
      </c>
    </row>
    <row r="97" spans="1:1" x14ac:dyDescent="0.3">
      <c r="A97" t="s">
        <v>67</v>
      </c>
    </row>
    <row r="98" spans="1:1" x14ac:dyDescent="0.3">
      <c r="A98" t="s">
        <v>68</v>
      </c>
    </row>
    <row r="100" spans="1:1" x14ac:dyDescent="0.3">
      <c r="A100" s="1" t="s">
        <v>69</v>
      </c>
    </row>
    <row r="101" spans="1:1" x14ac:dyDescent="0.3">
      <c r="A101" t="s">
        <v>70</v>
      </c>
    </row>
    <row r="102" spans="1:1" x14ac:dyDescent="0.3">
      <c r="A102" t="s">
        <v>71</v>
      </c>
    </row>
    <row r="103" spans="1:1" x14ac:dyDescent="0.3">
      <c r="A103" t="s">
        <v>72</v>
      </c>
    </row>
    <row r="104" spans="1:1" x14ac:dyDescent="0.3">
      <c r="A104" t="s">
        <v>73</v>
      </c>
    </row>
    <row r="105" spans="1:1" x14ac:dyDescent="0.3">
      <c r="A105" t="s">
        <v>74</v>
      </c>
    </row>
    <row r="106" spans="1:1" x14ac:dyDescent="0.3">
      <c r="A106" t="s">
        <v>75</v>
      </c>
    </row>
    <row r="107" spans="1:1" x14ac:dyDescent="0.3">
      <c r="A107" t="s">
        <v>76</v>
      </c>
    </row>
  </sheetData>
  <hyperlinks>
    <hyperlink ref="B45" r:id="rId1" xr:uid="{00000000-0004-0000-0000-000000000000}"/>
    <hyperlink ref="B9" r:id="rId2" xr:uid="{00000000-0004-0000-0000-000001000000}"/>
    <hyperlink ref="B16" r:id="rId3" xr:uid="{00000000-0004-0000-0000-000002000000}"/>
    <hyperlink ref="B23" r:id="rId4" xr:uid="{00000000-0004-0000-0000-000003000000}"/>
    <hyperlink ref="B24" r:id="rId5" xr:uid="{00000000-0004-0000-0000-000004000000}"/>
    <hyperlink ref="B31" r:id="rId6" location="table_data" xr:uid="{00000000-0004-0000-0000-000005000000}"/>
    <hyperlink ref="B38" r:id="rId7" xr:uid="{00000000-0004-0000-0000-000006000000}"/>
    <hyperlink ref="B52" r:id="rId8" xr:uid="{00000000-0004-0000-0000-000007000000}"/>
    <hyperlink ref="B58" r:id="rId9" xr:uid="{00000000-0004-0000-0000-000008000000}"/>
    <hyperlink ref="B78" r:id="rId10" xr:uid="{00000000-0004-0000-0000-000009000000}"/>
    <hyperlink ref="F12" r:id="rId11" xr:uid="{56C9DA41-C3F4-4E41-BFF7-6F7018B80F81}"/>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
  <sheetViews>
    <sheetView workbookViewId="0">
      <pane xSplit="1" ySplit="3" topLeftCell="B4" activePane="bottomRight" state="frozen"/>
      <selection pane="topRight"/>
      <selection pane="bottomLeft"/>
      <selection pane="bottomRight" activeCell="G21" sqref="G21"/>
    </sheetView>
  </sheetViews>
  <sheetFormatPr defaultColWidth="8.88671875" defaultRowHeight="14.4" x14ac:dyDescent="0.3"/>
  <cols>
    <col min="1" max="1" width="44" customWidth="1"/>
    <col min="2" max="2" width="12.33203125" customWidth="1"/>
    <col min="3" max="3" width="19.33203125" customWidth="1"/>
    <col min="4" max="4" width="13.109375" customWidth="1"/>
    <col min="9" max="9" width="12.33203125" customWidth="1"/>
  </cols>
  <sheetData>
    <row r="1" spans="1:12" x14ac:dyDescent="0.3">
      <c r="A1" s="1" t="s">
        <v>77</v>
      </c>
      <c r="B1" s="1" t="s">
        <v>78</v>
      </c>
      <c r="C1" s="1"/>
      <c r="D1" s="1" t="s">
        <v>79</v>
      </c>
    </row>
    <row r="2" spans="1:12" ht="16.5" customHeight="1" x14ac:dyDescent="0.3">
      <c r="B2" s="229" t="s">
        <v>80</v>
      </c>
      <c r="C2" s="229"/>
      <c r="D2" s="229"/>
      <c r="E2" s="229"/>
      <c r="F2" s="229"/>
      <c r="G2" s="229"/>
      <c r="H2" s="230" t="s">
        <v>81</v>
      </c>
      <c r="I2" s="230"/>
      <c r="J2" s="230"/>
      <c r="K2" s="230"/>
      <c r="L2" s="231" t="s">
        <v>82</v>
      </c>
    </row>
    <row r="3" spans="1:12" ht="36.6" x14ac:dyDescent="0.3">
      <c r="B3" s="8" t="s">
        <v>83</v>
      </c>
      <c r="C3" s="8" t="s">
        <v>84</v>
      </c>
      <c r="D3" s="8" t="s">
        <v>85</v>
      </c>
      <c r="E3" s="8" t="s">
        <v>86</v>
      </c>
      <c r="F3" s="8" t="s">
        <v>87</v>
      </c>
      <c r="G3" s="8" t="s">
        <v>88</v>
      </c>
      <c r="H3" s="9" t="s">
        <v>89</v>
      </c>
      <c r="I3" s="9" t="s">
        <v>90</v>
      </c>
      <c r="J3" s="9" t="s">
        <v>91</v>
      </c>
      <c r="K3" s="9" t="s">
        <v>92</v>
      </c>
      <c r="L3" s="231"/>
    </row>
    <row r="4" spans="1:12" x14ac:dyDescent="0.3">
      <c r="A4" s="10" t="s">
        <v>93</v>
      </c>
      <c r="B4" s="11">
        <v>4794078</v>
      </c>
      <c r="C4" s="11">
        <v>437131</v>
      </c>
      <c r="D4" s="11">
        <v>7408771</v>
      </c>
      <c r="E4" s="11">
        <v>3702640</v>
      </c>
      <c r="F4" s="12"/>
      <c r="G4" s="11">
        <v>137262</v>
      </c>
      <c r="H4" s="13">
        <v>-135002</v>
      </c>
      <c r="I4" s="13">
        <v>7003159</v>
      </c>
      <c r="J4" s="13">
        <v>2327156</v>
      </c>
      <c r="K4" s="13">
        <v>7284569</v>
      </c>
      <c r="L4" s="11">
        <v>1894570</v>
      </c>
    </row>
    <row r="5" spans="1:12" x14ac:dyDescent="0.3">
      <c r="A5" s="10" t="s">
        <v>94</v>
      </c>
      <c r="B5" s="11">
        <v>3413376</v>
      </c>
      <c r="C5" s="12" t="s">
        <v>95</v>
      </c>
      <c r="D5" s="12" t="s">
        <v>95</v>
      </c>
      <c r="E5" s="11">
        <v>2908670</v>
      </c>
      <c r="F5" s="12"/>
      <c r="G5" s="11">
        <v>60486</v>
      </c>
      <c r="H5" s="13">
        <v>-95227</v>
      </c>
      <c r="I5" s="13">
        <v>6055241</v>
      </c>
      <c r="J5" s="13">
        <v>422518</v>
      </c>
      <c r="K5" s="13">
        <v>0</v>
      </c>
      <c r="L5" s="11">
        <v>1084477</v>
      </c>
    </row>
    <row r="6" spans="1:12" x14ac:dyDescent="0.3">
      <c r="A6" s="10" t="s">
        <v>96</v>
      </c>
      <c r="B6" s="11">
        <v>1380702</v>
      </c>
      <c r="C6" s="11">
        <v>-7942</v>
      </c>
      <c r="D6" s="11">
        <v>229391</v>
      </c>
      <c r="E6" s="11">
        <v>71427</v>
      </c>
      <c r="F6" s="12"/>
      <c r="G6" s="12" t="s">
        <v>95</v>
      </c>
      <c r="H6" s="13">
        <v>-10191</v>
      </c>
      <c r="I6" s="13">
        <v>206629</v>
      </c>
      <c r="J6" s="13">
        <v>512495</v>
      </c>
      <c r="K6" s="13">
        <v>964645</v>
      </c>
      <c r="L6" s="11">
        <v>190004</v>
      </c>
    </row>
    <row r="7" spans="1:12" x14ac:dyDescent="0.3">
      <c r="A7" s="14" t="s">
        <v>97</v>
      </c>
      <c r="B7" s="11">
        <v>1380702</v>
      </c>
      <c r="C7" s="11">
        <v>-7942</v>
      </c>
      <c r="D7" s="11">
        <v>127270</v>
      </c>
      <c r="E7" s="11">
        <v>60585</v>
      </c>
      <c r="F7" s="12"/>
      <c r="G7" s="12" t="s">
        <v>95</v>
      </c>
      <c r="H7" s="13">
        <v>-6640</v>
      </c>
      <c r="I7" s="13">
        <v>206629</v>
      </c>
      <c r="J7" s="13">
        <v>512495</v>
      </c>
      <c r="K7" s="13">
        <v>848131</v>
      </c>
      <c r="L7" s="11">
        <v>184131</v>
      </c>
    </row>
    <row r="8" spans="1:12" x14ac:dyDescent="0.3">
      <c r="A8" s="15" t="s">
        <v>98</v>
      </c>
      <c r="B8" s="11">
        <v>520504</v>
      </c>
      <c r="C8" s="12" t="s">
        <v>95</v>
      </c>
      <c r="D8" s="11">
        <v>1958</v>
      </c>
      <c r="E8" s="11" t="s">
        <v>99</v>
      </c>
      <c r="F8" s="12"/>
      <c r="G8" s="12" t="s">
        <v>95</v>
      </c>
      <c r="H8" s="13">
        <v>4925</v>
      </c>
      <c r="I8" s="16"/>
      <c r="J8" s="13">
        <v>64822</v>
      </c>
      <c r="K8" s="13">
        <v>452715</v>
      </c>
      <c r="L8" s="11">
        <v>55616</v>
      </c>
    </row>
    <row r="9" spans="1:12" x14ac:dyDescent="0.3">
      <c r="A9" s="15" t="s">
        <v>100</v>
      </c>
      <c r="B9" s="11">
        <v>451133</v>
      </c>
      <c r="C9" s="12" t="s">
        <v>95</v>
      </c>
      <c r="D9" s="11">
        <v>111964</v>
      </c>
      <c r="E9" s="11">
        <v>48606</v>
      </c>
      <c r="F9" s="12"/>
      <c r="G9" s="12" t="s">
        <v>95</v>
      </c>
      <c r="H9" s="13">
        <v>-14864</v>
      </c>
      <c r="I9" s="16"/>
      <c r="J9" s="13">
        <v>333544</v>
      </c>
      <c r="K9" s="13">
        <v>293023</v>
      </c>
      <c r="L9" s="11">
        <v>62183</v>
      </c>
    </row>
    <row r="10" spans="1:12" x14ac:dyDescent="0.3">
      <c r="A10" s="15" t="s">
        <v>101</v>
      </c>
      <c r="B10" s="11">
        <v>115086</v>
      </c>
      <c r="C10" s="12" t="s">
        <v>95</v>
      </c>
      <c r="D10" s="11">
        <v>15710</v>
      </c>
      <c r="E10" s="11">
        <v>5504</v>
      </c>
      <c r="F10" s="12"/>
      <c r="G10" s="12" t="s">
        <v>95</v>
      </c>
      <c r="H10" s="13">
        <v>7939</v>
      </c>
      <c r="I10" s="13">
        <v>64779</v>
      </c>
      <c r="J10" s="13">
        <v>49568</v>
      </c>
      <c r="K10" s="13">
        <v>14014</v>
      </c>
      <c r="L10" s="11">
        <v>37821</v>
      </c>
    </row>
    <row r="11" spans="1:12" x14ac:dyDescent="0.3">
      <c r="A11" s="15" t="s">
        <v>102</v>
      </c>
      <c r="B11" s="11">
        <v>128589</v>
      </c>
      <c r="C11" s="12" t="s">
        <v>95</v>
      </c>
      <c r="D11" s="11">
        <v>-2362</v>
      </c>
      <c r="E11" s="11">
        <v>3735</v>
      </c>
      <c r="F11" s="12"/>
      <c r="G11" s="12" t="s">
        <v>95</v>
      </c>
      <c r="H11" s="13">
        <v>292</v>
      </c>
      <c r="I11" s="13">
        <v>77360</v>
      </c>
      <c r="J11" s="13">
        <v>1321</v>
      </c>
      <c r="K11" s="13">
        <v>50989</v>
      </c>
      <c r="L11" s="11">
        <v>8398</v>
      </c>
    </row>
    <row r="12" spans="1:12" x14ac:dyDescent="0.3">
      <c r="A12" s="15" t="s">
        <v>103</v>
      </c>
      <c r="B12" s="11">
        <v>165390</v>
      </c>
      <c r="C12" s="11">
        <v>-7942</v>
      </c>
      <c r="D12" s="12"/>
      <c r="E12" s="11">
        <v>2740</v>
      </c>
      <c r="F12" s="12"/>
      <c r="G12" s="12" t="s">
        <v>95</v>
      </c>
      <c r="H12" s="13">
        <v>-4932</v>
      </c>
      <c r="I12" s="13">
        <v>64490</v>
      </c>
      <c r="J12" s="13">
        <v>63240</v>
      </c>
      <c r="K12" s="13">
        <v>37390</v>
      </c>
      <c r="L12" s="11">
        <v>20113</v>
      </c>
    </row>
    <row r="13" spans="1:12" x14ac:dyDescent="0.3">
      <c r="A13" s="14" t="s">
        <v>104</v>
      </c>
      <c r="B13" s="12" t="s">
        <v>95</v>
      </c>
      <c r="C13" s="12" t="s">
        <v>95</v>
      </c>
      <c r="D13" s="11">
        <v>102121</v>
      </c>
      <c r="E13" s="11">
        <v>10842</v>
      </c>
      <c r="F13" s="12"/>
      <c r="G13" s="12" t="s">
        <v>95</v>
      </c>
      <c r="H13" s="13">
        <v>-3551</v>
      </c>
      <c r="I13" s="16" t="s">
        <v>95</v>
      </c>
      <c r="J13" s="16" t="s">
        <v>95</v>
      </c>
      <c r="K13" s="13">
        <v>116514</v>
      </c>
      <c r="L13" s="11">
        <v>5873</v>
      </c>
    </row>
    <row r="14" spans="1:12" x14ac:dyDescent="0.3">
      <c r="A14" s="15" t="s">
        <v>105</v>
      </c>
      <c r="B14" s="12" t="s">
        <v>95</v>
      </c>
      <c r="C14" s="12" t="s">
        <v>95</v>
      </c>
      <c r="D14" s="11">
        <v>270</v>
      </c>
      <c r="E14" s="11" t="s">
        <v>99</v>
      </c>
      <c r="F14" s="12"/>
      <c r="G14" s="12" t="s">
        <v>95</v>
      </c>
      <c r="H14" s="13">
        <v>0</v>
      </c>
      <c r="I14" s="16" t="s">
        <v>95</v>
      </c>
      <c r="J14" s="16" t="s">
        <v>95</v>
      </c>
      <c r="K14" s="13">
        <v>270</v>
      </c>
      <c r="L14" s="11">
        <v>0</v>
      </c>
    </row>
    <row r="15" spans="1:12" x14ac:dyDescent="0.3">
      <c r="A15" s="15" t="s">
        <v>106</v>
      </c>
      <c r="B15" s="12" t="s">
        <v>95</v>
      </c>
      <c r="C15" s="12" t="s">
        <v>95</v>
      </c>
      <c r="D15" s="11">
        <v>103962</v>
      </c>
      <c r="E15" s="11">
        <v>8409</v>
      </c>
      <c r="F15" s="12"/>
      <c r="G15" s="12" t="s">
        <v>95</v>
      </c>
      <c r="H15" s="13">
        <v>-2392</v>
      </c>
      <c r="I15" s="16" t="s">
        <v>95</v>
      </c>
      <c r="J15" s="16" t="s">
        <v>95</v>
      </c>
      <c r="K15" s="13">
        <v>114763</v>
      </c>
      <c r="L15" s="11">
        <v>4639</v>
      </c>
    </row>
    <row r="16" spans="1:12" x14ac:dyDescent="0.3">
      <c r="A16" s="15" t="s">
        <v>107</v>
      </c>
      <c r="B16" s="12" t="s">
        <v>95</v>
      </c>
      <c r="C16" s="12" t="s">
        <v>95</v>
      </c>
      <c r="D16" s="11">
        <v>-2397</v>
      </c>
      <c r="E16" s="11">
        <v>2433</v>
      </c>
      <c r="F16" s="12"/>
      <c r="G16" s="12" t="s">
        <v>95</v>
      </c>
      <c r="H16" s="13">
        <v>-1165</v>
      </c>
      <c r="I16" s="16" t="s">
        <v>95</v>
      </c>
      <c r="J16" s="16" t="s">
        <v>95</v>
      </c>
      <c r="K16" s="13">
        <v>1201</v>
      </c>
      <c r="L16" s="11">
        <v>1204</v>
      </c>
    </row>
    <row r="17" spans="1:12" x14ac:dyDescent="0.3">
      <c r="A17" s="15" t="s">
        <v>108</v>
      </c>
      <c r="B17" s="12" t="s">
        <v>95</v>
      </c>
      <c r="C17" s="12" t="s">
        <v>95</v>
      </c>
      <c r="D17" s="11">
        <v>286</v>
      </c>
      <c r="E17" s="11" t="s">
        <v>99</v>
      </c>
      <c r="F17" s="12"/>
      <c r="G17" s="12" t="s">
        <v>95</v>
      </c>
      <c r="H17" s="13">
        <v>6</v>
      </c>
      <c r="I17" s="16" t="s">
        <v>95</v>
      </c>
      <c r="J17" s="16" t="s">
        <v>95</v>
      </c>
      <c r="K17" s="13">
        <v>280</v>
      </c>
      <c r="L17" s="11">
        <v>30</v>
      </c>
    </row>
    <row r="18" spans="1:12" x14ac:dyDescent="0.3">
      <c r="A18" s="10" t="s">
        <v>109</v>
      </c>
      <c r="B18" s="12" t="s">
        <v>95</v>
      </c>
      <c r="C18" s="11">
        <v>443737</v>
      </c>
      <c r="D18" s="12" t="s">
        <v>95</v>
      </c>
      <c r="E18" s="11">
        <v>471784</v>
      </c>
      <c r="F18" s="12"/>
      <c r="G18" s="11">
        <v>19117</v>
      </c>
      <c r="H18" s="13">
        <v>8685</v>
      </c>
      <c r="I18" s="13">
        <v>741289</v>
      </c>
      <c r="J18" s="13">
        <v>171592</v>
      </c>
      <c r="K18" s="13">
        <v>13072</v>
      </c>
      <c r="L18" s="11">
        <v>328230</v>
      </c>
    </row>
    <row r="19" spans="1:12" x14ac:dyDescent="0.3">
      <c r="A19" s="14" t="s">
        <v>110</v>
      </c>
      <c r="B19" s="12" t="s">
        <v>95</v>
      </c>
      <c r="C19" s="11">
        <v>443788</v>
      </c>
      <c r="D19" s="12" t="s">
        <v>95</v>
      </c>
      <c r="E19" s="11">
        <v>19778</v>
      </c>
      <c r="F19" s="12"/>
      <c r="G19" s="11">
        <v>36824</v>
      </c>
      <c r="H19" s="13">
        <v>577</v>
      </c>
      <c r="I19" s="13">
        <v>439078</v>
      </c>
      <c r="J19" s="13">
        <v>60735</v>
      </c>
      <c r="K19" s="13">
        <v>0</v>
      </c>
      <c r="L19" s="11">
        <v>29585</v>
      </c>
    </row>
    <row r="20" spans="1:12" x14ac:dyDescent="0.3">
      <c r="A20" s="15" t="s">
        <v>35</v>
      </c>
      <c r="B20" s="12" t="s">
        <v>95</v>
      </c>
      <c r="C20" s="12" t="s">
        <v>95</v>
      </c>
      <c r="D20" s="12" t="s">
        <v>95</v>
      </c>
      <c r="E20" s="12"/>
      <c r="F20" s="12"/>
      <c r="G20" s="11">
        <v>81091</v>
      </c>
      <c r="H20" s="16" t="s">
        <v>95</v>
      </c>
      <c r="I20" s="13">
        <v>81091</v>
      </c>
      <c r="J20" s="16"/>
      <c r="K20" s="13">
        <v>0</v>
      </c>
      <c r="L20" s="12" t="s">
        <v>95</v>
      </c>
    </row>
    <row r="21" spans="1:12" x14ac:dyDescent="0.3">
      <c r="A21" s="15" t="s">
        <v>111</v>
      </c>
      <c r="B21" s="12" t="s">
        <v>95</v>
      </c>
      <c r="C21" s="11">
        <v>26360</v>
      </c>
      <c r="D21" s="12" t="s">
        <v>95</v>
      </c>
      <c r="E21" s="11">
        <v>3835</v>
      </c>
      <c r="F21" s="12"/>
      <c r="G21" s="11">
        <v>-4811</v>
      </c>
      <c r="H21" s="13">
        <v>-31</v>
      </c>
      <c r="I21" s="13" t="s">
        <v>99</v>
      </c>
      <c r="J21" s="13">
        <v>25415</v>
      </c>
      <c r="K21" s="13">
        <v>0</v>
      </c>
      <c r="L21" s="11">
        <v>1446</v>
      </c>
    </row>
    <row r="22" spans="1:12" x14ac:dyDescent="0.3">
      <c r="A22" s="15" t="s">
        <v>112</v>
      </c>
      <c r="B22" s="12" t="s">
        <v>95</v>
      </c>
      <c r="C22" s="11">
        <v>417428</v>
      </c>
      <c r="D22" s="12" t="s">
        <v>95</v>
      </c>
      <c r="E22" s="11">
        <v>15707</v>
      </c>
      <c r="F22" s="12"/>
      <c r="G22" s="11">
        <v>-39640</v>
      </c>
      <c r="H22" s="13">
        <v>578</v>
      </c>
      <c r="I22" s="13">
        <v>357597</v>
      </c>
      <c r="J22" s="13">
        <v>35320</v>
      </c>
      <c r="K22" s="13">
        <v>0</v>
      </c>
      <c r="L22" s="11">
        <v>28092</v>
      </c>
    </row>
    <row r="23" spans="1:12" x14ac:dyDescent="0.3">
      <c r="A23" s="17" t="s">
        <v>113</v>
      </c>
      <c r="B23" s="12" t="s">
        <v>95</v>
      </c>
      <c r="C23" s="11">
        <v>379435</v>
      </c>
      <c r="D23" s="12" t="s">
        <v>95</v>
      </c>
      <c r="E23" s="11">
        <v>1824</v>
      </c>
      <c r="F23" s="12"/>
      <c r="G23" s="11">
        <v>-9859</v>
      </c>
      <c r="H23" s="13">
        <v>3285</v>
      </c>
      <c r="I23" s="13">
        <v>335023</v>
      </c>
      <c r="J23" s="13">
        <v>33092</v>
      </c>
      <c r="K23" s="13">
        <v>0</v>
      </c>
      <c r="L23" s="11">
        <v>23043</v>
      </c>
    </row>
    <row r="24" spans="1:12" x14ac:dyDescent="0.3">
      <c r="A24" s="17" t="s">
        <v>114</v>
      </c>
      <c r="B24" s="12" t="s">
        <v>95</v>
      </c>
      <c r="C24" s="11">
        <v>37993</v>
      </c>
      <c r="D24" s="12" t="s">
        <v>95</v>
      </c>
      <c r="E24" s="11">
        <v>13883</v>
      </c>
      <c r="F24" s="12"/>
      <c r="G24" s="11">
        <v>-29781</v>
      </c>
      <c r="H24" s="13">
        <v>-2707</v>
      </c>
      <c r="I24" s="13">
        <v>22574</v>
      </c>
      <c r="J24" s="13">
        <v>2228</v>
      </c>
      <c r="K24" s="13">
        <v>0</v>
      </c>
      <c r="L24" s="11">
        <v>5049</v>
      </c>
    </row>
    <row r="25" spans="1:12" x14ac:dyDescent="0.3">
      <c r="A25" s="15" t="s">
        <v>115</v>
      </c>
      <c r="B25" s="12" t="s">
        <v>95</v>
      </c>
      <c r="C25" s="12" t="s">
        <v>95</v>
      </c>
      <c r="D25" s="12" t="s">
        <v>95</v>
      </c>
      <c r="E25" s="11">
        <v>236</v>
      </c>
      <c r="F25" s="12"/>
      <c r="G25" s="11">
        <v>184</v>
      </c>
      <c r="H25" s="13">
        <v>30</v>
      </c>
      <c r="I25" s="13">
        <v>390</v>
      </c>
      <c r="J25" s="16"/>
      <c r="K25" s="13">
        <v>0</v>
      </c>
      <c r="L25" s="11">
        <v>47</v>
      </c>
    </row>
    <row r="26" spans="1:12" x14ac:dyDescent="0.3">
      <c r="A26" s="14" t="s">
        <v>116</v>
      </c>
      <c r="B26" s="12" t="s">
        <v>95</v>
      </c>
      <c r="C26" s="12" t="s">
        <v>95</v>
      </c>
      <c r="D26" s="12" t="s">
        <v>95</v>
      </c>
      <c r="E26" s="11">
        <v>231478</v>
      </c>
      <c r="F26" s="12"/>
      <c r="G26" s="12" t="s">
        <v>95</v>
      </c>
      <c r="H26" s="13">
        <v>6013</v>
      </c>
      <c r="I26" s="13">
        <v>129406</v>
      </c>
      <c r="J26" s="13">
        <v>82949</v>
      </c>
      <c r="K26" s="13">
        <v>13110</v>
      </c>
      <c r="L26" s="11">
        <v>86337</v>
      </c>
    </row>
    <row r="27" spans="1:12" x14ac:dyDescent="0.3">
      <c r="A27" s="14" t="s">
        <v>117</v>
      </c>
      <c r="B27" s="12" t="s">
        <v>95</v>
      </c>
      <c r="C27" s="11">
        <v>-51</v>
      </c>
      <c r="D27" s="12" t="s">
        <v>95</v>
      </c>
      <c r="E27" s="11">
        <v>220528</v>
      </c>
      <c r="F27" s="12"/>
      <c r="G27" s="11">
        <v>-17707</v>
      </c>
      <c r="H27" s="13">
        <v>2089</v>
      </c>
      <c r="I27" s="13">
        <v>172773</v>
      </c>
      <c r="J27" s="13">
        <v>27908</v>
      </c>
      <c r="K27" s="13">
        <v>0</v>
      </c>
      <c r="L27" s="11">
        <v>212293</v>
      </c>
    </row>
    <row r="28" spans="1:12" x14ac:dyDescent="0.3">
      <c r="A28" s="15" t="s">
        <v>118</v>
      </c>
      <c r="B28" s="12" t="s">
        <v>95</v>
      </c>
      <c r="C28" s="11">
        <v>-3</v>
      </c>
      <c r="D28" s="12" t="s">
        <v>95</v>
      </c>
      <c r="E28" s="11">
        <v>76948</v>
      </c>
      <c r="F28" s="12"/>
      <c r="G28" s="11">
        <v>65150</v>
      </c>
      <c r="H28" s="13">
        <v>1299</v>
      </c>
      <c r="I28" s="13">
        <v>140697</v>
      </c>
      <c r="J28" s="13">
        <v>99</v>
      </c>
      <c r="K28" s="13">
        <v>0</v>
      </c>
      <c r="L28" s="11">
        <v>53447</v>
      </c>
    </row>
    <row r="29" spans="1:12" x14ac:dyDescent="0.3">
      <c r="A29" s="15" t="s">
        <v>119</v>
      </c>
      <c r="B29" s="12" t="s">
        <v>95</v>
      </c>
      <c r="C29" s="11">
        <v>-48</v>
      </c>
      <c r="D29" s="12" t="s">
        <v>95</v>
      </c>
      <c r="E29" s="11">
        <v>143580</v>
      </c>
      <c r="F29" s="12"/>
      <c r="G29" s="11">
        <v>-82856</v>
      </c>
      <c r="H29" s="13">
        <v>790</v>
      </c>
      <c r="I29" s="13">
        <v>32076</v>
      </c>
      <c r="J29" s="13">
        <v>27810</v>
      </c>
      <c r="K29" s="13">
        <v>0</v>
      </c>
      <c r="L29" s="11">
        <v>158846</v>
      </c>
    </row>
    <row r="30" spans="1:12" x14ac:dyDescent="0.3">
      <c r="A30" s="14" t="s">
        <v>120</v>
      </c>
      <c r="B30" s="12" t="s">
        <v>95</v>
      </c>
      <c r="C30" s="12" t="s">
        <v>95</v>
      </c>
      <c r="D30" s="12" t="s">
        <v>95</v>
      </c>
      <c r="E30" s="11" t="s">
        <v>99</v>
      </c>
      <c r="F30" s="12"/>
      <c r="G30" s="12" t="s">
        <v>95</v>
      </c>
      <c r="H30" s="13">
        <v>6</v>
      </c>
      <c r="I30" s="13">
        <v>32</v>
      </c>
      <c r="J30" s="13" t="s">
        <v>99</v>
      </c>
      <c r="K30" s="13">
        <v>-38</v>
      </c>
      <c r="L30" s="11">
        <v>15</v>
      </c>
    </row>
    <row r="31" spans="1:12" x14ac:dyDescent="0.3">
      <c r="A31" s="10" t="s">
        <v>121</v>
      </c>
      <c r="B31" s="12" t="s">
        <v>95</v>
      </c>
      <c r="C31" s="11">
        <v>1336</v>
      </c>
      <c r="D31" s="11">
        <v>7179380</v>
      </c>
      <c r="E31" s="11">
        <v>250759</v>
      </c>
      <c r="F31" s="12"/>
      <c r="G31" s="11">
        <v>57659</v>
      </c>
      <c r="H31" s="13">
        <v>-38269</v>
      </c>
      <c r="I31" s="16" t="s">
        <v>95</v>
      </c>
      <c r="J31" s="13">
        <v>1220551</v>
      </c>
      <c r="K31" s="13">
        <v>6306852</v>
      </c>
      <c r="L31" s="11">
        <v>291859</v>
      </c>
    </row>
    <row r="32" spans="1:12" x14ac:dyDescent="0.3">
      <c r="A32" s="14" t="s">
        <v>122</v>
      </c>
      <c r="B32" s="12" t="s">
        <v>95</v>
      </c>
      <c r="C32" s="11">
        <v>1336</v>
      </c>
      <c r="D32" s="11">
        <v>3633123</v>
      </c>
      <c r="E32" s="11">
        <v>11784</v>
      </c>
      <c r="F32" s="12"/>
      <c r="G32" s="11">
        <v>27566</v>
      </c>
      <c r="H32" s="13">
        <v>-3860</v>
      </c>
      <c r="I32" s="16" t="s">
        <v>95</v>
      </c>
      <c r="J32" s="13">
        <v>273483</v>
      </c>
      <c r="K32" s="13">
        <v>3404186</v>
      </c>
      <c r="L32" s="11">
        <v>24523</v>
      </c>
    </row>
    <row r="33" spans="1:12" x14ac:dyDescent="0.3">
      <c r="A33" s="15" t="s">
        <v>118</v>
      </c>
      <c r="B33" s="12" t="s">
        <v>95</v>
      </c>
      <c r="C33" s="12"/>
      <c r="D33" s="11">
        <v>1187104</v>
      </c>
      <c r="E33" s="11" t="s">
        <v>99</v>
      </c>
      <c r="F33" s="12"/>
      <c r="G33" s="11">
        <v>-59342</v>
      </c>
      <c r="H33" s="13">
        <v>-7</v>
      </c>
      <c r="I33" s="16" t="s">
        <v>95</v>
      </c>
      <c r="J33" s="13" t="s">
        <v>99</v>
      </c>
      <c r="K33" s="13">
        <v>1127769</v>
      </c>
      <c r="L33" s="11">
        <v>40</v>
      </c>
    </row>
    <row r="34" spans="1:12" x14ac:dyDescent="0.3">
      <c r="A34" s="15" t="s">
        <v>119</v>
      </c>
      <c r="B34" s="12" t="s">
        <v>95</v>
      </c>
      <c r="C34" s="11">
        <v>1336</v>
      </c>
      <c r="D34" s="11">
        <v>2446019</v>
      </c>
      <c r="E34" s="11">
        <v>11784</v>
      </c>
      <c r="F34" s="12"/>
      <c r="G34" s="11">
        <v>86908</v>
      </c>
      <c r="H34" s="13">
        <v>-3853</v>
      </c>
      <c r="I34" s="16" t="s">
        <v>95</v>
      </c>
      <c r="J34" s="13">
        <v>273483</v>
      </c>
      <c r="K34" s="13">
        <v>2276417</v>
      </c>
      <c r="L34" s="11">
        <v>24483</v>
      </c>
    </row>
    <row r="35" spans="1:12" x14ac:dyDescent="0.3">
      <c r="A35" s="14" t="s">
        <v>123</v>
      </c>
      <c r="B35" s="12" t="s">
        <v>95</v>
      </c>
      <c r="C35" s="12" t="s">
        <v>95</v>
      </c>
      <c r="D35" s="11">
        <v>4032</v>
      </c>
      <c r="E35" s="11">
        <v>165</v>
      </c>
      <c r="F35" s="12"/>
      <c r="G35" s="12" t="s">
        <v>95</v>
      </c>
      <c r="H35" s="13">
        <v>47</v>
      </c>
      <c r="I35" s="16" t="s">
        <v>95</v>
      </c>
      <c r="J35" s="13" t="s">
        <v>99</v>
      </c>
      <c r="K35" s="13">
        <v>4150</v>
      </c>
      <c r="L35" s="11">
        <v>1041</v>
      </c>
    </row>
    <row r="36" spans="1:12" x14ac:dyDescent="0.3">
      <c r="A36" s="14" t="s">
        <v>124</v>
      </c>
      <c r="B36" s="12" t="s">
        <v>95</v>
      </c>
      <c r="C36" s="12" t="s">
        <v>95</v>
      </c>
      <c r="D36" s="11">
        <v>621176</v>
      </c>
      <c r="E36" s="11">
        <v>58273</v>
      </c>
      <c r="F36" s="12"/>
      <c r="G36" s="12" t="s">
        <v>95</v>
      </c>
      <c r="H36" s="13">
        <v>-1706</v>
      </c>
      <c r="I36" s="16" t="s">
        <v>95</v>
      </c>
      <c r="J36" s="13">
        <v>67161</v>
      </c>
      <c r="K36" s="13">
        <v>613994</v>
      </c>
      <c r="L36" s="11">
        <v>41304</v>
      </c>
    </row>
    <row r="37" spans="1:12" x14ac:dyDescent="0.3">
      <c r="A37" s="14" t="s">
        <v>125</v>
      </c>
      <c r="B37" s="12" t="s">
        <v>95</v>
      </c>
      <c r="C37" s="12" t="s">
        <v>95</v>
      </c>
      <c r="D37" s="11">
        <v>2738</v>
      </c>
      <c r="E37" s="11">
        <v>1429</v>
      </c>
      <c r="F37" s="12"/>
      <c r="G37" s="12" t="s">
        <v>95</v>
      </c>
      <c r="H37" s="13">
        <v>10</v>
      </c>
      <c r="I37" s="16" t="s">
        <v>95</v>
      </c>
      <c r="J37" s="13">
        <v>2267</v>
      </c>
      <c r="K37" s="13">
        <v>1890</v>
      </c>
      <c r="L37" s="11">
        <v>2138</v>
      </c>
    </row>
    <row r="38" spans="1:12" x14ac:dyDescent="0.3">
      <c r="A38" s="14" t="s">
        <v>126</v>
      </c>
      <c r="B38" s="12" t="s">
        <v>95</v>
      </c>
      <c r="C38" s="12" t="s">
        <v>95</v>
      </c>
      <c r="D38" s="11">
        <v>1833879</v>
      </c>
      <c r="E38" s="11">
        <v>54975</v>
      </c>
      <c r="F38" s="12"/>
      <c r="G38" s="11">
        <v>30093</v>
      </c>
      <c r="H38" s="13">
        <v>-20457</v>
      </c>
      <c r="I38" s="16" t="s">
        <v>95</v>
      </c>
      <c r="J38" s="13">
        <v>504155</v>
      </c>
      <c r="K38" s="13">
        <v>1435249</v>
      </c>
      <c r="L38" s="11">
        <v>145638</v>
      </c>
    </row>
    <row r="39" spans="1:12" x14ac:dyDescent="0.3">
      <c r="A39" s="15" t="s">
        <v>127</v>
      </c>
      <c r="B39" s="12" t="s">
        <v>95</v>
      </c>
      <c r="C39" s="12" t="s">
        <v>95</v>
      </c>
      <c r="D39" s="11">
        <v>1713652</v>
      </c>
      <c r="E39" s="11">
        <v>37012</v>
      </c>
      <c r="F39" s="12"/>
      <c r="G39" s="11">
        <v>30093</v>
      </c>
      <c r="H39" s="13">
        <v>-16256</v>
      </c>
      <c r="I39" s="16" t="s">
        <v>95</v>
      </c>
      <c r="J39" s="13">
        <v>423862</v>
      </c>
      <c r="K39" s="13">
        <v>1373151</v>
      </c>
      <c r="L39" s="11">
        <v>128016</v>
      </c>
    </row>
    <row r="40" spans="1:12" x14ac:dyDescent="0.3">
      <c r="A40" s="15" t="s">
        <v>128</v>
      </c>
      <c r="B40" s="12" t="s">
        <v>95</v>
      </c>
      <c r="C40" s="12" t="s">
        <v>95</v>
      </c>
      <c r="D40" s="11">
        <v>42167</v>
      </c>
      <c r="E40" s="11">
        <v>759</v>
      </c>
      <c r="F40" s="12"/>
      <c r="G40" s="11" t="s">
        <v>99</v>
      </c>
      <c r="H40" s="13">
        <v>-929</v>
      </c>
      <c r="I40" s="16" t="s">
        <v>95</v>
      </c>
      <c r="J40" s="13">
        <v>41645</v>
      </c>
      <c r="K40" s="13">
        <v>2210</v>
      </c>
      <c r="L40" s="11">
        <v>7480</v>
      </c>
    </row>
    <row r="41" spans="1:12" x14ac:dyDescent="0.3">
      <c r="A41" s="15" t="s">
        <v>129</v>
      </c>
      <c r="B41" s="12" t="s">
        <v>95</v>
      </c>
      <c r="C41" s="12" t="s">
        <v>95</v>
      </c>
      <c r="D41" s="11">
        <v>78060</v>
      </c>
      <c r="E41" s="11">
        <v>17204</v>
      </c>
      <c r="F41" s="12"/>
      <c r="G41" s="12" t="s">
        <v>95</v>
      </c>
      <c r="H41" s="13">
        <v>-3272</v>
      </c>
      <c r="I41" s="16" t="s">
        <v>95</v>
      </c>
      <c r="J41" s="13">
        <v>38648</v>
      </c>
      <c r="K41" s="13">
        <v>59888</v>
      </c>
      <c r="L41" s="11">
        <v>10142</v>
      </c>
    </row>
    <row r="42" spans="1:12" x14ac:dyDescent="0.3">
      <c r="A42" s="14" t="s">
        <v>130</v>
      </c>
      <c r="B42" s="12" t="s">
        <v>95</v>
      </c>
      <c r="C42" s="12" t="s">
        <v>95</v>
      </c>
      <c r="D42" s="11">
        <v>155851</v>
      </c>
      <c r="E42" s="11">
        <v>69015</v>
      </c>
      <c r="F42" s="12"/>
      <c r="G42" s="12" t="s">
        <v>95</v>
      </c>
      <c r="H42" s="13">
        <v>-12098</v>
      </c>
      <c r="I42" s="16" t="s">
        <v>95</v>
      </c>
      <c r="J42" s="13">
        <v>112240</v>
      </c>
      <c r="K42" s="13">
        <v>124724</v>
      </c>
      <c r="L42" s="11">
        <v>29377</v>
      </c>
    </row>
    <row r="43" spans="1:12" x14ac:dyDescent="0.3">
      <c r="A43" s="15" t="s">
        <v>131</v>
      </c>
      <c r="B43" s="12" t="s">
        <v>95</v>
      </c>
      <c r="C43" s="12" t="s">
        <v>95</v>
      </c>
      <c r="D43" s="11">
        <v>18946</v>
      </c>
      <c r="E43" s="11">
        <v>4112</v>
      </c>
      <c r="F43" s="12"/>
      <c r="G43" s="12" t="s">
        <v>95</v>
      </c>
      <c r="H43" s="13">
        <v>-2600</v>
      </c>
      <c r="I43" s="16" t="s">
        <v>95</v>
      </c>
      <c r="J43" s="16" t="s">
        <v>132</v>
      </c>
      <c r="K43" s="16" t="s">
        <v>132</v>
      </c>
      <c r="L43" s="11">
        <v>1928</v>
      </c>
    </row>
    <row r="44" spans="1:12" x14ac:dyDescent="0.3">
      <c r="A44" s="15" t="s">
        <v>133</v>
      </c>
      <c r="B44" s="12" t="s">
        <v>95</v>
      </c>
      <c r="C44" s="12" t="s">
        <v>95</v>
      </c>
      <c r="D44" s="11">
        <v>19577</v>
      </c>
      <c r="E44" s="11">
        <v>7295</v>
      </c>
      <c r="F44" s="12"/>
      <c r="G44" s="12" t="s">
        <v>95</v>
      </c>
      <c r="H44" s="13">
        <v>-1119</v>
      </c>
      <c r="I44" s="16" t="s">
        <v>95</v>
      </c>
      <c r="J44" s="16" t="s">
        <v>132</v>
      </c>
      <c r="K44" s="16" t="s">
        <v>132</v>
      </c>
      <c r="L44" s="11">
        <v>6822</v>
      </c>
    </row>
    <row r="45" spans="1:12" x14ac:dyDescent="0.3">
      <c r="A45" s="15" t="s">
        <v>134</v>
      </c>
      <c r="B45" s="12" t="s">
        <v>95</v>
      </c>
      <c r="C45" s="12" t="s">
        <v>95</v>
      </c>
      <c r="D45" s="11">
        <v>117328</v>
      </c>
      <c r="E45" s="11">
        <v>57608</v>
      </c>
      <c r="F45" s="12"/>
      <c r="G45" s="12" t="s">
        <v>95</v>
      </c>
      <c r="H45" s="13">
        <v>-8379</v>
      </c>
      <c r="I45" s="16" t="s">
        <v>95</v>
      </c>
      <c r="J45" s="16" t="s">
        <v>132</v>
      </c>
      <c r="K45" s="16" t="s">
        <v>132</v>
      </c>
      <c r="L45" s="11">
        <v>20621</v>
      </c>
    </row>
    <row r="46" spans="1:12" x14ac:dyDescent="0.3">
      <c r="A46" s="14" t="s">
        <v>135</v>
      </c>
      <c r="B46" s="12" t="s">
        <v>95</v>
      </c>
      <c r="C46" s="12" t="s">
        <v>95</v>
      </c>
      <c r="D46" s="11">
        <v>112198</v>
      </c>
      <c r="E46" s="11">
        <v>15696</v>
      </c>
      <c r="F46" s="12"/>
      <c r="G46" s="12" t="s">
        <v>95</v>
      </c>
      <c r="H46" s="13">
        <v>-357</v>
      </c>
      <c r="I46" s="16" t="s">
        <v>95</v>
      </c>
      <c r="J46" s="13" t="s">
        <v>99</v>
      </c>
      <c r="K46" s="13">
        <v>128251</v>
      </c>
      <c r="L46" s="11">
        <v>2883</v>
      </c>
    </row>
    <row r="47" spans="1:12" x14ac:dyDescent="0.3">
      <c r="A47" s="15" t="s">
        <v>136</v>
      </c>
      <c r="B47" s="12" t="s">
        <v>95</v>
      </c>
      <c r="C47" s="12" t="s">
        <v>95</v>
      </c>
      <c r="D47" s="11">
        <v>71578</v>
      </c>
      <c r="E47" s="11">
        <v>11373</v>
      </c>
      <c r="F47" s="12"/>
      <c r="G47" s="12" t="s">
        <v>95</v>
      </c>
      <c r="H47" s="13">
        <v>-162</v>
      </c>
      <c r="I47" s="16" t="s">
        <v>95</v>
      </c>
      <c r="J47" s="13" t="s">
        <v>99</v>
      </c>
      <c r="K47" s="13">
        <v>83113</v>
      </c>
      <c r="L47" s="11">
        <v>1849</v>
      </c>
    </row>
    <row r="48" spans="1:12" x14ac:dyDescent="0.3">
      <c r="A48" s="15" t="s">
        <v>137</v>
      </c>
      <c r="B48" s="12" t="s">
        <v>95</v>
      </c>
      <c r="C48" s="12" t="s">
        <v>95</v>
      </c>
      <c r="D48" s="11">
        <v>40620</v>
      </c>
      <c r="E48" s="11">
        <v>4323</v>
      </c>
      <c r="F48" s="12"/>
      <c r="G48" s="12" t="s">
        <v>95</v>
      </c>
      <c r="H48" s="13">
        <v>-195</v>
      </c>
      <c r="I48" s="16" t="s">
        <v>95</v>
      </c>
      <c r="J48" s="13" t="s">
        <v>99</v>
      </c>
      <c r="K48" s="13">
        <v>45138</v>
      </c>
      <c r="L48" s="11">
        <v>1034</v>
      </c>
    </row>
    <row r="49" spans="1:12" x14ac:dyDescent="0.3">
      <c r="A49" s="14" t="s">
        <v>138</v>
      </c>
      <c r="B49" s="12" t="s">
        <v>95</v>
      </c>
      <c r="C49" s="12" t="s">
        <v>95</v>
      </c>
      <c r="D49" s="11">
        <v>13688</v>
      </c>
      <c r="E49" s="11">
        <v>5405</v>
      </c>
      <c r="F49" s="12"/>
      <c r="G49" s="12" t="s">
        <v>95</v>
      </c>
      <c r="H49" s="13">
        <v>-26</v>
      </c>
      <c r="I49" s="16" t="s">
        <v>95</v>
      </c>
      <c r="J49" s="13" t="s">
        <v>99</v>
      </c>
      <c r="K49" s="13">
        <v>19119</v>
      </c>
      <c r="L49" s="11">
        <v>1192</v>
      </c>
    </row>
    <row r="50" spans="1:12" x14ac:dyDescent="0.3">
      <c r="A50" s="14" t="s">
        <v>139</v>
      </c>
      <c r="B50" s="12" t="s">
        <v>95</v>
      </c>
      <c r="C50" s="12" t="s">
        <v>95</v>
      </c>
      <c r="D50" s="11">
        <v>64970</v>
      </c>
      <c r="E50" s="11">
        <v>14901</v>
      </c>
      <c r="F50" s="12"/>
      <c r="G50" s="12" t="s">
        <v>95</v>
      </c>
      <c r="H50" s="13">
        <v>-347</v>
      </c>
      <c r="I50" s="16" t="s">
        <v>95</v>
      </c>
      <c r="J50" s="13">
        <v>36215</v>
      </c>
      <c r="K50" s="13">
        <v>44003</v>
      </c>
      <c r="L50" s="11">
        <v>12021</v>
      </c>
    </row>
    <row r="51" spans="1:12" x14ac:dyDescent="0.3">
      <c r="A51" s="14" t="s">
        <v>140</v>
      </c>
      <c r="B51" s="12" t="s">
        <v>95</v>
      </c>
      <c r="C51" s="12" t="s">
        <v>95</v>
      </c>
      <c r="D51" s="11">
        <v>1774</v>
      </c>
      <c r="E51" s="11">
        <v>1724</v>
      </c>
      <c r="F51" s="12"/>
      <c r="G51" s="12" t="s">
        <v>95</v>
      </c>
      <c r="H51" s="13">
        <v>184</v>
      </c>
      <c r="I51" s="16" t="s">
        <v>95</v>
      </c>
      <c r="J51" s="13">
        <v>1479</v>
      </c>
      <c r="K51" s="13">
        <v>1835</v>
      </c>
      <c r="L51" s="11">
        <v>855</v>
      </c>
    </row>
    <row r="52" spans="1:12" x14ac:dyDescent="0.3">
      <c r="A52" s="14" t="s">
        <v>141</v>
      </c>
      <c r="B52" s="12" t="s">
        <v>95</v>
      </c>
      <c r="C52" s="12" t="s">
        <v>95</v>
      </c>
      <c r="D52" s="11">
        <v>329170</v>
      </c>
      <c r="E52" s="11">
        <v>3662</v>
      </c>
      <c r="F52" s="12"/>
      <c r="G52" s="12" t="s">
        <v>95</v>
      </c>
      <c r="H52" s="13">
        <v>1536</v>
      </c>
      <c r="I52" s="16" t="s">
        <v>95</v>
      </c>
      <c r="J52" s="13">
        <v>215873</v>
      </c>
      <c r="K52" s="13">
        <v>115423</v>
      </c>
      <c r="L52" s="11">
        <v>8519</v>
      </c>
    </row>
    <row r="53" spans="1:12" x14ac:dyDescent="0.3">
      <c r="A53" s="15" t="s">
        <v>142</v>
      </c>
      <c r="B53" s="12" t="s">
        <v>95</v>
      </c>
      <c r="C53" s="12" t="s">
        <v>95</v>
      </c>
      <c r="D53" s="11">
        <v>245213</v>
      </c>
      <c r="E53" s="11">
        <v>3662</v>
      </c>
      <c r="F53" s="12"/>
      <c r="G53" s="12" t="s">
        <v>95</v>
      </c>
      <c r="H53" s="13">
        <v>1536</v>
      </c>
      <c r="I53" s="16" t="s">
        <v>95</v>
      </c>
      <c r="J53" s="13">
        <v>215873</v>
      </c>
      <c r="K53" s="13">
        <v>31466</v>
      </c>
      <c r="L53" s="11">
        <v>8519</v>
      </c>
    </row>
    <row r="54" spans="1:12" x14ac:dyDescent="0.3">
      <c r="A54" s="15" t="s">
        <v>143</v>
      </c>
      <c r="B54" s="12" t="s">
        <v>95</v>
      </c>
      <c r="C54" s="12" t="s">
        <v>95</v>
      </c>
      <c r="D54" s="11">
        <v>83957</v>
      </c>
      <c r="E54" s="12" t="s">
        <v>95</v>
      </c>
      <c r="F54" s="12" t="s">
        <v>95</v>
      </c>
      <c r="G54" s="12" t="s">
        <v>95</v>
      </c>
      <c r="H54" s="16" t="s">
        <v>95</v>
      </c>
      <c r="I54" s="16" t="s">
        <v>95</v>
      </c>
      <c r="J54" s="16" t="s">
        <v>95</v>
      </c>
      <c r="K54" s="13">
        <v>83957</v>
      </c>
      <c r="L54" s="12" t="s">
        <v>95</v>
      </c>
    </row>
    <row r="55" spans="1:12" x14ac:dyDescent="0.3">
      <c r="A55" s="14" t="s">
        <v>144</v>
      </c>
      <c r="B55" s="12" t="s">
        <v>95</v>
      </c>
      <c r="C55" s="12" t="s">
        <v>95</v>
      </c>
      <c r="D55" s="11">
        <v>120515</v>
      </c>
      <c r="E55" s="11">
        <v>13666</v>
      </c>
      <c r="F55" s="12"/>
      <c r="G55" s="12" t="s">
        <v>95</v>
      </c>
      <c r="H55" s="13">
        <v>-1184</v>
      </c>
      <c r="I55" s="16" t="s">
        <v>95</v>
      </c>
      <c r="J55" s="13">
        <v>7399</v>
      </c>
      <c r="K55" s="13">
        <v>127966</v>
      </c>
      <c r="L55" s="11">
        <v>21697</v>
      </c>
    </row>
    <row r="56" spans="1:12" x14ac:dyDescent="0.3">
      <c r="A56" s="14" t="s">
        <v>145</v>
      </c>
      <c r="B56" s="12" t="s">
        <v>95</v>
      </c>
      <c r="C56" s="12" t="s">
        <v>95</v>
      </c>
      <c r="D56" s="11">
        <v>251761</v>
      </c>
      <c r="E56" s="12" t="s">
        <v>95</v>
      </c>
      <c r="F56" s="12" t="s">
        <v>95</v>
      </c>
      <c r="G56" s="12" t="s">
        <v>95</v>
      </c>
      <c r="H56" s="16" t="s">
        <v>95</v>
      </c>
      <c r="I56" s="16" t="s">
        <v>95</v>
      </c>
      <c r="J56" s="16" t="s">
        <v>95</v>
      </c>
      <c r="K56" s="13">
        <v>251761</v>
      </c>
      <c r="L56" s="12" t="s">
        <v>95</v>
      </c>
    </row>
    <row r="57" spans="1:12" x14ac:dyDescent="0.3">
      <c r="A57" s="14" t="s">
        <v>146</v>
      </c>
      <c r="B57" s="12" t="s">
        <v>95</v>
      </c>
      <c r="C57" s="12" t="s">
        <v>95</v>
      </c>
      <c r="D57" s="11">
        <v>34505</v>
      </c>
      <c r="E57" s="11">
        <v>64</v>
      </c>
      <c r="F57" s="12"/>
      <c r="G57" s="12" t="s">
        <v>95</v>
      </c>
      <c r="H57" s="13">
        <v>-11</v>
      </c>
      <c r="I57" s="16" t="s">
        <v>95</v>
      </c>
      <c r="J57" s="13">
        <v>279</v>
      </c>
      <c r="K57" s="13">
        <v>34301</v>
      </c>
      <c r="L57" s="11">
        <v>671</v>
      </c>
    </row>
  </sheetData>
  <mergeCells count="3">
    <mergeCell ref="B2:G2"/>
    <mergeCell ref="H2:K2"/>
    <mergeCell ref="L2:L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workbookViewId="0"/>
  </sheetViews>
  <sheetFormatPr defaultColWidth="8.88671875" defaultRowHeight="14.4" x14ac:dyDescent="0.3"/>
  <cols>
    <col min="2" max="2" width="18" customWidth="1"/>
    <col min="3" max="3" width="29" customWidth="1"/>
    <col min="4" max="4" width="36" customWidth="1"/>
    <col min="5" max="5" width="22" customWidth="1"/>
    <col min="6" max="6" width="29.6640625" customWidth="1"/>
  </cols>
  <sheetData>
    <row r="1" spans="1:6" x14ac:dyDescent="0.3">
      <c r="A1" s="1" t="s">
        <v>147</v>
      </c>
    </row>
    <row r="2" spans="1:6" x14ac:dyDescent="0.3">
      <c r="A2" t="s">
        <v>148</v>
      </c>
      <c r="B2" s="18" t="s">
        <v>149</v>
      </c>
      <c r="C2" s="18" t="s">
        <v>150</v>
      </c>
      <c r="D2" s="18" t="s">
        <v>151</v>
      </c>
      <c r="E2" s="18" t="s">
        <v>152</v>
      </c>
      <c r="F2" s="18" t="s">
        <v>153</v>
      </c>
    </row>
    <row r="3" spans="1:6" x14ac:dyDescent="0.3">
      <c r="A3" t="s">
        <v>154</v>
      </c>
    </row>
    <row r="4" spans="1:6" x14ac:dyDescent="0.3">
      <c r="B4">
        <v>1</v>
      </c>
      <c r="C4">
        <v>95844</v>
      </c>
      <c r="D4">
        <v>79371</v>
      </c>
      <c r="E4">
        <v>421133</v>
      </c>
      <c r="F4">
        <v>1659</v>
      </c>
    </row>
    <row r="5" spans="1:6" x14ac:dyDescent="0.3">
      <c r="B5">
        <v>2</v>
      </c>
      <c r="C5">
        <v>65410</v>
      </c>
      <c r="D5">
        <v>63962</v>
      </c>
      <c r="E5">
        <v>388199</v>
      </c>
      <c r="F5">
        <v>1748</v>
      </c>
    </row>
    <row r="6" spans="1:6" x14ac:dyDescent="0.3">
      <c r="B6">
        <v>3</v>
      </c>
      <c r="C6">
        <v>60828</v>
      </c>
      <c r="D6">
        <v>49392</v>
      </c>
      <c r="E6">
        <v>413882</v>
      </c>
      <c r="F6">
        <v>1705</v>
      </c>
    </row>
    <row r="7" spans="1:6" x14ac:dyDescent="0.3">
      <c r="B7">
        <v>4</v>
      </c>
      <c r="C7">
        <v>63815</v>
      </c>
      <c r="D7">
        <v>45622</v>
      </c>
      <c r="E7">
        <v>419029</v>
      </c>
      <c r="F7">
        <v>1660</v>
      </c>
    </row>
    <row r="8" spans="1:6" x14ac:dyDescent="0.3">
      <c r="B8">
        <v>5</v>
      </c>
      <c r="C8">
        <v>72872</v>
      </c>
      <c r="D8">
        <v>62962</v>
      </c>
      <c r="E8">
        <v>447352</v>
      </c>
      <c r="F8">
        <v>1371</v>
      </c>
    </row>
    <row r="9" spans="1:6" x14ac:dyDescent="0.3">
      <c r="B9">
        <v>6</v>
      </c>
      <c r="C9">
        <v>63971</v>
      </c>
      <c r="D9">
        <v>69622</v>
      </c>
      <c r="E9">
        <v>425459</v>
      </c>
      <c r="F9">
        <v>2299</v>
      </c>
    </row>
    <row r="10" spans="1:6" x14ac:dyDescent="0.3">
      <c r="B10">
        <v>7</v>
      </c>
      <c r="C10">
        <v>66862</v>
      </c>
      <c r="D10">
        <v>56530</v>
      </c>
      <c r="E10">
        <v>473065</v>
      </c>
      <c r="F10">
        <v>2052</v>
      </c>
    </row>
    <row r="11" spans="1:6" x14ac:dyDescent="0.3">
      <c r="B11">
        <v>8</v>
      </c>
      <c r="C11">
        <v>81078</v>
      </c>
      <c r="D11">
        <v>77052</v>
      </c>
      <c r="E11">
        <v>427549</v>
      </c>
      <c r="F11">
        <v>2080</v>
      </c>
    </row>
    <row r="12" spans="1:6" x14ac:dyDescent="0.3">
      <c r="B12">
        <v>9</v>
      </c>
      <c r="C12">
        <v>78422</v>
      </c>
      <c r="D12">
        <v>77769</v>
      </c>
      <c r="E12">
        <v>425587</v>
      </c>
      <c r="F12">
        <v>1552</v>
      </c>
    </row>
    <row r="13" spans="1:6" x14ac:dyDescent="0.3">
      <c r="B13">
        <v>10</v>
      </c>
      <c r="C13">
        <v>78390</v>
      </c>
      <c r="D13">
        <v>70137</v>
      </c>
      <c r="E13">
        <v>445045</v>
      </c>
      <c r="F13">
        <v>1484</v>
      </c>
    </row>
    <row r="14" spans="1:6" x14ac:dyDescent="0.3">
      <c r="B14">
        <v>11</v>
      </c>
      <c r="C14">
        <v>59704</v>
      </c>
      <c r="D14">
        <v>69068</v>
      </c>
      <c r="E14">
        <v>470151</v>
      </c>
      <c r="F14">
        <v>992</v>
      </c>
    </row>
    <row r="15" spans="1:6" x14ac:dyDescent="0.3">
      <c r="B15">
        <v>12</v>
      </c>
      <c r="C15">
        <v>58607</v>
      </c>
      <c r="D15">
        <v>58819</v>
      </c>
      <c r="E15">
        <v>509468</v>
      </c>
      <c r="F15">
        <v>1208</v>
      </c>
    </row>
    <row r="17" spans="1:3" x14ac:dyDescent="0.3">
      <c r="A17" s="1" t="s">
        <v>155</v>
      </c>
    </row>
    <row r="18" spans="1:3" x14ac:dyDescent="0.3">
      <c r="A18" t="s">
        <v>149</v>
      </c>
      <c r="B18" s="18" t="s">
        <v>156</v>
      </c>
      <c r="C18" s="18" t="s">
        <v>157</v>
      </c>
    </row>
    <row r="19" spans="1:3" x14ac:dyDescent="0.3">
      <c r="A19">
        <v>1</v>
      </c>
      <c r="B19">
        <v>318480</v>
      </c>
      <c r="C19">
        <v>151.07</v>
      </c>
    </row>
    <row r="20" spans="1:3" x14ac:dyDescent="0.3">
      <c r="A20">
        <v>2</v>
      </c>
      <c r="B20">
        <v>432018</v>
      </c>
      <c r="C20">
        <v>145.75</v>
      </c>
    </row>
    <row r="21" spans="1:3" x14ac:dyDescent="0.3">
      <c r="A21">
        <v>3</v>
      </c>
      <c r="B21">
        <v>459937</v>
      </c>
      <c r="C21">
        <v>148.58000000000001</v>
      </c>
    </row>
    <row r="22" spans="1:3" x14ac:dyDescent="0.3">
      <c r="A22">
        <v>4</v>
      </c>
      <c r="B22">
        <v>317594</v>
      </c>
      <c r="C22">
        <v>155.75</v>
      </c>
    </row>
    <row r="23" spans="1:3" x14ac:dyDescent="0.3">
      <c r="A23">
        <v>5</v>
      </c>
      <c r="B23">
        <v>417765</v>
      </c>
      <c r="C23">
        <v>148.33000000000001</v>
      </c>
    </row>
    <row r="24" spans="1:3" x14ac:dyDescent="0.3">
      <c r="A24">
        <v>6</v>
      </c>
      <c r="B24">
        <v>538584</v>
      </c>
      <c r="C24">
        <v>147.9</v>
      </c>
    </row>
    <row r="25" spans="1:3" x14ac:dyDescent="0.3">
      <c r="A25">
        <v>7</v>
      </c>
      <c r="B25">
        <v>257482</v>
      </c>
      <c r="C25">
        <v>166.17</v>
      </c>
    </row>
    <row r="26" spans="1:3" x14ac:dyDescent="0.3">
      <c r="A26">
        <v>8</v>
      </c>
      <c r="B26">
        <v>391653</v>
      </c>
      <c r="C26">
        <v>149.41999999999999</v>
      </c>
    </row>
    <row r="27" spans="1:3" x14ac:dyDescent="0.3">
      <c r="A27">
        <v>9</v>
      </c>
      <c r="B27">
        <v>457496</v>
      </c>
      <c r="C27">
        <v>153.16</v>
      </c>
    </row>
    <row r="28" spans="1:3" x14ac:dyDescent="0.3">
      <c r="A28">
        <v>10</v>
      </c>
      <c r="B28">
        <v>400054</v>
      </c>
      <c r="C28">
        <v>129.94</v>
      </c>
    </row>
    <row r="29" spans="1:3" x14ac:dyDescent="0.3">
      <c r="A29">
        <v>11</v>
      </c>
      <c r="B29">
        <v>340954</v>
      </c>
      <c r="C29">
        <v>144.91999999999999</v>
      </c>
    </row>
    <row r="30" spans="1:3" x14ac:dyDescent="0.3">
      <c r="A30">
        <v>12</v>
      </c>
      <c r="B30">
        <v>495630</v>
      </c>
      <c r="C30">
        <v>144.99</v>
      </c>
    </row>
    <row r="32" spans="1:3" x14ac:dyDescent="0.3">
      <c r="A32" s="1" t="s">
        <v>158</v>
      </c>
    </row>
    <row r="33" spans="1:4" x14ac:dyDescent="0.3">
      <c r="A33" s="5">
        <f>SUM(C4:E15)</f>
        <v>6892028</v>
      </c>
      <c r="B33" t="s">
        <v>159</v>
      </c>
    </row>
    <row r="35" spans="1:4" x14ac:dyDescent="0.3">
      <c r="A35" s="1" t="s">
        <v>160</v>
      </c>
    </row>
    <row r="36" spans="1:4" x14ac:dyDescent="0.3">
      <c r="A36" s="5">
        <f>SUM(B19:B30)</f>
        <v>4827647</v>
      </c>
      <c r="B36" t="s">
        <v>159</v>
      </c>
    </row>
    <row r="38" spans="1:4" x14ac:dyDescent="0.3">
      <c r="A38" t="s">
        <v>161</v>
      </c>
    </row>
    <row r="39" spans="1:4" x14ac:dyDescent="0.3">
      <c r="A39" t="s">
        <v>162</v>
      </c>
    </row>
    <row r="40" spans="1:4" x14ac:dyDescent="0.3">
      <c r="A40" t="s">
        <v>163</v>
      </c>
    </row>
    <row r="41" spans="1:4" x14ac:dyDescent="0.3">
      <c r="A41" t="s">
        <v>164</v>
      </c>
    </row>
    <row r="43" spans="1:4" x14ac:dyDescent="0.3">
      <c r="B43" s="18" t="s">
        <v>86</v>
      </c>
      <c r="C43" s="18" t="s">
        <v>91</v>
      </c>
      <c r="D43" t="s">
        <v>165</v>
      </c>
    </row>
    <row r="44" spans="1:4" x14ac:dyDescent="0.3">
      <c r="A44">
        <v>2015</v>
      </c>
      <c r="B44">
        <v>207171527</v>
      </c>
      <c r="C44">
        <v>4668774792</v>
      </c>
      <c r="D44" t="s">
        <v>166</v>
      </c>
    </row>
    <row r="46" spans="1:4" x14ac:dyDescent="0.3">
      <c r="A46" s="1" t="s">
        <v>167</v>
      </c>
    </row>
    <row r="47" spans="1:4" x14ac:dyDescent="0.3">
      <c r="A47">
        <f>B44/C44</f>
        <v>4.4373853147723213E-2</v>
      </c>
    </row>
    <row r="49" spans="1:2" x14ac:dyDescent="0.3">
      <c r="A49" s="1" t="s">
        <v>168</v>
      </c>
    </row>
    <row r="50" spans="1:2" x14ac:dyDescent="0.3">
      <c r="A50" s="19">
        <f>A36*A47</f>
        <v>214221.29902704654</v>
      </c>
      <c r="B50"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workbookViewId="0"/>
  </sheetViews>
  <sheetFormatPr defaultColWidth="8.88671875" defaultRowHeight="14.4" x14ac:dyDescent="0.3"/>
  <cols>
    <col min="1" max="1" width="10.44140625" customWidth="1"/>
    <col min="2" max="4" width="11.6640625" customWidth="1"/>
    <col min="5" max="5" width="23.33203125" customWidth="1"/>
  </cols>
  <sheetData>
    <row r="1" spans="1:5" x14ac:dyDescent="0.3">
      <c r="A1" s="2" t="s">
        <v>169</v>
      </c>
      <c r="B1" s="7"/>
      <c r="C1" s="7"/>
      <c r="D1" s="7"/>
      <c r="E1" s="7"/>
    </row>
    <row r="2" spans="1:5" x14ac:dyDescent="0.3">
      <c r="B2" t="s">
        <v>170</v>
      </c>
      <c r="C2" t="s">
        <v>86</v>
      </c>
      <c r="D2" t="s">
        <v>91</v>
      </c>
      <c r="E2" t="s">
        <v>165</v>
      </c>
    </row>
    <row r="3" spans="1:5" x14ac:dyDescent="0.3">
      <c r="A3">
        <v>2017</v>
      </c>
      <c r="B3">
        <v>3</v>
      </c>
      <c r="C3">
        <v>40</v>
      </c>
      <c r="D3">
        <v>0</v>
      </c>
      <c r="E3" t="s">
        <v>171</v>
      </c>
    </row>
    <row r="5" spans="1:5" x14ac:dyDescent="0.3">
      <c r="A5" s="2" t="s">
        <v>172</v>
      </c>
      <c r="B5" s="7"/>
      <c r="C5" s="7"/>
      <c r="D5" s="7"/>
      <c r="E5" s="7"/>
    </row>
    <row r="6" spans="1:5" x14ac:dyDescent="0.3">
      <c r="A6" s="25">
        <v>0.09</v>
      </c>
      <c r="B6" t="s">
        <v>173</v>
      </c>
    </row>
    <row r="7" spans="1:5" x14ac:dyDescent="0.3">
      <c r="A7">
        <v>775</v>
      </c>
      <c r="B7" t="s">
        <v>174</v>
      </c>
    </row>
    <row r="8" spans="1:5" x14ac:dyDescent="0.3">
      <c r="A8">
        <v>97</v>
      </c>
      <c r="B8" t="s">
        <v>175</v>
      </c>
    </row>
    <row r="9" spans="1:5" x14ac:dyDescent="0.3">
      <c r="A9">
        <v>6</v>
      </c>
      <c r="B9" t="s">
        <v>176</v>
      </c>
    </row>
    <row r="10" spans="1:5" x14ac:dyDescent="0.3">
      <c r="A10" s="20" t="s">
        <v>177</v>
      </c>
    </row>
    <row r="12" spans="1:5" x14ac:dyDescent="0.3">
      <c r="B12" t="s">
        <v>170</v>
      </c>
      <c r="C12" t="s">
        <v>86</v>
      </c>
      <c r="D12" t="s">
        <v>91</v>
      </c>
      <c r="E12" t="s">
        <v>165</v>
      </c>
    </row>
    <row r="13" spans="1:5" x14ac:dyDescent="0.3">
      <c r="A13" t="s">
        <v>178</v>
      </c>
      <c r="B13" s="26">
        <f>A7*(1-A6)</f>
        <v>705.25</v>
      </c>
      <c r="C13">
        <f>A9</f>
        <v>6</v>
      </c>
      <c r="D13">
        <f>A8</f>
        <v>97</v>
      </c>
      <c r="E13" t="s">
        <v>179</v>
      </c>
    </row>
    <row r="14" spans="1:5" x14ac:dyDescent="0.3">
      <c r="A14" t="s">
        <v>180</v>
      </c>
      <c r="B14" s="26">
        <f>A6*A7</f>
        <v>69.75</v>
      </c>
      <c r="C14">
        <v>0</v>
      </c>
      <c r="D14">
        <v>0</v>
      </c>
      <c r="E14" t="s">
        <v>179</v>
      </c>
    </row>
    <row r="16" spans="1:5" x14ac:dyDescent="0.3">
      <c r="A16" s="2" t="s">
        <v>31</v>
      </c>
      <c r="B16" s="7"/>
      <c r="C16" s="7"/>
      <c r="D16" s="7"/>
      <c r="E16" s="7"/>
    </row>
    <row r="17" spans="1:5" x14ac:dyDescent="0.3">
      <c r="A17" s="1" t="s">
        <v>181</v>
      </c>
    </row>
    <row r="18" spans="1:5" x14ac:dyDescent="0.3">
      <c r="A18" s="27">
        <v>262.39999999999998</v>
      </c>
      <c r="B18" t="s">
        <v>182</v>
      </c>
    </row>
    <row r="19" spans="1:5" x14ac:dyDescent="0.3">
      <c r="A19" s="28">
        <v>33.57</v>
      </c>
      <c r="B19" t="s">
        <v>183</v>
      </c>
    </row>
    <row r="20" spans="1:5" x14ac:dyDescent="0.3">
      <c r="A20">
        <v>67.8</v>
      </c>
      <c r="B20" t="s">
        <v>184</v>
      </c>
    </row>
    <row r="21" spans="1:5" x14ac:dyDescent="0.3">
      <c r="A21">
        <v>23.4</v>
      </c>
      <c r="B21" t="s">
        <v>185</v>
      </c>
    </row>
    <row r="22" spans="1:5" x14ac:dyDescent="0.3">
      <c r="A22">
        <v>137.69999999999999</v>
      </c>
      <c r="B22" t="s">
        <v>186</v>
      </c>
    </row>
    <row r="24" spans="1:5" x14ac:dyDescent="0.3">
      <c r="A24" s="28" t="s">
        <v>187</v>
      </c>
    </row>
    <row r="25" spans="1:5" x14ac:dyDescent="0.3">
      <c r="A25" t="s">
        <v>188</v>
      </c>
    </row>
    <row r="26" spans="1:5" x14ac:dyDescent="0.3">
      <c r="A26" t="s">
        <v>189</v>
      </c>
    </row>
    <row r="27" spans="1:5" x14ac:dyDescent="0.3">
      <c r="A27" s="3" t="s">
        <v>190</v>
      </c>
      <c r="D27" t="s">
        <v>191</v>
      </c>
    </row>
    <row r="28" spans="1:5" x14ac:dyDescent="0.3">
      <c r="E28" s="4"/>
    </row>
    <row r="30" spans="1:5" x14ac:dyDescent="0.3">
      <c r="A30" t="s">
        <v>192</v>
      </c>
    </row>
    <row r="31" spans="1:5" x14ac:dyDescent="0.3">
      <c r="A31" t="s">
        <v>193</v>
      </c>
    </row>
    <row r="32" spans="1:5" x14ac:dyDescent="0.3">
      <c r="A32" t="s">
        <v>194</v>
      </c>
    </row>
    <row r="34" spans="1:5" x14ac:dyDescent="0.3">
      <c r="A34" s="2" t="s">
        <v>35</v>
      </c>
      <c r="B34" s="7"/>
      <c r="C34" s="7"/>
      <c r="D34" s="7"/>
      <c r="E34" s="7"/>
    </row>
    <row r="35" spans="1:5" x14ac:dyDescent="0.3">
      <c r="A35">
        <v>10</v>
      </c>
      <c r="B35" t="s">
        <v>195</v>
      </c>
    </row>
    <row r="36" spans="1:5" x14ac:dyDescent="0.3">
      <c r="A36" t="s">
        <v>196</v>
      </c>
    </row>
    <row r="38" spans="1:5" x14ac:dyDescent="0.3">
      <c r="A38" t="s">
        <v>197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
  <sheetViews>
    <sheetView workbookViewId="0">
      <pane xSplit="2" ySplit="1" topLeftCell="C2" activePane="bottomRight" state="frozen"/>
      <selection pane="topRight" activeCell="C1" sqref="C1"/>
      <selection pane="bottomLeft" activeCell="A2" sqref="A2"/>
      <selection pane="bottomRight" activeCell="A18" sqref="A18"/>
    </sheetView>
  </sheetViews>
  <sheetFormatPr defaultColWidth="8.88671875" defaultRowHeight="15" customHeight="1" x14ac:dyDescent="0.3"/>
  <cols>
    <col min="1" max="1" width="30.44140625" customWidth="1"/>
    <col min="2" max="2" width="45.6640625" customWidth="1"/>
  </cols>
  <sheetData>
    <row r="1" spans="1:35" ht="15" customHeight="1" thickBot="1" x14ac:dyDescent="0.35">
      <c r="B1" s="199" t="s">
        <v>198</v>
      </c>
      <c r="C1" s="200">
        <v>2019</v>
      </c>
      <c r="D1" s="200">
        <v>2020</v>
      </c>
      <c r="E1" s="200">
        <v>2021</v>
      </c>
      <c r="F1" s="200">
        <v>2022</v>
      </c>
      <c r="G1" s="200">
        <v>2023</v>
      </c>
      <c r="H1" s="200">
        <v>2024</v>
      </c>
      <c r="I1" s="200">
        <v>2025</v>
      </c>
      <c r="J1" s="200">
        <v>2026</v>
      </c>
      <c r="K1" s="200">
        <v>2027</v>
      </c>
      <c r="L1" s="200">
        <v>2028</v>
      </c>
      <c r="M1" s="200">
        <v>2029</v>
      </c>
      <c r="N1" s="200">
        <v>2030</v>
      </c>
      <c r="O1" s="200">
        <v>2031</v>
      </c>
      <c r="P1" s="200">
        <v>2032</v>
      </c>
      <c r="Q1" s="200">
        <v>2033</v>
      </c>
      <c r="R1" s="200">
        <v>2034</v>
      </c>
      <c r="S1" s="200">
        <v>2035</v>
      </c>
      <c r="T1" s="200">
        <v>2036</v>
      </c>
      <c r="U1" s="200">
        <v>2037</v>
      </c>
      <c r="V1" s="200">
        <v>2038</v>
      </c>
      <c r="W1" s="200">
        <v>2039</v>
      </c>
      <c r="X1" s="200">
        <v>2040</v>
      </c>
      <c r="Y1" s="200">
        <v>2041</v>
      </c>
      <c r="Z1" s="200">
        <v>2042</v>
      </c>
      <c r="AA1" s="200">
        <v>2043</v>
      </c>
      <c r="AB1" s="200">
        <v>2044</v>
      </c>
      <c r="AC1" s="200">
        <v>2045</v>
      </c>
      <c r="AD1" s="200">
        <v>2046</v>
      </c>
      <c r="AE1" s="200">
        <v>2047</v>
      </c>
      <c r="AF1" s="200">
        <v>2048</v>
      </c>
      <c r="AG1" s="200">
        <v>2049</v>
      </c>
      <c r="AH1" s="200">
        <v>2050</v>
      </c>
    </row>
    <row r="2" spans="1:35" ht="15" customHeight="1" thickTop="1" x14ac:dyDescent="0.3"/>
    <row r="3" spans="1:35" ht="15" customHeight="1" x14ac:dyDescent="0.3">
      <c r="C3" s="218" t="s">
        <v>199</v>
      </c>
      <c r="D3" s="218" t="s">
        <v>41</v>
      </c>
      <c r="E3" s="218"/>
      <c r="F3" s="218"/>
      <c r="G3" s="218"/>
    </row>
    <row r="4" spans="1:35" ht="15" customHeight="1" x14ac:dyDescent="0.3">
      <c r="C4" s="218" t="s">
        <v>200</v>
      </c>
      <c r="D4" s="218" t="s">
        <v>201</v>
      </c>
      <c r="E4" s="218"/>
      <c r="F4" s="218"/>
      <c r="G4" s="218" t="s">
        <v>202</v>
      </c>
    </row>
    <row r="5" spans="1:35" ht="15" customHeight="1" x14ac:dyDescent="0.3">
      <c r="C5" s="218" t="s">
        <v>203</v>
      </c>
      <c r="D5" s="218" t="s">
        <v>204</v>
      </c>
      <c r="E5" s="218"/>
      <c r="F5" s="218"/>
      <c r="G5" s="218"/>
    </row>
    <row r="6" spans="1:35" ht="15" customHeight="1" x14ac:dyDescent="0.3">
      <c r="C6" s="218" t="s">
        <v>205</v>
      </c>
      <c r="D6" s="218"/>
      <c r="E6" s="218" t="s">
        <v>206</v>
      </c>
      <c r="F6" s="218"/>
      <c r="G6" s="218"/>
    </row>
    <row r="10" spans="1:35" ht="15" customHeight="1" x14ac:dyDescent="0.3">
      <c r="A10" s="203" t="s">
        <v>207</v>
      </c>
      <c r="B10" s="204" t="s">
        <v>208</v>
      </c>
    </row>
    <row r="11" spans="1:35" ht="15" customHeight="1" x14ac:dyDescent="0.3">
      <c r="B11" s="199" t="s">
        <v>209</v>
      </c>
    </row>
    <row r="12" spans="1:35" ht="15" customHeight="1" x14ac:dyDescent="0.3">
      <c r="B12" s="199" t="s">
        <v>210</v>
      </c>
      <c r="C12" s="3" t="s">
        <v>210</v>
      </c>
      <c r="D12" s="3" t="s">
        <v>210</v>
      </c>
      <c r="E12" s="3" t="s">
        <v>210</v>
      </c>
      <c r="F12" s="3" t="s">
        <v>210</v>
      </c>
      <c r="G12" s="3" t="s">
        <v>210</v>
      </c>
      <c r="H12" s="3" t="s">
        <v>210</v>
      </c>
      <c r="I12" s="3" t="s">
        <v>210</v>
      </c>
      <c r="J12" s="3" t="s">
        <v>210</v>
      </c>
      <c r="K12" s="3" t="s">
        <v>210</v>
      </c>
      <c r="L12" s="3" t="s">
        <v>210</v>
      </c>
      <c r="M12" s="3" t="s">
        <v>210</v>
      </c>
      <c r="N12" s="3" t="s">
        <v>210</v>
      </c>
      <c r="O12" s="3" t="s">
        <v>210</v>
      </c>
      <c r="P12" s="3" t="s">
        <v>210</v>
      </c>
      <c r="Q12" s="3" t="s">
        <v>210</v>
      </c>
      <c r="R12" s="3" t="s">
        <v>210</v>
      </c>
      <c r="S12" s="3" t="s">
        <v>210</v>
      </c>
      <c r="T12" s="3" t="s">
        <v>210</v>
      </c>
      <c r="U12" s="3" t="s">
        <v>210</v>
      </c>
      <c r="V12" s="3" t="s">
        <v>210</v>
      </c>
      <c r="W12" s="3" t="s">
        <v>210</v>
      </c>
      <c r="X12" s="3" t="s">
        <v>210</v>
      </c>
      <c r="Y12" s="3" t="s">
        <v>210</v>
      </c>
      <c r="Z12" s="3" t="s">
        <v>210</v>
      </c>
      <c r="AA12" s="3" t="s">
        <v>210</v>
      </c>
      <c r="AB12" s="3" t="s">
        <v>210</v>
      </c>
      <c r="AC12" s="3" t="s">
        <v>210</v>
      </c>
      <c r="AD12" s="3" t="s">
        <v>210</v>
      </c>
      <c r="AE12" s="3" t="s">
        <v>210</v>
      </c>
      <c r="AF12" s="3" t="s">
        <v>210</v>
      </c>
      <c r="AG12" s="3" t="s">
        <v>210</v>
      </c>
      <c r="AH12" s="3" t="s">
        <v>210</v>
      </c>
      <c r="AI12" s="3" t="s">
        <v>211</v>
      </c>
    </row>
    <row r="13" spans="1:35" ht="15" customHeight="1" thickBot="1" x14ac:dyDescent="0.35">
      <c r="B13" s="200" t="s">
        <v>212</v>
      </c>
      <c r="C13" s="200">
        <v>2019</v>
      </c>
      <c r="D13" s="200">
        <v>2020</v>
      </c>
      <c r="E13" s="200">
        <v>2021</v>
      </c>
      <c r="F13" s="200">
        <v>2022</v>
      </c>
      <c r="G13" s="200">
        <v>2023</v>
      </c>
      <c r="H13" s="200">
        <v>2024</v>
      </c>
      <c r="I13" s="200">
        <v>2025</v>
      </c>
      <c r="J13" s="200">
        <v>2026</v>
      </c>
      <c r="K13" s="200">
        <v>2027</v>
      </c>
      <c r="L13" s="200">
        <v>2028</v>
      </c>
      <c r="M13" s="200">
        <v>2029</v>
      </c>
      <c r="N13" s="200">
        <v>2030</v>
      </c>
      <c r="O13" s="200">
        <v>2031</v>
      </c>
      <c r="P13" s="200">
        <v>2032</v>
      </c>
      <c r="Q13" s="200">
        <v>2033</v>
      </c>
      <c r="R13" s="200">
        <v>2034</v>
      </c>
      <c r="S13" s="200">
        <v>2035</v>
      </c>
      <c r="T13" s="200">
        <v>2036</v>
      </c>
      <c r="U13" s="200">
        <v>2037</v>
      </c>
      <c r="V13" s="200">
        <v>2038</v>
      </c>
      <c r="W13" s="200">
        <v>2039</v>
      </c>
      <c r="X13" s="200">
        <v>2040</v>
      </c>
      <c r="Y13" s="200">
        <v>2041</v>
      </c>
      <c r="Z13" s="200">
        <v>2042</v>
      </c>
      <c r="AA13" s="200">
        <v>2043</v>
      </c>
      <c r="AB13" s="200">
        <v>2044</v>
      </c>
      <c r="AC13" s="200">
        <v>2045</v>
      </c>
      <c r="AD13" s="200">
        <v>2046</v>
      </c>
      <c r="AE13" s="200">
        <v>2047</v>
      </c>
      <c r="AF13" s="200">
        <v>2048</v>
      </c>
      <c r="AG13" s="200">
        <v>2049</v>
      </c>
      <c r="AH13" s="200">
        <v>2050</v>
      </c>
      <c r="AI13" s="200">
        <v>2050</v>
      </c>
    </row>
    <row r="14" spans="1:35" ht="15" customHeight="1" thickTop="1" x14ac:dyDescent="0.3"/>
    <row r="15" spans="1:35" ht="15" customHeight="1" x14ac:dyDescent="0.3">
      <c r="B15" s="207" t="s">
        <v>170</v>
      </c>
    </row>
    <row r="16" spans="1:35" ht="15" customHeight="1" x14ac:dyDescent="0.3">
      <c r="A16" s="203" t="s">
        <v>213</v>
      </c>
      <c r="B16" s="208" t="s">
        <v>214</v>
      </c>
      <c r="C16" s="209">
        <v>25.609801999999998</v>
      </c>
      <c r="D16" s="209">
        <v>29.023219999999998</v>
      </c>
      <c r="E16" s="209">
        <v>32.153171999999998</v>
      </c>
      <c r="F16" s="209">
        <v>34.069308999999997</v>
      </c>
      <c r="G16" s="209">
        <v>34.946575000000003</v>
      </c>
      <c r="H16" s="209">
        <v>35.786288999999996</v>
      </c>
      <c r="I16" s="209">
        <v>36.260719000000002</v>
      </c>
      <c r="J16" s="209">
        <v>36.787514000000002</v>
      </c>
      <c r="K16" s="209">
        <v>37.048611000000001</v>
      </c>
      <c r="L16" s="209">
        <v>37.295333999999997</v>
      </c>
      <c r="M16" s="209">
        <v>37.478222000000002</v>
      </c>
      <c r="N16" s="209">
        <v>37.728161</v>
      </c>
      <c r="O16" s="209">
        <v>38.161762000000003</v>
      </c>
      <c r="P16" s="209">
        <v>38.435223000000001</v>
      </c>
      <c r="Q16" s="209">
        <v>38.808940999999997</v>
      </c>
      <c r="R16" s="209">
        <v>38.440941000000002</v>
      </c>
      <c r="S16" s="209">
        <v>38.606178</v>
      </c>
      <c r="T16" s="209">
        <v>38.570506999999999</v>
      </c>
      <c r="U16" s="209">
        <v>38.509875999999998</v>
      </c>
      <c r="V16" s="209">
        <v>38.289101000000002</v>
      </c>
      <c r="W16" s="209">
        <v>38.237983999999997</v>
      </c>
      <c r="X16" s="209">
        <v>38.24062</v>
      </c>
      <c r="Y16" s="209">
        <v>38.236804999999997</v>
      </c>
      <c r="Z16" s="209">
        <v>38.273491</v>
      </c>
      <c r="AA16" s="209">
        <v>38.000069000000003</v>
      </c>
      <c r="AB16" s="209">
        <v>37.980083</v>
      </c>
      <c r="AC16" s="209">
        <v>38.048946000000001</v>
      </c>
      <c r="AD16" s="209">
        <v>38.124599000000003</v>
      </c>
      <c r="AE16" s="209">
        <v>38.372813999999998</v>
      </c>
      <c r="AF16" s="209">
        <v>38.755626999999997</v>
      </c>
      <c r="AG16" s="209">
        <v>39.242901000000003</v>
      </c>
      <c r="AH16" s="209">
        <v>39.562629999999999</v>
      </c>
      <c r="AI16" s="210">
        <v>1.4128E-2</v>
      </c>
    </row>
    <row r="17" spans="1:35" ht="15" customHeight="1" x14ac:dyDescent="0.3">
      <c r="A17" s="203" t="s">
        <v>215</v>
      </c>
      <c r="B17" s="208" t="s">
        <v>216</v>
      </c>
      <c r="C17" s="209">
        <v>6.6019019999999999</v>
      </c>
      <c r="D17" s="209">
        <v>7.6872160000000003</v>
      </c>
      <c r="E17" s="209">
        <v>8.2687950000000008</v>
      </c>
      <c r="F17" s="209">
        <v>9.0856349999999999</v>
      </c>
      <c r="G17" s="209">
        <v>9.1540009999999992</v>
      </c>
      <c r="H17" s="209">
        <v>9.280481</v>
      </c>
      <c r="I17" s="209">
        <v>9.3829980000000006</v>
      </c>
      <c r="J17" s="209">
        <v>9.6329510000000003</v>
      </c>
      <c r="K17" s="209">
        <v>9.8887040000000006</v>
      </c>
      <c r="L17" s="209">
        <v>10.018386</v>
      </c>
      <c r="M17" s="209">
        <v>10.108791</v>
      </c>
      <c r="N17" s="209">
        <v>10.070297</v>
      </c>
      <c r="O17" s="209">
        <v>10.089097000000001</v>
      </c>
      <c r="P17" s="209">
        <v>10.124739999999999</v>
      </c>
      <c r="Q17" s="209">
        <v>10.179479000000001</v>
      </c>
      <c r="R17" s="209">
        <v>10.167198000000001</v>
      </c>
      <c r="S17" s="209">
        <v>10.201029</v>
      </c>
      <c r="T17" s="209">
        <v>10.205933999999999</v>
      </c>
      <c r="U17" s="209">
        <v>10.177263999999999</v>
      </c>
      <c r="V17" s="209">
        <v>10.230554</v>
      </c>
      <c r="W17" s="209">
        <v>10.229934</v>
      </c>
      <c r="X17" s="209">
        <v>10.224057999999999</v>
      </c>
      <c r="Y17" s="209">
        <v>10.182619000000001</v>
      </c>
      <c r="Z17" s="209">
        <v>10.205435</v>
      </c>
      <c r="AA17" s="209">
        <v>10.201748</v>
      </c>
      <c r="AB17" s="209">
        <v>10.166046</v>
      </c>
      <c r="AC17" s="209">
        <v>10.195328999999999</v>
      </c>
      <c r="AD17" s="209">
        <v>10.233090000000001</v>
      </c>
      <c r="AE17" s="209">
        <v>10.288786999999999</v>
      </c>
      <c r="AF17" s="209">
        <v>10.369956</v>
      </c>
      <c r="AG17" s="209">
        <v>10.475320999999999</v>
      </c>
      <c r="AH17" s="209">
        <v>10.553595</v>
      </c>
      <c r="AI17" s="210">
        <v>1.5247999999999999E-2</v>
      </c>
    </row>
    <row r="18" spans="1:35" ht="15" customHeight="1" x14ac:dyDescent="0.3">
      <c r="A18" s="203" t="s">
        <v>217</v>
      </c>
      <c r="B18" s="208" t="s">
        <v>218</v>
      </c>
      <c r="C18" s="209">
        <v>35.698853</v>
      </c>
      <c r="D18" s="209">
        <v>36.461613</v>
      </c>
      <c r="E18" s="209">
        <v>38.399318999999998</v>
      </c>
      <c r="F18" s="209">
        <v>39.064152</v>
      </c>
      <c r="G18" s="209">
        <v>39.540782999999998</v>
      </c>
      <c r="H18" s="209">
        <v>40.186931999999999</v>
      </c>
      <c r="I18" s="209">
        <v>41.594856</v>
      </c>
      <c r="J18" s="209">
        <v>42.991824999999999</v>
      </c>
      <c r="K18" s="209">
        <v>43.837153999999998</v>
      </c>
      <c r="L18" s="209">
        <v>44.673091999999997</v>
      </c>
      <c r="M18" s="209">
        <v>45.265652000000003</v>
      </c>
      <c r="N18" s="209">
        <v>45.577869</v>
      </c>
      <c r="O18" s="209">
        <v>46.066223000000001</v>
      </c>
      <c r="P18" s="209">
        <v>46.707607000000003</v>
      </c>
      <c r="Q18" s="209">
        <v>47.376925999999997</v>
      </c>
      <c r="R18" s="209">
        <v>47.925548999999997</v>
      </c>
      <c r="S18" s="209">
        <v>48.427115999999998</v>
      </c>
      <c r="T18" s="209">
        <v>49.248725999999998</v>
      </c>
      <c r="U18" s="209">
        <v>49.617587999999998</v>
      </c>
      <c r="V18" s="209">
        <v>50.274464000000002</v>
      </c>
      <c r="W18" s="209">
        <v>50.788733999999998</v>
      </c>
      <c r="X18" s="209">
        <v>51.329383999999997</v>
      </c>
      <c r="Y18" s="209">
        <v>51.800266000000001</v>
      </c>
      <c r="Z18" s="209">
        <v>52.295409999999997</v>
      </c>
      <c r="AA18" s="209">
        <v>52.754333000000003</v>
      </c>
      <c r="AB18" s="209">
        <v>53.282814000000002</v>
      </c>
      <c r="AC18" s="209">
        <v>53.718960000000003</v>
      </c>
      <c r="AD18" s="209">
        <v>54.344379000000004</v>
      </c>
      <c r="AE18" s="209">
        <v>54.812981000000001</v>
      </c>
      <c r="AF18" s="209">
        <v>55.301307999999999</v>
      </c>
      <c r="AG18" s="209">
        <v>55.799816</v>
      </c>
      <c r="AH18" s="209">
        <v>56.345497000000002</v>
      </c>
      <c r="AI18" s="210">
        <v>1.4831E-2</v>
      </c>
    </row>
    <row r="19" spans="1:35" ht="15" customHeight="1" x14ac:dyDescent="0.3">
      <c r="A19" s="203" t="s">
        <v>219</v>
      </c>
      <c r="B19" s="208" t="s">
        <v>220</v>
      </c>
      <c r="C19" s="209">
        <v>13.570377000000001</v>
      </c>
      <c r="D19" s="209">
        <v>12.323532999999999</v>
      </c>
      <c r="E19" s="209">
        <v>11.59661</v>
      </c>
      <c r="F19" s="209">
        <v>11.398016999999999</v>
      </c>
      <c r="G19" s="209">
        <v>10.785779</v>
      </c>
      <c r="H19" s="209">
        <v>10.465206999999999</v>
      </c>
      <c r="I19" s="209">
        <v>9.4281839999999999</v>
      </c>
      <c r="J19" s="209">
        <v>9.6111799999999992</v>
      </c>
      <c r="K19" s="209">
        <v>9.5653670000000002</v>
      </c>
      <c r="L19" s="209">
        <v>9.4484169999999992</v>
      </c>
      <c r="M19" s="209">
        <v>9.2826070000000005</v>
      </c>
      <c r="N19" s="209">
        <v>9.1185530000000004</v>
      </c>
      <c r="O19" s="209">
        <v>9.0308489999999999</v>
      </c>
      <c r="P19" s="209">
        <v>9.0082240000000002</v>
      </c>
      <c r="Q19" s="209">
        <v>8.9952210000000008</v>
      </c>
      <c r="R19" s="209">
        <v>8.9909090000000003</v>
      </c>
      <c r="S19" s="209">
        <v>8.8800760000000007</v>
      </c>
      <c r="T19" s="209">
        <v>8.872306</v>
      </c>
      <c r="U19" s="209">
        <v>8.8655539999999995</v>
      </c>
      <c r="V19" s="209">
        <v>8.8244550000000004</v>
      </c>
      <c r="W19" s="209">
        <v>8.7824349999999995</v>
      </c>
      <c r="X19" s="209">
        <v>8.6942799999999991</v>
      </c>
      <c r="Y19" s="209">
        <v>8.6302629999999994</v>
      </c>
      <c r="Z19" s="209">
        <v>8.5981109999999994</v>
      </c>
      <c r="AA19" s="209">
        <v>8.5792819999999992</v>
      </c>
      <c r="AB19" s="209">
        <v>8.5431100000000004</v>
      </c>
      <c r="AC19" s="209">
        <v>8.5029319999999995</v>
      </c>
      <c r="AD19" s="209">
        <v>8.5060099999999998</v>
      </c>
      <c r="AE19" s="209">
        <v>8.4820799999999998</v>
      </c>
      <c r="AF19" s="209">
        <v>8.4536800000000003</v>
      </c>
      <c r="AG19" s="209">
        <v>8.4591530000000006</v>
      </c>
      <c r="AH19" s="209">
        <v>8.4323840000000008</v>
      </c>
      <c r="AI19" s="210">
        <v>-1.5231E-2</v>
      </c>
    </row>
    <row r="20" spans="1:35" ht="15" customHeight="1" x14ac:dyDescent="0.3">
      <c r="A20" s="203" t="s">
        <v>221</v>
      </c>
      <c r="B20" s="208" t="s">
        <v>222</v>
      </c>
      <c r="C20" s="209">
        <v>8.4443459999999995</v>
      </c>
      <c r="D20" s="209">
        <v>8.2934459999999994</v>
      </c>
      <c r="E20" s="209">
        <v>8.1563990000000004</v>
      </c>
      <c r="F20" s="209">
        <v>8.0043199999999999</v>
      </c>
      <c r="G20" s="209">
        <v>8.0280679999999993</v>
      </c>
      <c r="H20" s="209">
        <v>8.0590650000000004</v>
      </c>
      <c r="I20" s="209">
        <v>7.9108099999999997</v>
      </c>
      <c r="J20" s="209">
        <v>6.5784770000000004</v>
      </c>
      <c r="K20" s="209">
        <v>6.1104609999999999</v>
      </c>
      <c r="L20" s="209">
        <v>6.114827</v>
      </c>
      <c r="M20" s="209">
        <v>6.1191079999999998</v>
      </c>
      <c r="N20" s="209">
        <v>5.9346240000000003</v>
      </c>
      <c r="O20" s="209">
        <v>5.8426629999999999</v>
      </c>
      <c r="P20" s="209">
        <v>5.7759150000000004</v>
      </c>
      <c r="Q20" s="209">
        <v>5.6171759999999997</v>
      </c>
      <c r="R20" s="209">
        <v>5.3629360000000004</v>
      </c>
      <c r="S20" s="209">
        <v>5.3776339999999996</v>
      </c>
      <c r="T20" s="209">
        <v>4.8830770000000001</v>
      </c>
      <c r="U20" s="209">
        <v>4.8852859999999998</v>
      </c>
      <c r="V20" s="209">
        <v>4.5108389999999998</v>
      </c>
      <c r="W20" s="209">
        <v>4.3309629999999997</v>
      </c>
      <c r="X20" s="209">
        <v>4.3345700000000003</v>
      </c>
      <c r="Y20" s="209">
        <v>4.3476679999999996</v>
      </c>
      <c r="Z20" s="209">
        <v>4.2739649999999996</v>
      </c>
      <c r="AA20" s="209">
        <v>4.2002689999999996</v>
      </c>
      <c r="AB20" s="209">
        <v>4.0483440000000002</v>
      </c>
      <c r="AC20" s="209">
        <v>3.9849679999999998</v>
      </c>
      <c r="AD20" s="209">
        <v>3.9184230000000002</v>
      </c>
      <c r="AE20" s="209">
        <v>3.9228809999999998</v>
      </c>
      <c r="AF20" s="209">
        <v>3.925656</v>
      </c>
      <c r="AG20" s="209">
        <v>3.9290090000000002</v>
      </c>
      <c r="AH20" s="209">
        <v>3.9338570000000002</v>
      </c>
      <c r="AI20" s="210">
        <v>-2.4340000000000001E-2</v>
      </c>
    </row>
    <row r="21" spans="1:35" ht="15" customHeight="1" x14ac:dyDescent="0.3">
      <c r="A21" s="203" t="s">
        <v>223</v>
      </c>
      <c r="B21" s="208" t="s">
        <v>224</v>
      </c>
      <c r="C21" s="209">
        <v>2.62724</v>
      </c>
      <c r="D21" s="209">
        <v>2.6300240000000001</v>
      </c>
      <c r="E21" s="209">
        <v>2.6087720000000001</v>
      </c>
      <c r="F21" s="209">
        <v>2.5553729999999999</v>
      </c>
      <c r="G21" s="209">
        <v>2.5006309999999998</v>
      </c>
      <c r="H21" s="209">
        <v>2.4470450000000001</v>
      </c>
      <c r="I21" s="209">
        <v>2.4145089999999998</v>
      </c>
      <c r="J21" s="209">
        <v>2.335763</v>
      </c>
      <c r="K21" s="209">
        <v>2.3017660000000002</v>
      </c>
      <c r="L21" s="209">
        <v>2.2868230000000001</v>
      </c>
      <c r="M21" s="209">
        <v>2.2741829999999998</v>
      </c>
      <c r="N21" s="209">
        <v>2.2651880000000002</v>
      </c>
      <c r="O21" s="209">
        <v>2.2582719999999998</v>
      </c>
      <c r="P21" s="209">
        <v>2.2477589999999998</v>
      </c>
      <c r="Q21" s="209">
        <v>2.2424330000000001</v>
      </c>
      <c r="R21" s="209">
        <v>2.2373270000000001</v>
      </c>
      <c r="S21" s="209">
        <v>2.2342270000000002</v>
      </c>
      <c r="T21" s="209">
        <v>2.2254559999999999</v>
      </c>
      <c r="U21" s="209">
        <v>2.210283</v>
      </c>
      <c r="V21" s="209">
        <v>2.2100919999999999</v>
      </c>
      <c r="W21" s="209">
        <v>2.1947269999999999</v>
      </c>
      <c r="X21" s="209">
        <v>2.188682</v>
      </c>
      <c r="Y21" s="209">
        <v>2.1710349999999998</v>
      </c>
      <c r="Z21" s="209">
        <v>2.163268</v>
      </c>
      <c r="AA21" s="209">
        <v>2.1493090000000001</v>
      </c>
      <c r="AB21" s="209">
        <v>2.155904</v>
      </c>
      <c r="AC21" s="209">
        <v>2.1478120000000001</v>
      </c>
      <c r="AD21" s="209">
        <v>2.1489400000000001</v>
      </c>
      <c r="AE21" s="209">
        <v>2.1471490000000002</v>
      </c>
      <c r="AF21" s="209">
        <v>2.1497289999999998</v>
      </c>
      <c r="AG21" s="209">
        <v>2.1383939999999999</v>
      </c>
      <c r="AH21" s="209">
        <v>2.1336200000000001</v>
      </c>
      <c r="AI21" s="210">
        <v>-6.6909999999999999E-3</v>
      </c>
    </row>
    <row r="22" spans="1:35" ht="15" customHeight="1" x14ac:dyDescent="0.3">
      <c r="A22" s="203" t="s">
        <v>225</v>
      </c>
      <c r="B22" s="208" t="s">
        <v>226</v>
      </c>
      <c r="C22" s="209">
        <v>4.8251799999999996</v>
      </c>
      <c r="D22" s="209">
        <v>4.7668470000000003</v>
      </c>
      <c r="E22" s="209">
        <v>4.8266299999999998</v>
      </c>
      <c r="F22" s="209">
        <v>4.8912240000000002</v>
      </c>
      <c r="G22" s="209">
        <v>4.9187209999999997</v>
      </c>
      <c r="H22" s="209">
        <v>4.9501220000000004</v>
      </c>
      <c r="I22" s="209">
        <v>4.9801510000000002</v>
      </c>
      <c r="J22" s="209">
        <v>5.0074630000000004</v>
      </c>
      <c r="K22" s="209">
        <v>5.044035</v>
      </c>
      <c r="L22" s="209">
        <v>5.0805860000000003</v>
      </c>
      <c r="M22" s="209">
        <v>5.1063669999999997</v>
      </c>
      <c r="N22" s="209">
        <v>5.1285020000000001</v>
      </c>
      <c r="O22" s="209">
        <v>5.1447729999999998</v>
      </c>
      <c r="P22" s="209">
        <v>5.1521270000000001</v>
      </c>
      <c r="Q22" s="209">
        <v>5.1670100000000003</v>
      </c>
      <c r="R22" s="209">
        <v>5.1740490000000001</v>
      </c>
      <c r="S22" s="209">
        <v>5.1893859999999998</v>
      </c>
      <c r="T22" s="209">
        <v>5.2040689999999996</v>
      </c>
      <c r="U22" s="209">
        <v>5.213857</v>
      </c>
      <c r="V22" s="209">
        <v>5.2279879999999999</v>
      </c>
      <c r="W22" s="209">
        <v>5.2399089999999999</v>
      </c>
      <c r="X22" s="209">
        <v>5.2577559999999997</v>
      </c>
      <c r="Y22" s="209">
        <v>5.2831010000000003</v>
      </c>
      <c r="Z22" s="209">
        <v>5.2957599999999996</v>
      </c>
      <c r="AA22" s="209">
        <v>5.3193109999999999</v>
      </c>
      <c r="AB22" s="209">
        <v>5.3508870000000002</v>
      </c>
      <c r="AC22" s="209">
        <v>5.378565</v>
      </c>
      <c r="AD22" s="209">
        <v>5.4241640000000002</v>
      </c>
      <c r="AE22" s="209">
        <v>5.462148</v>
      </c>
      <c r="AF22" s="209">
        <v>5.5009990000000002</v>
      </c>
      <c r="AG22" s="209">
        <v>5.5460750000000001</v>
      </c>
      <c r="AH22" s="209">
        <v>5.5987090000000004</v>
      </c>
      <c r="AI22" s="210">
        <v>4.8079999999999998E-3</v>
      </c>
    </row>
    <row r="23" spans="1:35" ht="15" customHeight="1" x14ac:dyDescent="0.3">
      <c r="A23" s="203" t="s">
        <v>227</v>
      </c>
      <c r="B23" s="208" t="s">
        <v>228</v>
      </c>
      <c r="C23" s="209">
        <v>3.9866100000000002</v>
      </c>
      <c r="D23" s="209">
        <v>4.4943949999999999</v>
      </c>
      <c r="E23" s="209">
        <v>5.0654859999999999</v>
      </c>
      <c r="F23" s="209">
        <v>5.8727770000000001</v>
      </c>
      <c r="G23" s="209">
        <v>6.2932600000000001</v>
      </c>
      <c r="H23" s="209">
        <v>6.3855959999999996</v>
      </c>
      <c r="I23" s="209">
        <v>6.7426329999999997</v>
      </c>
      <c r="J23" s="209">
        <v>6.775188</v>
      </c>
      <c r="K23" s="209">
        <v>6.8397610000000002</v>
      </c>
      <c r="L23" s="209">
        <v>6.9137060000000004</v>
      </c>
      <c r="M23" s="209">
        <v>7.0304450000000003</v>
      </c>
      <c r="N23" s="209">
        <v>7.3056140000000003</v>
      </c>
      <c r="O23" s="209">
        <v>7.3696809999999999</v>
      </c>
      <c r="P23" s="209">
        <v>7.3790680000000002</v>
      </c>
      <c r="Q23" s="209">
        <v>7.4076320000000004</v>
      </c>
      <c r="R23" s="209">
        <v>7.4510740000000002</v>
      </c>
      <c r="S23" s="209">
        <v>7.7109379999999996</v>
      </c>
      <c r="T23" s="209">
        <v>7.8029659999999996</v>
      </c>
      <c r="U23" s="209">
        <v>7.8337690000000002</v>
      </c>
      <c r="V23" s="209">
        <v>7.8797639999999998</v>
      </c>
      <c r="W23" s="209">
        <v>7.9300490000000003</v>
      </c>
      <c r="X23" s="209">
        <v>7.9818179999999996</v>
      </c>
      <c r="Y23" s="209">
        <v>8.0455719999999999</v>
      </c>
      <c r="Z23" s="209">
        <v>8.1435569999999995</v>
      </c>
      <c r="AA23" s="209">
        <v>8.3033509999999993</v>
      </c>
      <c r="AB23" s="209">
        <v>8.4933429999999994</v>
      </c>
      <c r="AC23" s="209">
        <v>8.6902369999999998</v>
      </c>
      <c r="AD23" s="209">
        <v>8.8819239999999997</v>
      </c>
      <c r="AE23" s="209">
        <v>9.0969390000000008</v>
      </c>
      <c r="AF23" s="209">
        <v>9.3202920000000002</v>
      </c>
      <c r="AG23" s="209">
        <v>9.5950120000000005</v>
      </c>
      <c r="AH23" s="209">
        <v>9.8943119999999993</v>
      </c>
      <c r="AI23" s="210">
        <v>2.9756999999999999E-2</v>
      </c>
    </row>
    <row r="24" spans="1:35" ht="15" customHeight="1" x14ac:dyDescent="0.3">
      <c r="A24" s="203" t="s">
        <v>229</v>
      </c>
      <c r="B24" s="208" t="s">
        <v>230</v>
      </c>
      <c r="C24" s="209">
        <v>1.4188179999999999</v>
      </c>
      <c r="D24" s="209">
        <v>0.77088999999999996</v>
      </c>
      <c r="E24" s="209">
        <v>0.73635600000000001</v>
      </c>
      <c r="F24" s="209">
        <v>0.77302999999999999</v>
      </c>
      <c r="G24" s="209">
        <v>0.85486300000000004</v>
      </c>
      <c r="H24" s="209">
        <v>0.88145899999999999</v>
      </c>
      <c r="I24" s="209">
        <v>0.81568700000000005</v>
      </c>
      <c r="J24" s="209">
        <v>0.66515999999999997</v>
      </c>
      <c r="K24" s="209">
        <v>0.62254200000000004</v>
      </c>
      <c r="L24" s="209">
        <v>0.63731199999999999</v>
      </c>
      <c r="M24" s="209">
        <v>0.62827100000000002</v>
      </c>
      <c r="N24" s="209">
        <v>0.58481099999999997</v>
      </c>
      <c r="O24" s="209">
        <v>0.57833400000000001</v>
      </c>
      <c r="P24" s="209">
        <v>0.58870699999999998</v>
      </c>
      <c r="Q24" s="209">
        <v>0.56707300000000005</v>
      </c>
      <c r="R24" s="209">
        <v>0.580399</v>
      </c>
      <c r="S24" s="209">
        <v>0.578376</v>
      </c>
      <c r="T24" s="209">
        <v>0.57243900000000003</v>
      </c>
      <c r="U24" s="209">
        <v>0.59517100000000001</v>
      </c>
      <c r="V24" s="209">
        <v>0.59510399999999997</v>
      </c>
      <c r="W24" s="209">
        <v>0.59570100000000004</v>
      </c>
      <c r="X24" s="209">
        <v>0.59037600000000001</v>
      </c>
      <c r="Y24" s="209">
        <v>0.60090699999999997</v>
      </c>
      <c r="Z24" s="209">
        <v>0.59753500000000004</v>
      </c>
      <c r="AA24" s="209">
        <v>0.60119299999999998</v>
      </c>
      <c r="AB24" s="209">
        <v>0.60337300000000005</v>
      </c>
      <c r="AC24" s="209">
        <v>0.60776399999999997</v>
      </c>
      <c r="AD24" s="209">
        <v>0.60822900000000002</v>
      </c>
      <c r="AE24" s="209">
        <v>0.61257099999999998</v>
      </c>
      <c r="AF24" s="209">
        <v>0.61423099999999997</v>
      </c>
      <c r="AG24" s="209">
        <v>0.61750899999999997</v>
      </c>
      <c r="AH24" s="209">
        <v>0.612761</v>
      </c>
      <c r="AI24" s="210">
        <v>-2.6721000000000002E-2</v>
      </c>
    </row>
    <row r="25" spans="1:35" ht="15" customHeight="1" x14ac:dyDescent="0.3">
      <c r="A25" s="203" t="s">
        <v>231</v>
      </c>
      <c r="B25" s="207" t="s">
        <v>232</v>
      </c>
      <c r="C25" s="211">
        <v>102.783119</v>
      </c>
      <c r="D25" s="211">
        <v>106.451172</v>
      </c>
      <c r="E25" s="211">
        <v>111.811539</v>
      </c>
      <c r="F25" s="211">
        <v>115.71384399999999</v>
      </c>
      <c r="G25" s="211">
        <v>117.022682</v>
      </c>
      <c r="H25" s="211">
        <v>118.442215</v>
      </c>
      <c r="I25" s="211">
        <v>119.530548</v>
      </c>
      <c r="J25" s="211">
        <v>120.385521</v>
      </c>
      <c r="K25" s="211">
        <v>121.258408</v>
      </c>
      <c r="L25" s="211">
        <v>122.468491</v>
      </c>
      <c r="M25" s="211">
        <v>123.29364</v>
      </c>
      <c r="N25" s="211">
        <v>123.713615</v>
      </c>
      <c r="O25" s="211">
        <v>124.541656</v>
      </c>
      <c r="P25" s="211">
        <v>125.41937299999999</v>
      </c>
      <c r="Q25" s="211">
        <v>126.36187700000001</v>
      </c>
      <c r="R25" s="211">
        <v>126.330383</v>
      </c>
      <c r="S25" s="211">
        <v>127.204956</v>
      </c>
      <c r="T25" s="211">
        <v>127.58548</v>
      </c>
      <c r="U25" s="211">
        <v>127.908653</v>
      </c>
      <c r="V25" s="211">
        <v>128.04235800000001</v>
      </c>
      <c r="W25" s="211">
        <v>128.33042900000001</v>
      </c>
      <c r="X25" s="211">
        <v>128.841553</v>
      </c>
      <c r="Y25" s="211">
        <v>129.298248</v>
      </c>
      <c r="Z25" s="211">
        <v>129.84652700000001</v>
      </c>
      <c r="AA25" s="211">
        <v>130.10887099999999</v>
      </c>
      <c r="AB25" s="211">
        <v>130.62390099999999</v>
      </c>
      <c r="AC25" s="211">
        <v>131.27551299999999</v>
      </c>
      <c r="AD25" s="211">
        <v>132.189774</v>
      </c>
      <c r="AE25" s="211">
        <v>133.19834900000001</v>
      </c>
      <c r="AF25" s="211">
        <v>134.39149499999999</v>
      </c>
      <c r="AG25" s="211">
        <v>135.80317700000001</v>
      </c>
      <c r="AH25" s="211">
        <v>137.06736799999999</v>
      </c>
      <c r="AI25" s="212">
        <v>9.3290000000000005E-3</v>
      </c>
    </row>
    <row r="27" spans="1:35" ht="15" customHeight="1" x14ac:dyDescent="0.3">
      <c r="B27" s="207" t="s">
        <v>86</v>
      </c>
    </row>
    <row r="28" spans="1:35" ht="15" customHeight="1" x14ac:dyDescent="0.3">
      <c r="A28" s="203" t="s">
        <v>233</v>
      </c>
      <c r="B28" s="208" t="s">
        <v>234</v>
      </c>
      <c r="C28" s="209">
        <v>15.557912999999999</v>
      </c>
      <c r="D28" s="209">
        <v>14.531610000000001</v>
      </c>
      <c r="E28" s="209">
        <v>10.839822</v>
      </c>
      <c r="F28" s="209">
        <v>9.2830449999999995</v>
      </c>
      <c r="G28" s="209">
        <v>9.7110830000000004</v>
      </c>
      <c r="H28" s="209">
        <v>9.3964870000000005</v>
      </c>
      <c r="I28" s="209">
        <v>8.3765269999999994</v>
      </c>
      <c r="J28" s="209">
        <v>8.7795159999999992</v>
      </c>
      <c r="K28" s="209">
        <v>8.26525</v>
      </c>
      <c r="L28" s="209">
        <v>7.7403579999999996</v>
      </c>
      <c r="M28" s="209">
        <v>7.3311029999999997</v>
      </c>
      <c r="N28" s="209">
        <v>5.6586470000000002</v>
      </c>
      <c r="O28" s="209">
        <v>5.5154240000000003</v>
      </c>
      <c r="P28" s="209">
        <v>5.242305</v>
      </c>
      <c r="Q28" s="209">
        <v>4.7038979999999997</v>
      </c>
      <c r="R28" s="209">
        <v>5.0363309999999997</v>
      </c>
      <c r="S28" s="209">
        <v>5.0398370000000003</v>
      </c>
      <c r="T28" s="209">
        <v>4.8863589999999997</v>
      </c>
      <c r="U28" s="209">
        <v>5.3576750000000004</v>
      </c>
      <c r="V28" s="209">
        <v>5.2459239999999996</v>
      </c>
      <c r="W28" s="209">
        <v>5.1072490000000004</v>
      </c>
      <c r="X28" s="209">
        <v>5.2335770000000004</v>
      </c>
      <c r="Y28" s="209">
        <v>5.7839109999999998</v>
      </c>
      <c r="Z28" s="209">
        <v>5.6807480000000004</v>
      </c>
      <c r="AA28" s="209">
        <v>5.922231</v>
      </c>
      <c r="AB28" s="209">
        <v>5.976051</v>
      </c>
      <c r="AC28" s="209">
        <v>5.8664319999999996</v>
      </c>
      <c r="AD28" s="209">
        <v>5.9365189999999997</v>
      </c>
      <c r="AE28" s="209">
        <v>5.9632670000000001</v>
      </c>
      <c r="AF28" s="209">
        <v>5.8324150000000001</v>
      </c>
      <c r="AG28" s="209">
        <v>6.03104</v>
      </c>
      <c r="AH28" s="209">
        <v>5.8684029999999998</v>
      </c>
      <c r="AI28" s="210">
        <v>-3.0962E-2</v>
      </c>
    </row>
    <row r="29" spans="1:35" ht="15" customHeight="1" x14ac:dyDescent="0.3">
      <c r="A29" s="203" t="s">
        <v>235</v>
      </c>
      <c r="B29" s="208" t="s">
        <v>236</v>
      </c>
      <c r="C29" s="209">
        <v>4.8189669999999998</v>
      </c>
      <c r="D29" s="209">
        <v>4.2026919999999999</v>
      </c>
      <c r="E29" s="209">
        <v>4.2550379999999999</v>
      </c>
      <c r="F29" s="209">
        <v>4.3444089999999997</v>
      </c>
      <c r="G29" s="209">
        <v>4.3102210000000003</v>
      </c>
      <c r="H29" s="209">
        <v>4.2046720000000004</v>
      </c>
      <c r="I29" s="209">
        <v>4.0513089999999998</v>
      </c>
      <c r="J29" s="209">
        <v>3.73584</v>
      </c>
      <c r="K29" s="209">
        <v>3.7581859999999998</v>
      </c>
      <c r="L29" s="209">
        <v>3.6265990000000001</v>
      </c>
      <c r="M29" s="209">
        <v>3.4723139999999999</v>
      </c>
      <c r="N29" s="209">
        <v>3.5338050000000001</v>
      </c>
      <c r="O29" s="209">
        <v>3.4992549999999998</v>
      </c>
      <c r="P29" s="209">
        <v>3.4031340000000001</v>
      </c>
      <c r="Q29" s="209">
        <v>3.4278849999999998</v>
      </c>
      <c r="R29" s="209">
        <v>3.436105</v>
      </c>
      <c r="S29" s="209">
        <v>3.3913570000000002</v>
      </c>
      <c r="T29" s="209">
        <v>3.3277329999999998</v>
      </c>
      <c r="U29" s="209">
        <v>3.427994</v>
      </c>
      <c r="V29" s="209">
        <v>3.3850250000000002</v>
      </c>
      <c r="W29" s="209">
        <v>3.3944350000000001</v>
      </c>
      <c r="X29" s="209">
        <v>3.4204829999999999</v>
      </c>
      <c r="Y29" s="209">
        <v>3.4190909999999999</v>
      </c>
      <c r="Z29" s="209">
        <v>3.4243320000000002</v>
      </c>
      <c r="AA29" s="209">
        <v>3.4294500000000001</v>
      </c>
      <c r="AB29" s="209">
        <v>3.4336669999999998</v>
      </c>
      <c r="AC29" s="209">
        <v>3.4634749999999999</v>
      </c>
      <c r="AD29" s="209">
        <v>3.5215109999999998</v>
      </c>
      <c r="AE29" s="209">
        <v>3.5346359999999999</v>
      </c>
      <c r="AF29" s="209">
        <v>3.576368</v>
      </c>
      <c r="AG29" s="209">
        <v>3.644244</v>
      </c>
      <c r="AH29" s="209">
        <v>3.6931579999999999</v>
      </c>
      <c r="AI29" s="210">
        <v>-8.5459999999999998E-3</v>
      </c>
    </row>
    <row r="30" spans="1:35" ht="15" customHeight="1" x14ac:dyDescent="0.3">
      <c r="A30" s="203" t="s">
        <v>237</v>
      </c>
      <c r="B30" s="208" t="s">
        <v>238</v>
      </c>
      <c r="C30" s="209">
        <v>2.7910699999999999</v>
      </c>
      <c r="D30" s="209">
        <v>2.72174</v>
      </c>
      <c r="E30" s="209">
        <v>2.397942</v>
      </c>
      <c r="F30" s="209">
        <v>2.3108569999999999</v>
      </c>
      <c r="G30" s="209">
        <v>2.2054640000000001</v>
      </c>
      <c r="H30" s="209">
        <v>2.1710410000000002</v>
      </c>
      <c r="I30" s="209">
        <v>2.2510620000000001</v>
      </c>
      <c r="J30" s="209">
        <v>2.3443779999999999</v>
      </c>
      <c r="K30" s="209">
        <v>2.1893199999999999</v>
      </c>
      <c r="L30" s="209">
        <v>1.8974420000000001</v>
      </c>
      <c r="M30" s="209">
        <v>1.81331</v>
      </c>
      <c r="N30" s="209">
        <v>1.7699849999999999</v>
      </c>
      <c r="O30" s="209">
        <v>1.839804</v>
      </c>
      <c r="P30" s="209">
        <v>1.7664489999999999</v>
      </c>
      <c r="Q30" s="209">
        <v>1.596209</v>
      </c>
      <c r="R30" s="209">
        <v>1.557857</v>
      </c>
      <c r="S30" s="209">
        <v>1.522343</v>
      </c>
      <c r="T30" s="209">
        <v>1.501905</v>
      </c>
      <c r="U30" s="209">
        <v>1.5050410000000001</v>
      </c>
      <c r="V30" s="209">
        <v>1.4863040000000001</v>
      </c>
      <c r="W30" s="209">
        <v>1.46496</v>
      </c>
      <c r="X30" s="209">
        <v>1.443362</v>
      </c>
      <c r="Y30" s="209">
        <v>1.435708</v>
      </c>
      <c r="Z30" s="209">
        <v>1.394784</v>
      </c>
      <c r="AA30" s="209">
        <v>1.3413330000000001</v>
      </c>
      <c r="AB30" s="209">
        <v>1.2892600000000001</v>
      </c>
      <c r="AC30" s="209">
        <v>1.2636419999999999</v>
      </c>
      <c r="AD30" s="209">
        <v>1.2228490000000001</v>
      </c>
      <c r="AE30" s="209">
        <v>1.183778</v>
      </c>
      <c r="AF30" s="209">
        <v>1.151181</v>
      </c>
      <c r="AG30" s="209">
        <v>1.1385050000000001</v>
      </c>
      <c r="AH30" s="209">
        <v>1.106201</v>
      </c>
      <c r="AI30" s="210">
        <v>-2.9413000000000002E-2</v>
      </c>
    </row>
    <row r="31" spans="1:35" ht="15" customHeight="1" x14ac:dyDescent="0.3">
      <c r="A31" s="203" t="s">
        <v>239</v>
      </c>
      <c r="B31" s="208" t="s">
        <v>240</v>
      </c>
      <c r="C31" s="209">
        <v>0.291597</v>
      </c>
      <c r="D31" s="209">
        <v>0.31146499999999999</v>
      </c>
      <c r="E31" s="209">
        <v>0.198491</v>
      </c>
      <c r="F31" s="209">
        <v>0.188917</v>
      </c>
      <c r="G31" s="209">
        <v>0.184921</v>
      </c>
      <c r="H31" s="209">
        <v>0.18823599999999999</v>
      </c>
      <c r="I31" s="209">
        <v>0.17755699999999999</v>
      </c>
      <c r="J31" s="209">
        <v>0.18305299999999999</v>
      </c>
      <c r="K31" s="209">
        <v>0.19739899999999999</v>
      </c>
      <c r="L31" s="209">
        <v>0.20369599999999999</v>
      </c>
      <c r="M31" s="209">
        <v>0.201345</v>
      </c>
      <c r="N31" s="209">
        <v>0.20998700000000001</v>
      </c>
      <c r="O31" s="209">
        <v>0.201656</v>
      </c>
      <c r="P31" s="209">
        <v>0.21015600000000001</v>
      </c>
      <c r="Q31" s="209">
        <v>0.21035799999999999</v>
      </c>
      <c r="R31" s="209">
        <v>0.21873999999999999</v>
      </c>
      <c r="S31" s="209">
        <v>0.21698000000000001</v>
      </c>
      <c r="T31" s="209">
        <v>0.21213599999999999</v>
      </c>
      <c r="U31" s="209">
        <v>0.21097199999999999</v>
      </c>
      <c r="V31" s="209">
        <v>0.20901800000000001</v>
      </c>
      <c r="W31" s="209">
        <v>0.209871</v>
      </c>
      <c r="X31" s="209">
        <v>0.208984</v>
      </c>
      <c r="Y31" s="209">
        <v>0.21038799999999999</v>
      </c>
      <c r="Z31" s="209">
        <v>0.20815700000000001</v>
      </c>
      <c r="AA31" s="209">
        <v>0.206515</v>
      </c>
      <c r="AB31" s="209">
        <v>0.20391200000000001</v>
      </c>
      <c r="AC31" s="209">
        <v>0.20144699999999999</v>
      </c>
      <c r="AD31" s="209">
        <v>0.19919899999999999</v>
      </c>
      <c r="AE31" s="209">
        <v>0.19694999999999999</v>
      </c>
      <c r="AF31" s="209">
        <v>0.19639499999999999</v>
      </c>
      <c r="AG31" s="209">
        <v>0.194942</v>
      </c>
      <c r="AH31" s="209">
        <v>0.19145200000000001</v>
      </c>
      <c r="AI31" s="210">
        <v>-1.3480000000000001E-2</v>
      </c>
    </row>
    <row r="32" spans="1:35" ht="15" customHeight="1" x14ac:dyDescent="0.3">
      <c r="A32" s="203" t="s">
        <v>241</v>
      </c>
      <c r="B32" s="207" t="s">
        <v>232</v>
      </c>
      <c r="C32" s="211">
        <v>23.459548999999999</v>
      </c>
      <c r="D32" s="211">
        <v>21.767506000000001</v>
      </c>
      <c r="E32" s="211">
        <v>17.691293999999999</v>
      </c>
      <c r="F32" s="211">
        <v>16.127226</v>
      </c>
      <c r="G32" s="211">
        <v>16.41169</v>
      </c>
      <c r="H32" s="211">
        <v>15.960435</v>
      </c>
      <c r="I32" s="211">
        <v>14.856455</v>
      </c>
      <c r="J32" s="211">
        <v>15.042787000000001</v>
      </c>
      <c r="K32" s="211">
        <v>14.410155</v>
      </c>
      <c r="L32" s="211">
        <v>13.468095</v>
      </c>
      <c r="M32" s="211">
        <v>12.818072000000001</v>
      </c>
      <c r="N32" s="211">
        <v>11.172423</v>
      </c>
      <c r="O32" s="211">
        <v>11.056138000000001</v>
      </c>
      <c r="P32" s="211">
        <v>10.622044000000001</v>
      </c>
      <c r="Q32" s="211">
        <v>9.9383490000000005</v>
      </c>
      <c r="R32" s="211">
        <v>10.249033000000001</v>
      </c>
      <c r="S32" s="211">
        <v>10.170517</v>
      </c>
      <c r="T32" s="211">
        <v>9.928134</v>
      </c>
      <c r="U32" s="211">
        <v>10.501682000000001</v>
      </c>
      <c r="V32" s="211">
        <v>10.326271999999999</v>
      </c>
      <c r="W32" s="211">
        <v>10.176515</v>
      </c>
      <c r="X32" s="211">
        <v>10.306406000000001</v>
      </c>
      <c r="Y32" s="211">
        <v>10.849097</v>
      </c>
      <c r="Z32" s="211">
        <v>10.708019999999999</v>
      </c>
      <c r="AA32" s="211">
        <v>10.899528999999999</v>
      </c>
      <c r="AB32" s="211">
        <v>10.902891</v>
      </c>
      <c r="AC32" s="211">
        <v>10.794995</v>
      </c>
      <c r="AD32" s="211">
        <v>10.880077</v>
      </c>
      <c r="AE32" s="211">
        <v>10.878632</v>
      </c>
      <c r="AF32" s="211">
        <v>10.756359</v>
      </c>
      <c r="AG32" s="211">
        <v>11.00873</v>
      </c>
      <c r="AH32" s="211">
        <v>10.859214</v>
      </c>
      <c r="AI32" s="212">
        <v>-2.4541E-2</v>
      </c>
    </row>
    <row r="34" spans="1:35" ht="15" customHeight="1" x14ac:dyDescent="0.3">
      <c r="B34" s="207" t="s">
        <v>91</v>
      </c>
    </row>
    <row r="35" spans="1:35" ht="15" customHeight="1" x14ac:dyDescent="0.3">
      <c r="A35" s="203" t="s">
        <v>242</v>
      </c>
      <c r="B35" s="208" t="s">
        <v>243</v>
      </c>
      <c r="C35" s="209">
        <v>16.699137</v>
      </c>
      <c r="D35" s="209">
        <v>19.67774</v>
      </c>
      <c r="E35" s="209">
        <v>19.813248000000002</v>
      </c>
      <c r="F35" s="209">
        <v>21.186703000000001</v>
      </c>
      <c r="G35" s="209">
        <v>22.677301</v>
      </c>
      <c r="H35" s="209">
        <v>23.574000999999999</v>
      </c>
      <c r="I35" s="209">
        <v>23.217295</v>
      </c>
      <c r="J35" s="209">
        <v>24.092285</v>
      </c>
      <c r="K35" s="209">
        <v>24.293886000000001</v>
      </c>
      <c r="L35" s="209">
        <v>24.191198</v>
      </c>
      <c r="M35" s="209">
        <v>24.077266999999999</v>
      </c>
      <c r="N35" s="209">
        <v>22.821301999999999</v>
      </c>
      <c r="O35" s="209">
        <v>23.160934000000001</v>
      </c>
      <c r="P35" s="209">
        <v>23.184768999999999</v>
      </c>
      <c r="Q35" s="209">
        <v>23.166058</v>
      </c>
      <c r="R35" s="209">
        <v>23.190947000000001</v>
      </c>
      <c r="S35" s="209">
        <v>23.408086999999998</v>
      </c>
      <c r="T35" s="209">
        <v>23.194202000000001</v>
      </c>
      <c r="U35" s="209">
        <v>23.611103</v>
      </c>
      <c r="V35" s="209">
        <v>23.302990000000001</v>
      </c>
      <c r="W35" s="209">
        <v>23.079035000000001</v>
      </c>
      <c r="X35" s="209">
        <v>23.200662999999999</v>
      </c>
      <c r="Y35" s="209">
        <v>23.616288999999998</v>
      </c>
      <c r="Z35" s="209">
        <v>23.485143999999998</v>
      </c>
      <c r="AA35" s="209">
        <v>23.346128</v>
      </c>
      <c r="AB35" s="209">
        <v>23.194835999999999</v>
      </c>
      <c r="AC35" s="209">
        <v>23.039408000000002</v>
      </c>
      <c r="AD35" s="209">
        <v>22.963045000000001</v>
      </c>
      <c r="AE35" s="209">
        <v>23.076998</v>
      </c>
      <c r="AF35" s="209">
        <v>23.139054999999999</v>
      </c>
      <c r="AG35" s="209">
        <v>23.632501999999999</v>
      </c>
      <c r="AH35" s="209">
        <v>23.532876999999999</v>
      </c>
      <c r="AI35" s="210">
        <v>1.1127E-2</v>
      </c>
    </row>
    <row r="36" spans="1:35" ht="15" customHeight="1" x14ac:dyDescent="0.3">
      <c r="A36" s="203" t="s">
        <v>244</v>
      </c>
      <c r="B36" s="208" t="s">
        <v>238</v>
      </c>
      <c r="C36" s="209">
        <v>4.4833309999999997</v>
      </c>
      <c r="D36" s="209">
        <v>5.390441</v>
      </c>
      <c r="E36" s="209">
        <v>6.2952500000000002</v>
      </c>
      <c r="F36" s="209">
        <v>6.6590639999999999</v>
      </c>
      <c r="G36" s="209">
        <v>6.8649969999999998</v>
      </c>
      <c r="H36" s="209">
        <v>7.3784159999999996</v>
      </c>
      <c r="I36" s="209">
        <v>8.3290830000000007</v>
      </c>
      <c r="J36" s="209">
        <v>9.2021879999999996</v>
      </c>
      <c r="K36" s="209">
        <v>9.561375</v>
      </c>
      <c r="L36" s="209">
        <v>9.9213090000000008</v>
      </c>
      <c r="M36" s="209">
        <v>10.159160999999999</v>
      </c>
      <c r="N36" s="209">
        <v>10.409155999999999</v>
      </c>
      <c r="O36" s="209">
        <v>10.643183000000001</v>
      </c>
      <c r="P36" s="209">
        <v>10.902958999999999</v>
      </c>
      <c r="Q36" s="209">
        <v>11.031044</v>
      </c>
      <c r="R36" s="209">
        <v>11.16286</v>
      </c>
      <c r="S36" s="209">
        <v>11.386827</v>
      </c>
      <c r="T36" s="209">
        <v>11.532693999999999</v>
      </c>
      <c r="U36" s="209">
        <v>11.532209999999999</v>
      </c>
      <c r="V36" s="209">
        <v>11.555552</v>
      </c>
      <c r="W36" s="209">
        <v>11.577883999999999</v>
      </c>
      <c r="X36" s="209">
        <v>11.721876</v>
      </c>
      <c r="Y36" s="209">
        <v>11.812588999999999</v>
      </c>
      <c r="Z36" s="209">
        <v>11.835786000000001</v>
      </c>
      <c r="AA36" s="209">
        <v>11.857625000000001</v>
      </c>
      <c r="AB36" s="209">
        <v>11.900509</v>
      </c>
      <c r="AC36" s="209">
        <v>11.898771999999999</v>
      </c>
      <c r="AD36" s="209">
        <v>11.921367</v>
      </c>
      <c r="AE36" s="209">
        <v>11.949547000000001</v>
      </c>
      <c r="AF36" s="209">
        <v>12.009178</v>
      </c>
      <c r="AG36" s="209">
        <v>12.025288</v>
      </c>
      <c r="AH36" s="209">
        <v>12.043931000000001</v>
      </c>
      <c r="AI36" s="210">
        <v>3.2391000000000003E-2</v>
      </c>
    </row>
    <row r="37" spans="1:35" ht="15" customHeight="1" x14ac:dyDescent="0.3">
      <c r="A37" s="203" t="s">
        <v>245</v>
      </c>
      <c r="B37" s="208" t="s">
        <v>246</v>
      </c>
      <c r="C37" s="209">
        <v>2.3848449999999999</v>
      </c>
      <c r="D37" s="209">
        <v>2.0873349999999999</v>
      </c>
      <c r="E37" s="209">
        <v>2.2189100000000002</v>
      </c>
      <c r="F37" s="209">
        <v>2.7331300000000001</v>
      </c>
      <c r="G37" s="209">
        <v>2.7490260000000002</v>
      </c>
      <c r="H37" s="209">
        <v>2.7655249999999998</v>
      </c>
      <c r="I37" s="209">
        <v>2.7840210000000001</v>
      </c>
      <c r="J37" s="209">
        <v>2.799102</v>
      </c>
      <c r="K37" s="209">
        <v>2.7965789999999999</v>
      </c>
      <c r="L37" s="209">
        <v>2.7540040000000001</v>
      </c>
      <c r="M37" s="209">
        <v>2.7015910000000001</v>
      </c>
      <c r="N37" s="209">
        <v>2.6620219999999999</v>
      </c>
      <c r="O37" s="209">
        <v>2.659713</v>
      </c>
      <c r="P37" s="209">
        <v>2.6606049999999999</v>
      </c>
      <c r="Q37" s="209">
        <v>2.6583869999999998</v>
      </c>
      <c r="R37" s="209">
        <v>2.6578059999999999</v>
      </c>
      <c r="S37" s="209">
        <v>2.7072690000000001</v>
      </c>
      <c r="T37" s="209">
        <v>2.700574</v>
      </c>
      <c r="U37" s="209">
        <v>2.700053</v>
      </c>
      <c r="V37" s="209">
        <v>2.6995749999999998</v>
      </c>
      <c r="W37" s="209">
        <v>2.6991339999999999</v>
      </c>
      <c r="X37" s="209">
        <v>2.6987299999999999</v>
      </c>
      <c r="Y37" s="209">
        <v>2.6983619999999999</v>
      </c>
      <c r="Z37" s="209">
        <v>2.6980279999999999</v>
      </c>
      <c r="AA37" s="209">
        <v>2.6977259999999998</v>
      </c>
      <c r="AB37" s="209">
        <v>2.705911</v>
      </c>
      <c r="AC37" s="209">
        <v>2.7057540000000002</v>
      </c>
      <c r="AD37" s="209">
        <v>2.7056239999999998</v>
      </c>
      <c r="AE37" s="209">
        <v>2.7055229999999999</v>
      </c>
      <c r="AF37" s="209">
        <v>2.6966480000000002</v>
      </c>
      <c r="AG37" s="209">
        <v>2.7053980000000002</v>
      </c>
      <c r="AH37" s="209">
        <v>2.7053739999999999</v>
      </c>
      <c r="AI37" s="210">
        <v>4.0759999999999998E-3</v>
      </c>
    </row>
    <row r="38" spans="1:35" ht="15" customHeight="1" x14ac:dyDescent="0.3">
      <c r="A38" s="203" t="s">
        <v>247</v>
      </c>
      <c r="B38" s="207" t="s">
        <v>232</v>
      </c>
      <c r="C38" s="211">
        <v>23.567314</v>
      </c>
      <c r="D38" s="211">
        <v>27.155515999999999</v>
      </c>
      <c r="E38" s="211">
        <v>28.327407999999998</v>
      </c>
      <c r="F38" s="211">
        <v>30.578896</v>
      </c>
      <c r="G38" s="211">
        <v>32.291325000000001</v>
      </c>
      <c r="H38" s="211">
        <v>33.717941000000003</v>
      </c>
      <c r="I38" s="211">
        <v>34.330399</v>
      </c>
      <c r="J38" s="211">
        <v>36.093575000000001</v>
      </c>
      <c r="K38" s="211">
        <v>36.65184</v>
      </c>
      <c r="L38" s="211">
        <v>36.866508000000003</v>
      </c>
      <c r="M38" s="211">
        <v>36.938018999999997</v>
      </c>
      <c r="N38" s="211">
        <v>35.892479000000002</v>
      </c>
      <c r="O38" s="211">
        <v>36.463828999999997</v>
      </c>
      <c r="P38" s="211">
        <v>36.748333000000002</v>
      </c>
      <c r="Q38" s="211">
        <v>36.855488000000001</v>
      </c>
      <c r="R38" s="211">
        <v>37.011612</v>
      </c>
      <c r="S38" s="211">
        <v>37.502181999999998</v>
      </c>
      <c r="T38" s="211">
        <v>37.427470999999997</v>
      </c>
      <c r="U38" s="211">
        <v>37.843369000000003</v>
      </c>
      <c r="V38" s="211">
        <v>37.558117000000003</v>
      </c>
      <c r="W38" s="211">
        <v>37.356051999999998</v>
      </c>
      <c r="X38" s="211">
        <v>37.621268999999998</v>
      </c>
      <c r="Y38" s="211">
        <v>38.127239000000003</v>
      </c>
      <c r="Z38" s="211">
        <v>38.018959000000002</v>
      </c>
      <c r="AA38" s="211">
        <v>37.901482000000001</v>
      </c>
      <c r="AB38" s="211">
        <v>37.801254</v>
      </c>
      <c r="AC38" s="211">
        <v>37.643932</v>
      </c>
      <c r="AD38" s="211">
        <v>37.590034000000003</v>
      </c>
      <c r="AE38" s="211">
        <v>37.732067000000001</v>
      </c>
      <c r="AF38" s="211">
        <v>37.844878999999999</v>
      </c>
      <c r="AG38" s="211">
        <v>38.363190000000003</v>
      </c>
      <c r="AH38" s="211">
        <v>38.282184999999998</v>
      </c>
      <c r="AI38" s="212">
        <v>1.5772000000000001E-2</v>
      </c>
    </row>
    <row r="40" spans="1:35" ht="15" customHeight="1" x14ac:dyDescent="0.3">
      <c r="A40" s="203" t="s">
        <v>248</v>
      </c>
      <c r="B40" s="207" t="s">
        <v>249</v>
      </c>
      <c r="C40" s="211">
        <v>2.6694870000000002</v>
      </c>
      <c r="D40" s="211">
        <v>0.95713599999999999</v>
      </c>
      <c r="E40" s="211">
        <v>0.29143000000000002</v>
      </c>
      <c r="F40" s="211">
        <v>0.22148699999999999</v>
      </c>
      <c r="G40" s="211">
        <v>0.18982299999999999</v>
      </c>
      <c r="H40" s="211">
        <v>7.6194999999999999E-2</v>
      </c>
      <c r="I40" s="211">
        <v>4.8325E-2</v>
      </c>
      <c r="J40" s="211">
        <v>0.102432</v>
      </c>
      <c r="K40" s="211">
        <v>4.8897000000000003E-2</v>
      </c>
      <c r="L40" s="211">
        <v>8.1345000000000001E-2</v>
      </c>
      <c r="M40" s="211">
        <v>6.9302000000000002E-2</v>
      </c>
      <c r="N40" s="211">
        <v>9.3658000000000005E-2</v>
      </c>
      <c r="O40" s="211">
        <v>4.3777000000000003E-2</v>
      </c>
      <c r="P40" s="211">
        <v>3.4935000000000001E-2</v>
      </c>
      <c r="Q40" s="211">
        <v>1.8367999999999999E-2</v>
      </c>
      <c r="R40" s="211">
        <v>2.3247E-2</v>
      </c>
      <c r="S40" s="211">
        <v>3.7963999999999998E-2</v>
      </c>
      <c r="T40" s="211">
        <v>1.3191E-2</v>
      </c>
      <c r="U40" s="211">
        <v>9.3990000000000004E-2</v>
      </c>
      <c r="V40" s="211">
        <v>0.10995099999999999</v>
      </c>
      <c r="W40" s="211">
        <v>0.113277</v>
      </c>
      <c r="X40" s="211">
        <v>7.7209E-2</v>
      </c>
      <c r="Y40" s="211">
        <v>8.8421E-2</v>
      </c>
      <c r="Z40" s="211">
        <v>7.8700999999999993E-2</v>
      </c>
      <c r="AA40" s="211">
        <v>0.11026</v>
      </c>
      <c r="AB40" s="211">
        <v>9.8335000000000006E-2</v>
      </c>
      <c r="AC40" s="211">
        <v>6.7656999999999995E-2</v>
      </c>
      <c r="AD40" s="211">
        <v>4.8908E-2</v>
      </c>
      <c r="AE40" s="211">
        <v>9.2387999999999998E-2</v>
      </c>
      <c r="AF40" s="211">
        <v>4.2514999999999997E-2</v>
      </c>
      <c r="AG40" s="211">
        <v>1.5647999999999999E-2</v>
      </c>
      <c r="AH40" s="211">
        <v>-1.4767000000000001E-2</v>
      </c>
      <c r="AI40" s="212" t="s">
        <v>250</v>
      </c>
    </row>
    <row r="42" spans="1:35" ht="15" customHeight="1" x14ac:dyDescent="0.3">
      <c r="B42" s="207" t="s">
        <v>251</v>
      </c>
    </row>
    <row r="43" spans="1:35" ht="15" customHeight="1" x14ac:dyDescent="0.3">
      <c r="A43" s="203" t="s">
        <v>252</v>
      </c>
      <c r="B43" s="208" t="s">
        <v>253</v>
      </c>
      <c r="C43" s="209">
        <v>38.036597999999998</v>
      </c>
      <c r="D43" s="209">
        <v>38.249080999999997</v>
      </c>
      <c r="E43" s="209">
        <v>38.338687999999998</v>
      </c>
      <c r="F43" s="209">
        <v>38.386181000000001</v>
      </c>
      <c r="G43" s="209">
        <v>38.289234</v>
      </c>
      <c r="H43" s="209">
        <v>38.002949000000001</v>
      </c>
      <c r="I43" s="209">
        <v>37.750813000000001</v>
      </c>
      <c r="J43" s="209">
        <v>37.561947000000004</v>
      </c>
      <c r="K43" s="209">
        <v>37.416736999999998</v>
      </c>
      <c r="L43" s="209">
        <v>37.273753999999997</v>
      </c>
      <c r="M43" s="209">
        <v>37.124797999999998</v>
      </c>
      <c r="N43" s="209">
        <v>36.995697</v>
      </c>
      <c r="O43" s="209">
        <v>36.933585999999998</v>
      </c>
      <c r="P43" s="209">
        <v>36.857891000000002</v>
      </c>
      <c r="Q43" s="209">
        <v>36.808525000000003</v>
      </c>
      <c r="R43" s="209">
        <v>36.746333999999997</v>
      </c>
      <c r="S43" s="209">
        <v>36.693485000000003</v>
      </c>
      <c r="T43" s="209">
        <v>36.683826000000003</v>
      </c>
      <c r="U43" s="209">
        <v>36.740817999999997</v>
      </c>
      <c r="V43" s="209">
        <v>36.744765999999998</v>
      </c>
      <c r="W43" s="209">
        <v>36.804943000000002</v>
      </c>
      <c r="X43" s="209">
        <v>36.866256999999997</v>
      </c>
      <c r="Y43" s="209">
        <v>36.954791999999998</v>
      </c>
      <c r="Z43" s="209">
        <v>37.067729999999997</v>
      </c>
      <c r="AA43" s="209">
        <v>37.188457</v>
      </c>
      <c r="AB43" s="209">
        <v>37.365673000000001</v>
      </c>
      <c r="AC43" s="209">
        <v>37.576743999999998</v>
      </c>
      <c r="AD43" s="209">
        <v>37.924441999999999</v>
      </c>
      <c r="AE43" s="209">
        <v>38.174854000000003</v>
      </c>
      <c r="AF43" s="209">
        <v>38.506774999999998</v>
      </c>
      <c r="AG43" s="209">
        <v>38.902462</v>
      </c>
      <c r="AH43" s="209">
        <v>39.312488999999999</v>
      </c>
      <c r="AI43" s="210">
        <v>1.065E-3</v>
      </c>
    </row>
    <row r="44" spans="1:35" ht="15" customHeight="1" x14ac:dyDescent="0.3">
      <c r="A44" s="203" t="s">
        <v>254</v>
      </c>
      <c r="B44" s="208" t="s">
        <v>238</v>
      </c>
      <c r="C44" s="209">
        <v>32.145263999999997</v>
      </c>
      <c r="D44" s="209">
        <v>32.737129000000003</v>
      </c>
      <c r="E44" s="209">
        <v>33.949142000000002</v>
      </c>
      <c r="F44" s="209">
        <v>34.150421000000001</v>
      </c>
      <c r="G44" s="209">
        <v>34.379078</v>
      </c>
      <c r="H44" s="209">
        <v>34.568252999999999</v>
      </c>
      <c r="I44" s="209">
        <v>35.093333999999999</v>
      </c>
      <c r="J44" s="209">
        <v>35.694629999999997</v>
      </c>
      <c r="K44" s="209">
        <v>36.019150000000003</v>
      </c>
      <c r="L44" s="209">
        <v>36.170952</v>
      </c>
      <c r="M44" s="209">
        <v>36.428424999999997</v>
      </c>
      <c r="N44" s="209">
        <v>36.37265</v>
      </c>
      <c r="O44" s="209">
        <v>36.745525000000001</v>
      </c>
      <c r="P44" s="209">
        <v>37.066867999999999</v>
      </c>
      <c r="Q44" s="209">
        <v>37.421097000000003</v>
      </c>
      <c r="R44" s="209">
        <v>37.808135999999998</v>
      </c>
      <c r="S44" s="209">
        <v>38.033005000000003</v>
      </c>
      <c r="T44" s="209">
        <v>38.683639999999997</v>
      </c>
      <c r="U44" s="209">
        <v>39.013336000000002</v>
      </c>
      <c r="V44" s="209">
        <v>39.599761999999998</v>
      </c>
      <c r="W44" s="209">
        <v>40.054459000000001</v>
      </c>
      <c r="X44" s="209">
        <v>40.432426</v>
      </c>
      <c r="Y44" s="209">
        <v>40.813301000000003</v>
      </c>
      <c r="Z44" s="209">
        <v>41.232796</v>
      </c>
      <c r="AA44" s="209">
        <v>41.579891000000003</v>
      </c>
      <c r="AB44" s="209">
        <v>42.008536999999997</v>
      </c>
      <c r="AC44" s="209">
        <v>42.425044999999997</v>
      </c>
      <c r="AD44" s="209">
        <v>42.982323000000001</v>
      </c>
      <c r="AE44" s="209">
        <v>43.330105000000003</v>
      </c>
      <c r="AF44" s="209">
        <v>43.763385999999997</v>
      </c>
      <c r="AG44" s="209">
        <v>44.238911000000002</v>
      </c>
      <c r="AH44" s="209">
        <v>44.742080999999999</v>
      </c>
      <c r="AI44" s="210">
        <v>1.0723E-2</v>
      </c>
    </row>
    <row r="45" spans="1:35" ht="15" customHeight="1" x14ac:dyDescent="0.3">
      <c r="A45" s="203" t="s">
        <v>255</v>
      </c>
      <c r="B45" s="208" t="s">
        <v>256</v>
      </c>
      <c r="C45" s="209">
        <v>11.259031</v>
      </c>
      <c r="D45" s="209">
        <v>10.280395</v>
      </c>
      <c r="E45" s="209">
        <v>9.3330649999999995</v>
      </c>
      <c r="F45" s="209">
        <v>8.6225339999999999</v>
      </c>
      <c r="G45" s="209">
        <v>8.0022610000000007</v>
      </c>
      <c r="H45" s="209">
        <v>7.662528</v>
      </c>
      <c r="I45" s="209">
        <v>6.6053920000000002</v>
      </c>
      <c r="J45" s="209">
        <v>6.7737809999999996</v>
      </c>
      <c r="K45" s="209">
        <v>6.734324</v>
      </c>
      <c r="L45" s="209">
        <v>6.6580139999999997</v>
      </c>
      <c r="M45" s="209">
        <v>6.5445960000000003</v>
      </c>
      <c r="N45" s="209">
        <v>6.4233479999999998</v>
      </c>
      <c r="O45" s="209">
        <v>6.3340360000000002</v>
      </c>
      <c r="P45" s="209">
        <v>6.3121869999999998</v>
      </c>
      <c r="Q45" s="209">
        <v>6.3002320000000003</v>
      </c>
      <c r="R45" s="209">
        <v>6.2978750000000003</v>
      </c>
      <c r="S45" s="209">
        <v>6.135948</v>
      </c>
      <c r="T45" s="209">
        <v>6.1386310000000002</v>
      </c>
      <c r="U45" s="209">
        <v>6.1299729999999997</v>
      </c>
      <c r="V45" s="209">
        <v>6.0884520000000002</v>
      </c>
      <c r="W45" s="209">
        <v>6.0475760000000003</v>
      </c>
      <c r="X45" s="209">
        <v>5.9586009999999998</v>
      </c>
      <c r="Y45" s="209">
        <v>5.8939469999999998</v>
      </c>
      <c r="Z45" s="209">
        <v>5.8613470000000003</v>
      </c>
      <c r="AA45" s="209">
        <v>5.8446699999999998</v>
      </c>
      <c r="AB45" s="209">
        <v>5.8015780000000001</v>
      </c>
      <c r="AC45" s="209">
        <v>5.7608709999999999</v>
      </c>
      <c r="AD45" s="209">
        <v>5.7643950000000004</v>
      </c>
      <c r="AE45" s="209">
        <v>5.7399170000000002</v>
      </c>
      <c r="AF45" s="209">
        <v>5.7217450000000003</v>
      </c>
      <c r="AG45" s="209">
        <v>5.718521</v>
      </c>
      <c r="AH45" s="209">
        <v>5.6890280000000004</v>
      </c>
      <c r="AI45" s="210">
        <v>-2.1780000000000001E-2</v>
      </c>
    </row>
    <row r="46" spans="1:35" ht="15" customHeight="1" x14ac:dyDescent="0.3">
      <c r="A46" s="203" t="s">
        <v>257</v>
      </c>
      <c r="B46" s="208" t="s">
        <v>222</v>
      </c>
      <c r="C46" s="209">
        <v>8.4443459999999995</v>
      </c>
      <c r="D46" s="209">
        <v>8.2934459999999994</v>
      </c>
      <c r="E46" s="209">
        <v>8.1563990000000004</v>
      </c>
      <c r="F46" s="209">
        <v>8.0043199999999999</v>
      </c>
      <c r="G46" s="209">
        <v>8.0280679999999993</v>
      </c>
      <c r="H46" s="209">
        <v>8.0590650000000004</v>
      </c>
      <c r="I46" s="209">
        <v>7.9108099999999997</v>
      </c>
      <c r="J46" s="209">
        <v>6.5784770000000004</v>
      </c>
      <c r="K46" s="209">
        <v>6.1104609999999999</v>
      </c>
      <c r="L46" s="209">
        <v>6.114827</v>
      </c>
      <c r="M46" s="209">
        <v>6.1191079999999998</v>
      </c>
      <c r="N46" s="209">
        <v>5.9346240000000003</v>
      </c>
      <c r="O46" s="209">
        <v>5.8426629999999999</v>
      </c>
      <c r="P46" s="209">
        <v>5.7759150000000004</v>
      </c>
      <c r="Q46" s="209">
        <v>5.6171759999999997</v>
      </c>
      <c r="R46" s="209">
        <v>5.3629360000000004</v>
      </c>
      <c r="S46" s="209">
        <v>5.3776339999999996</v>
      </c>
      <c r="T46" s="209">
        <v>4.8830770000000001</v>
      </c>
      <c r="U46" s="209">
        <v>4.8852859999999998</v>
      </c>
      <c r="V46" s="209">
        <v>4.5108389999999998</v>
      </c>
      <c r="W46" s="209">
        <v>4.3309629999999997</v>
      </c>
      <c r="X46" s="209">
        <v>4.3345700000000003</v>
      </c>
      <c r="Y46" s="209">
        <v>4.3476679999999996</v>
      </c>
      <c r="Z46" s="209">
        <v>4.2739649999999996</v>
      </c>
      <c r="AA46" s="209">
        <v>4.2002689999999996</v>
      </c>
      <c r="AB46" s="209">
        <v>4.0483440000000002</v>
      </c>
      <c r="AC46" s="209">
        <v>3.9849679999999998</v>
      </c>
      <c r="AD46" s="209">
        <v>3.9184230000000002</v>
      </c>
      <c r="AE46" s="209">
        <v>3.9228809999999998</v>
      </c>
      <c r="AF46" s="209">
        <v>3.925656</v>
      </c>
      <c r="AG46" s="209">
        <v>3.9290090000000002</v>
      </c>
      <c r="AH46" s="209">
        <v>3.9338570000000002</v>
      </c>
      <c r="AI46" s="210">
        <v>-2.4340000000000001E-2</v>
      </c>
    </row>
    <row r="47" spans="1:35" ht="15" customHeight="1" x14ac:dyDescent="0.3">
      <c r="A47" s="203" t="s">
        <v>258</v>
      </c>
      <c r="B47" s="208" t="s">
        <v>224</v>
      </c>
      <c r="C47" s="209">
        <v>2.62724</v>
      </c>
      <c r="D47" s="209">
        <v>2.6300240000000001</v>
      </c>
      <c r="E47" s="209">
        <v>2.6087720000000001</v>
      </c>
      <c r="F47" s="209">
        <v>2.5553729999999999</v>
      </c>
      <c r="G47" s="209">
        <v>2.5006309999999998</v>
      </c>
      <c r="H47" s="209">
        <v>2.4470450000000001</v>
      </c>
      <c r="I47" s="209">
        <v>2.4145089999999998</v>
      </c>
      <c r="J47" s="209">
        <v>2.335763</v>
      </c>
      <c r="K47" s="209">
        <v>2.3017660000000002</v>
      </c>
      <c r="L47" s="209">
        <v>2.2868230000000001</v>
      </c>
      <c r="M47" s="209">
        <v>2.2741829999999998</v>
      </c>
      <c r="N47" s="209">
        <v>2.2651880000000002</v>
      </c>
      <c r="O47" s="209">
        <v>2.2582719999999998</v>
      </c>
      <c r="P47" s="209">
        <v>2.2477589999999998</v>
      </c>
      <c r="Q47" s="209">
        <v>2.2424330000000001</v>
      </c>
      <c r="R47" s="209">
        <v>2.2373270000000001</v>
      </c>
      <c r="S47" s="209">
        <v>2.2342270000000002</v>
      </c>
      <c r="T47" s="209">
        <v>2.2254559999999999</v>
      </c>
      <c r="U47" s="209">
        <v>2.210283</v>
      </c>
      <c r="V47" s="209">
        <v>2.2100919999999999</v>
      </c>
      <c r="W47" s="209">
        <v>2.1947269999999999</v>
      </c>
      <c r="X47" s="209">
        <v>2.188682</v>
      </c>
      <c r="Y47" s="209">
        <v>2.1710349999999998</v>
      </c>
      <c r="Z47" s="209">
        <v>2.163268</v>
      </c>
      <c r="AA47" s="209">
        <v>2.1493090000000001</v>
      </c>
      <c r="AB47" s="209">
        <v>2.155904</v>
      </c>
      <c r="AC47" s="209">
        <v>2.1478120000000001</v>
      </c>
      <c r="AD47" s="209">
        <v>2.1489400000000001</v>
      </c>
      <c r="AE47" s="209">
        <v>2.1471490000000002</v>
      </c>
      <c r="AF47" s="209">
        <v>2.1497289999999998</v>
      </c>
      <c r="AG47" s="209">
        <v>2.1383939999999999</v>
      </c>
      <c r="AH47" s="209">
        <v>2.1336200000000001</v>
      </c>
      <c r="AI47" s="210">
        <v>-6.6909999999999999E-3</v>
      </c>
    </row>
    <row r="48" spans="1:35" ht="15" customHeight="1" x14ac:dyDescent="0.3">
      <c r="A48" s="203" t="s">
        <v>259</v>
      </c>
      <c r="B48" s="208" t="s">
        <v>260</v>
      </c>
      <c r="C48" s="209">
        <v>3.2253829999999999</v>
      </c>
      <c r="D48" s="209">
        <v>3.098976</v>
      </c>
      <c r="E48" s="209">
        <v>3.124981</v>
      </c>
      <c r="F48" s="209">
        <v>3.156809</v>
      </c>
      <c r="G48" s="209">
        <v>3.1747359999999998</v>
      </c>
      <c r="H48" s="209">
        <v>3.1894230000000001</v>
      </c>
      <c r="I48" s="209">
        <v>3.2094800000000001</v>
      </c>
      <c r="J48" s="209">
        <v>3.2268560000000002</v>
      </c>
      <c r="K48" s="209">
        <v>3.2463600000000001</v>
      </c>
      <c r="L48" s="209">
        <v>3.2646660000000001</v>
      </c>
      <c r="M48" s="209">
        <v>3.2796810000000001</v>
      </c>
      <c r="N48" s="209">
        <v>3.2907519999999999</v>
      </c>
      <c r="O48" s="209">
        <v>3.3031069999999998</v>
      </c>
      <c r="P48" s="209">
        <v>3.3063639999999999</v>
      </c>
      <c r="Q48" s="209">
        <v>3.3170959999999998</v>
      </c>
      <c r="R48" s="209">
        <v>3.3199010000000002</v>
      </c>
      <c r="S48" s="209">
        <v>3.330778</v>
      </c>
      <c r="T48" s="209">
        <v>3.340802</v>
      </c>
      <c r="U48" s="209">
        <v>3.345825</v>
      </c>
      <c r="V48" s="209">
        <v>3.3550979999999999</v>
      </c>
      <c r="W48" s="209">
        <v>3.3620559999999999</v>
      </c>
      <c r="X48" s="209">
        <v>3.3748749999999998</v>
      </c>
      <c r="Y48" s="209">
        <v>3.3913700000000002</v>
      </c>
      <c r="Z48" s="209">
        <v>3.402288</v>
      </c>
      <c r="AA48" s="209">
        <v>3.4200140000000001</v>
      </c>
      <c r="AB48" s="209">
        <v>3.4456440000000002</v>
      </c>
      <c r="AC48" s="209">
        <v>3.4673929999999999</v>
      </c>
      <c r="AD48" s="209">
        <v>3.5070869999999998</v>
      </c>
      <c r="AE48" s="209">
        <v>3.5389460000000001</v>
      </c>
      <c r="AF48" s="209">
        <v>3.5719270000000001</v>
      </c>
      <c r="AG48" s="209">
        <v>3.6110699999999998</v>
      </c>
      <c r="AH48" s="209">
        <v>3.65761</v>
      </c>
      <c r="AI48" s="210">
        <v>4.065E-3</v>
      </c>
    </row>
    <row r="49" spans="1:35" ht="15" customHeight="1" x14ac:dyDescent="0.3">
      <c r="A49" s="203" t="s">
        <v>261</v>
      </c>
      <c r="B49" s="208" t="s">
        <v>228</v>
      </c>
      <c r="C49" s="209">
        <v>3.9866100000000002</v>
      </c>
      <c r="D49" s="209">
        <v>4.4943949999999999</v>
      </c>
      <c r="E49" s="209">
        <v>5.0654859999999999</v>
      </c>
      <c r="F49" s="209">
        <v>5.8727770000000001</v>
      </c>
      <c r="G49" s="209">
        <v>6.2932600000000001</v>
      </c>
      <c r="H49" s="209">
        <v>6.3855959999999996</v>
      </c>
      <c r="I49" s="209">
        <v>6.7426329999999997</v>
      </c>
      <c r="J49" s="209">
        <v>6.775188</v>
      </c>
      <c r="K49" s="209">
        <v>6.8397610000000002</v>
      </c>
      <c r="L49" s="209">
        <v>6.9137060000000004</v>
      </c>
      <c r="M49" s="209">
        <v>7.0304450000000003</v>
      </c>
      <c r="N49" s="209">
        <v>7.3056140000000003</v>
      </c>
      <c r="O49" s="209">
        <v>7.3696809999999999</v>
      </c>
      <c r="P49" s="209">
        <v>7.3790680000000002</v>
      </c>
      <c r="Q49" s="209">
        <v>7.4076320000000004</v>
      </c>
      <c r="R49" s="209">
        <v>7.4510740000000002</v>
      </c>
      <c r="S49" s="209">
        <v>7.7109379999999996</v>
      </c>
      <c r="T49" s="209">
        <v>7.8029659999999996</v>
      </c>
      <c r="U49" s="209">
        <v>7.8337690000000002</v>
      </c>
      <c r="V49" s="209">
        <v>7.8797639999999998</v>
      </c>
      <c r="W49" s="209">
        <v>7.9300490000000003</v>
      </c>
      <c r="X49" s="209">
        <v>7.9818179999999996</v>
      </c>
      <c r="Y49" s="209">
        <v>8.0455719999999999</v>
      </c>
      <c r="Z49" s="209">
        <v>8.1435569999999995</v>
      </c>
      <c r="AA49" s="209">
        <v>8.3033509999999993</v>
      </c>
      <c r="AB49" s="209">
        <v>8.4933429999999994</v>
      </c>
      <c r="AC49" s="209">
        <v>8.6902369999999998</v>
      </c>
      <c r="AD49" s="209">
        <v>8.8819239999999997</v>
      </c>
      <c r="AE49" s="209">
        <v>9.0969390000000008</v>
      </c>
      <c r="AF49" s="209">
        <v>9.3202920000000002</v>
      </c>
      <c r="AG49" s="209">
        <v>9.5950120000000005</v>
      </c>
      <c r="AH49" s="209">
        <v>9.8943119999999993</v>
      </c>
      <c r="AI49" s="210">
        <v>2.9756999999999999E-2</v>
      </c>
    </row>
    <row r="50" spans="1:35" ht="15" customHeight="1" x14ac:dyDescent="0.3">
      <c r="A50" s="203" t="s">
        <v>262</v>
      </c>
      <c r="B50" s="208" t="s">
        <v>263</v>
      </c>
      <c r="C50" s="209">
        <v>0.281393</v>
      </c>
      <c r="D50" s="209">
        <v>0.32258599999999998</v>
      </c>
      <c r="E50" s="209">
        <v>0.30746499999999999</v>
      </c>
      <c r="F50" s="209">
        <v>0.29226600000000003</v>
      </c>
      <c r="G50" s="209">
        <v>0.28595999999999999</v>
      </c>
      <c r="H50" s="209">
        <v>0.293659</v>
      </c>
      <c r="I50" s="209">
        <v>0.28131299999999998</v>
      </c>
      <c r="J50" s="209">
        <v>0.28566900000000001</v>
      </c>
      <c r="K50" s="209">
        <v>0.29927900000000002</v>
      </c>
      <c r="L50" s="209">
        <v>0.30600100000000002</v>
      </c>
      <c r="M50" s="209">
        <v>0.30315300000000001</v>
      </c>
      <c r="N50" s="209">
        <v>0.31203500000000001</v>
      </c>
      <c r="O50" s="209">
        <v>0.30332100000000001</v>
      </c>
      <c r="P50" s="209">
        <v>0.31209199999999998</v>
      </c>
      <c r="Q50" s="209">
        <v>0.31218299999999999</v>
      </c>
      <c r="R50" s="209">
        <v>0.32096999999999998</v>
      </c>
      <c r="S50" s="209">
        <v>0.31931700000000002</v>
      </c>
      <c r="T50" s="209">
        <v>0.31455499999999997</v>
      </c>
      <c r="U50" s="209">
        <v>0.31368800000000002</v>
      </c>
      <c r="V50" s="209">
        <v>0.31178899999999998</v>
      </c>
      <c r="W50" s="209">
        <v>0.31284099999999998</v>
      </c>
      <c r="X50" s="209">
        <v>0.31224400000000002</v>
      </c>
      <c r="Y50" s="209">
        <v>0.31399700000000003</v>
      </c>
      <c r="Z50" s="209">
        <v>0.31194100000000002</v>
      </c>
      <c r="AA50" s="209">
        <v>0.31069099999999999</v>
      </c>
      <c r="AB50" s="209">
        <v>0.30818899999999999</v>
      </c>
      <c r="AC50" s="209">
        <v>0.30585000000000001</v>
      </c>
      <c r="AD50" s="209">
        <v>0.30336600000000002</v>
      </c>
      <c r="AE50" s="209">
        <v>0.30173800000000001</v>
      </c>
      <c r="AF50" s="209">
        <v>0.30094700000000002</v>
      </c>
      <c r="AG50" s="209">
        <v>0.29969000000000001</v>
      </c>
      <c r="AH50" s="209">
        <v>0.29616999999999999</v>
      </c>
      <c r="AI50" s="210">
        <v>1.652E-3</v>
      </c>
    </row>
    <row r="51" spans="1:35" ht="15" customHeight="1" x14ac:dyDescent="0.3">
      <c r="A51" s="203" t="s">
        <v>264</v>
      </c>
      <c r="B51" s="207" t="s">
        <v>265</v>
      </c>
      <c r="C51" s="211">
        <v>100.00586699999999</v>
      </c>
      <c r="D51" s="211">
        <v>100.106026</v>
      </c>
      <c r="E51" s="211">
        <v>100.883995</v>
      </c>
      <c r="F51" s="211">
        <v>101.040688</v>
      </c>
      <c r="G51" s="211">
        <v>100.95322400000001</v>
      </c>
      <c r="H51" s="211">
        <v>100.608513</v>
      </c>
      <c r="I51" s="211">
        <v>100.008278</v>
      </c>
      <c r="J51" s="211">
        <v>99.232299999999995</v>
      </c>
      <c r="K51" s="211">
        <v>98.967827</v>
      </c>
      <c r="L51" s="211">
        <v>98.988731000000001</v>
      </c>
      <c r="M51" s="211">
        <v>99.104393000000002</v>
      </c>
      <c r="N51" s="211">
        <v>98.899901999999997</v>
      </c>
      <c r="O51" s="211">
        <v>99.090187</v>
      </c>
      <c r="P51" s="211">
        <v>99.258148000000006</v>
      </c>
      <c r="Q51" s="211">
        <v>99.426368999999994</v>
      </c>
      <c r="R51" s="211">
        <v>99.544556</v>
      </c>
      <c r="S51" s="211">
        <v>99.835327000000007</v>
      </c>
      <c r="T51" s="211">
        <v>100.072952</v>
      </c>
      <c r="U51" s="211">
        <v>100.472977</v>
      </c>
      <c r="V51" s="211">
        <v>100.70056200000001</v>
      </c>
      <c r="W51" s="211">
        <v>101.03761299999999</v>
      </c>
      <c r="X51" s="211">
        <v>101.449478</v>
      </c>
      <c r="Y51" s="211">
        <v>101.931686</v>
      </c>
      <c r="Z51" s="211">
        <v>102.456886</v>
      </c>
      <c r="AA51" s="211">
        <v>102.996658</v>
      </c>
      <c r="AB51" s="211">
        <v>103.627205</v>
      </c>
      <c r="AC51" s="211">
        <v>104.35891700000001</v>
      </c>
      <c r="AD51" s="211">
        <v>105.430908</v>
      </c>
      <c r="AE51" s="211">
        <v>106.25252500000001</v>
      </c>
      <c r="AF51" s="211">
        <v>107.26045999999999</v>
      </c>
      <c r="AG51" s="211">
        <v>108.43306699999999</v>
      </c>
      <c r="AH51" s="211">
        <v>109.659164</v>
      </c>
      <c r="AI51" s="212">
        <v>2.977E-3</v>
      </c>
    </row>
    <row r="53" spans="1:35" ht="15" customHeight="1" x14ac:dyDescent="0.3">
      <c r="B53" s="207" t="s">
        <v>266</v>
      </c>
    </row>
    <row r="54" spans="1:35" ht="15" customHeight="1" x14ac:dyDescent="0.3">
      <c r="A54" s="203" t="s">
        <v>267</v>
      </c>
      <c r="B54" s="208" t="s">
        <v>268</v>
      </c>
      <c r="C54" s="213">
        <v>63.371997999999998</v>
      </c>
      <c r="D54" s="213">
        <v>57.724522</v>
      </c>
      <c r="E54" s="213">
        <v>58.922595999999999</v>
      </c>
      <c r="F54" s="213">
        <v>60.425055999999998</v>
      </c>
      <c r="G54" s="213">
        <v>61.430351000000002</v>
      </c>
      <c r="H54" s="213">
        <v>62.381129999999999</v>
      </c>
      <c r="I54" s="213">
        <v>63.533954999999999</v>
      </c>
      <c r="J54" s="213">
        <v>64.565697</v>
      </c>
      <c r="K54" s="213">
        <v>65.742774999999995</v>
      </c>
      <c r="L54" s="213">
        <v>66.727455000000006</v>
      </c>
      <c r="M54" s="213">
        <v>67.963661000000002</v>
      </c>
      <c r="N54" s="213">
        <v>69.206680000000006</v>
      </c>
      <c r="O54" s="213">
        <v>70.411636000000001</v>
      </c>
      <c r="P54" s="213">
        <v>71.622894000000002</v>
      </c>
      <c r="Q54" s="213">
        <v>72.731605999999999</v>
      </c>
      <c r="R54" s="213">
        <v>74.266746999999995</v>
      </c>
      <c r="S54" s="213">
        <v>75.43338</v>
      </c>
      <c r="T54" s="213">
        <v>76.704254000000006</v>
      </c>
      <c r="U54" s="213">
        <v>77.701995999999994</v>
      </c>
      <c r="V54" s="213">
        <v>78.906395000000003</v>
      </c>
      <c r="W54" s="213">
        <v>80.181808000000004</v>
      </c>
      <c r="X54" s="213">
        <v>81.759392000000005</v>
      </c>
      <c r="Y54" s="213">
        <v>83.171790999999999</v>
      </c>
      <c r="Z54" s="213">
        <v>84.555915999999996</v>
      </c>
      <c r="AA54" s="213">
        <v>85.999213999999995</v>
      </c>
      <c r="AB54" s="213">
        <v>87.053359999999998</v>
      </c>
      <c r="AC54" s="213">
        <v>88.038773000000006</v>
      </c>
      <c r="AD54" s="213">
        <v>89.021079999999998</v>
      </c>
      <c r="AE54" s="213">
        <v>89.703666999999996</v>
      </c>
      <c r="AF54" s="213">
        <v>90.323441000000003</v>
      </c>
      <c r="AG54" s="213">
        <v>90.755263999999997</v>
      </c>
      <c r="AH54" s="213">
        <v>91.386757000000003</v>
      </c>
      <c r="AI54" s="210">
        <v>1.1879000000000001E-2</v>
      </c>
    </row>
    <row r="55" spans="1:35" ht="15" customHeight="1" x14ac:dyDescent="0.3">
      <c r="A55" s="203" t="s">
        <v>269</v>
      </c>
      <c r="B55" s="208" t="s">
        <v>270</v>
      </c>
      <c r="C55" s="213">
        <v>56.261001999999998</v>
      </c>
      <c r="D55" s="213">
        <v>54.319656000000002</v>
      </c>
      <c r="E55" s="213">
        <v>53.787860999999999</v>
      </c>
      <c r="F55" s="213">
        <v>54.445362000000003</v>
      </c>
      <c r="G55" s="213">
        <v>55.377003000000002</v>
      </c>
      <c r="H55" s="213">
        <v>56.431797000000003</v>
      </c>
      <c r="I55" s="213">
        <v>57.670924999999997</v>
      </c>
      <c r="J55" s="213">
        <v>58.112758999999997</v>
      </c>
      <c r="K55" s="213">
        <v>59.152476999999998</v>
      </c>
      <c r="L55" s="213">
        <v>59.626846</v>
      </c>
      <c r="M55" s="213">
        <v>61.200031000000003</v>
      </c>
      <c r="N55" s="213">
        <v>61.784191</v>
      </c>
      <c r="O55" s="213">
        <v>63.240383000000001</v>
      </c>
      <c r="P55" s="213">
        <v>63.937023000000003</v>
      </c>
      <c r="Q55" s="213">
        <v>65.294265999999993</v>
      </c>
      <c r="R55" s="213">
        <v>67.102942999999996</v>
      </c>
      <c r="S55" s="213">
        <v>68.327972000000003</v>
      </c>
      <c r="T55" s="213">
        <v>69.380416999999994</v>
      </c>
      <c r="U55" s="213">
        <v>71.079978999999994</v>
      </c>
      <c r="V55" s="213">
        <v>72.109206999999998</v>
      </c>
      <c r="W55" s="213">
        <v>73.262459000000007</v>
      </c>
      <c r="X55" s="213">
        <v>74.774445</v>
      </c>
      <c r="Y55" s="213">
        <v>76.134270000000001</v>
      </c>
      <c r="Z55" s="213">
        <v>77.891746999999995</v>
      </c>
      <c r="AA55" s="213">
        <v>79.440323000000006</v>
      </c>
      <c r="AB55" s="213">
        <v>80.294273000000004</v>
      </c>
      <c r="AC55" s="213">
        <v>81.265411</v>
      </c>
      <c r="AD55" s="213">
        <v>82.265563999999998</v>
      </c>
      <c r="AE55" s="213">
        <v>82.930176000000003</v>
      </c>
      <c r="AF55" s="213">
        <v>83.169044</v>
      </c>
      <c r="AG55" s="213">
        <v>83.461624</v>
      </c>
      <c r="AH55" s="213">
        <v>84.412727000000004</v>
      </c>
      <c r="AI55" s="210">
        <v>1.3174E-2</v>
      </c>
    </row>
    <row r="56" spans="1:35" ht="15" customHeight="1" x14ac:dyDescent="0.3">
      <c r="A56" s="203" t="s">
        <v>271</v>
      </c>
      <c r="B56" s="208" t="s">
        <v>272</v>
      </c>
      <c r="C56" s="209">
        <v>2.5669469999999999</v>
      </c>
      <c r="D56" s="209">
        <v>2.4611399999999999</v>
      </c>
      <c r="E56" s="209">
        <v>2.3785419999999999</v>
      </c>
      <c r="F56" s="209">
        <v>2.2675939999999999</v>
      </c>
      <c r="G56" s="209">
        <v>2.2170390000000002</v>
      </c>
      <c r="H56" s="209">
        <v>2.2321040000000001</v>
      </c>
      <c r="I56" s="209">
        <v>2.3912900000000001</v>
      </c>
      <c r="J56" s="209">
        <v>2.5930559999999998</v>
      </c>
      <c r="K56" s="209">
        <v>2.682391</v>
      </c>
      <c r="L56" s="209">
        <v>2.6820900000000001</v>
      </c>
      <c r="M56" s="209">
        <v>2.635443</v>
      </c>
      <c r="N56" s="209">
        <v>2.5877870000000001</v>
      </c>
      <c r="O56" s="209">
        <v>2.5805120000000001</v>
      </c>
      <c r="P56" s="209">
        <v>2.596762</v>
      </c>
      <c r="Q56" s="209">
        <v>2.6120830000000002</v>
      </c>
      <c r="R56" s="209">
        <v>2.6165430000000001</v>
      </c>
      <c r="S56" s="209">
        <v>2.6053999999999999</v>
      </c>
      <c r="T56" s="209">
        <v>2.6145580000000002</v>
      </c>
      <c r="U56" s="209">
        <v>2.636981</v>
      </c>
      <c r="V56" s="209">
        <v>2.6473209999999998</v>
      </c>
      <c r="W56" s="209">
        <v>2.649715</v>
      </c>
      <c r="X56" s="209">
        <v>2.645178</v>
      </c>
      <c r="Y56" s="209">
        <v>2.6380180000000002</v>
      </c>
      <c r="Z56" s="209">
        <v>2.6349499999999999</v>
      </c>
      <c r="AA56" s="209">
        <v>2.6078549999999998</v>
      </c>
      <c r="AB56" s="209">
        <v>2.5851500000000001</v>
      </c>
      <c r="AC56" s="209">
        <v>2.571348</v>
      </c>
      <c r="AD56" s="209">
        <v>2.5700729999999998</v>
      </c>
      <c r="AE56" s="209">
        <v>2.5608070000000001</v>
      </c>
      <c r="AF56" s="209">
        <v>2.5516619999999999</v>
      </c>
      <c r="AG56" s="209">
        <v>2.5442520000000002</v>
      </c>
      <c r="AH56" s="209">
        <v>2.5372840000000001</v>
      </c>
      <c r="AI56" s="210">
        <v>-3.7500000000000001E-4</v>
      </c>
    </row>
    <row r="57" spans="1:35" ht="15" customHeight="1" x14ac:dyDescent="0.3">
      <c r="A57" s="203" t="s">
        <v>273</v>
      </c>
      <c r="B57" s="208" t="s">
        <v>274</v>
      </c>
      <c r="C57" s="214">
        <v>34.280701000000001</v>
      </c>
      <c r="D57" s="214">
        <v>32.949497000000001</v>
      </c>
      <c r="E57" s="214">
        <v>35.148879999999998</v>
      </c>
      <c r="F57" s="214">
        <v>35.364960000000004</v>
      </c>
      <c r="G57" s="214">
        <v>34.924270999999997</v>
      </c>
      <c r="H57" s="214">
        <v>35.077209000000003</v>
      </c>
      <c r="I57" s="214">
        <v>36.054295000000003</v>
      </c>
      <c r="J57" s="214">
        <v>34.973942000000001</v>
      </c>
      <c r="K57" s="214">
        <v>35.137031999999998</v>
      </c>
      <c r="L57" s="214">
        <v>34.781272999999999</v>
      </c>
      <c r="M57" s="214">
        <v>35.045932999999998</v>
      </c>
      <c r="N57" s="214">
        <v>35.215336000000001</v>
      </c>
      <c r="O57" s="214">
        <v>35.304592</v>
      </c>
      <c r="P57" s="214">
        <v>35.364494000000001</v>
      </c>
      <c r="Q57" s="214">
        <v>35.478259999999999</v>
      </c>
      <c r="R57" s="214">
        <v>35.483234000000003</v>
      </c>
      <c r="S57" s="214">
        <v>35.929049999999997</v>
      </c>
      <c r="T57" s="214">
        <v>36.205711000000001</v>
      </c>
      <c r="U57" s="214">
        <v>36.589981000000002</v>
      </c>
      <c r="V57" s="214">
        <v>37.444744</v>
      </c>
      <c r="W57" s="214">
        <v>37.581074000000001</v>
      </c>
      <c r="X57" s="214">
        <v>38.080601000000001</v>
      </c>
      <c r="Y57" s="214">
        <v>38.290585</v>
      </c>
      <c r="Z57" s="214">
        <v>38.386752999999999</v>
      </c>
      <c r="AA57" s="214">
        <v>38.492984999999997</v>
      </c>
      <c r="AB57" s="214">
        <v>38.673492000000003</v>
      </c>
      <c r="AC57" s="214">
        <v>38.847790000000003</v>
      </c>
      <c r="AD57" s="214">
        <v>38.999949999999998</v>
      </c>
      <c r="AE57" s="214">
        <v>39.092632000000002</v>
      </c>
      <c r="AF57" s="214">
        <v>39.182383999999999</v>
      </c>
      <c r="AG57" s="214">
        <v>39.428085000000003</v>
      </c>
      <c r="AH57" s="214">
        <v>39.576504</v>
      </c>
      <c r="AI57" s="210">
        <v>4.6449999999999998E-3</v>
      </c>
    </row>
    <row r="58" spans="1:35" ht="15" customHeight="1" x14ac:dyDescent="0.3">
      <c r="A58" s="203" t="s">
        <v>275</v>
      </c>
      <c r="B58" s="208" t="s">
        <v>276</v>
      </c>
      <c r="C58" s="209">
        <v>1.7045300000000001</v>
      </c>
      <c r="D58" s="209">
        <v>1.6207959999999999</v>
      </c>
      <c r="E58" s="209">
        <v>1.678334</v>
      </c>
      <c r="F58" s="209">
        <v>1.6736599999999999</v>
      </c>
      <c r="G58" s="209">
        <v>1.65489</v>
      </c>
      <c r="H58" s="209">
        <v>1.6542349999999999</v>
      </c>
      <c r="I58" s="209">
        <v>1.6825140000000001</v>
      </c>
      <c r="J58" s="209">
        <v>1.6482520000000001</v>
      </c>
      <c r="K58" s="209">
        <v>1.6551629999999999</v>
      </c>
      <c r="L58" s="209">
        <v>1.6423430000000001</v>
      </c>
      <c r="M58" s="209">
        <v>1.651438</v>
      </c>
      <c r="N58" s="209">
        <v>1.6566810000000001</v>
      </c>
      <c r="O58" s="209">
        <v>1.6605259999999999</v>
      </c>
      <c r="P58" s="209">
        <v>1.664496</v>
      </c>
      <c r="Q58" s="209">
        <v>1.6701349999999999</v>
      </c>
      <c r="R58" s="209">
        <v>1.6725719999999999</v>
      </c>
      <c r="S58" s="209">
        <v>1.6897530000000001</v>
      </c>
      <c r="T58" s="209">
        <v>1.700725</v>
      </c>
      <c r="U58" s="209">
        <v>1.7147570000000001</v>
      </c>
      <c r="V58" s="209">
        <v>1.740343</v>
      </c>
      <c r="W58" s="209">
        <v>1.7463280000000001</v>
      </c>
      <c r="X58" s="209">
        <v>1.7643230000000001</v>
      </c>
      <c r="Y58" s="209">
        <v>1.77129</v>
      </c>
      <c r="Z58" s="209">
        <v>1.7765899999999999</v>
      </c>
      <c r="AA58" s="209">
        <v>1.781166</v>
      </c>
      <c r="AB58" s="209">
        <v>1.7883020000000001</v>
      </c>
      <c r="AC58" s="209">
        <v>1.7967360000000001</v>
      </c>
      <c r="AD58" s="209">
        <v>1.8046580000000001</v>
      </c>
      <c r="AE58" s="209">
        <v>1.809374</v>
      </c>
      <c r="AF58" s="209">
        <v>1.8139019999999999</v>
      </c>
      <c r="AG58" s="209">
        <v>1.8224530000000001</v>
      </c>
      <c r="AH58" s="209">
        <v>1.8293619999999999</v>
      </c>
      <c r="AI58" s="210">
        <v>2.2829999999999999E-3</v>
      </c>
    </row>
    <row r="59" spans="1:35" ht="15" customHeight="1" x14ac:dyDescent="0.3">
      <c r="A59" s="203" t="s">
        <v>277</v>
      </c>
      <c r="B59" s="208" t="s">
        <v>278</v>
      </c>
      <c r="C59" s="209">
        <v>2.1871900000000002</v>
      </c>
      <c r="D59" s="209">
        <v>2.1790500000000002</v>
      </c>
      <c r="E59" s="209">
        <v>2.1352980000000001</v>
      </c>
      <c r="F59" s="209">
        <v>2.0811760000000001</v>
      </c>
      <c r="G59" s="209">
        <v>2.0618609999999999</v>
      </c>
      <c r="H59" s="209">
        <v>2.0466280000000001</v>
      </c>
      <c r="I59" s="209">
        <v>2.0357470000000002</v>
      </c>
      <c r="J59" s="209">
        <v>2.022008</v>
      </c>
      <c r="K59" s="209">
        <v>2.0354510000000001</v>
      </c>
      <c r="L59" s="209">
        <v>2.0311309999999998</v>
      </c>
      <c r="M59" s="209">
        <v>2.03477</v>
      </c>
      <c r="N59" s="209">
        <v>2.028044</v>
      </c>
      <c r="O59" s="209">
        <v>2.025258</v>
      </c>
      <c r="P59" s="209">
        <v>2.0228730000000001</v>
      </c>
      <c r="Q59" s="209">
        <v>2.0244460000000002</v>
      </c>
      <c r="R59" s="209">
        <v>2.0269659999999998</v>
      </c>
      <c r="S59" s="209">
        <v>2.0285920000000002</v>
      </c>
      <c r="T59" s="209">
        <v>2.0320469999999999</v>
      </c>
      <c r="U59" s="209">
        <v>2.0358390000000002</v>
      </c>
      <c r="V59" s="209">
        <v>2.0397020000000001</v>
      </c>
      <c r="W59" s="209">
        <v>2.0394009999999998</v>
      </c>
      <c r="X59" s="209">
        <v>2.04244</v>
      </c>
      <c r="Y59" s="209">
        <v>2.039507</v>
      </c>
      <c r="Z59" s="209">
        <v>2.0408750000000002</v>
      </c>
      <c r="AA59" s="209">
        <v>2.041382</v>
      </c>
      <c r="AB59" s="209">
        <v>2.041337</v>
      </c>
      <c r="AC59" s="209">
        <v>2.0415410000000001</v>
      </c>
      <c r="AD59" s="209">
        <v>2.045588</v>
      </c>
      <c r="AE59" s="209">
        <v>2.0448520000000001</v>
      </c>
      <c r="AF59" s="209">
        <v>2.0458829999999999</v>
      </c>
      <c r="AG59" s="209">
        <v>2.0458349999999998</v>
      </c>
      <c r="AH59" s="209">
        <v>2.0479159999999998</v>
      </c>
      <c r="AI59" s="210">
        <v>-2.1199999999999999E-3</v>
      </c>
    </row>
    <row r="60" spans="1:35" ht="15" customHeight="1" x14ac:dyDescent="0.3">
      <c r="A60" s="203" t="s">
        <v>279</v>
      </c>
      <c r="B60" s="208" t="s">
        <v>280</v>
      </c>
      <c r="C60" s="214">
        <v>10.388245</v>
      </c>
      <c r="D60" s="214">
        <v>10.218346</v>
      </c>
      <c r="E60" s="214">
        <v>10.115773000000001</v>
      </c>
      <c r="F60" s="214">
        <v>10.047506</v>
      </c>
      <c r="G60" s="214">
        <v>9.9895739999999993</v>
      </c>
      <c r="H60" s="214">
        <v>10.004821</v>
      </c>
      <c r="I60" s="214">
        <v>10.077984000000001</v>
      </c>
      <c r="J60" s="214">
        <v>10.158848000000001</v>
      </c>
      <c r="K60" s="214">
        <v>10.150057</v>
      </c>
      <c r="L60" s="214">
        <v>10.111454999999999</v>
      </c>
      <c r="M60" s="214">
        <v>10.010123</v>
      </c>
      <c r="N60" s="214">
        <v>9.9697990000000001</v>
      </c>
      <c r="O60" s="214">
        <v>9.940785</v>
      </c>
      <c r="P60" s="214">
        <v>9.9319369999999996</v>
      </c>
      <c r="Q60" s="214">
        <v>9.9258480000000002</v>
      </c>
      <c r="R60" s="214">
        <v>9.9098520000000008</v>
      </c>
      <c r="S60" s="214">
        <v>9.8644879999999997</v>
      </c>
      <c r="T60" s="214">
        <v>9.8430669999999996</v>
      </c>
      <c r="U60" s="214">
        <v>9.8278970000000001</v>
      </c>
      <c r="V60" s="214">
        <v>9.7997589999999999</v>
      </c>
      <c r="W60" s="214">
        <v>9.7712079999999997</v>
      </c>
      <c r="X60" s="214">
        <v>9.7547680000000003</v>
      </c>
      <c r="Y60" s="214">
        <v>9.7319340000000008</v>
      </c>
      <c r="Z60" s="214">
        <v>9.7143809999999995</v>
      </c>
      <c r="AA60" s="214">
        <v>9.6772399999999994</v>
      </c>
      <c r="AB60" s="214">
        <v>9.6325339999999997</v>
      </c>
      <c r="AC60" s="214">
        <v>9.6062049999999992</v>
      </c>
      <c r="AD60" s="214">
        <v>9.5538290000000003</v>
      </c>
      <c r="AE60" s="214">
        <v>9.5183959999999992</v>
      </c>
      <c r="AF60" s="214">
        <v>9.5149690000000007</v>
      </c>
      <c r="AG60" s="214">
        <v>9.4576550000000008</v>
      </c>
      <c r="AH60" s="214">
        <v>9.3930819999999997</v>
      </c>
      <c r="AI60" s="210">
        <v>-3.2429999999999998E-3</v>
      </c>
    </row>
    <row r="63" spans="1:35" ht="15" customHeight="1" x14ac:dyDescent="0.3">
      <c r="B63" s="207" t="s">
        <v>281</v>
      </c>
    </row>
    <row r="64" spans="1:35" ht="15" customHeight="1" x14ac:dyDescent="0.3">
      <c r="A64" s="203" t="s">
        <v>282</v>
      </c>
      <c r="B64" s="208" t="s">
        <v>268</v>
      </c>
      <c r="C64" s="213">
        <v>63.371997999999998</v>
      </c>
      <c r="D64" s="213">
        <v>59.077347000000003</v>
      </c>
      <c r="E64" s="213">
        <v>61.818973999999997</v>
      </c>
      <c r="F64" s="213">
        <v>65.025085000000004</v>
      </c>
      <c r="G64" s="213">
        <v>67.779212999999999</v>
      </c>
      <c r="H64" s="213">
        <v>70.536017999999999</v>
      </c>
      <c r="I64" s="213">
        <v>73.653580000000005</v>
      </c>
      <c r="J64" s="213">
        <v>76.803391000000005</v>
      </c>
      <c r="K64" s="213">
        <v>80.309258</v>
      </c>
      <c r="L64" s="213">
        <v>83.701019000000002</v>
      </c>
      <c r="M64" s="213">
        <v>87.538749999999993</v>
      </c>
      <c r="N64" s="213">
        <v>91.495277000000002</v>
      </c>
      <c r="O64" s="213">
        <v>95.484993000000003</v>
      </c>
      <c r="P64" s="213">
        <v>99.574180999999996</v>
      </c>
      <c r="Q64" s="213">
        <v>103.629654</v>
      </c>
      <c r="R64" s="213">
        <v>108.384331</v>
      </c>
      <c r="S64" s="213">
        <v>112.70813</v>
      </c>
      <c r="T64" s="213">
        <v>117.323853</v>
      </c>
      <c r="U64" s="213">
        <v>121.64743</v>
      </c>
      <c r="V64" s="213">
        <v>126.40358000000001</v>
      </c>
      <c r="W64" s="213">
        <v>131.39115899999999</v>
      </c>
      <c r="X64" s="213">
        <v>137.068848</v>
      </c>
      <c r="Y64" s="213">
        <v>142.62617499999999</v>
      </c>
      <c r="Z64" s="213">
        <v>148.32708700000001</v>
      </c>
      <c r="AA64" s="213">
        <v>154.26850899999999</v>
      </c>
      <c r="AB64" s="213">
        <v>159.64691199999999</v>
      </c>
      <c r="AC64" s="213">
        <v>165.05808999999999</v>
      </c>
      <c r="AD64" s="213">
        <v>170.62506099999999</v>
      </c>
      <c r="AE64" s="213">
        <v>175.80865499999999</v>
      </c>
      <c r="AF64" s="213">
        <v>181.11958300000001</v>
      </c>
      <c r="AG64" s="213">
        <v>186.33601400000001</v>
      </c>
      <c r="AH64" s="213">
        <v>192.18858299999999</v>
      </c>
      <c r="AI64" s="210">
        <v>3.6436999999999997E-2</v>
      </c>
    </row>
    <row r="65" spans="1:35" ht="15" customHeight="1" x14ac:dyDescent="0.3">
      <c r="A65" s="203" t="s">
        <v>283</v>
      </c>
      <c r="B65" s="208" t="s">
        <v>270</v>
      </c>
      <c r="C65" s="213">
        <v>56.261001999999998</v>
      </c>
      <c r="D65" s="213">
        <v>55.592682000000003</v>
      </c>
      <c r="E65" s="213">
        <v>56.431838999999997</v>
      </c>
      <c r="F65" s="213">
        <v>58.590172000000003</v>
      </c>
      <c r="G65" s="213">
        <v>61.100245999999999</v>
      </c>
      <c r="H65" s="213">
        <v>63.808951999999998</v>
      </c>
      <c r="I65" s="213">
        <v>66.856689000000003</v>
      </c>
      <c r="J65" s="213">
        <v>69.127373000000006</v>
      </c>
      <c r="K65" s="213">
        <v>72.258758999999998</v>
      </c>
      <c r="L65" s="213">
        <v>74.794212000000002</v>
      </c>
      <c r="M65" s="213">
        <v>78.827042000000006</v>
      </c>
      <c r="N65" s="213">
        <v>81.682311999999996</v>
      </c>
      <c r="O65" s="213">
        <v>85.760077999999993</v>
      </c>
      <c r="P65" s="213">
        <v>88.888846999999998</v>
      </c>
      <c r="Q65" s="213">
        <v>93.032760999999994</v>
      </c>
      <c r="R65" s="213">
        <v>97.929526999999993</v>
      </c>
      <c r="S65" s="213">
        <v>102.091644</v>
      </c>
      <c r="T65" s="213">
        <v>106.12159</v>
      </c>
      <c r="U65" s="213">
        <v>111.28025100000001</v>
      </c>
      <c r="V65" s="213">
        <v>115.514877</v>
      </c>
      <c r="W65" s="213">
        <v>120.05265</v>
      </c>
      <c r="X65" s="213">
        <v>125.35865</v>
      </c>
      <c r="Y65" s="213">
        <v>130.55796799999999</v>
      </c>
      <c r="Z65" s="213">
        <v>136.63687100000001</v>
      </c>
      <c r="AA65" s="213">
        <v>142.50292999999999</v>
      </c>
      <c r="AB65" s="213">
        <v>147.25143399999999</v>
      </c>
      <c r="AC65" s="213">
        <v>152.359161</v>
      </c>
      <c r="AD65" s="213">
        <v>157.67688000000001</v>
      </c>
      <c r="AE65" s="213">
        <v>162.53341699999999</v>
      </c>
      <c r="AF65" s="213">
        <v>166.77336099999999</v>
      </c>
      <c r="AG65" s="213">
        <v>171.36093099999999</v>
      </c>
      <c r="AH65" s="213">
        <v>177.52203399999999</v>
      </c>
      <c r="AI65" s="210">
        <v>3.7762999999999998E-2</v>
      </c>
    </row>
    <row r="66" spans="1:35" ht="15" customHeight="1" x14ac:dyDescent="0.3">
      <c r="A66" s="203" t="s">
        <v>284</v>
      </c>
      <c r="B66" s="208" t="s">
        <v>272</v>
      </c>
      <c r="C66" s="209">
        <v>2.5669469999999999</v>
      </c>
      <c r="D66" s="209">
        <v>2.5188190000000001</v>
      </c>
      <c r="E66" s="209">
        <v>2.4954610000000002</v>
      </c>
      <c r="F66" s="209">
        <v>2.4402219999999999</v>
      </c>
      <c r="G66" s="209">
        <v>2.4461710000000001</v>
      </c>
      <c r="H66" s="209">
        <v>2.5238999999999998</v>
      </c>
      <c r="I66" s="209">
        <v>2.7721719999999999</v>
      </c>
      <c r="J66" s="209">
        <v>3.0845410000000002</v>
      </c>
      <c r="K66" s="209">
        <v>3.2767219999999999</v>
      </c>
      <c r="L66" s="209">
        <v>3.3643369999999999</v>
      </c>
      <c r="M66" s="209">
        <v>3.3945110000000001</v>
      </c>
      <c r="N66" s="209">
        <v>3.4212060000000002</v>
      </c>
      <c r="O66" s="209">
        <v>3.4994239999999999</v>
      </c>
      <c r="P66" s="209">
        <v>3.6101649999999998</v>
      </c>
      <c r="Q66" s="209">
        <v>3.7217560000000001</v>
      </c>
      <c r="R66" s="209">
        <v>3.8185630000000002</v>
      </c>
      <c r="S66" s="209">
        <v>3.8928349999999998</v>
      </c>
      <c r="T66" s="209">
        <v>3.999126</v>
      </c>
      <c r="U66" s="209">
        <v>4.1283609999999999</v>
      </c>
      <c r="V66" s="209">
        <v>4.2408590000000004</v>
      </c>
      <c r="W66" s="209">
        <v>4.341996</v>
      </c>
      <c r="X66" s="209">
        <v>4.4346160000000001</v>
      </c>
      <c r="Y66" s="209">
        <v>4.5237749999999997</v>
      </c>
      <c r="Z66" s="209">
        <v>4.6222009999999996</v>
      </c>
      <c r="AA66" s="209">
        <v>4.678064</v>
      </c>
      <c r="AB66" s="209">
        <v>4.7408989999999998</v>
      </c>
      <c r="AC66" s="209">
        <v>4.8208510000000002</v>
      </c>
      <c r="AD66" s="209">
        <v>4.9260120000000001</v>
      </c>
      <c r="AE66" s="209">
        <v>5.0188819999999996</v>
      </c>
      <c r="AF66" s="209">
        <v>5.1166790000000004</v>
      </c>
      <c r="AG66" s="209">
        <v>5.2237830000000001</v>
      </c>
      <c r="AH66" s="209">
        <v>5.3359690000000004</v>
      </c>
      <c r="AI66" s="210">
        <v>2.3886000000000001E-2</v>
      </c>
    </row>
    <row r="67" spans="1:35" ht="15" customHeight="1" x14ac:dyDescent="0.3">
      <c r="A67" s="203" t="s">
        <v>285</v>
      </c>
      <c r="B67" s="208" t="s">
        <v>274</v>
      </c>
      <c r="C67" s="214">
        <v>34.280701000000001</v>
      </c>
      <c r="D67" s="214">
        <v>33.721694999999997</v>
      </c>
      <c r="E67" s="214">
        <v>36.876648000000003</v>
      </c>
      <c r="F67" s="214">
        <v>38.057217000000001</v>
      </c>
      <c r="G67" s="214">
        <v>38.533709999999999</v>
      </c>
      <c r="H67" s="214">
        <v>39.662742999999999</v>
      </c>
      <c r="I67" s="214">
        <v>41.796985999999997</v>
      </c>
      <c r="J67" s="214">
        <v>41.602856000000003</v>
      </c>
      <c r="K67" s="214">
        <v>42.922263999999998</v>
      </c>
      <c r="L67" s="214">
        <v>43.628635000000003</v>
      </c>
      <c r="M67" s="214">
        <v>45.139964999999997</v>
      </c>
      <c r="N67" s="214">
        <v>46.556731999999997</v>
      </c>
      <c r="O67" s="214">
        <v>47.876441999999997</v>
      </c>
      <c r="P67" s="214">
        <v>49.165706999999998</v>
      </c>
      <c r="Q67" s="214">
        <v>50.550235999999998</v>
      </c>
      <c r="R67" s="214">
        <v>51.783965999999999</v>
      </c>
      <c r="S67" s="214">
        <v>53.683078999999999</v>
      </c>
      <c r="T67" s="214">
        <v>55.378852999999999</v>
      </c>
      <c r="U67" s="214">
        <v>57.283946999999998</v>
      </c>
      <c r="V67" s="214">
        <v>59.984360000000002</v>
      </c>
      <c r="W67" s="214">
        <v>61.582802000000001</v>
      </c>
      <c r="X67" s="214">
        <v>63.841769999999997</v>
      </c>
      <c r="Y67" s="214">
        <v>65.662163000000007</v>
      </c>
      <c r="Z67" s="214">
        <v>67.337631000000002</v>
      </c>
      <c r="AA67" s="214">
        <v>69.050110000000004</v>
      </c>
      <c r="AB67" s="214">
        <v>70.923209999999997</v>
      </c>
      <c r="AC67" s="214">
        <v>72.833160000000007</v>
      </c>
      <c r="AD67" s="214">
        <v>74.750488000000004</v>
      </c>
      <c r="AE67" s="214">
        <v>76.616973999999999</v>
      </c>
      <c r="AF67" s="214">
        <v>78.569832000000005</v>
      </c>
      <c r="AG67" s="214">
        <v>80.952567999999999</v>
      </c>
      <c r="AH67" s="214">
        <v>83.230346999999995</v>
      </c>
      <c r="AI67" s="210">
        <v>2.9027000000000001E-2</v>
      </c>
    </row>
    <row r="68" spans="1:35" ht="15" customHeight="1" x14ac:dyDescent="0.3">
      <c r="A68" s="203" t="s">
        <v>286</v>
      </c>
      <c r="B68" s="208" t="s">
        <v>276</v>
      </c>
      <c r="C68" s="209">
        <v>1.7045300000000001</v>
      </c>
      <c r="D68" s="209">
        <v>1.6587810000000001</v>
      </c>
      <c r="E68" s="209">
        <v>1.760834</v>
      </c>
      <c r="F68" s="209">
        <v>1.801072</v>
      </c>
      <c r="G68" s="209">
        <v>1.8259240000000001</v>
      </c>
      <c r="H68" s="209">
        <v>1.8704879999999999</v>
      </c>
      <c r="I68" s="209">
        <v>1.9505030000000001</v>
      </c>
      <c r="J68" s="209">
        <v>1.9606600000000001</v>
      </c>
      <c r="K68" s="209">
        <v>2.0218940000000001</v>
      </c>
      <c r="L68" s="209">
        <v>2.0601080000000001</v>
      </c>
      <c r="M68" s="209">
        <v>2.1270899999999999</v>
      </c>
      <c r="N68" s="209">
        <v>2.1902300000000001</v>
      </c>
      <c r="O68" s="209">
        <v>2.251833</v>
      </c>
      <c r="P68" s="209">
        <v>2.314076</v>
      </c>
      <c r="Q68" s="209">
        <v>2.3796469999999998</v>
      </c>
      <c r="R68" s="209">
        <v>2.4409380000000001</v>
      </c>
      <c r="S68" s="209">
        <v>2.5247289999999998</v>
      </c>
      <c r="T68" s="209">
        <v>2.601362</v>
      </c>
      <c r="U68" s="209">
        <v>2.6845620000000001</v>
      </c>
      <c r="V68" s="209">
        <v>2.7879309999999999</v>
      </c>
      <c r="W68" s="209">
        <v>2.8616480000000002</v>
      </c>
      <c r="X68" s="209">
        <v>2.9578709999999999</v>
      </c>
      <c r="Y68" s="209">
        <v>3.0374750000000001</v>
      </c>
      <c r="Z68" s="209">
        <v>3.1164749999999999</v>
      </c>
      <c r="AA68" s="209">
        <v>3.1951200000000002</v>
      </c>
      <c r="AB68" s="209">
        <v>3.2795619999999999</v>
      </c>
      <c r="AC68" s="209">
        <v>3.368582</v>
      </c>
      <c r="AD68" s="209">
        <v>3.4589539999999999</v>
      </c>
      <c r="AE68" s="209">
        <v>3.5461619999999998</v>
      </c>
      <c r="AF68" s="209">
        <v>3.6372969999999998</v>
      </c>
      <c r="AG68" s="209">
        <v>3.741806</v>
      </c>
      <c r="AH68" s="209">
        <v>3.8471929999999999</v>
      </c>
      <c r="AI68" s="210">
        <v>2.6608E-2</v>
      </c>
    </row>
    <row r="69" spans="1:35" ht="15" customHeight="1" x14ac:dyDescent="0.3">
      <c r="A69" s="203" t="s">
        <v>287</v>
      </c>
      <c r="B69" s="208" t="s">
        <v>278</v>
      </c>
      <c r="C69" s="209">
        <v>2.1871900000000002</v>
      </c>
      <c r="D69" s="209">
        <v>2.230118</v>
      </c>
      <c r="E69" s="209">
        <v>2.2402600000000001</v>
      </c>
      <c r="F69" s="209">
        <v>2.239611</v>
      </c>
      <c r="G69" s="209">
        <v>2.2749549999999998</v>
      </c>
      <c r="H69" s="209">
        <v>2.3141780000000001</v>
      </c>
      <c r="I69" s="209">
        <v>2.3599990000000002</v>
      </c>
      <c r="J69" s="209">
        <v>2.4052560000000001</v>
      </c>
      <c r="K69" s="209">
        <v>2.4864410000000001</v>
      </c>
      <c r="L69" s="209">
        <v>2.547793</v>
      </c>
      <c r="M69" s="209">
        <v>2.6208300000000002</v>
      </c>
      <c r="N69" s="209">
        <v>2.6811929999999999</v>
      </c>
      <c r="O69" s="209">
        <v>2.7464460000000002</v>
      </c>
      <c r="P69" s="209">
        <v>2.8123119999999999</v>
      </c>
      <c r="Q69" s="209">
        <v>2.8844759999999998</v>
      </c>
      <c r="R69" s="209">
        <v>2.9581390000000001</v>
      </c>
      <c r="S69" s="209">
        <v>3.0310030000000001</v>
      </c>
      <c r="T69" s="209">
        <v>3.1081400000000001</v>
      </c>
      <c r="U69" s="209">
        <v>3.1872349999999998</v>
      </c>
      <c r="V69" s="209">
        <v>3.2674880000000002</v>
      </c>
      <c r="W69" s="209">
        <v>3.3418950000000001</v>
      </c>
      <c r="X69" s="209">
        <v>3.424131</v>
      </c>
      <c r="Y69" s="209">
        <v>3.4974259999999999</v>
      </c>
      <c r="Z69" s="209">
        <v>3.580082</v>
      </c>
      <c r="AA69" s="209">
        <v>3.661905</v>
      </c>
      <c r="AB69" s="209">
        <v>3.743601</v>
      </c>
      <c r="AC69" s="209">
        <v>3.82755</v>
      </c>
      <c r="AD69" s="209">
        <v>3.920741</v>
      </c>
      <c r="AE69" s="209">
        <v>4.0076700000000001</v>
      </c>
      <c r="AF69" s="209">
        <v>4.1024719999999997</v>
      </c>
      <c r="AG69" s="209">
        <v>4.2004469999999996</v>
      </c>
      <c r="AH69" s="209">
        <v>4.3068169999999997</v>
      </c>
      <c r="AI69" s="210">
        <v>2.2098E-2</v>
      </c>
    </row>
    <row r="70" spans="1:35" ht="15" customHeight="1" x14ac:dyDescent="0.3">
      <c r="A70" s="203" t="s">
        <v>288</v>
      </c>
      <c r="B70" s="208" t="s">
        <v>280</v>
      </c>
      <c r="C70" s="214">
        <v>10.388245</v>
      </c>
      <c r="D70" s="214">
        <v>10.457822</v>
      </c>
      <c r="E70" s="214">
        <v>10.613020000000001</v>
      </c>
      <c r="F70" s="214">
        <v>10.812402000000001</v>
      </c>
      <c r="G70" s="214">
        <v>11.022003</v>
      </c>
      <c r="H70" s="214">
        <v>11.312719</v>
      </c>
      <c r="I70" s="214">
        <v>11.683195</v>
      </c>
      <c r="J70" s="214">
        <v>12.084341</v>
      </c>
      <c r="K70" s="214">
        <v>12.398980999999999</v>
      </c>
      <c r="L70" s="214">
        <v>12.68352</v>
      </c>
      <c r="M70" s="214">
        <v>12.893268000000001</v>
      </c>
      <c r="N70" s="214">
        <v>13.180657</v>
      </c>
      <c r="O70" s="214">
        <v>13.480665999999999</v>
      </c>
      <c r="P70" s="214">
        <v>13.807938</v>
      </c>
      <c r="Q70" s="214">
        <v>14.142575000000001</v>
      </c>
      <c r="R70" s="214">
        <v>14.462362000000001</v>
      </c>
      <c r="S70" s="214">
        <v>14.738937999999999</v>
      </c>
      <c r="T70" s="214">
        <v>15.055573000000001</v>
      </c>
      <c r="U70" s="214">
        <v>15.386201</v>
      </c>
      <c r="V70" s="214">
        <v>15.698658999999999</v>
      </c>
      <c r="W70" s="214">
        <v>16.011738000000001</v>
      </c>
      <c r="X70" s="214">
        <v>16.353778999999999</v>
      </c>
      <c r="Y70" s="214">
        <v>16.688692</v>
      </c>
      <c r="Z70" s="214">
        <v>17.040863000000002</v>
      </c>
      <c r="AA70" s="214">
        <v>17.359383000000001</v>
      </c>
      <c r="AB70" s="214">
        <v>17.665077</v>
      </c>
      <c r="AC70" s="214">
        <v>18.01004</v>
      </c>
      <c r="AD70" s="214">
        <v>18.311647000000001</v>
      </c>
      <c r="AE70" s="214">
        <v>18.65494</v>
      </c>
      <c r="AF70" s="214">
        <v>19.079733000000001</v>
      </c>
      <c r="AG70" s="214">
        <v>19.418175000000002</v>
      </c>
      <c r="AH70" s="214">
        <v>19.753879999999999</v>
      </c>
      <c r="AI70" s="210">
        <v>2.0948000000000001E-2</v>
      </c>
    </row>
    <row r="71" spans="1:35" ht="15" customHeight="1" thickBot="1" x14ac:dyDescent="0.35"/>
    <row r="72" spans="1:35" ht="15" customHeight="1" x14ac:dyDescent="0.3">
      <c r="B72" s="232" t="s">
        <v>289</v>
      </c>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c r="AA72" s="232"/>
      <c r="AB72" s="232"/>
      <c r="AC72" s="232"/>
      <c r="AD72" s="232"/>
      <c r="AE72" s="232"/>
      <c r="AF72" s="232"/>
      <c r="AG72" s="232"/>
      <c r="AH72" s="232"/>
      <c r="AI72" s="232"/>
    </row>
    <row r="73" spans="1:35" ht="15" customHeight="1" x14ac:dyDescent="0.3">
      <c r="B73" s="216" t="s">
        <v>290</v>
      </c>
    </row>
    <row r="74" spans="1:35" ht="15" customHeight="1" x14ac:dyDescent="0.3">
      <c r="B74" s="216" t="s">
        <v>291</v>
      </c>
    </row>
    <row r="75" spans="1:35" ht="15" customHeight="1" x14ac:dyDescent="0.3">
      <c r="B75" s="216" t="s">
        <v>292</v>
      </c>
    </row>
    <row r="76" spans="1:35" ht="15" customHeight="1" x14ac:dyDescent="0.3">
      <c r="B76" s="216" t="s">
        <v>293</v>
      </c>
    </row>
    <row r="77" spans="1:35" ht="15" customHeight="1" x14ac:dyDescent="0.3">
      <c r="B77" s="216" t="s">
        <v>294</v>
      </c>
    </row>
    <row r="78" spans="1:35" ht="15" customHeight="1" x14ac:dyDescent="0.3">
      <c r="B78" s="216" t="s">
        <v>295</v>
      </c>
    </row>
    <row r="79" spans="1:35" ht="15" customHeight="1" x14ac:dyDescent="0.3">
      <c r="B79" s="216" t="s">
        <v>296</v>
      </c>
    </row>
    <row r="80" spans="1:35" ht="15" customHeight="1" x14ac:dyDescent="0.3">
      <c r="B80" s="216" t="s">
        <v>297</v>
      </c>
    </row>
    <row r="81" spans="2:2" ht="15" customHeight="1" x14ac:dyDescent="0.3">
      <c r="B81" s="216" t="s">
        <v>298</v>
      </c>
    </row>
    <row r="82" spans="2:2" ht="15" customHeight="1" x14ac:dyDescent="0.3">
      <c r="B82" s="216" t="s">
        <v>299</v>
      </c>
    </row>
    <row r="83" spans="2:2" ht="15" customHeight="1" x14ac:dyDescent="0.3">
      <c r="B83" s="216" t="s">
        <v>300</v>
      </c>
    </row>
    <row r="84" spans="2:2" ht="15" customHeight="1" x14ac:dyDescent="0.3">
      <c r="B84" s="216" t="s">
        <v>301</v>
      </c>
    </row>
    <row r="85" spans="2:2" ht="15" customHeight="1" x14ac:dyDescent="0.3">
      <c r="B85" s="216" t="s">
        <v>302</v>
      </c>
    </row>
    <row r="86" spans="2:2" ht="15" customHeight="1" x14ac:dyDescent="0.3">
      <c r="B86" s="216" t="s">
        <v>303</v>
      </c>
    </row>
    <row r="87" spans="2:2" ht="15" customHeight="1" x14ac:dyDescent="0.3">
      <c r="B87" s="216" t="s">
        <v>304</v>
      </c>
    </row>
    <row r="88" spans="2:2" ht="15" customHeight="1" x14ac:dyDescent="0.3">
      <c r="B88" s="216" t="s">
        <v>305</v>
      </c>
    </row>
    <row r="89" spans="2:2" ht="15" customHeight="1" x14ac:dyDescent="0.3">
      <c r="B89" s="216" t="s">
        <v>306</v>
      </c>
    </row>
    <row r="90" spans="2:2" ht="15" customHeight="1" x14ac:dyDescent="0.3">
      <c r="B90" s="216" t="s">
        <v>307</v>
      </c>
    </row>
    <row r="91" spans="2:2" ht="15" customHeight="1" x14ac:dyDescent="0.3">
      <c r="B91" s="216" t="s">
        <v>308</v>
      </c>
    </row>
    <row r="92" spans="2:2" ht="15" customHeight="1" x14ac:dyDescent="0.3">
      <c r="B92" s="216" t="s">
        <v>309</v>
      </c>
    </row>
    <row r="93" spans="2:2" ht="15" customHeight="1" x14ac:dyDescent="0.3">
      <c r="B93" s="216" t="s">
        <v>310</v>
      </c>
    </row>
    <row r="94" spans="2:2" ht="15" customHeight="1" x14ac:dyDescent="0.3">
      <c r="B94" s="216" t="s">
        <v>311</v>
      </c>
    </row>
    <row r="95" spans="2:2" ht="15" customHeight="1" x14ac:dyDescent="0.3">
      <c r="B95" s="216" t="s">
        <v>312</v>
      </c>
    </row>
    <row r="96" spans="2:2" ht="15" customHeight="1" x14ac:dyDescent="0.3">
      <c r="B96" s="216" t="s">
        <v>313</v>
      </c>
    </row>
    <row r="97" spans="2:2" ht="15" customHeight="1" x14ac:dyDescent="0.3">
      <c r="B97" s="216" t="s">
        <v>314</v>
      </c>
    </row>
    <row r="98" spans="2:2" ht="15" customHeight="1" x14ac:dyDescent="0.3">
      <c r="B98" s="216" t="s">
        <v>315</v>
      </c>
    </row>
    <row r="99" spans="2:2" ht="15" customHeight="1" x14ac:dyDescent="0.3">
      <c r="B99" s="216" t="s">
        <v>316</v>
      </c>
    </row>
    <row r="100" spans="2:2" ht="15" customHeight="1" x14ac:dyDescent="0.3">
      <c r="B100" s="216" t="s">
        <v>317</v>
      </c>
    </row>
  </sheetData>
  <mergeCells count="1">
    <mergeCell ref="B72:AI72"/>
  </mergeCell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40"/>
  <sheetViews>
    <sheetView workbookViewId="0">
      <pane xSplit="2" ySplit="1" topLeftCell="C2" activePane="bottomRight" state="frozen"/>
      <selection pane="topRight" activeCell="B1" sqref="B1"/>
      <selection pane="bottomLeft" activeCell="B1" sqref="B1"/>
      <selection pane="bottomRight"/>
    </sheetView>
  </sheetViews>
  <sheetFormatPr defaultColWidth="8.88671875" defaultRowHeight="15" customHeight="1" x14ac:dyDescent="0.3"/>
  <cols>
    <col min="1" max="1" width="30.44140625" customWidth="1"/>
    <col min="2" max="2" width="49" customWidth="1"/>
  </cols>
  <sheetData>
    <row r="1" spans="1:34" ht="15" customHeight="1" thickBot="1" x14ac:dyDescent="0.35">
      <c r="B1" s="199" t="s">
        <v>318</v>
      </c>
      <c r="C1" s="200">
        <v>2020</v>
      </c>
      <c r="D1" s="200">
        <v>2021</v>
      </c>
      <c r="E1" s="200">
        <v>2022</v>
      </c>
      <c r="F1" s="200">
        <v>2023</v>
      </c>
      <c r="G1" s="200">
        <v>2024</v>
      </c>
      <c r="H1" s="200">
        <v>2025</v>
      </c>
      <c r="I1" s="200">
        <v>2026</v>
      </c>
      <c r="J1" s="200">
        <v>2027</v>
      </c>
      <c r="K1" s="200">
        <v>2028</v>
      </c>
      <c r="L1" s="200">
        <v>2029</v>
      </c>
      <c r="M1" s="200">
        <v>2030</v>
      </c>
      <c r="N1" s="200">
        <v>2031</v>
      </c>
      <c r="O1" s="200">
        <v>2032</v>
      </c>
      <c r="P1" s="200">
        <v>2033</v>
      </c>
      <c r="Q1" s="200">
        <v>2034</v>
      </c>
      <c r="R1" s="200">
        <v>2035</v>
      </c>
      <c r="S1" s="200">
        <v>2036</v>
      </c>
      <c r="T1" s="200">
        <v>2037</v>
      </c>
      <c r="U1" s="200">
        <v>2038</v>
      </c>
      <c r="V1" s="200">
        <v>2039</v>
      </c>
      <c r="W1" s="200">
        <v>2040</v>
      </c>
      <c r="X1" s="200">
        <v>2041</v>
      </c>
      <c r="Y1" s="200">
        <v>2042</v>
      </c>
      <c r="Z1" s="200">
        <v>2043</v>
      </c>
      <c r="AA1" s="200">
        <v>2044</v>
      </c>
      <c r="AB1" s="200">
        <v>2045</v>
      </c>
      <c r="AC1" s="200">
        <v>2046</v>
      </c>
      <c r="AD1" s="200">
        <v>2047</v>
      </c>
      <c r="AE1" s="200">
        <v>2048</v>
      </c>
      <c r="AF1" s="200">
        <v>2049</v>
      </c>
      <c r="AG1" s="200">
        <v>2050</v>
      </c>
    </row>
    <row r="2" spans="1:34" ht="15" customHeight="1" thickTop="1" x14ac:dyDescent="0.3"/>
    <row r="3" spans="1:34" ht="15" customHeight="1" x14ac:dyDescent="0.3">
      <c r="C3" s="201" t="s">
        <v>199</v>
      </c>
      <c r="D3" s="201" t="s">
        <v>319</v>
      </c>
      <c r="E3" s="202"/>
      <c r="F3" s="202"/>
      <c r="G3" s="202"/>
      <c r="H3" s="202"/>
    </row>
    <row r="4" spans="1:34" ht="15" customHeight="1" x14ac:dyDescent="0.3">
      <c r="C4" s="201" t="s">
        <v>200</v>
      </c>
      <c r="D4" s="201" t="s">
        <v>320</v>
      </c>
      <c r="E4" s="202"/>
      <c r="F4" s="202"/>
      <c r="G4" s="201" t="s">
        <v>321</v>
      </c>
      <c r="H4" s="202"/>
    </row>
    <row r="5" spans="1:34" ht="15" customHeight="1" x14ac:dyDescent="0.3">
      <c r="C5" s="201" t="s">
        <v>203</v>
      </c>
      <c r="D5" s="201" t="s">
        <v>322</v>
      </c>
      <c r="E5" s="202"/>
      <c r="F5" s="202"/>
      <c r="G5" s="202"/>
      <c r="H5" s="202"/>
    </row>
    <row r="6" spans="1:34" ht="15" customHeight="1" x14ac:dyDescent="0.3">
      <c r="C6" s="201" t="s">
        <v>205</v>
      </c>
      <c r="D6" s="202"/>
      <c r="E6" s="201" t="s">
        <v>323</v>
      </c>
      <c r="F6" s="202"/>
      <c r="G6" s="202"/>
      <c r="H6" s="202"/>
    </row>
    <row r="10" spans="1:34" ht="15" customHeight="1" x14ac:dyDescent="0.3">
      <c r="A10" s="203" t="s">
        <v>324</v>
      </c>
      <c r="B10" s="204" t="s">
        <v>325</v>
      </c>
      <c r="AH10" s="205" t="s">
        <v>326</v>
      </c>
    </row>
    <row r="11" spans="1:34" ht="15" customHeight="1" x14ac:dyDescent="0.3">
      <c r="B11" s="199" t="s">
        <v>327</v>
      </c>
      <c r="AH11" s="205" t="s">
        <v>328</v>
      </c>
    </row>
    <row r="12" spans="1:34" ht="15" customHeight="1" x14ac:dyDescent="0.3">
      <c r="B12" s="199"/>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205" t="s">
        <v>329</v>
      </c>
    </row>
    <row r="13" spans="1:34" ht="15" customHeight="1" thickBot="1" x14ac:dyDescent="0.35">
      <c r="B13" s="200"/>
      <c r="C13" s="200">
        <v>2020</v>
      </c>
      <c r="D13" s="200">
        <v>2021</v>
      </c>
      <c r="E13" s="200">
        <v>2022</v>
      </c>
      <c r="F13" s="200">
        <v>2023</v>
      </c>
      <c r="G13" s="200">
        <v>2024</v>
      </c>
      <c r="H13" s="200">
        <v>2025</v>
      </c>
      <c r="I13" s="200">
        <v>2026</v>
      </c>
      <c r="J13" s="200">
        <v>2027</v>
      </c>
      <c r="K13" s="200">
        <v>2028</v>
      </c>
      <c r="L13" s="200">
        <v>2029</v>
      </c>
      <c r="M13" s="200">
        <v>2030</v>
      </c>
      <c r="N13" s="200">
        <v>2031</v>
      </c>
      <c r="O13" s="200">
        <v>2032</v>
      </c>
      <c r="P13" s="200">
        <v>2033</v>
      </c>
      <c r="Q13" s="200">
        <v>2034</v>
      </c>
      <c r="R13" s="200">
        <v>2035</v>
      </c>
      <c r="S13" s="200">
        <v>2036</v>
      </c>
      <c r="T13" s="200">
        <v>2037</v>
      </c>
      <c r="U13" s="200">
        <v>2038</v>
      </c>
      <c r="V13" s="200">
        <v>2039</v>
      </c>
      <c r="W13" s="200">
        <v>2040</v>
      </c>
      <c r="X13" s="200">
        <v>2041</v>
      </c>
      <c r="Y13" s="200">
        <v>2042</v>
      </c>
      <c r="Z13" s="200">
        <v>2043</v>
      </c>
      <c r="AA13" s="200">
        <v>2044</v>
      </c>
      <c r="AB13" s="200">
        <v>2045</v>
      </c>
      <c r="AC13" s="200">
        <v>2046</v>
      </c>
      <c r="AD13" s="200">
        <v>2047</v>
      </c>
      <c r="AE13" s="200">
        <v>2048</v>
      </c>
      <c r="AF13" s="200">
        <v>2049</v>
      </c>
      <c r="AG13" s="200">
        <v>2050</v>
      </c>
      <c r="AH13" s="206" t="s">
        <v>330</v>
      </c>
    </row>
    <row r="14" spans="1:34" ht="15" customHeight="1" thickTop="1" x14ac:dyDescent="0.3">
      <c r="B14" s="207" t="s">
        <v>331</v>
      </c>
    </row>
    <row r="15" spans="1:34" ht="15" customHeight="1" x14ac:dyDescent="0.3">
      <c r="B15" s="207" t="s">
        <v>332</v>
      </c>
    </row>
    <row r="16" spans="1:34" ht="15" customHeight="1" x14ac:dyDescent="0.3">
      <c r="A16" s="203" t="s">
        <v>333</v>
      </c>
      <c r="B16" s="208" t="s">
        <v>334</v>
      </c>
      <c r="C16" s="217">
        <v>6.6360000000000001</v>
      </c>
      <c r="D16" s="217">
        <v>6.6360000000000001</v>
      </c>
      <c r="E16" s="217">
        <v>6.6360000000000001</v>
      </c>
      <c r="F16" s="217">
        <v>6.6360000000000001</v>
      </c>
      <c r="G16" s="217">
        <v>6.6360000000000001</v>
      </c>
      <c r="H16" s="217">
        <v>6.6360000000000001</v>
      </c>
      <c r="I16" s="217">
        <v>6.6360000000000001</v>
      </c>
      <c r="J16" s="217">
        <v>6.6360000000000001</v>
      </c>
      <c r="K16" s="217">
        <v>6.6360000000000001</v>
      </c>
      <c r="L16" s="217">
        <v>6.6360000000000001</v>
      </c>
      <c r="M16" s="217">
        <v>6.6360000000000001</v>
      </c>
      <c r="N16" s="217">
        <v>6.6360000000000001</v>
      </c>
      <c r="O16" s="217">
        <v>6.6360000000000001</v>
      </c>
      <c r="P16" s="217">
        <v>6.6360000000000001</v>
      </c>
      <c r="Q16" s="217">
        <v>6.6360000000000001</v>
      </c>
      <c r="R16" s="217">
        <v>6.6360000000000001</v>
      </c>
      <c r="S16" s="217">
        <v>6.6360000000000001</v>
      </c>
      <c r="T16" s="217">
        <v>6.6360000000000001</v>
      </c>
      <c r="U16" s="217">
        <v>6.6360000000000001</v>
      </c>
      <c r="V16" s="217">
        <v>6.6360000000000001</v>
      </c>
      <c r="W16" s="217">
        <v>6.6360000000000001</v>
      </c>
      <c r="X16" s="217">
        <v>6.6360000000000001</v>
      </c>
      <c r="Y16" s="217">
        <v>6.6360000000000001</v>
      </c>
      <c r="Z16" s="217">
        <v>6.6360000000000001</v>
      </c>
      <c r="AA16" s="217">
        <v>6.6360000000000001</v>
      </c>
      <c r="AB16" s="217">
        <v>6.6360000000000001</v>
      </c>
      <c r="AC16" s="217">
        <v>6.6360000000000001</v>
      </c>
      <c r="AD16" s="217">
        <v>6.6360000000000001</v>
      </c>
      <c r="AE16" s="217">
        <v>6.6360000000000001</v>
      </c>
      <c r="AF16" s="217">
        <v>6.6360000000000001</v>
      </c>
      <c r="AG16" s="217">
        <v>6.6360000000000001</v>
      </c>
      <c r="AH16" s="210">
        <v>0</v>
      </c>
    </row>
    <row r="17" spans="1:34" ht="15" customHeight="1" x14ac:dyDescent="0.3">
      <c r="A17" s="203" t="s">
        <v>335</v>
      </c>
      <c r="B17" s="208" t="s">
        <v>336</v>
      </c>
      <c r="C17" s="217">
        <v>5.048</v>
      </c>
      <c r="D17" s="217">
        <v>5.048</v>
      </c>
      <c r="E17" s="217">
        <v>5.048</v>
      </c>
      <c r="F17" s="217">
        <v>5.048</v>
      </c>
      <c r="G17" s="217">
        <v>5.048</v>
      </c>
      <c r="H17" s="217">
        <v>5.048</v>
      </c>
      <c r="I17" s="217">
        <v>5.048</v>
      </c>
      <c r="J17" s="217">
        <v>5.048</v>
      </c>
      <c r="K17" s="217">
        <v>5.048</v>
      </c>
      <c r="L17" s="217">
        <v>5.048</v>
      </c>
      <c r="M17" s="217">
        <v>5.048</v>
      </c>
      <c r="N17" s="217">
        <v>5.048</v>
      </c>
      <c r="O17" s="217">
        <v>5.048</v>
      </c>
      <c r="P17" s="217">
        <v>5.048</v>
      </c>
      <c r="Q17" s="217">
        <v>5.048</v>
      </c>
      <c r="R17" s="217">
        <v>5.048</v>
      </c>
      <c r="S17" s="217">
        <v>5.048</v>
      </c>
      <c r="T17" s="217">
        <v>5.048</v>
      </c>
      <c r="U17" s="217">
        <v>5.048</v>
      </c>
      <c r="V17" s="217">
        <v>5.048</v>
      </c>
      <c r="W17" s="217">
        <v>5.048</v>
      </c>
      <c r="X17" s="217">
        <v>5.048</v>
      </c>
      <c r="Y17" s="217">
        <v>5.048</v>
      </c>
      <c r="Z17" s="217">
        <v>5.048</v>
      </c>
      <c r="AA17" s="217">
        <v>5.048</v>
      </c>
      <c r="AB17" s="217">
        <v>5.048</v>
      </c>
      <c r="AC17" s="217">
        <v>5.048</v>
      </c>
      <c r="AD17" s="217">
        <v>5.048</v>
      </c>
      <c r="AE17" s="217">
        <v>5.048</v>
      </c>
      <c r="AF17" s="217">
        <v>5.048</v>
      </c>
      <c r="AG17" s="217">
        <v>5.048</v>
      </c>
      <c r="AH17" s="210">
        <v>0</v>
      </c>
    </row>
    <row r="18" spans="1:34" ht="15" customHeight="1" x14ac:dyDescent="0.3">
      <c r="A18" s="203" t="s">
        <v>337</v>
      </c>
      <c r="B18" s="208" t="s">
        <v>338</v>
      </c>
      <c r="C18" s="217">
        <v>5.359</v>
      </c>
      <c r="D18" s="217">
        <v>5.359</v>
      </c>
      <c r="E18" s="217">
        <v>5.359</v>
      </c>
      <c r="F18" s="217">
        <v>5.359</v>
      </c>
      <c r="G18" s="217">
        <v>5.359</v>
      </c>
      <c r="H18" s="217">
        <v>5.359</v>
      </c>
      <c r="I18" s="217">
        <v>5.359</v>
      </c>
      <c r="J18" s="217">
        <v>5.359</v>
      </c>
      <c r="K18" s="217">
        <v>5.359</v>
      </c>
      <c r="L18" s="217">
        <v>5.359</v>
      </c>
      <c r="M18" s="217">
        <v>5.359</v>
      </c>
      <c r="N18" s="217">
        <v>5.359</v>
      </c>
      <c r="O18" s="217">
        <v>5.359</v>
      </c>
      <c r="P18" s="217">
        <v>5.359</v>
      </c>
      <c r="Q18" s="217">
        <v>5.359</v>
      </c>
      <c r="R18" s="217">
        <v>5.359</v>
      </c>
      <c r="S18" s="217">
        <v>5.359</v>
      </c>
      <c r="T18" s="217">
        <v>5.359</v>
      </c>
      <c r="U18" s="217">
        <v>5.359</v>
      </c>
      <c r="V18" s="217">
        <v>5.359</v>
      </c>
      <c r="W18" s="217">
        <v>5.359</v>
      </c>
      <c r="X18" s="217">
        <v>5.359</v>
      </c>
      <c r="Y18" s="217">
        <v>5.359</v>
      </c>
      <c r="Z18" s="217">
        <v>5.359</v>
      </c>
      <c r="AA18" s="217">
        <v>5.359</v>
      </c>
      <c r="AB18" s="217">
        <v>5.359</v>
      </c>
      <c r="AC18" s="217">
        <v>5.359</v>
      </c>
      <c r="AD18" s="217">
        <v>5.359</v>
      </c>
      <c r="AE18" s="217">
        <v>5.359</v>
      </c>
      <c r="AF18" s="217">
        <v>5.359</v>
      </c>
      <c r="AG18" s="217">
        <v>5.359</v>
      </c>
      <c r="AH18" s="210">
        <v>0</v>
      </c>
    </row>
    <row r="19" spans="1:34" ht="15" customHeight="1" x14ac:dyDescent="0.3">
      <c r="A19" s="203" t="s">
        <v>339</v>
      </c>
      <c r="B19" s="208" t="s">
        <v>340</v>
      </c>
      <c r="C19" s="217">
        <v>5.8250000000000002</v>
      </c>
      <c r="D19" s="217">
        <v>5.8250000000000002</v>
      </c>
      <c r="E19" s="217">
        <v>5.8250000000000002</v>
      </c>
      <c r="F19" s="217">
        <v>5.8250000000000002</v>
      </c>
      <c r="G19" s="217">
        <v>5.8250000000000002</v>
      </c>
      <c r="H19" s="217">
        <v>5.8250000000000002</v>
      </c>
      <c r="I19" s="217">
        <v>5.8250000000000002</v>
      </c>
      <c r="J19" s="217">
        <v>5.8250000000000002</v>
      </c>
      <c r="K19" s="217">
        <v>5.8250000000000002</v>
      </c>
      <c r="L19" s="217">
        <v>5.8250000000000002</v>
      </c>
      <c r="M19" s="217">
        <v>5.8250000000000002</v>
      </c>
      <c r="N19" s="217">
        <v>5.8250000000000002</v>
      </c>
      <c r="O19" s="217">
        <v>5.8250000000000002</v>
      </c>
      <c r="P19" s="217">
        <v>5.8250000000000002</v>
      </c>
      <c r="Q19" s="217">
        <v>5.8250000000000002</v>
      </c>
      <c r="R19" s="217">
        <v>5.8250000000000002</v>
      </c>
      <c r="S19" s="217">
        <v>5.8250000000000002</v>
      </c>
      <c r="T19" s="217">
        <v>5.8250000000000002</v>
      </c>
      <c r="U19" s="217">
        <v>5.8250000000000002</v>
      </c>
      <c r="V19" s="217">
        <v>5.8250000000000002</v>
      </c>
      <c r="W19" s="217">
        <v>5.8250000000000002</v>
      </c>
      <c r="X19" s="217">
        <v>5.8250000000000002</v>
      </c>
      <c r="Y19" s="217">
        <v>5.8250000000000002</v>
      </c>
      <c r="Z19" s="217">
        <v>5.8250000000000002</v>
      </c>
      <c r="AA19" s="217">
        <v>5.8250000000000002</v>
      </c>
      <c r="AB19" s="217">
        <v>5.8250000000000002</v>
      </c>
      <c r="AC19" s="217">
        <v>5.8250000000000002</v>
      </c>
      <c r="AD19" s="217">
        <v>5.8250000000000002</v>
      </c>
      <c r="AE19" s="217">
        <v>5.8250000000000002</v>
      </c>
      <c r="AF19" s="217">
        <v>5.8250000000000002</v>
      </c>
      <c r="AG19" s="217">
        <v>5.8250000000000002</v>
      </c>
      <c r="AH19" s="210">
        <v>0</v>
      </c>
    </row>
    <row r="20" spans="1:34" ht="15" customHeight="1" x14ac:dyDescent="0.3">
      <c r="A20" s="203" t="s">
        <v>341</v>
      </c>
      <c r="B20" s="208" t="s">
        <v>342</v>
      </c>
      <c r="C20" s="217">
        <v>5.7722249999999997</v>
      </c>
      <c r="D20" s="217">
        <v>5.7704339999999998</v>
      </c>
      <c r="E20" s="217">
        <v>5.7694679999999998</v>
      </c>
      <c r="F20" s="217">
        <v>5.7695970000000001</v>
      </c>
      <c r="G20" s="217">
        <v>5.7700829999999996</v>
      </c>
      <c r="H20" s="217">
        <v>5.7697419999999999</v>
      </c>
      <c r="I20" s="217">
        <v>5.7699959999999999</v>
      </c>
      <c r="J20" s="217">
        <v>5.7706080000000002</v>
      </c>
      <c r="K20" s="217">
        <v>5.7698460000000003</v>
      </c>
      <c r="L20" s="217">
        <v>5.7701969999999996</v>
      </c>
      <c r="M20" s="217">
        <v>5.7697099999999999</v>
      </c>
      <c r="N20" s="217">
        <v>5.7698</v>
      </c>
      <c r="O20" s="217">
        <v>5.7694869999999998</v>
      </c>
      <c r="P20" s="217">
        <v>5.7695980000000002</v>
      </c>
      <c r="Q20" s="217">
        <v>5.7694359999999998</v>
      </c>
      <c r="R20" s="217">
        <v>5.7696139999999998</v>
      </c>
      <c r="S20" s="217">
        <v>5.7701029999999998</v>
      </c>
      <c r="T20" s="217">
        <v>5.769971</v>
      </c>
      <c r="U20" s="217">
        <v>5.7701409999999997</v>
      </c>
      <c r="V20" s="217">
        <v>5.7698689999999999</v>
      </c>
      <c r="W20" s="217">
        <v>5.770143</v>
      </c>
      <c r="X20" s="217">
        <v>5.7702980000000004</v>
      </c>
      <c r="Y20" s="217">
        <v>5.7705109999999999</v>
      </c>
      <c r="Z20" s="217">
        <v>5.7700509999999996</v>
      </c>
      <c r="AA20" s="217">
        <v>5.7695379999999998</v>
      </c>
      <c r="AB20" s="217">
        <v>5.7692560000000004</v>
      </c>
      <c r="AC20" s="217">
        <v>5.770041</v>
      </c>
      <c r="AD20" s="217">
        <v>5.7690229999999998</v>
      </c>
      <c r="AE20" s="217">
        <v>5.7687850000000003</v>
      </c>
      <c r="AF20" s="217">
        <v>5.7686109999999999</v>
      </c>
      <c r="AG20" s="217">
        <v>5.7680179999999996</v>
      </c>
      <c r="AH20" s="210">
        <v>-2.4000000000000001E-5</v>
      </c>
    </row>
    <row r="21" spans="1:34" ht="15" customHeight="1" x14ac:dyDescent="0.3">
      <c r="A21" s="203" t="s">
        <v>343</v>
      </c>
      <c r="B21" s="208" t="s">
        <v>344</v>
      </c>
      <c r="C21" s="217">
        <v>5.7722249999999997</v>
      </c>
      <c r="D21" s="217">
        <v>5.7704339999999998</v>
      </c>
      <c r="E21" s="217">
        <v>5.7694679999999998</v>
      </c>
      <c r="F21" s="217">
        <v>5.7695970000000001</v>
      </c>
      <c r="G21" s="217">
        <v>5.7700829999999996</v>
      </c>
      <c r="H21" s="217">
        <v>5.7697419999999999</v>
      </c>
      <c r="I21" s="217">
        <v>5.7699959999999999</v>
      </c>
      <c r="J21" s="217">
        <v>5.7706080000000002</v>
      </c>
      <c r="K21" s="217">
        <v>5.7698460000000003</v>
      </c>
      <c r="L21" s="217">
        <v>5.7701969999999996</v>
      </c>
      <c r="M21" s="217">
        <v>5.7697099999999999</v>
      </c>
      <c r="N21" s="217">
        <v>5.7698</v>
      </c>
      <c r="O21" s="217">
        <v>5.7694869999999998</v>
      </c>
      <c r="P21" s="217">
        <v>5.7695980000000002</v>
      </c>
      <c r="Q21" s="217">
        <v>5.7694359999999998</v>
      </c>
      <c r="R21" s="217">
        <v>5.7696139999999998</v>
      </c>
      <c r="S21" s="217">
        <v>5.7701029999999998</v>
      </c>
      <c r="T21" s="217">
        <v>5.769971</v>
      </c>
      <c r="U21" s="217">
        <v>5.7701409999999997</v>
      </c>
      <c r="V21" s="217">
        <v>5.7698689999999999</v>
      </c>
      <c r="W21" s="217">
        <v>5.770143</v>
      </c>
      <c r="X21" s="217">
        <v>5.7702980000000004</v>
      </c>
      <c r="Y21" s="217">
        <v>5.7705109999999999</v>
      </c>
      <c r="Z21" s="217">
        <v>5.7700509999999996</v>
      </c>
      <c r="AA21" s="217">
        <v>5.7695379999999998</v>
      </c>
      <c r="AB21" s="217">
        <v>5.7692560000000004</v>
      </c>
      <c r="AC21" s="217">
        <v>5.770041</v>
      </c>
      <c r="AD21" s="217">
        <v>5.7690229999999998</v>
      </c>
      <c r="AE21" s="217">
        <v>5.7687850000000003</v>
      </c>
      <c r="AF21" s="217">
        <v>5.7686109999999999</v>
      </c>
      <c r="AG21" s="217">
        <v>5.7680179999999996</v>
      </c>
      <c r="AH21" s="210">
        <v>-2.4000000000000001E-5</v>
      </c>
    </row>
    <row r="22" spans="1:34" ht="15" customHeight="1" x14ac:dyDescent="0.3">
      <c r="A22" s="203" t="s">
        <v>345</v>
      </c>
      <c r="B22" s="208" t="s">
        <v>346</v>
      </c>
      <c r="C22" s="217">
        <v>5.7722249999999997</v>
      </c>
      <c r="D22" s="217">
        <v>5.7704339999999998</v>
      </c>
      <c r="E22" s="217">
        <v>5.7694679999999998</v>
      </c>
      <c r="F22" s="217">
        <v>5.7695970000000001</v>
      </c>
      <c r="G22" s="217">
        <v>5.7700829999999996</v>
      </c>
      <c r="H22" s="217">
        <v>5.7697419999999999</v>
      </c>
      <c r="I22" s="217">
        <v>5.7699959999999999</v>
      </c>
      <c r="J22" s="217">
        <v>5.7706080000000002</v>
      </c>
      <c r="K22" s="217">
        <v>5.7698460000000003</v>
      </c>
      <c r="L22" s="217">
        <v>5.7701969999999996</v>
      </c>
      <c r="M22" s="217">
        <v>5.7697099999999999</v>
      </c>
      <c r="N22" s="217">
        <v>5.7698</v>
      </c>
      <c r="O22" s="217">
        <v>5.7694869999999998</v>
      </c>
      <c r="P22" s="217">
        <v>5.7695980000000002</v>
      </c>
      <c r="Q22" s="217">
        <v>5.7694359999999998</v>
      </c>
      <c r="R22" s="217">
        <v>5.7696139999999998</v>
      </c>
      <c r="S22" s="217">
        <v>5.7701029999999998</v>
      </c>
      <c r="T22" s="217">
        <v>5.769971</v>
      </c>
      <c r="U22" s="217">
        <v>5.7701409999999997</v>
      </c>
      <c r="V22" s="217">
        <v>5.7698689999999999</v>
      </c>
      <c r="W22" s="217">
        <v>5.770143</v>
      </c>
      <c r="X22" s="217">
        <v>5.7702980000000004</v>
      </c>
      <c r="Y22" s="217">
        <v>5.7705109999999999</v>
      </c>
      <c r="Z22" s="217">
        <v>5.7700509999999996</v>
      </c>
      <c r="AA22" s="217">
        <v>5.7695379999999998</v>
      </c>
      <c r="AB22" s="217">
        <v>5.7692560000000004</v>
      </c>
      <c r="AC22" s="217">
        <v>5.770041</v>
      </c>
      <c r="AD22" s="217">
        <v>5.7690229999999998</v>
      </c>
      <c r="AE22" s="217">
        <v>5.7687850000000003</v>
      </c>
      <c r="AF22" s="217">
        <v>5.7686109999999999</v>
      </c>
      <c r="AG22" s="217">
        <v>5.7680179999999996</v>
      </c>
      <c r="AH22" s="210">
        <v>-2.4000000000000001E-5</v>
      </c>
    </row>
    <row r="23" spans="1:34" ht="15" customHeight="1" x14ac:dyDescent="0.3">
      <c r="A23" s="203" t="s">
        <v>347</v>
      </c>
      <c r="B23" s="208" t="s">
        <v>348</v>
      </c>
      <c r="C23" s="217">
        <v>5.7722249999999997</v>
      </c>
      <c r="D23" s="217">
        <v>5.7704339999999998</v>
      </c>
      <c r="E23" s="217">
        <v>5.7694679999999998</v>
      </c>
      <c r="F23" s="217">
        <v>5.7695970000000001</v>
      </c>
      <c r="G23" s="217">
        <v>5.7700829999999996</v>
      </c>
      <c r="H23" s="217">
        <v>5.7697419999999999</v>
      </c>
      <c r="I23" s="217">
        <v>5.7699959999999999</v>
      </c>
      <c r="J23" s="217">
        <v>5.7706080000000002</v>
      </c>
      <c r="K23" s="217">
        <v>5.7698460000000003</v>
      </c>
      <c r="L23" s="217">
        <v>5.7701969999999996</v>
      </c>
      <c r="M23" s="217">
        <v>5.7697099999999999</v>
      </c>
      <c r="N23" s="217">
        <v>5.7698</v>
      </c>
      <c r="O23" s="217">
        <v>5.7694869999999998</v>
      </c>
      <c r="P23" s="217">
        <v>5.7695980000000002</v>
      </c>
      <c r="Q23" s="217">
        <v>5.7694359999999998</v>
      </c>
      <c r="R23" s="217">
        <v>5.7696139999999998</v>
      </c>
      <c r="S23" s="217">
        <v>5.7701029999999998</v>
      </c>
      <c r="T23" s="217">
        <v>5.769971</v>
      </c>
      <c r="U23" s="217">
        <v>5.7701409999999997</v>
      </c>
      <c r="V23" s="217">
        <v>5.7698689999999999</v>
      </c>
      <c r="W23" s="217">
        <v>5.770143</v>
      </c>
      <c r="X23" s="217">
        <v>5.7702980000000004</v>
      </c>
      <c r="Y23" s="217">
        <v>5.7705109999999999</v>
      </c>
      <c r="Z23" s="217">
        <v>5.7700509999999996</v>
      </c>
      <c r="AA23" s="217">
        <v>5.7695379999999998</v>
      </c>
      <c r="AB23" s="217">
        <v>5.7692560000000004</v>
      </c>
      <c r="AC23" s="217">
        <v>5.770041</v>
      </c>
      <c r="AD23" s="217">
        <v>5.7690229999999998</v>
      </c>
      <c r="AE23" s="217">
        <v>5.7687850000000003</v>
      </c>
      <c r="AF23" s="217">
        <v>5.7686109999999999</v>
      </c>
      <c r="AG23" s="217">
        <v>5.7680179999999996</v>
      </c>
      <c r="AH23" s="210">
        <v>-2.4000000000000001E-5</v>
      </c>
    </row>
    <row r="24" spans="1:34" ht="15" customHeight="1" x14ac:dyDescent="0.3">
      <c r="A24" s="203" t="s">
        <v>349</v>
      </c>
      <c r="B24" s="208" t="s">
        <v>350</v>
      </c>
      <c r="C24" s="217">
        <v>5.7722249999999997</v>
      </c>
      <c r="D24" s="217">
        <v>5.7704339999999998</v>
      </c>
      <c r="E24" s="217">
        <v>5.7694679999999998</v>
      </c>
      <c r="F24" s="217">
        <v>5.7695970000000001</v>
      </c>
      <c r="G24" s="217">
        <v>5.7700829999999996</v>
      </c>
      <c r="H24" s="217">
        <v>5.7697419999999999</v>
      </c>
      <c r="I24" s="217">
        <v>5.7699959999999999</v>
      </c>
      <c r="J24" s="217">
        <v>5.7706080000000002</v>
      </c>
      <c r="K24" s="217">
        <v>5.7698460000000003</v>
      </c>
      <c r="L24" s="217">
        <v>5.7701969999999996</v>
      </c>
      <c r="M24" s="217">
        <v>5.7697099999999999</v>
      </c>
      <c r="N24" s="217">
        <v>5.7698</v>
      </c>
      <c r="O24" s="217">
        <v>5.7694869999999998</v>
      </c>
      <c r="P24" s="217">
        <v>5.7695980000000002</v>
      </c>
      <c r="Q24" s="217">
        <v>5.7694359999999998</v>
      </c>
      <c r="R24" s="217">
        <v>5.7696139999999998</v>
      </c>
      <c r="S24" s="217">
        <v>5.7701029999999998</v>
      </c>
      <c r="T24" s="217">
        <v>5.769971</v>
      </c>
      <c r="U24" s="217">
        <v>5.7701409999999997</v>
      </c>
      <c r="V24" s="217">
        <v>5.7698689999999999</v>
      </c>
      <c r="W24" s="217">
        <v>5.770143</v>
      </c>
      <c r="X24" s="217">
        <v>5.7702980000000004</v>
      </c>
      <c r="Y24" s="217">
        <v>5.7705109999999999</v>
      </c>
      <c r="Z24" s="217">
        <v>5.7700509999999996</v>
      </c>
      <c r="AA24" s="217">
        <v>5.7695379999999998</v>
      </c>
      <c r="AB24" s="217">
        <v>5.7692560000000004</v>
      </c>
      <c r="AC24" s="217">
        <v>5.770041</v>
      </c>
      <c r="AD24" s="217">
        <v>5.7690229999999998</v>
      </c>
      <c r="AE24" s="217">
        <v>5.7687850000000003</v>
      </c>
      <c r="AF24" s="217">
        <v>5.7686109999999999</v>
      </c>
      <c r="AG24" s="217">
        <v>5.7680179999999996</v>
      </c>
      <c r="AH24" s="210">
        <v>-2.4000000000000001E-5</v>
      </c>
    </row>
    <row r="25" spans="1:34" ht="15" customHeight="1" x14ac:dyDescent="0.3">
      <c r="A25" s="203" t="s">
        <v>351</v>
      </c>
      <c r="B25" s="208" t="s">
        <v>352</v>
      </c>
      <c r="C25" s="217">
        <v>5.7722259999999999</v>
      </c>
      <c r="D25" s="217">
        <v>5.7704339999999998</v>
      </c>
      <c r="E25" s="217">
        <v>5.7694679999999998</v>
      </c>
      <c r="F25" s="217">
        <v>5.7695970000000001</v>
      </c>
      <c r="G25" s="217">
        <v>5.7700829999999996</v>
      </c>
      <c r="H25" s="217">
        <v>5.7697419999999999</v>
      </c>
      <c r="I25" s="217">
        <v>5.769997</v>
      </c>
      <c r="J25" s="217">
        <v>5.770607</v>
      </c>
      <c r="K25" s="217">
        <v>5.7698450000000001</v>
      </c>
      <c r="L25" s="217">
        <v>5.7701960000000003</v>
      </c>
      <c r="M25" s="217">
        <v>5.7697099999999999</v>
      </c>
      <c r="N25" s="217">
        <v>5.7698</v>
      </c>
      <c r="O25" s="217">
        <v>5.7694869999999998</v>
      </c>
      <c r="P25" s="217">
        <v>5.7695980000000002</v>
      </c>
      <c r="Q25" s="217">
        <v>5.7694359999999998</v>
      </c>
      <c r="R25" s="217">
        <v>5.7696139999999998</v>
      </c>
      <c r="S25" s="217">
        <v>5.7701029999999998</v>
      </c>
      <c r="T25" s="217">
        <v>5.769971</v>
      </c>
      <c r="U25" s="217">
        <v>5.7701409999999997</v>
      </c>
      <c r="V25" s="217">
        <v>5.7698689999999999</v>
      </c>
      <c r="W25" s="217">
        <v>5.770143</v>
      </c>
      <c r="X25" s="217">
        <v>5.7702980000000004</v>
      </c>
      <c r="Y25" s="217">
        <v>5.7705109999999999</v>
      </c>
      <c r="Z25" s="217">
        <v>5.7700509999999996</v>
      </c>
      <c r="AA25" s="217">
        <v>5.7695369999999997</v>
      </c>
      <c r="AB25" s="217">
        <v>5.7692560000000004</v>
      </c>
      <c r="AC25" s="217">
        <v>5.7700420000000001</v>
      </c>
      <c r="AD25" s="217">
        <v>5.7690229999999998</v>
      </c>
      <c r="AE25" s="217">
        <v>5.7687850000000003</v>
      </c>
      <c r="AF25" s="217">
        <v>5.7686109999999999</v>
      </c>
      <c r="AG25" s="217">
        <v>5.7680179999999996</v>
      </c>
      <c r="AH25" s="210">
        <v>-2.4000000000000001E-5</v>
      </c>
    </row>
    <row r="26" spans="1:34" ht="15" customHeight="1" x14ac:dyDescent="0.3">
      <c r="A26" s="203" t="s">
        <v>353</v>
      </c>
      <c r="B26" s="208" t="s">
        <v>354</v>
      </c>
      <c r="C26" s="217">
        <v>5.8170000000000002</v>
      </c>
      <c r="D26" s="217">
        <v>5.8170000000000002</v>
      </c>
      <c r="E26" s="217">
        <v>5.8170000000000002</v>
      </c>
      <c r="F26" s="217">
        <v>5.8170000000000002</v>
      </c>
      <c r="G26" s="217">
        <v>5.8170000000000002</v>
      </c>
      <c r="H26" s="217">
        <v>5.8170000000000002</v>
      </c>
      <c r="I26" s="217">
        <v>5.8170000000000002</v>
      </c>
      <c r="J26" s="217">
        <v>5.8170000000000002</v>
      </c>
      <c r="K26" s="217">
        <v>5.8170000000000002</v>
      </c>
      <c r="L26" s="217">
        <v>5.8170000000000002</v>
      </c>
      <c r="M26" s="217">
        <v>5.8170000000000002</v>
      </c>
      <c r="N26" s="217">
        <v>5.8170000000000002</v>
      </c>
      <c r="O26" s="217">
        <v>5.8170000000000002</v>
      </c>
      <c r="P26" s="217">
        <v>5.8170000000000002</v>
      </c>
      <c r="Q26" s="217">
        <v>5.8170000000000002</v>
      </c>
      <c r="R26" s="217">
        <v>5.8170000000000002</v>
      </c>
      <c r="S26" s="217">
        <v>5.8170000000000002</v>
      </c>
      <c r="T26" s="217">
        <v>5.8170000000000002</v>
      </c>
      <c r="U26" s="217">
        <v>5.8170000000000002</v>
      </c>
      <c r="V26" s="217">
        <v>5.8170000000000002</v>
      </c>
      <c r="W26" s="217">
        <v>5.8170000000000002</v>
      </c>
      <c r="X26" s="217">
        <v>5.8170000000000002</v>
      </c>
      <c r="Y26" s="217">
        <v>5.8170000000000002</v>
      </c>
      <c r="Z26" s="217">
        <v>5.8170000000000002</v>
      </c>
      <c r="AA26" s="217">
        <v>5.8170000000000002</v>
      </c>
      <c r="AB26" s="217">
        <v>5.8170000000000002</v>
      </c>
      <c r="AC26" s="217">
        <v>5.8170000000000002</v>
      </c>
      <c r="AD26" s="217">
        <v>5.8170000000000002</v>
      </c>
      <c r="AE26" s="217">
        <v>5.8170000000000002</v>
      </c>
      <c r="AF26" s="217">
        <v>5.8170000000000002</v>
      </c>
      <c r="AG26" s="217">
        <v>5.8170000000000002</v>
      </c>
      <c r="AH26" s="210">
        <v>0</v>
      </c>
    </row>
    <row r="27" spans="1:34" ht="15" customHeight="1" x14ac:dyDescent="0.3">
      <c r="A27" s="203" t="s">
        <v>355</v>
      </c>
      <c r="B27" s="208" t="s">
        <v>356</v>
      </c>
      <c r="C27" s="217">
        <v>5.77</v>
      </c>
      <c r="D27" s="217">
        <v>5.77</v>
      </c>
      <c r="E27" s="217">
        <v>5.77</v>
      </c>
      <c r="F27" s="217">
        <v>5.77</v>
      </c>
      <c r="G27" s="217">
        <v>5.77</v>
      </c>
      <c r="H27" s="217">
        <v>5.77</v>
      </c>
      <c r="I27" s="217">
        <v>5.77</v>
      </c>
      <c r="J27" s="217">
        <v>5.77</v>
      </c>
      <c r="K27" s="217">
        <v>5.77</v>
      </c>
      <c r="L27" s="217">
        <v>5.77</v>
      </c>
      <c r="M27" s="217">
        <v>5.77</v>
      </c>
      <c r="N27" s="217">
        <v>5.77</v>
      </c>
      <c r="O27" s="217">
        <v>5.77</v>
      </c>
      <c r="P27" s="217">
        <v>5.77</v>
      </c>
      <c r="Q27" s="217">
        <v>5.77</v>
      </c>
      <c r="R27" s="217">
        <v>5.77</v>
      </c>
      <c r="S27" s="217">
        <v>5.77</v>
      </c>
      <c r="T27" s="217">
        <v>5.77</v>
      </c>
      <c r="U27" s="217">
        <v>5.77</v>
      </c>
      <c r="V27" s="217">
        <v>5.77</v>
      </c>
      <c r="W27" s="217">
        <v>5.77</v>
      </c>
      <c r="X27" s="217">
        <v>5.77</v>
      </c>
      <c r="Y27" s="217">
        <v>5.77</v>
      </c>
      <c r="Z27" s="217">
        <v>5.77</v>
      </c>
      <c r="AA27" s="217">
        <v>5.77</v>
      </c>
      <c r="AB27" s="217">
        <v>5.77</v>
      </c>
      <c r="AC27" s="217">
        <v>5.77</v>
      </c>
      <c r="AD27" s="217">
        <v>5.77</v>
      </c>
      <c r="AE27" s="217">
        <v>5.77</v>
      </c>
      <c r="AF27" s="217">
        <v>5.77</v>
      </c>
      <c r="AG27" s="217">
        <v>5.77</v>
      </c>
      <c r="AH27" s="210">
        <v>0</v>
      </c>
    </row>
    <row r="28" spans="1:34" ht="15" customHeight="1" x14ac:dyDescent="0.3">
      <c r="A28" s="203" t="s">
        <v>357</v>
      </c>
      <c r="B28" s="208" t="s">
        <v>358</v>
      </c>
      <c r="C28" s="217">
        <v>3.5630000000000002</v>
      </c>
      <c r="D28" s="217">
        <v>3.5630000000000002</v>
      </c>
      <c r="E28" s="217">
        <v>3.5630000000000002</v>
      </c>
      <c r="F28" s="217">
        <v>3.5630000000000002</v>
      </c>
      <c r="G28" s="217">
        <v>3.5630000000000002</v>
      </c>
      <c r="H28" s="217">
        <v>3.5630000000000002</v>
      </c>
      <c r="I28" s="217">
        <v>3.5630000000000002</v>
      </c>
      <c r="J28" s="217">
        <v>3.5630000000000002</v>
      </c>
      <c r="K28" s="217">
        <v>3.5630000000000002</v>
      </c>
      <c r="L28" s="217">
        <v>3.5630000000000002</v>
      </c>
      <c r="M28" s="217">
        <v>3.5630000000000002</v>
      </c>
      <c r="N28" s="217">
        <v>3.5630000000000002</v>
      </c>
      <c r="O28" s="217">
        <v>3.5630000000000002</v>
      </c>
      <c r="P28" s="217">
        <v>3.5630000000000002</v>
      </c>
      <c r="Q28" s="217">
        <v>3.5630000000000002</v>
      </c>
      <c r="R28" s="217">
        <v>3.5630000000000002</v>
      </c>
      <c r="S28" s="217">
        <v>3.5630000000000002</v>
      </c>
      <c r="T28" s="217">
        <v>3.5630000000000002</v>
      </c>
      <c r="U28" s="217">
        <v>3.5630000000000002</v>
      </c>
      <c r="V28" s="217">
        <v>3.5630000000000002</v>
      </c>
      <c r="W28" s="217">
        <v>3.5630000000000002</v>
      </c>
      <c r="X28" s="217">
        <v>3.5630000000000002</v>
      </c>
      <c r="Y28" s="217">
        <v>3.5630000000000002</v>
      </c>
      <c r="Z28" s="217">
        <v>3.5630000000000002</v>
      </c>
      <c r="AA28" s="217">
        <v>3.5630000000000002</v>
      </c>
      <c r="AB28" s="217">
        <v>3.5630000000000002</v>
      </c>
      <c r="AC28" s="217">
        <v>3.5630000000000002</v>
      </c>
      <c r="AD28" s="217">
        <v>3.5630000000000002</v>
      </c>
      <c r="AE28" s="217">
        <v>3.5630000000000002</v>
      </c>
      <c r="AF28" s="217">
        <v>3.5630000000000002</v>
      </c>
      <c r="AG28" s="217">
        <v>3.5630000000000002</v>
      </c>
      <c r="AH28" s="210">
        <v>0</v>
      </c>
    </row>
    <row r="29" spans="1:34" ht="15" customHeight="1" x14ac:dyDescent="0.3">
      <c r="A29" s="203" t="s">
        <v>359</v>
      </c>
      <c r="B29" s="208" t="s">
        <v>360</v>
      </c>
      <c r="C29" s="217">
        <v>3.9944130000000002</v>
      </c>
      <c r="D29" s="217">
        <v>3.9944130000000002</v>
      </c>
      <c r="E29" s="217">
        <v>3.9944130000000002</v>
      </c>
      <c r="F29" s="217">
        <v>3.9944130000000002</v>
      </c>
      <c r="G29" s="217">
        <v>3.9944130000000002</v>
      </c>
      <c r="H29" s="217">
        <v>3.9944130000000002</v>
      </c>
      <c r="I29" s="217">
        <v>3.9944130000000002</v>
      </c>
      <c r="J29" s="217">
        <v>3.9944130000000002</v>
      </c>
      <c r="K29" s="217">
        <v>3.9944130000000002</v>
      </c>
      <c r="L29" s="217">
        <v>3.9944130000000002</v>
      </c>
      <c r="M29" s="217">
        <v>3.9944130000000002</v>
      </c>
      <c r="N29" s="217">
        <v>3.9944130000000002</v>
      </c>
      <c r="O29" s="217">
        <v>3.9944130000000002</v>
      </c>
      <c r="P29" s="217">
        <v>3.9944130000000002</v>
      </c>
      <c r="Q29" s="217">
        <v>3.9944130000000002</v>
      </c>
      <c r="R29" s="217">
        <v>3.9944130000000002</v>
      </c>
      <c r="S29" s="217">
        <v>3.9944130000000002</v>
      </c>
      <c r="T29" s="217">
        <v>3.9944130000000002</v>
      </c>
      <c r="U29" s="217">
        <v>3.9944130000000002</v>
      </c>
      <c r="V29" s="217">
        <v>3.9944130000000002</v>
      </c>
      <c r="W29" s="217">
        <v>3.9944130000000002</v>
      </c>
      <c r="X29" s="217">
        <v>3.9944130000000002</v>
      </c>
      <c r="Y29" s="217">
        <v>3.9944130000000002</v>
      </c>
      <c r="Z29" s="217">
        <v>3.9944130000000002</v>
      </c>
      <c r="AA29" s="217">
        <v>3.9944130000000002</v>
      </c>
      <c r="AB29" s="217">
        <v>3.9944130000000002</v>
      </c>
      <c r="AC29" s="217">
        <v>3.9944130000000002</v>
      </c>
      <c r="AD29" s="217">
        <v>3.9944130000000002</v>
      </c>
      <c r="AE29" s="217">
        <v>3.9944130000000002</v>
      </c>
      <c r="AF29" s="217">
        <v>3.9944130000000002</v>
      </c>
      <c r="AG29" s="217">
        <v>3.9944130000000002</v>
      </c>
      <c r="AH29" s="210">
        <v>0</v>
      </c>
    </row>
    <row r="30" spans="1:34" ht="15" customHeight="1" x14ac:dyDescent="0.3">
      <c r="A30" s="203" t="s">
        <v>361</v>
      </c>
      <c r="B30" s="208" t="s">
        <v>362</v>
      </c>
      <c r="C30" s="217">
        <v>5.67</v>
      </c>
      <c r="D30" s="217">
        <v>5.67</v>
      </c>
      <c r="E30" s="217">
        <v>5.67</v>
      </c>
      <c r="F30" s="217">
        <v>5.67</v>
      </c>
      <c r="G30" s="217">
        <v>5.67</v>
      </c>
      <c r="H30" s="217">
        <v>5.67</v>
      </c>
      <c r="I30" s="217">
        <v>5.67</v>
      </c>
      <c r="J30" s="217">
        <v>5.67</v>
      </c>
      <c r="K30" s="217">
        <v>5.67</v>
      </c>
      <c r="L30" s="217">
        <v>5.67</v>
      </c>
      <c r="M30" s="217">
        <v>5.67</v>
      </c>
      <c r="N30" s="217">
        <v>5.67</v>
      </c>
      <c r="O30" s="217">
        <v>5.67</v>
      </c>
      <c r="P30" s="217">
        <v>5.67</v>
      </c>
      <c r="Q30" s="217">
        <v>5.67</v>
      </c>
      <c r="R30" s="217">
        <v>5.67</v>
      </c>
      <c r="S30" s="217">
        <v>5.67</v>
      </c>
      <c r="T30" s="217">
        <v>5.67</v>
      </c>
      <c r="U30" s="217">
        <v>5.67</v>
      </c>
      <c r="V30" s="217">
        <v>5.67</v>
      </c>
      <c r="W30" s="217">
        <v>5.67</v>
      </c>
      <c r="X30" s="217">
        <v>5.67</v>
      </c>
      <c r="Y30" s="217">
        <v>5.67</v>
      </c>
      <c r="Z30" s="217">
        <v>5.67</v>
      </c>
      <c r="AA30" s="217">
        <v>5.67</v>
      </c>
      <c r="AB30" s="217">
        <v>5.67</v>
      </c>
      <c r="AC30" s="217">
        <v>5.67</v>
      </c>
      <c r="AD30" s="217">
        <v>5.67</v>
      </c>
      <c r="AE30" s="217">
        <v>5.67</v>
      </c>
      <c r="AF30" s="217">
        <v>5.67</v>
      </c>
      <c r="AG30" s="217">
        <v>5.67</v>
      </c>
      <c r="AH30" s="210">
        <v>0</v>
      </c>
    </row>
    <row r="31" spans="1:34" ht="15" customHeight="1" x14ac:dyDescent="0.3">
      <c r="A31" s="203" t="s">
        <v>363</v>
      </c>
      <c r="B31" s="208" t="s">
        <v>364</v>
      </c>
      <c r="C31" s="217">
        <v>6.0650000000000004</v>
      </c>
      <c r="D31" s="217">
        <v>6.0650000000000004</v>
      </c>
      <c r="E31" s="217">
        <v>6.0650000000000004</v>
      </c>
      <c r="F31" s="217">
        <v>6.0650000000000004</v>
      </c>
      <c r="G31" s="217">
        <v>6.0650000000000004</v>
      </c>
      <c r="H31" s="217">
        <v>6.0650000000000004</v>
      </c>
      <c r="I31" s="217">
        <v>6.0650000000000004</v>
      </c>
      <c r="J31" s="217">
        <v>6.0650000000000004</v>
      </c>
      <c r="K31" s="217">
        <v>6.0650000000000004</v>
      </c>
      <c r="L31" s="217">
        <v>6.0650000000000004</v>
      </c>
      <c r="M31" s="217">
        <v>6.0650000000000004</v>
      </c>
      <c r="N31" s="217">
        <v>6.0650000000000004</v>
      </c>
      <c r="O31" s="217">
        <v>6.0650000000000004</v>
      </c>
      <c r="P31" s="217">
        <v>6.0650000000000004</v>
      </c>
      <c r="Q31" s="217">
        <v>6.0650000000000004</v>
      </c>
      <c r="R31" s="217">
        <v>6.0650000000000004</v>
      </c>
      <c r="S31" s="217">
        <v>6.0650000000000004</v>
      </c>
      <c r="T31" s="217">
        <v>6.0650000000000004</v>
      </c>
      <c r="U31" s="217">
        <v>6.0650000000000004</v>
      </c>
      <c r="V31" s="217">
        <v>6.0650000000000004</v>
      </c>
      <c r="W31" s="217">
        <v>6.0650000000000004</v>
      </c>
      <c r="X31" s="217">
        <v>6.0650000000000004</v>
      </c>
      <c r="Y31" s="217">
        <v>6.0650000000000004</v>
      </c>
      <c r="Z31" s="217">
        <v>6.0650000000000004</v>
      </c>
      <c r="AA31" s="217">
        <v>6.0650000000000004</v>
      </c>
      <c r="AB31" s="217">
        <v>6.0650000000000004</v>
      </c>
      <c r="AC31" s="217">
        <v>6.0650000000000004</v>
      </c>
      <c r="AD31" s="217">
        <v>6.0650000000000004</v>
      </c>
      <c r="AE31" s="217">
        <v>6.0650000000000004</v>
      </c>
      <c r="AF31" s="217">
        <v>6.0650000000000004</v>
      </c>
      <c r="AG31" s="217">
        <v>6.0650000000000004</v>
      </c>
      <c r="AH31" s="210">
        <v>0</v>
      </c>
    </row>
    <row r="32" spans="1:34" ht="15" customHeight="1" x14ac:dyDescent="0.3">
      <c r="A32" s="203" t="s">
        <v>365</v>
      </c>
      <c r="B32" s="208" t="s">
        <v>366</v>
      </c>
      <c r="C32" s="217">
        <v>5.0531009999999998</v>
      </c>
      <c r="D32" s="217">
        <v>5.0529289999999998</v>
      </c>
      <c r="E32" s="217">
        <v>5.0527569999999997</v>
      </c>
      <c r="F32" s="217">
        <v>5.0525820000000001</v>
      </c>
      <c r="G32" s="217">
        <v>5.0524079999999998</v>
      </c>
      <c r="H32" s="217">
        <v>5.0513180000000002</v>
      </c>
      <c r="I32" s="217">
        <v>5.0502149999999997</v>
      </c>
      <c r="J32" s="217">
        <v>5.0491130000000002</v>
      </c>
      <c r="K32" s="217">
        <v>5.0480130000000001</v>
      </c>
      <c r="L32" s="217">
        <v>5.0469140000000001</v>
      </c>
      <c r="M32" s="217">
        <v>5.0458150000000002</v>
      </c>
      <c r="N32" s="217">
        <v>5.0447170000000003</v>
      </c>
      <c r="O32" s="217">
        <v>5.0436209999999999</v>
      </c>
      <c r="P32" s="217">
        <v>5.0425250000000004</v>
      </c>
      <c r="Q32" s="217">
        <v>5.0414300000000001</v>
      </c>
      <c r="R32" s="217">
        <v>5.0403349999999998</v>
      </c>
      <c r="S32" s="217">
        <v>5.0394779999999999</v>
      </c>
      <c r="T32" s="217">
        <v>5.0386230000000003</v>
      </c>
      <c r="U32" s="217">
        <v>5.0377700000000001</v>
      </c>
      <c r="V32" s="217">
        <v>5.0369169999999999</v>
      </c>
      <c r="W32" s="217">
        <v>5.0360649999999998</v>
      </c>
      <c r="X32" s="217">
        <v>5.035336</v>
      </c>
      <c r="Y32" s="217">
        <v>5.0346060000000001</v>
      </c>
      <c r="Z32" s="217">
        <v>5.0338760000000002</v>
      </c>
      <c r="AA32" s="217">
        <v>5.0331469999999996</v>
      </c>
      <c r="AB32" s="217">
        <v>5.032419</v>
      </c>
      <c r="AC32" s="217">
        <v>5.0316919999999996</v>
      </c>
      <c r="AD32" s="217">
        <v>5.0309650000000001</v>
      </c>
      <c r="AE32" s="217">
        <v>5.0302379999999998</v>
      </c>
      <c r="AF32" s="217">
        <v>5.0295110000000003</v>
      </c>
      <c r="AG32" s="217">
        <v>5.0287850000000001</v>
      </c>
      <c r="AH32" s="210">
        <v>-1.6100000000000001E-4</v>
      </c>
    </row>
    <row r="33" spans="1:34" ht="15" customHeight="1" x14ac:dyDescent="0.3">
      <c r="A33" s="203" t="s">
        <v>367</v>
      </c>
      <c r="B33" s="208" t="s">
        <v>368</v>
      </c>
      <c r="C33" s="217">
        <v>5.0527340000000001</v>
      </c>
      <c r="D33" s="217">
        <v>5.0525440000000001</v>
      </c>
      <c r="E33" s="217">
        <v>5.0523530000000001</v>
      </c>
      <c r="F33" s="217">
        <v>5.0521609999999999</v>
      </c>
      <c r="G33" s="217">
        <v>5.0519689999999997</v>
      </c>
      <c r="H33" s="217">
        <v>5.0507609999999996</v>
      </c>
      <c r="I33" s="217">
        <v>5.0495369999999999</v>
      </c>
      <c r="J33" s="217">
        <v>5.0483130000000003</v>
      </c>
      <c r="K33" s="217">
        <v>5.047091</v>
      </c>
      <c r="L33" s="217">
        <v>5.045871</v>
      </c>
      <c r="M33" s="217">
        <v>5.0446530000000003</v>
      </c>
      <c r="N33" s="217">
        <v>5.0434359999999998</v>
      </c>
      <c r="O33" s="217">
        <v>5.0422209999999996</v>
      </c>
      <c r="P33" s="217">
        <v>5.0410079999999997</v>
      </c>
      <c r="Q33" s="217">
        <v>5.0397959999999999</v>
      </c>
      <c r="R33" s="217">
        <v>5.0385850000000003</v>
      </c>
      <c r="S33" s="217">
        <v>5.0376200000000004</v>
      </c>
      <c r="T33" s="217">
        <v>5.0366559999999998</v>
      </c>
      <c r="U33" s="217">
        <v>5.0356949999999996</v>
      </c>
      <c r="V33" s="217">
        <v>5.0347350000000004</v>
      </c>
      <c r="W33" s="217">
        <v>5.0337769999999997</v>
      </c>
      <c r="X33" s="217">
        <v>5.0329709999999999</v>
      </c>
      <c r="Y33" s="217">
        <v>5.0321670000000003</v>
      </c>
      <c r="Z33" s="217">
        <v>5.0313629999999998</v>
      </c>
      <c r="AA33" s="217">
        <v>5.0305600000000004</v>
      </c>
      <c r="AB33" s="217">
        <v>5.0297590000000003</v>
      </c>
      <c r="AC33" s="217">
        <v>5.0289580000000003</v>
      </c>
      <c r="AD33" s="217">
        <v>5.0281599999999997</v>
      </c>
      <c r="AE33" s="217">
        <v>5.027361</v>
      </c>
      <c r="AF33" s="217">
        <v>5.0265639999999996</v>
      </c>
      <c r="AG33" s="217">
        <v>5.0257670000000001</v>
      </c>
      <c r="AH33" s="210">
        <v>-1.7799999999999999E-4</v>
      </c>
    </row>
    <row r="34" spans="1:34" ht="15" customHeight="1" x14ac:dyDescent="0.3">
      <c r="A34" s="203" t="s">
        <v>369</v>
      </c>
      <c r="B34" s="208" t="s">
        <v>370</v>
      </c>
      <c r="C34" s="217">
        <v>5.0524959999999997</v>
      </c>
      <c r="D34" s="217">
        <v>5.0522939999999998</v>
      </c>
      <c r="E34" s="217">
        <v>5.052092</v>
      </c>
      <c r="F34" s="217">
        <v>5.0518890000000001</v>
      </c>
      <c r="G34" s="217">
        <v>5.0516870000000003</v>
      </c>
      <c r="H34" s="217">
        <v>5.0504350000000002</v>
      </c>
      <c r="I34" s="217">
        <v>5.0491729999999997</v>
      </c>
      <c r="J34" s="217">
        <v>5.0479120000000002</v>
      </c>
      <c r="K34" s="217">
        <v>5.0466509999999998</v>
      </c>
      <c r="L34" s="217">
        <v>5.0453919999999997</v>
      </c>
      <c r="M34" s="217">
        <v>5.0441330000000004</v>
      </c>
      <c r="N34" s="217">
        <v>5.0428759999999997</v>
      </c>
      <c r="O34" s="217">
        <v>5.04162</v>
      </c>
      <c r="P34" s="217">
        <v>5.0403650000000004</v>
      </c>
      <c r="Q34" s="217">
        <v>5.0391120000000003</v>
      </c>
      <c r="R34" s="217">
        <v>5.0378590000000001</v>
      </c>
      <c r="S34" s="217">
        <v>5.0369349999999997</v>
      </c>
      <c r="T34" s="217">
        <v>5.0360110000000002</v>
      </c>
      <c r="U34" s="217">
        <v>5.0350890000000001</v>
      </c>
      <c r="V34" s="217">
        <v>5.0341670000000001</v>
      </c>
      <c r="W34" s="217">
        <v>5.0332470000000002</v>
      </c>
      <c r="X34" s="217">
        <v>5.0324169999999997</v>
      </c>
      <c r="Y34" s="217">
        <v>5.0315890000000003</v>
      </c>
      <c r="Z34" s="217">
        <v>5.030761</v>
      </c>
      <c r="AA34" s="217">
        <v>5.0299329999999998</v>
      </c>
      <c r="AB34" s="217">
        <v>5.0291069999999998</v>
      </c>
      <c r="AC34" s="217">
        <v>5.0282809999999998</v>
      </c>
      <c r="AD34" s="217">
        <v>5.0274570000000001</v>
      </c>
      <c r="AE34" s="217">
        <v>5.0266330000000004</v>
      </c>
      <c r="AF34" s="217">
        <v>5.0258099999999999</v>
      </c>
      <c r="AG34" s="217">
        <v>5.0249870000000003</v>
      </c>
      <c r="AH34" s="210">
        <v>-1.8200000000000001E-4</v>
      </c>
    </row>
    <row r="35" spans="1:34" ht="14.4" x14ac:dyDescent="0.3">
      <c r="A35" s="203" t="s">
        <v>371</v>
      </c>
      <c r="B35" s="208" t="s">
        <v>372</v>
      </c>
      <c r="C35" s="217">
        <v>5.2222799999999996</v>
      </c>
      <c r="D35" s="217">
        <v>5.2222799999999996</v>
      </c>
      <c r="E35" s="217">
        <v>5.2222799999999996</v>
      </c>
      <c r="F35" s="217">
        <v>5.2222799999999996</v>
      </c>
      <c r="G35" s="217">
        <v>5.2222799999999996</v>
      </c>
      <c r="H35" s="217">
        <v>5.2222799999999996</v>
      </c>
      <c r="I35" s="217">
        <v>5.2222799999999996</v>
      </c>
      <c r="J35" s="217">
        <v>5.2222799999999996</v>
      </c>
      <c r="K35" s="217">
        <v>5.2222799999999996</v>
      </c>
      <c r="L35" s="217">
        <v>5.2222799999999996</v>
      </c>
      <c r="M35" s="217">
        <v>5.2222799999999996</v>
      </c>
      <c r="N35" s="217">
        <v>5.2222799999999996</v>
      </c>
      <c r="O35" s="217">
        <v>5.2222799999999996</v>
      </c>
      <c r="P35" s="217">
        <v>5.2222799999999996</v>
      </c>
      <c r="Q35" s="217">
        <v>5.2222799999999996</v>
      </c>
      <c r="R35" s="217">
        <v>5.2222799999999996</v>
      </c>
      <c r="S35" s="217">
        <v>5.2222799999999996</v>
      </c>
      <c r="T35" s="217">
        <v>5.2222799999999996</v>
      </c>
      <c r="U35" s="217">
        <v>5.2222799999999996</v>
      </c>
      <c r="V35" s="217">
        <v>5.2222799999999996</v>
      </c>
      <c r="W35" s="217">
        <v>5.2222799999999996</v>
      </c>
      <c r="X35" s="217">
        <v>5.2222799999999996</v>
      </c>
      <c r="Y35" s="217">
        <v>5.2222799999999996</v>
      </c>
      <c r="Z35" s="217">
        <v>5.2222799999999996</v>
      </c>
      <c r="AA35" s="217">
        <v>5.2222799999999996</v>
      </c>
      <c r="AB35" s="217">
        <v>5.2222799999999996</v>
      </c>
      <c r="AC35" s="217">
        <v>5.2222799999999996</v>
      </c>
      <c r="AD35" s="217">
        <v>5.2222799999999996</v>
      </c>
      <c r="AE35" s="217">
        <v>5.2222799999999996</v>
      </c>
      <c r="AF35" s="217">
        <v>5.2222799999999996</v>
      </c>
      <c r="AG35" s="217">
        <v>5.2222799999999996</v>
      </c>
      <c r="AH35" s="210">
        <v>0</v>
      </c>
    </row>
    <row r="36" spans="1:34" ht="14.4" x14ac:dyDescent="0.3">
      <c r="A36" s="203" t="s">
        <v>373</v>
      </c>
      <c r="B36" s="208" t="s">
        <v>374</v>
      </c>
      <c r="C36" s="217">
        <v>5.2222799999999996</v>
      </c>
      <c r="D36" s="217">
        <v>5.2222799999999996</v>
      </c>
      <c r="E36" s="217">
        <v>5.2222799999999996</v>
      </c>
      <c r="F36" s="217">
        <v>5.2222799999999996</v>
      </c>
      <c r="G36" s="217">
        <v>5.2222799999999996</v>
      </c>
      <c r="H36" s="217">
        <v>5.2222799999999996</v>
      </c>
      <c r="I36" s="217">
        <v>5.2222799999999996</v>
      </c>
      <c r="J36" s="217">
        <v>5.2222799999999996</v>
      </c>
      <c r="K36" s="217">
        <v>5.2222799999999996</v>
      </c>
      <c r="L36" s="217">
        <v>5.2222799999999996</v>
      </c>
      <c r="M36" s="217">
        <v>5.2222799999999996</v>
      </c>
      <c r="N36" s="217">
        <v>5.2222799999999996</v>
      </c>
      <c r="O36" s="217">
        <v>5.2222799999999996</v>
      </c>
      <c r="P36" s="217">
        <v>5.2222799999999996</v>
      </c>
      <c r="Q36" s="217">
        <v>5.2222799999999996</v>
      </c>
      <c r="R36" s="217">
        <v>5.2222799999999996</v>
      </c>
      <c r="S36" s="217">
        <v>5.2222799999999996</v>
      </c>
      <c r="T36" s="217">
        <v>5.2222799999999996</v>
      </c>
      <c r="U36" s="217">
        <v>5.2222799999999996</v>
      </c>
      <c r="V36" s="217">
        <v>5.2222799999999996</v>
      </c>
      <c r="W36" s="217">
        <v>5.2222799999999996</v>
      </c>
      <c r="X36" s="217">
        <v>5.2222799999999996</v>
      </c>
      <c r="Y36" s="217">
        <v>5.2222799999999996</v>
      </c>
      <c r="Z36" s="217">
        <v>5.2222799999999996</v>
      </c>
      <c r="AA36" s="217">
        <v>5.2222799999999996</v>
      </c>
      <c r="AB36" s="217">
        <v>5.2222799999999996</v>
      </c>
      <c r="AC36" s="217">
        <v>5.2222799999999996</v>
      </c>
      <c r="AD36" s="217">
        <v>5.2222799999999996</v>
      </c>
      <c r="AE36" s="217">
        <v>5.2222799999999996</v>
      </c>
      <c r="AF36" s="217">
        <v>5.2222799999999996</v>
      </c>
      <c r="AG36" s="217">
        <v>5.2222799999999996</v>
      </c>
      <c r="AH36" s="210">
        <v>0</v>
      </c>
    </row>
    <row r="37" spans="1:34" ht="14.4" x14ac:dyDescent="0.3">
      <c r="A37" s="203" t="s">
        <v>375</v>
      </c>
      <c r="B37" s="208" t="s">
        <v>376</v>
      </c>
      <c r="C37" s="217">
        <v>4.6379999999999999</v>
      </c>
      <c r="D37" s="217">
        <v>4.6379999999999999</v>
      </c>
      <c r="E37" s="217">
        <v>4.6379999999999999</v>
      </c>
      <c r="F37" s="217">
        <v>4.6379999999999999</v>
      </c>
      <c r="G37" s="217">
        <v>4.6379999999999999</v>
      </c>
      <c r="H37" s="217">
        <v>4.6379999999999999</v>
      </c>
      <c r="I37" s="217">
        <v>4.6379999999999999</v>
      </c>
      <c r="J37" s="217">
        <v>4.6379999999999999</v>
      </c>
      <c r="K37" s="217">
        <v>4.6379999999999999</v>
      </c>
      <c r="L37" s="217">
        <v>4.6379999999999999</v>
      </c>
      <c r="M37" s="217">
        <v>4.6379999999999999</v>
      </c>
      <c r="N37" s="217">
        <v>4.6379999999999999</v>
      </c>
      <c r="O37" s="217">
        <v>4.6379999999999999</v>
      </c>
      <c r="P37" s="217">
        <v>4.6379999999999999</v>
      </c>
      <c r="Q37" s="217">
        <v>4.6379999999999999</v>
      </c>
      <c r="R37" s="217">
        <v>4.6379999999999999</v>
      </c>
      <c r="S37" s="217">
        <v>4.6379999999999999</v>
      </c>
      <c r="T37" s="217">
        <v>4.6379999999999999</v>
      </c>
      <c r="U37" s="217">
        <v>4.6379999999999999</v>
      </c>
      <c r="V37" s="217">
        <v>4.6379999999999999</v>
      </c>
      <c r="W37" s="217">
        <v>4.6379999999999999</v>
      </c>
      <c r="X37" s="217">
        <v>4.6379999999999999</v>
      </c>
      <c r="Y37" s="217">
        <v>4.6379999999999999</v>
      </c>
      <c r="Z37" s="217">
        <v>4.6379999999999999</v>
      </c>
      <c r="AA37" s="217">
        <v>4.6379999999999999</v>
      </c>
      <c r="AB37" s="217">
        <v>4.6379999999999999</v>
      </c>
      <c r="AC37" s="217">
        <v>4.6379999999999999</v>
      </c>
      <c r="AD37" s="217">
        <v>4.6379999999999999</v>
      </c>
      <c r="AE37" s="217">
        <v>4.6379999999999999</v>
      </c>
      <c r="AF37" s="217">
        <v>4.6379999999999999</v>
      </c>
      <c r="AG37" s="217">
        <v>4.6379999999999999</v>
      </c>
      <c r="AH37" s="210">
        <v>0</v>
      </c>
    </row>
    <row r="38" spans="1:34" ht="14.4" x14ac:dyDescent="0.3">
      <c r="A38" s="203" t="s">
        <v>377</v>
      </c>
      <c r="B38" s="208" t="s">
        <v>378</v>
      </c>
      <c r="C38" s="217">
        <v>5.8</v>
      </c>
      <c r="D38" s="217">
        <v>5.8</v>
      </c>
      <c r="E38" s="217">
        <v>5.8</v>
      </c>
      <c r="F38" s="217">
        <v>5.8</v>
      </c>
      <c r="G38" s="217">
        <v>5.8</v>
      </c>
      <c r="H38" s="217">
        <v>5.8</v>
      </c>
      <c r="I38" s="217">
        <v>5.8</v>
      </c>
      <c r="J38" s="217">
        <v>5.8</v>
      </c>
      <c r="K38" s="217">
        <v>5.8</v>
      </c>
      <c r="L38" s="217">
        <v>5.8</v>
      </c>
      <c r="M38" s="217">
        <v>5.8</v>
      </c>
      <c r="N38" s="217">
        <v>5.8</v>
      </c>
      <c r="O38" s="217">
        <v>5.8</v>
      </c>
      <c r="P38" s="217">
        <v>5.8</v>
      </c>
      <c r="Q38" s="217">
        <v>5.8</v>
      </c>
      <c r="R38" s="217">
        <v>5.8</v>
      </c>
      <c r="S38" s="217">
        <v>5.8</v>
      </c>
      <c r="T38" s="217">
        <v>5.8</v>
      </c>
      <c r="U38" s="217">
        <v>5.8</v>
      </c>
      <c r="V38" s="217">
        <v>5.8</v>
      </c>
      <c r="W38" s="217">
        <v>5.8</v>
      </c>
      <c r="X38" s="217">
        <v>5.8</v>
      </c>
      <c r="Y38" s="217">
        <v>5.8</v>
      </c>
      <c r="Z38" s="217">
        <v>5.8</v>
      </c>
      <c r="AA38" s="217">
        <v>5.8</v>
      </c>
      <c r="AB38" s="217">
        <v>5.8</v>
      </c>
      <c r="AC38" s="217">
        <v>5.8</v>
      </c>
      <c r="AD38" s="217">
        <v>5.8</v>
      </c>
      <c r="AE38" s="217">
        <v>5.8</v>
      </c>
      <c r="AF38" s="217">
        <v>5.8</v>
      </c>
      <c r="AG38" s="217">
        <v>5.8</v>
      </c>
      <c r="AH38" s="210">
        <v>0</v>
      </c>
    </row>
    <row r="39" spans="1:34" ht="14.4" x14ac:dyDescent="0.3">
      <c r="A39" s="203" t="s">
        <v>379</v>
      </c>
      <c r="B39" s="208" t="s">
        <v>380</v>
      </c>
      <c r="C39" s="217">
        <v>5.448283</v>
      </c>
      <c r="D39" s="217">
        <v>5.448283</v>
      </c>
      <c r="E39" s="217">
        <v>5.448283</v>
      </c>
      <c r="F39" s="217">
        <v>5.448283</v>
      </c>
      <c r="G39" s="217">
        <v>5.448283</v>
      </c>
      <c r="H39" s="217">
        <v>5.448283</v>
      </c>
      <c r="I39" s="217">
        <v>5.448283</v>
      </c>
      <c r="J39" s="217">
        <v>5.448283</v>
      </c>
      <c r="K39" s="217">
        <v>5.448283</v>
      </c>
      <c r="L39" s="217">
        <v>5.448283</v>
      </c>
      <c r="M39" s="217">
        <v>5.448283</v>
      </c>
      <c r="N39" s="217">
        <v>5.448283</v>
      </c>
      <c r="O39" s="217">
        <v>5.448283</v>
      </c>
      <c r="P39" s="217">
        <v>5.448283</v>
      </c>
      <c r="Q39" s="217">
        <v>5.448283</v>
      </c>
      <c r="R39" s="217">
        <v>5.448283</v>
      </c>
      <c r="S39" s="217">
        <v>5.448283</v>
      </c>
      <c r="T39" s="217">
        <v>5.448283</v>
      </c>
      <c r="U39" s="217">
        <v>5.448283</v>
      </c>
      <c r="V39" s="217">
        <v>5.448283</v>
      </c>
      <c r="W39" s="217">
        <v>5.448283</v>
      </c>
      <c r="X39" s="217">
        <v>5.448283</v>
      </c>
      <c r="Y39" s="217">
        <v>5.448283</v>
      </c>
      <c r="Z39" s="217">
        <v>5.448283</v>
      </c>
      <c r="AA39" s="217">
        <v>5.448283</v>
      </c>
      <c r="AB39" s="217">
        <v>5.448283</v>
      </c>
      <c r="AC39" s="217">
        <v>5.448283</v>
      </c>
      <c r="AD39" s="217">
        <v>5.448283</v>
      </c>
      <c r="AE39" s="217">
        <v>5.448283</v>
      </c>
      <c r="AF39" s="217">
        <v>5.448283</v>
      </c>
      <c r="AG39" s="217">
        <v>5.448283</v>
      </c>
      <c r="AH39" s="210">
        <v>0</v>
      </c>
    </row>
    <row r="40" spans="1:34" ht="14.4" x14ac:dyDescent="0.3">
      <c r="A40" s="203" t="s">
        <v>381</v>
      </c>
      <c r="B40" s="208" t="s">
        <v>382</v>
      </c>
      <c r="C40" s="217">
        <v>6.2869999999999999</v>
      </c>
      <c r="D40" s="217">
        <v>6.2869999999999999</v>
      </c>
      <c r="E40" s="217">
        <v>6.2869999999999999</v>
      </c>
      <c r="F40" s="217">
        <v>6.2869999999999999</v>
      </c>
      <c r="G40" s="217">
        <v>6.2869999999999999</v>
      </c>
      <c r="H40" s="217">
        <v>6.2869999999999999</v>
      </c>
      <c r="I40" s="217">
        <v>6.2869999999999999</v>
      </c>
      <c r="J40" s="217">
        <v>6.2869999999999999</v>
      </c>
      <c r="K40" s="217">
        <v>6.2869999999999999</v>
      </c>
      <c r="L40" s="217">
        <v>6.2869999999999999</v>
      </c>
      <c r="M40" s="217">
        <v>6.2869999999999999</v>
      </c>
      <c r="N40" s="217">
        <v>6.2869999999999999</v>
      </c>
      <c r="O40" s="217">
        <v>6.2869999999999999</v>
      </c>
      <c r="P40" s="217">
        <v>6.2869999999999999</v>
      </c>
      <c r="Q40" s="217">
        <v>6.2869999999999999</v>
      </c>
      <c r="R40" s="217">
        <v>6.2869999999999999</v>
      </c>
      <c r="S40" s="217">
        <v>6.2869999999999999</v>
      </c>
      <c r="T40" s="217">
        <v>6.2869999999999999</v>
      </c>
      <c r="U40" s="217">
        <v>6.2869999999999999</v>
      </c>
      <c r="V40" s="217">
        <v>6.2869999999999999</v>
      </c>
      <c r="W40" s="217">
        <v>6.2869999999999999</v>
      </c>
      <c r="X40" s="217">
        <v>6.2869999999999999</v>
      </c>
      <c r="Y40" s="217">
        <v>6.2869999999999999</v>
      </c>
      <c r="Z40" s="217">
        <v>6.2869999999999999</v>
      </c>
      <c r="AA40" s="217">
        <v>6.2869999999999999</v>
      </c>
      <c r="AB40" s="217">
        <v>6.2869999999999999</v>
      </c>
      <c r="AC40" s="217">
        <v>6.2869999999999999</v>
      </c>
      <c r="AD40" s="217">
        <v>6.2869999999999999</v>
      </c>
      <c r="AE40" s="217">
        <v>6.2869999999999999</v>
      </c>
      <c r="AF40" s="217">
        <v>6.2869999999999999</v>
      </c>
      <c r="AG40" s="217">
        <v>6.2869999999999999</v>
      </c>
      <c r="AH40" s="210">
        <v>0</v>
      </c>
    </row>
    <row r="41" spans="1:34" ht="14.4" x14ac:dyDescent="0.3">
      <c r="A41" s="203" t="s">
        <v>383</v>
      </c>
      <c r="B41" s="208" t="s">
        <v>384</v>
      </c>
      <c r="C41" s="217">
        <v>6.2869999999999999</v>
      </c>
      <c r="D41" s="217">
        <v>6.2869999999999999</v>
      </c>
      <c r="E41" s="217">
        <v>6.2869999999999999</v>
      </c>
      <c r="F41" s="217">
        <v>6.2869999999999999</v>
      </c>
      <c r="G41" s="217">
        <v>6.2869999999999999</v>
      </c>
      <c r="H41" s="217">
        <v>6.2869999999999999</v>
      </c>
      <c r="I41" s="217">
        <v>6.2869999999999999</v>
      </c>
      <c r="J41" s="217">
        <v>6.2869999999999999</v>
      </c>
      <c r="K41" s="217">
        <v>6.2869999999999999</v>
      </c>
      <c r="L41" s="217">
        <v>6.2869999999999999</v>
      </c>
      <c r="M41" s="217">
        <v>6.2869999999999999</v>
      </c>
      <c r="N41" s="217">
        <v>6.2869999999999999</v>
      </c>
      <c r="O41" s="217">
        <v>6.2869999999999999</v>
      </c>
      <c r="P41" s="217">
        <v>6.2869999999999999</v>
      </c>
      <c r="Q41" s="217">
        <v>6.2869999999999999</v>
      </c>
      <c r="R41" s="217">
        <v>6.2869999999999999</v>
      </c>
      <c r="S41" s="217">
        <v>6.2869999999999999</v>
      </c>
      <c r="T41" s="217">
        <v>6.2869999999999999</v>
      </c>
      <c r="U41" s="217">
        <v>6.2869999999999999</v>
      </c>
      <c r="V41" s="217">
        <v>6.2869999999999999</v>
      </c>
      <c r="W41" s="217">
        <v>6.2869999999999999</v>
      </c>
      <c r="X41" s="217">
        <v>6.2869999999999999</v>
      </c>
      <c r="Y41" s="217">
        <v>6.2869999999999999</v>
      </c>
      <c r="Z41" s="217">
        <v>6.2869999999999999</v>
      </c>
      <c r="AA41" s="217">
        <v>6.2869999999999999</v>
      </c>
      <c r="AB41" s="217">
        <v>6.2869999999999999</v>
      </c>
      <c r="AC41" s="217">
        <v>6.2869999999999999</v>
      </c>
      <c r="AD41" s="217">
        <v>6.2869999999999999</v>
      </c>
      <c r="AE41" s="217">
        <v>6.2869999999999999</v>
      </c>
      <c r="AF41" s="217">
        <v>6.2869999999999999</v>
      </c>
      <c r="AG41" s="217">
        <v>6.2869999999999999</v>
      </c>
      <c r="AH41" s="210">
        <v>0</v>
      </c>
    </row>
    <row r="42" spans="1:34" ht="14.4" x14ac:dyDescent="0.3">
      <c r="A42" s="203" t="s">
        <v>385</v>
      </c>
      <c r="B42" s="208" t="s">
        <v>386</v>
      </c>
      <c r="C42" s="217">
        <v>6.2869999999999999</v>
      </c>
      <c r="D42" s="217">
        <v>6.2869999999999999</v>
      </c>
      <c r="E42" s="217">
        <v>6.2869999999999999</v>
      </c>
      <c r="F42" s="217">
        <v>6.2869999999999999</v>
      </c>
      <c r="G42" s="217">
        <v>6.2869999999999999</v>
      </c>
      <c r="H42" s="217">
        <v>6.2869999999999999</v>
      </c>
      <c r="I42" s="217">
        <v>6.2869999999999999</v>
      </c>
      <c r="J42" s="217">
        <v>6.2869999999999999</v>
      </c>
      <c r="K42" s="217">
        <v>6.2869999999999999</v>
      </c>
      <c r="L42" s="217">
        <v>6.2869999999999999</v>
      </c>
      <c r="M42" s="217">
        <v>6.2869999999999999</v>
      </c>
      <c r="N42" s="217">
        <v>6.2869999999999999</v>
      </c>
      <c r="O42" s="217">
        <v>6.2869999999999999</v>
      </c>
      <c r="P42" s="217">
        <v>6.2869999999999999</v>
      </c>
      <c r="Q42" s="217">
        <v>6.2869999999999999</v>
      </c>
      <c r="R42" s="217">
        <v>6.2869999999999999</v>
      </c>
      <c r="S42" s="217">
        <v>6.2869999999999999</v>
      </c>
      <c r="T42" s="217">
        <v>6.2869999999999999</v>
      </c>
      <c r="U42" s="217">
        <v>6.2869999999999999</v>
      </c>
      <c r="V42" s="217">
        <v>6.2869999999999999</v>
      </c>
      <c r="W42" s="217">
        <v>6.2869999999999999</v>
      </c>
      <c r="X42" s="217">
        <v>6.2869999999999999</v>
      </c>
      <c r="Y42" s="217">
        <v>6.2869999999999999</v>
      </c>
      <c r="Z42" s="217">
        <v>6.2869999999999999</v>
      </c>
      <c r="AA42" s="217">
        <v>6.2869999999999999</v>
      </c>
      <c r="AB42" s="217">
        <v>6.2869999999999999</v>
      </c>
      <c r="AC42" s="217">
        <v>6.2869999999999999</v>
      </c>
      <c r="AD42" s="217">
        <v>6.2869999999999999</v>
      </c>
      <c r="AE42" s="217">
        <v>6.2869999999999999</v>
      </c>
      <c r="AF42" s="217">
        <v>6.2869999999999999</v>
      </c>
      <c r="AG42" s="217">
        <v>6.2869999999999999</v>
      </c>
      <c r="AH42" s="210">
        <v>0</v>
      </c>
    </row>
    <row r="43" spans="1:34" ht="14.4" x14ac:dyDescent="0.3">
      <c r="A43" s="203" t="s">
        <v>387</v>
      </c>
      <c r="B43" s="208" t="s">
        <v>388</v>
      </c>
      <c r="C43" s="217">
        <v>6.1937170000000004</v>
      </c>
      <c r="D43" s="217">
        <v>6.1870839999999996</v>
      </c>
      <c r="E43" s="217">
        <v>6.1889349999999999</v>
      </c>
      <c r="F43" s="217">
        <v>6.190842</v>
      </c>
      <c r="G43" s="217">
        <v>6.1928010000000002</v>
      </c>
      <c r="H43" s="217">
        <v>6.1635160000000004</v>
      </c>
      <c r="I43" s="217">
        <v>6.1548160000000003</v>
      </c>
      <c r="J43" s="217">
        <v>6.1558929999999998</v>
      </c>
      <c r="K43" s="217">
        <v>6.1574730000000004</v>
      </c>
      <c r="L43" s="217">
        <v>6.1634779999999996</v>
      </c>
      <c r="M43" s="217">
        <v>6.164034</v>
      </c>
      <c r="N43" s="217">
        <v>6.1651040000000004</v>
      </c>
      <c r="O43" s="217">
        <v>6.166696</v>
      </c>
      <c r="P43" s="217">
        <v>6.1677819999999999</v>
      </c>
      <c r="Q43" s="217">
        <v>6.168355</v>
      </c>
      <c r="R43" s="217">
        <v>6.1694529999999999</v>
      </c>
      <c r="S43" s="217">
        <v>6.1705579999999998</v>
      </c>
      <c r="T43" s="217">
        <v>6.1687089999999998</v>
      </c>
      <c r="U43" s="217">
        <v>6.1696900000000001</v>
      </c>
      <c r="V43" s="217">
        <v>6.173915</v>
      </c>
      <c r="W43" s="217">
        <v>6.1750489999999996</v>
      </c>
      <c r="X43" s="217">
        <v>6.1730780000000003</v>
      </c>
      <c r="Y43" s="217">
        <v>6.1748000000000003</v>
      </c>
      <c r="Z43" s="217">
        <v>6.1789620000000003</v>
      </c>
      <c r="AA43" s="217">
        <v>6.180129</v>
      </c>
      <c r="AB43" s="217">
        <v>6.1813029999999998</v>
      </c>
      <c r="AC43" s="217">
        <v>6.1824849999999998</v>
      </c>
      <c r="AD43" s="217">
        <v>6.1836760000000002</v>
      </c>
      <c r="AE43" s="217">
        <v>6.1848739999999998</v>
      </c>
      <c r="AF43" s="217">
        <v>6.1860799999999996</v>
      </c>
      <c r="AG43" s="217">
        <v>6.1872939999999996</v>
      </c>
      <c r="AH43" s="210">
        <v>-3.4999999999999997E-5</v>
      </c>
    </row>
    <row r="44" spans="1:34" ht="14.4" x14ac:dyDescent="0.3">
      <c r="A44" s="203" t="s">
        <v>389</v>
      </c>
      <c r="B44" s="208" t="s">
        <v>390</v>
      </c>
      <c r="C44" s="217">
        <v>5.0911869999999997</v>
      </c>
      <c r="D44" s="217">
        <v>4.8991090000000002</v>
      </c>
      <c r="E44" s="217">
        <v>5.0365359999999999</v>
      </c>
      <c r="F44" s="217">
        <v>5.0307719999999998</v>
      </c>
      <c r="G44" s="217">
        <v>5.0215319999999997</v>
      </c>
      <c r="H44" s="217">
        <v>5.0132149999999998</v>
      </c>
      <c r="I44" s="217">
        <v>5.0076020000000003</v>
      </c>
      <c r="J44" s="217">
        <v>5.0032880000000004</v>
      </c>
      <c r="K44" s="217">
        <v>4.9983659999999999</v>
      </c>
      <c r="L44" s="217">
        <v>4.9932129999999999</v>
      </c>
      <c r="M44" s="217">
        <v>4.9874320000000001</v>
      </c>
      <c r="N44" s="217">
        <v>4.9809219999999996</v>
      </c>
      <c r="O44" s="217">
        <v>4.9769540000000001</v>
      </c>
      <c r="P44" s="217">
        <v>4.9723170000000003</v>
      </c>
      <c r="Q44" s="217">
        <v>4.9677410000000002</v>
      </c>
      <c r="R44" s="217">
        <v>4.9651949999999996</v>
      </c>
      <c r="S44" s="217">
        <v>4.9650949999999998</v>
      </c>
      <c r="T44" s="217">
        <v>4.9641000000000002</v>
      </c>
      <c r="U44" s="217">
        <v>4.9627290000000004</v>
      </c>
      <c r="V44" s="217">
        <v>4.9615960000000001</v>
      </c>
      <c r="W44" s="217">
        <v>4.9608759999999998</v>
      </c>
      <c r="X44" s="217">
        <v>4.962008</v>
      </c>
      <c r="Y44" s="217">
        <v>4.960121</v>
      </c>
      <c r="Z44" s="217">
        <v>4.9584799999999998</v>
      </c>
      <c r="AA44" s="217">
        <v>4.9579019999999998</v>
      </c>
      <c r="AB44" s="217">
        <v>4.9585179999999998</v>
      </c>
      <c r="AC44" s="217">
        <v>4.9594319999999996</v>
      </c>
      <c r="AD44" s="217">
        <v>4.9609680000000003</v>
      </c>
      <c r="AE44" s="217">
        <v>4.9618460000000004</v>
      </c>
      <c r="AF44" s="217">
        <v>4.9606079999999997</v>
      </c>
      <c r="AG44" s="217">
        <v>4.9599630000000001</v>
      </c>
      <c r="AH44" s="210">
        <v>-8.7000000000000001E-4</v>
      </c>
    </row>
    <row r="45" spans="1:34" ht="14.4" x14ac:dyDescent="0.3">
      <c r="A45" s="203" t="s">
        <v>391</v>
      </c>
      <c r="B45" s="208" t="s">
        <v>392</v>
      </c>
      <c r="C45" s="217">
        <v>5.8806159999999998</v>
      </c>
      <c r="D45" s="217">
        <v>5.8747809999999996</v>
      </c>
      <c r="E45" s="217">
        <v>5.8317769999999998</v>
      </c>
      <c r="F45" s="217">
        <v>5.8231700000000002</v>
      </c>
      <c r="G45" s="217">
        <v>5.8237290000000002</v>
      </c>
      <c r="H45" s="217">
        <v>5.796284</v>
      </c>
      <c r="I45" s="217">
        <v>5.8008009999999999</v>
      </c>
      <c r="J45" s="217">
        <v>5.8114939999999997</v>
      </c>
      <c r="K45" s="217">
        <v>5.8192380000000004</v>
      </c>
      <c r="L45" s="217">
        <v>5.8271129999999998</v>
      </c>
      <c r="M45" s="217">
        <v>5.8345969999999996</v>
      </c>
      <c r="N45" s="217">
        <v>5.83765</v>
      </c>
      <c r="O45" s="217">
        <v>5.8429169999999999</v>
      </c>
      <c r="P45" s="217">
        <v>5.8479840000000003</v>
      </c>
      <c r="Q45" s="217">
        <v>5.8479140000000003</v>
      </c>
      <c r="R45" s="217">
        <v>5.8538829999999997</v>
      </c>
      <c r="S45" s="217">
        <v>5.8510960000000001</v>
      </c>
      <c r="T45" s="217">
        <v>5.8484639999999999</v>
      </c>
      <c r="U45" s="217">
        <v>5.8488680000000004</v>
      </c>
      <c r="V45" s="217">
        <v>5.8539459999999996</v>
      </c>
      <c r="W45" s="217">
        <v>5.8537850000000002</v>
      </c>
      <c r="X45" s="217">
        <v>5.8538209999999999</v>
      </c>
      <c r="Y45" s="217">
        <v>5.8522949999999998</v>
      </c>
      <c r="Z45" s="217">
        <v>5.8523420000000002</v>
      </c>
      <c r="AA45" s="217">
        <v>5.8499569999999999</v>
      </c>
      <c r="AB45" s="217">
        <v>5.8513679999999999</v>
      </c>
      <c r="AC45" s="217">
        <v>5.8484379999999998</v>
      </c>
      <c r="AD45" s="217">
        <v>5.8439860000000001</v>
      </c>
      <c r="AE45" s="217">
        <v>5.838711</v>
      </c>
      <c r="AF45" s="217">
        <v>5.8351050000000004</v>
      </c>
      <c r="AG45" s="217">
        <v>5.8330859999999998</v>
      </c>
      <c r="AH45" s="210">
        <v>-2.7E-4</v>
      </c>
    </row>
    <row r="46" spans="1:34" ht="14.4" x14ac:dyDescent="0.3">
      <c r="A46" s="203" t="s">
        <v>393</v>
      </c>
      <c r="B46" s="208" t="s">
        <v>394</v>
      </c>
      <c r="C46" s="217">
        <v>5.2089020000000001</v>
      </c>
      <c r="D46" s="217">
        <v>5.2332590000000003</v>
      </c>
      <c r="E46" s="217">
        <v>5.2480219999999997</v>
      </c>
      <c r="F46" s="217">
        <v>5.2553369999999999</v>
      </c>
      <c r="G46" s="217">
        <v>5.2843359999999997</v>
      </c>
      <c r="H46" s="217">
        <v>5.2845849999999999</v>
      </c>
      <c r="I46" s="217">
        <v>5.2936829999999997</v>
      </c>
      <c r="J46" s="217">
        <v>5.2957789999999996</v>
      </c>
      <c r="K46" s="217">
        <v>5.3046860000000002</v>
      </c>
      <c r="L46" s="217">
        <v>5.3053819999999998</v>
      </c>
      <c r="M46" s="217">
        <v>5.288252</v>
      </c>
      <c r="N46" s="217">
        <v>5.3071330000000003</v>
      </c>
      <c r="O46" s="217">
        <v>5.3175819999999998</v>
      </c>
      <c r="P46" s="217">
        <v>5.3249709999999997</v>
      </c>
      <c r="Q46" s="217">
        <v>5.329218</v>
      </c>
      <c r="R46" s="217">
        <v>5.340077</v>
      </c>
      <c r="S46" s="217">
        <v>5.3411020000000002</v>
      </c>
      <c r="T46" s="217">
        <v>5.3503629999999998</v>
      </c>
      <c r="U46" s="217">
        <v>5.3514189999999999</v>
      </c>
      <c r="V46" s="217">
        <v>5.3476629999999998</v>
      </c>
      <c r="W46" s="217">
        <v>5.3410859999999998</v>
      </c>
      <c r="X46" s="217">
        <v>5.3426549999999997</v>
      </c>
      <c r="Y46" s="217">
        <v>5.3412980000000001</v>
      </c>
      <c r="Z46" s="217">
        <v>5.3334409999999997</v>
      </c>
      <c r="AA46" s="217">
        <v>5.3258299999999998</v>
      </c>
      <c r="AB46" s="217">
        <v>5.3258479999999997</v>
      </c>
      <c r="AC46" s="217">
        <v>5.3243359999999997</v>
      </c>
      <c r="AD46" s="217">
        <v>5.3318120000000002</v>
      </c>
      <c r="AE46" s="217">
        <v>5.3375360000000001</v>
      </c>
      <c r="AF46" s="217">
        <v>5.3371649999999997</v>
      </c>
      <c r="AG46" s="217">
        <v>5.3419569999999998</v>
      </c>
      <c r="AH46" s="210">
        <v>8.4099999999999995E-4</v>
      </c>
    </row>
    <row r="47" spans="1:34" ht="14.4" x14ac:dyDescent="0.3">
      <c r="B47" s="207" t="s">
        <v>395</v>
      </c>
    </row>
    <row r="48" spans="1:34" ht="14.4" x14ac:dyDescent="0.3">
      <c r="A48" s="203" t="s">
        <v>396</v>
      </c>
      <c r="B48" s="208" t="s">
        <v>397</v>
      </c>
      <c r="C48" s="217">
        <v>5.7012580000000002</v>
      </c>
      <c r="D48" s="217">
        <v>5.7052870000000002</v>
      </c>
      <c r="E48" s="217">
        <v>5.6982419999999996</v>
      </c>
      <c r="F48" s="217">
        <v>5.690741</v>
      </c>
      <c r="G48" s="217">
        <v>5.6862170000000001</v>
      </c>
      <c r="H48" s="217">
        <v>5.6803970000000001</v>
      </c>
      <c r="I48" s="217">
        <v>5.6794820000000001</v>
      </c>
      <c r="J48" s="217">
        <v>5.6802349999999997</v>
      </c>
      <c r="K48" s="217">
        <v>5.6824669999999999</v>
      </c>
      <c r="L48" s="217">
        <v>5.6831519999999998</v>
      </c>
      <c r="M48" s="217">
        <v>5.6855320000000003</v>
      </c>
      <c r="N48" s="217">
        <v>5.6868350000000003</v>
      </c>
      <c r="O48" s="217">
        <v>5.6862810000000001</v>
      </c>
      <c r="P48" s="217">
        <v>5.6884969999999999</v>
      </c>
      <c r="Q48" s="217">
        <v>5.6890989999999997</v>
      </c>
      <c r="R48" s="217">
        <v>5.6879489999999997</v>
      </c>
      <c r="S48" s="217">
        <v>5.6848939999999999</v>
      </c>
      <c r="T48" s="217">
        <v>5.68398</v>
      </c>
      <c r="U48" s="217">
        <v>5.68161</v>
      </c>
      <c r="V48" s="217">
        <v>5.6804550000000003</v>
      </c>
      <c r="W48" s="217">
        <v>5.6786960000000004</v>
      </c>
      <c r="X48" s="217">
        <v>5.677988</v>
      </c>
      <c r="Y48" s="217">
        <v>5.6784020000000002</v>
      </c>
      <c r="Z48" s="217">
        <v>5.6789630000000004</v>
      </c>
      <c r="AA48" s="217">
        <v>5.6789009999999998</v>
      </c>
      <c r="AB48" s="217">
        <v>5.6754790000000002</v>
      </c>
      <c r="AC48" s="217">
        <v>5.6778719999999998</v>
      </c>
      <c r="AD48" s="217">
        <v>5.6785940000000004</v>
      </c>
      <c r="AE48" s="217">
        <v>5.6764460000000003</v>
      </c>
      <c r="AF48" s="217">
        <v>5.6738569999999999</v>
      </c>
      <c r="AG48" s="217">
        <v>5.669861</v>
      </c>
      <c r="AH48" s="210">
        <v>-1.84E-4</v>
      </c>
    </row>
    <row r="49" spans="1:34" ht="14.4" x14ac:dyDescent="0.3">
      <c r="A49" s="203" t="s">
        <v>398</v>
      </c>
      <c r="B49" s="208" t="s">
        <v>399</v>
      </c>
      <c r="C49" s="217">
        <v>6.0850910000000002</v>
      </c>
      <c r="D49" s="217">
        <v>6.0664559999999996</v>
      </c>
      <c r="E49" s="217">
        <v>6.068346</v>
      </c>
      <c r="F49" s="217">
        <v>6.0689039999999999</v>
      </c>
      <c r="G49" s="217">
        <v>6.068149</v>
      </c>
      <c r="H49" s="217">
        <v>6.0706020000000001</v>
      </c>
      <c r="I49" s="217">
        <v>6.0877980000000003</v>
      </c>
      <c r="J49" s="217">
        <v>6.0870980000000001</v>
      </c>
      <c r="K49" s="217">
        <v>6.0939500000000004</v>
      </c>
      <c r="L49" s="217">
        <v>6.0917279999999998</v>
      </c>
      <c r="M49" s="217">
        <v>6.0872539999999997</v>
      </c>
      <c r="N49" s="217">
        <v>6.0934569999999999</v>
      </c>
      <c r="O49" s="217">
        <v>6.1030110000000004</v>
      </c>
      <c r="P49" s="217">
        <v>6.1040299999999998</v>
      </c>
      <c r="Q49" s="217">
        <v>6.1104260000000004</v>
      </c>
      <c r="R49" s="217">
        <v>6.1103639999999997</v>
      </c>
      <c r="S49" s="217">
        <v>6.1139349999999997</v>
      </c>
      <c r="T49" s="217">
        <v>6.127923</v>
      </c>
      <c r="U49" s="217">
        <v>6.1267490000000002</v>
      </c>
      <c r="V49" s="217">
        <v>6.1262309999999998</v>
      </c>
      <c r="W49" s="217">
        <v>6.1213369999999996</v>
      </c>
      <c r="X49" s="217">
        <v>6.1213699999999998</v>
      </c>
      <c r="Y49" s="217">
        <v>6.1185340000000004</v>
      </c>
      <c r="Z49" s="217">
        <v>6.1087379999999998</v>
      </c>
      <c r="AA49" s="217">
        <v>6.1085469999999997</v>
      </c>
      <c r="AB49" s="217">
        <v>6.1102720000000001</v>
      </c>
      <c r="AC49" s="217">
        <v>6.1070500000000001</v>
      </c>
      <c r="AD49" s="217">
        <v>6.1077029999999999</v>
      </c>
      <c r="AE49" s="217">
        <v>6.109305</v>
      </c>
      <c r="AF49" s="217">
        <v>6.1080399999999999</v>
      </c>
      <c r="AG49" s="217">
        <v>6.1168779999999998</v>
      </c>
      <c r="AH49" s="210">
        <v>1.74E-4</v>
      </c>
    </row>
    <row r="50" spans="1:34" ht="15" customHeight="1" x14ac:dyDescent="0.3">
      <c r="A50" s="203" t="s">
        <v>400</v>
      </c>
      <c r="B50" s="208" t="s">
        <v>401</v>
      </c>
      <c r="C50" s="217">
        <v>5.5866829999999998</v>
      </c>
      <c r="D50" s="217">
        <v>5.5966930000000001</v>
      </c>
      <c r="E50" s="217">
        <v>5.5962420000000002</v>
      </c>
      <c r="F50" s="217">
        <v>5.5959070000000004</v>
      </c>
      <c r="G50" s="217">
        <v>5.5952450000000002</v>
      </c>
      <c r="H50" s="217">
        <v>5.5951810000000002</v>
      </c>
      <c r="I50" s="217">
        <v>5.5846030000000004</v>
      </c>
      <c r="J50" s="217">
        <v>5.5873860000000004</v>
      </c>
      <c r="K50" s="217">
        <v>5.595116</v>
      </c>
      <c r="L50" s="217">
        <v>5.5861890000000001</v>
      </c>
      <c r="M50" s="217">
        <v>5.5949900000000001</v>
      </c>
      <c r="N50" s="217">
        <v>5.5858759999999998</v>
      </c>
      <c r="O50" s="217">
        <v>5.5948770000000003</v>
      </c>
      <c r="P50" s="217">
        <v>5.5939399999999999</v>
      </c>
      <c r="Q50" s="217">
        <v>5.5902770000000004</v>
      </c>
      <c r="R50" s="217">
        <v>5.591412</v>
      </c>
      <c r="S50" s="217">
        <v>5.5908720000000001</v>
      </c>
      <c r="T50" s="217">
        <v>5.5941979999999996</v>
      </c>
      <c r="U50" s="217">
        <v>5.5941429999999999</v>
      </c>
      <c r="V50" s="217">
        <v>5.5884770000000001</v>
      </c>
      <c r="W50" s="217">
        <v>5.5939329999999998</v>
      </c>
      <c r="X50" s="217">
        <v>5.5938739999999996</v>
      </c>
      <c r="Y50" s="217">
        <v>5.5937190000000001</v>
      </c>
      <c r="Z50" s="217">
        <v>5.5935790000000001</v>
      </c>
      <c r="AA50" s="217">
        <v>5.5970449999999996</v>
      </c>
      <c r="AB50" s="217">
        <v>5.5943199999999997</v>
      </c>
      <c r="AC50" s="217">
        <v>5.5934460000000001</v>
      </c>
      <c r="AD50" s="217">
        <v>5.5932919999999999</v>
      </c>
      <c r="AE50" s="217">
        <v>5.5931540000000002</v>
      </c>
      <c r="AF50" s="217">
        <v>5.5930369999999998</v>
      </c>
      <c r="AG50" s="217">
        <v>5.5929130000000002</v>
      </c>
      <c r="AH50" s="210">
        <v>3.6999999999999998E-5</v>
      </c>
    </row>
    <row r="51" spans="1:34" ht="15" customHeight="1" x14ac:dyDescent="0.3">
      <c r="A51" s="203" t="s">
        <v>402</v>
      </c>
      <c r="B51" s="208" t="s">
        <v>403</v>
      </c>
      <c r="C51" s="217">
        <v>3.588495</v>
      </c>
      <c r="D51" s="217">
        <v>3.5313599999999998</v>
      </c>
      <c r="E51" s="217">
        <v>3.5233819999999998</v>
      </c>
      <c r="F51" s="217">
        <v>3.5490140000000001</v>
      </c>
      <c r="G51" s="217">
        <v>3.5447389999999999</v>
      </c>
      <c r="H51" s="217">
        <v>3.5403289999999998</v>
      </c>
      <c r="I51" s="217">
        <v>3.5393029999999999</v>
      </c>
      <c r="J51" s="217">
        <v>3.5383939999999998</v>
      </c>
      <c r="K51" s="217">
        <v>3.5374590000000001</v>
      </c>
      <c r="L51" s="217">
        <v>3.5352160000000001</v>
      </c>
      <c r="M51" s="217">
        <v>3.5335559999999999</v>
      </c>
      <c r="N51" s="217">
        <v>3.5328460000000002</v>
      </c>
      <c r="O51" s="217">
        <v>3.5329579999999998</v>
      </c>
      <c r="P51" s="217">
        <v>3.5331009999999998</v>
      </c>
      <c r="Q51" s="217">
        <v>3.5325660000000001</v>
      </c>
      <c r="R51" s="217">
        <v>3.531256</v>
      </c>
      <c r="S51" s="217">
        <v>3.5302720000000001</v>
      </c>
      <c r="T51" s="217">
        <v>3.529652</v>
      </c>
      <c r="U51" s="217">
        <v>3.528985</v>
      </c>
      <c r="V51" s="217">
        <v>3.52799</v>
      </c>
      <c r="W51" s="217">
        <v>3.5276179999999999</v>
      </c>
      <c r="X51" s="217">
        <v>3.5283389999999999</v>
      </c>
      <c r="Y51" s="217">
        <v>3.5284070000000001</v>
      </c>
      <c r="Z51" s="217">
        <v>3.5291730000000001</v>
      </c>
      <c r="AA51" s="217">
        <v>3.5294379999999999</v>
      </c>
      <c r="AB51" s="217">
        <v>3.528521</v>
      </c>
      <c r="AC51" s="217">
        <v>3.5295519999999998</v>
      </c>
      <c r="AD51" s="217">
        <v>3.5298620000000001</v>
      </c>
      <c r="AE51" s="217">
        <v>3.5289899999999998</v>
      </c>
      <c r="AF51" s="217">
        <v>3.5276239999999999</v>
      </c>
      <c r="AG51" s="217">
        <v>3.5256240000000001</v>
      </c>
      <c r="AH51" s="210">
        <v>-5.8900000000000001E-4</v>
      </c>
    </row>
    <row r="53" spans="1:34" ht="15" customHeight="1" x14ac:dyDescent="0.3">
      <c r="B53" s="207" t="s">
        <v>404</v>
      </c>
    </row>
    <row r="54" spans="1:34" ht="15" customHeight="1" x14ac:dyDescent="0.3">
      <c r="A54" s="203" t="s">
        <v>405</v>
      </c>
      <c r="B54" s="208" t="s">
        <v>406</v>
      </c>
      <c r="C54" s="217">
        <v>1.0369999999999999</v>
      </c>
      <c r="D54" s="217">
        <v>1.0369999999999999</v>
      </c>
      <c r="E54" s="217">
        <v>1.0369999999999999</v>
      </c>
      <c r="F54" s="217">
        <v>1.0369999999999999</v>
      </c>
      <c r="G54" s="217">
        <v>1.0369999999999999</v>
      </c>
      <c r="H54" s="217">
        <v>1.0369999999999999</v>
      </c>
      <c r="I54" s="217">
        <v>1.0369999999999999</v>
      </c>
      <c r="J54" s="217">
        <v>1.0369999999999999</v>
      </c>
      <c r="K54" s="217">
        <v>1.0369999999999999</v>
      </c>
      <c r="L54" s="217">
        <v>1.0369999999999999</v>
      </c>
      <c r="M54" s="217">
        <v>1.0369999999999999</v>
      </c>
      <c r="N54" s="217">
        <v>1.0369999999999999</v>
      </c>
      <c r="O54" s="217">
        <v>1.0369999999999999</v>
      </c>
      <c r="P54" s="217">
        <v>1.0369999999999999</v>
      </c>
      <c r="Q54" s="217">
        <v>1.0369999999999999</v>
      </c>
      <c r="R54" s="217">
        <v>1.0369999999999999</v>
      </c>
      <c r="S54" s="217">
        <v>1.0369999999999999</v>
      </c>
      <c r="T54" s="217">
        <v>1.0369999999999999</v>
      </c>
      <c r="U54" s="217">
        <v>1.0369999999999999</v>
      </c>
      <c r="V54" s="217">
        <v>1.0369999999999999</v>
      </c>
      <c r="W54" s="217">
        <v>1.0369999999999999</v>
      </c>
      <c r="X54" s="217">
        <v>1.0369999999999999</v>
      </c>
      <c r="Y54" s="217">
        <v>1.0369999999999999</v>
      </c>
      <c r="Z54" s="217">
        <v>1.0369999999999999</v>
      </c>
      <c r="AA54" s="217">
        <v>1.0369999999999999</v>
      </c>
      <c r="AB54" s="217">
        <v>1.0369999999999999</v>
      </c>
      <c r="AC54" s="217">
        <v>1.0369999999999999</v>
      </c>
      <c r="AD54" s="217">
        <v>1.0369999999999999</v>
      </c>
      <c r="AE54" s="217">
        <v>1.0369999999999999</v>
      </c>
      <c r="AF54" s="217">
        <v>1.0369999999999999</v>
      </c>
      <c r="AG54" s="217">
        <v>1.0369999999999999</v>
      </c>
      <c r="AH54" s="210">
        <v>0</v>
      </c>
    </row>
    <row r="55" spans="1:34" ht="15" customHeight="1" x14ac:dyDescent="0.3">
      <c r="A55" s="203" t="s">
        <v>407</v>
      </c>
      <c r="B55" s="208" t="s">
        <v>408</v>
      </c>
      <c r="C55" s="217">
        <v>1.034</v>
      </c>
      <c r="D55" s="217">
        <v>1.034</v>
      </c>
      <c r="E55" s="217">
        <v>1.034</v>
      </c>
      <c r="F55" s="217">
        <v>1.034</v>
      </c>
      <c r="G55" s="217">
        <v>1.034</v>
      </c>
      <c r="H55" s="217">
        <v>1.034</v>
      </c>
      <c r="I55" s="217">
        <v>1.034</v>
      </c>
      <c r="J55" s="217">
        <v>1.034</v>
      </c>
      <c r="K55" s="217">
        <v>1.034</v>
      </c>
      <c r="L55" s="217">
        <v>1.034</v>
      </c>
      <c r="M55" s="217">
        <v>1.034</v>
      </c>
      <c r="N55" s="217">
        <v>1.034</v>
      </c>
      <c r="O55" s="217">
        <v>1.034</v>
      </c>
      <c r="P55" s="217">
        <v>1.034</v>
      </c>
      <c r="Q55" s="217">
        <v>1.034</v>
      </c>
      <c r="R55" s="217">
        <v>1.034</v>
      </c>
      <c r="S55" s="217">
        <v>1.034</v>
      </c>
      <c r="T55" s="217">
        <v>1.034</v>
      </c>
      <c r="U55" s="217">
        <v>1.034</v>
      </c>
      <c r="V55" s="217">
        <v>1.034</v>
      </c>
      <c r="W55" s="217">
        <v>1.034</v>
      </c>
      <c r="X55" s="217">
        <v>1.034</v>
      </c>
      <c r="Y55" s="217">
        <v>1.034</v>
      </c>
      <c r="Z55" s="217">
        <v>1.034</v>
      </c>
      <c r="AA55" s="217">
        <v>1.034</v>
      </c>
      <c r="AB55" s="217">
        <v>1.034</v>
      </c>
      <c r="AC55" s="217">
        <v>1.034</v>
      </c>
      <c r="AD55" s="217">
        <v>1.034</v>
      </c>
      <c r="AE55" s="217">
        <v>1.034</v>
      </c>
      <c r="AF55" s="217">
        <v>1.034</v>
      </c>
      <c r="AG55" s="217">
        <v>1.034</v>
      </c>
      <c r="AH55" s="210">
        <v>0</v>
      </c>
    </row>
    <row r="56" spans="1:34" ht="15" customHeight="1" x14ac:dyDescent="0.3">
      <c r="A56" s="203" t="s">
        <v>409</v>
      </c>
      <c r="B56" s="208" t="s">
        <v>410</v>
      </c>
      <c r="C56" s="217">
        <v>1.0389999999999999</v>
      </c>
      <c r="D56" s="217">
        <v>1.0389999999999999</v>
      </c>
      <c r="E56" s="217">
        <v>1.0389999999999999</v>
      </c>
      <c r="F56" s="217">
        <v>1.0389999999999999</v>
      </c>
      <c r="G56" s="217">
        <v>1.0389999999999999</v>
      </c>
      <c r="H56" s="217">
        <v>1.0389999999999999</v>
      </c>
      <c r="I56" s="217">
        <v>1.0389999999999999</v>
      </c>
      <c r="J56" s="217">
        <v>1.0389999999999999</v>
      </c>
      <c r="K56" s="217">
        <v>1.0389999999999999</v>
      </c>
      <c r="L56" s="217">
        <v>1.0389999999999999</v>
      </c>
      <c r="M56" s="217">
        <v>1.0389999999999999</v>
      </c>
      <c r="N56" s="217">
        <v>1.0389999999999999</v>
      </c>
      <c r="O56" s="217">
        <v>1.0389999999999999</v>
      </c>
      <c r="P56" s="217">
        <v>1.0389999999999999</v>
      </c>
      <c r="Q56" s="217">
        <v>1.0389999999999999</v>
      </c>
      <c r="R56" s="217">
        <v>1.0389999999999999</v>
      </c>
      <c r="S56" s="217">
        <v>1.0389999999999999</v>
      </c>
      <c r="T56" s="217">
        <v>1.0389999999999999</v>
      </c>
      <c r="U56" s="217">
        <v>1.0389999999999999</v>
      </c>
      <c r="V56" s="217">
        <v>1.0389999999999999</v>
      </c>
      <c r="W56" s="217">
        <v>1.0389999999999999</v>
      </c>
      <c r="X56" s="217">
        <v>1.0389999999999999</v>
      </c>
      <c r="Y56" s="217">
        <v>1.0389999999999999</v>
      </c>
      <c r="Z56" s="217">
        <v>1.0389999999999999</v>
      </c>
      <c r="AA56" s="217">
        <v>1.0389999999999999</v>
      </c>
      <c r="AB56" s="217">
        <v>1.0389999999999999</v>
      </c>
      <c r="AC56" s="217">
        <v>1.0389999999999999</v>
      </c>
      <c r="AD56" s="217">
        <v>1.0389999999999999</v>
      </c>
      <c r="AE56" s="217">
        <v>1.0389999999999999</v>
      </c>
      <c r="AF56" s="217">
        <v>1.0389999999999999</v>
      </c>
      <c r="AG56" s="217">
        <v>1.0389999999999999</v>
      </c>
      <c r="AH56" s="210">
        <v>0</v>
      </c>
    </row>
    <row r="57" spans="1:34" ht="15" customHeight="1" x14ac:dyDescent="0.3">
      <c r="A57" s="203" t="s">
        <v>411</v>
      </c>
      <c r="B57" s="208" t="s">
        <v>412</v>
      </c>
      <c r="C57" s="217">
        <v>1.0369999999999999</v>
      </c>
      <c r="D57" s="217">
        <v>1.0369999999999999</v>
      </c>
      <c r="E57" s="217">
        <v>1.0369999999999999</v>
      </c>
      <c r="F57" s="217">
        <v>1.0369999999999999</v>
      </c>
      <c r="G57" s="217">
        <v>1.0369999999999999</v>
      </c>
      <c r="H57" s="217">
        <v>1.0369999999999999</v>
      </c>
      <c r="I57" s="217">
        <v>1.0369999999999999</v>
      </c>
      <c r="J57" s="217">
        <v>1.0369999999999999</v>
      </c>
      <c r="K57" s="217">
        <v>1.0369999999999999</v>
      </c>
      <c r="L57" s="217">
        <v>1.0369999999999999</v>
      </c>
      <c r="M57" s="217">
        <v>1.0369999999999999</v>
      </c>
      <c r="N57" s="217">
        <v>1.0369999999999999</v>
      </c>
      <c r="O57" s="217">
        <v>1.0369999999999999</v>
      </c>
      <c r="P57" s="217">
        <v>1.0369999999999999</v>
      </c>
      <c r="Q57" s="217">
        <v>1.0369999999999999</v>
      </c>
      <c r="R57" s="217">
        <v>1.0369999999999999</v>
      </c>
      <c r="S57" s="217">
        <v>1.0369999999999999</v>
      </c>
      <c r="T57" s="217">
        <v>1.0369999999999999</v>
      </c>
      <c r="U57" s="217">
        <v>1.0369999999999999</v>
      </c>
      <c r="V57" s="217">
        <v>1.0369999999999999</v>
      </c>
      <c r="W57" s="217">
        <v>1.0369999999999999</v>
      </c>
      <c r="X57" s="217">
        <v>1.0369999999999999</v>
      </c>
      <c r="Y57" s="217">
        <v>1.0369999999999999</v>
      </c>
      <c r="Z57" s="217">
        <v>1.0369999999999999</v>
      </c>
      <c r="AA57" s="217">
        <v>1.0369999999999999</v>
      </c>
      <c r="AB57" s="217">
        <v>1.0369999999999999</v>
      </c>
      <c r="AC57" s="217">
        <v>1.0369999999999999</v>
      </c>
      <c r="AD57" s="217">
        <v>1.0369999999999999</v>
      </c>
      <c r="AE57" s="217">
        <v>1.0369999999999999</v>
      </c>
      <c r="AF57" s="217">
        <v>1.0369999999999999</v>
      </c>
      <c r="AG57" s="217">
        <v>1.0369999999999999</v>
      </c>
      <c r="AH57" s="210">
        <v>0</v>
      </c>
    </row>
    <row r="58" spans="1:34" ht="15" customHeight="1" x14ac:dyDescent="0.3">
      <c r="A58" s="203" t="s">
        <v>413</v>
      </c>
      <c r="B58" s="208" t="s">
        <v>414</v>
      </c>
      <c r="C58" s="217">
        <v>1.0249999999999999</v>
      </c>
      <c r="D58" s="217">
        <v>1.0249999999999999</v>
      </c>
      <c r="E58" s="217">
        <v>1.0249999999999999</v>
      </c>
      <c r="F58" s="217">
        <v>1.0249999999999999</v>
      </c>
      <c r="G58" s="217">
        <v>1.0249999999999999</v>
      </c>
      <c r="H58" s="217">
        <v>1.0249999999999999</v>
      </c>
      <c r="I58" s="217">
        <v>1.0249999999999999</v>
      </c>
      <c r="J58" s="217">
        <v>1.0249999999999999</v>
      </c>
      <c r="K58" s="217">
        <v>1.0249999999999999</v>
      </c>
      <c r="L58" s="217">
        <v>1.0249999999999999</v>
      </c>
      <c r="M58" s="217">
        <v>1.0249999999999999</v>
      </c>
      <c r="N58" s="217">
        <v>1.0249999999999999</v>
      </c>
      <c r="O58" s="217">
        <v>1.0249999999999999</v>
      </c>
      <c r="P58" s="217">
        <v>1.0249999999999999</v>
      </c>
      <c r="Q58" s="217">
        <v>1.0249999999999999</v>
      </c>
      <c r="R58" s="217">
        <v>1.0249999999999999</v>
      </c>
      <c r="S58" s="217">
        <v>1.0249999999999999</v>
      </c>
      <c r="T58" s="217">
        <v>1.0249999999999999</v>
      </c>
      <c r="U58" s="217">
        <v>1.0249999999999999</v>
      </c>
      <c r="V58" s="217">
        <v>1.0249999999999999</v>
      </c>
      <c r="W58" s="217">
        <v>1.0249999999999999</v>
      </c>
      <c r="X58" s="217">
        <v>1.0249999999999999</v>
      </c>
      <c r="Y58" s="217">
        <v>1.0249999999999999</v>
      </c>
      <c r="Z58" s="217">
        <v>1.0249999999999999</v>
      </c>
      <c r="AA58" s="217">
        <v>1.0249999999999999</v>
      </c>
      <c r="AB58" s="217">
        <v>1.0249999999999999</v>
      </c>
      <c r="AC58" s="217">
        <v>1.0249999999999999</v>
      </c>
      <c r="AD58" s="217">
        <v>1.0249999999999999</v>
      </c>
      <c r="AE58" s="217">
        <v>1.0249999999999999</v>
      </c>
      <c r="AF58" s="217">
        <v>1.0249999999999999</v>
      </c>
      <c r="AG58" s="217">
        <v>1.0249999999999999</v>
      </c>
      <c r="AH58" s="210">
        <v>0</v>
      </c>
    </row>
    <row r="59" spans="1:34" ht="15" customHeight="1" x14ac:dyDescent="0.3">
      <c r="A59" s="203" t="s">
        <v>415</v>
      </c>
      <c r="B59" s="208" t="s">
        <v>416</v>
      </c>
      <c r="C59" s="217">
        <v>1.0089999999999999</v>
      </c>
      <c r="D59" s="217">
        <v>1.0089999999999999</v>
      </c>
      <c r="E59" s="217">
        <v>1.0089999999999999</v>
      </c>
      <c r="F59" s="217">
        <v>1.0089999999999999</v>
      </c>
      <c r="G59" s="217">
        <v>1.0089999999999999</v>
      </c>
      <c r="H59" s="217">
        <v>1.0089999999999999</v>
      </c>
      <c r="I59" s="217">
        <v>1.0089999999999999</v>
      </c>
      <c r="J59" s="217">
        <v>1.0089999999999999</v>
      </c>
      <c r="K59" s="217">
        <v>1.0089999999999999</v>
      </c>
      <c r="L59" s="217">
        <v>1.0089999999999999</v>
      </c>
      <c r="M59" s="217">
        <v>1.0089999999999999</v>
      </c>
      <c r="N59" s="217">
        <v>1.0089999999999999</v>
      </c>
      <c r="O59" s="217">
        <v>1.0089999999999999</v>
      </c>
      <c r="P59" s="217">
        <v>1.0089999999999999</v>
      </c>
      <c r="Q59" s="217">
        <v>1.0089999999999999</v>
      </c>
      <c r="R59" s="217">
        <v>1.0089999999999999</v>
      </c>
      <c r="S59" s="217">
        <v>1.0089999999999999</v>
      </c>
      <c r="T59" s="217">
        <v>1.0089999999999999</v>
      </c>
      <c r="U59" s="217">
        <v>1.0089999999999999</v>
      </c>
      <c r="V59" s="217">
        <v>1.0089999999999999</v>
      </c>
      <c r="W59" s="217">
        <v>1.0089999999999999</v>
      </c>
      <c r="X59" s="217">
        <v>1.0089999999999999</v>
      </c>
      <c r="Y59" s="217">
        <v>1.0089999999999999</v>
      </c>
      <c r="Z59" s="217">
        <v>1.0089999999999999</v>
      </c>
      <c r="AA59" s="217">
        <v>1.0089999999999999</v>
      </c>
      <c r="AB59" s="217">
        <v>1.0089999999999999</v>
      </c>
      <c r="AC59" s="217">
        <v>1.0089999999999999</v>
      </c>
      <c r="AD59" s="217">
        <v>1.0089999999999999</v>
      </c>
      <c r="AE59" s="217">
        <v>1.0089999999999999</v>
      </c>
      <c r="AF59" s="217">
        <v>1.0089999999999999</v>
      </c>
      <c r="AG59" s="217">
        <v>1.0089999999999999</v>
      </c>
      <c r="AH59" s="210">
        <v>0</v>
      </c>
    </row>
    <row r="60" spans="1:34" ht="15" customHeight="1" x14ac:dyDescent="0.3">
      <c r="A60" s="203" t="s">
        <v>417</v>
      </c>
      <c r="B60" s="208" t="s">
        <v>418</v>
      </c>
      <c r="C60" s="217">
        <v>0.96</v>
      </c>
      <c r="D60" s="217">
        <v>0.96</v>
      </c>
      <c r="E60" s="217">
        <v>0.96</v>
      </c>
      <c r="F60" s="217">
        <v>0.96</v>
      </c>
      <c r="G60" s="217">
        <v>0.96</v>
      </c>
      <c r="H60" s="217">
        <v>0.96</v>
      </c>
      <c r="I60" s="217">
        <v>0.96</v>
      </c>
      <c r="J60" s="217">
        <v>0.96</v>
      </c>
      <c r="K60" s="217">
        <v>0.96</v>
      </c>
      <c r="L60" s="217">
        <v>0.96</v>
      </c>
      <c r="M60" s="217">
        <v>0.96</v>
      </c>
      <c r="N60" s="217">
        <v>0.96</v>
      </c>
      <c r="O60" s="217">
        <v>0.96</v>
      </c>
      <c r="P60" s="217">
        <v>0.96</v>
      </c>
      <c r="Q60" s="217">
        <v>0.96</v>
      </c>
      <c r="R60" s="217">
        <v>0.96</v>
      </c>
      <c r="S60" s="217">
        <v>0.96</v>
      </c>
      <c r="T60" s="217">
        <v>0.96</v>
      </c>
      <c r="U60" s="217">
        <v>0.96</v>
      </c>
      <c r="V60" s="217">
        <v>0.96</v>
      </c>
      <c r="W60" s="217">
        <v>0.96</v>
      </c>
      <c r="X60" s="217">
        <v>0.96</v>
      </c>
      <c r="Y60" s="217">
        <v>0.96</v>
      </c>
      <c r="Z60" s="217">
        <v>0.96</v>
      </c>
      <c r="AA60" s="217">
        <v>0.96</v>
      </c>
      <c r="AB60" s="217">
        <v>0.96</v>
      </c>
      <c r="AC60" s="217">
        <v>0.96</v>
      </c>
      <c r="AD60" s="217">
        <v>0.96</v>
      </c>
      <c r="AE60" s="217">
        <v>0.96</v>
      </c>
      <c r="AF60" s="217">
        <v>0.96</v>
      </c>
      <c r="AG60" s="217">
        <v>0.96</v>
      </c>
      <c r="AH60" s="210">
        <v>0</v>
      </c>
    </row>
    <row r="62" spans="1:34" ht="14.4" x14ac:dyDescent="0.3">
      <c r="B62" s="207" t="s">
        <v>419</v>
      </c>
    </row>
    <row r="63" spans="1:34" ht="15" customHeight="1" x14ac:dyDescent="0.3">
      <c r="A63" s="203" t="s">
        <v>420</v>
      </c>
      <c r="B63" s="208" t="s">
        <v>412</v>
      </c>
      <c r="C63" s="209">
        <v>20.313611999999999</v>
      </c>
      <c r="D63" s="209">
        <v>20.251498999999999</v>
      </c>
      <c r="E63" s="209">
        <v>20.463695999999999</v>
      </c>
      <c r="F63" s="209">
        <v>20.630897999999998</v>
      </c>
      <c r="G63" s="209">
        <v>20.585319999999999</v>
      </c>
      <c r="H63" s="209">
        <v>20.620370999999999</v>
      </c>
      <c r="I63" s="209">
        <v>20.558367000000001</v>
      </c>
      <c r="J63" s="209">
        <v>20.551445000000001</v>
      </c>
      <c r="K63" s="209">
        <v>20.452055000000001</v>
      </c>
      <c r="L63" s="209">
        <v>20.355701</v>
      </c>
      <c r="M63" s="209">
        <v>20.289701000000001</v>
      </c>
      <c r="N63" s="209">
        <v>20.316071999999998</v>
      </c>
      <c r="O63" s="209">
        <v>20.341093000000001</v>
      </c>
      <c r="P63" s="209">
        <v>20.369786999999999</v>
      </c>
      <c r="Q63" s="209">
        <v>20.349620999999999</v>
      </c>
      <c r="R63" s="209">
        <v>20.382479</v>
      </c>
      <c r="S63" s="209">
        <v>20.405159000000001</v>
      </c>
      <c r="T63" s="209">
        <v>20.455117999999999</v>
      </c>
      <c r="U63" s="209">
        <v>20.574310000000001</v>
      </c>
      <c r="V63" s="209">
        <v>20.584980000000002</v>
      </c>
      <c r="W63" s="209">
        <v>20.617809000000001</v>
      </c>
      <c r="X63" s="209">
        <v>20.606735</v>
      </c>
      <c r="Y63" s="209">
        <v>20.642296000000002</v>
      </c>
      <c r="Z63" s="209">
        <v>20.684587000000001</v>
      </c>
      <c r="AA63" s="209">
        <v>20.690783</v>
      </c>
      <c r="AB63" s="209">
        <v>20.781717</v>
      </c>
      <c r="AC63" s="209">
        <v>20.824452999999998</v>
      </c>
      <c r="AD63" s="209">
        <v>20.813873000000001</v>
      </c>
      <c r="AE63" s="209">
        <v>20.786306</v>
      </c>
      <c r="AF63" s="209">
        <v>20.831282000000002</v>
      </c>
      <c r="AG63" s="209">
        <v>20.832466</v>
      </c>
      <c r="AH63" s="210">
        <v>8.4099999999999995E-4</v>
      </c>
    </row>
    <row r="64" spans="1:34" ht="15" customHeight="1" x14ac:dyDescent="0.3">
      <c r="A64" s="203" t="s">
        <v>421</v>
      </c>
      <c r="B64" s="208" t="s">
        <v>422</v>
      </c>
      <c r="C64" s="209">
        <v>25.162447</v>
      </c>
      <c r="D64" s="209">
        <v>25.061907000000001</v>
      </c>
      <c r="E64" s="209">
        <v>24.844830999999999</v>
      </c>
      <c r="F64" s="209">
        <v>25.003353000000001</v>
      </c>
      <c r="G64" s="209">
        <v>25.014917000000001</v>
      </c>
      <c r="H64" s="209">
        <v>25.161196</v>
      </c>
      <c r="I64" s="209">
        <v>25.144635999999998</v>
      </c>
      <c r="J64" s="209">
        <v>25.182469999999999</v>
      </c>
      <c r="K64" s="209">
        <v>25.190441</v>
      </c>
      <c r="L64" s="209">
        <v>25.210474000000001</v>
      </c>
      <c r="M64" s="209">
        <v>25.271478999999999</v>
      </c>
      <c r="N64" s="209">
        <v>25.263570999999999</v>
      </c>
      <c r="O64" s="209">
        <v>25.235904999999999</v>
      </c>
      <c r="P64" s="209">
        <v>25.426608999999999</v>
      </c>
      <c r="Q64" s="209">
        <v>25.42605</v>
      </c>
      <c r="R64" s="209">
        <v>25.406255999999999</v>
      </c>
      <c r="S64" s="209">
        <v>25.351739999999999</v>
      </c>
      <c r="T64" s="209">
        <v>25.317278000000002</v>
      </c>
      <c r="U64" s="209">
        <v>25.262371000000002</v>
      </c>
      <c r="V64" s="209">
        <v>25.204082</v>
      </c>
      <c r="W64" s="209">
        <v>25.170407999999998</v>
      </c>
      <c r="X64" s="209">
        <v>25.136365999999999</v>
      </c>
      <c r="Y64" s="209">
        <v>25.124195</v>
      </c>
      <c r="Z64" s="209">
        <v>25.101769999999998</v>
      </c>
      <c r="AA64" s="209">
        <v>25.082879999999999</v>
      </c>
      <c r="AB64" s="209">
        <v>25.036390000000001</v>
      </c>
      <c r="AC64" s="209">
        <v>25.004836999999998</v>
      </c>
      <c r="AD64" s="209">
        <v>24.996421999999999</v>
      </c>
      <c r="AE64" s="209">
        <v>24.994413000000002</v>
      </c>
      <c r="AF64" s="209">
        <v>25.032789000000001</v>
      </c>
      <c r="AG64" s="209">
        <v>25.018826000000001</v>
      </c>
      <c r="AH64" s="210">
        <v>-1.9100000000000001E-4</v>
      </c>
    </row>
    <row r="65" spans="1:34" ht="15" customHeight="1" x14ac:dyDescent="0.3">
      <c r="A65" s="203" t="s">
        <v>423</v>
      </c>
      <c r="B65" s="208" t="s">
        <v>424</v>
      </c>
      <c r="C65" s="209">
        <v>17.310601999999999</v>
      </c>
      <c r="D65" s="209">
        <v>17.309646999999998</v>
      </c>
      <c r="E65" s="209">
        <v>17.211003999999999</v>
      </c>
      <c r="F65" s="209">
        <v>17.263587999999999</v>
      </c>
      <c r="G65" s="209">
        <v>17.337935999999999</v>
      </c>
      <c r="H65" s="209">
        <v>17.308015999999999</v>
      </c>
      <c r="I65" s="209">
        <v>17.259657000000001</v>
      </c>
      <c r="J65" s="209">
        <v>17.224226000000002</v>
      </c>
      <c r="K65" s="209">
        <v>17.166725</v>
      </c>
      <c r="L65" s="209">
        <v>17.176583999999998</v>
      </c>
      <c r="M65" s="209">
        <v>17.131996000000001</v>
      </c>
      <c r="N65" s="209">
        <v>17.134941000000001</v>
      </c>
      <c r="O65" s="209">
        <v>17.114252</v>
      </c>
      <c r="P65" s="209">
        <v>17.091989999999999</v>
      </c>
      <c r="Q65" s="209">
        <v>17.090869999999999</v>
      </c>
      <c r="R65" s="209">
        <v>17.088018000000002</v>
      </c>
      <c r="S65" s="209">
        <v>17.077797</v>
      </c>
      <c r="T65" s="209">
        <v>17.051991000000001</v>
      </c>
      <c r="U65" s="209">
        <v>17.025953000000001</v>
      </c>
      <c r="V65" s="209">
        <v>17.013719999999999</v>
      </c>
      <c r="W65" s="209">
        <v>16.977298999999999</v>
      </c>
      <c r="X65" s="209">
        <v>16.978853000000001</v>
      </c>
      <c r="Y65" s="209">
        <v>17.006622</v>
      </c>
      <c r="Z65" s="209">
        <v>17.016672</v>
      </c>
      <c r="AA65" s="209">
        <v>17.028193000000002</v>
      </c>
      <c r="AB65" s="209">
        <v>17.032865999999999</v>
      </c>
      <c r="AC65" s="209">
        <v>17.039536999999999</v>
      </c>
      <c r="AD65" s="209">
        <v>17.015118000000001</v>
      </c>
      <c r="AE65" s="209">
        <v>16.990679</v>
      </c>
      <c r="AF65" s="209">
        <v>16.993908000000001</v>
      </c>
      <c r="AG65" s="209">
        <v>16.988350000000001</v>
      </c>
      <c r="AH65" s="210">
        <v>-6.2600000000000004E-4</v>
      </c>
    </row>
    <row r="66" spans="1:34" ht="15" customHeight="1" x14ac:dyDescent="0.3">
      <c r="A66" s="203" t="s">
        <v>425</v>
      </c>
      <c r="B66" s="208" t="s">
        <v>406</v>
      </c>
      <c r="C66" s="209">
        <v>19.465235</v>
      </c>
      <c r="D66" s="209">
        <v>19.477029999999999</v>
      </c>
      <c r="E66" s="209">
        <v>19.633654</v>
      </c>
      <c r="F66" s="209">
        <v>19.748118999999999</v>
      </c>
      <c r="G66" s="209">
        <v>19.604624000000001</v>
      </c>
      <c r="H66" s="209">
        <v>19.514042</v>
      </c>
      <c r="I66" s="209">
        <v>19.460508000000001</v>
      </c>
      <c r="J66" s="209">
        <v>19.416695000000001</v>
      </c>
      <c r="K66" s="209">
        <v>19.301138000000002</v>
      </c>
      <c r="L66" s="209">
        <v>19.199217000000001</v>
      </c>
      <c r="M66" s="209">
        <v>19.119923</v>
      </c>
      <c r="N66" s="209">
        <v>19.131233000000002</v>
      </c>
      <c r="O66" s="209">
        <v>19.133019999999998</v>
      </c>
      <c r="P66" s="209">
        <v>19.181491999999999</v>
      </c>
      <c r="Q66" s="209">
        <v>19.162057999999998</v>
      </c>
      <c r="R66" s="209">
        <v>19.166834000000001</v>
      </c>
      <c r="S66" s="209">
        <v>19.206078999999999</v>
      </c>
      <c r="T66" s="209">
        <v>19.242795999999998</v>
      </c>
      <c r="U66" s="209">
        <v>19.352157999999999</v>
      </c>
      <c r="V66" s="209">
        <v>19.394048999999999</v>
      </c>
      <c r="W66" s="209">
        <v>19.422734999999999</v>
      </c>
      <c r="X66" s="209">
        <v>19.419495000000001</v>
      </c>
      <c r="Y66" s="209">
        <v>19.465461999999999</v>
      </c>
      <c r="Z66" s="209">
        <v>19.508917</v>
      </c>
      <c r="AA66" s="209">
        <v>19.511177</v>
      </c>
      <c r="AB66" s="209">
        <v>19.602798</v>
      </c>
      <c r="AC66" s="209">
        <v>19.653092999999998</v>
      </c>
      <c r="AD66" s="209">
        <v>19.640366</v>
      </c>
      <c r="AE66" s="209">
        <v>19.617270000000001</v>
      </c>
      <c r="AF66" s="209">
        <v>19.648813000000001</v>
      </c>
      <c r="AG66" s="209">
        <v>19.641286999999998</v>
      </c>
      <c r="AH66" s="210">
        <v>2.9999999999999997E-4</v>
      </c>
    </row>
    <row r="67" spans="1:34" ht="15" customHeight="1" x14ac:dyDescent="0.3">
      <c r="A67" s="203" t="s">
        <v>426</v>
      </c>
      <c r="B67" s="208" t="s">
        <v>427</v>
      </c>
      <c r="C67" s="209">
        <v>19.07375</v>
      </c>
      <c r="D67" s="209">
        <v>19.023112999999999</v>
      </c>
      <c r="E67" s="209">
        <v>19.023102000000002</v>
      </c>
      <c r="F67" s="209">
        <v>19.320454000000002</v>
      </c>
      <c r="G67" s="209">
        <v>19.262177999999999</v>
      </c>
      <c r="H67" s="209">
        <v>19.226744</v>
      </c>
      <c r="I67" s="209">
        <v>19.203001</v>
      </c>
      <c r="J67" s="209">
        <v>19.198051</v>
      </c>
      <c r="K67" s="209">
        <v>19.173183000000002</v>
      </c>
      <c r="L67" s="209">
        <v>19.142059</v>
      </c>
      <c r="M67" s="209">
        <v>19.111967</v>
      </c>
      <c r="N67" s="209">
        <v>19.063096999999999</v>
      </c>
      <c r="O67" s="209">
        <v>19.027266999999998</v>
      </c>
      <c r="P67" s="209">
        <v>18.988686000000001</v>
      </c>
      <c r="Q67" s="209">
        <v>18.945419000000001</v>
      </c>
      <c r="R67" s="209">
        <v>18.899260999999999</v>
      </c>
      <c r="S67" s="209">
        <v>18.854064999999999</v>
      </c>
      <c r="T67" s="209">
        <v>18.823059000000001</v>
      </c>
      <c r="U67" s="209">
        <v>18.801371</v>
      </c>
      <c r="V67" s="209">
        <v>18.776769999999999</v>
      </c>
      <c r="W67" s="209">
        <v>18.747007</v>
      </c>
      <c r="X67" s="209">
        <v>18.720158000000001</v>
      </c>
      <c r="Y67" s="209">
        <v>18.696238999999998</v>
      </c>
      <c r="Z67" s="209">
        <v>18.664991000000001</v>
      </c>
      <c r="AA67" s="209">
        <v>18.637045000000001</v>
      </c>
      <c r="AB67" s="209">
        <v>18.618738</v>
      </c>
      <c r="AC67" s="209">
        <v>18.595921000000001</v>
      </c>
      <c r="AD67" s="209">
        <v>18.562662</v>
      </c>
      <c r="AE67" s="209">
        <v>18.520022999999998</v>
      </c>
      <c r="AF67" s="209">
        <v>18.478739000000001</v>
      </c>
      <c r="AG67" s="209">
        <v>18.440038999999999</v>
      </c>
      <c r="AH67" s="210">
        <v>-1.126E-3</v>
      </c>
    </row>
    <row r="68" spans="1:34" ht="15" customHeight="1" x14ac:dyDescent="0.3">
      <c r="A68" s="203" t="s">
        <v>428</v>
      </c>
      <c r="B68" s="208" t="s">
        <v>429</v>
      </c>
      <c r="C68" s="209">
        <v>19.047443000000001</v>
      </c>
      <c r="D68" s="209">
        <v>19.293189999999999</v>
      </c>
      <c r="E68" s="209">
        <v>19.406573999999999</v>
      </c>
      <c r="F68" s="209">
        <v>19.401603999999999</v>
      </c>
      <c r="G68" s="209">
        <v>19.396521</v>
      </c>
      <c r="H68" s="209">
        <v>19.387011000000001</v>
      </c>
      <c r="I68" s="209">
        <v>19.386451999999998</v>
      </c>
      <c r="J68" s="209">
        <v>19.379221000000001</v>
      </c>
      <c r="K68" s="209">
        <v>19.369596000000001</v>
      </c>
      <c r="L68" s="209">
        <v>19.360327000000002</v>
      </c>
      <c r="M68" s="209">
        <v>19.351662000000001</v>
      </c>
      <c r="N68" s="209">
        <v>19.343699999999998</v>
      </c>
      <c r="O68" s="209">
        <v>19.335771999999999</v>
      </c>
      <c r="P68" s="209">
        <v>19.328517999999999</v>
      </c>
      <c r="Q68" s="209">
        <v>19.320198000000001</v>
      </c>
      <c r="R68" s="209">
        <v>19.320457000000001</v>
      </c>
      <c r="S68" s="209">
        <v>19.303930000000001</v>
      </c>
      <c r="T68" s="209">
        <v>19.276167000000001</v>
      </c>
      <c r="U68" s="209">
        <v>19.278487999999999</v>
      </c>
      <c r="V68" s="209">
        <v>19.280404999999998</v>
      </c>
      <c r="W68" s="209">
        <v>19.310587000000002</v>
      </c>
      <c r="X68" s="209">
        <v>19.309146999999999</v>
      </c>
      <c r="Y68" s="209">
        <v>19.301651</v>
      </c>
      <c r="Z68" s="209">
        <v>19.294476</v>
      </c>
      <c r="AA68" s="209">
        <v>19.266328999999999</v>
      </c>
      <c r="AB68" s="209">
        <v>19.271349000000001</v>
      </c>
      <c r="AC68" s="209">
        <v>19.274885000000001</v>
      </c>
      <c r="AD68" s="209">
        <v>19.282909</v>
      </c>
      <c r="AE68" s="209">
        <v>19.308188999999999</v>
      </c>
      <c r="AF68" s="209">
        <v>19.315180000000002</v>
      </c>
      <c r="AG68" s="209">
        <v>19.319613</v>
      </c>
      <c r="AH68" s="210">
        <v>4.73E-4</v>
      </c>
    </row>
    <row r="69" spans="1:34" ht="15" customHeight="1" x14ac:dyDescent="0.3">
      <c r="A69" s="203" t="s">
        <v>430</v>
      </c>
      <c r="B69" s="208" t="s">
        <v>431</v>
      </c>
      <c r="C69" s="209">
        <v>28.461829999999999</v>
      </c>
      <c r="D69" s="209">
        <v>28.444407000000002</v>
      </c>
      <c r="E69" s="209">
        <v>28.425611</v>
      </c>
      <c r="F69" s="209">
        <v>28.430610999999999</v>
      </c>
      <c r="G69" s="209">
        <v>28.426397000000001</v>
      </c>
      <c r="H69" s="209">
        <v>28.410816000000001</v>
      </c>
      <c r="I69" s="209">
        <v>28.410643</v>
      </c>
      <c r="J69" s="209">
        <v>28.404917000000001</v>
      </c>
      <c r="K69" s="209">
        <v>28.393972000000002</v>
      </c>
      <c r="L69" s="209">
        <v>28.382809000000002</v>
      </c>
      <c r="M69" s="209">
        <v>28.384378000000002</v>
      </c>
      <c r="N69" s="209">
        <v>28.385469000000001</v>
      </c>
      <c r="O69" s="209">
        <v>28.383551000000001</v>
      </c>
      <c r="P69" s="209">
        <v>28.379474999999999</v>
      </c>
      <c r="Q69" s="209">
        <v>28.381682999999999</v>
      </c>
      <c r="R69" s="209">
        <v>28.384056000000001</v>
      </c>
      <c r="S69" s="209">
        <v>28.383585</v>
      </c>
      <c r="T69" s="209">
        <v>28.384052000000001</v>
      </c>
      <c r="U69" s="209">
        <v>28.388290000000001</v>
      </c>
      <c r="V69" s="209">
        <v>28.391366999999999</v>
      </c>
      <c r="W69" s="209">
        <v>28.388497999999998</v>
      </c>
      <c r="X69" s="209">
        <v>28.391012</v>
      </c>
      <c r="Y69" s="209">
        <v>28.398878</v>
      </c>
      <c r="Z69" s="209">
        <v>28.404837000000001</v>
      </c>
      <c r="AA69" s="209">
        <v>28.404747</v>
      </c>
      <c r="AB69" s="209">
        <v>28.404837000000001</v>
      </c>
      <c r="AC69" s="209">
        <v>28.405666</v>
      </c>
      <c r="AD69" s="209">
        <v>28.405745</v>
      </c>
      <c r="AE69" s="209">
        <v>28.408456999999999</v>
      </c>
      <c r="AF69" s="209">
        <v>28.408840000000001</v>
      </c>
      <c r="AG69" s="209">
        <v>28.414180999999999</v>
      </c>
      <c r="AH69" s="210">
        <v>-5.5999999999999999E-5</v>
      </c>
    </row>
    <row r="70" spans="1:34" ht="14.4" x14ac:dyDescent="0.3">
      <c r="A70" s="203" t="s">
        <v>432</v>
      </c>
      <c r="B70" s="208" t="s">
        <v>433</v>
      </c>
      <c r="C70" s="209">
        <v>18.965170000000001</v>
      </c>
      <c r="D70" s="209">
        <v>19.123833000000001</v>
      </c>
      <c r="E70" s="209">
        <v>19.296119999999998</v>
      </c>
      <c r="F70" s="209">
        <v>19.282087000000001</v>
      </c>
      <c r="G70" s="209">
        <v>19.073906000000001</v>
      </c>
      <c r="H70" s="209">
        <v>18.931747000000001</v>
      </c>
      <c r="I70" s="209">
        <v>18.887799999999999</v>
      </c>
      <c r="J70" s="209">
        <v>18.832236999999999</v>
      </c>
      <c r="K70" s="209">
        <v>18.730505000000001</v>
      </c>
      <c r="L70" s="209">
        <v>18.639585</v>
      </c>
      <c r="M70" s="209">
        <v>18.542287999999999</v>
      </c>
      <c r="N70" s="209">
        <v>18.545712999999999</v>
      </c>
      <c r="O70" s="209">
        <v>18.545573999999998</v>
      </c>
      <c r="P70" s="209">
        <v>18.609898000000001</v>
      </c>
      <c r="Q70" s="209">
        <v>18.586058000000001</v>
      </c>
      <c r="R70" s="209">
        <v>18.576267000000001</v>
      </c>
      <c r="S70" s="209">
        <v>18.626121999999999</v>
      </c>
      <c r="T70" s="209">
        <v>18.661646000000001</v>
      </c>
      <c r="U70" s="209">
        <v>18.765039000000002</v>
      </c>
      <c r="V70" s="209">
        <v>18.805761</v>
      </c>
      <c r="W70" s="209">
        <v>18.843643</v>
      </c>
      <c r="X70" s="209">
        <v>18.834778</v>
      </c>
      <c r="Y70" s="209">
        <v>18.874973000000001</v>
      </c>
      <c r="Z70" s="209">
        <v>18.909355000000001</v>
      </c>
      <c r="AA70" s="209">
        <v>18.914787</v>
      </c>
      <c r="AB70" s="209">
        <v>19.009039000000001</v>
      </c>
      <c r="AC70" s="209">
        <v>19.066224999999999</v>
      </c>
      <c r="AD70" s="209">
        <v>19.052852999999999</v>
      </c>
      <c r="AE70" s="209">
        <v>19.023752000000002</v>
      </c>
      <c r="AF70" s="209">
        <v>19.064440000000001</v>
      </c>
      <c r="AG70" s="209">
        <v>19.044858999999999</v>
      </c>
      <c r="AH70" s="210">
        <v>1.3999999999999999E-4</v>
      </c>
    </row>
    <row r="71" spans="1:34" ht="15" customHeight="1" x14ac:dyDescent="0.3">
      <c r="A71" s="203" t="s">
        <v>434</v>
      </c>
      <c r="B71" s="208" t="s">
        <v>414</v>
      </c>
      <c r="C71" s="209">
        <v>21.803574000000001</v>
      </c>
      <c r="D71" s="209">
        <v>23.877344000000001</v>
      </c>
      <c r="E71" s="209">
        <v>24.519646000000002</v>
      </c>
      <c r="F71" s="209">
        <v>24.553909000000001</v>
      </c>
      <c r="G71" s="209">
        <v>24.555077000000001</v>
      </c>
      <c r="H71" s="209">
        <v>24.556545</v>
      </c>
      <c r="I71" s="209">
        <v>24.558163</v>
      </c>
      <c r="J71" s="209">
        <v>24.560095</v>
      </c>
      <c r="K71" s="209">
        <v>24.562294000000001</v>
      </c>
      <c r="L71" s="209">
        <v>24.564135</v>
      </c>
      <c r="M71" s="209">
        <v>24.566006000000002</v>
      </c>
      <c r="N71" s="209">
        <v>24.567416999999999</v>
      </c>
      <c r="O71" s="209">
        <v>24.569372000000001</v>
      </c>
      <c r="P71" s="209">
        <v>24.571027999999998</v>
      </c>
      <c r="Q71" s="209">
        <v>24.572569000000001</v>
      </c>
      <c r="R71" s="209">
        <v>24.572277</v>
      </c>
      <c r="S71" s="209">
        <v>24.416414</v>
      </c>
      <c r="T71" s="209">
        <v>24.415298</v>
      </c>
      <c r="U71" s="209">
        <v>24.413433000000001</v>
      </c>
      <c r="V71" s="209">
        <v>24.411963</v>
      </c>
      <c r="W71" s="209">
        <v>24.410923</v>
      </c>
      <c r="X71" s="209">
        <v>24.409023000000001</v>
      </c>
      <c r="Y71" s="209">
        <v>24.406759000000001</v>
      </c>
      <c r="Z71" s="209">
        <v>24.364961999999998</v>
      </c>
      <c r="AA71" s="209">
        <v>24.290006999999999</v>
      </c>
      <c r="AB71" s="209">
        <v>24.287507999999999</v>
      </c>
      <c r="AC71" s="209">
        <v>24.284723</v>
      </c>
      <c r="AD71" s="209">
        <v>24.282084000000001</v>
      </c>
      <c r="AE71" s="209">
        <v>24.279228</v>
      </c>
      <c r="AF71" s="209">
        <v>24.275148000000002</v>
      </c>
      <c r="AG71" s="209">
        <v>24.271726999999998</v>
      </c>
      <c r="AH71" s="210">
        <v>3.581E-3</v>
      </c>
    </row>
    <row r="72" spans="1:34" ht="15" customHeight="1" x14ac:dyDescent="0.3">
      <c r="A72" s="203" t="s">
        <v>435</v>
      </c>
      <c r="B72" s="208" t="s">
        <v>416</v>
      </c>
      <c r="C72" s="209">
        <v>26.459833</v>
      </c>
      <c r="D72" s="209">
        <v>26.347705999999999</v>
      </c>
      <c r="E72" s="209">
        <v>26.128981</v>
      </c>
      <c r="F72" s="209">
        <v>25.58699</v>
      </c>
      <c r="G72" s="209">
        <v>25.522665</v>
      </c>
      <c r="H72" s="209">
        <v>25.523605</v>
      </c>
      <c r="I72" s="209">
        <v>25.521623999999999</v>
      </c>
      <c r="J72" s="209">
        <v>25.518833000000001</v>
      </c>
      <c r="K72" s="209">
        <v>25.515526000000001</v>
      </c>
      <c r="L72" s="209">
        <v>25.523022000000001</v>
      </c>
      <c r="M72" s="209">
        <v>25.526890000000002</v>
      </c>
      <c r="N72" s="209">
        <v>25.522734</v>
      </c>
      <c r="O72" s="209">
        <v>25.498999000000001</v>
      </c>
      <c r="P72" s="209">
        <v>25.499379999999999</v>
      </c>
      <c r="Q72" s="209">
        <v>25.492809000000001</v>
      </c>
      <c r="R72" s="209">
        <v>25.472090000000001</v>
      </c>
      <c r="S72" s="209">
        <v>25.474277000000001</v>
      </c>
      <c r="T72" s="209">
        <v>25.513757999999999</v>
      </c>
      <c r="U72" s="209">
        <v>25.504107999999999</v>
      </c>
      <c r="V72" s="209">
        <v>25.435742999999999</v>
      </c>
      <c r="W72" s="209">
        <v>25.415844</v>
      </c>
      <c r="X72" s="209">
        <v>25.386637</v>
      </c>
      <c r="Y72" s="209">
        <v>25.381466</v>
      </c>
      <c r="Z72" s="209">
        <v>25.371528999999999</v>
      </c>
      <c r="AA72" s="209">
        <v>25.363153000000001</v>
      </c>
      <c r="AB72" s="209">
        <v>25.322754</v>
      </c>
      <c r="AC72" s="209">
        <v>25.289442000000001</v>
      </c>
      <c r="AD72" s="209">
        <v>25.279551000000001</v>
      </c>
      <c r="AE72" s="209">
        <v>25.278866000000001</v>
      </c>
      <c r="AF72" s="209">
        <v>25.386240000000001</v>
      </c>
      <c r="AG72" s="209">
        <v>25.345205</v>
      </c>
      <c r="AH72" s="210">
        <v>-1.4339999999999999E-3</v>
      </c>
    </row>
    <row r="73" spans="1:34" ht="15" customHeight="1" x14ac:dyDescent="0.3">
      <c r="A73" s="203" t="s">
        <v>436</v>
      </c>
      <c r="B73" s="208" t="s">
        <v>437</v>
      </c>
      <c r="C73" s="209" t="s">
        <v>250</v>
      </c>
      <c r="D73" s="209" t="s">
        <v>250</v>
      </c>
      <c r="E73" s="209" t="s">
        <v>250</v>
      </c>
      <c r="F73" s="209" t="s">
        <v>250</v>
      </c>
      <c r="G73" s="209" t="s">
        <v>250</v>
      </c>
      <c r="H73" s="209" t="s">
        <v>250</v>
      </c>
      <c r="I73" s="209" t="s">
        <v>250</v>
      </c>
      <c r="J73" s="209" t="s">
        <v>250</v>
      </c>
      <c r="K73" s="209" t="s">
        <v>250</v>
      </c>
      <c r="L73" s="209" t="s">
        <v>250</v>
      </c>
      <c r="M73" s="209" t="s">
        <v>250</v>
      </c>
      <c r="N73" s="209" t="s">
        <v>250</v>
      </c>
      <c r="O73" s="209" t="s">
        <v>250</v>
      </c>
      <c r="P73" s="209" t="s">
        <v>250</v>
      </c>
      <c r="Q73" s="209" t="s">
        <v>250</v>
      </c>
      <c r="R73" s="209" t="s">
        <v>250</v>
      </c>
      <c r="S73" s="209" t="s">
        <v>250</v>
      </c>
      <c r="T73" s="209" t="s">
        <v>250</v>
      </c>
      <c r="U73" s="209" t="s">
        <v>250</v>
      </c>
      <c r="V73" s="209" t="s">
        <v>250</v>
      </c>
      <c r="W73" s="209" t="s">
        <v>250</v>
      </c>
      <c r="X73" s="209" t="s">
        <v>250</v>
      </c>
      <c r="Y73" s="209" t="s">
        <v>250</v>
      </c>
      <c r="Z73" s="209" t="s">
        <v>250</v>
      </c>
      <c r="AA73" s="209" t="s">
        <v>250</v>
      </c>
      <c r="AB73" s="209" t="s">
        <v>250</v>
      </c>
      <c r="AC73" s="209" t="s">
        <v>250</v>
      </c>
      <c r="AD73" s="209" t="s">
        <v>250</v>
      </c>
      <c r="AE73" s="209" t="s">
        <v>250</v>
      </c>
      <c r="AF73" s="209" t="s">
        <v>250</v>
      </c>
      <c r="AG73" s="209" t="s">
        <v>250</v>
      </c>
      <c r="AH73" s="210" t="s">
        <v>250</v>
      </c>
    </row>
    <row r="74" spans="1:34" ht="15" customHeight="1" x14ac:dyDescent="0.3">
      <c r="A74" s="203" t="s">
        <v>438</v>
      </c>
      <c r="B74" s="208" t="s">
        <v>439</v>
      </c>
      <c r="C74" s="209">
        <v>13.506</v>
      </c>
      <c r="D74" s="209">
        <v>13.506</v>
      </c>
      <c r="E74" s="209">
        <v>13.506000999999999</v>
      </c>
      <c r="F74" s="209">
        <v>13.506000999999999</v>
      </c>
      <c r="G74" s="209">
        <v>13.506000999999999</v>
      </c>
      <c r="H74" s="209">
        <v>13.506000999999999</v>
      </c>
      <c r="I74" s="209">
        <v>13.506000999999999</v>
      </c>
      <c r="J74" s="209">
        <v>13.506</v>
      </c>
      <c r="K74" s="209">
        <v>13.506</v>
      </c>
      <c r="L74" s="209">
        <v>13.506000999999999</v>
      </c>
      <c r="M74" s="209">
        <v>13.506000999999999</v>
      </c>
      <c r="N74" s="209">
        <v>13.506000999999999</v>
      </c>
      <c r="O74" s="209">
        <v>13.506</v>
      </c>
      <c r="P74" s="209">
        <v>13.506000999999999</v>
      </c>
      <c r="Q74" s="209">
        <v>13.506000999999999</v>
      </c>
      <c r="R74" s="209">
        <v>13.506000999999999</v>
      </c>
      <c r="S74" s="209">
        <v>13.506</v>
      </c>
      <c r="T74" s="209">
        <v>13.506</v>
      </c>
      <c r="U74" s="209">
        <v>13.506000999999999</v>
      </c>
      <c r="V74" s="209">
        <v>13.506000999999999</v>
      </c>
      <c r="W74" s="209">
        <v>13.506</v>
      </c>
      <c r="X74" s="209">
        <v>13.506000999999999</v>
      </c>
      <c r="Y74" s="209">
        <v>13.506000999999999</v>
      </c>
      <c r="Z74" s="209">
        <v>13.506000999999999</v>
      </c>
      <c r="AA74" s="209">
        <v>13.506000999999999</v>
      </c>
      <c r="AB74" s="209">
        <v>13.506</v>
      </c>
      <c r="AC74" s="209">
        <v>13.506</v>
      </c>
      <c r="AD74" s="209">
        <v>13.506</v>
      </c>
      <c r="AE74" s="209">
        <v>13.506</v>
      </c>
      <c r="AF74" s="209">
        <v>13.506000999999999</v>
      </c>
      <c r="AG74" s="209">
        <v>13.506</v>
      </c>
      <c r="AH74" s="210">
        <v>0</v>
      </c>
    </row>
    <row r="76" spans="1:34" ht="15" customHeight="1" x14ac:dyDescent="0.3">
      <c r="B76" s="207" t="s">
        <v>440</v>
      </c>
    </row>
    <row r="77" spans="1:34" ht="15" customHeight="1" x14ac:dyDescent="0.3">
      <c r="B77" s="207" t="s">
        <v>441</v>
      </c>
    </row>
    <row r="78" spans="1:34" ht="14.4" x14ac:dyDescent="0.3">
      <c r="A78" s="203" t="s">
        <v>442</v>
      </c>
      <c r="B78" s="208" t="s">
        <v>443</v>
      </c>
      <c r="C78" s="213">
        <v>3412</v>
      </c>
      <c r="D78" s="213">
        <v>3412</v>
      </c>
      <c r="E78" s="213">
        <v>3412</v>
      </c>
      <c r="F78" s="213">
        <v>3412</v>
      </c>
      <c r="G78" s="213">
        <v>3412</v>
      </c>
      <c r="H78" s="213">
        <v>3412</v>
      </c>
      <c r="I78" s="213">
        <v>3412</v>
      </c>
      <c r="J78" s="213">
        <v>3412</v>
      </c>
      <c r="K78" s="213">
        <v>3412</v>
      </c>
      <c r="L78" s="213">
        <v>3412</v>
      </c>
      <c r="M78" s="213">
        <v>3412</v>
      </c>
      <c r="N78" s="213">
        <v>3412</v>
      </c>
      <c r="O78" s="213">
        <v>3412</v>
      </c>
      <c r="P78" s="213">
        <v>3412</v>
      </c>
      <c r="Q78" s="213">
        <v>3412</v>
      </c>
      <c r="R78" s="213">
        <v>3412</v>
      </c>
      <c r="S78" s="213">
        <v>3412</v>
      </c>
      <c r="T78" s="213">
        <v>3412</v>
      </c>
      <c r="U78" s="213">
        <v>3412</v>
      </c>
      <c r="V78" s="213">
        <v>3412</v>
      </c>
      <c r="W78" s="213">
        <v>3412</v>
      </c>
      <c r="X78" s="213">
        <v>3412</v>
      </c>
      <c r="Y78" s="213">
        <v>3412</v>
      </c>
      <c r="Z78" s="213">
        <v>3412</v>
      </c>
      <c r="AA78" s="213">
        <v>3412</v>
      </c>
      <c r="AB78" s="213">
        <v>3412</v>
      </c>
      <c r="AC78" s="213">
        <v>3412</v>
      </c>
      <c r="AD78" s="213">
        <v>3412</v>
      </c>
      <c r="AE78" s="213">
        <v>3412</v>
      </c>
      <c r="AF78" s="213">
        <v>3412</v>
      </c>
      <c r="AG78" s="213">
        <v>3412</v>
      </c>
      <c r="AH78" s="210">
        <v>0</v>
      </c>
    </row>
    <row r="79" spans="1:34" ht="15" customHeight="1" thickBot="1" x14ac:dyDescent="0.35">
      <c r="A79" s="203" t="s">
        <v>444</v>
      </c>
      <c r="B79" s="208" t="s">
        <v>445</v>
      </c>
      <c r="C79" s="213">
        <v>8813.9736329999996</v>
      </c>
      <c r="D79" s="213">
        <v>8888.75</v>
      </c>
      <c r="E79" s="213">
        <v>8900.5576170000004</v>
      </c>
      <c r="F79" s="213">
        <v>8681.8740230000003</v>
      </c>
      <c r="G79" s="213">
        <v>8583.3349610000005</v>
      </c>
      <c r="H79" s="213">
        <v>8331.1445309999999</v>
      </c>
      <c r="I79" s="213">
        <v>8270.6992190000001</v>
      </c>
      <c r="J79" s="213">
        <v>8207.6904300000006</v>
      </c>
      <c r="K79" s="213">
        <v>8195.6640619999998</v>
      </c>
      <c r="L79" s="213">
        <v>8180.2568359999996</v>
      </c>
      <c r="M79" s="213">
        <v>8174.5834960000002</v>
      </c>
      <c r="N79" s="213">
        <v>8143.1289059999999</v>
      </c>
      <c r="O79" s="213">
        <v>8114.2529299999997</v>
      </c>
      <c r="P79" s="213">
        <v>8096.6523440000001</v>
      </c>
      <c r="Q79" s="213">
        <v>8080.8422849999997</v>
      </c>
      <c r="R79" s="213">
        <v>8058.7602539999998</v>
      </c>
      <c r="S79" s="213">
        <v>8044.7465819999998</v>
      </c>
      <c r="T79" s="213">
        <v>8019.1503910000001</v>
      </c>
      <c r="U79" s="213">
        <v>7976.8320309999999</v>
      </c>
      <c r="V79" s="213">
        <v>7954.623047</v>
      </c>
      <c r="W79" s="213">
        <v>7933.0766599999997</v>
      </c>
      <c r="X79" s="213">
        <v>7915.2524409999996</v>
      </c>
      <c r="Y79" s="213">
        <v>7900.6010740000002</v>
      </c>
      <c r="Z79" s="213">
        <v>7871.0732420000004</v>
      </c>
      <c r="AA79" s="213">
        <v>7850.0556640000004</v>
      </c>
      <c r="AB79" s="213">
        <v>7821.7221680000002</v>
      </c>
      <c r="AC79" s="213">
        <v>7808.6508789999998</v>
      </c>
      <c r="AD79" s="213">
        <v>7797.0405270000001</v>
      </c>
      <c r="AE79" s="213">
        <v>7788.7275390000004</v>
      </c>
      <c r="AF79" s="213">
        <v>7768.7768550000001</v>
      </c>
      <c r="AG79" s="213">
        <v>7750.7514650000003</v>
      </c>
      <c r="AH79" s="210">
        <v>-4.2760000000000003E-3</v>
      </c>
    </row>
    <row r="80" spans="1:34" ht="15" customHeight="1" x14ac:dyDescent="0.3">
      <c r="B80" s="233" t="s">
        <v>446</v>
      </c>
      <c r="C80" s="234"/>
      <c r="D80" s="234"/>
      <c r="E80" s="234"/>
      <c r="F80" s="234"/>
      <c r="G80" s="234"/>
      <c r="H80" s="234"/>
      <c r="I80" s="234"/>
      <c r="J80" s="234"/>
      <c r="K80" s="234"/>
      <c r="L80" s="234"/>
      <c r="M80" s="234"/>
      <c r="N80" s="234"/>
      <c r="O80" s="234"/>
      <c r="P80" s="234"/>
      <c r="Q80" s="234"/>
      <c r="R80" s="234"/>
      <c r="S80" s="234"/>
      <c r="T80" s="234"/>
      <c r="U80" s="234"/>
      <c r="V80" s="234"/>
      <c r="W80" s="234"/>
      <c r="X80" s="234"/>
      <c r="Y80" s="234"/>
      <c r="Z80" s="234"/>
      <c r="AA80" s="234"/>
      <c r="AB80" s="234"/>
      <c r="AC80" s="234"/>
      <c r="AD80" s="234"/>
      <c r="AE80" s="234"/>
      <c r="AF80" s="234"/>
      <c r="AG80" s="234"/>
      <c r="AH80" s="215"/>
    </row>
    <row r="81" spans="2:34" ht="15" customHeight="1" x14ac:dyDescent="0.3">
      <c r="B81" s="216" t="s">
        <v>447</v>
      </c>
    </row>
    <row r="82" spans="2:34" ht="15" customHeight="1" x14ac:dyDescent="0.3">
      <c r="B82" s="216" t="s">
        <v>448</v>
      </c>
    </row>
    <row r="83" spans="2:34" ht="15" customHeight="1" x14ac:dyDescent="0.3">
      <c r="B83" s="216" t="s">
        <v>449</v>
      </c>
    </row>
    <row r="84" spans="2:34" ht="14.4" x14ac:dyDescent="0.3">
      <c r="B84" s="216" t="s">
        <v>450</v>
      </c>
    </row>
    <row r="85" spans="2:34" ht="15" customHeight="1" x14ac:dyDescent="0.3">
      <c r="B85" s="216" t="s">
        <v>451</v>
      </c>
    </row>
    <row r="88" spans="2:34" ht="15" customHeight="1" x14ac:dyDescent="0.3">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c r="AG88" s="235"/>
      <c r="AH88" s="235"/>
    </row>
    <row r="213" spans="2:34" ht="15" customHeight="1" x14ac:dyDescent="0.3">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c r="AA213" s="235"/>
      <c r="AB213" s="235"/>
      <c r="AC213" s="235"/>
      <c r="AD213" s="235"/>
      <c r="AE213" s="235"/>
      <c r="AF213" s="235"/>
      <c r="AG213" s="235"/>
      <c r="AH213" s="235"/>
    </row>
    <row r="379" spans="2:34" ht="15" customHeight="1" x14ac:dyDescent="0.3">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c r="AA379" s="235"/>
      <c r="AB379" s="235"/>
      <c r="AC379" s="235"/>
      <c r="AD379" s="235"/>
      <c r="AE379" s="235"/>
      <c r="AF379" s="235"/>
      <c r="AG379" s="235"/>
      <c r="AH379" s="235"/>
    </row>
    <row r="496" spans="2:34" ht="15" customHeight="1" x14ac:dyDescent="0.3">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c r="AA496" s="235"/>
      <c r="AB496" s="235"/>
      <c r="AC496" s="235"/>
      <c r="AD496" s="235"/>
      <c r="AE496" s="235"/>
      <c r="AF496" s="235"/>
      <c r="AG496" s="235"/>
      <c r="AH496" s="235"/>
    </row>
    <row r="648" spans="2:34" ht="15" customHeight="1" x14ac:dyDescent="0.3">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c r="AA648" s="235"/>
      <c r="AB648" s="235"/>
      <c r="AC648" s="235"/>
      <c r="AD648" s="235"/>
      <c r="AE648" s="235"/>
      <c r="AF648" s="235"/>
      <c r="AG648" s="235"/>
      <c r="AH648" s="235"/>
    </row>
    <row r="748" spans="2:34" ht="15" customHeight="1" x14ac:dyDescent="0.3">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c r="AA748" s="235"/>
      <c r="AB748" s="235"/>
      <c r="AC748" s="235"/>
      <c r="AD748" s="235"/>
      <c r="AE748" s="235"/>
      <c r="AF748" s="235"/>
      <c r="AG748" s="235"/>
      <c r="AH748" s="235"/>
    </row>
    <row r="839" spans="2:34" ht="15" customHeight="1" x14ac:dyDescent="0.3">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c r="AA839" s="235"/>
      <c r="AB839" s="235"/>
      <c r="AC839" s="235"/>
      <c r="AD839" s="235"/>
      <c r="AE839" s="235"/>
      <c r="AF839" s="235"/>
      <c r="AG839" s="235"/>
      <c r="AH839" s="235"/>
    </row>
    <row r="910" spans="2:34" ht="15" customHeight="1" x14ac:dyDescent="0.3">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c r="AA910" s="235"/>
      <c r="AB910" s="235"/>
      <c r="AC910" s="235"/>
      <c r="AD910" s="235"/>
      <c r="AE910" s="235"/>
      <c r="AF910" s="235"/>
      <c r="AG910" s="235"/>
      <c r="AH910" s="235"/>
    </row>
    <row r="1005" spans="2:34" ht="15" customHeight="1" x14ac:dyDescent="0.3">
      <c r="B1005" s="235"/>
      <c r="C1005" s="235"/>
      <c r="D1005" s="235"/>
      <c r="E1005" s="235"/>
      <c r="F1005" s="235"/>
      <c r="G1005" s="235"/>
      <c r="H1005" s="235"/>
      <c r="I1005" s="235"/>
      <c r="J1005" s="235"/>
      <c r="K1005" s="235"/>
      <c r="L1005" s="235"/>
      <c r="M1005" s="235"/>
      <c r="N1005" s="235"/>
      <c r="O1005" s="235"/>
      <c r="P1005" s="235"/>
      <c r="Q1005" s="235"/>
      <c r="R1005" s="235"/>
      <c r="S1005" s="235"/>
      <c r="T1005" s="235"/>
      <c r="U1005" s="235"/>
      <c r="V1005" s="235"/>
      <c r="W1005" s="235"/>
      <c r="X1005" s="235"/>
      <c r="Y1005" s="235"/>
      <c r="Z1005" s="235"/>
      <c r="AA1005" s="235"/>
      <c r="AB1005" s="235"/>
      <c r="AC1005" s="235"/>
      <c r="AD1005" s="235"/>
      <c r="AE1005" s="235"/>
      <c r="AF1005" s="235"/>
      <c r="AG1005" s="235"/>
      <c r="AH1005" s="235"/>
    </row>
    <row r="1105" spans="2:34" ht="15" customHeight="1" x14ac:dyDescent="0.3">
      <c r="B1105" s="235"/>
      <c r="C1105" s="235"/>
      <c r="D1105" s="235"/>
      <c r="E1105" s="235"/>
      <c r="F1105" s="235"/>
      <c r="G1105" s="235"/>
      <c r="H1105" s="235"/>
      <c r="I1105" s="235"/>
      <c r="J1105" s="235"/>
      <c r="K1105" s="235"/>
      <c r="L1105" s="235"/>
      <c r="M1105" s="235"/>
      <c r="N1105" s="235"/>
      <c r="O1105" s="235"/>
      <c r="P1105" s="235"/>
      <c r="Q1105" s="235"/>
      <c r="R1105" s="235"/>
      <c r="S1105" s="235"/>
      <c r="T1105" s="235"/>
      <c r="U1105" s="235"/>
      <c r="V1105" s="235"/>
      <c r="W1105" s="235"/>
      <c r="X1105" s="235"/>
      <c r="Y1105" s="235"/>
      <c r="Z1105" s="235"/>
      <c r="AA1105" s="235"/>
      <c r="AB1105" s="235"/>
      <c r="AC1105" s="235"/>
      <c r="AD1105" s="235"/>
      <c r="AE1105" s="235"/>
      <c r="AF1105" s="235"/>
      <c r="AG1105" s="235"/>
      <c r="AH1105" s="235"/>
    </row>
    <row r="1180" spans="2:34" ht="15" customHeight="1" x14ac:dyDescent="0.3">
      <c r="B1180" s="235"/>
      <c r="C1180" s="235"/>
      <c r="D1180" s="235"/>
      <c r="E1180" s="235"/>
      <c r="F1180" s="235"/>
      <c r="G1180" s="235"/>
      <c r="H1180" s="235"/>
      <c r="I1180" s="235"/>
      <c r="J1180" s="235"/>
      <c r="K1180" s="235"/>
      <c r="L1180" s="235"/>
      <c r="M1180" s="235"/>
      <c r="N1180" s="235"/>
      <c r="O1180" s="235"/>
      <c r="P1180" s="235"/>
      <c r="Q1180" s="235"/>
      <c r="R1180" s="235"/>
      <c r="S1180" s="235"/>
      <c r="T1180" s="235"/>
      <c r="U1180" s="235"/>
      <c r="V1180" s="235"/>
      <c r="W1180" s="235"/>
      <c r="X1180" s="235"/>
      <c r="Y1180" s="235"/>
      <c r="Z1180" s="235"/>
      <c r="AA1180" s="235"/>
      <c r="AB1180" s="235"/>
      <c r="AC1180" s="235"/>
      <c r="AD1180" s="235"/>
      <c r="AE1180" s="235"/>
      <c r="AF1180" s="235"/>
      <c r="AG1180" s="235"/>
      <c r="AH1180" s="235"/>
    </row>
    <row r="1255" spans="2:34" ht="15" customHeight="1" x14ac:dyDescent="0.3">
      <c r="B1255" s="235"/>
      <c r="C1255" s="235"/>
      <c r="D1255" s="235"/>
      <c r="E1255" s="235"/>
      <c r="F1255" s="235"/>
      <c r="G1255" s="235"/>
      <c r="H1255" s="235"/>
      <c r="I1255" s="235"/>
      <c r="J1255" s="235"/>
      <c r="K1255" s="235"/>
      <c r="L1255" s="235"/>
      <c r="M1255" s="235"/>
      <c r="N1255" s="235"/>
      <c r="O1255" s="235"/>
      <c r="P1255" s="235"/>
      <c r="Q1255" s="235"/>
      <c r="R1255" s="235"/>
      <c r="S1255" s="235"/>
      <c r="T1255" s="235"/>
      <c r="U1255" s="235"/>
      <c r="V1255" s="235"/>
      <c r="W1255" s="235"/>
      <c r="X1255" s="235"/>
      <c r="Y1255" s="235"/>
      <c r="Z1255" s="235"/>
      <c r="AA1255" s="235"/>
      <c r="AB1255" s="235"/>
      <c r="AC1255" s="235"/>
      <c r="AD1255" s="235"/>
      <c r="AE1255" s="235"/>
      <c r="AF1255" s="235"/>
      <c r="AG1255" s="235"/>
      <c r="AH1255" s="235"/>
    </row>
    <row r="1355" spans="2:34" ht="15" customHeight="1" x14ac:dyDescent="0.3">
      <c r="B1355" s="235"/>
      <c r="C1355" s="235"/>
      <c r="D1355" s="235"/>
      <c r="E1355" s="235"/>
      <c r="F1355" s="235"/>
      <c r="G1355" s="235"/>
      <c r="H1355" s="235"/>
      <c r="I1355" s="235"/>
      <c r="J1355" s="235"/>
      <c r="K1355" s="235"/>
      <c r="L1355" s="235"/>
      <c r="M1355" s="235"/>
      <c r="N1355" s="235"/>
      <c r="O1355" s="235"/>
      <c r="P1355" s="235"/>
      <c r="Q1355" s="235"/>
      <c r="R1355" s="235"/>
      <c r="S1355" s="235"/>
      <c r="T1355" s="235"/>
      <c r="U1355" s="235"/>
      <c r="V1355" s="235"/>
      <c r="W1355" s="235"/>
      <c r="X1355" s="235"/>
      <c r="Y1355" s="235"/>
      <c r="Z1355" s="235"/>
      <c r="AA1355" s="235"/>
      <c r="AB1355" s="235"/>
      <c r="AC1355" s="235"/>
      <c r="AD1355" s="235"/>
      <c r="AE1355" s="235"/>
      <c r="AF1355" s="235"/>
      <c r="AG1355" s="235"/>
      <c r="AH1355" s="235"/>
    </row>
    <row r="1527" spans="2:34" ht="15" customHeight="1" x14ac:dyDescent="0.3">
      <c r="B1527" s="235"/>
      <c r="C1527" s="235"/>
      <c r="D1527" s="235"/>
      <c r="E1527" s="235"/>
      <c r="F1527" s="235"/>
      <c r="G1527" s="235"/>
      <c r="H1527" s="235"/>
      <c r="I1527" s="235"/>
      <c r="J1527" s="235"/>
      <c r="K1527" s="235"/>
      <c r="L1527" s="235"/>
      <c r="M1527" s="235"/>
      <c r="N1527" s="235"/>
      <c r="O1527" s="235"/>
      <c r="P1527" s="235"/>
      <c r="Q1527" s="235"/>
      <c r="R1527" s="235"/>
      <c r="S1527" s="235"/>
      <c r="T1527" s="235"/>
      <c r="U1527" s="235"/>
      <c r="V1527" s="235"/>
      <c r="W1527" s="235"/>
      <c r="X1527" s="235"/>
      <c r="Y1527" s="235"/>
      <c r="Z1527" s="235"/>
      <c r="AA1527" s="235"/>
      <c r="AB1527" s="235"/>
      <c r="AC1527" s="235"/>
      <c r="AD1527" s="235"/>
      <c r="AE1527" s="235"/>
      <c r="AF1527" s="235"/>
      <c r="AG1527" s="235"/>
      <c r="AH1527" s="235"/>
    </row>
    <row r="1622" spans="2:34" ht="15" customHeight="1" x14ac:dyDescent="0.3">
      <c r="B1622" s="235"/>
      <c r="C1622" s="235"/>
      <c r="D1622" s="235"/>
      <c r="E1622" s="235"/>
      <c r="F1622" s="235"/>
      <c r="G1622" s="235"/>
      <c r="H1622" s="235"/>
      <c r="I1622" s="235"/>
      <c r="J1622" s="235"/>
      <c r="K1622" s="235"/>
      <c r="L1622" s="235"/>
      <c r="M1622" s="235"/>
      <c r="N1622" s="235"/>
      <c r="O1622" s="235"/>
      <c r="P1622" s="235"/>
      <c r="Q1622" s="235"/>
      <c r="R1622" s="235"/>
      <c r="S1622" s="235"/>
      <c r="T1622" s="235"/>
      <c r="U1622" s="235"/>
      <c r="V1622" s="235"/>
      <c r="W1622" s="235"/>
      <c r="X1622" s="235"/>
      <c r="Y1622" s="235"/>
      <c r="Z1622" s="235"/>
      <c r="AA1622" s="235"/>
      <c r="AB1622" s="235"/>
      <c r="AC1622" s="235"/>
      <c r="AD1622" s="235"/>
      <c r="AE1622" s="235"/>
      <c r="AF1622" s="235"/>
      <c r="AG1622" s="235"/>
      <c r="AH1622" s="235"/>
    </row>
    <row r="1740" spans="2:34" ht="15" customHeight="1" x14ac:dyDescent="0.3">
      <c r="B1740" s="235"/>
      <c r="C1740" s="235"/>
      <c r="D1740" s="235"/>
      <c r="E1740" s="235"/>
      <c r="F1740" s="235"/>
      <c r="G1740" s="235"/>
      <c r="H1740" s="235"/>
      <c r="I1740" s="235"/>
      <c r="J1740" s="235"/>
      <c r="K1740" s="235"/>
      <c r="L1740" s="235"/>
      <c r="M1740" s="235"/>
      <c r="N1740" s="235"/>
      <c r="O1740" s="235"/>
      <c r="P1740" s="235"/>
      <c r="Q1740" s="235"/>
      <c r="R1740" s="235"/>
      <c r="S1740" s="235"/>
      <c r="T1740" s="235"/>
      <c r="U1740" s="235"/>
      <c r="V1740" s="235"/>
      <c r="W1740" s="235"/>
      <c r="X1740" s="235"/>
      <c r="Y1740" s="235"/>
      <c r="Z1740" s="235"/>
      <c r="AA1740" s="235"/>
      <c r="AB1740" s="235"/>
      <c r="AC1740" s="235"/>
      <c r="AD1740" s="235"/>
      <c r="AE1740" s="235"/>
      <c r="AF1740" s="235"/>
      <c r="AG1740" s="235"/>
      <c r="AH1740" s="235"/>
    </row>
    <row r="1840" spans="2:34" ht="15" customHeight="1" x14ac:dyDescent="0.3">
      <c r="B1840" s="235"/>
      <c r="C1840" s="235"/>
      <c r="D1840" s="235"/>
      <c r="E1840" s="235"/>
      <c r="F1840" s="235"/>
      <c r="G1840" s="235"/>
      <c r="H1840" s="235"/>
      <c r="I1840" s="235"/>
      <c r="J1840" s="235"/>
      <c r="K1840" s="235"/>
      <c r="L1840" s="235"/>
      <c r="M1840" s="235"/>
      <c r="N1840" s="235"/>
      <c r="O1840" s="235"/>
      <c r="P1840" s="235"/>
      <c r="Q1840" s="235"/>
      <c r="R1840" s="235"/>
      <c r="S1840" s="235"/>
      <c r="T1840" s="235"/>
      <c r="U1840" s="235"/>
      <c r="V1840" s="235"/>
      <c r="W1840" s="235"/>
      <c r="X1840" s="235"/>
      <c r="Y1840" s="235"/>
      <c r="Z1840" s="235"/>
      <c r="AA1840" s="235"/>
      <c r="AB1840" s="235"/>
      <c r="AC1840" s="235"/>
      <c r="AD1840" s="235"/>
      <c r="AE1840" s="235"/>
      <c r="AF1840" s="235"/>
      <c r="AG1840" s="235"/>
      <c r="AH1840" s="235"/>
    </row>
    <row r="1940" spans="2:34" ht="15" customHeight="1" x14ac:dyDescent="0.3">
      <c r="B1940" s="235"/>
      <c r="C1940" s="235"/>
      <c r="D1940" s="235"/>
      <c r="E1940" s="235"/>
      <c r="F1940" s="235"/>
      <c r="G1940" s="235"/>
      <c r="H1940" s="235"/>
      <c r="I1940" s="235"/>
      <c r="J1940" s="235"/>
      <c r="K1940" s="235"/>
      <c r="L1940" s="235"/>
      <c r="M1940" s="235"/>
      <c r="N1940" s="235"/>
      <c r="O1940" s="235"/>
      <c r="P1940" s="235"/>
      <c r="Q1940" s="235"/>
      <c r="R1940" s="235"/>
      <c r="S1940" s="235"/>
      <c r="T1940" s="235"/>
      <c r="U1940" s="235"/>
      <c r="V1940" s="235"/>
      <c r="W1940" s="235"/>
      <c r="X1940" s="235"/>
      <c r="Y1940" s="235"/>
      <c r="Z1940" s="235"/>
      <c r="AA1940" s="235"/>
      <c r="AB1940" s="235"/>
      <c r="AC1940" s="235"/>
      <c r="AD1940" s="235"/>
      <c r="AE1940" s="235"/>
      <c r="AF1940" s="235"/>
      <c r="AG1940" s="235"/>
      <c r="AH1940" s="235"/>
    </row>
    <row r="2040" spans="2:34" ht="15" customHeight="1" x14ac:dyDescent="0.3">
      <c r="B2040" s="235"/>
      <c r="C2040" s="235"/>
      <c r="D2040" s="235"/>
      <c r="E2040" s="235"/>
      <c r="F2040" s="235"/>
      <c r="G2040" s="235"/>
      <c r="H2040" s="235"/>
      <c r="I2040" s="235"/>
      <c r="J2040" s="235"/>
      <c r="K2040" s="235"/>
      <c r="L2040" s="235"/>
      <c r="M2040" s="235"/>
      <c r="N2040" s="235"/>
      <c r="O2040" s="235"/>
      <c r="P2040" s="235"/>
      <c r="Q2040" s="235"/>
      <c r="R2040" s="235"/>
      <c r="S2040" s="235"/>
      <c r="T2040" s="235"/>
      <c r="U2040" s="235"/>
      <c r="V2040" s="235"/>
      <c r="W2040" s="235"/>
      <c r="X2040" s="235"/>
      <c r="Y2040" s="235"/>
      <c r="Z2040" s="235"/>
      <c r="AA2040" s="235"/>
      <c r="AB2040" s="235"/>
      <c r="AC2040" s="235"/>
      <c r="AD2040" s="235"/>
      <c r="AE2040" s="235"/>
      <c r="AF2040" s="235"/>
      <c r="AG2040" s="235"/>
      <c r="AH2040" s="235"/>
    </row>
    <row r="2140" spans="2:34" ht="15" customHeight="1" x14ac:dyDescent="0.3">
      <c r="B2140" s="235"/>
      <c r="C2140" s="235"/>
      <c r="D2140" s="235"/>
      <c r="E2140" s="235"/>
      <c r="F2140" s="235"/>
      <c r="G2140" s="235"/>
      <c r="H2140" s="235"/>
      <c r="I2140" s="235"/>
      <c r="J2140" s="235"/>
      <c r="K2140" s="235"/>
      <c r="L2140" s="235"/>
      <c r="M2140" s="235"/>
      <c r="N2140" s="235"/>
      <c r="O2140" s="235"/>
      <c r="P2140" s="235"/>
      <c r="Q2140" s="235"/>
      <c r="R2140" s="235"/>
      <c r="S2140" s="235"/>
      <c r="T2140" s="235"/>
      <c r="U2140" s="235"/>
      <c r="V2140" s="235"/>
      <c r="W2140" s="235"/>
      <c r="X2140" s="235"/>
      <c r="Y2140" s="235"/>
      <c r="Z2140" s="235"/>
      <c r="AA2140" s="235"/>
      <c r="AB2140" s="235"/>
      <c r="AC2140" s="235"/>
      <c r="AD2140" s="235"/>
      <c r="AE2140" s="235"/>
      <c r="AF2140" s="235"/>
      <c r="AG2140" s="235"/>
      <c r="AH2140" s="235"/>
    </row>
    <row r="2240" spans="2:34" ht="15" customHeight="1" x14ac:dyDescent="0.3">
      <c r="B2240" s="235"/>
      <c r="C2240" s="235"/>
      <c r="D2240" s="235"/>
      <c r="E2240" s="235"/>
      <c r="F2240" s="235"/>
      <c r="G2240" s="235"/>
      <c r="H2240" s="235"/>
      <c r="I2240" s="235"/>
      <c r="J2240" s="235"/>
      <c r="K2240" s="235"/>
      <c r="L2240" s="235"/>
      <c r="M2240" s="235"/>
      <c r="N2240" s="235"/>
      <c r="O2240" s="235"/>
      <c r="P2240" s="235"/>
      <c r="Q2240" s="235"/>
      <c r="R2240" s="235"/>
      <c r="S2240" s="235"/>
      <c r="T2240" s="235"/>
      <c r="U2240" s="235"/>
      <c r="V2240" s="235"/>
      <c r="W2240" s="235"/>
      <c r="X2240" s="235"/>
      <c r="Y2240" s="235"/>
      <c r="Z2240" s="235"/>
      <c r="AA2240" s="235"/>
      <c r="AB2240" s="235"/>
      <c r="AC2240" s="235"/>
      <c r="AD2240" s="235"/>
      <c r="AE2240" s="235"/>
      <c r="AF2240" s="235"/>
      <c r="AG2240" s="235"/>
      <c r="AH2240" s="235"/>
    </row>
    <row r="2340" spans="2:34" ht="15" customHeight="1" x14ac:dyDescent="0.3">
      <c r="B2340" s="235"/>
      <c r="C2340" s="235"/>
      <c r="D2340" s="235"/>
      <c r="E2340" s="235"/>
      <c r="F2340" s="235"/>
      <c r="G2340" s="235"/>
      <c r="H2340" s="235"/>
      <c r="I2340" s="235"/>
      <c r="J2340" s="235"/>
      <c r="K2340" s="235"/>
      <c r="L2340" s="235"/>
      <c r="M2340" s="235"/>
      <c r="N2340" s="235"/>
      <c r="O2340" s="235"/>
      <c r="P2340" s="235"/>
      <c r="Q2340" s="235"/>
      <c r="R2340" s="235"/>
      <c r="S2340" s="235"/>
      <c r="T2340" s="235"/>
      <c r="U2340" s="235"/>
      <c r="V2340" s="235"/>
      <c r="W2340" s="235"/>
      <c r="X2340" s="235"/>
      <c r="Y2340" s="235"/>
      <c r="Z2340" s="235"/>
      <c r="AA2340" s="235"/>
      <c r="AB2340" s="235"/>
      <c r="AC2340" s="235"/>
      <c r="AD2340" s="235"/>
      <c r="AE2340" s="235"/>
      <c r="AF2340" s="235"/>
      <c r="AG2340" s="235"/>
      <c r="AH2340" s="235"/>
    </row>
    <row r="2440" spans="2:34" ht="15" customHeight="1" x14ac:dyDescent="0.3">
      <c r="B2440" s="235"/>
      <c r="C2440" s="235"/>
      <c r="D2440" s="235"/>
      <c r="E2440" s="235"/>
      <c r="F2440" s="235"/>
      <c r="G2440" s="235"/>
      <c r="H2440" s="235"/>
      <c r="I2440" s="235"/>
      <c r="J2440" s="235"/>
      <c r="K2440" s="235"/>
      <c r="L2440" s="235"/>
      <c r="M2440" s="235"/>
      <c r="N2440" s="235"/>
      <c r="O2440" s="235"/>
      <c r="P2440" s="235"/>
      <c r="Q2440" s="235"/>
      <c r="R2440" s="235"/>
      <c r="S2440" s="235"/>
      <c r="T2440" s="235"/>
      <c r="U2440" s="235"/>
      <c r="V2440" s="235"/>
      <c r="W2440" s="235"/>
      <c r="X2440" s="235"/>
      <c r="Y2440" s="235"/>
      <c r="Z2440" s="235"/>
      <c r="AA2440" s="235"/>
      <c r="AB2440" s="235"/>
      <c r="AC2440" s="235"/>
      <c r="AD2440" s="235"/>
      <c r="AE2440" s="235"/>
      <c r="AF2440" s="235"/>
      <c r="AG2440" s="235"/>
      <c r="AH2440" s="235"/>
    </row>
    <row r="2540" spans="2:34" ht="15" customHeight="1" x14ac:dyDescent="0.3">
      <c r="B2540" s="235"/>
      <c r="C2540" s="235"/>
      <c r="D2540" s="235"/>
      <c r="E2540" s="235"/>
      <c r="F2540" s="235"/>
      <c r="G2540" s="235"/>
      <c r="H2540" s="235"/>
      <c r="I2540" s="235"/>
      <c r="J2540" s="235"/>
      <c r="K2540" s="235"/>
      <c r="L2540" s="235"/>
      <c r="M2540" s="235"/>
      <c r="N2540" s="235"/>
      <c r="O2540" s="235"/>
      <c r="P2540" s="235"/>
      <c r="Q2540" s="235"/>
      <c r="R2540" s="235"/>
      <c r="S2540" s="235"/>
      <c r="T2540" s="235"/>
      <c r="U2540" s="235"/>
      <c r="V2540" s="235"/>
      <c r="W2540" s="235"/>
      <c r="X2540" s="235"/>
      <c r="Y2540" s="235"/>
      <c r="Z2540" s="235"/>
      <c r="AA2540" s="235"/>
      <c r="AB2540" s="235"/>
      <c r="AC2540" s="235"/>
      <c r="AD2540" s="235"/>
      <c r="AE2540" s="235"/>
      <c r="AF2540" s="235"/>
      <c r="AG2540" s="235"/>
      <c r="AH2540" s="235"/>
    </row>
  </sheetData>
  <mergeCells count="25">
    <mergeCell ref="B1622:AH1622"/>
    <mergeCell ref="B1740:AH1740"/>
    <mergeCell ref="B1840:AH1840"/>
    <mergeCell ref="B1940:AH1940"/>
    <mergeCell ref="B2540:AH2540"/>
    <mergeCell ref="B2040:AH2040"/>
    <mergeCell ref="B2140:AH2140"/>
    <mergeCell ref="B2240:AH2240"/>
    <mergeCell ref="B2340:AH2340"/>
    <mergeCell ref="B2440:AH2440"/>
    <mergeCell ref="B1105:AH1105"/>
    <mergeCell ref="B1180:AH1180"/>
    <mergeCell ref="B1255:AH1255"/>
    <mergeCell ref="B1355:AH1355"/>
    <mergeCell ref="B1527:AH1527"/>
    <mergeCell ref="B648:AH648"/>
    <mergeCell ref="B748:AH748"/>
    <mergeCell ref="B839:AH839"/>
    <mergeCell ref="B910:AH910"/>
    <mergeCell ref="B1005:AH1005"/>
    <mergeCell ref="B80:AG80"/>
    <mergeCell ref="B88:AH88"/>
    <mergeCell ref="B213:AH213"/>
    <mergeCell ref="B379:AH379"/>
    <mergeCell ref="B496:AH496"/>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63"/>
  <sheetViews>
    <sheetView zoomScale="80" zoomScaleNormal="80" workbookViewId="0"/>
  </sheetViews>
  <sheetFormatPr defaultColWidth="9.109375" defaultRowHeight="14.4" x14ac:dyDescent="0.3"/>
  <cols>
    <col min="1" max="1" width="33.109375" customWidth="1"/>
    <col min="2" max="2" width="13.44140625" bestFit="1" customWidth="1"/>
    <col min="3" max="3" width="11.44140625" customWidth="1"/>
    <col min="4" max="4" width="12.88671875" bestFit="1" customWidth="1"/>
    <col min="5" max="5" width="10.44140625" bestFit="1" customWidth="1"/>
    <col min="6" max="6" width="11.33203125" customWidth="1"/>
    <col min="7" max="7" width="13.44140625" customWidth="1"/>
    <col min="8" max="8" width="12.6640625" bestFit="1" customWidth="1"/>
    <col min="9" max="9" width="9.6640625" bestFit="1" customWidth="1"/>
    <col min="11" max="11" width="10.44140625" customWidth="1"/>
    <col min="12" max="12" width="12.44140625" bestFit="1" customWidth="1"/>
    <col min="15" max="15" width="12.88671875" bestFit="1" customWidth="1"/>
    <col min="19" max="19" width="10.44140625" customWidth="1"/>
    <col min="23" max="23" width="10.6640625" customWidth="1"/>
  </cols>
  <sheetData>
    <row r="1" spans="1:23" ht="15.6" x14ac:dyDescent="0.3">
      <c r="A1" s="36" t="s">
        <v>452</v>
      </c>
    </row>
    <row r="2" spans="1:23" x14ac:dyDescent="0.3">
      <c r="A2" s="37" t="s">
        <v>453</v>
      </c>
    </row>
    <row r="3" spans="1:23" ht="12.75" customHeight="1" x14ac:dyDescent="0.3">
      <c r="A3" s="38" t="s">
        <v>454</v>
      </c>
      <c r="B3" s="39" t="s">
        <v>455</v>
      </c>
      <c r="C3" s="40"/>
      <c r="D3" s="40"/>
      <c r="E3" s="41" t="s">
        <v>456</v>
      </c>
      <c r="F3" s="41" t="s">
        <v>457</v>
      </c>
      <c r="G3" s="41" t="s">
        <v>458</v>
      </c>
      <c r="H3" s="41" t="s">
        <v>458</v>
      </c>
      <c r="I3" s="42"/>
    </row>
    <row r="4" spans="1:23" ht="27" x14ac:dyDescent="0.3">
      <c r="A4" s="43"/>
      <c r="B4" s="44" t="s">
        <v>459</v>
      </c>
      <c r="C4" s="45" t="s">
        <v>460</v>
      </c>
      <c r="D4" s="45" t="s">
        <v>461</v>
      </c>
      <c r="E4" s="45"/>
      <c r="F4" s="45" t="s">
        <v>462</v>
      </c>
      <c r="G4" s="45" t="s">
        <v>463</v>
      </c>
      <c r="H4" s="46" t="s">
        <v>464</v>
      </c>
      <c r="I4" s="47" t="s">
        <v>465</v>
      </c>
    </row>
    <row r="5" spans="1:23" x14ac:dyDescent="0.3">
      <c r="A5" s="48" t="s">
        <v>466</v>
      </c>
      <c r="B5" s="49">
        <v>1</v>
      </c>
      <c r="C5" s="50" t="s">
        <v>467</v>
      </c>
      <c r="D5" s="50"/>
      <c r="E5" s="51"/>
      <c r="F5" s="51"/>
      <c r="G5" s="51"/>
      <c r="H5" s="51"/>
      <c r="I5" s="52"/>
    </row>
    <row r="6" spans="1:23" x14ac:dyDescent="0.3">
      <c r="A6" s="53" t="s">
        <v>468</v>
      </c>
      <c r="B6" s="54" t="s">
        <v>469</v>
      </c>
      <c r="C6" s="55" t="s">
        <v>469</v>
      </c>
      <c r="D6" s="55" t="s">
        <v>469</v>
      </c>
      <c r="E6" s="55" t="s">
        <v>470</v>
      </c>
      <c r="F6" s="56"/>
      <c r="G6" s="56"/>
      <c r="H6" s="56"/>
      <c r="I6" s="57"/>
    </row>
    <row r="7" spans="1:23" x14ac:dyDescent="0.3">
      <c r="A7" s="58" t="s">
        <v>471</v>
      </c>
      <c r="B7" s="59">
        <v>129670</v>
      </c>
      <c r="C7" s="60">
        <v>129670</v>
      </c>
      <c r="D7" s="60">
        <v>138350</v>
      </c>
      <c r="E7" s="60">
        <v>3205</v>
      </c>
      <c r="F7" s="61">
        <v>0.85299999999999998</v>
      </c>
      <c r="G7" s="62">
        <v>16000</v>
      </c>
      <c r="H7" s="63">
        <v>1.6E-2</v>
      </c>
      <c r="I7" s="64">
        <v>0.93726057101554028</v>
      </c>
    </row>
    <row r="8" spans="1:23" x14ac:dyDescent="0.3">
      <c r="A8" s="58" t="s">
        <v>472</v>
      </c>
      <c r="B8" s="59">
        <v>135084.91292306196</v>
      </c>
      <c r="C8" s="65">
        <v>135084.91292306196</v>
      </c>
      <c r="D8" s="65">
        <v>144475.84269846199</v>
      </c>
      <c r="E8" s="65">
        <v>3266</v>
      </c>
      <c r="F8" s="66">
        <v>0.85562068501529054</v>
      </c>
      <c r="G8" s="62">
        <v>1800</v>
      </c>
      <c r="H8" s="63">
        <v>1.8E-3</v>
      </c>
      <c r="I8" s="64">
        <v>0.93500000000000005</v>
      </c>
    </row>
    <row r="9" spans="1:23" x14ac:dyDescent="0.3">
      <c r="A9" s="58" t="s">
        <v>473</v>
      </c>
      <c r="B9" s="59">
        <v>152370.90134048002</v>
      </c>
      <c r="C9" s="65">
        <v>152370.90134048002</v>
      </c>
      <c r="D9" s="65">
        <v>162963.53084543315</v>
      </c>
      <c r="E9" s="65">
        <v>3839.6821254480283</v>
      </c>
      <c r="F9" s="66">
        <v>0.83</v>
      </c>
      <c r="G9" s="62">
        <v>48000</v>
      </c>
      <c r="H9" s="63">
        <v>4.8000000000000001E-2</v>
      </c>
      <c r="I9" s="64">
        <v>0.93500000000000016</v>
      </c>
    </row>
    <row r="10" spans="1:23" x14ac:dyDescent="0.3">
      <c r="A10" s="58" t="s">
        <v>474</v>
      </c>
      <c r="B10" s="59">
        <v>152370.90134048002</v>
      </c>
      <c r="C10" s="67">
        <v>152370.90134048002</v>
      </c>
      <c r="D10" s="67">
        <v>162963.53084543315</v>
      </c>
      <c r="E10" s="67">
        <v>3839.6821254480283</v>
      </c>
      <c r="F10" s="68">
        <v>0.83</v>
      </c>
      <c r="G10" s="67">
        <v>48000</v>
      </c>
      <c r="H10" s="63">
        <v>4.8000000000000001E-2</v>
      </c>
      <c r="I10" s="64">
        <v>0.93500000000000016</v>
      </c>
    </row>
    <row r="11" spans="1:23" x14ac:dyDescent="0.3">
      <c r="A11" s="58" t="s">
        <v>475</v>
      </c>
      <c r="B11" s="59">
        <v>145194.18901496602</v>
      </c>
      <c r="C11" s="67">
        <v>145194.18901496602</v>
      </c>
      <c r="D11" s="67">
        <v>155287.90268980322</v>
      </c>
      <c r="E11" s="67">
        <v>3500.47748781362</v>
      </c>
      <c r="F11" s="68">
        <v>0.83245885654014951</v>
      </c>
      <c r="G11" s="67">
        <v>37227.389654331695</v>
      </c>
      <c r="H11" s="63">
        <v>3.7227389654331693E-2</v>
      </c>
      <c r="I11" s="64">
        <v>0.93500000000000005</v>
      </c>
      <c r="L11" s="67"/>
      <c r="M11" s="67"/>
      <c r="N11" s="67"/>
      <c r="O11" s="67"/>
      <c r="P11" s="68"/>
      <c r="Q11" s="67"/>
      <c r="R11" s="63"/>
      <c r="S11" s="69"/>
    </row>
    <row r="12" spans="1:23" x14ac:dyDescent="0.3">
      <c r="A12" s="58" t="s">
        <v>476</v>
      </c>
      <c r="B12" s="59">
        <v>128448.52692210001</v>
      </c>
      <c r="C12" s="65">
        <v>128448.52692210001</v>
      </c>
      <c r="D12" s="65">
        <v>137378.10365999999</v>
      </c>
      <c r="E12" s="65">
        <v>2709</v>
      </c>
      <c r="F12" s="66">
        <v>0.84059083544303792</v>
      </c>
      <c r="G12" s="62">
        <v>1600</v>
      </c>
      <c r="H12" s="63">
        <v>1.6000000000000001E-3</v>
      </c>
      <c r="I12" s="64">
        <v>0.93500000000000005</v>
      </c>
    </row>
    <row r="13" spans="1:23" x14ac:dyDescent="0.3">
      <c r="A13" t="s">
        <v>477</v>
      </c>
      <c r="B13" s="59">
        <v>125600.90733399388</v>
      </c>
      <c r="C13" s="70">
        <v>125600.90733399388</v>
      </c>
      <c r="D13" s="70">
        <v>134008.52571649614</v>
      </c>
      <c r="E13" s="71">
        <v>3087.2372132564833</v>
      </c>
      <c r="F13" s="72">
        <v>0.85299999999999998</v>
      </c>
      <c r="G13" s="72">
        <v>16000</v>
      </c>
      <c r="H13" s="63">
        <v>1.6E-2</v>
      </c>
      <c r="I13" s="64">
        <v>0.93726057101554028</v>
      </c>
    </row>
    <row r="14" spans="1:23" x14ac:dyDescent="0.3">
      <c r="A14" t="s">
        <v>478</v>
      </c>
      <c r="B14" s="59">
        <v>122492.60888766299</v>
      </c>
      <c r="C14" s="70">
        <v>122492.60888766299</v>
      </c>
      <c r="D14" s="70">
        <v>130692.16040416578</v>
      </c>
      <c r="E14" s="71">
        <v>2984.0426545960995</v>
      </c>
      <c r="F14" s="72">
        <v>0.85299999999999998</v>
      </c>
      <c r="G14" s="72">
        <v>16000</v>
      </c>
      <c r="H14" s="63">
        <v>1.6E-2</v>
      </c>
      <c r="I14" s="64">
        <v>0.93726057101554017</v>
      </c>
    </row>
    <row r="15" spans="1:23" x14ac:dyDescent="0.3">
      <c r="A15" s="58" t="s">
        <v>479</v>
      </c>
      <c r="B15" s="59">
        <v>116090</v>
      </c>
      <c r="C15" s="60">
        <v>116090</v>
      </c>
      <c r="D15" s="60">
        <v>124340</v>
      </c>
      <c r="E15" s="60">
        <v>2819</v>
      </c>
      <c r="F15" s="61">
        <v>0.86299999999999999</v>
      </c>
      <c r="G15" s="67">
        <v>10</v>
      </c>
      <c r="H15" s="63">
        <v>1.0000000000000001E-5</v>
      </c>
      <c r="I15" s="64">
        <v>0.93364967025896739</v>
      </c>
      <c r="P15" s="73"/>
      <c r="Q15" s="73"/>
      <c r="R15" s="73"/>
      <c r="S15" s="73"/>
      <c r="T15" s="73"/>
      <c r="U15" s="73"/>
      <c r="V15" s="28"/>
      <c r="W15" s="70"/>
    </row>
    <row r="16" spans="1:23" x14ac:dyDescent="0.3">
      <c r="A16" s="58" t="s">
        <v>480</v>
      </c>
      <c r="B16" s="59">
        <v>112193.52</v>
      </c>
      <c r="C16" s="67">
        <v>112193.52</v>
      </c>
      <c r="D16" s="67">
        <v>120438.62000000001</v>
      </c>
      <c r="E16" s="67">
        <v>2835.5620000000004</v>
      </c>
      <c r="F16" s="68">
        <v>0.82778546968819577</v>
      </c>
      <c r="G16" s="74">
        <v>9.0261788360871336</v>
      </c>
      <c r="H16" s="63">
        <v>9.0261788360871334E-6</v>
      </c>
      <c r="I16" s="64">
        <v>0.931541062160958</v>
      </c>
      <c r="S16" s="73"/>
      <c r="T16" s="73"/>
      <c r="U16" s="73"/>
      <c r="V16" s="28"/>
      <c r="W16" s="70"/>
    </row>
    <row r="17" spans="1:23" x14ac:dyDescent="0.3">
      <c r="A17" s="58" t="s">
        <v>481</v>
      </c>
      <c r="B17" s="59">
        <v>112193.52</v>
      </c>
      <c r="C17" s="67">
        <v>112193.52</v>
      </c>
      <c r="D17" s="67">
        <v>120438.62000000001</v>
      </c>
      <c r="E17" s="67">
        <v>2835.5620000000004</v>
      </c>
      <c r="F17" s="68">
        <v>0.82778546968819577</v>
      </c>
      <c r="G17" s="74">
        <v>9.0261788360871336</v>
      </c>
      <c r="H17" s="63">
        <v>9.0261788360871334E-6</v>
      </c>
      <c r="I17" s="64">
        <v>0.931541062160958</v>
      </c>
      <c r="P17" s="73"/>
      <c r="Q17" s="73"/>
      <c r="R17" s="73"/>
      <c r="S17" s="73"/>
      <c r="T17" s="73"/>
      <c r="U17" s="73"/>
      <c r="V17" s="28"/>
      <c r="W17" s="70"/>
    </row>
    <row r="18" spans="1:23" x14ac:dyDescent="0.3">
      <c r="A18" s="58" t="s">
        <v>482</v>
      </c>
      <c r="B18" s="59">
        <v>106150</v>
      </c>
      <c r="C18" s="67">
        <v>106150</v>
      </c>
      <c r="D18" s="67">
        <v>114387.5</v>
      </c>
      <c r="E18" s="67">
        <v>2861.25</v>
      </c>
      <c r="F18" s="68">
        <v>0.77774999999999994</v>
      </c>
      <c r="G18" s="74">
        <v>7.642500028014183</v>
      </c>
      <c r="H18" s="63">
        <v>7.6425000280141833E-6</v>
      </c>
      <c r="I18" s="64">
        <v>0.92798601245765489</v>
      </c>
      <c r="S18" s="73"/>
      <c r="T18" s="73"/>
      <c r="U18" s="73"/>
      <c r="V18" s="28"/>
      <c r="W18" s="70"/>
    </row>
    <row r="19" spans="1:23" x14ac:dyDescent="0.3">
      <c r="A19" s="58" t="s">
        <v>483</v>
      </c>
      <c r="B19" s="59">
        <v>100186</v>
      </c>
      <c r="C19" s="67">
        <v>100186</v>
      </c>
      <c r="D19" s="67">
        <v>108416</v>
      </c>
      <c r="E19" s="67">
        <v>2886.6</v>
      </c>
      <c r="F19" s="68">
        <v>0.72659999999999991</v>
      </c>
      <c r="G19" s="74">
        <v>6.2280000448226929</v>
      </c>
      <c r="H19" s="63">
        <v>6.2280000448226927E-6</v>
      </c>
      <c r="I19" s="64">
        <v>0.92408869539551353</v>
      </c>
      <c r="J19" s="73"/>
      <c r="K19" s="73"/>
      <c r="L19" s="73"/>
      <c r="M19" s="28"/>
      <c r="N19" s="70"/>
    </row>
    <row r="20" spans="1:23" x14ac:dyDescent="0.3">
      <c r="A20" s="58" t="s">
        <v>484</v>
      </c>
      <c r="B20" s="59">
        <v>128450</v>
      </c>
      <c r="C20" s="60">
        <v>128450</v>
      </c>
      <c r="D20" s="60">
        <v>137380</v>
      </c>
      <c r="E20" s="60">
        <v>3167</v>
      </c>
      <c r="F20" s="61">
        <v>0.86499999999999999</v>
      </c>
      <c r="G20" s="67">
        <v>200</v>
      </c>
      <c r="H20" s="63">
        <v>2.0000000000000001E-4</v>
      </c>
      <c r="I20" s="64">
        <v>0.93499781627602274</v>
      </c>
      <c r="W20" s="70"/>
    </row>
    <row r="21" spans="1:23" x14ac:dyDescent="0.3">
      <c r="A21" s="75" t="s">
        <v>485</v>
      </c>
      <c r="B21" s="59">
        <v>129487.84757606639</v>
      </c>
      <c r="C21" s="67">
        <v>129487.84757606639</v>
      </c>
      <c r="D21" s="67">
        <v>138490</v>
      </c>
      <c r="E21" s="67">
        <v>3206</v>
      </c>
      <c r="F21" s="76">
        <v>0.871</v>
      </c>
      <c r="G21" s="67">
        <v>11</v>
      </c>
      <c r="H21" s="63">
        <v>1.1E-5</v>
      </c>
      <c r="I21" s="64"/>
    </row>
    <row r="22" spans="1:23" x14ac:dyDescent="0.3">
      <c r="A22" s="58" t="s">
        <v>486</v>
      </c>
      <c r="B22" s="59">
        <v>128450</v>
      </c>
      <c r="C22" s="67">
        <v>128450</v>
      </c>
      <c r="D22" s="67">
        <v>137380</v>
      </c>
      <c r="E22" s="67">
        <v>3167</v>
      </c>
      <c r="F22" s="68">
        <v>0.86499999999999999</v>
      </c>
      <c r="G22" s="67">
        <v>11</v>
      </c>
      <c r="H22" s="63">
        <v>1.1E-5</v>
      </c>
      <c r="I22" s="64">
        <v>0.93499781627602274</v>
      </c>
    </row>
    <row r="23" spans="1:23" x14ac:dyDescent="0.3">
      <c r="A23" s="58" t="s">
        <v>487</v>
      </c>
      <c r="B23" s="59">
        <v>129487.84757606639</v>
      </c>
      <c r="C23" s="67">
        <v>129487.84757606639</v>
      </c>
      <c r="D23" s="60">
        <v>138490</v>
      </c>
      <c r="E23" s="60">
        <v>3206</v>
      </c>
      <c r="F23" s="61">
        <v>0.871</v>
      </c>
      <c r="G23" s="62">
        <v>11</v>
      </c>
      <c r="H23" s="63">
        <v>1.1E-5</v>
      </c>
      <c r="I23" s="64">
        <v>0.93499781627602274</v>
      </c>
    </row>
    <row r="24" spans="1:23" x14ac:dyDescent="0.3">
      <c r="A24" s="58" t="s">
        <v>488</v>
      </c>
      <c r="B24" s="59">
        <v>116920</v>
      </c>
      <c r="C24" s="60">
        <v>116920</v>
      </c>
      <c r="D24" s="60">
        <v>125080</v>
      </c>
      <c r="E24" s="60">
        <v>2745</v>
      </c>
      <c r="F24" s="61">
        <v>0.85</v>
      </c>
      <c r="G24" s="62">
        <v>1</v>
      </c>
      <c r="H24" s="63">
        <v>9.9999999999999995E-7</v>
      </c>
      <c r="I24" s="64">
        <v>0.93476175247841387</v>
      </c>
    </row>
    <row r="25" spans="1:23" x14ac:dyDescent="0.3">
      <c r="A25" s="58" t="s">
        <v>489</v>
      </c>
      <c r="B25" s="59">
        <v>118237.434842673</v>
      </c>
      <c r="C25" s="67">
        <v>118237.434842673</v>
      </c>
      <c r="D25" s="67">
        <v>126586.157141156</v>
      </c>
      <c r="E25" s="67">
        <v>2833.8569764657</v>
      </c>
      <c r="F25" s="68">
        <v>0.85315638757897505</v>
      </c>
      <c r="G25" s="67">
        <v>10</v>
      </c>
      <c r="H25" s="63">
        <v>1.0000000000000001E-5</v>
      </c>
      <c r="I25" s="64">
        <v>0.93404711473172097</v>
      </c>
    </row>
    <row r="26" spans="1:23" x14ac:dyDescent="0.3">
      <c r="A26" s="58" t="s">
        <v>490</v>
      </c>
      <c r="B26" s="59">
        <v>124307.03423937227</v>
      </c>
      <c r="C26" s="67">
        <v>124307.03423937227</v>
      </c>
      <c r="D26" s="67">
        <v>132948.69438683367</v>
      </c>
      <c r="E26" s="67">
        <v>3035.8996219999995</v>
      </c>
      <c r="F26" s="68">
        <v>0.86199999999999999</v>
      </c>
      <c r="G26" s="67">
        <v>700</v>
      </c>
      <c r="H26" s="63">
        <v>6.9999999999999999E-4</v>
      </c>
      <c r="I26" s="64">
        <v>0.93500003751584637</v>
      </c>
    </row>
    <row r="27" spans="1:23" x14ac:dyDescent="0.3">
      <c r="A27" s="58" t="s">
        <v>491</v>
      </c>
      <c r="B27" s="59">
        <v>123041.23110601204</v>
      </c>
      <c r="C27" s="60">
        <v>123041.23110601204</v>
      </c>
      <c r="D27" s="60">
        <v>131594.89429852215</v>
      </c>
      <c r="E27" s="77">
        <v>2998.0455119999997</v>
      </c>
      <c r="F27" s="61">
        <v>0.86</v>
      </c>
      <c r="G27" s="62">
        <v>11</v>
      </c>
      <c r="H27" s="63">
        <v>1.1E-5</v>
      </c>
      <c r="I27" s="64">
        <v>0.93500003751584626</v>
      </c>
    </row>
    <row r="28" spans="1:23" x14ac:dyDescent="0.3">
      <c r="A28" s="58" t="s">
        <v>492</v>
      </c>
      <c r="B28" s="59">
        <v>111520</v>
      </c>
      <c r="C28" s="67">
        <v>111520</v>
      </c>
      <c r="D28" s="60">
        <v>119740</v>
      </c>
      <c r="E28" s="60">
        <v>2651</v>
      </c>
      <c r="F28" s="61">
        <v>0.84199999999999997</v>
      </c>
      <c r="G28" s="62">
        <v>0</v>
      </c>
      <c r="H28" s="63">
        <v>0</v>
      </c>
      <c r="I28" s="64">
        <v>0.93135126106564226</v>
      </c>
    </row>
    <row r="29" spans="1:23" x14ac:dyDescent="0.3">
      <c r="A29" s="58" t="s">
        <v>493</v>
      </c>
      <c r="B29" s="59">
        <v>140352.52220119376</v>
      </c>
      <c r="C29" s="67">
        <v>140352.52220119376</v>
      </c>
      <c r="D29" s="67">
        <v>150110</v>
      </c>
      <c r="E29" s="67">
        <v>3752</v>
      </c>
      <c r="F29" s="68">
        <v>0.86799999999999999</v>
      </c>
      <c r="G29" s="62">
        <v>5000</v>
      </c>
      <c r="H29" s="63">
        <v>5.0000000000000001E-3</v>
      </c>
      <c r="I29" s="64">
        <v>0.93499781627602263</v>
      </c>
    </row>
    <row r="30" spans="1:23" x14ac:dyDescent="0.3">
      <c r="A30" s="58" t="s">
        <v>494</v>
      </c>
      <c r="B30" s="59">
        <v>140352.52220119376</v>
      </c>
      <c r="C30" s="60">
        <v>140352.52220119376</v>
      </c>
      <c r="D30" s="60">
        <v>150110</v>
      </c>
      <c r="E30" s="60">
        <v>3752</v>
      </c>
      <c r="F30" s="78">
        <v>0.86799999999999999</v>
      </c>
      <c r="G30" s="62">
        <v>27000</v>
      </c>
      <c r="H30" s="63">
        <v>2.7E-2</v>
      </c>
      <c r="I30" s="64">
        <v>0.93499781627602263</v>
      </c>
    </row>
    <row r="31" spans="1:23" x14ac:dyDescent="0.3">
      <c r="A31" s="58" t="s">
        <v>495</v>
      </c>
      <c r="B31" s="59">
        <v>57250</v>
      </c>
      <c r="C31" s="60">
        <v>57250</v>
      </c>
      <c r="D31" s="60">
        <v>65200</v>
      </c>
      <c r="E31" s="60">
        <v>3006</v>
      </c>
      <c r="F31" s="78">
        <v>0.375</v>
      </c>
      <c r="G31" s="67">
        <v>0</v>
      </c>
      <c r="H31" s="63">
        <v>0</v>
      </c>
      <c r="I31" s="64">
        <v>0.87806748466257667</v>
      </c>
    </row>
    <row r="32" spans="1:23" x14ac:dyDescent="0.3">
      <c r="A32" s="58" t="s">
        <v>496</v>
      </c>
      <c r="B32" s="59">
        <v>76330</v>
      </c>
      <c r="C32" s="79">
        <v>76330</v>
      </c>
      <c r="D32" s="77">
        <v>84530</v>
      </c>
      <c r="E32" s="79">
        <v>2988</v>
      </c>
      <c r="F32" s="80">
        <v>0.52200000000000002</v>
      </c>
      <c r="G32" s="70">
        <v>0.57000011205673218</v>
      </c>
      <c r="H32" s="63">
        <v>5.7000011205673218E-7</v>
      </c>
      <c r="I32" s="64">
        <v>0.90299302022950434</v>
      </c>
    </row>
    <row r="33" spans="1:9" x14ac:dyDescent="0.3">
      <c r="A33" s="58" t="s">
        <v>497</v>
      </c>
      <c r="B33" s="59">
        <v>99837</v>
      </c>
      <c r="C33" s="79">
        <v>99837</v>
      </c>
      <c r="D33" s="77">
        <v>108458</v>
      </c>
      <c r="E33" s="79">
        <v>3065</v>
      </c>
      <c r="F33" s="80">
        <v>0.64859999999999995</v>
      </c>
      <c r="G33" s="70">
        <v>0</v>
      </c>
      <c r="H33" s="63">
        <v>0</v>
      </c>
      <c r="I33" s="64">
        <v>0.92051300964428628</v>
      </c>
    </row>
    <row r="34" spans="1:9" x14ac:dyDescent="0.3">
      <c r="A34" s="58" t="s">
        <v>498</v>
      </c>
      <c r="B34" s="59">
        <v>83127</v>
      </c>
      <c r="C34" s="67">
        <v>83127</v>
      </c>
      <c r="D34" s="67">
        <v>89511</v>
      </c>
      <c r="E34" s="67">
        <v>2964</v>
      </c>
      <c r="F34" s="68">
        <v>0.61980000000000002</v>
      </c>
      <c r="G34" s="67">
        <v>0</v>
      </c>
      <c r="H34" s="63">
        <v>0</v>
      </c>
      <c r="I34" s="64">
        <v>0.92867915675168411</v>
      </c>
    </row>
    <row r="35" spans="1:9" x14ac:dyDescent="0.3">
      <c r="A35" s="58" t="s">
        <v>499</v>
      </c>
      <c r="B35" s="59">
        <v>116090</v>
      </c>
      <c r="C35" s="60">
        <v>116090</v>
      </c>
      <c r="D35" s="60">
        <v>124340</v>
      </c>
      <c r="E35" s="62">
        <v>2819</v>
      </c>
      <c r="F35" s="78">
        <v>0.86299999999999999</v>
      </c>
      <c r="G35" s="62">
        <v>10</v>
      </c>
      <c r="H35" s="63">
        <v>1.0000000000000001E-5</v>
      </c>
      <c r="I35" s="64">
        <v>0.93364967025896739</v>
      </c>
    </row>
    <row r="36" spans="1:9" x14ac:dyDescent="0.3">
      <c r="A36" s="58" t="s">
        <v>500</v>
      </c>
      <c r="B36" s="59">
        <v>84950</v>
      </c>
      <c r="C36" s="60">
        <v>84950</v>
      </c>
      <c r="D36" s="60">
        <v>91410</v>
      </c>
      <c r="E36" s="60">
        <v>1923</v>
      </c>
      <c r="F36" s="61">
        <v>0.82</v>
      </c>
      <c r="G36" s="62">
        <v>0</v>
      </c>
      <c r="H36" s="63">
        <v>0</v>
      </c>
      <c r="I36" s="64">
        <v>0.9293293950333662</v>
      </c>
    </row>
    <row r="37" spans="1:9" x14ac:dyDescent="0.3">
      <c r="A37" s="58" t="s">
        <v>501</v>
      </c>
      <c r="B37" s="59">
        <v>74720</v>
      </c>
      <c r="C37" s="60">
        <v>74720</v>
      </c>
      <c r="D37" s="60">
        <v>84820</v>
      </c>
      <c r="E37" s="60">
        <v>1621</v>
      </c>
      <c r="F37" s="81">
        <v>0.75</v>
      </c>
      <c r="G37" s="62">
        <v>0</v>
      </c>
      <c r="H37" s="63">
        <v>0</v>
      </c>
      <c r="I37" s="64">
        <v>0.88092431030417351</v>
      </c>
    </row>
    <row r="38" spans="1:9" x14ac:dyDescent="0.3">
      <c r="A38" s="58" t="s">
        <v>502</v>
      </c>
      <c r="B38" s="59">
        <v>68930</v>
      </c>
      <c r="C38" s="62">
        <v>68930</v>
      </c>
      <c r="D38" s="67">
        <v>75610</v>
      </c>
      <c r="E38" s="62">
        <v>2518</v>
      </c>
      <c r="F38" s="78">
        <v>0.52200000000000002</v>
      </c>
      <c r="G38" s="62">
        <v>0</v>
      </c>
      <c r="H38" s="63">
        <v>0</v>
      </c>
      <c r="I38" s="64">
        <v>0.91165189789710355</v>
      </c>
    </row>
    <row r="39" spans="1:9" x14ac:dyDescent="0.3">
      <c r="A39" s="58" t="s">
        <v>503</v>
      </c>
      <c r="B39" s="59">
        <v>72200</v>
      </c>
      <c r="C39" s="60">
        <v>72200</v>
      </c>
      <c r="D39" s="60">
        <v>79196.89540113158</v>
      </c>
      <c r="E39" s="60">
        <v>3255</v>
      </c>
      <c r="F39" s="61">
        <v>0.47399999999999998</v>
      </c>
      <c r="G39" s="62">
        <v>0</v>
      </c>
      <c r="H39" s="63">
        <v>0</v>
      </c>
      <c r="I39" s="64">
        <v>0.91165189789710355</v>
      </c>
    </row>
    <row r="40" spans="1:9" x14ac:dyDescent="0.3">
      <c r="A40" s="58" t="s">
        <v>504</v>
      </c>
      <c r="B40" s="59">
        <v>119550</v>
      </c>
      <c r="C40" s="60">
        <v>119550</v>
      </c>
      <c r="D40" s="60">
        <v>127960</v>
      </c>
      <c r="E40" s="60">
        <v>3361</v>
      </c>
      <c r="F40" s="61">
        <v>0.77600000000000002</v>
      </c>
      <c r="G40" s="62">
        <v>0</v>
      </c>
      <c r="H40" s="63">
        <v>0</v>
      </c>
      <c r="I40" s="64">
        <v>0.93427633635511098</v>
      </c>
    </row>
    <row r="41" spans="1:9" x14ac:dyDescent="0.3">
      <c r="A41" s="58" t="s">
        <v>505</v>
      </c>
      <c r="B41" s="59">
        <v>123670</v>
      </c>
      <c r="C41" s="62">
        <v>123670</v>
      </c>
      <c r="D41" s="62">
        <v>130030</v>
      </c>
      <c r="E41" s="62">
        <v>3017</v>
      </c>
      <c r="F41" s="78">
        <v>0.85299999999999998</v>
      </c>
      <c r="G41" s="67">
        <v>0</v>
      </c>
      <c r="H41" s="63">
        <v>0</v>
      </c>
      <c r="I41" s="64">
        <v>0.95108821041298164</v>
      </c>
    </row>
    <row r="42" spans="1:9" x14ac:dyDescent="0.3">
      <c r="A42" s="58" t="s">
        <v>506</v>
      </c>
      <c r="B42" s="59">
        <v>117059</v>
      </c>
      <c r="C42" s="77">
        <v>117059</v>
      </c>
      <c r="D42" s="77">
        <v>125293.76528649101</v>
      </c>
      <c r="E42" s="77">
        <v>2835</v>
      </c>
      <c r="F42" s="78">
        <v>0.871</v>
      </c>
      <c r="G42" s="67">
        <v>0</v>
      </c>
      <c r="H42" s="63">
        <v>0</v>
      </c>
      <c r="I42" s="64">
        <v>0.93427633635511098</v>
      </c>
    </row>
    <row r="43" spans="1:9" x14ac:dyDescent="0.3">
      <c r="A43" s="58" t="s">
        <v>507</v>
      </c>
      <c r="B43" s="59">
        <v>122887</v>
      </c>
      <c r="C43" s="77">
        <v>122887</v>
      </c>
      <c r="D43" s="77">
        <v>130817</v>
      </c>
      <c r="E43" s="77">
        <v>2948</v>
      </c>
      <c r="F43" s="78">
        <v>0.871</v>
      </c>
      <c r="G43" s="67">
        <v>0</v>
      </c>
      <c r="H43" s="63">
        <v>0</v>
      </c>
      <c r="I43" s="64">
        <v>0.93938096730547249</v>
      </c>
    </row>
    <row r="44" spans="1:9" x14ac:dyDescent="0.3">
      <c r="A44" s="58" t="s">
        <v>508</v>
      </c>
      <c r="B44" s="59">
        <v>123542.426446789</v>
      </c>
      <c r="C44" s="77">
        <v>123542.426446789</v>
      </c>
      <c r="D44" s="77">
        <v>133070.13702382601</v>
      </c>
      <c r="E44" s="77">
        <v>3003.2639480974099</v>
      </c>
      <c r="F44" s="78">
        <v>0.871</v>
      </c>
      <c r="G44" s="67">
        <v>0</v>
      </c>
      <c r="H44" s="63">
        <v>0</v>
      </c>
      <c r="I44" s="64">
        <v>0.92840083590406852</v>
      </c>
    </row>
    <row r="45" spans="1:9" x14ac:dyDescent="0.3">
      <c r="A45" t="s">
        <v>509</v>
      </c>
      <c r="B45" s="59">
        <v>115983</v>
      </c>
      <c r="C45" s="65">
        <v>115983</v>
      </c>
      <c r="D45" s="67">
        <v>124230</v>
      </c>
      <c r="E45" s="65">
        <v>2830</v>
      </c>
      <c r="F45" s="66">
        <v>0.84</v>
      </c>
      <c r="G45" s="62">
        <v>0</v>
      </c>
      <c r="H45" s="63">
        <v>0</v>
      </c>
      <c r="I45" s="64">
        <v>0.93361506882395562</v>
      </c>
    </row>
    <row r="46" spans="1:9" x14ac:dyDescent="0.3">
      <c r="A46" s="58" t="s">
        <v>510</v>
      </c>
      <c r="B46" s="59">
        <v>113309</v>
      </c>
      <c r="C46" s="67">
        <v>113309</v>
      </c>
      <c r="D46" s="67">
        <v>121365.86456635887</v>
      </c>
      <c r="E46" s="67">
        <v>2713</v>
      </c>
      <c r="F46" s="68">
        <v>0.83109999999999995</v>
      </c>
      <c r="G46" s="82">
        <v>10</v>
      </c>
      <c r="H46" s="63">
        <v>1.0000000000000001E-5</v>
      </c>
      <c r="I46" s="64">
        <v>0.93361506882395551</v>
      </c>
    </row>
    <row r="47" spans="1:9" x14ac:dyDescent="0.3">
      <c r="A47" s="58" t="s">
        <v>511</v>
      </c>
      <c r="B47" s="59">
        <v>112060.7</v>
      </c>
      <c r="C47" s="60">
        <v>112060.7</v>
      </c>
      <c r="D47" s="60">
        <v>120028.80388505213</v>
      </c>
      <c r="E47" s="60">
        <v>2819</v>
      </c>
      <c r="F47" s="78">
        <v>0.86430000000000007</v>
      </c>
      <c r="G47" s="62">
        <v>10</v>
      </c>
      <c r="H47" s="63">
        <v>1.0000000000000001E-5</v>
      </c>
      <c r="I47" s="64">
        <v>0.93361506882395551</v>
      </c>
    </row>
    <row r="48" spans="1:9" x14ac:dyDescent="0.3">
      <c r="A48" s="58" t="s">
        <v>512</v>
      </c>
      <c r="B48" s="59">
        <v>119776.6214942081</v>
      </c>
      <c r="C48" s="60">
        <v>119776.6214942081</v>
      </c>
      <c r="D48" s="60">
        <v>128103.33335647394</v>
      </c>
      <c r="E48" s="60">
        <v>2865.5561269999994</v>
      </c>
      <c r="F48" s="78">
        <v>0.84699999999999998</v>
      </c>
      <c r="G48" s="62">
        <v>0</v>
      </c>
      <c r="H48" s="63">
        <v>0</v>
      </c>
      <c r="I48" s="64">
        <v>0.93500003751584626</v>
      </c>
    </row>
    <row r="49" spans="1:9" x14ac:dyDescent="0.3">
      <c r="A49" s="58" t="s">
        <v>513</v>
      </c>
      <c r="B49" s="59">
        <v>30500</v>
      </c>
      <c r="C49" s="60">
        <v>30500</v>
      </c>
      <c r="D49" s="60">
        <v>36020</v>
      </c>
      <c r="E49" s="60">
        <v>268</v>
      </c>
      <c r="F49" s="78">
        <v>0</v>
      </c>
      <c r="G49" s="62">
        <v>0</v>
      </c>
      <c r="H49" s="63">
        <v>0</v>
      </c>
      <c r="I49" s="64">
        <v>0.84675180455302612</v>
      </c>
    </row>
    <row r="50" spans="1:9" x14ac:dyDescent="0.3">
      <c r="A50" s="58" t="s">
        <v>514</v>
      </c>
      <c r="B50" s="59">
        <v>93540</v>
      </c>
      <c r="C50" s="60">
        <v>93540</v>
      </c>
      <c r="D50" s="60">
        <v>101130</v>
      </c>
      <c r="E50" s="60">
        <v>2811</v>
      </c>
      <c r="F50" s="78">
        <v>0.68100000000000005</v>
      </c>
      <c r="G50" s="62">
        <v>0</v>
      </c>
      <c r="H50" s="63">
        <v>0</v>
      </c>
      <c r="I50" s="64">
        <v>0.92494808662118067</v>
      </c>
    </row>
    <row r="51" spans="1:9" x14ac:dyDescent="0.3">
      <c r="A51" s="58" t="s">
        <v>515</v>
      </c>
      <c r="B51" s="59">
        <v>96720</v>
      </c>
      <c r="C51" s="60">
        <v>96720</v>
      </c>
      <c r="D51" s="60">
        <v>104530</v>
      </c>
      <c r="E51" s="60">
        <v>2810</v>
      </c>
      <c r="F51" s="78">
        <v>0.70599999999999996</v>
      </c>
      <c r="G51" s="62">
        <v>0</v>
      </c>
      <c r="H51" s="63">
        <v>0</v>
      </c>
      <c r="I51" s="64">
        <v>0.92528460728977324</v>
      </c>
    </row>
    <row r="52" spans="1:9" x14ac:dyDescent="0.3">
      <c r="A52" s="58" t="s">
        <v>516</v>
      </c>
      <c r="B52" s="59">
        <v>100480</v>
      </c>
      <c r="C52" s="60">
        <v>100480</v>
      </c>
      <c r="D52" s="60">
        <v>108570</v>
      </c>
      <c r="E52" s="60">
        <v>2913</v>
      </c>
      <c r="F52" s="78">
        <v>0.70599999999999996</v>
      </c>
      <c r="G52" s="62">
        <v>0</v>
      </c>
      <c r="H52" s="63">
        <v>0</v>
      </c>
      <c r="I52" s="64">
        <v>0.92548586165607438</v>
      </c>
    </row>
    <row r="53" spans="1:9" x14ac:dyDescent="0.3">
      <c r="A53" s="58" t="s">
        <v>517</v>
      </c>
      <c r="B53" s="59">
        <v>94970</v>
      </c>
      <c r="C53" s="60">
        <v>94970</v>
      </c>
      <c r="D53" s="60">
        <v>103220</v>
      </c>
      <c r="E53" s="60">
        <v>2213</v>
      </c>
      <c r="F53" s="78">
        <v>0.82799999999999996</v>
      </c>
      <c r="G53" s="62">
        <v>0</v>
      </c>
      <c r="H53" s="63">
        <v>0</v>
      </c>
      <c r="I53" s="64">
        <v>0.92007362914163926</v>
      </c>
    </row>
    <row r="54" spans="1:9" x14ac:dyDescent="0.3">
      <c r="A54" s="58" t="s">
        <v>102</v>
      </c>
      <c r="B54" s="59">
        <v>90060</v>
      </c>
      <c r="C54" s="60">
        <v>90060</v>
      </c>
      <c r="D54" s="60">
        <v>98560</v>
      </c>
      <c r="E54" s="60">
        <v>2118</v>
      </c>
      <c r="F54" s="78">
        <v>0.82799999999999996</v>
      </c>
      <c r="G54" s="62">
        <v>0</v>
      </c>
      <c r="H54" s="63">
        <v>0</v>
      </c>
      <c r="I54" s="64">
        <v>0.91375811688311692</v>
      </c>
    </row>
    <row r="55" spans="1:9" x14ac:dyDescent="0.3">
      <c r="A55" s="58" t="s">
        <v>108</v>
      </c>
      <c r="B55" s="59">
        <v>95720</v>
      </c>
      <c r="C55" s="67">
        <v>95720</v>
      </c>
      <c r="D55" s="60">
        <v>103010</v>
      </c>
      <c r="E55" s="67">
        <v>2253</v>
      </c>
      <c r="F55" s="68">
        <v>0.85699999999999998</v>
      </c>
      <c r="G55" s="62">
        <v>0</v>
      </c>
      <c r="H55" s="63">
        <v>0</v>
      </c>
      <c r="I55" s="64">
        <v>0.92923017182797785</v>
      </c>
    </row>
    <row r="56" spans="1:9" x14ac:dyDescent="0.3">
      <c r="A56" s="58" t="s">
        <v>100</v>
      </c>
      <c r="B56" s="59">
        <v>84250</v>
      </c>
      <c r="C56" s="83">
        <v>84250</v>
      </c>
      <c r="D56" s="67">
        <v>91420</v>
      </c>
      <c r="E56" s="83">
        <v>1920</v>
      </c>
      <c r="F56" s="84">
        <v>0.81799999999999995</v>
      </c>
      <c r="G56" s="62">
        <v>0</v>
      </c>
      <c r="H56" s="63">
        <v>0</v>
      </c>
      <c r="I56" s="64">
        <v>0.92157077225989936</v>
      </c>
    </row>
    <row r="57" spans="1:9" x14ac:dyDescent="0.3">
      <c r="A57" s="58" t="s">
        <v>518</v>
      </c>
      <c r="B57" s="59">
        <v>83686.11202275462</v>
      </c>
      <c r="C57" s="62">
        <v>83686.11202275462</v>
      </c>
      <c r="D57" s="62">
        <v>90050</v>
      </c>
      <c r="E57" s="83">
        <v>2532</v>
      </c>
      <c r="F57" s="84"/>
      <c r="G57" s="62">
        <v>0</v>
      </c>
      <c r="H57" s="63">
        <v>0</v>
      </c>
      <c r="I57" s="64">
        <v>0.92932939503336609</v>
      </c>
    </row>
    <row r="58" spans="1:9" x14ac:dyDescent="0.3">
      <c r="A58" s="53" t="s">
        <v>519</v>
      </c>
      <c r="B58" s="85">
        <v>105124.8</v>
      </c>
      <c r="C58" s="86">
        <v>105124.8</v>
      </c>
      <c r="D58" s="86">
        <v>112166.3</v>
      </c>
      <c r="E58" s="86">
        <v>2478.6999999999998</v>
      </c>
      <c r="F58" s="87">
        <v>0.83625099999999997</v>
      </c>
      <c r="G58" s="88">
        <v>0</v>
      </c>
      <c r="H58" s="89">
        <v>0</v>
      </c>
      <c r="I58" s="90">
        <v>0.93722267739953979</v>
      </c>
    </row>
    <row r="59" spans="1:9" x14ac:dyDescent="0.3">
      <c r="A59" s="58" t="s">
        <v>520</v>
      </c>
      <c r="B59" s="59" t="s">
        <v>521</v>
      </c>
      <c r="C59" s="60" t="s">
        <v>521</v>
      </c>
      <c r="D59" s="60" t="s">
        <v>521</v>
      </c>
      <c r="E59" s="91" t="s">
        <v>522</v>
      </c>
      <c r="F59" s="61"/>
      <c r="G59" s="62"/>
      <c r="H59" s="63"/>
      <c r="I59" s="64" t="s">
        <v>465</v>
      </c>
    </row>
    <row r="60" spans="1:9" x14ac:dyDescent="0.3">
      <c r="A60" s="58" t="s">
        <v>523</v>
      </c>
      <c r="B60" s="59">
        <v>983</v>
      </c>
      <c r="C60" s="92">
        <v>983</v>
      </c>
      <c r="D60" s="92">
        <v>1089</v>
      </c>
      <c r="E60" s="93">
        <v>22</v>
      </c>
      <c r="F60" s="78">
        <v>0.72399999999999998</v>
      </c>
      <c r="G60" s="62">
        <v>6</v>
      </c>
      <c r="H60" s="63">
        <v>6.0000000000000002E-6</v>
      </c>
      <c r="I60" s="64">
        <v>0.90266299357208446</v>
      </c>
    </row>
    <row r="61" spans="1:9" x14ac:dyDescent="0.3">
      <c r="A61" s="58" t="s">
        <v>524</v>
      </c>
      <c r="B61" s="59">
        <v>962.18504920853229</v>
      </c>
      <c r="C61" s="92">
        <v>962.18504920853229</v>
      </c>
      <c r="D61" s="92">
        <v>1068.0254046214709</v>
      </c>
      <c r="E61" s="93">
        <v>20.303179298999996</v>
      </c>
      <c r="F61" s="78">
        <v>0.75</v>
      </c>
      <c r="G61" s="62">
        <v>0</v>
      </c>
      <c r="H61" s="63">
        <v>0</v>
      </c>
      <c r="I61" s="64">
        <v>0.9009009009009008</v>
      </c>
    </row>
    <row r="62" spans="1:9" x14ac:dyDescent="0.3">
      <c r="A62" s="58" t="s">
        <v>525</v>
      </c>
      <c r="B62" s="59">
        <v>290</v>
      </c>
      <c r="C62" s="67">
        <v>290</v>
      </c>
      <c r="D62" s="67">
        <v>343</v>
      </c>
      <c r="E62" s="94">
        <v>2.5499999999999998</v>
      </c>
      <c r="F62" s="81">
        <v>0</v>
      </c>
      <c r="G62" s="62">
        <v>0</v>
      </c>
      <c r="H62" s="63">
        <v>0</v>
      </c>
      <c r="I62" s="64">
        <v>0.84548104956268222</v>
      </c>
    </row>
    <row r="63" spans="1:9" x14ac:dyDescent="0.3">
      <c r="A63" s="58" t="s">
        <v>526</v>
      </c>
      <c r="B63" s="59"/>
      <c r="C63" s="65"/>
      <c r="D63" s="65"/>
      <c r="E63" s="95">
        <v>55.977829999999997</v>
      </c>
      <c r="F63" s="81">
        <v>0.27272727272727271</v>
      </c>
      <c r="G63" s="77">
        <v>0</v>
      </c>
      <c r="H63" s="63">
        <v>0</v>
      </c>
      <c r="I63" s="64"/>
    </row>
    <row r="64" spans="1:9" x14ac:dyDescent="0.3">
      <c r="A64" s="53" t="s">
        <v>527</v>
      </c>
      <c r="B64" s="85">
        <v>1159.2737122826286</v>
      </c>
      <c r="C64" s="96">
        <v>1159.2737122826286</v>
      </c>
      <c r="D64" s="86">
        <v>1279.7381453012381</v>
      </c>
      <c r="E64" s="88">
        <v>25.019852271678111</v>
      </c>
      <c r="F64" s="87">
        <v>0.76981385823883608</v>
      </c>
      <c r="G64" s="88">
        <v>6</v>
      </c>
      <c r="H64" s="89">
        <v>6.0000000000000002E-6</v>
      </c>
      <c r="I64" s="90">
        <v>0.90586790472651468</v>
      </c>
    </row>
    <row r="65" spans="1:12" x14ac:dyDescent="0.3">
      <c r="A65" s="58" t="s">
        <v>528</v>
      </c>
      <c r="B65" s="59" t="s">
        <v>529</v>
      </c>
      <c r="C65" s="67" t="s">
        <v>529</v>
      </c>
      <c r="D65" s="67" t="s">
        <v>529</v>
      </c>
      <c r="E65" s="67"/>
      <c r="F65" s="68"/>
      <c r="G65" s="67"/>
      <c r="H65" s="63"/>
      <c r="I65" s="64" t="s">
        <v>465</v>
      </c>
    </row>
    <row r="66" spans="1:12" x14ac:dyDescent="0.3">
      <c r="A66" s="75" t="s">
        <v>530</v>
      </c>
      <c r="B66" s="59">
        <v>19474169.219601419</v>
      </c>
      <c r="C66" s="67">
        <v>19474169.219601419</v>
      </c>
      <c r="D66" s="60">
        <v>20673610.116392747</v>
      </c>
      <c r="E66" s="83"/>
      <c r="F66" s="61">
        <v>0.58571109877499994</v>
      </c>
      <c r="G66" s="77">
        <v>10455.988337376644</v>
      </c>
      <c r="H66" s="63">
        <v>1.0455988337376645E-2</v>
      </c>
      <c r="I66" s="97"/>
      <c r="K66" s="98"/>
    </row>
    <row r="67" spans="1:12" x14ac:dyDescent="0.3">
      <c r="A67" s="75" t="s">
        <v>531</v>
      </c>
      <c r="B67" s="59">
        <v>22639319.979813498</v>
      </c>
      <c r="C67" s="67">
        <v>22639319.979813498</v>
      </c>
      <c r="D67" s="60">
        <v>23633492.9618803</v>
      </c>
      <c r="E67" s="83"/>
      <c r="F67" s="81">
        <v>0.61199999999999999</v>
      </c>
      <c r="G67" s="77">
        <v>15352.092718927001</v>
      </c>
      <c r="H67" s="63">
        <v>1.5352092718927001E-2</v>
      </c>
      <c r="I67" s="97">
        <v>0.95793372635732021</v>
      </c>
      <c r="K67" s="98"/>
    </row>
    <row r="68" spans="1:12" x14ac:dyDescent="0.3">
      <c r="A68" s="75" t="s">
        <v>532</v>
      </c>
      <c r="B68" s="59">
        <v>16085444.010446707</v>
      </c>
      <c r="C68" s="67">
        <v>16085444.010446707</v>
      </c>
      <c r="D68" s="77">
        <v>17449319.671483699</v>
      </c>
      <c r="E68" s="83"/>
      <c r="F68" s="81">
        <v>0.53700000000000003</v>
      </c>
      <c r="G68" s="77">
        <v>3568.253687975</v>
      </c>
      <c r="H68" s="63">
        <v>3.5682536879749998E-3</v>
      </c>
      <c r="I68" s="97">
        <v>0.92183788899999997</v>
      </c>
      <c r="K68" s="98"/>
    </row>
    <row r="69" spans="1:12" x14ac:dyDescent="0.3">
      <c r="A69" s="75" t="s">
        <v>533</v>
      </c>
      <c r="B69" s="59">
        <v>10805182.822031699</v>
      </c>
      <c r="C69" s="67">
        <v>10805182.822031699</v>
      </c>
      <c r="D69" s="77">
        <v>12992301.9717196</v>
      </c>
      <c r="E69" s="83"/>
      <c r="F69" s="66">
        <v>0.49099999999999999</v>
      </c>
      <c r="G69" s="77">
        <v>9064.2347162629994</v>
      </c>
      <c r="H69" s="63">
        <v>9.0642347162629994E-3</v>
      </c>
      <c r="I69" s="64">
        <v>0.83166038209020898</v>
      </c>
      <c r="K69" s="98"/>
    </row>
    <row r="70" spans="1:12" x14ac:dyDescent="0.3">
      <c r="A70" s="75" t="s">
        <v>534</v>
      </c>
      <c r="B70" s="59">
        <v>22639319.979813498</v>
      </c>
      <c r="C70" s="67">
        <v>22639319.979813498</v>
      </c>
      <c r="D70" s="65">
        <v>23633492.9618803</v>
      </c>
      <c r="E70" s="83"/>
      <c r="F70" s="66">
        <v>0.80642049800000004</v>
      </c>
      <c r="G70" s="77">
        <v>16142.739251388</v>
      </c>
      <c r="H70" s="63">
        <v>1.6142739251388E-2</v>
      </c>
      <c r="I70" s="64">
        <v>0.95793372635732021</v>
      </c>
      <c r="K70" s="98"/>
    </row>
    <row r="71" spans="1:12" x14ac:dyDescent="0.3">
      <c r="A71" s="58" t="s">
        <v>535</v>
      </c>
      <c r="B71" s="59">
        <v>9945646.340310514</v>
      </c>
      <c r="C71" s="67">
        <v>9945646.340310514</v>
      </c>
      <c r="D71" s="77">
        <v>11958783.362163</v>
      </c>
      <c r="E71" s="67"/>
      <c r="F71" s="81">
        <v>0.32642858499999999</v>
      </c>
      <c r="G71" s="99">
        <v>9064.2347162629994</v>
      </c>
      <c r="H71" s="63">
        <v>9.0642347162629994E-3</v>
      </c>
      <c r="I71" s="97">
        <v>0.83166038209020898</v>
      </c>
      <c r="K71" s="98"/>
      <c r="L71" s="98"/>
    </row>
    <row r="72" spans="1:12" x14ac:dyDescent="0.3">
      <c r="A72" s="58" t="s">
        <v>536</v>
      </c>
      <c r="B72" s="59">
        <v>26949428.734871496</v>
      </c>
      <c r="C72" s="67">
        <v>26949428.734871496</v>
      </c>
      <c r="D72" s="77">
        <v>28595925.1717753</v>
      </c>
      <c r="E72" s="67"/>
      <c r="F72" s="81">
        <v>0.86670000000000003</v>
      </c>
      <c r="G72" s="67">
        <v>45137.714412408997</v>
      </c>
      <c r="H72" s="63">
        <v>4.5137714412408998E-2</v>
      </c>
      <c r="I72" s="64">
        <v>0.94242199100000001</v>
      </c>
      <c r="K72" s="98"/>
    </row>
    <row r="73" spans="1:12" x14ac:dyDescent="0.3">
      <c r="A73" s="58" t="s">
        <v>537</v>
      </c>
      <c r="B73" s="59">
        <v>26664354.295994278</v>
      </c>
      <c r="C73" s="67">
        <v>26664354.295994278</v>
      </c>
      <c r="D73" s="60">
        <v>28293433.886979699</v>
      </c>
      <c r="E73" s="83"/>
      <c r="F73" s="81">
        <v>0.48798697000000002</v>
      </c>
      <c r="G73" s="62">
        <v>45137.714412408997</v>
      </c>
      <c r="H73" s="63">
        <v>4.5137714412408998E-2</v>
      </c>
      <c r="I73" s="64">
        <v>0.94242199100000001</v>
      </c>
    </row>
    <row r="74" spans="1:12" ht="12.6" customHeight="1" x14ac:dyDescent="0.3">
      <c r="A74" s="58" t="s">
        <v>538</v>
      </c>
      <c r="B74" s="59">
        <v>24599421.97472629</v>
      </c>
      <c r="C74" s="77">
        <v>24599421.97472629</v>
      </c>
      <c r="D74" s="77">
        <v>25679670</v>
      </c>
      <c r="E74" s="83"/>
      <c r="F74" s="81">
        <v>0.747</v>
      </c>
      <c r="G74" s="62">
        <v>11800</v>
      </c>
      <c r="H74" s="63">
        <v>1.18E-2</v>
      </c>
      <c r="I74" s="64">
        <v>0.95793372635732044</v>
      </c>
      <c r="K74" s="100"/>
    </row>
    <row r="75" spans="1:12" x14ac:dyDescent="0.3">
      <c r="A75" s="58" t="s">
        <v>539</v>
      </c>
      <c r="B75" s="59">
        <v>28385750.368920002</v>
      </c>
      <c r="C75" s="77">
        <v>28385750.368920002</v>
      </c>
      <c r="D75" s="77">
        <v>30120000</v>
      </c>
      <c r="E75" s="67"/>
      <c r="F75" s="81">
        <v>0.8641323406231759</v>
      </c>
      <c r="G75" s="77">
        <v>45137.714412408997</v>
      </c>
      <c r="H75" s="63">
        <v>4.5137714412408998E-2</v>
      </c>
      <c r="I75" s="64">
        <v>0.94242199100000001</v>
      </c>
      <c r="K75" s="100"/>
    </row>
    <row r="76" spans="1:12" x14ac:dyDescent="0.3">
      <c r="A76" s="58" t="s">
        <v>540</v>
      </c>
      <c r="B76" s="59">
        <v>15396000</v>
      </c>
      <c r="C76" s="77">
        <v>15396000</v>
      </c>
      <c r="D76" s="60">
        <v>16524000</v>
      </c>
      <c r="E76" s="83"/>
      <c r="F76" s="61">
        <v>0.48699999999999999</v>
      </c>
      <c r="G76" s="62">
        <v>500</v>
      </c>
      <c r="H76" s="63">
        <v>5.0000000000000001E-4</v>
      </c>
      <c r="I76" s="64">
        <v>0.93173565722585328</v>
      </c>
    </row>
    <row r="77" spans="1:12" x14ac:dyDescent="0.3">
      <c r="A77" s="58" t="s">
        <v>541</v>
      </c>
      <c r="B77" s="59">
        <v>15929000</v>
      </c>
      <c r="C77" s="99">
        <v>15929000</v>
      </c>
      <c r="D77" s="60">
        <v>17062000</v>
      </c>
      <c r="E77" s="83"/>
      <c r="F77" s="61">
        <v>0.501</v>
      </c>
      <c r="G77" s="62">
        <v>200</v>
      </c>
      <c r="H77" s="63">
        <v>2.0000000000000001E-4</v>
      </c>
      <c r="I77" s="64">
        <v>0.93359512366662756</v>
      </c>
      <c r="K77" s="101"/>
    </row>
    <row r="78" spans="1:12" x14ac:dyDescent="0.3">
      <c r="A78" s="58" t="s">
        <v>542</v>
      </c>
      <c r="B78" s="59">
        <v>14447000</v>
      </c>
      <c r="C78" s="62">
        <v>14447000</v>
      </c>
      <c r="D78" s="62">
        <v>15583000</v>
      </c>
      <c r="E78" s="67"/>
      <c r="F78" s="78">
        <v>0.46600000000000003</v>
      </c>
      <c r="G78" s="62">
        <v>1100</v>
      </c>
      <c r="H78" s="63">
        <v>1.1000000000000001E-3</v>
      </c>
      <c r="I78" s="64">
        <v>0.92710004492074694</v>
      </c>
      <c r="K78" s="100"/>
    </row>
    <row r="79" spans="1:12" x14ac:dyDescent="0.3">
      <c r="A79" s="58" t="s">
        <v>543</v>
      </c>
      <c r="B79" s="59">
        <v>15342000</v>
      </c>
      <c r="C79" s="62">
        <v>15342000</v>
      </c>
      <c r="D79" s="62">
        <v>16377000</v>
      </c>
      <c r="E79" s="67"/>
      <c r="F79" s="78">
        <v>0.47599999999999998</v>
      </c>
      <c r="G79" s="62">
        <v>800</v>
      </c>
      <c r="H79" s="63">
        <v>8.0000000000000004E-4</v>
      </c>
      <c r="I79" s="64">
        <v>0.93680161201685286</v>
      </c>
    </row>
    <row r="80" spans="1:12" x14ac:dyDescent="0.3">
      <c r="A80" s="58" t="s">
        <v>544</v>
      </c>
      <c r="B80" s="59">
        <v>14716000</v>
      </c>
      <c r="C80" s="62">
        <v>14716000</v>
      </c>
      <c r="D80" s="67">
        <v>15774000</v>
      </c>
      <c r="E80" s="67"/>
      <c r="F80" s="78">
        <v>0.46700000000000003</v>
      </c>
      <c r="G80" s="62">
        <v>1000</v>
      </c>
      <c r="H80" s="63">
        <v>1E-3</v>
      </c>
      <c r="I80" s="64">
        <v>0.93292760238366934</v>
      </c>
    </row>
    <row r="81" spans="1:14" x14ac:dyDescent="0.3">
      <c r="A81" s="58" t="s">
        <v>545</v>
      </c>
      <c r="B81" s="59">
        <v>17289000</v>
      </c>
      <c r="C81" s="77">
        <v>17289000</v>
      </c>
      <c r="D81" s="67">
        <v>17906000</v>
      </c>
      <c r="E81" s="67"/>
      <c r="F81" s="78">
        <v>0.503</v>
      </c>
      <c r="G81" s="67">
        <v>400</v>
      </c>
      <c r="H81" s="63">
        <v>4.0000000000000002E-4</v>
      </c>
      <c r="I81" s="64">
        <v>0.96554227633195577</v>
      </c>
    </row>
    <row r="82" spans="1:14" x14ac:dyDescent="0.3">
      <c r="A82" s="58" t="s">
        <v>546</v>
      </c>
      <c r="B82" s="59">
        <v>15929000</v>
      </c>
      <c r="C82" s="62">
        <v>15929000</v>
      </c>
      <c r="D82" s="77">
        <v>17062000</v>
      </c>
      <c r="E82" s="67"/>
      <c r="F82" s="78">
        <v>0.501</v>
      </c>
      <c r="G82" s="67">
        <v>200</v>
      </c>
      <c r="H82" s="63">
        <v>2.0000000000000001E-4</v>
      </c>
      <c r="I82" s="64">
        <v>0.93359512366662756</v>
      </c>
    </row>
    <row r="83" spans="1:14" x14ac:dyDescent="0.3">
      <c r="A83" s="75" t="s">
        <v>547</v>
      </c>
      <c r="B83" s="59">
        <v>14999999.999999998</v>
      </c>
      <c r="C83" s="62">
        <v>14999999.999999998</v>
      </c>
      <c r="D83" s="62"/>
      <c r="E83" s="67"/>
      <c r="F83" s="102">
        <v>0.47799999999999998</v>
      </c>
      <c r="G83" s="62">
        <v>400</v>
      </c>
      <c r="H83" s="103">
        <v>4.0000000000000002E-4</v>
      </c>
      <c r="I83" s="104"/>
    </row>
    <row r="84" spans="1:14" x14ac:dyDescent="0.3">
      <c r="A84" s="105" t="s">
        <v>548</v>
      </c>
      <c r="B84" s="67">
        <v>13454048.892850777</v>
      </c>
      <c r="C84" s="77">
        <v>13454048.892850777</v>
      </c>
      <c r="D84" s="77">
        <v>15774000</v>
      </c>
      <c r="E84" s="67"/>
      <c r="F84" s="106">
        <v>0.5</v>
      </c>
      <c r="G84" s="62"/>
      <c r="H84" s="103"/>
      <c r="I84" s="104">
        <v>0.85292563033160751</v>
      </c>
    </row>
    <row r="85" spans="1:14" x14ac:dyDescent="0.3">
      <c r="A85" s="105" t="s">
        <v>549</v>
      </c>
      <c r="B85" s="67">
        <v>12381771.311916806</v>
      </c>
      <c r="C85" s="77">
        <v>12381771.311916806</v>
      </c>
      <c r="D85" s="77">
        <v>14062678</v>
      </c>
      <c r="E85" s="67"/>
      <c r="F85" s="106">
        <v>0.46300000000000002</v>
      </c>
      <c r="G85" s="62"/>
      <c r="H85" s="103"/>
      <c r="I85" s="104">
        <v>0.88047037071579148</v>
      </c>
    </row>
    <row r="86" spans="1:14" x14ac:dyDescent="0.3">
      <c r="A86" s="105" t="s">
        <v>550</v>
      </c>
      <c r="B86" s="67">
        <v>18916910.5715716</v>
      </c>
      <c r="C86" s="67">
        <v>18916910.5715716</v>
      </c>
      <c r="D86" s="67">
        <v>18916910.5715716</v>
      </c>
      <c r="E86" s="67"/>
      <c r="F86" s="107">
        <v>0.51200000000000001</v>
      </c>
      <c r="G86" s="77">
        <v>0</v>
      </c>
      <c r="H86" s="103">
        <v>0</v>
      </c>
      <c r="I86" s="104">
        <v>1</v>
      </c>
    </row>
    <row r="87" spans="1:14" x14ac:dyDescent="0.3">
      <c r="A87" s="108" t="s">
        <v>551</v>
      </c>
      <c r="B87" s="67">
        <v>12781599.343864119</v>
      </c>
      <c r="C87" s="77">
        <v>12781599.343864119</v>
      </c>
      <c r="D87" s="77">
        <v>14131556.354955051</v>
      </c>
      <c r="E87" s="67"/>
      <c r="F87" s="106">
        <v>0.39339999999999997</v>
      </c>
      <c r="G87" s="62">
        <v>0</v>
      </c>
      <c r="H87" s="103">
        <v>0</v>
      </c>
      <c r="I87" s="104">
        <v>0.90447216306662592</v>
      </c>
    </row>
    <row r="88" spans="1:14" x14ac:dyDescent="0.3">
      <c r="A88" s="109" t="s">
        <v>552</v>
      </c>
      <c r="B88" s="110">
        <v>14409931.248165678</v>
      </c>
      <c r="C88" s="111">
        <v>14409931.248165678</v>
      </c>
      <c r="D88" s="111">
        <v>15305245.093897162</v>
      </c>
      <c r="E88" s="110"/>
      <c r="F88" s="112">
        <v>0.41985</v>
      </c>
      <c r="G88" s="111">
        <v>0</v>
      </c>
      <c r="H88" s="113">
        <v>0</v>
      </c>
      <c r="I88" s="114">
        <v>0.94150280898876404</v>
      </c>
    </row>
    <row r="89" spans="1:14" x14ac:dyDescent="0.3">
      <c r="A89" t="s">
        <v>553</v>
      </c>
      <c r="B89" s="67">
        <v>14409931.248165678</v>
      </c>
      <c r="C89" s="115">
        <v>14409931.248165678</v>
      </c>
      <c r="D89" s="115">
        <v>15305245.093897162</v>
      </c>
      <c r="E89" s="116"/>
      <c r="F89" s="117">
        <v>0.41985</v>
      </c>
      <c r="G89" s="70">
        <v>0</v>
      </c>
      <c r="H89" s="103">
        <v>0</v>
      </c>
      <c r="I89" s="118">
        <v>0.94150280898876404</v>
      </c>
    </row>
    <row r="90" spans="1:14" x14ac:dyDescent="0.3">
      <c r="A90" s="37" t="s">
        <v>554</v>
      </c>
      <c r="B90" s="119">
        <v>11209638.734587256</v>
      </c>
      <c r="C90" s="119">
        <v>11209638.734587256</v>
      </c>
      <c r="D90" s="119">
        <v>13583444.58426456</v>
      </c>
      <c r="E90" s="119"/>
      <c r="F90" s="119">
        <v>0.49161518093556933</v>
      </c>
      <c r="G90">
        <v>1765.2250661959399</v>
      </c>
      <c r="H90">
        <v>1.7652250661959398E-3</v>
      </c>
      <c r="I90">
        <v>0.8252427184466018</v>
      </c>
    </row>
    <row r="91" spans="1:14" x14ac:dyDescent="0.3">
      <c r="A91" t="s">
        <v>555</v>
      </c>
      <c r="B91" s="119">
        <v>14155275.214870876</v>
      </c>
      <c r="C91" s="119">
        <v>14155275.214870876</v>
      </c>
      <c r="D91" s="119">
        <v>16144032.889687445</v>
      </c>
      <c r="E91" s="119"/>
      <c r="F91" s="119">
        <v>0.50491510277033058</v>
      </c>
      <c r="G91">
        <v>1787.3100983020554</v>
      </c>
      <c r="H91">
        <v>1.7873100983020554E-3</v>
      </c>
      <c r="I91">
        <v>0.87681159420289856</v>
      </c>
    </row>
    <row r="92" spans="1:14" x14ac:dyDescent="0.3">
      <c r="A92" s="120" t="s">
        <v>556</v>
      </c>
      <c r="B92" s="121">
        <v>152370.90134048002</v>
      </c>
      <c r="C92" s="122">
        <v>152370.90134048002</v>
      </c>
      <c r="D92" s="122">
        <v>162963.53084543315</v>
      </c>
      <c r="E92" s="122">
        <v>3839.6821254480283</v>
      </c>
      <c r="F92" s="122">
        <v>0.83</v>
      </c>
      <c r="G92" s="123">
        <v>48000</v>
      </c>
      <c r="H92" s="123">
        <v>4.8000000000000001E-2</v>
      </c>
      <c r="I92" s="123">
        <v>0.93500000000000016</v>
      </c>
      <c r="J92" s="123"/>
      <c r="K92" s="123"/>
      <c r="L92" s="123"/>
      <c r="M92" s="123"/>
      <c r="N92" s="124"/>
    </row>
    <row r="93" spans="1:14" x14ac:dyDescent="0.3">
      <c r="A93" s="125" t="s">
        <v>139</v>
      </c>
      <c r="B93" s="126">
        <v>144230</v>
      </c>
      <c r="C93" s="127"/>
      <c r="D93" s="127"/>
      <c r="E93" s="127">
        <v>3785.4109999999991</v>
      </c>
      <c r="F93" s="127">
        <v>0.80800504236780391</v>
      </c>
      <c r="G93" s="127">
        <v>3510</v>
      </c>
      <c r="H93" s="127"/>
      <c r="I93" s="127"/>
      <c r="J93" s="127"/>
      <c r="K93" s="127"/>
      <c r="L93" s="127"/>
      <c r="M93" s="127"/>
      <c r="N93" s="128"/>
    </row>
    <row r="94" spans="1:14" x14ac:dyDescent="0.3">
      <c r="A94" s="129"/>
      <c r="B94" s="130"/>
      <c r="N94" s="131"/>
    </row>
    <row r="95" spans="1:14" x14ac:dyDescent="0.3">
      <c r="A95" s="129" t="s">
        <v>557</v>
      </c>
      <c r="B95" s="130"/>
      <c r="N95" s="131"/>
    </row>
    <row r="96" spans="1:14" x14ac:dyDescent="0.3">
      <c r="A96" s="125" t="s">
        <v>558</v>
      </c>
      <c r="B96" s="132"/>
      <c r="C96" s="133"/>
      <c r="D96" s="133"/>
      <c r="E96" s="133"/>
      <c r="F96" s="133"/>
      <c r="G96" s="133"/>
      <c r="H96" s="133"/>
      <c r="I96" s="133"/>
      <c r="J96" s="133"/>
      <c r="K96" s="133"/>
      <c r="L96" s="133"/>
      <c r="M96" s="133"/>
      <c r="N96" s="134"/>
    </row>
    <row r="97" spans="1:14" x14ac:dyDescent="0.3">
      <c r="A97" s="18" t="s">
        <v>559</v>
      </c>
      <c r="B97" s="70" t="s">
        <v>560</v>
      </c>
      <c r="C97" t="s">
        <v>560</v>
      </c>
      <c r="D97" t="s">
        <v>560</v>
      </c>
      <c r="E97" t="s">
        <v>561</v>
      </c>
      <c r="F97" t="s">
        <v>561</v>
      </c>
      <c r="G97" t="s">
        <v>562</v>
      </c>
      <c r="H97" t="s">
        <v>562</v>
      </c>
      <c r="I97" t="s">
        <v>563</v>
      </c>
      <c r="J97" t="s">
        <v>563</v>
      </c>
      <c r="K97" t="s">
        <v>564</v>
      </c>
      <c r="L97" t="s">
        <v>564</v>
      </c>
      <c r="M97" t="s">
        <v>565</v>
      </c>
      <c r="N97" t="s">
        <v>565</v>
      </c>
    </row>
    <row r="98" spans="1:14" x14ac:dyDescent="0.3">
      <c r="A98" s="3" t="s">
        <v>566</v>
      </c>
      <c r="B98" s="70">
        <v>100</v>
      </c>
      <c r="C98">
        <v>100</v>
      </c>
      <c r="D98">
        <v>20</v>
      </c>
      <c r="E98">
        <v>100</v>
      </c>
      <c r="F98">
        <v>20</v>
      </c>
      <c r="G98">
        <v>100</v>
      </c>
      <c r="H98">
        <v>20</v>
      </c>
      <c r="I98">
        <v>100</v>
      </c>
      <c r="J98">
        <v>20</v>
      </c>
      <c r="K98">
        <v>100</v>
      </c>
      <c r="L98">
        <v>20</v>
      </c>
      <c r="M98">
        <v>100</v>
      </c>
      <c r="N98">
        <v>20</v>
      </c>
    </row>
    <row r="99" spans="1:14" x14ac:dyDescent="0.3">
      <c r="A99" s="135" t="s">
        <v>567</v>
      </c>
      <c r="B99" s="136">
        <v>1</v>
      </c>
      <c r="C99" s="137">
        <v>1</v>
      </c>
      <c r="D99" s="137">
        <v>1</v>
      </c>
      <c r="E99" s="137">
        <v>1</v>
      </c>
      <c r="F99" s="137">
        <v>1</v>
      </c>
      <c r="G99" s="138">
        <v>1</v>
      </c>
      <c r="H99">
        <v>1</v>
      </c>
      <c r="I99">
        <v>1</v>
      </c>
      <c r="J99">
        <v>1</v>
      </c>
      <c r="K99">
        <v>1</v>
      </c>
      <c r="L99">
        <v>1</v>
      </c>
      <c r="M99">
        <v>1</v>
      </c>
      <c r="N99">
        <v>1</v>
      </c>
    </row>
    <row r="100" spans="1:14" x14ac:dyDescent="0.3">
      <c r="A100" s="125" t="s">
        <v>568</v>
      </c>
      <c r="B100" s="126">
        <v>30</v>
      </c>
      <c r="C100" s="139">
        <v>30</v>
      </c>
      <c r="D100" s="139">
        <v>85</v>
      </c>
      <c r="E100" s="139">
        <v>6</v>
      </c>
      <c r="F100" s="139">
        <v>68</v>
      </c>
      <c r="G100" s="140">
        <v>25</v>
      </c>
      <c r="H100">
        <v>72</v>
      </c>
      <c r="I100">
        <v>23</v>
      </c>
      <c r="J100">
        <v>62</v>
      </c>
      <c r="K100">
        <v>21</v>
      </c>
      <c r="L100">
        <v>56</v>
      </c>
      <c r="M100">
        <v>21</v>
      </c>
      <c r="N100">
        <v>63</v>
      </c>
    </row>
    <row r="101" spans="1:14" x14ac:dyDescent="0.3">
      <c r="A101" s="129" t="s">
        <v>569</v>
      </c>
      <c r="B101" s="130">
        <v>265</v>
      </c>
      <c r="C101">
        <v>265</v>
      </c>
      <c r="D101">
        <v>264</v>
      </c>
      <c r="E101" s="70">
        <v>234</v>
      </c>
      <c r="F101">
        <v>277</v>
      </c>
      <c r="G101" s="131">
        <v>298</v>
      </c>
      <c r="H101">
        <v>289</v>
      </c>
      <c r="I101">
        <v>296</v>
      </c>
      <c r="J101">
        <v>275</v>
      </c>
      <c r="K101">
        <v>310</v>
      </c>
      <c r="L101">
        <v>280</v>
      </c>
      <c r="M101">
        <v>290</v>
      </c>
      <c r="N101">
        <v>270</v>
      </c>
    </row>
    <row r="102" spans="1:14" x14ac:dyDescent="0.3">
      <c r="A102" s="129"/>
      <c r="B102" s="130"/>
      <c r="G102" s="131"/>
    </row>
    <row r="103" spans="1:14" x14ac:dyDescent="0.3">
      <c r="A103" s="129" t="s">
        <v>570</v>
      </c>
      <c r="B103" s="130"/>
      <c r="G103" s="131"/>
    </row>
    <row r="104" spans="1:14" x14ac:dyDescent="0.3">
      <c r="A104" s="129" t="s">
        <v>571</v>
      </c>
      <c r="B104" s="130" t="s">
        <v>572</v>
      </c>
      <c r="C104" t="s">
        <v>572</v>
      </c>
      <c r="D104" s="141" t="s">
        <v>573</v>
      </c>
      <c r="E104" s="141" t="s">
        <v>573</v>
      </c>
      <c r="F104" s="141" t="s">
        <v>574</v>
      </c>
      <c r="G104" s="142" t="s">
        <v>574</v>
      </c>
    </row>
    <row r="105" spans="1:14" x14ac:dyDescent="0.3">
      <c r="A105" s="125" t="s">
        <v>566</v>
      </c>
      <c r="B105" s="132">
        <v>100</v>
      </c>
      <c r="C105" s="133"/>
      <c r="D105" s="133">
        <v>100</v>
      </c>
      <c r="E105" s="133">
        <v>20</v>
      </c>
      <c r="F105" s="133">
        <v>100</v>
      </c>
      <c r="G105" s="134">
        <v>20</v>
      </c>
    </row>
    <row r="106" spans="1:14" x14ac:dyDescent="0.3">
      <c r="A106" t="s">
        <v>575</v>
      </c>
      <c r="B106">
        <v>0</v>
      </c>
      <c r="C106">
        <v>0</v>
      </c>
      <c r="D106">
        <v>4.5</v>
      </c>
      <c r="E106">
        <v>14</v>
      </c>
      <c r="F106">
        <v>0.66</v>
      </c>
      <c r="G106">
        <v>7.5</v>
      </c>
    </row>
    <row r="107" spans="1:14" x14ac:dyDescent="0.3">
      <c r="A107" s="37" t="s">
        <v>576</v>
      </c>
      <c r="B107">
        <v>0</v>
      </c>
      <c r="C107">
        <v>0</v>
      </c>
      <c r="D107">
        <v>2.65</v>
      </c>
      <c r="E107">
        <v>7.65</v>
      </c>
      <c r="F107">
        <v>0.42</v>
      </c>
      <c r="G107">
        <v>4.9000000000000004</v>
      </c>
    </row>
    <row r="108" spans="1:14" x14ac:dyDescent="0.3">
      <c r="A108" s="120" t="s">
        <v>577</v>
      </c>
      <c r="B108" s="143">
        <v>0</v>
      </c>
      <c r="C108">
        <v>0</v>
      </c>
      <c r="D108">
        <v>-11</v>
      </c>
      <c r="E108">
        <v>19</v>
      </c>
      <c r="F108">
        <v>-2.9</v>
      </c>
      <c r="G108">
        <v>-87</v>
      </c>
    </row>
    <row r="109" spans="1:14" x14ac:dyDescent="0.3">
      <c r="A109" s="129" t="s">
        <v>578</v>
      </c>
      <c r="B109" s="144">
        <v>0</v>
      </c>
      <c r="C109">
        <v>0</v>
      </c>
      <c r="D109">
        <v>900</v>
      </c>
      <c r="E109">
        <v>3200</v>
      </c>
      <c r="F109">
        <v>130</v>
      </c>
      <c r="G109">
        <v>920</v>
      </c>
    </row>
    <row r="110" spans="1:14" x14ac:dyDescent="0.3">
      <c r="A110" s="129" t="s">
        <v>579</v>
      </c>
      <c r="B110" s="144">
        <v>0</v>
      </c>
      <c r="C110">
        <v>0</v>
      </c>
      <c r="D110">
        <v>-69</v>
      </c>
      <c r="E110">
        <v>-240</v>
      </c>
      <c r="F110">
        <v>-10</v>
      </c>
      <c r="G110">
        <v>-71</v>
      </c>
    </row>
    <row r="111" spans="1:14" x14ac:dyDescent="0.3">
      <c r="A111" s="129"/>
      <c r="B111" s="144"/>
    </row>
    <row r="112" spans="1:14" x14ac:dyDescent="0.3">
      <c r="A112" s="125" t="s">
        <v>580</v>
      </c>
      <c r="B112" s="145"/>
    </row>
    <row r="113" spans="1:24" x14ac:dyDescent="0.3">
      <c r="A113" t="s">
        <v>581</v>
      </c>
      <c r="B113">
        <v>0.85</v>
      </c>
    </row>
    <row r="114" spans="1:24" x14ac:dyDescent="0.3">
      <c r="A114" s="37" t="s">
        <v>582</v>
      </c>
      <c r="B114">
        <v>0.42857142857142855</v>
      </c>
    </row>
    <row r="115" spans="1:24" x14ac:dyDescent="0.3">
      <c r="A115" t="s">
        <v>583</v>
      </c>
      <c r="B115">
        <v>0.75</v>
      </c>
    </row>
    <row r="116" spans="1:24" x14ac:dyDescent="0.3">
      <c r="A116" t="s">
        <v>584</v>
      </c>
      <c r="B116" s="146">
        <v>0.27272727272727271</v>
      </c>
      <c r="F116" s="147"/>
      <c r="J116" s="147"/>
      <c r="N116" s="147"/>
      <c r="R116" s="148"/>
      <c r="V116" s="148"/>
    </row>
    <row r="117" spans="1:24" x14ac:dyDescent="0.3">
      <c r="A117" t="s">
        <v>585</v>
      </c>
      <c r="B117" s="149">
        <v>0.5</v>
      </c>
      <c r="F117" s="150"/>
      <c r="J117" s="150"/>
      <c r="N117" s="150"/>
      <c r="R117" s="151"/>
      <c r="V117" s="151"/>
    </row>
    <row r="118" spans="1:24" x14ac:dyDescent="0.3">
      <c r="B118" s="152"/>
      <c r="C118" s="153"/>
      <c r="D118" s="154"/>
      <c r="F118" s="152"/>
      <c r="G118" s="153"/>
      <c r="H118" s="154"/>
      <c r="J118" s="152"/>
      <c r="K118" s="155"/>
      <c r="L118" s="154"/>
      <c r="N118" s="152"/>
      <c r="O118" s="155"/>
      <c r="P118" s="154"/>
      <c r="R118" s="152"/>
      <c r="S118" s="155"/>
      <c r="T118" s="154"/>
      <c r="V118" s="152"/>
      <c r="W118" s="155"/>
      <c r="X118" s="154"/>
    </row>
    <row r="119" spans="1:24" x14ac:dyDescent="0.3">
      <c r="A119" t="s">
        <v>586</v>
      </c>
      <c r="B119" s="156"/>
      <c r="C119" s="157"/>
      <c r="D119" s="158"/>
      <c r="F119" s="156"/>
      <c r="G119" s="157"/>
      <c r="H119" s="158"/>
      <c r="J119" s="156"/>
      <c r="K119" s="157"/>
      <c r="L119" s="158"/>
      <c r="N119" s="156"/>
      <c r="O119" s="157"/>
      <c r="P119" s="158"/>
      <c r="R119" s="156"/>
      <c r="S119" s="157"/>
      <c r="T119" s="158"/>
      <c r="V119" s="156"/>
      <c r="W119" s="157"/>
      <c r="X119" s="158"/>
    </row>
    <row r="120" spans="1:24" x14ac:dyDescent="0.3">
      <c r="B120" s="159"/>
      <c r="C120" s="151"/>
      <c r="D120" s="160"/>
      <c r="F120" s="159"/>
      <c r="G120" s="151"/>
      <c r="H120" s="160"/>
      <c r="J120" s="159"/>
      <c r="K120" s="151"/>
      <c r="L120" s="160"/>
      <c r="N120" s="159"/>
      <c r="O120" s="151"/>
      <c r="P120" s="160"/>
      <c r="R120" s="159"/>
      <c r="S120" s="151"/>
      <c r="T120" s="160"/>
      <c r="V120" s="159"/>
      <c r="W120" s="151"/>
      <c r="X120" s="160"/>
    </row>
    <row r="121" spans="1:24" x14ac:dyDescent="0.3">
      <c r="B121" s="159">
        <v>10</v>
      </c>
      <c r="C121" s="151"/>
      <c r="D121" s="160"/>
      <c r="F121" s="159">
        <v>200</v>
      </c>
      <c r="G121" s="151"/>
      <c r="H121" s="160"/>
      <c r="J121" s="159">
        <v>11</v>
      </c>
      <c r="K121" s="151"/>
      <c r="L121" s="160"/>
      <c r="N121" s="159">
        <v>11</v>
      </c>
      <c r="O121" s="151"/>
      <c r="P121" s="160"/>
      <c r="R121" s="159">
        <v>27000</v>
      </c>
      <c r="S121" s="151"/>
      <c r="T121" s="160"/>
      <c r="V121" s="159">
        <v>1000</v>
      </c>
      <c r="W121" s="151"/>
      <c r="X121" s="160"/>
    </row>
    <row r="122" spans="1:24" x14ac:dyDescent="0.3">
      <c r="B122" s="159">
        <v>10</v>
      </c>
      <c r="C122" s="151"/>
      <c r="D122" s="160"/>
      <c r="F122" s="159">
        <v>200</v>
      </c>
      <c r="G122" s="151"/>
      <c r="H122" s="160"/>
      <c r="J122" s="159">
        <v>11</v>
      </c>
      <c r="K122" s="151"/>
      <c r="L122" s="160"/>
      <c r="N122" s="159">
        <v>11</v>
      </c>
      <c r="O122" s="151"/>
      <c r="P122" s="160"/>
      <c r="R122" s="159">
        <v>27000</v>
      </c>
      <c r="S122" s="151"/>
      <c r="T122" s="160"/>
      <c r="V122" s="159">
        <v>1000</v>
      </c>
      <c r="W122" s="151"/>
      <c r="X122" s="160"/>
    </row>
    <row r="123" spans="1:24" x14ac:dyDescent="0.3">
      <c r="B123" s="159" t="s">
        <v>587</v>
      </c>
      <c r="C123" s="151" t="s">
        <v>588</v>
      </c>
      <c r="D123" s="160" t="s">
        <v>589</v>
      </c>
      <c r="F123" s="161" t="s">
        <v>587</v>
      </c>
      <c r="G123" s="162" t="s">
        <v>590</v>
      </c>
      <c r="H123" s="163" t="s">
        <v>589</v>
      </c>
      <c r="J123" s="161" t="s">
        <v>587</v>
      </c>
      <c r="K123" s="162" t="s">
        <v>591</v>
      </c>
      <c r="L123" s="163" t="s">
        <v>589</v>
      </c>
      <c r="N123" s="161" t="s">
        <v>587</v>
      </c>
      <c r="O123" s="162" t="s">
        <v>592</v>
      </c>
      <c r="P123" s="163" t="s">
        <v>589</v>
      </c>
      <c r="R123" s="161" t="s">
        <v>587</v>
      </c>
      <c r="S123" s="162" t="s">
        <v>593</v>
      </c>
      <c r="T123" s="163" t="s">
        <v>589</v>
      </c>
      <c r="V123" s="161" t="s">
        <v>587</v>
      </c>
      <c r="W123" s="162" t="s">
        <v>594</v>
      </c>
      <c r="X123" s="163" t="s">
        <v>589</v>
      </c>
    </row>
    <row r="124" spans="1:24" x14ac:dyDescent="0.3">
      <c r="B124" s="159">
        <v>1990</v>
      </c>
      <c r="C124" s="151">
        <v>500</v>
      </c>
      <c r="D124" s="160">
        <v>19.607843137254903</v>
      </c>
      <c r="F124" s="159">
        <v>1990</v>
      </c>
      <c r="G124" s="151">
        <v>600</v>
      </c>
      <c r="H124" s="160">
        <v>3</v>
      </c>
      <c r="J124" s="159">
        <v>1990</v>
      </c>
      <c r="K124" s="151">
        <v>350</v>
      </c>
      <c r="L124" s="160">
        <v>31.818181818181817</v>
      </c>
      <c r="N124" s="159">
        <v>1990</v>
      </c>
      <c r="O124" s="151">
        <v>2283</v>
      </c>
      <c r="P124" s="160">
        <v>14.006134969325153</v>
      </c>
      <c r="R124" s="159">
        <v>1990</v>
      </c>
      <c r="S124" s="151">
        <v>27000</v>
      </c>
      <c r="T124" s="160">
        <v>1</v>
      </c>
      <c r="V124" s="159">
        <v>1990</v>
      </c>
      <c r="W124" s="151">
        <v>2000</v>
      </c>
      <c r="X124" s="160">
        <v>1</v>
      </c>
    </row>
    <row r="125" spans="1:24" x14ac:dyDescent="0.3">
      <c r="B125" s="159">
        <v>1995</v>
      </c>
      <c r="C125" s="151">
        <v>340</v>
      </c>
      <c r="D125" s="160">
        <v>13.333333333333334</v>
      </c>
      <c r="F125" s="164">
        <v>1995</v>
      </c>
      <c r="G125" s="165">
        <v>350</v>
      </c>
      <c r="H125" s="166">
        <v>1.75</v>
      </c>
      <c r="J125" s="164">
        <v>1995</v>
      </c>
      <c r="K125" s="165">
        <v>200</v>
      </c>
      <c r="L125" s="166">
        <v>18.181818181818183</v>
      </c>
      <c r="N125" s="164">
        <v>1995</v>
      </c>
      <c r="O125" s="165">
        <v>2283</v>
      </c>
      <c r="P125" s="166">
        <v>14.006134969325153</v>
      </c>
      <c r="R125" s="164">
        <v>1995</v>
      </c>
      <c r="S125" s="165">
        <v>27000</v>
      </c>
      <c r="T125" s="166">
        <v>1</v>
      </c>
      <c r="V125" s="164">
        <v>1995</v>
      </c>
      <c r="W125" s="165">
        <v>2000</v>
      </c>
      <c r="X125" s="166">
        <v>1</v>
      </c>
    </row>
    <row r="126" spans="1:24" x14ac:dyDescent="0.3">
      <c r="B126" s="164">
        <v>2000</v>
      </c>
      <c r="C126" s="165">
        <v>200</v>
      </c>
      <c r="D126" s="166">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x14ac:dyDescent="0.3">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x14ac:dyDescent="0.3">
      <c r="A128" s="37"/>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x14ac:dyDescent="0.3">
      <c r="A129" s="167"/>
      <c r="B129" s="168">
        <v>2015</v>
      </c>
      <c r="C129" s="168">
        <v>25.5</v>
      </c>
      <c r="D129" s="168">
        <v>1</v>
      </c>
      <c r="E129" s="168"/>
      <c r="F129" s="169">
        <v>2015</v>
      </c>
      <c r="G129">
        <v>200</v>
      </c>
      <c r="H129">
        <v>1</v>
      </c>
      <c r="J129">
        <v>2015</v>
      </c>
      <c r="K129">
        <v>11</v>
      </c>
      <c r="L129">
        <v>1</v>
      </c>
      <c r="N129">
        <v>2015</v>
      </c>
      <c r="O129">
        <v>11</v>
      </c>
      <c r="P129">
        <v>6.7484662576687116E-2</v>
      </c>
      <c r="R129">
        <v>2015</v>
      </c>
      <c r="S129">
        <v>27000</v>
      </c>
      <c r="T129">
        <v>1</v>
      </c>
      <c r="V129">
        <v>2015</v>
      </c>
      <c r="W129">
        <v>1000</v>
      </c>
      <c r="X129">
        <v>0.5</v>
      </c>
    </row>
    <row r="130" spans="1:24" x14ac:dyDescent="0.3">
      <c r="A130" s="170"/>
      <c r="B130" s="171">
        <v>2017</v>
      </c>
      <c r="C130" s="171">
        <v>10</v>
      </c>
      <c r="D130" s="171">
        <v>0.39215686274509803</v>
      </c>
      <c r="E130" s="172"/>
      <c r="F130" s="173">
        <v>2020</v>
      </c>
      <c r="G130">
        <v>200</v>
      </c>
      <c r="H130">
        <v>1</v>
      </c>
      <c r="J130">
        <v>2020</v>
      </c>
      <c r="K130">
        <v>11</v>
      </c>
      <c r="L130">
        <v>1</v>
      </c>
      <c r="N130">
        <v>2020</v>
      </c>
      <c r="O130">
        <v>11</v>
      </c>
      <c r="P130">
        <v>6.7484662576687116E-2</v>
      </c>
      <c r="R130">
        <v>2020</v>
      </c>
      <c r="S130">
        <v>5000</v>
      </c>
      <c r="T130">
        <v>0.185</v>
      </c>
      <c r="V130">
        <v>2020</v>
      </c>
      <c r="W130">
        <v>1000</v>
      </c>
      <c r="X130">
        <v>0.5</v>
      </c>
    </row>
    <row r="131" spans="1:24" x14ac:dyDescent="0.3">
      <c r="A131" s="170"/>
      <c r="B131" s="174">
        <v>2020</v>
      </c>
      <c r="C131" s="171">
        <v>10</v>
      </c>
      <c r="D131" s="171">
        <v>0.39215686274509803</v>
      </c>
      <c r="E131" s="172"/>
      <c r="F131" s="175"/>
    </row>
    <row r="132" spans="1:24" x14ac:dyDescent="0.3">
      <c r="A132" s="170"/>
      <c r="B132" s="174"/>
      <c r="C132" s="174"/>
      <c r="D132" s="171"/>
      <c r="E132" s="174"/>
      <c r="F132" s="175"/>
    </row>
    <row r="133" spans="1:24" x14ac:dyDescent="0.3">
      <c r="A133" s="170" t="s">
        <v>595</v>
      </c>
      <c r="B133" s="174"/>
      <c r="C133" s="172"/>
      <c r="D133" s="171"/>
      <c r="E133" s="171"/>
      <c r="F133" s="173"/>
    </row>
    <row r="134" spans="1:24" x14ac:dyDescent="0.3">
      <c r="A134" s="176" t="s">
        <v>596</v>
      </c>
      <c r="B134" s="177" t="s">
        <v>597</v>
      </c>
      <c r="C134" s="177" t="s">
        <v>598</v>
      </c>
      <c r="D134" s="178" t="s">
        <v>599</v>
      </c>
      <c r="E134" s="177" t="s">
        <v>600</v>
      </c>
      <c r="F134" s="179" t="s">
        <v>601</v>
      </c>
    </row>
    <row r="135" spans="1:24" x14ac:dyDescent="0.3">
      <c r="A135" t="s">
        <v>602</v>
      </c>
      <c r="B135">
        <v>1</v>
      </c>
      <c r="C135">
        <v>1000</v>
      </c>
      <c r="D135">
        <v>1000000</v>
      </c>
      <c r="E135">
        <v>453.59237000000002</v>
      </c>
      <c r="F135">
        <v>907184.74</v>
      </c>
    </row>
    <row r="136" spans="1:24" x14ac:dyDescent="0.3">
      <c r="A136" s="167" t="s">
        <v>166</v>
      </c>
      <c r="B136" s="168">
        <v>1E-3</v>
      </c>
      <c r="C136" s="168">
        <v>1</v>
      </c>
      <c r="D136" s="168">
        <v>1000</v>
      </c>
      <c r="E136" s="168">
        <v>0.45359237000000002</v>
      </c>
      <c r="F136" s="169">
        <v>907.18474000000003</v>
      </c>
    </row>
    <row r="137" spans="1:24" x14ac:dyDescent="0.3">
      <c r="A137" s="170" t="s">
        <v>603</v>
      </c>
      <c r="B137" s="149">
        <v>9.9999999999999995E-7</v>
      </c>
      <c r="C137" s="180">
        <v>1E-3</v>
      </c>
      <c r="D137" s="181">
        <v>1</v>
      </c>
      <c r="E137" s="182">
        <v>4.5359237000000004E-4</v>
      </c>
      <c r="F137" s="183">
        <v>0.90718474000000004</v>
      </c>
    </row>
    <row r="138" spans="1:24" x14ac:dyDescent="0.3">
      <c r="A138" s="170" t="s">
        <v>604</v>
      </c>
      <c r="B138" s="171">
        <v>2.2046226218487759E-3</v>
      </c>
      <c r="C138" s="171">
        <v>2.2046226218487757</v>
      </c>
      <c r="D138" s="171">
        <v>2204.6226218487759</v>
      </c>
      <c r="E138" s="171">
        <v>1</v>
      </c>
      <c r="F138" s="173">
        <v>2000</v>
      </c>
    </row>
    <row r="139" spans="1:24" x14ac:dyDescent="0.3">
      <c r="A139" s="170" t="s">
        <v>605</v>
      </c>
      <c r="B139" s="171">
        <v>1.102311310924388E-6</v>
      </c>
      <c r="C139" s="172">
        <v>1.1023113109243879E-3</v>
      </c>
      <c r="D139" s="171">
        <v>1.1023113109243878</v>
      </c>
      <c r="E139" s="172">
        <v>5.0000000000000001E-4</v>
      </c>
      <c r="F139" s="175">
        <v>1</v>
      </c>
    </row>
    <row r="140" spans="1:24" x14ac:dyDescent="0.3">
      <c r="A140" s="170"/>
      <c r="B140" s="151"/>
      <c r="C140" s="174"/>
      <c r="D140" s="172"/>
      <c r="E140" s="171"/>
      <c r="F140" s="175"/>
    </row>
    <row r="141" spans="1:24" x14ac:dyDescent="0.3">
      <c r="A141" s="176" t="s">
        <v>606</v>
      </c>
      <c r="B141" s="165" t="s">
        <v>607</v>
      </c>
      <c r="C141" s="177" t="s">
        <v>608</v>
      </c>
      <c r="D141" s="178" t="s">
        <v>609</v>
      </c>
      <c r="E141" s="178" t="s">
        <v>610</v>
      </c>
      <c r="F141" s="179" t="s">
        <v>611</v>
      </c>
    </row>
    <row r="142" spans="1:24" x14ac:dyDescent="0.3">
      <c r="A142" t="s">
        <v>612</v>
      </c>
      <c r="B142">
        <v>1</v>
      </c>
      <c r="C142">
        <v>9.9999999999999995E-7</v>
      </c>
      <c r="D142">
        <v>1E-3</v>
      </c>
      <c r="E142">
        <v>3.7854109999999998E-3</v>
      </c>
      <c r="F142">
        <v>2.8316846999999999E-2</v>
      </c>
    </row>
    <row r="143" spans="1:24" x14ac:dyDescent="0.3">
      <c r="A143" s="167" t="s">
        <v>613</v>
      </c>
      <c r="B143" s="168">
        <v>1000000</v>
      </c>
      <c r="C143" s="168">
        <v>1</v>
      </c>
      <c r="D143" s="168">
        <v>1000.0000000000001</v>
      </c>
      <c r="E143" s="168">
        <v>3785.4110000000001</v>
      </c>
      <c r="F143" s="168">
        <v>28316.847000000002</v>
      </c>
      <c r="G143" s="168"/>
      <c r="H143" s="168"/>
      <c r="I143" s="169"/>
    </row>
    <row r="144" spans="1:24" x14ac:dyDescent="0.3">
      <c r="A144" s="170" t="s">
        <v>614</v>
      </c>
      <c r="B144" s="171">
        <v>1000</v>
      </c>
      <c r="C144" s="171">
        <v>1E-3</v>
      </c>
      <c r="D144" s="171">
        <v>1</v>
      </c>
      <c r="E144" s="171">
        <v>3.7854109999999999</v>
      </c>
      <c r="F144" s="171">
        <v>28.316846999999999</v>
      </c>
      <c r="G144" s="171"/>
      <c r="H144" s="171"/>
      <c r="I144" s="131"/>
    </row>
    <row r="145" spans="1:9" x14ac:dyDescent="0.3">
      <c r="A145" s="170" t="s">
        <v>615</v>
      </c>
      <c r="B145" s="172">
        <v>264.17210707106841</v>
      </c>
      <c r="C145" s="171">
        <v>2.6417210707106839E-4</v>
      </c>
      <c r="D145" s="171">
        <v>0.26417210707106842</v>
      </c>
      <c r="E145" s="151">
        <v>1</v>
      </c>
      <c r="F145" s="171">
        <v>7.4805211375990615</v>
      </c>
      <c r="G145" s="172"/>
      <c r="H145" s="171"/>
      <c r="I145" s="131"/>
    </row>
    <row r="146" spans="1:9" x14ac:dyDescent="0.3">
      <c r="A146" s="170" t="s">
        <v>616</v>
      </c>
      <c r="B146" s="174">
        <v>35.314666212661322</v>
      </c>
      <c r="C146" s="172">
        <v>3.5314666212661319E-5</v>
      </c>
      <c r="D146" s="171">
        <v>3.5314666212661321E-2</v>
      </c>
      <c r="E146" s="184">
        <v>0.13368052594273649</v>
      </c>
      <c r="F146" s="151">
        <v>1</v>
      </c>
      <c r="G146" s="174"/>
      <c r="H146" s="171"/>
      <c r="I146" s="131"/>
    </row>
    <row r="147" spans="1:9" x14ac:dyDescent="0.3">
      <c r="A147" s="170"/>
      <c r="B147" s="174"/>
      <c r="C147" s="172"/>
      <c r="D147" s="171"/>
      <c r="E147" s="171"/>
      <c r="F147" s="171"/>
      <c r="G147" s="172"/>
      <c r="H147" s="171"/>
      <c r="I147" s="131"/>
    </row>
    <row r="148" spans="1:9" x14ac:dyDescent="0.3">
      <c r="A148" s="170" t="s">
        <v>617</v>
      </c>
      <c r="B148" s="185" t="s">
        <v>618</v>
      </c>
      <c r="C148" s="174" t="s">
        <v>619</v>
      </c>
      <c r="D148" s="172" t="s">
        <v>620</v>
      </c>
      <c r="E148" s="172" t="s">
        <v>621</v>
      </c>
      <c r="F148" s="171" t="s">
        <v>622</v>
      </c>
      <c r="G148" s="174" t="s">
        <v>623</v>
      </c>
      <c r="H148" s="171" t="s">
        <v>624</v>
      </c>
      <c r="I148" s="131" t="s">
        <v>625</v>
      </c>
    </row>
    <row r="149" spans="1:9" x14ac:dyDescent="0.3">
      <c r="A149" s="170" t="s">
        <v>626</v>
      </c>
      <c r="B149" s="174">
        <v>1</v>
      </c>
      <c r="C149" s="172">
        <v>1000</v>
      </c>
      <c r="D149" s="171">
        <v>1000000</v>
      </c>
      <c r="E149" s="172">
        <v>3600</v>
      </c>
      <c r="F149" s="171">
        <v>3600000</v>
      </c>
      <c r="G149" s="171">
        <v>1055.05585</v>
      </c>
      <c r="H149" s="171">
        <v>1055055850</v>
      </c>
      <c r="I149" s="131">
        <v>2684519.5376862194</v>
      </c>
    </row>
    <row r="150" spans="1:9" x14ac:dyDescent="0.3">
      <c r="A150" s="170" t="s">
        <v>627</v>
      </c>
      <c r="B150" s="186">
        <v>1E-3</v>
      </c>
      <c r="C150" s="174">
        <v>1</v>
      </c>
      <c r="D150" s="174">
        <v>1000</v>
      </c>
      <c r="E150" s="187">
        <v>3.6</v>
      </c>
      <c r="F150" s="174">
        <v>3600</v>
      </c>
      <c r="G150" s="174">
        <v>1.05505585</v>
      </c>
      <c r="H150" s="171">
        <v>1055055.8500000001</v>
      </c>
      <c r="I150" s="131">
        <v>2684.5195376862198</v>
      </c>
    </row>
    <row r="151" spans="1:9" x14ac:dyDescent="0.3">
      <c r="A151" s="176" t="s">
        <v>628</v>
      </c>
      <c r="B151" s="133">
        <v>9.9999999999999995E-7</v>
      </c>
      <c r="C151" s="133">
        <v>1E-3</v>
      </c>
      <c r="D151" s="133">
        <v>1</v>
      </c>
      <c r="E151" s="133">
        <v>3.5999999999999999E-3</v>
      </c>
      <c r="F151" s="133">
        <v>3.6</v>
      </c>
      <c r="G151" s="133">
        <v>1.0550558499999999E-3</v>
      </c>
      <c r="H151" s="133">
        <v>1055.05585</v>
      </c>
      <c r="I151" s="134">
        <v>2.6845195376862194</v>
      </c>
    </row>
    <row r="152" spans="1:9" x14ac:dyDescent="0.3">
      <c r="A152" t="s">
        <v>629</v>
      </c>
      <c r="B152">
        <v>2.7777777777777778E-4</v>
      </c>
      <c r="C152">
        <v>0.27777777777777779</v>
      </c>
      <c r="D152">
        <v>277.77777777777777</v>
      </c>
      <c r="E152">
        <v>1</v>
      </c>
      <c r="F152">
        <v>1000</v>
      </c>
      <c r="G152">
        <v>0.29307106944444444</v>
      </c>
      <c r="H152">
        <v>293071.06944444444</v>
      </c>
      <c r="I152">
        <v>745.69987157950538</v>
      </c>
    </row>
    <row r="153" spans="1:9" x14ac:dyDescent="0.3">
      <c r="A153" t="s">
        <v>630</v>
      </c>
      <c r="B153">
        <v>2.7777777777777776E-7</v>
      </c>
      <c r="C153">
        <v>2.7777777777777778E-4</v>
      </c>
      <c r="D153">
        <v>0.27777777777777779</v>
      </c>
      <c r="E153">
        <v>1E-3</v>
      </c>
      <c r="F153">
        <v>1</v>
      </c>
      <c r="G153">
        <v>2.9307106944444444E-4</v>
      </c>
      <c r="H153">
        <v>293.07106944444445</v>
      </c>
      <c r="I153">
        <v>0.74569987157950535</v>
      </c>
    </row>
    <row r="154" spans="1:9" x14ac:dyDescent="0.3">
      <c r="A154" t="s">
        <v>631</v>
      </c>
      <c r="B154">
        <v>9.4781712266701337E-4</v>
      </c>
      <c r="C154">
        <v>0.94781712266701335</v>
      </c>
      <c r="D154">
        <v>947.81712266701334</v>
      </c>
      <c r="E154">
        <v>3.4121416416012482</v>
      </c>
      <c r="F154">
        <v>3412.141641601248</v>
      </c>
      <c r="G154">
        <v>1</v>
      </c>
      <c r="H154">
        <v>1000000</v>
      </c>
      <c r="I154">
        <v>2544.4335839531336</v>
      </c>
    </row>
    <row r="155" spans="1:9" x14ac:dyDescent="0.3">
      <c r="A155" t="s">
        <v>632</v>
      </c>
      <c r="B155">
        <v>9.4781712266701324E-10</v>
      </c>
      <c r="C155">
        <v>9.4781712266701326E-7</v>
      </c>
      <c r="D155">
        <v>9.4781712266701326E-4</v>
      </c>
      <c r="E155">
        <v>3.4121416416012478E-6</v>
      </c>
      <c r="F155">
        <v>3.4121416416012479E-3</v>
      </c>
      <c r="G155">
        <v>9.9999999999999995E-7</v>
      </c>
      <c r="H155">
        <v>1</v>
      </c>
      <c r="I155">
        <v>2.5444335839531337E-3</v>
      </c>
    </row>
    <row r="156" spans="1:9" x14ac:dyDescent="0.3">
      <c r="A156" t="s">
        <v>633</v>
      </c>
      <c r="B156">
        <v>3.72506136E-7</v>
      </c>
      <c r="C156">
        <v>3.7250613599999999E-4</v>
      </c>
      <c r="D156">
        <v>0.37250613599999999</v>
      </c>
      <c r="E156">
        <v>1.3410220896E-3</v>
      </c>
      <c r="F156">
        <v>1.3410220896</v>
      </c>
      <c r="G156">
        <v>3.9301477794769559E-4</v>
      </c>
      <c r="H156">
        <v>393.01477794769556</v>
      </c>
      <c r="I156">
        <v>1</v>
      </c>
    </row>
    <row r="158" spans="1:9" x14ac:dyDescent="0.3">
      <c r="A158" t="s">
        <v>634</v>
      </c>
      <c r="B158" t="s">
        <v>635</v>
      </c>
      <c r="C158" t="s">
        <v>636</v>
      </c>
      <c r="D158" t="s">
        <v>637</v>
      </c>
      <c r="E158" t="s">
        <v>638</v>
      </c>
      <c r="F158" t="s">
        <v>639</v>
      </c>
    </row>
    <row r="159" spans="1:9" x14ac:dyDescent="0.3">
      <c r="A159" t="s">
        <v>635</v>
      </c>
      <c r="B159">
        <v>1</v>
      </c>
      <c r="C159">
        <v>1000</v>
      </c>
      <c r="D159">
        <v>1000000</v>
      </c>
      <c r="E159">
        <v>304.8</v>
      </c>
      <c r="F159">
        <v>1609340</v>
      </c>
    </row>
    <row r="160" spans="1:9" x14ac:dyDescent="0.3">
      <c r="A160" t="s">
        <v>636</v>
      </c>
      <c r="B160">
        <v>1E-3</v>
      </c>
      <c r="C160">
        <v>1</v>
      </c>
      <c r="D160">
        <v>1000</v>
      </c>
      <c r="E160">
        <v>0.30480000000000002</v>
      </c>
      <c r="F160">
        <v>1609.34</v>
      </c>
    </row>
    <row r="161" spans="1:6" x14ac:dyDescent="0.3">
      <c r="A161" t="s">
        <v>637</v>
      </c>
      <c r="B161">
        <v>9.9999999999999995E-7</v>
      </c>
      <c r="C161">
        <v>1E-3</v>
      </c>
      <c r="D161">
        <v>1</v>
      </c>
      <c r="E161">
        <v>3.0480000000000004E-4</v>
      </c>
      <c r="F161">
        <v>1.60934</v>
      </c>
    </row>
    <row r="162" spans="1:6" x14ac:dyDescent="0.3">
      <c r="A162" t="s">
        <v>638</v>
      </c>
      <c r="B162">
        <v>3.2808398950131233E-3</v>
      </c>
      <c r="C162">
        <v>3.2808398950131235</v>
      </c>
      <c r="D162">
        <v>3280.8398950131236</v>
      </c>
      <c r="E162">
        <v>1</v>
      </c>
      <c r="F162">
        <v>5280</v>
      </c>
    </row>
    <row r="163" spans="1:6" x14ac:dyDescent="0.3">
      <c r="A163" t="s">
        <v>639</v>
      </c>
      <c r="B163">
        <v>6.2137273664980671E-7</v>
      </c>
      <c r="C163">
        <v>6.2137273664980672E-4</v>
      </c>
      <c r="D163">
        <v>0.62137273664980675</v>
      </c>
      <c r="E163">
        <v>1.8939393939393939E-4</v>
      </c>
      <c r="F163">
        <v>1</v>
      </c>
    </row>
  </sheetData>
  <dataValidations count="5">
    <dataValidation type="list" allowBlank="1" showInputMessage="1" showErrorMessage="1" sqref="B5" xr:uid="{00000000-0002-0000-0600-000000000000}">
      <formula1>"1,2"</formula1>
    </dataValidation>
    <dataValidation type="list" allowBlank="1" showInputMessage="1" showErrorMessage="1" sqref="B92" xr:uid="{00000000-0002-0000-0600-000001000000}">
      <formula1>"AR5/GWP,AR5/GTP,AR4/GWP,AR3/GWP,AR2/GWP,AR1/GWP"</formula1>
    </dataValidation>
    <dataValidation type="list" allowBlank="1" showInputMessage="1" showErrorMessage="1" sqref="B93" xr:uid="{00000000-0002-0000-0600-000002000000}">
      <formula1>$C$93:$D$93</formula1>
    </dataValidation>
    <dataValidation type="list" allowBlank="1" showInputMessage="1" showErrorMessage="1" sqref="B99" xr:uid="{00000000-0002-0000-0600-000003000000}">
      <formula1>"None, GWP, GTP"</formula1>
    </dataValidation>
    <dataValidation type="list" allowBlank="1" showInputMessage="1" showErrorMessage="1" sqref="B100" xr:uid="{00000000-0002-0000-0600-000004000000}">
      <formula1>$D$100:$E$100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7A7E4-541D-0846-ADF8-1C71B39CA342}">
  <sheetPr>
    <tabColor rgb="FFFFC000"/>
  </sheetPr>
  <dimension ref="A1:P93"/>
  <sheetViews>
    <sheetView workbookViewId="0">
      <selection activeCell="P69" sqref="P69"/>
    </sheetView>
  </sheetViews>
  <sheetFormatPr defaultColWidth="10.88671875" defaultRowHeight="15.6" x14ac:dyDescent="0.3"/>
  <cols>
    <col min="1" max="1" width="33.6640625" style="219" customWidth="1"/>
    <col min="2" max="16384" width="10.88671875" style="219"/>
  </cols>
  <sheetData>
    <row r="1" spans="1:16" x14ac:dyDescent="0.3">
      <c r="A1" s="219" t="s">
        <v>640</v>
      </c>
    </row>
    <row r="2" spans="1:16" x14ac:dyDescent="0.3">
      <c r="A2" s="219" t="s">
        <v>641</v>
      </c>
    </row>
    <row r="3" spans="1:16" x14ac:dyDescent="0.3">
      <c r="A3" s="219" t="s">
        <v>642</v>
      </c>
    </row>
    <row r="4" spans="1:16" s="222" customFormat="1" x14ac:dyDescent="0.3">
      <c r="A4" s="222" t="s">
        <v>643</v>
      </c>
    </row>
    <row r="5" spans="1:16" x14ac:dyDescent="0.3">
      <c r="A5" s="219" t="s">
        <v>644</v>
      </c>
    </row>
    <row r="7" spans="1:16" x14ac:dyDescent="0.3">
      <c r="B7" s="219" t="s">
        <v>645</v>
      </c>
    </row>
    <row r="8" spans="1:16" x14ac:dyDescent="0.3">
      <c r="A8" s="223" t="s">
        <v>646</v>
      </c>
      <c r="B8" s="219">
        <v>2005</v>
      </c>
      <c r="C8" s="219">
        <v>2006</v>
      </c>
      <c r="D8" s="219">
        <v>2007</v>
      </c>
      <c r="E8" s="219">
        <v>2008</v>
      </c>
      <c r="F8" s="219">
        <v>2009</v>
      </c>
      <c r="G8" s="219">
        <v>2010</v>
      </c>
      <c r="H8" s="219">
        <v>2011</v>
      </c>
      <c r="I8" s="219">
        <v>2012</v>
      </c>
      <c r="J8" s="219">
        <v>2013</v>
      </c>
      <c r="K8" s="219">
        <v>2014</v>
      </c>
      <c r="L8" s="219">
        <v>2015</v>
      </c>
      <c r="M8" s="219">
        <v>2016</v>
      </c>
      <c r="N8" s="219">
        <v>2017</v>
      </c>
      <c r="O8" s="219">
        <v>2018</v>
      </c>
      <c r="P8" s="219">
        <v>2019</v>
      </c>
    </row>
    <row r="10" spans="1:16" x14ac:dyDescent="0.3">
      <c r="A10" s="219" t="s">
        <v>647</v>
      </c>
      <c r="B10" s="219">
        <v>7957.4424769999996</v>
      </c>
      <c r="C10" s="219">
        <v>8056.0255070000003</v>
      </c>
      <c r="D10" s="219">
        <v>8092.2401250000003</v>
      </c>
      <c r="E10" s="219">
        <v>8337.7937419999998</v>
      </c>
      <c r="F10" s="219">
        <v>8315.1592189999992</v>
      </c>
      <c r="G10" s="219">
        <v>8271.0446840000004</v>
      </c>
      <c r="H10" s="219">
        <v>8638.2634319999997</v>
      </c>
      <c r="I10" s="219">
        <v>8814.8054190000003</v>
      </c>
      <c r="J10" s="219">
        <v>8988.4304080000002</v>
      </c>
      <c r="K10" s="219">
        <v>8650.6893639999998</v>
      </c>
      <c r="L10" s="219">
        <v>8528.8669439999994</v>
      </c>
      <c r="M10" s="219">
        <v>9140.0960009999999</v>
      </c>
      <c r="N10" s="219">
        <v>9249.7457830000003</v>
      </c>
      <c r="O10" s="219">
        <v>9236.8579530000006</v>
      </c>
      <c r="P10" s="219">
        <v>8811.0535930000005</v>
      </c>
    </row>
    <row r="11" spans="1:16" x14ac:dyDescent="0.3">
      <c r="A11" s="219" t="s">
        <v>648</v>
      </c>
      <c r="B11" s="219">
        <v>480.34628600000002</v>
      </c>
      <c r="C11" s="219">
        <v>515.51382899999999</v>
      </c>
      <c r="D11" s="219">
        <v>473.70150100000001</v>
      </c>
      <c r="E11" s="219">
        <v>423.16307899999998</v>
      </c>
      <c r="F11" s="219">
        <v>431.08721600000001</v>
      </c>
      <c r="G11" s="219">
        <v>533.22751700000003</v>
      </c>
      <c r="H11" s="219">
        <v>616.77734199999998</v>
      </c>
      <c r="I11" s="219">
        <v>537.35763699999995</v>
      </c>
      <c r="J11" s="219">
        <v>533.61579600000005</v>
      </c>
      <c r="K11" s="219">
        <v>532.57986100000005</v>
      </c>
      <c r="L11" s="219">
        <v>531.54163100000005</v>
      </c>
      <c r="M11" s="219">
        <v>520.67991700000005</v>
      </c>
      <c r="N11" s="219">
        <v>636.31004299999995</v>
      </c>
      <c r="O11" s="219">
        <v>567.16367300000002</v>
      </c>
      <c r="P11" s="219">
        <v>541.49340500000005</v>
      </c>
    </row>
    <row r="12" spans="1:16" x14ac:dyDescent="0.3">
      <c r="A12" s="219" t="s">
        <v>649</v>
      </c>
      <c r="B12" s="219">
        <v>3810.5240640000002</v>
      </c>
      <c r="C12" s="219">
        <v>3668.0552830000001</v>
      </c>
      <c r="D12" s="219">
        <v>3814.1231659999999</v>
      </c>
      <c r="E12" s="219">
        <v>4016.4306729999998</v>
      </c>
      <c r="F12" s="219">
        <v>3807.638297</v>
      </c>
      <c r="G12" s="219">
        <v>3662.064273</v>
      </c>
      <c r="H12" s="219">
        <v>3755.6210080000001</v>
      </c>
      <c r="I12" s="219">
        <v>3954.803539</v>
      </c>
      <c r="J12" s="219">
        <v>3905.5824550000002</v>
      </c>
      <c r="K12" s="219">
        <v>3505.8766369999998</v>
      </c>
      <c r="L12" s="219">
        <v>3462.1818360000002</v>
      </c>
      <c r="M12" s="219">
        <v>3592.9418860000001</v>
      </c>
      <c r="N12" s="219">
        <v>3520.6183860000001</v>
      </c>
      <c r="O12" s="219">
        <v>3508.2582600000001</v>
      </c>
      <c r="P12" s="219">
        <v>3261.141932</v>
      </c>
    </row>
    <row r="13" spans="1:16" x14ac:dyDescent="0.3">
      <c r="A13" s="219" t="s">
        <v>650</v>
      </c>
      <c r="B13" s="219">
        <v>2936.5747620000002</v>
      </c>
      <c r="C13" s="219">
        <v>3154.6767880000002</v>
      </c>
      <c r="D13" s="219">
        <v>3084.0401430000002</v>
      </c>
      <c r="E13" s="219">
        <v>3154.16392</v>
      </c>
      <c r="F13" s="219">
        <v>3385.3809099999999</v>
      </c>
      <c r="G13" s="219">
        <v>3390.096121</v>
      </c>
      <c r="H13" s="219">
        <v>3538.5164159999999</v>
      </c>
      <c r="I13" s="219">
        <v>3626.05816</v>
      </c>
      <c r="J13" s="219">
        <v>3812.4530770000001</v>
      </c>
      <c r="K13" s="219">
        <v>3870.5823959999998</v>
      </c>
      <c r="L13" s="219">
        <v>3791.0102350000002</v>
      </c>
      <c r="M13" s="219">
        <v>4281.1097879999998</v>
      </c>
      <c r="N13" s="219">
        <v>4335.6790929999997</v>
      </c>
      <c r="O13" s="219">
        <v>4344.1563200000001</v>
      </c>
      <c r="P13" s="219">
        <v>4227.1734029999998</v>
      </c>
    </row>
    <row r="14" spans="1:16" x14ac:dyDescent="0.3">
      <c r="A14" s="219" t="s">
        <v>651</v>
      </c>
      <c r="B14" s="219">
        <v>117.88</v>
      </c>
      <c r="C14" s="219">
        <v>119.419</v>
      </c>
      <c r="D14" s="219">
        <v>114.486</v>
      </c>
      <c r="E14" s="219">
        <v>106.63500000000001</v>
      </c>
      <c r="F14" s="219">
        <v>112.745</v>
      </c>
      <c r="G14" s="219">
        <v>63.942774</v>
      </c>
      <c r="H14" s="219">
        <v>106.394943</v>
      </c>
      <c r="I14" s="219">
        <v>91.316999999999993</v>
      </c>
      <c r="J14" s="219">
        <v>122.598</v>
      </c>
      <c r="K14" s="219">
        <v>100.596</v>
      </c>
      <c r="L14" s="219">
        <v>120.407</v>
      </c>
      <c r="M14" s="219">
        <v>109.954277</v>
      </c>
      <c r="N14" s="219">
        <v>113.21871</v>
      </c>
      <c r="O14" s="219">
        <v>156.00289100000001</v>
      </c>
      <c r="P14" s="219">
        <v>124.82</v>
      </c>
    </row>
    <row r="15" spans="1:16" x14ac:dyDescent="0.3">
      <c r="A15" s="219" t="s">
        <v>652</v>
      </c>
      <c r="B15" s="219">
        <v>638.20056599999998</v>
      </c>
      <c r="C15" s="219">
        <v>625.81130499999995</v>
      </c>
      <c r="D15" s="219">
        <v>632.25557700000002</v>
      </c>
      <c r="E15" s="219">
        <v>666.21993999999995</v>
      </c>
      <c r="F15" s="219">
        <v>605.14064499999995</v>
      </c>
      <c r="G15" s="219">
        <v>641.96217000000001</v>
      </c>
      <c r="H15" s="219">
        <v>640.84781399999997</v>
      </c>
      <c r="I15" s="219">
        <v>620.53108299999997</v>
      </c>
      <c r="J15" s="219">
        <v>634.71907999999996</v>
      </c>
      <c r="K15" s="219">
        <v>665.76647000000003</v>
      </c>
      <c r="L15" s="219">
        <v>647.90824199999997</v>
      </c>
      <c r="M15" s="219">
        <v>653.95182599999998</v>
      </c>
      <c r="N15" s="219">
        <v>663.87645199999997</v>
      </c>
      <c r="O15" s="219">
        <v>673.74244299999998</v>
      </c>
      <c r="P15" s="219">
        <v>661.12485300000003</v>
      </c>
    </row>
    <row r="16" spans="1:16" x14ac:dyDescent="0.3">
      <c r="A16" s="219" t="s">
        <v>653</v>
      </c>
      <c r="B16" s="219">
        <v>0.68851799999999996</v>
      </c>
      <c r="C16" s="219">
        <v>0.67577500000000001</v>
      </c>
      <c r="D16" s="219">
        <v>0.65112199999999998</v>
      </c>
      <c r="E16" s="219">
        <v>0.80891299999999999</v>
      </c>
      <c r="F16" s="219">
        <v>1.0671390000000001</v>
      </c>
      <c r="G16" s="219">
        <v>1.2980229999999999</v>
      </c>
      <c r="H16" s="219">
        <v>1.5076670000000001</v>
      </c>
      <c r="I16" s="219">
        <v>1.8230980000000001</v>
      </c>
      <c r="J16" s="219">
        <v>1.972003</v>
      </c>
      <c r="K16" s="219">
        <v>1.9257029999999999</v>
      </c>
      <c r="L16" s="219">
        <v>1.867721</v>
      </c>
      <c r="M16" s="219">
        <v>1.912172</v>
      </c>
      <c r="N16" s="219">
        <v>2.5199400000000001</v>
      </c>
      <c r="O16" s="219">
        <v>2.8439160000000001</v>
      </c>
      <c r="P16" s="219">
        <v>2.7989999999999999</v>
      </c>
    </row>
    <row r="17" spans="1:16" x14ac:dyDescent="0.3">
      <c r="A17" s="219" t="s">
        <v>654</v>
      </c>
      <c r="B17" s="219">
        <v>99.754003999999995</v>
      </c>
      <c r="C17" s="219">
        <v>109.607309</v>
      </c>
      <c r="D17" s="219">
        <v>98.422826999999998</v>
      </c>
      <c r="E17" s="219">
        <v>141.206073</v>
      </c>
      <c r="F17" s="219">
        <v>96.199219999999997</v>
      </c>
      <c r="G17" s="219">
        <v>133.768766</v>
      </c>
      <c r="H17" s="219">
        <v>130.573509</v>
      </c>
      <c r="I17" s="219">
        <v>114.878477</v>
      </c>
      <c r="J17" s="219">
        <v>100.87675900000001</v>
      </c>
      <c r="K17" s="219">
        <v>140.01396800000001</v>
      </c>
      <c r="L17" s="219">
        <v>111.209546</v>
      </c>
      <c r="M17" s="219">
        <v>110.510471</v>
      </c>
      <c r="N17" s="219">
        <v>114.651561</v>
      </c>
      <c r="O17" s="219">
        <v>116.947504</v>
      </c>
      <c r="P17" s="219">
        <v>84.99</v>
      </c>
    </row>
    <row r="18" spans="1:16" x14ac:dyDescent="0.3">
      <c r="A18" s="219" t="s">
        <v>655</v>
      </c>
      <c r="B18" s="219">
        <v>167.54290700000001</v>
      </c>
      <c r="C18" s="219">
        <v>153.969909</v>
      </c>
      <c r="D18" s="219">
        <v>171.46978100000001</v>
      </c>
      <c r="E18" s="219">
        <v>164.111726</v>
      </c>
      <c r="F18" s="219">
        <v>158.93914799999999</v>
      </c>
      <c r="G18" s="219">
        <v>159.357066</v>
      </c>
      <c r="H18" s="219">
        <v>161.038456</v>
      </c>
      <c r="I18" s="219">
        <v>153.05186399999999</v>
      </c>
      <c r="J18" s="219">
        <v>153.976246</v>
      </c>
      <c r="K18" s="219">
        <v>161.747668</v>
      </c>
      <c r="L18" s="219">
        <v>176.16514100000001</v>
      </c>
      <c r="M18" s="219">
        <v>181.04483300000001</v>
      </c>
      <c r="N18" s="219">
        <v>180.81331700000001</v>
      </c>
      <c r="O18" s="219">
        <v>184.28175200000001</v>
      </c>
      <c r="P18" s="219">
        <v>213.42</v>
      </c>
    </row>
    <row r="19" spans="1:16" x14ac:dyDescent="0.3">
      <c r="A19" s="219" t="s">
        <v>656</v>
      </c>
      <c r="B19" s="219">
        <v>370.21513800000002</v>
      </c>
      <c r="C19" s="219">
        <v>361.558312</v>
      </c>
      <c r="D19" s="219">
        <v>361.71184699999998</v>
      </c>
      <c r="E19" s="219">
        <v>360.09322800000001</v>
      </c>
      <c r="F19" s="219">
        <v>348.93513799999999</v>
      </c>
      <c r="G19" s="219">
        <v>347.53831500000001</v>
      </c>
      <c r="H19" s="219">
        <v>347.728182</v>
      </c>
      <c r="I19" s="219">
        <v>350.77764400000001</v>
      </c>
      <c r="J19" s="219">
        <v>377.894071</v>
      </c>
      <c r="K19" s="219">
        <v>362.07913100000002</v>
      </c>
      <c r="L19" s="219">
        <v>358.66583400000002</v>
      </c>
      <c r="M19" s="219">
        <v>360.48435000000001</v>
      </c>
      <c r="N19" s="219">
        <v>365.89163400000001</v>
      </c>
      <c r="O19" s="219">
        <v>369.66927099999998</v>
      </c>
      <c r="P19" s="219">
        <v>359.92</v>
      </c>
    </row>
    <row r="20" spans="1:16" x14ac:dyDescent="0.3">
      <c r="A20" s="219" t="s">
        <v>657</v>
      </c>
      <c r="B20" s="219">
        <v>-26.083200999999999</v>
      </c>
      <c r="C20" s="219">
        <v>-27.450697999999999</v>
      </c>
      <c r="D20" s="219">
        <v>-26.366261999999999</v>
      </c>
      <c r="E20" s="219">
        <v>-28.81887</v>
      </c>
      <c r="F20" s="219">
        <v>-26.832849</v>
      </c>
      <c r="G20" s="219">
        <v>-20.248170999999999</v>
      </c>
      <c r="H20" s="219">
        <v>-19.894091</v>
      </c>
      <c r="I20" s="219">
        <v>-15.262</v>
      </c>
      <c r="J20" s="219">
        <v>-20.538</v>
      </c>
      <c r="K20" s="219">
        <v>-24.712</v>
      </c>
      <c r="L20" s="219">
        <v>-24.181999999999999</v>
      </c>
      <c r="M20" s="219">
        <v>-18.541692999999999</v>
      </c>
      <c r="N20" s="219">
        <v>-19.956900999999998</v>
      </c>
      <c r="O20" s="219">
        <v>-12.465634</v>
      </c>
      <c r="P20" s="219">
        <v>-4.7</v>
      </c>
    </row>
    <row r="22" spans="1:16" x14ac:dyDescent="0.3">
      <c r="A22" s="219" t="s">
        <v>658</v>
      </c>
    </row>
    <row r="23" spans="1:16" x14ac:dyDescent="0.3">
      <c r="A23" s="219" t="s">
        <v>659</v>
      </c>
    </row>
    <row r="24" spans="1:16" x14ac:dyDescent="0.3">
      <c r="A24" s="219" t="s">
        <v>660</v>
      </c>
    </row>
    <row r="26" spans="1:16" x14ac:dyDescent="0.3">
      <c r="A26" s="219" t="s">
        <v>661</v>
      </c>
    </row>
    <row r="28" spans="1:16" x14ac:dyDescent="0.3">
      <c r="A28" t="s">
        <v>640</v>
      </c>
      <c r="B28"/>
      <c r="C28"/>
      <c r="D28"/>
      <c r="E28"/>
      <c r="F28"/>
      <c r="G28"/>
      <c r="H28"/>
      <c r="I28"/>
      <c r="J28"/>
      <c r="K28"/>
      <c r="L28"/>
      <c r="M28"/>
      <c r="N28"/>
      <c r="O28"/>
      <c r="P28"/>
    </row>
    <row r="29" spans="1:16" x14ac:dyDescent="0.3">
      <c r="A29" t="s">
        <v>641</v>
      </c>
      <c r="B29"/>
      <c r="C29"/>
      <c r="D29"/>
      <c r="E29"/>
      <c r="F29"/>
      <c r="G29"/>
      <c r="H29"/>
      <c r="I29"/>
      <c r="J29"/>
      <c r="K29"/>
      <c r="L29"/>
      <c r="M29"/>
      <c r="N29"/>
      <c r="O29"/>
      <c r="P29"/>
    </row>
    <row r="30" spans="1:16" x14ac:dyDescent="0.3">
      <c r="A30" t="s">
        <v>642</v>
      </c>
      <c r="B30"/>
      <c r="C30"/>
      <c r="D30"/>
      <c r="E30"/>
      <c r="F30"/>
      <c r="G30"/>
      <c r="H30"/>
      <c r="I30"/>
      <c r="J30"/>
      <c r="K30"/>
      <c r="L30"/>
      <c r="M30"/>
      <c r="N30"/>
      <c r="O30"/>
      <c r="P30"/>
    </row>
    <row r="31" spans="1:16" s="221" customFormat="1" x14ac:dyDescent="0.3">
      <c r="A31" s="220" t="s">
        <v>662</v>
      </c>
      <c r="B31" s="220"/>
      <c r="C31" s="220"/>
      <c r="D31" s="220"/>
      <c r="E31" s="220"/>
      <c r="F31" s="220"/>
      <c r="G31" s="220"/>
      <c r="H31" s="220"/>
      <c r="I31" s="220"/>
      <c r="J31" s="220"/>
      <c r="K31" s="220"/>
      <c r="L31" s="220"/>
      <c r="M31" s="220"/>
      <c r="N31" s="220"/>
      <c r="O31" s="220"/>
      <c r="P31" s="220"/>
    </row>
    <row r="32" spans="1:16" x14ac:dyDescent="0.3">
      <c r="A32" t="s">
        <v>644</v>
      </c>
      <c r="B32"/>
      <c r="C32"/>
      <c r="D32"/>
      <c r="E32"/>
      <c r="F32"/>
      <c r="G32"/>
      <c r="H32"/>
      <c r="I32"/>
      <c r="J32"/>
      <c r="K32"/>
      <c r="L32"/>
      <c r="M32"/>
      <c r="N32"/>
      <c r="O32"/>
      <c r="P32"/>
    </row>
    <row r="33" spans="1:16" x14ac:dyDescent="0.3">
      <c r="A33"/>
      <c r="B33"/>
      <c r="C33"/>
      <c r="D33"/>
      <c r="E33"/>
      <c r="F33"/>
      <c r="G33"/>
      <c r="H33"/>
      <c r="I33"/>
      <c r="J33"/>
      <c r="K33"/>
      <c r="L33"/>
      <c r="M33"/>
      <c r="N33"/>
      <c r="O33"/>
      <c r="P33"/>
    </row>
    <row r="34" spans="1:16" x14ac:dyDescent="0.3">
      <c r="A34"/>
      <c r="B34" t="s">
        <v>645</v>
      </c>
      <c r="C34"/>
      <c r="D34"/>
      <c r="E34"/>
      <c r="F34"/>
      <c r="G34"/>
      <c r="H34"/>
      <c r="I34"/>
      <c r="J34"/>
      <c r="K34"/>
      <c r="L34"/>
      <c r="M34"/>
      <c r="N34"/>
      <c r="O34"/>
      <c r="P34"/>
    </row>
    <row r="35" spans="1:16" x14ac:dyDescent="0.3">
      <c r="A35" s="223" t="s">
        <v>663</v>
      </c>
      <c r="B35">
        <v>2005</v>
      </c>
      <c r="C35">
        <v>2006</v>
      </c>
      <c r="D35">
        <v>2007</v>
      </c>
      <c r="E35">
        <v>2008</v>
      </c>
      <c r="F35">
        <v>2009</v>
      </c>
      <c r="G35">
        <v>2010</v>
      </c>
      <c r="H35">
        <v>2011</v>
      </c>
      <c r="I35">
        <v>2012</v>
      </c>
      <c r="J35">
        <v>2013</v>
      </c>
      <c r="K35">
        <v>2014</v>
      </c>
      <c r="L35">
        <v>2015</v>
      </c>
      <c r="M35">
        <v>2016</v>
      </c>
      <c r="N35">
        <v>2017</v>
      </c>
      <c r="O35">
        <v>2018</v>
      </c>
      <c r="P35">
        <v>2019</v>
      </c>
    </row>
    <row r="36" spans="1:16" x14ac:dyDescent="0.3">
      <c r="A36"/>
      <c r="B36"/>
      <c r="C36"/>
      <c r="D36"/>
      <c r="E36"/>
      <c r="F36"/>
      <c r="G36"/>
      <c r="H36"/>
      <c r="I36"/>
      <c r="J36"/>
      <c r="K36"/>
      <c r="L36"/>
      <c r="M36"/>
      <c r="N36"/>
      <c r="O36"/>
      <c r="P36"/>
    </row>
    <row r="37" spans="1:16" x14ac:dyDescent="0.3">
      <c r="A37" t="s">
        <v>647</v>
      </c>
      <c r="B37">
        <v>1175.0890770000001</v>
      </c>
      <c r="C37">
        <v>1312.356061</v>
      </c>
      <c r="D37">
        <v>1563.28496</v>
      </c>
      <c r="E37">
        <v>1780.024915</v>
      </c>
      <c r="F37">
        <v>1690.4805670000001</v>
      </c>
      <c r="G37">
        <v>2063.1866199999999</v>
      </c>
      <c r="H37">
        <v>2307.52979</v>
      </c>
      <c r="I37">
        <v>2449.6145649999999</v>
      </c>
      <c r="J37">
        <v>2401.1590099999999</v>
      </c>
      <c r="K37">
        <v>2560.98623</v>
      </c>
      <c r="L37">
        <v>2904.285511</v>
      </c>
      <c r="M37">
        <v>3994.2539510000001</v>
      </c>
      <c r="N37">
        <v>4417.6104160000004</v>
      </c>
      <c r="O37">
        <v>5032.1930000000002</v>
      </c>
      <c r="P37">
        <v>4803.3419999999996</v>
      </c>
    </row>
    <row r="38" spans="1:16" x14ac:dyDescent="0.3">
      <c r="A38"/>
      <c r="B38"/>
      <c r="C38"/>
      <c r="D38"/>
      <c r="E38"/>
      <c r="F38"/>
      <c r="G38"/>
      <c r="H38"/>
      <c r="I38"/>
      <c r="J38"/>
      <c r="K38"/>
      <c r="L38"/>
      <c r="M38"/>
      <c r="N38"/>
      <c r="O38"/>
      <c r="P38"/>
    </row>
    <row r="39" spans="1:16" x14ac:dyDescent="0.3">
      <c r="A39" t="s">
        <v>664</v>
      </c>
      <c r="B39">
        <v>214.63649100000001</v>
      </c>
      <c r="C39">
        <v>225.288175</v>
      </c>
      <c r="D39">
        <v>157.07036299999999</v>
      </c>
      <c r="E39">
        <v>131.82856799999999</v>
      </c>
      <c r="F39">
        <v>173.82363000000001</v>
      </c>
      <c r="G39">
        <v>222.89887200000001</v>
      </c>
      <c r="H39">
        <v>219.49364800000001</v>
      </c>
      <c r="I39">
        <v>215.30875</v>
      </c>
      <c r="J39">
        <v>216.96667299999999</v>
      </c>
      <c r="K39">
        <v>210.827945</v>
      </c>
      <c r="L39">
        <v>223.23036300000001</v>
      </c>
      <c r="M39">
        <v>239.84801999999999</v>
      </c>
      <c r="N39">
        <v>301.22065600000002</v>
      </c>
      <c r="O39">
        <v>277.23700000000002</v>
      </c>
      <c r="P39">
        <v>275.14600000000002</v>
      </c>
    </row>
    <row r="40" spans="1:16" x14ac:dyDescent="0.3">
      <c r="A40" t="s">
        <v>665</v>
      </c>
      <c r="B40">
        <v>214.63649100000001</v>
      </c>
      <c r="C40">
        <v>225.288175</v>
      </c>
      <c r="D40">
        <v>157.07036299999999</v>
      </c>
      <c r="E40">
        <v>131.82856799999999</v>
      </c>
      <c r="F40">
        <v>173.82363000000001</v>
      </c>
      <c r="G40">
        <v>222.89887200000001</v>
      </c>
      <c r="H40">
        <v>219.49364800000001</v>
      </c>
      <c r="I40">
        <v>215.30875</v>
      </c>
      <c r="J40">
        <v>216.96667299999999</v>
      </c>
      <c r="K40">
        <v>210.827945</v>
      </c>
      <c r="L40">
        <v>223.23036300000001</v>
      </c>
      <c r="M40">
        <v>239.84801999999999</v>
      </c>
      <c r="N40">
        <v>301.22065600000002</v>
      </c>
      <c r="O40">
        <v>268.66500000000002</v>
      </c>
      <c r="P40">
        <v>275.14600000000002</v>
      </c>
    </row>
    <row r="41" spans="1:16" x14ac:dyDescent="0.3">
      <c r="A41" t="s">
        <v>666</v>
      </c>
      <c r="B41">
        <v>0</v>
      </c>
      <c r="C41">
        <v>0</v>
      </c>
      <c r="D41">
        <v>0</v>
      </c>
      <c r="E41">
        <v>0</v>
      </c>
      <c r="F41">
        <v>0</v>
      </c>
      <c r="G41">
        <v>0</v>
      </c>
      <c r="H41">
        <v>0</v>
      </c>
      <c r="I41">
        <v>0</v>
      </c>
      <c r="J41">
        <v>0</v>
      </c>
      <c r="K41">
        <v>0</v>
      </c>
      <c r="L41">
        <v>0</v>
      </c>
      <c r="M41">
        <v>0</v>
      </c>
      <c r="N41">
        <v>0</v>
      </c>
      <c r="O41">
        <v>8.5719999999999992</v>
      </c>
      <c r="P41">
        <v>0</v>
      </c>
    </row>
    <row r="42" spans="1:16" x14ac:dyDescent="0.3">
      <c r="A42"/>
      <c r="B42"/>
      <c r="C42"/>
      <c r="D42"/>
      <c r="E42"/>
      <c r="F42"/>
      <c r="G42"/>
      <c r="H42"/>
      <c r="I42"/>
      <c r="J42"/>
      <c r="K42"/>
      <c r="L42"/>
      <c r="M42"/>
      <c r="N42"/>
      <c r="O42"/>
      <c r="P42"/>
    </row>
    <row r="43" spans="1:16" x14ac:dyDescent="0.3">
      <c r="A43" t="s">
        <v>667</v>
      </c>
      <c r="B43">
        <v>960.452586</v>
      </c>
      <c r="C43">
        <v>1087.067886</v>
      </c>
      <c r="D43">
        <v>1406.2145969999999</v>
      </c>
      <c r="E43">
        <v>1648.1963470000001</v>
      </c>
      <c r="F43">
        <v>1516.656937</v>
      </c>
      <c r="G43">
        <v>1840.287748</v>
      </c>
      <c r="H43">
        <v>2088.0361419999999</v>
      </c>
      <c r="I43">
        <v>2234.3058150000002</v>
      </c>
      <c r="J43">
        <v>2184.192337</v>
      </c>
      <c r="K43">
        <v>2350.158285</v>
      </c>
      <c r="L43">
        <v>2681.0551479999999</v>
      </c>
      <c r="M43">
        <v>3754.4059309999998</v>
      </c>
      <c r="N43">
        <v>4116.38976</v>
      </c>
      <c r="O43">
        <v>4754.9560000000001</v>
      </c>
      <c r="P43">
        <v>4528.1959999999999</v>
      </c>
    </row>
    <row r="44" spans="1:16" x14ac:dyDescent="0.3">
      <c r="A44" t="s">
        <v>668</v>
      </c>
      <c r="B44">
        <v>80.811661000000001</v>
      </c>
      <c r="C44">
        <v>105.590728</v>
      </c>
      <c r="D44">
        <v>119.660268</v>
      </c>
      <c r="E44">
        <v>117.76023000000001</v>
      </c>
      <c r="F44">
        <v>75.729023999999995</v>
      </c>
      <c r="G44">
        <v>93.548423999999997</v>
      </c>
      <c r="H44">
        <v>103.095291</v>
      </c>
      <c r="I44">
        <v>113.58223099999999</v>
      </c>
      <c r="J44">
        <v>95.548636999999999</v>
      </c>
      <c r="K44">
        <v>89.063170999999997</v>
      </c>
      <c r="L44">
        <v>104.410355</v>
      </c>
      <c r="M44">
        <v>139.86849799999999</v>
      </c>
      <c r="N44">
        <v>171.72484</v>
      </c>
      <c r="O44">
        <v>170.73400000000001</v>
      </c>
      <c r="P44">
        <v>149.518</v>
      </c>
    </row>
    <row r="45" spans="1:16" x14ac:dyDescent="0.3">
      <c r="A45" t="s">
        <v>669</v>
      </c>
      <c r="B45">
        <v>10.347759999999999</v>
      </c>
      <c r="C45">
        <v>8.5698369999999997</v>
      </c>
      <c r="D45">
        <v>7.2177059999999997</v>
      </c>
      <c r="E45">
        <v>9.2373630000000002</v>
      </c>
      <c r="F45">
        <v>5.517239</v>
      </c>
      <c r="G45">
        <v>10.366607999999999</v>
      </c>
      <c r="H45">
        <v>8.9081600000000005</v>
      </c>
      <c r="I45">
        <v>10.366377</v>
      </c>
      <c r="J45">
        <v>9.8946120000000004</v>
      </c>
      <c r="K45">
        <v>13.286949</v>
      </c>
      <c r="L45">
        <v>13.869203000000001</v>
      </c>
      <c r="M45">
        <v>29.413606999999999</v>
      </c>
      <c r="N45">
        <v>31.52665</v>
      </c>
      <c r="O45">
        <v>19.178000000000001</v>
      </c>
      <c r="P45">
        <v>32.332999999999998</v>
      </c>
    </row>
    <row r="46" spans="1:16" x14ac:dyDescent="0.3">
      <c r="A46" t="s">
        <v>670</v>
      </c>
      <c r="B46">
        <v>70.463899999999995</v>
      </c>
      <c r="C46">
        <v>97.020891000000006</v>
      </c>
      <c r="D46">
        <v>112.442562</v>
      </c>
      <c r="E46">
        <v>108.52286700000001</v>
      </c>
      <c r="F46">
        <v>70.211785000000006</v>
      </c>
      <c r="G46">
        <v>83.181815999999998</v>
      </c>
      <c r="H46">
        <v>94.187132000000005</v>
      </c>
      <c r="I46">
        <v>103.21585399999999</v>
      </c>
      <c r="J46">
        <v>85.654025000000004</v>
      </c>
      <c r="K46">
        <v>75.776222000000004</v>
      </c>
      <c r="L46">
        <v>90.541152999999994</v>
      </c>
      <c r="M46">
        <v>110.45489000000001</v>
      </c>
      <c r="N46">
        <v>140.19819000000001</v>
      </c>
      <c r="O46">
        <v>151.55600000000001</v>
      </c>
      <c r="P46">
        <v>117.185</v>
      </c>
    </row>
    <row r="47" spans="1:16" x14ac:dyDescent="0.3">
      <c r="A47" t="s">
        <v>671</v>
      </c>
      <c r="B47">
        <v>100.225076</v>
      </c>
      <c r="C47">
        <v>103.91973900000001</v>
      </c>
      <c r="D47">
        <v>126.378832</v>
      </c>
      <c r="E47">
        <v>138.04281</v>
      </c>
      <c r="F47">
        <v>124.118154</v>
      </c>
      <c r="G47">
        <v>122.372962</v>
      </c>
      <c r="H47">
        <v>126.423661</v>
      </c>
      <c r="I47">
        <v>130.83707899999999</v>
      </c>
      <c r="J47">
        <v>119.61333399999999</v>
      </c>
      <c r="K47">
        <v>127.882487</v>
      </c>
      <c r="L47">
        <v>158.39708400000001</v>
      </c>
      <c r="M47">
        <v>206.48342099999999</v>
      </c>
      <c r="N47">
        <v>224.865094</v>
      </c>
      <c r="O47">
        <v>248.94</v>
      </c>
      <c r="P47">
        <v>233.62799999999999</v>
      </c>
    </row>
    <row r="48" spans="1:16" x14ac:dyDescent="0.3">
      <c r="A48" t="s">
        <v>672</v>
      </c>
      <c r="B48">
        <v>354.59954800000003</v>
      </c>
      <c r="C48">
        <v>399.006595</v>
      </c>
      <c r="D48">
        <v>587.25496499999997</v>
      </c>
      <c r="E48">
        <v>645.37498000000005</v>
      </c>
      <c r="F48">
        <v>624.14022</v>
      </c>
      <c r="G48">
        <v>761.69666800000005</v>
      </c>
      <c r="H48">
        <v>815.73267099999998</v>
      </c>
      <c r="I48">
        <v>755.48204599999997</v>
      </c>
      <c r="J48">
        <v>713.79388800000004</v>
      </c>
      <c r="K48">
        <v>711.47402499999998</v>
      </c>
      <c r="L48">
        <v>810.81735000000003</v>
      </c>
      <c r="M48">
        <v>978.83988599999998</v>
      </c>
      <c r="N48">
        <v>1061.002581</v>
      </c>
      <c r="O48">
        <v>1262.578</v>
      </c>
      <c r="P48">
        <v>1128.085</v>
      </c>
    </row>
    <row r="49" spans="1:16" x14ac:dyDescent="0.3">
      <c r="A49" t="s">
        <v>673</v>
      </c>
      <c r="B49">
        <v>0</v>
      </c>
      <c r="C49">
        <v>0.26060899999999998</v>
      </c>
      <c r="D49">
        <v>6.815569</v>
      </c>
      <c r="E49">
        <v>9.6972140000000007</v>
      </c>
      <c r="F49">
        <v>2.1680609999999998</v>
      </c>
      <c r="G49">
        <v>8.0531360000000003</v>
      </c>
      <c r="H49">
        <v>1.8396840000000001</v>
      </c>
      <c r="I49">
        <v>6.6143729999999996</v>
      </c>
      <c r="J49">
        <v>6.5572590000000002</v>
      </c>
      <c r="K49">
        <v>24.126674000000001</v>
      </c>
      <c r="L49">
        <v>50.347960999999998</v>
      </c>
      <c r="M49">
        <v>72.325782000000004</v>
      </c>
      <c r="N49">
        <v>91.191091999999998</v>
      </c>
      <c r="O49">
        <v>121.7</v>
      </c>
      <c r="P49">
        <v>114.693</v>
      </c>
    </row>
    <row r="50" spans="1:16" x14ac:dyDescent="0.3">
      <c r="A50" t="s">
        <v>674</v>
      </c>
      <c r="B50">
        <v>42.299782</v>
      </c>
      <c r="C50">
        <v>80.301698000000002</v>
      </c>
      <c r="D50">
        <v>108.808595</v>
      </c>
      <c r="E50">
        <v>148.212808</v>
      </c>
      <c r="F50">
        <v>99.079603000000006</v>
      </c>
      <c r="G50">
        <v>248.530552</v>
      </c>
      <c r="H50">
        <v>287.89321200000001</v>
      </c>
      <c r="I50">
        <v>274.71320300000002</v>
      </c>
      <c r="J50">
        <v>223.44470200000001</v>
      </c>
      <c r="K50">
        <v>273.99391100000003</v>
      </c>
      <c r="L50">
        <v>339.39643799999999</v>
      </c>
      <c r="M50">
        <v>415.58390900000001</v>
      </c>
      <c r="N50">
        <v>559.81801399999995</v>
      </c>
      <c r="O50">
        <v>658.09500000000003</v>
      </c>
      <c r="P50">
        <v>572.05999999999995</v>
      </c>
    </row>
    <row r="51" spans="1:16" x14ac:dyDescent="0.3">
      <c r="A51" t="s">
        <v>675</v>
      </c>
      <c r="B51">
        <v>58.059519000000002</v>
      </c>
      <c r="C51">
        <v>31.458517000000001</v>
      </c>
      <c r="D51">
        <v>38.927368000000001</v>
      </c>
      <c r="E51">
        <v>77.436305000000004</v>
      </c>
      <c r="F51">
        <v>93.526875000000004</v>
      </c>
      <c r="G51">
        <v>25.545006000000001</v>
      </c>
      <c r="H51">
        <v>58.782623000000001</v>
      </c>
      <c r="I51">
        <v>103.285883</v>
      </c>
      <c r="J51">
        <v>72.878517000000002</v>
      </c>
      <c r="K51">
        <v>29.886016999999999</v>
      </c>
      <c r="L51">
        <v>40.426960000000001</v>
      </c>
      <c r="M51">
        <v>73.633435000000006</v>
      </c>
      <c r="N51">
        <v>92.490230999999994</v>
      </c>
      <c r="O51">
        <v>87.563999999999993</v>
      </c>
      <c r="P51">
        <v>103.143</v>
      </c>
    </row>
    <row r="52" spans="1:16" x14ac:dyDescent="0.3">
      <c r="A52" t="s">
        <v>676</v>
      </c>
      <c r="B52">
        <v>0</v>
      </c>
      <c r="C52">
        <v>0</v>
      </c>
      <c r="D52">
        <v>0</v>
      </c>
      <c r="E52">
        <v>0</v>
      </c>
      <c r="F52">
        <v>0</v>
      </c>
      <c r="G52">
        <v>0</v>
      </c>
      <c r="H52">
        <v>0</v>
      </c>
      <c r="I52">
        <v>0</v>
      </c>
      <c r="J52">
        <v>0</v>
      </c>
      <c r="K52">
        <v>0</v>
      </c>
      <c r="L52">
        <v>0</v>
      </c>
      <c r="M52">
        <v>0</v>
      </c>
      <c r="N52">
        <v>0</v>
      </c>
      <c r="O52">
        <v>0</v>
      </c>
      <c r="P52">
        <v>0</v>
      </c>
    </row>
    <row r="53" spans="1:16" x14ac:dyDescent="0.3">
      <c r="A53" t="s">
        <v>677</v>
      </c>
      <c r="B53">
        <v>323.95</v>
      </c>
      <c r="C53">
        <v>364.351</v>
      </c>
      <c r="D53">
        <v>417.16500000000002</v>
      </c>
      <c r="E53">
        <v>510.24700000000001</v>
      </c>
      <c r="F53">
        <v>496.50700000000001</v>
      </c>
      <c r="G53">
        <v>578.97</v>
      </c>
      <c r="H53">
        <v>691.91</v>
      </c>
      <c r="I53">
        <v>841.35900000000004</v>
      </c>
      <c r="J53">
        <v>946.41399999999999</v>
      </c>
      <c r="K53">
        <v>1084.5909999999999</v>
      </c>
      <c r="L53">
        <v>1168.4639999999999</v>
      </c>
      <c r="M53">
        <v>1855.2080000000001</v>
      </c>
      <c r="N53">
        <v>1906.9030760000001</v>
      </c>
      <c r="O53">
        <v>2191.16</v>
      </c>
      <c r="P53">
        <v>2213.002</v>
      </c>
    </row>
    <row r="54" spans="1:16" x14ac:dyDescent="0.3">
      <c r="A54" t="s">
        <v>678</v>
      </c>
      <c r="B54">
        <v>0.50700000000000001</v>
      </c>
      <c r="C54">
        <v>2.1789999999999998</v>
      </c>
      <c r="D54">
        <v>1.204</v>
      </c>
      <c r="E54">
        <v>1.425</v>
      </c>
      <c r="F54">
        <v>1.3879999999999999</v>
      </c>
      <c r="G54">
        <v>1.571</v>
      </c>
      <c r="H54">
        <v>2.359</v>
      </c>
      <c r="I54">
        <v>8.4320000000000004</v>
      </c>
      <c r="J54">
        <v>5.9420000000000002</v>
      </c>
      <c r="K54">
        <v>9.141</v>
      </c>
      <c r="L54">
        <v>8.7949999999999999</v>
      </c>
      <c r="M54">
        <v>12.462999999999999</v>
      </c>
      <c r="N54">
        <v>8.3948319999999992</v>
      </c>
      <c r="O54">
        <v>14.185</v>
      </c>
      <c r="P54">
        <v>14.067</v>
      </c>
    </row>
    <row r="55" spans="1:16" x14ac:dyDescent="0.3">
      <c r="A55"/>
      <c r="B55"/>
      <c r="C55"/>
      <c r="D55"/>
      <c r="E55"/>
      <c r="F55"/>
      <c r="G55"/>
      <c r="H55"/>
      <c r="I55"/>
      <c r="J55"/>
      <c r="K55"/>
      <c r="L55"/>
      <c r="M55"/>
      <c r="N55"/>
      <c r="O55"/>
      <c r="P55"/>
    </row>
    <row r="56" spans="1:16" x14ac:dyDescent="0.3">
      <c r="A56" t="s">
        <v>679</v>
      </c>
      <c r="B56"/>
      <c r="C56"/>
      <c r="D56"/>
      <c r="E56"/>
      <c r="F56"/>
      <c r="G56"/>
      <c r="H56"/>
      <c r="I56"/>
      <c r="J56"/>
      <c r="K56"/>
      <c r="L56"/>
      <c r="M56"/>
      <c r="N56"/>
      <c r="O56"/>
      <c r="P56"/>
    </row>
    <row r="57" spans="1:16" x14ac:dyDescent="0.3">
      <c r="A57" t="s">
        <v>680</v>
      </c>
      <c r="B57"/>
      <c r="C57"/>
      <c r="D57"/>
      <c r="E57"/>
      <c r="F57"/>
      <c r="G57"/>
      <c r="H57"/>
      <c r="I57"/>
      <c r="J57"/>
      <c r="K57"/>
      <c r="L57"/>
      <c r="M57"/>
      <c r="N57"/>
      <c r="O57"/>
      <c r="P57"/>
    </row>
    <row r="58" spans="1:16" x14ac:dyDescent="0.3">
      <c r="A58" t="s">
        <v>659</v>
      </c>
      <c r="B58"/>
      <c r="C58"/>
      <c r="D58"/>
      <c r="E58"/>
      <c r="F58"/>
      <c r="G58"/>
      <c r="H58"/>
      <c r="I58"/>
      <c r="J58"/>
      <c r="K58"/>
      <c r="L58"/>
      <c r="M58"/>
      <c r="N58"/>
      <c r="O58"/>
      <c r="P58"/>
    </row>
    <row r="59" spans="1:16" x14ac:dyDescent="0.3">
      <c r="A59" t="s">
        <v>660</v>
      </c>
      <c r="B59"/>
      <c r="C59"/>
      <c r="D59"/>
      <c r="E59"/>
      <c r="F59"/>
      <c r="G59"/>
      <c r="H59"/>
      <c r="I59"/>
      <c r="J59"/>
      <c r="K59"/>
      <c r="L59"/>
      <c r="M59"/>
      <c r="N59"/>
      <c r="O59"/>
      <c r="P59"/>
    </row>
    <row r="60" spans="1:16" x14ac:dyDescent="0.3">
      <c r="A60"/>
      <c r="B60"/>
      <c r="C60"/>
      <c r="D60"/>
      <c r="E60"/>
      <c r="F60"/>
      <c r="G60"/>
      <c r="H60"/>
      <c r="I60"/>
      <c r="J60"/>
      <c r="K60"/>
      <c r="L60"/>
      <c r="M60"/>
      <c r="N60"/>
      <c r="O60"/>
      <c r="P60"/>
    </row>
    <row r="62" spans="1:16" x14ac:dyDescent="0.3">
      <c r="A62" s="219" t="s">
        <v>640</v>
      </c>
    </row>
    <row r="63" spans="1:16" x14ac:dyDescent="0.3">
      <c r="A63" s="219" t="s">
        <v>641</v>
      </c>
    </row>
    <row r="64" spans="1:16" x14ac:dyDescent="0.3">
      <c r="A64" s="219" t="s">
        <v>642</v>
      </c>
    </row>
    <row r="65" spans="1:16" s="222" customFormat="1" x14ac:dyDescent="0.3">
      <c r="A65" s="222" t="s">
        <v>681</v>
      </c>
    </row>
    <row r="66" spans="1:16" x14ac:dyDescent="0.3">
      <c r="A66" s="219" t="s">
        <v>644</v>
      </c>
    </row>
    <row r="68" spans="1:16" x14ac:dyDescent="0.3">
      <c r="A68" s="223" t="s">
        <v>682</v>
      </c>
      <c r="B68" s="219" t="s">
        <v>645</v>
      </c>
    </row>
    <row r="69" spans="1:16" x14ac:dyDescent="0.3">
      <c r="B69" s="219">
        <v>2005</v>
      </c>
      <c r="C69" s="219">
        <v>2006</v>
      </c>
      <c r="D69" s="219">
        <v>2007</v>
      </c>
      <c r="E69" s="219">
        <v>2008</v>
      </c>
      <c r="F69" s="219">
        <v>2009</v>
      </c>
      <c r="G69" s="219">
        <v>2010</v>
      </c>
      <c r="H69" s="219">
        <v>2011</v>
      </c>
      <c r="I69" s="219">
        <v>2012</v>
      </c>
      <c r="J69" s="219">
        <v>2013</v>
      </c>
      <c r="K69" s="219">
        <v>2014</v>
      </c>
      <c r="L69" s="219">
        <v>2015</v>
      </c>
      <c r="M69" s="219">
        <v>2016</v>
      </c>
      <c r="N69" s="219">
        <v>2017</v>
      </c>
      <c r="O69" s="219">
        <v>2018</v>
      </c>
      <c r="P69" s="219">
        <v>2019</v>
      </c>
    </row>
    <row r="71" spans="1:16" x14ac:dyDescent="0.3">
      <c r="A71" s="219" t="s">
        <v>647</v>
      </c>
      <c r="B71" s="219">
        <v>4363.4643400000004</v>
      </c>
      <c r="C71" s="219">
        <v>4342.1226960000004</v>
      </c>
      <c r="D71" s="219">
        <v>4120.8671409999997</v>
      </c>
      <c r="E71" s="219">
        <v>3654.3373849999998</v>
      </c>
      <c r="F71" s="219">
        <v>3381.595186</v>
      </c>
      <c r="G71" s="219">
        <v>3644.3493319999998</v>
      </c>
      <c r="H71" s="219">
        <v>3565.6059810000002</v>
      </c>
      <c r="I71" s="219">
        <v>3311.6610799999999</v>
      </c>
      <c r="J71" s="219">
        <v>3183.6150849999999</v>
      </c>
      <c r="K71" s="219">
        <v>3120.7160039999999</v>
      </c>
      <c r="L71" s="219">
        <v>3104.8854160000001</v>
      </c>
      <c r="M71" s="219">
        <v>3100.9288550000001</v>
      </c>
      <c r="N71" s="219">
        <v>2974.8898979999999</v>
      </c>
      <c r="O71" s="219">
        <v>3030.5859999999998</v>
      </c>
      <c r="P71" s="219">
        <v>2747.4409999999998</v>
      </c>
    </row>
    <row r="73" spans="1:16" x14ac:dyDescent="0.3">
      <c r="A73" s="219" t="s">
        <v>664</v>
      </c>
      <c r="B73" s="219">
        <v>4152.95</v>
      </c>
      <c r="C73" s="219">
        <v>4033.232</v>
      </c>
      <c r="D73" s="219">
        <v>3788.2849999999999</v>
      </c>
      <c r="E73" s="219">
        <v>3288.9349999999999</v>
      </c>
      <c r="F73" s="219">
        <v>2877.6320000000001</v>
      </c>
      <c r="G73" s="219">
        <v>3170.9490000000001</v>
      </c>
      <c r="H73" s="219">
        <v>3137.0650000000001</v>
      </c>
      <c r="I73" s="219">
        <v>2962.3649999999998</v>
      </c>
      <c r="J73" s="219">
        <v>2756.5880000000002</v>
      </c>
      <c r="K73" s="219">
        <v>2650.7860000000001</v>
      </c>
      <c r="L73" s="219">
        <v>2634.239</v>
      </c>
      <c r="M73" s="219">
        <v>2685.7150000000001</v>
      </c>
      <c r="N73" s="219">
        <v>2609.3390319999999</v>
      </c>
      <c r="O73" s="219">
        <v>2681.8440000000001</v>
      </c>
      <c r="P73" s="219">
        <v>2465.4540000000002</v>
      </c>
    </row>
    <row r="74" spans="1:16" x14ac:dyDescent="0.3">
      <c r="A74" s="219" t="s">
        <v>665</v>
      </c>
      <c r="B74" s="219">
        <v>9.7960000000000005E-2</v>
      </c>
      <c r="C74" s="219">
        <v>7.4824000000000002E-2</v>
      </c>
      <c r="D74" s="219">
        <v>0.187884</v>
      </c>
      <c r="E74" s="219">
        <v>2.6461899999999998</v>
      </c>
      <c r="F74" s="219">
        <v>1.2349030000000001</v>
      </c>
      <c r="G74" s="219">
        <v>3.2244329999999999</v>
      </c>
      <c r="H74" s="219">
        <v>7.0962779999999999</v>
      </c>
      <c r="I74" s="219">
        <v>6.3457850000000002</v>
      </c>
      <c r="J74" s="219">
        <v>0.137706</v>
      </c>
      <c r="K74" s="219">
        <v>0.10382</v>
      </c>
      <c r="L74" s="219">
        <v>8.4318000000000004E-2</v>
      </c>
      <c r="M74" s="219">
        <v>7.5295000000000001E-2</v>
      </c>
      <c r="N74" s="219">
        <v>7.7518000000000004E-2</v>
      </c>
      <c r="O74" s="219">
        <v>0.14199999999999999</v>
      </c>
      <c r="P74" s="219">
        <v>0.13500000000000001</v>
      </c>
    </row>
    <row r="75" spans="1:16" x14ac:dyDescent="0.3">
      <c r="A75" s="219" t="s">
        <v>666</v>
      </c>
      <c r="B75" s="219">
        <v>4149.8001299999996</v>
      </c>
      <c r="C75" s="219">
        <v>4031.6660590000001</v>
      </c>
      <c r="D75" s="219">
        <v>3788.0968170000001</v>
      </c>
      <c r="E75" s="219">
        <v>3286.2890670000002</v>
      </c>
      <c r="F75" s="219">
        <v>2876.3970859999999</v>
      </c>
      <c r="G75" s="219">
        <v>3167.7244179999998</v>
      </c>
      <c r="H75" s="219">
        <v>3128.6873810000002</v>
      </c>
      <c r="I75" s="219">
        <v>2946.2128480000001</v>
      </c>
      <c r="J75" s="219">
        <v>2744.445588</v>
      </c>
      <c r="K75" s="219">
        <v>2646.0545090000001</v>
      </c>
      <c r="L75" s="219">
        <v>2631.490417</v>
      </c>
      <c r="M75" s="219">
        <v>2685.6400629999998</v>
      </c>
      <c r="N75" s="219">
        <v>2609.2615150000001</v>
      </c>
      <c r="O75" s="219">
        <v>2681.7020000000002</v>
      </c>
      <c r="P75" s="219">
        <v>2465.319</v>
      </c>
    </row>
    <row r="76" spans="1:16" x14ac:dyDescent="0.3">
      <c r="A76" s="219" t="s">
        <v>683</v>
      </c>
      <c r="B76" s="219">
        <v>3.051736</v>
      </c>
      <c r="C76" s="219">
        <v>1.491546</v>
      </c>
      <c r="D76" s="219">
        <v>0</v>
      </c>
      <c r="E76" s="219">
        <v>0</v>
      </c>
      <c r="F76" s="219">
        <v>0</v>
      </c>
      <c r="G76" s="219">
        <v>0</v>
      </c>
      <c r="H76" s="219">
        <v>1.2816909999999999</v>
      </c>
      <c r="I76" s="219">
        <v>9.8065069999999999</v>
      </c>
      <c r="J76" s="219">
        <v>12.005027</v>
      </c>
      <c r="K76" s="219">
        <v>4.6278079999999999</v>
      </c>
      <c r="L76" s="219">
        <v>2.66384</v>
      </c>
      <c r="M76" s="219">
        <v>0</v>
      </c>
      <c r="N76" s="219">
        <v>0</v>
      </c>
      <c r="O76" s="219">
        <v>0</v>
      </c>
      <c r="P76" s="219">
        <v>0</v>
      </c>
    </row>
    <row r="78" spans="1:16" x14ac:dyDescent="0.3">
      <c r="A78" s="219" t="s">
        <v>667</v>
      </c>
      <c r="B78" s="219">
        <v>210.51451399999999</v>
      </c>
      <c r="C78" s="219">
        <v>308.890266</v>
      </c>
      <c r="D78" s="219">
        <v>332.58244000000002</v>
      </c>
      <c r="E78" s="219">
        <v>365.402128</v>
      </c>
      <c r="F78" s="219">
        <v>503.96319699999998</v>
      </c>
      <c r="G78" s="219">
        <v>473.40048200000001</v>
      </c>
      <c r="H78" s="219">
        <v>428.54063100000002</v>
      </c>
      <c r="I78" s="219">
        <v>349.29593999999997</v>
      </c>
      <c r="J78" s="219">
        <v>427.02676400000001</v>
      </c>
      <c r="K78" s="219">
        <v>469.929867</v>
      </c>
      <c r="L78" s="219">
        <v>470.64683200000002</v>
      </c>
      <c r="M78" s="219">
        <v>415.21349800000002</v>
      </c>
      <c r="N78" s="219">
        <v>365.55086599999998</v>
      </c>
      <c r="O78" s="219">
        <v>348.74200000000002</v>
      </c>
      <c r="P78" s="219">
        <v>281.98700000000002</v>
      </c>
    </row>
    <row r="79" spans="1:16" x14ac:dyDescent="0.3">
      <c r="A79" s="219" t="s">
        <v>668</v>
      </c>
      <c r="B79" s="219">
        <v>4.54636</v>
      </c>
      <c r="C79" s="219">
        <v>3.671646</v>
      </c>
      <c r="D79" s="219">
        <v>1.44476</v>
      </c>
      <c r="E79" s="219">
        <v>1.662126</v>
      </c>
      <c r="F79" s="219">
        <v>3.0586449999999998</v>
      </c>
      <c r="G79" s="219">
        <v>1.424067</v>
      </c>
      <c r="H79" s="219">
        <v>0.106811</v>
      </c>
      <c r="I79" s="219">
        <v>22.314571999999998</v>
      </c>
      <c r="J79" s="219">
        <v>20.58146</v>
      </c>
      <c r="K79" s="219">
        <v>2.0552609999999998</v>
      </c>
      <c r="L79" s="219">
        <v>3.8409999999999998E-3</v>
      </c>
      <c r="M79" s="219">
        <v>1.4793000000000001E-2</v>
      </c>
      <c r="N79" s="219">
        <v>9.4231999999999996E-2</v>
      </c>
      <c r="O79" s="219">
        <v>1.2789999999999999</v>
      </c>
      <c r="P79" s="219">
        <v>9.8000000000000004E-2</v>
      </c>
    </row>
    <row r="80" spans="1:16" x14ac:dyDescent="0.3">
      <c r="A80" s="219" t="s">
        <v>669</v>
      </c>
      <c r="B80" s="219">
        <v>4.0629999999999999E-2</v>
      </c>
      <c r="C80" s="219">
        <v>6.7942000000000002E-2</v>
      </c>
      <c r="D80" s="219">
        <v>7.6317999999999997E-2</v>
      </c>
      <c r="E80" s="219">
        <v>9.1393000000000002E-2</v>
      </c>
      <c r="F80" s="219">
        <v>8.0940000000000005E-3</v>
      </c>
      <c r="G80" s="219">
        <v>1.9071000000000001E-2</v>
      </c>
      <c r="H80" s="219">
        <v>5.2750999999999999E-2</v>
      </c>
      <c r="I80" s="219">
        <v>3.0200000000000001E-2</v>
      </c>
      <c r="J80" s="219">
        <v>2.0736999999999998E-2</v>
      </c>
      <c r="K80" s="219">
        <v>1.5575E-2</v>
      </c>
      <c r="L80" s="219">
        <v>3.2829999999999999E-3</v>
      </c>
      <c r="M80" s="219">
        <v>4.3569999999999998E-3</v>
      </c>
      <c r="N80" s="219">
        <v>6.8795999999999996E-2</v>
      </c>
      <c r="O80" s="219">
        <v>1.179</v>
      </c>
      <c r="P80" s="219">
        <v>6.0000000000000001E-3</v>
      </c>
    </row>
    <row r="81" spans="1:16" x14ac:dyDescent="0.3">
      <c r="A81" s="219" t="s">
        <v>670</v>
      </c>
      <c r="B81" s="219">
        <v>4.5057299999999998</v>
      </c>
      <c r="C81" s="219">
        <v>3.603704</v>
      </c>
      <c r="D81" s="219">
        <v>1.3684419999999999</v>
      </c>
      <c r="E81" s="219">
        <v>1.5707329999999999</v>
      </c>
      <c r="F81" s="219">
        <v>3.050551</v>
      </c>
      <c r="G81" s="219">
        <v>1.4049959999999999</v>
      </c>
      <c r="H81" s="219">
        <v>5.4059999999999997E-2</v>
      </c>
      <c r="I81" s="219">
        <v>22.284371</v>
      </c>
      <c r="J81" s="219">
        <v>20.560722999999999</v>
      </c>
      <c r="K81" s="219">
        <v>2.0396860000000001</v>
      </c>
      <c r="L81" s="219">
        <v>5.5800000000000001E-4</v>
      </c>
      <c r="M81" s="219">
        <v>1.0437E-2</v>
      </c>
      <c r="N81" s="219">
        <v>2.5436E-2</v>
      </c>
      <c r="O81" s="219">
        <v>9.9000000000000005E-2</v>
      </c>
      <c r="P81" s="219">
        <v>9.1999999999999998E-2</v>
      </c>
    </row>
    <row r="82" spans="1:16" x14ac:dyDescent="0.3">
      <c r="A82" s="219" t="s">
        <v>671</v>
      </c>
      <c r="B82" s="219">
        <v>2.4348619999999999</v>
      </c>
      <c r="C82" s="219">
        <v>2.8679860000000001</v>
      </c>
      <c r="D82" s="219">
        <v>1.553391</v>
      </c>
      <c r="E82" s="219">
        <v>0.175483</v>
      </c>
      <c r="F82" s="219">
        <v>1.6841079999999999</v>
      </c>
      <c r="G82" s="219">
        <v>0.14330499999999999</v>
      </c>
      <c r="H82" s="219">
        <v>2.280211</v>
      </c>
      <c r="I82" s="219">
        <v>0.17325099999999999</v>
      </c>
      <c r="J82" s="219">
        <v>0.26653100000000002</v>
      </c>
      <c r="K82" s="219">
        <v>1.959765</v>
      </c>
      <c r="L82" s="219">
        <v>3.1356000000000002E-2</v>
      </c>
      <c r="M82" s="219">
        <v>6.7596270000000001</v>
      </c>
      <c r="N82" s="219">
        <v>8.5964080000000003</v>
      </c>
      <c r="O82" s="219">
        <v>2.8780000000000001</v>
      </c>
      <c r="P82" s="219">
        <v>1.3959999999999999</v>
      </c>
    </row>
    <row r="83" spans="1:16" x14ac:dyDescent="0.3">
      <c r="A83" s="219" t="s">
        <v>672</v>
      </c>
      <c r="B83" s="219">
        <v>146.89078599999999</v>
      </c>
      <c r="C83" s="219">
        <v>161.071248</v>
      </c>
      <c r="D83" s="219">
        <v>148.172845</v>
      </c>
      <c r="E83" s="219">
        <v>128.284392</v>
      </c>
      <c r="F83" s="219">
        <v>132.888136</v>
      </c>
      <c r="G83" s="219">
        <v>125.948564</v>
      </c>
      <c r="H83" s="219">
        <v>141.225934</v>
      </c>
      <c r="I83" s="219">
        <v>130.07169999999999</v>
      </c>
      <c r="J83" s="219">
        <v>124.795046</v>
      </c>
      <c r="K83" s="219">
        <v>123.619463</v>
      </c>
      <c r="L83" s="219">
        <v>118.81370800000001</v>
      </c>
      <c r="M83" s="219">
        <v>103.403879</v>
      </c>
      <c r="N83" s="219">
        <v>84.740105</v>
      </c>
      <c r="O83" s="219">
        <v>77.043000000000006</v>
      </c>
      <c r="P83" s="219">
        <v>64.677999999999997</v>
      </c>
    </row>
    <row r="84" spans="1:16" x14ac:dyDescent="0.3">
      <c r="A84" s="219" t="s">
        <v>673</v>
      </c>
      <c r="B84" s="219">
        <v>13.245927999999999</v>
      </c>
      <c r="C84" s="219">
        <v>11.988545999999999</v>
      </c>
      <c r="D84" s="219">
        <v>6.6711320000000001</v>
      </c>
      <c r="E84" s="219">
        <v>11.406276</v>
      </c>
      <c r="F84" s="219">
        <v>8.4443850000000005</v>
      </c>
      <c r="G84" s="219">
        <v>2.6639870000000001</v>
      </c>
      <c r="H84" s="219">
        <v>3.578424</v>
      </c>
      <c r="I84" s="219">
        <v>0</v>
      </c>
      <c r="J84" s="219">
        <v>0</v>
      </c>
      <c r="K84" s="219">
        <v>0</v>
      </c>
      <c r="L84" s="219">
        <v>0</v>
      </c>
      <c r="M84" s="219">
        <v>0</v>
      </c>
      <c r="N84" s="219">
        <v>0</v>
      </c>
      <c r="O84" s="219">
        <v>0</v>
      </c>
      <c r="P84" s="219">
        <v>0</v>
      </c>
    </row>
    <row r="85" spans="1:16" x14ac:dyDescent="0.3">
      <c r="A85" s="219" t="s">
        <v>674</v>
      </c>
      <c r="B85" s="219">
        <v>1.638258</v>
      </c>
      <c r="C85" s="219">
        <v>5.0406139999999997</v>
      </c>
      <c r="D85" s="219">
        <v>18.167349000000002</v>
      </c>
      <c r="E85" s="219">
        <v>14.042132000000001</v>
      </c>
      <c r="F85" s="219">
        <v>9.9487579999999998</v>
      </c>
      <c r="G85" s="219">
        <v>2.8702719999999999</v>
      </c>
      <c r="H85" s="219">
        <v>10.138304</v>
      </c>
      <c r="I85" s="219">
        <v>5.4170769999999999</v>
      </c>
      <c r="J85" s="219">
        <v>19.27871</v>
      </c>
      <c r="K85" s="219">
        <v>4.4445759999999996</v>
      </c>
      <c r="L85" s="219">
        <v>15.70642</v>
      </c>
      <c r="M85" s="219">
        <v>0</v>
      </c>
      <c r="N85" s="219">
        <v>0</v>
      </c>
      <c r="O85" s="219">
        <v>8.9410000000000007</v>
      </c>
      <c r="P85" s="219">
        <v>27.128</v>
      </c>
    </row>
    <row r="86" spans="1:16" x14ac:dyDescent="0.3">
      <c r="A86" s="219" t="s">
        <v>675</v>
      </c>
      <c r="B86" s="219">
        <v>1.80453</v>
      </c>
      <c r="C86" s="219">
        <v>78.287062000000006</v>
      </c>
      <c r="D86" s="219">
        <v>76.863696000000004</v>
      </c>
      <c r="E86" s="219">
        <v>138.893598</v>
      </c>
      <c r="F86" s="219">
        <v>289.30532199999999</v>
      </c>
      <c r="G86" s="219">
        <v>284.03560399999998</v>
      </c>
      <c r="H86" s="219">
        <v>236.98517200000001</v>
      </c>
      <c r="I86" s="219">
        <v>161.41738699999999</v>
      </c>
      <c r="J86" s="219">
        <v>221.479221</v>
      </c>
      <c r="K86" s="219">
        <v>295.99270899999999</v>
      </c>
      <c r="L86" s="219">
        <v>295.46506199999999</v>
      </c>
      <c r="M86" s="219">
        <v>272.12449099999998</v>
      </c>
      <c r="N86" s="219">
        <v>242.10863499999999</v>
      </c>
      <c r="O86" s="219">
        <v>224.01499999999999</v>
      </c>
      <c r="P86" s="219">
        <v>168.52099999999999</v>
      </c>
    </row>
    <row r="87" spans="1:16" x14ac:dyDescent="0.3">
      <c r="A87" s="219" t="s">
        <v>676</v>
      </c>
      <c r="B87" s="219">
        <v>3.9723649999999999</v>
      </c>
      <c r="C87" s="219">
        <v>3.4044509999999999</v>
      </c>
      <c r="D87" s="219">
        <v>3.9723649999999999</v>
      </c>
      <c r="E87" s="219">
        <v>3.4044509999999999</v>
      </c>
      <c r="F87" s="219">
        <v>4.7904289999999996</v>
      </c>
      <c r="G87" s="219">
        <v>3.8188620000000002</v>
      </c>
      <c r="H87" s="219">
        <v>2.7437290000000001</v>
      </c>
      <c r="I87" s="219">
        <v>3.2411240000000001</v>
      </c>
      <c r="J87" s="219">
        <v>9.3094289999999997</v>
      </c>
      <c r="K87" s="219">
        <v>3.1070000000000002</v>
      </c>
      <c r="L87" s="219">
        <v>2.7083490000000001</v>
      </c>
      <c r="M87" s="219">
        <v>0.86620200000000003</v>
      </c>
      <c r="N87" s="219">
        <v>0.15567600000000001</v>
      </c>
      <c r="O87" s="219">
        <v>0</v>
      </c>
      <c r="P87" s="219">
        <v>0</v>
      </c>
    </row>
    <row r="88" spans="1:16" x14ac:dyDescent="0.3">
      <c r="A88" s="219" t="s">
        <v>677</v>
      </c>
      <c r="B88" s="219">
        <v>9.391</v>
      </c>
      <c r="C88" s="219">
        <v>12.929</v>
      </c>
      <c r="D88" s="219">
        <v>48.167000000000002</v>
      </c>
      <c r="E88" s="219">
        <v>37.29</v>
      </c>
      <c r="F88" s="219">
        <v>25.623000000000001</v>
      </c>
      <c r="G88" s="219">
        <v>30.675999999999998</v>
      </c>
      <c r="H88" s="219">
        <v>9.2289999999999992</v>
      </c>
      <c r="I88" s="219">
        <v>2.9670000000000001</v>
      </c>
      <c r="J88" s="219">
        <v>4.8360000000000003</v>
      </c>
      <c r="K88" s="219">
        <v>4.8979999999999997</v>
      </c>
      <c r="L88" s="219">
        <v>4.9409999999999998</v>
      </c>
      <c r="M88" s="219">
        <v>1.04</v>
      </c>
      <c r="N88" s="219">
        <v>1.504076</v>
      </c>
      <c r="O88" s="219">
        <v>7.9359999999999999</v>
      </c>
      <c r="P88" s="219">
        <v>1.403</v>
      </c>
    </row>
    <row r="89" spans="1:16" x14ac:dyDescent="0.3">
      <c r="A89" s="219" t="s">
        <v>678</v>
      </c>
      <c r="B89" s="219">
        <v>26.59</v>
      </c>
      <c r="C89" s="219">
        <v>29.63</v>
      </c>
      <c r="D89" s="219">
        <v>27.57</v>
      </c>
      <c r="E89" s="219">
        <v>30.244</v>
      </c>
      <c r="F89" s="219">
        <v>28.221</v>
      </c>
      <c r="G89" s="219">
        <v>21.82</v>
      </c>
      <c r="H89" s="219">
        <v>22.253</v>
      </c>
      <c r="I89" s="219">
        <v>23.693999999999999</v>
      </c>
      <c r="J89" s="219">
        <v>26.48</v>
      </c>
      <c r="K89" s="219">
        <v>33.853000000000002</v>
      </c>
      <c r="L89" s="219">
        <v>32.976999999999997</v>
      </c>
      <c r="M89" s="219">
        <v>31.004000000000001</v>
      </c>
      <c r="N89" s="219">
        <v>28.351732999999999</v>
      </c>
      <c r="O89" s="219">
        <v>26.651</v>
      </c>
      <c r="P89" s="219">
        <v>18.762</v>
      </c>
    </row>
    <row r="91" spans="1:16" x14ac:dyDescent="0.3">
      <c r="A91" s="219" t="s">
        <v>658</v>
      </c>
    </row>
    <row r="92" spans="1:16" x14ac:dyDescent="0.3">
      <c r="A92" s="219" t="s">
        <v>684</v>
      </c>
    </row>
    <row r="93" spans="1:16" x14ac:dyDescent="0.3">
      <c r="A93" s="219" t="s">
        <v>660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9FA2-69B8-E24A-A1BB-7D188E1C23AA}">
  <sheetPr>
    <tabColor theme="9"/>
  </sheetPr>
  <dimension ref="A1:AA49"/>
  <sheetViews>
    <sheetView topLeftCell="A7" workbookViewId="0">
      <selection activeCell="E20" sqref="E20"/>
    </sheetView>
  </sheetViews>
  <sheetFormatPr defaultColWidth="10.88671875" defaultRowHeight="15.6" x14ac:dyDescent="0.3"/>
  <cols>
    <col min="1" max="1" width="40.33203125" style="219" customWidth="1"/>
    <col min="2" max="16384" width="10.88671875" style="219"/>
  </cols>
  <sheetData>
    <row r="1" spans="1:27" x14ac:dyDescent="0.3">
      <c r="A1" s="219" t="s">
        <v>640</v>
      </c>
    </row>
    <row r="2" spans="1:27" x14ac:dyDescent="0.3">
      <c r="A2" s="219" t="s">
        <v>641</v>
      </c>
    </row>
    <row r="3" spans="1:27" x14ac:dyDescent="0.3">
      <c r="A3" s="219" t="s">
        <v>642</v>
      </c>
    </row>
    <row r="4" spans="1:27" x14ac:dyDescent="0.3">
      <c r="A4" s="219" t="s">
        <v>685</v>
      </c>
    </row>
    <row r="5" spans="1:27" x14ac:dyDescent="0.3">
      <c r="A5" s="219" t="s">
        <v>644</v>
      </c>
    </row>
    <row r="6" spans="1:27" x14ac:dyDescent="0.3">
      <c r="A6" s="219" t="s">
        <v>686</v>
      </c>
    </row>
    <row r="9" spans="1:27" ht="62.4" x14ac:dyDescent="0.3">
      <c r="B9" s="225" t="s">
        <v>687</v>
      </c>
      <c r="C9" s="225" t="s">
        <v>688</v>
      </c>
      <c r="D9" s="225" t="s">
        <v>689</v>
      </c>
      <c r="E9" s="225" t="s">
        <v>690</v>
      </c>
      <c r="F9" s="225" t="s">
        <v>691</v>
      </c>
      <c r="G9" s="225" t="s">
        <v>692</v>
      </c>
      <c r="H9" s="225" t="s">
        <v>693</v>
      </c>
      <c r="I9" s="225" t="s">
        <v>694</v>
      </c>
      <c r="J9" s="225" t="s">
        <v>695</v>
      </c>
      <c r="K9" s="225" t="s">
        <v>696</v>
      </c>
      <c r="L9" s="225" t="s">
        <v>697</v>
      </c>
      <c r="M9" s="225" t="s">
        <v>698</v>
      </c>
      <c r="N9" s="225" t="s">
        <v>699</v>
      </c>
      <c r="O9" s="225" t="s">
        <v>700</v>
      </c>
      <c r="P9" s="225" t="s">
        <v>701</v>
      </c>
      <c r="Q9" s="225" t="s">
        <v>702</v>
      </c>
      <c r="R9" s="225" t="s">
        <v>703</v>
      </c>
      <c r="S9" s="225" t="s">
        <v>704</v>
      </c>
      <c r="T9" s="225" t="s">
        <v>705</v>
      </c>
      <c r="U9" s="225" t="s">
        <v>706</v>
      </c>
      <c r="V9" s="225" t="s">
        <v>707</v>
      </c>
      <c r="W9" s="225" t="s">
        <v>708</v>
      </c>
      <c r="X9" s="225" t="s">
        <v>709</v>
      </c>
      <c r="Y9" s="225" t="s">
        <v>710</v>
      </c>
      <c r="Z9" s="225" t="s">
        <v>711</v>
      </c>
      <c r="AA9" s="225" t="s">
        <v>647</v>
      </c>
    </row>
    <row r="11" spans="1:27" x14ac:dyDescent="0.3">
      <c r="A11" s="226" t="s">
        <v>712</v>
      </c>
      <c r="B11" s="227">
        <v>230.46100000000001</v>
      </c>
      <c r="C11" s="227">
        <v>3788.6410000000001</v>
      </c>
      <c r="D11" s="227">
        <v>60.487000000000002</v>
      </c>
      <c r="E11" s="227">
        <v>1466.0360000000001</v>
      </c>
      <c r="F11" s="227">
        <v>124.81699999999999</v>
      </c>
      <c r="G11" s="227">
        <v>84.989000000000004</v>
      </c>
      <c r="H11" s="227">
        <v>112.883</v>
      </c>
      <c r="I11" s="227">
        <v>40.314999999999998</v>
      </c>
      <c r="J11" s="227">
        <v>60.216000000000001</v>
      </c>
      <c r="K11" s="227">
        <v>113.249</v>
      </c>
      <c r="L11" s="227">
        <v>247.91900000000001</v>
      </c>
      <c r="M11" s="227">
        <v>2.7989999999999999</v>
      </c>
      <c r="N11" s="227">
        <v>6332.8119999999999</v>
      </c>
      <c r="O11" s="227">
        <v>0</v>
      </c>
      <c r="P11" s="227">
        <v>0</v>
      </c>
      <c r="Q11" s="227">
        <v>0</v>
      </c>
      <c r="R11" s="227">
        <v>0</v>
      </c>
      <c r="S11" s="227">
        <v>0</v>
      </c>
      <c r="T11" s="227">
        <v>0</v>
      </c>
      <c r="U11" s="227">
        <v>0</v>
      </c>
      <c r="V11" s="227">
        <v>0</v>
      </c>
      <c r="W11" s="227">
        <v>0</v>
      </c>
      <c r="X11" s="227">
        <v>0</v>
      </c>
      <c r="Y11" s="227">
        <v>0</v>
      </c>
      <c r="Z11" s="227">
        <v>0</v>
      </c>
      <c r="AA11" s="228">
        <v>6332.8119999999999</v>
      </c>
    </row>
    <row r="12" spans="1:27" x14ac:dyDescent="0.3">
      <c r="A12" s="219" t="s">
        <v>713</v>
      </c>
      <c r="E12" s="219">
        <v>684.327</v>
      </c>
      <c r="N12" s="219">
        <v>684.327</v>
      </c>
      <c r="O12" s="219">
        <v>0</v>
      </c>
      <c r="P12" s="219">
        <v>0</v>
      </c>
      <c r="Q12" s="219">
        <v>0</v>
      </c>
      <c r="R12" s="219">
        <v>0</v>
      </c>
      <c r="S12" s="219">
        <v>0</v>
      </c>
      <c r="T12" s="219">
        <v>0</v>
      </c>
      <c r="U12" s="219">
        <v>0</v>
      </c>
      <c r="V12" s="219">
        <v>0</v>
      </c>
      <c r="W12" s="219">
        <v>0</v>
      </c>
      <c r="X12" s="219">
        <v>0</v>
      </c>
      <c r="Y12" s="219">
        <v>0</v>
      </c>
      <c r="Z12" s="219">
        <v>0</v>
      </c>
      <c r="AA12" s="219">
        <v>684.327</v>
      </c>
    </row>
    <row r="13" spans="1:27" x14ac:dyDescent="0.3">
      <c r="A13" s="226" t="s">
        <v>714</v>
      </c>
      <c r="B13" s="227">
        <v>275.14600000000002</v>
      </c>
      <c r="C13" s="227">
        <v>0</v>
      </c>
      <c r="D13" s="227"/>
      <c r="E13" s="227"/>
      <c r="F13" s="227"/>
      <c r="G13" s="227"/>
      <c r="H13" s="227"/>
      <c r="I13" s="227"/>
      <c r="J13" s="227"/>
      <c r="K13" s="227"/>
      <c r="L13" s="227"/>
      <c r="M13" s="227"/>
      <c r="N13" s="227">
        <v>275.14600000000002</v>
      </c>
      <c r="O13" s="227">
        <v>32.332999999999998</v>
      </c>
      <c r="P13" s="227">
        <v>117.185</v>
      </c>
      <c r="Q13" s="227">
        <v>233.62799999999999</v>
      </c>
      <c r="R13" s="227">
        <v>1128.085</v>
      </c>
      <c r="S13" s="227">
        <v>114.693</v>
      </c>
      <c r="T13" s="227">
        <v>572.05999999999995</v>
      </c>
      <c r="U13" s="227">
        <v>103.143</v>
      </c>
      <c r="V13" s="227">
        <v>0</v>
      </c>
      <c r="W13" s="227">
        <v>2213.002</v>
      </c>
      <c r="X13" s="227">
        <v>0</v>
      </c>
      <c r="Y13" s="227">
        <v>14.067</v>
      </c>
      <c r="Z13" s="227">
        <v>4528.1959999999999</v>
      </c>
      <c r="AA13" s="228">
        <v>4803.3419999999996</v>
      </c>
    </row>
    <row r="14" spans="1:27" x14ac:dyDescent="0.3">
      <c r="A14" s="219" t="s">
        <v>715</v>
      </c>
      <c r="B14" s="219">
        <v>3.6930000000000001</v>
      </c>
      <c r="C14" s="219">
        <v>41.625</v>
      </c>
      <c r="D14" s="219">
        <v>5.8860000000000001</v>
      </c>
      <c r="E14" s="219">
        <v>21.152999999999999</v>
      </c>
      <c r="N14" s="219">
        <v>72.356999999999999</v>
      </c>
      <c r="O14" s="219">
        <v>0</v>
      </c>
      <c r="P14" s="219">
        <v>-6.5250000000000004</v>
      </c>
      <c r="Q14" s="219">
        <v>-0.69099999999999995</v>
      </c>
      <c r="R14" s="219">
        <v>-91.918999999999997</v>
      </c>
      <c r="S14" s="219">
        <v>16.157</v>
      </c>
      <c r="T14" s="219">
        <v>-41.722999999999999</v>
      </c>
      <c r="U14" s="219">
        <v>15.888999999999999</v>
      </c>
      <c r="V14" s="219">
        <v>-1.0960000000000001</v>
      </c>
      <c r="W14" s="219">
        <v>-0.28999999999999998</v>
      </c>
      <c r="X14" s="219">
        <v>0</v>
      </c>
      <c r="Z14" s="219">
        <v>-110.196</v>
      </c>
      <c r="AA14" s="219">
        <v>-37.838000000000001</v>
      </c>
    </row>
    <row r="15" spans="1:27" x14ac:dyDescent="0.3">
      <c r="A15" s="219" t="s">
        <v>716</v>
      </c>
      <c r="B15" s="219">
        <v>509.3</v>
      </c>
      <c r="C15" s="219">
        <v>3830.2660000000001</v>
      </c>
      <c r="D15" s="219">
        <v>66.373000000000005</v>
      </c>
      <c r="E15" s="219">
        <v>2171.5160000000001</v>
      </c>
      <c r="F15" s="219">
        <v>124.81699999999999</v>
      </c>
      <c r="G15" s="219">
        <v>84.989000000000004</v>
      </c>
      <c r="H15" s="219">
        <v>112.883</v>
      </c>
      <c r="I15" s="219">
        <v>40.314999999999998</v>
      </c>
      <c r="J15" s="219">
        <v>60.216000000000001</v>
      </c>
      <c r="K15" s="219">
        <v>113.249</v>
      </c>
      <c r="L15" s="219">
        <v>247.91900000000001</v>
      </c>
      <c r="M15" s="219">
        <v>2.7989999999999999</v>
      </c>
      <c r="N15" s="219">
        <v>7364.6419999999998</v>
      </c>
      <c r="O15" s="219">
        <v>32.332999999999998</v>
      </c>
      <c r="P15" s="219">
        <v>110.66</v>
      </c>
      <c r="Q15" s="219">
        <v>232.93700000000001</v>
      </c>
      <c r="R15" s="219">
        <v>1036.1659999999999</v>
      </c>
      <c r="S15" s="219">
        <v>130.85</v>
      </c>
      <c r="T15" s="219">
        <v>530.33699999999999</v>
      </c>
      <c r="U15" s="219">
        <v>119.032</v>
      </c>
      <c r="V15" s="219">
        <v>-1.0960000000000001</v>
      </c>
      <c r="W15" s="219">
        <v>2212.712</v>
      </c>
      <c r="X15" s="219">
        <v>0</v>
      </c>
      <c r="Y15" s="219">
        <v>14.067</v>
      </c>
      <c r="Z15" s="219">
        <v>4417.9979999999996</v>
      </c>
      <c r="AA15" s="219">
        <v>11782.641</v>
      </c>
    </row>
    <row r="16" spans="1:27" x14ac:dyDescent="0.3">
      <c r="A16" s="226" t="s">
        <v>717</v>
      </c>
      <c r="B16" s="227">
        <v>-0.13500000000000001</v>
      </c>
      <c r="C16" s="227">
        <v>-2465.319</v>
      </c>
      <c r="D16" s="227">
        <v>0</v>
      </c>
      <c r="E16" s="227"/>
      <c r="F16" s="227"/>
      <c r="G16" s="227"/>
      <c r="H16" s="227"/>
      <c r="I16" s="227"/>
      <c r="J16" s="227"/>
      <c r="K16" s="227"/>
      <c r="L16" s="227"/>
      <c r="M16" s="227"/>
      <c r="N16" s="227">
        <v>-2465.4540000000002</v>
      </c>
      <c r="O16" s="227">
        <v>-6.0000000000000001E-3</v>
      </c>
      <c r="P16" s="227">
        <v>-9.1999999999999998E-2</v>
      </c>
      <c r="Q16" s="227">
        <v>-1.3959999999999999</v>
      </c>
      <c r="R16" s="227">
        <v>-64.677999999999997</v>
      </c>
      <c r="S16" s="227">
        <v>0</v>
      </c>
      <c r="T16" s="227">
        <v>-27.128</v>
      </c>
      <c r="U16" s="227">
        <v>-168.52099999999999</v>
      </c>
      <c r="V16" s="227">
        <v>0</v>
      </c>
      <c r="W16" s="227">
        <v>-1.403</v>
      </c>
      <c r="X16" s="227">
        <v>0</v>
      </c>
      <c r="Y16" s="227">
        <v>-18.762</v>
      </c>
      <c r="Z16" s="227">
        <v>-281.98599999999999</v>
      </c>
      <c r="AA16" s="228">
        <v>-2747.44</v>
      </c>
    </row>
    <row r="17" spans="1:27" x14ac:dyDescent="0.3">
      <c r="A17" s="219" t="s">
        <v>718</v>
      </c>
      <c r="C17" s="219">
        <v>-0.878</v>
      </c>
      <c r="E17" s="219">
        <v>-222.02500000000001</v>
      </c>
      <c r="K17" s="219">
        <v>-1.246</v>
      </c>
      <c r="N17" s="219">
        <v>-224.149</v>
      </c>
      <c r="X17" s="219">
        <v>0</v>
      </c>
      <c r="Y17" s="219">
        <v>0</v>
      </c>
      <c r="Z17" s="219">
        <v>0</v>
      </c>
      <c r="AA17" s="219">
        <v>-224.148</v>
      </c>
    </row>
    <row r="18" spans="1:27" x14ac:dyDescent="0.3">
      <c r="A18" s="219" t="s">
        <v>719</v>
      </c>
      <c r="C18" s="219">
        <v>0</v>
      </c>
      <c r="N18" s="219">
        <v>0</v>
      </c>
      <c r="Q18" s="219">
        <v>0</v>
      </c>
      <c r="R18" s="219">
        <v>0</v>
      </c>
      <c r="S18" s="219">
        <v>0</v>
      </c>
      <c r="T18" s="219">
        <v>0</v>
      </c>
      <c r="U18" s="219">
        <v>0</v>
      </c>
      <c r="V18" s="219">
        <v>0</v>
      </c>
      <c r="X18" s="219">
        <v>0</v>
      </c>
      <c r="Y18" s="219">
        <v>0</v>
      </c>
      <c r="Z18" s="219">
        <v>0</v>
      </c>
      <c r="AA18" s="219">
        <v>0</v>
      </c>
    </row>
    <row r="19" spans="1:27" x14ac:dyDescent="0.3">
      <c r="A19" s="219" t="s">
        <v>720</v>
      </c>
      <c r="B19" s="219">
        <v>509.16500000000002</v>
      </c>
      <c r="C19" s="219">
        <v>1364.069</v>
      </c>
      <c r="D19" s="219">
        <v>66.373000000000005</v>
      </c>
      <c r="E19" s="219">
        <v>1949.491</v>
      </c>
      <c r="F19" s="219">
        <v>124.81699999999999</v>
      </c>
      <c r="G19" s="219">
        <v>84.989000000000004</v>
      </c>
      <c r="H19" s="219">
        <v>112.883</v>
      </c>
      <c r="I19" s="219">
        <v>40.314999999999998</v>
      </c>
      <c r="J19" s="219">
        <v>60.216000000000001</v>
      </c>
      <c r="K19" s="219">
        <v>112.003</v>
      </c>
      <c r="L19" s="219">
        <v>247.91900000000001</v>
      </c>
      <c r="M19" s="219">
        <v>2.7989999999999999</v>
      </c>
      <c r="N19" s="219">
        <v>4675.0389999999998</v>
      </c>
      <c r="O19" s="219">
        <v>32.326999999999998</v>
      </c>
      <c r="P19" s="219">
        <v>110.568</v>
      </c>
      <c r="Q19" s="219">
        <v>231.541</v>
      </c>
      <c r="R19" s="219">
        <v>971.48800000000006</v>
      </c>
      <c r="S19" s="219">
        <v>130.85</v>
      </c>
      <c r="T19" s="219">
        <v>503.209</v>
      </c>
      <c r="U19" s="219">
        <v>-49.488999999999997</v>
      </c>
      <c r="V19" s="219">
        <v>-1.0960000000000001</v>
      </c>
      <c r="W19" s="219">
        <v>2211.3090000000002</v>
      </c>
      <c r="X19" s="219">
        <v>0</v>
      </c>
      <c r="Y19" s="219">
        <v>-4.6950000000000003</v>
      </c>
      <c r="Z19" s="219">
        <v>4136.0119999999997</v>
      </c>
      <c r="AA19" s="219">
        <v>8811.0529999999999</v>
      </c>
    </row>
    <row r="20" spans="1:27" x14ac:dyDescent="0.3">
      <c r="A20" s="219" t="s">
        <v>721</v>
      </c>
      <c r="B20" s="219">
        <v>-387.47699999999998</v>
      </c>
      <c r="C20" s="219">
        <v>-1287.501</v>
      </c>
      <c r="D20" s="219">
        <v>-66.372</v>
      </c>
      <c r="E20" s="219">
        <v>-1311.252</v>
      </c>
      <c r="F20" s="219">
        <v>-124.81699999999999</v>
      </c>
      <c r="G20" s="219">
        <v>-84.989000000000004</v>
      </c>
      <c r="H20" s="219">
        <v>-112.883</v>
      </c>
      <c r="I20" s="219">
        <v>-26.519017999999999</v>
      </c>
      <c r="J20" s="219">
        <v>-60.216000000000001</v>
      </c>
      <c r="K20" s="219">
        <v>-75.569000000000003</v>
      </c>
      <c r="L20" s="219">
        <v>0</v>
      </c>
      <c r="M20" s="219">
        <v>-2.7991359999999998</v>
      </c>
      <c r="N20" s="219">
        <v>-3540.3941540000001</v>
      </c>
      <c r="O20" s="219">
        <v>26.282</v>
      </c>
      <c r="P20" s="219">
        <v>6.1989999999999998</v>
      </c>
      <c r="Q20" s="219">
        <v>162.21700000000001</v>
      </c>
      <c r="R20" s="219">
        <v>475.97399999999999</v>
      </c>
      <c r="S20" s="219">
        <v>60.902999999999999</v>
      </c>
      <c r="T20" s="219">
        <v>169.40600000000001</v>
      </c>
      <c r="U20" s="219">
        <v>102.172</v>
      </c>
      <c r="V20" s="219">
        <v>118.697</v>
      </c>
      <c r="W20" s="219">
        <v>-758.51300000000003</v>
      </c>
      <c r="X20" s="219">
        <v>0</v>
      </c>
      <c r="Y20" s="219">
        <v>1240.4870000000001</v>
      </c>
      <c r="Z20" s="219">
        <v>1603.8240000000001</v>
      </c>
      <c r="AA20" s="219">
        <v>-1936.570154</v>
      </c>
    </row>
    <row r="21" spans="1:27" x14ac:dyDescent="0.3">
      <c r="A21" s="219" t="s">
        <v>722</v>
      </c>
      <c r="B21" s="219">
        <v>-37.048000000000002</v>
      </c>
      <c r="N21" s="219">
        <v>-37.048000000000002</v>
      </c>
      <c r="O21" s="219">
        <v>26.282</v>
      </c>
      <c r="X21" s="219">
        <v>1.5549999999999999</v>
      </c>
      <c r="Y21" s="219">
        <v>0</v>
      </c>
      <c r="Z21" s="219">
        <v>27.837</v>
      </c>
      <c r="AA21" s="219">
        <v>-9.2110000000000003</v>
      </c>
    </row>
    <row r="22" spans="1:27" x14ac:dyDescent="0.3">
      <c r="A22" s="219" t="s">
        <v>723</v>
      </c>
      <c r="C22" s="219">
        <v>-1287.501</v>
      </c>
      <c r="D22" s="219">
        <v>-33.369</v>
      </c>
      <c r="N22" s="219">
        <v>-1320.87</v>
      </c>
      <c r="P22" s="219">
        <v>40.529000000000003</v>
      </c>
      <c r="Q22" s="219">
        <v>10.509</v>
      </c>
      <c r="R22" s="219">
        <v>391.41399999999999</v>
      </c>
      <c r="S22" s="219">
        <v>60.902999999999999</v>
      </c>
      <c r="T22" s="219">
        <v>219.88900000000001</v>
      </c>
      <c r="U22" s="219">
        <v>354.17700000000002</v>
      </c>
      <c r="V22" s="219">
        <v>36.171999999999997</v>
      </c>
      <c r="W22" s="219">
        <v>92.063999999999993</v>
      </c>
      <c r="X22" s="219">
        <v>0</v>
      </c>
      <c r="Y22" s="219">
        <v>0</v>
      </c>
      <c r="Z22" s="219">
        <v>1205.6569999999999</v>
      </c>
      <c r="AA22" s="219">
        <v>-115.21299999999999</v>
      </c>
    </row>
    <row r="23" spans="1:27" x14ac:dyDescent="0.3">
      <c r="A23" s="219" t="s">
        <v>724</v>
      </c>
      <c r="D23" s="219">
        <v>-33.003</v>
      </c>
      <c r="E23" s="219">
        <v>-1311.252</v>
      </c>
      <c r="N23" s="219">
        <v>-1344.2550000000001</v>
      </c>
      <c r="Q23" s="219">
        <v>152.06800000000001</v>
      </c>
      <c r="R23" s="219">
        <v>84.56</v>
      </c>
      <c r="S23" s="219">
        <v>0</v>
      </c>
      <c r="T23" s="219">
        <v>0</v>
      </c>
      <c r="U23" s="219">
        <v>0</v>
      </c>
      <c r="V23" s="219">
        <v>82.525000000000006</v>
      </c>
      <c r="W23" s="219">
        <v>908.86900000000003</v>
      </c>
      <c r="X23" s="219">
        <v>0</v>
      </c>
      <c r="Y23" s="219">
        <v>0</v>
      </c>
      <c r="Z23" s="219">
        <v>1228.0219999999999</v>
      </c>
      <c r="AA23" s="219">
        <v>-116.233</v>
      </c>
    </row>
    <row r="24" spans="1:27" x14ac:dyDescent="0.3">
      <c r="A24" s="219" t="s">
        <v>725</v>
      </c>
      <c r="B24" s="219">
        <v>-284.19299999999998</v>
      </c>
      <c r="F24" s="219">
        <v>-124.81699999999999</v>
      </c>
      <c r="G24" s="219">
        <v>-79.45</v>
      </c>
      <c r="H24" s="219">
        <v>-110.70399999999999</v>
      </c>
      <c r="I24" s="219">
        <v>-3.5999999999999997E-2</v>
      </c>
      <c r="J24" s="219">
        <v>-0.26400000000000001</v>
      </c>
      <c r="N24" s="219">
        <v>-599.46299999999997</v>
      </c>
      <c r="T24" s="219">
        <v>-32.783999999999999</v>
      </c>
      <c r="U24" s="219">
        <v>-227.928</v>
      </c>
      <c r="W24" s="219">
        <v>-577.52700000000004</v>
      </c>
      <c r="X24" s="219">
        <v>0</v>
      </c>
      <c r="Y24" s="219">
        <v>542.41499999999996</v>
      </c>
      <c r="Z24" s="219">
        <v>-295.82400000000001</v>
      </c>
      <c r="AA24" s="219">
        <v>-895.28700000000003</v>
      </c>
    </row>
    <row r="25" spans="1:27" x14ac:dyDescent="0.3">
      <c r="A25" s="219" t="s">
        <v>726</v>
      </c>
      <c r="J25" s="219">
        <v>-8.4</v>
      </c>
      <c r="N25" s="219">
        <v>-8.4</v>
      </c>
      <c r="T25" s="219">
        <v>-8.9039999999999999</v>
      </c>
      <c r="W25" s="219">
        <v>-604.64300000000003</v>
      </c>
      <c r="X25" s="219">
        <v>0</v>
      </c>
      <c r="Y25" s="219">
        <v>339.96</v>
      </c>
      <c r="Z25" s="219">
        <v>-273.58699999999999</v>
      </c>
      <c r="AA25" s="219">
        <v>-281.98700000000002</v>
      </c>
    </row>
    <row r="26" spans="1:27" x14ac:dyDescent="0.3">
      <c r="A26" s="219" t="s">
        <v>727</v>
      </c>
      <c r="B26" s="219">
        <v>-66.236000000000004</v>
      </c>
      <c r="G26" s="219">
        <v>-2.69</v>
      </c>
      <c r="H26" s="219">
        <v>-2.1789999999999998</v>
      </c>
      <c r="I26" s="219">
        <v>-4.9400000000000004</v>
      </c>
      <c r="J26" s="219">
        <v>-43.42</v>
      </c>
      <c r="K26" s="219">
        <v>-67.774000000000001</v>
      </c>
      <c r="M26" s="219">
        <v>-2.0960000000000001</v>
      </c>
      <c r="N26" s="219">
        <v>-189.33500000000001</v>
      </c>
      <c r="P26" s="219">
        <v>-34.33</v>
      </c>
      <c r="Q26" s="219">
        <v>-0.36</v>
      </c>
      <c r="T26" s="219">
        <v>-7.6379999999999999</v>
      </c>
      <c r="U26" s="219">
        <v>-24.077000000000002</v>
      </c>
      <c r="W26" s="219">
        <v>-462.46300000000002</v>
      </c>
      <c r="X26" s="219">
        <v>-1.5549999999999999</v>
      </c>
      <c r="Y26" s="219">
        <v>278.92899999999997</v>
      </c>
      <c r="Z26" s="219">
        <v>-251.494</v>
      </c>
      <c r="AA26" s="219">
        <v>-440.82900000000001</v>
      </c>
    </row>
    <row r="27" spans="1:27" x14ac:dyDescent="0.3">
      <c r="A27" s="219" t="s">
        <v>728</v>
      </c>
      <c r="G27" s="219">
        <v>-2.8490000000000002</v>
      </c>
      <c r="I27" s="219">
        <v>-21.543018</v>
      </c>
      <c r="J27" s="219">
        <v>-8.1319999999999997</v>
      </c>
      <c r="K27" s="219">
        <v>-7.7949999999999999</v>
      </c>
      <c r="M27" s="219">
        <v>-0.70313599999999998</v>
      </c>
      <c r="N27" s="219">
        <v>-41.022154</v>
      </c>
      <c r="T27" s="219">
        <v>-1.157</v>
      </c>
      <c r="W27" s="219">
        <v>-114.813</v>
      </c>
      <c r="Y27" s="219">
        <v>79.183000000000007</v>
      </c>
      <c r="Z27" s="219">
        <v>-36.786999999999999</v>
      </c>
      <c r="AA27" s="219">
        <v>-77.809154000000007</v>
      </c>
    </row>
    <row r="28" spans="1:27" x14ac:dyDescent="0.3">
      <c r="A28" s="219" t="s">
        <v>729</v>
      </c>
      <c r="B28" s="219">
        <v>0</v>
      </c>
      <c r="C28" s="219">
        <v>0</v>
      </c>
      <c r="D28" s="219">
        <v>0</v>
      </c>
      <c r="E28" s="219">
        <v>-228.38200000000001</v>
      </c>
      <c r="N28" s="219">
        <v>-228.38200000000001</v>
      </c>
      <c r="O28" s="219">
        <v>-1.577</v>
      </c>
      <c r="Q28" s="219">
        <v>-2.3759999999999999</v>
      </c>
      <c r="R28" s="219">
        <v>-3.4129999999999998</v>
      </c>
      <c r="S28" s="219">
        <v>-6.0000000000000001E-3</v>
      </c>
      <c r="T28" s="219">
        <v>-42.847000000000001</v>
      </c>
      <c r="U28" s="219">
        <v>-30.701000000000001</v>
      </c>
      <c r="V28" s="219">
        <v>0</v>
      </c>
      <c r="W28" s="219">
        <v>-786.83900000000006</v>
      </c>
      <c r="X28" s="219">
        <v>0</v>
      </c>
      <c r="Y28" s="219">
        <v>-50.433999999999997</v>
      </c>
      <c r="Z28" s="219">
        <v>-918.19299999999998</v>
      </c>
      <c r="AA28" s="219">
        <v>-1146.575</v>
      </c>
    </row>
    <row r="29" spans="1:27" x14ac:dyDescent="0.3">
      <c r="A29" s="219" t="s">
        <v>730</v>
      </c>
      <c r="E29" s="219">
        <v>-94.74</v>
      </c>
      <c r="N29" s="219">
        <v>-94.74</v>
      </c>
      <c r="W29" s="219">
        <v>94.010999999999996</v>
      </c>
      <c r="X29" s="219">
        <v>0</v>
      </c>
      <c r="Y29" s="219">
        <v>0</v>
      </c>
      <c r="Z29" s="219">
        <v>94.010999999999996</v>
      </c>
      <c r="AA29" s="219">
        <v>-0.72899999999999998</v>
      </c>
    </row>
    <row r="30" spans="1:27" x14ac:dyDescent="0.3">
      <c r="A30" s="219" t="s">
        <v>731</v>
      </c>
      <c r="E30" s="219">
        <v>-315.11799999999999</v>
      </c>
      <c r="N30" s="219">
        <v>-315.11799999999999</v>
      </c>
      <c r="W30" s="219">
        <v>-196.71</v>
      </c>
      <c r="X30" s="219">
        <v>0</v>
      </c>
      <c r="Y30" s="219">
        <v>0</v>
      </c>
      <c r="Z30" s="219">
        <v>-196.71</v>
      </c>
      <c r="AA30" s="219">
        <v>-511.82799999999997</v>
      </c>
    </row>
    <row r="31" spans="1:27" x14ac:dyDescent="0.3">
      <c r="A31" s="219" t="s">
        <v>732</v>
      </c>
      <c r="B31" s="219">
        <v>1E-3</v>
      </c>
      <c r="C31" s="219">
        <v>-73.352000000000004</v>
      </c>
      <c r="D31" s="219">
        <v>-1E-3</v>
      </c>
      <c r="E31" s="219">
        <v>1E-3</v>
      </c>
      <c r="F31" s="219">
        <v>0</v>
      </c>
      <c r="G31" s="219">
        <v>0</v>
      </c>
      <c r="H31" s="219">
        <v>0</v>
      </c>
      <c r="I31" s="224">
        <v>1.8E-5</v>
      </c>
      <c r="J31" s="219">
        <v>0</v>
      </c>
      <c r="K31" s="219">
        <v>-1E-3</v>
      </c>
      <c r="L31" s="219">
        <v>0</v>
      </c>
      <c r="N31" s="219">
        <v>-73.352981999999997</v>
      </c>
      <c r="O31" s="219">
        <v>0</v>
      </c>
      <c r="P31" s="224">
        <v>-7.10543E-15</v>
      </c>
      <c r="Q31" s="219">
        <v>-1E-3</v>
      </c>
      <c r="R31" s="219">
        <v>-50.003</v>
      </c>
      <c r="S31" s="219">
        <v>-16.791</v>
      </c>
      <c r="T31" s="219">
        <v>-1E-3</v>
      </c>
      <c r="U31" s="219">
        <v>-6.024</v>
      </c>
      <c r="V31" s="219">
        <v>-52.209000000000003</v>
      </c>
      <c r="W31" s="224">
        <v>-1.4210899999999999E-14</v>
      </c>
      <c r="X31" s="219">
        <v>0</v>
      </c>
      <c r="Y31" s="219">
        <v>32.981000000000002</v>
      </c>
      <c r="Z31" s="219">
        <v>-119.003</v>
      </c>
      <c r="AA31" s="219">
        <v>-192.35598200000001</v>
      </c>
    </row>
    <row r="32" spans="1:27" x14ac:dyDescent="0.3">
      <c r="A32" s="219" t="s">
        <v>733</v>
      </c>
      <c r="C32" s="219">
        <v>-3.2160000000000002</v>
      </c>
      <c r="N32" s="219">
        <v>-3.2160000000000002</v>
      </c>
      <c r="X32" s="219">
        <v>0</v>
      </c>
      <c r="Y32" s="219">
        <v>-195.16499999999999</v>
      </c>
      <c r="Z32" s="219">
        <v>-195.16499999999999</v>
      </c>
      <c r="AA32" s="219">
        <v>-198.381</v>
      </c>
    </row>
    <row r="33" spans="1:27" x14ac:dyDescent="0.3">
      <c r="A33" s="219" t="s">
        <v>734</v>
      </c>
      <c r="B33" s="219">
        <v>121.68899999999999</v>
      </c>
      <c r="C33" s="219">
        <v>0</v>
      </c>
      <c r="I33" s="219">
        <v>13.795999999999999</v>
      </c>
      <c r="K33" s="219">
        <v>36.433</v>
      </c>
      <c r="L33" s="219">
        <v>247.91900000000001</v>
      </c>
      <c r="N33" s="219">
        <v>419.83800000000002</v>
      </c>
      <c r="O33" s="219">
        <v>57.031999999999996</v>
      </c>
      <c r="P33" s="219">
        <v>116.767</v>
      </c>
      <c r="Q33" s="219">
        <v>391.38099999999997</v>
      </c>
      <c r="R33" s="219">
        <v>1394.046</v>
      </c>
      <c r="S33" s="219">
        <v>174.95599999999999</v>
      </c>
      <c r="T33" s="219">
        <v>629.76700000000005</v>
      </c>
      <c r="U33" s="219">
        <v>15.958</v>
      </c>
      <c r="V33" s="219">
        <v>65.391999999999996</v>
      </c>
      <c r="W33" s="219">
        <v>563.25800000000004</v>
      </c>
      <c r="X33" s="219">
        <v>0</v>
      </c>
      <c r="Y33" s="219">
        <v>1023.174</v>
      </c>
      <c r="Z33" s="219">
        <v>4431.7309999999998</v>
      </c>
      <c r="AA33" s="219">
        <v>4851.5690000000004</v>
      </c>
    </row>
    <row r="34" spans="1:27" x14ac:dyDescent="0.3">
      <c r="A34" s="219" t="s">
        <v>735</v>
      </c>
      <c r="K34" s="219">
        <v>7.6999999999999999E-2</v>
      </c>
      <c r="N34" s="219">
        <v>7.6999999999999999E-2</v>
      </c>
      <c r="P34" s="219">
        <v>0</v>
      </c>
      <c r="Q34" s="219">
        <v>4.5419999999999998</v>
      </c>
      <c r="R34" s="219">
        <v>6.6740000000000004</v>
      </c>
      <c r="S34" s="219">
        <v>0</v>
      </c>
      <c r="U34" s="219">
        <v>0</v>
      </c>
      <c r="V34" s="219">
        <v>65.391999999999996</v>
      </c>
      <c r="W34" s="219">
        <v>13.91</v>
      </c>
      <c r="X34" s="219">
        <v>0</v>
      </c>
      <c r="Z34" s="219">
        <v>90.518000000000001</v>
      </c>
      <c r="AA34" s="219">
        <v>90.594999999999999</v>
      </c>
    </row>
    <row r="35" spans="1:27" x14ac:dyDescent="0.3">
      <c r="A35" s="219" t="s">
        <v>736</v>
      </c>
      <c r="Q35" s="219">
        <v>0</v>
      </c>
      <c r="R35" s="219">
        <v>6.6740000000000004</v>
      </c>
      <c r="S35" s="219">
        <v>0</v>
      </c>
      <c r="V35" s="219">
        <v>27.350999999999999</v>
      </c>
      <c r="W35" s="219">
        <v>13.91</v>
      </c>
      <c r="X35" s="219">
        <v>0</v>
      </c>
      <c r="Z35" s="219">
        <v>47.935000000000002</v>
      </c>
      <c r="AA35" s="219">
        <v>47.935000000000002</v>
      </c>
    </row>
    <row r="36" spans="1:27" x14ac:dyDescent="0.3">
      <c r="A36" s="219" t="s">
        <v>737</v>
      </c>
      <c r="K36" s="219">
        <v>7.6999999999999999E-2</v>
      </c>
      <c r="N36" s="219">
        <v>7.6999999999999999E-2</v>
      </c>
      <c r="P36" s="219">
        <v>0</v>
      </c>
      <c r="Q36" s="219">
        <v>4.5419999999999998</v>
      </c>
      <c r="R36" s="219">
        <v>0</v>
      </c>
      <c r="S36" s="219">
        <v>0</v>
      </c>
      <c r="U36" s="219">
        <v>0</v>
      </c>
      <c r="V36" s="219">
        <v>38.040999999999997</v>
      </c>
      <c r="W36" s="219">
        <v>0</v>
      </c>
      <c r="X36" s="219">
        <v>0</v>
      </c>
      <c r="Z36" s="219">
        <v>42.582999999999998</v>
      </c>
      <c r="AA36" s="219">
        <v>42.66</v>
      </c>
    </row>
    <row r="37" spans="1:27" x14ac:dyDescent="0.3">
      <c r="A37" s="219" t="s">
        <v>738</v>
      </c>
      <c r="B37" s="219">
        <v>121.68899999999999</v>
      </c>
      <c r="I37" s="219">
        <v>13.795999999999999</v>
      </c>
      <c r="K37" s="219">
        <v>36.356999999999999</v>
      </c>
      <c r="L37" s="219">
        <v>247.91900000000001</v>
      </c>
      <c r="N37" s="219">
        <v>419.76100000000002</v>
      </c>
      <c r="O37" s="219">
        <v>57.031999999999996</v>
      </c>
      <c r="P37" s="219">
        <v>116.767</v>
      </c>
      <c r="Q37" s="219">
        <v>386.84</v>
      </c>
      <c r="R37" s="219">
        <v>1387.3720000000001</v>
      </c>
      <c r="S37" s="219">
        <v>174.95599999999999</v>
      </c>
      <c r="T37" s="219">
        <v>629.76700000000005</v>
      </c>
      <c r="U37" s="219">
        <v>15.958</v>
      </c>
      <c r="W37" s="219">
        <v>549.34799999999996</v>
      </c>
      <c r="X37" s="219">
        <v>0</v>
      </c>
      <c r="Y37" s="219">
        <v>1023.174</v>
      </c>
      <c r="Z37" s="219">
        <v>4341.2139999999999</v>
      </c>
      <c r="AA37" s="219">
        <v>4760.9750000000004</v>
      </c>
    </row>
    <row r="38" spans="1:27" x14ac:dyDescent="0.3">
      <c r="A38" s="219" t="s">
        <v>739</v>
      </c>
      <c r="I38" s="219">
        <v>13.058999999999999</v>
      </c>
      <c r="L38" s="219">
        <v>247.91900000000001</v>
      </c>
      <c r="N38" s="219">
        <v>260.97800000000001</v>
      </c>
      <c r="Q38" s="219">
        <v>292.93200000000002</v>
      </c>
      <c r="S38" s="219">
        <v>0</v>
      </c>
      <c r="T38" s="219">
        <v>0</v>
      </c>
      <c r="U38" s="219">
        <v>0</v>
      </c>
      <c r="W38" s="219">
        <v>40.902000000000001</v>
      </c>
      <c r="X38" s="219">
        <v>0</v>
      </c>
      <c r="Y38" s="219">
        <v>357.774</v>
      </c>
      <c r="Z38" s="219">
        <v>691.60900000000004</v>
      </c>
      <c r="AA38" s="219">
        <v>952.58699999999999</v>
      </c>
    </row>
    <row r="39" spans="1:27" x14ac:dyDescent="0.3">
      <c r="A39" s="219" t="s">
        <v>740</v>
      </c>
      <c r="Q39" s="219">
        <v>61.085000000000001</v>
      </c>
      <c r="R39" s="219">
        <v>1386.08</v>
      </c>
      <c r="S39" s="219">
        <v>174.95599999999999</v>
      </c>
      <c r="T39" s="219">
        <v>428.11599999999999</v>
      </c>
      <c r="U39" s="219">
        <v>2.3820000000000001</v>
      </c>
      <c r="W39" s="219">
        <v>2.0859999999999999</v>
      </c>
      <c r="X39" s="219">
        <v>0</v>
      </c>
      <c r="Y39" s="219">
        <v>3.9809999999999999</v>
      </c>
      <c r="Z39" s="219">
        <v>2058.6860000000001</v>
      </c>
      <c r="AA39" s="219">
        <v>2058.6860000000001</v>
      </c>
    </row>
    <row r="40" spans="1:27" x14ac:dyDescent="0.3">
      <c r="A40" s="219" t="s">
        <v>741</v>
      </c>
      <c r="Q40" s="219">
        <v>3.5289999999999999</v>
      </c>
      <c r="R40" s="219">
        <v>0</v>
      </c>
      <c r="S40" s="219">
        <v>0</v>
      </c>
      <c r="T40" s="219">
        <v>141.09899999999999</v>
      </c>
      <c r="U40" s="219">
        <v>0</v>
      </c>
      <c r="X40" s="219">
        <v>0</v>
      </c>
      <c r="Y40" s="219">
        <v>47.267000000000003</v>
      </c>
      <c r="Z40" s="219">
        <v>191.89500000000001</v>
      </c>
      <c r="AA40" s="219">
        <v>191.89500000000001</v>
      </c>
    </row>
    <row r="41" spans="1:27" x14ac:dyDescent="0.3">
      <c r="A41" s="219" t="s">
        <v>742</v>
      </c>
      <c r="B41" s="219">
        <v>121.68899999999999</v>
      </c>
      <c r="I41" s="219">
        <v>0.73699999999999999</v>
      </c>
      <c r="K41" s="219">
        <v>36.356999999999999</v>
      </c>
      <c r="N41" s="219">
        <v>158.78299999999999</v>
      </c>
      <c r="O41" s="219">
        <v>57.031999999999996</v>
      </c>
      <c r="P41" s="219">
        <v>116.767</v>
      </c>
      <c r="Q41" s="219">
        <v>29.292999999999999</v>
      </c>
      <c r="R41" s="219">
        <v>1.292</v>
      </c>
      <c r="S41" s="219">
        <v>0</v>
      </c>
      <c r="T41" s="219">
        <v>60.552999999999997</v>
      </c>
      <c r="U41" s="219">
        <v>13.577</v>
      </c>
      <c r="W41" s="219">
        <v>506.36</v>
      </c>
      <c r="X41" s="219">
        <v>0</v>
      </c>
      <c r="Y41" s="219">
        <v>614.15300000000002</v>
      </c>
      <c r="Z41" s="219">
        <v>1399.027</v>
      </c>
      <c r="AA41" s="219">
        <v>1557.81</v>
      </c>
    </row>
    <row r="42" spans="1:27" x14ac:dyDescent="0.3">
      <c r="A42" s="226" t="s">
        <v>743</v>
      </c>
      <c r="B42" s="227"/>
      <c r="C42" s="227"/>
      <c r="D42" s="227"/>
      <c r="E42" s="227"/>
      <c r="F42" s="227"/>
      <c r="G42" s="227"/>
      <c r="H42" s="227"/>
      <c r="I42" s="227"/>
      <c r="J42" s="227"/>
      <c r="K42" s="227"/>
      <c r="L42" s="227"/>
      <c r="M42" s="227"/>
      <c r="N42" s="227"/>
      <c r="O42" s="227">
        <v>26.282</v>
      </c>
      <c r="P42" s="227">
        <v>40.529000000000003</v>
      </c>
      <c r="Q42" s="227">
        <v>162.577</v>
      </c>
      <c r="R42" s="227">
        <v>475.97399999999999</v>
      </c>
      <c r="S42" s="227">
        <v>60.902999999999999</v>
      </c>
      <c r="T42" s="227">
        <v>219.88900000000001</v>
      </c>
      <c r="U42" s="227">
        <v>354.17700000000002</v>
      </c>
      <c r="V42" s="227">
        <v>118.697</v>
      </c>
      <c r="W42" s="227">
        <v>1000.933</v>
      </c>
      <c r="X42" s="227">
        <v>1.5549999999999999</v>
      </c>
      <c r="Y42" s="227">
        <v>1240.4870000000001</v>
      </c>
      <c r="Z42" s="227">
        <v>3702.0030000000002</v>
      </c>
      <c r="AA42" s="228">
        <v>3702.0030000000002</v>
      </c>
    </row>
    <row r="44" spans="1:27" x14ac:dyDescent="0.3">
      <c r="A44" s="219" t="s">
        <v>744</v>
      </c>
    </row>
    <row r="45" spans="1:27" x14ac:dyDescent="0.3">
      <c r="A45" s="219" t="s">
        <v>745</v>
      </c>
    </row>
    <row r="46" spans="1:27" x14ac:dyDescent="0.3">
      <c r="A46" s="219" t="s">
        <v>746</v>
      </c>
    </row>
    <row r="47" spans="1:27" x14ac:dyDescent="0.3">
      <c r="A47" s="219" t="s">
        <v>747</v>
      </c>
    </row>
    <row r="48" spans="1:27" x14ac:dyDescent="0.3">
      <c r="A48" s="219" t="s">
        <v>748</v>
      </c>
    </row>
    <row r="49" spans="1:1" x14ac:dyDescent="0.3">
      <c r="A49" s="219" t="s">
        <v>661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L46"/>
  <sheetViews>
    <sheetView topLeftCell="A3" zoomScale="102" workbookViewId="0">
      <selection activeCell="D4" sqref="D4"/>
    </sheetView>
  </sheetViews>
  <sheetFormatPr defaultColWidth="8.88671875" defaultRowHeight="14.4" x14ac:dyDescent="0.3"/>
  <cols>
    <col min="1" max="1" width="44.44140625" customWidth="1"/>
    <col min="2" max="4" width="13.44140625" style="18" customWidth="1"/>
    <col min="5" max="5" width="16.33203125" style="18" customWidth="1"/>
    <col min="6" max="6" width="22.44140625" style="3" customWidth="1"/>
    <col min="8" max="8" width="14.109375" customWidth="1"/>
    <col min="9" max="9" width="8.88671875" customWidth="1"/>
    <col min="10" max="10" width="20.33203125" customWidth="1"/>
    <col min="11" max="11" width="14.44140625" customWidth="1"/>
  </cols>
  <sheetData>
    <row r="1" spans="1:7" x14ac:dyDescent="0.3">
      <c r="A1" s="32" t="s">
        <v>454</v>
      </c>
      <c r="B1" s="33" t="s">
        <v>170</v>
      </c>
      <c r="C1" s="33" t="s">
        <v>86</v>
      </c>
      <c r="D1" s="33" t="s">
        <v>91</v>
      </c>
      <c r="E1" s="34" t="s">
        <v>749</v>
      </c>
      <c r="F1" s="35" t="s">
        <v>165</v>
      </c>
      <c r="G1" s="20" t="s">
        <v>750</v>
      </c>
    </row>
    <row r="2" spans="1:7" x14ac:dyDescent="0.3">
      <c r="A2" s="31" t="s">
        <v>751</v>
      </c>
      <c r="B2" s="29"/>
      <c r="C2" s="29"/>
      <c r="D2" s="29"/>
      <c r="E2" s="29"/>
      <c r="F2" s="30"/>
    </row>
    <row r="3" spans="1:7" x14ac:dyDescent="0.3">
      <c r="A3" t="s">
        <v>752</v>
      </c>
      <c r="B3" s="21">
        <f>OrigenDestino_2019!B11+OrigenDestino_2019!O42+OrigenDestino_2019!P42</f>
        <v>297.27199999999999</v>
      </c>
      <c r="C3" s="21">
        <f>OrigenDestino_2019!B13+OrigenDestino_2019!O13+OrigenDestino_2019!P13</f>
        <v>424.66400000000004</v>
      </c>
      <c r="D3" s="21">
        <f>-(OrigenDestino_2019!B16+OrigenDestino_2019!O16+OrigenDestino_2019!P16)</f>
        <v>0.23300000000000001</v>
      </c>
      <c r="E3" s="23">
        <f>B3+C3-D3</f>
        <v>721.70300000000009</v>
      </c>
      <c r="F3" t="s">
        <v>753</v>
      </c>
    </row>
    <row r="4" spans="1:7" x14ac:dyDescent="0.3">
      <c r="A4" t="s">
        <v>754</v>
      </c>
      <c r="B4" s="22">
        <f>OrigenDestino_2019!E11</f>
        <v>1466.0360000000001</v>
      </c>
      <c r="C4" s="22">
        <f>OrigenDestino_2019!E13</f>
        <v>0</v>
      </c>
      <c r="D4" s="22">
        <f>-(OrigenDestino_2019!E16)</f>
        <v>0</v>
      </c>
      <c r="E4" s="23">
        <f t="shared" ref="E4:E5" si="0">B4+C4-D4</f>
        <v>1466.0360000000001</v>
      </c>
      <c r="F4" s="3" t="s">
        <v>753</v>
      </c>
    </row>
    <row r="5" spans="1:7" x14ac:dyDescent="0.3">
      <c r="A5" t="s">
        <v>755</v>
      </c>
      <c r="B5" s="22">
        <f>OrigenDestino_2019!F11</f>
        <v>124.81699999999999</v>
      </c>
      <c r="C5" s="18">
        <f>OrigenDestino_2019!F13</f>
        <v>0</v>
      </c>
      <c r="D5" s="18">
        <f>-OrigenDestino_2019!F16</f>
        <v>0</v>
      </c>
      <c r="E5" s="18">
        <f t="shared" si="0"/>
        <v>124.81699999999999</v>
      </c>
      <c r="F5" s="3" t="s">
        <v>171</v>
      </c>
    </row>
    <row r="6" spans="1:7" x14ac:dyDescent="0.3">
      <c r="A6" s="7" t="s">
        <v>756</v>
      </c>
      <c r="B6" s="29"/>
      <c r="C6" s="29"/>
      <c r="D6" s="29"/>
      <c r="E6" s="29"/>
      <c r="F6" s="30"/>
    </row>
    <row r="7" spans="1:7" x14ac:dyDescent="0.3">
      <c r="A7" s="7" t="s">
        <v>757</v>
      </c>
      <c r="B7" s="29"/>
      <c r="C7" s="29"/>
      <c r="D7" s="29"/>
      <c r="E7" s="29"/>
      <c r="F7" s="30"/>
    </row>
    <row r="8" spans="1:7" x14ac:dyDescent="0.3">
      <c r="A8" s="7" t="s">
        <v>758</v>
      </c>
      <c r="B8" s="29"/>
      <c r="C8" s="29"/>
      <c r="D8" s="29"/>
      <c r="E8" s="29"/>
      <c r="F8" s="30"/>
    </row>
    <row r="9" spans="1:7" x14ac:dyDescent="0.3">
      <c r="A9" t="s">
        <v>759</v>
      </c>
      <c r="B9" s="18">
        <f>OrigenDestino_2019!K11+OrigenDestino_2019!L11</f>
        <v>361.16800000000001</v>
      </c>
      <c r="C9" s="23">
        <f>OrigenDestino_2019!K13+OrigenDestino_2019!L13</f>
        <v>0</v>
      </c>
      <c r="D9" s="18">
        <f>-(OrigenDestino_2019!K16+OrigenDestino_2019!L16)</f>
        <v>0</v>
      </c>
      <c r="E9" s="23">
        <f t="shared" ref="E9:E14" si="1">B9+C9-D9</f>
        <v>361.16800000000001</v>
      </c>
      <c r="F9" s="3" t="s">
        <v>753</v>
      </c>
    </row>
    <row r="10" spans="1:7" x14ac:dyDescent="0.3">
      <c r="A10" t="s">
        <v>760</v>
      </c>
      <c r="B10" s="18">
        <f>OrigenDestino_2019!R42</f>
        <v>475.97399999999999</v>
      </c>
      <c r="C10" s="18">
        <f>OrigenDestino_2019!R13</f>
        <v>1128.085</v>
      </c>
      <c r="D10" s="18">
        <f>-OrigenDestino_2019!R16</f>
        <v>64.677999999999997</v>
      </c>
      <c r="E10" s="18">
        <f t="shared" si="1"/>
        <v>1539.3809999999999</v>
      </c>
      <c r="F10" s="3" t="s">
        <v>753</v>
      </c>
    </row>
    <row r="11" spans="1:7" x14ac:dyDescent="0.3">
      <c r="A11" t="s">
        <v>761</v>
      </c>
      <c r="B11" s="18">
        <f>OrigenDestino_2019!T42</f>
        <v>219.88900000000001</v>
      </c>
      <c r="C11" s="18">
        <f>OrigenDestino_2019!T13</f>
        <v>572.05999999999995</v>
      </c>
      <c r="D11" s="18">
        <f>-OrigenDestino_2019!T16</f>
        <v>27.128</v>
      </c>
      <c r="E11" s="18">
        <f t="shared" si="1"/>
        <v>764.82099999999991</v>
      </c>
      <c r="F11" s="3" t="s">
        <v>753</v>
      </c>
    </row>
    <row r="12" spans="1:7" x14ac:dyDescent="0.3">
      <c r="A12" t="s">
        <v>762</v>
      </c>
      <c r="B12" s="18">
        <v>0</v>
      </c>
      <c r="C12" s="18">
        <v>0</v>
      </c>
      <c r="D12" s="18">
        <v>0</v>
      </c>
      <c r="E12" s="18">
        <f t="shared" si="1"/>
        <v>0</v>
      </c>
      <c r="F12" s="3" t="s">
        <v>753</v>
      </c>
    </row>
    <row r="13" spans="1:7" x14ac:dyDescent="0.3">
      <c r="A13" t="s">
        <v>763</v>
      </c>
      <c r="B13" s="18">
        <v>0</v>
      </c>
      <c r="C13" s="18">
        <v>0</v>
      </c>
      <c r="D13" s="18">
        <v>0</v>
      </c>
      <c r="E13" s="18">
        <f t="shared" si="1"/>
        <v>0</v>
      </c>
      <c r="F13" s="3" t="s">
        <v>753</v>
      </c>
    </row>
    <row r="14" spans="1:7" x14ac:dyDescent="0.3">
      <c r="A14" t="s">
        <v>764</v>
      </c>
      <c r="B14" s="18">
        <f>OrigenDestino_2019!S42</f>
        <v>60.902999999999999</v>
      </c>
      <c r="C14" s="18">
        <f>OrigenDestino_2019!S13</f>
        <v>114.693</v>
      </c>
      <c r="D14" s="18">
        <f>OrigenDestino_2019!S16</f>
        <v>0</v>
      </c>
      <c r="E14" s="18">
        <f t="shared" si="1"/>
        <v>175.596</v>
      </c>
      <c r="F14" s="3" t="s">
        <v>753</v>
      </c>
    </row>
    <row r="15" spans="1:7" x14ac:dyDescent="0.3">
      <c r="A15" s="7" t="s">
        <v>765</v>
      </c>
      <c r="B15" s="29"/>
      <c r="C15" s="29"/>
      <c r="D15" s="29"/>
      <c r="E15" s="29"/>
      <c r="F15" s="30"/>
    </row>
    <row r="16" spans="1:7" x14ac:dyDescent="0.3">
      <c r="A16" s="7" t="s">
        <v>766</v>
      </c>
      <c r="B16" s="29"/>
      <c r="C16" s="29"/>
      <c r="D16" s="29"/>
      <c r="E16" s="29"/>
      <c r="F16" s="30"/>
    </row>
    <row r="17" spans="1:12" x14ac:dyDescent="0.3">
      <c r="A17" t="s">
        <v>767</v>
      </c>
      <c r="B17" s="23">
        <v>0</v>
      </c>
      <c r="C17" s="18">
        <v>0</v>
      </c>
      <c r="D17" s="18">
        <v>0</v>
      </c>
      <c r="E17" s="23">
        <f t="shared" ref="E17:E22" si="2">B17+C17-D17</f>
        <v>0</v>
      </c>
      <c r="F17" s="3" t="s">
        <v>753</v>
      </c>
    </row>
    <row r="18" spans="1:12" x14ac:dyDescent="0.3">
      <c r="A18" t="s">
        <v>768</v>
      </c>
      <c r="B18" s="18">
        <f>OrigenDestino_2019!C11</f>
        <v>3788.6410000000001</v>
      </c>
      <c r="C18" s="18">
        <f>OrigenDestino_2019!C13</f>
        <v>0</v>
      </c>
      <c r="D18" s="18">
        <f>-OrigenDestino_2019!C16</f>
        <v>2465.319</v>
      </c>
      <c r="E18" s="18">
        <f t="shared" si="2"/>
        <v>1323.3220000000001</v>
      </c>
      <c r="F18" s="3" t="s">
        <v>753</v>
      </c>
    </row>
    <row r="19" spans="1:12" x14ac:dyDescent="0.3">
      <c r="A19" t="s">
        <v>769</v>
      </c>
      <c r="B19" s="18">
        <f>OrigenDestino_2019!$U$42</f>
        <v>354.17700000000002</v>
      </c>
      <c r="C19" s="18">
        <f>OrigenDestino_2019!U13</f>
        <v>103.143</v>
      </c>
      <c r="D19" s="18">
        <f>-OrigenDestino_2019!U16</f>
        <v>168.52099999999999</v>
      </c>
      <c r="E19" s="18">
        <f t="shared" si="2"/>
        <v>288.79900000000009</v>
      </c>
      <c r="F19" s="3" t="s">
        <v>753</v>
      </c>
    </row>
    <row r="20" spans="1:12" x14ac:dyDescent="0.3">
      <c r="A20" t="s">
        <v>770</v>
      </c>
      <c r="B20" s="18">
        <f>OrigenDestino_2019!Q42</f>
        <v>162.577</v>
      </c>
      <c r="C20" s="18">
        <f>OrigenDestino_2019!Q13</f>
        <v>233.62799999999999</v>
      </c>
      <c r="D20" s="18">
        <f>-OrigenDestino_2019!Q16</f>
        <v>1.3959999999999999</v>
      </c>
      <c r="E20" s="18">
        <f t="shared" si="2"/>
        <v>394.80899999999997</v>
      </c>
      <c r="F20" s="3" t="s">
        <v>753</v>
      </c>
    </row>
    <row r="21" spans="1:12" x14ac:dyDescent="0.3">
      <c r="A21" t="s">
        <v>771</v>
      </c>
      <c r="B21" s="18">
        <v>0</v>
      </c>
      <c r="C21" s="18">
        <v>0</v>
      </c>
      <c r="D21" s="18">
        <v>0</v>
      </c>
      <c r="E21" s="18">
        <f t="shared" si="2"/>
        <v>0</v>
      </c>
      <c r="F21" s="3" t="s">
        <v>753</v>
      </c>
      <c r="I21" s="194"/>
    </row>
    <row r="22" spans="1:12" x14ac:dyDescent="0.3">
      <c r="A22" t="s">
        <v>772</v>
      </c>
      <c r="B22" s="18">
        <v>0</v>
      </c>
      <c r="C22" s="18">
        <v>0</v>
      </c>
      <c r="D22" s="18">
        <v>0</v>
      </c>
      <c r="E22" s="18">
        <f t="shared" si="2"/>
        <v>0</v>
      </c>
      <c r="F22" s="3" t="s">
        <v>753</v>
      </c>
    </row>
    <row r="24" spans="1:12" x14ac:dyDescent="0.3">
      <c r="A24" s="188" t="s">
        <v>773</v>
      </c>
      <c r="B24" s="189"/>
      <c r="C24" s="189"/>
      <c r="D24" s="189"/>
      <c r="E24" s="189"/>
      <c r="F24" s="190"/>
    </row>
    <row r="25" spans="1:12" x14ac:dyDescent="0.3">
      <c r="A25" s="32" t="s">
        <v>454</v>
      </c>
      <c r="B25" s="33" t="s">
        <v>170</v>
      </c>
      <c r="C25" s="33" t="s">
        <v>86</v>
      </c>
      <c r="D25" s="33" t="s">
        <v>91</v>
      </c>
      <c r="E25" s="34" t="s">
        <v>749</v>
      </c>
      <c r="F25" s="35" t="s">
        <v>165</v>
      </c>
      <c r="H25" s="195" t="s">
        <v>774</v>
      </c>
      <c r="I25" s="6"/>
      <c r="J25" s="6"/>
    </row>
    <row r="26" spans="1:12" x14ac:dyDescent="0.3">
      <c r="A26" s="31" t="s">
        <v>751</v>
      </c>
      <c r="B26" s="29"/>
      <c r="C26" s="29"/>
      <c r="D26" s="29"/>
      <c r="E26" s="29"/>
      <c r="F26" s="30"/>
      <c r="K26" t="s">
        <v>775</v>
      </c>
      <c r="L26" t="s">
        <v>776</v>
      </c>
    </row>
    <row r="27" spans="1:12" x14ac:dyDescent="0.3">
      <c r="A27" t="s">
        <v>752</v>
      </c>
      <c r="B27" s="191">
        <f>B3*$H27</f>
        <v>281759490896640</v>
      </c>
      <c r="C27" s="191">
        <f>C3*$H27</f>
        <v>402503809447680.06</v>
      </c>
      <c r="D27" s="191">
        <f t="shared" ref="D27:E27" si="3">D3*$H27</f>
        <v>220841388960</v>
      </c>
      <c r="E27" s="191">
        <f t="shared" si="3"/>
        <v>684042458955360.13</v>
      </c>
      <c r="F27" t="s">
        <v>631</v>
      </c>
      <c r="H27" s="79">
        <f>K27</f>
        <v>947817120000</v>
      </c>
      <c r="I27" t="s">
        <v>777</v>
      </c>
      <c r="J27" t="s">
        <v>753</v>
      </c>
      <c r="K27" s="70">
        <v>947817120000</v>
      </c>
      <c r="L27" t="s">
        <v>778</v>
      </c>
    </row>
    <row r="28" spans="1:12" x14ac:dyDescent="0.3">
      <c r="A28" t="s">
        <v>754</v>
      </c>
      <c r="B28" s="191">
        <f>B4*$H28</f>
        <v>1389534019336320</v>
      </c>
      <c r="C28" s="191">
        <f t="shared" ref="B28:E29" si="4">C4*$H28</f>
        <v>0</v>
      </c>
      <c r="D28" s="191">
        <f t="shared" si="4"/>
        <v>0</v>
      </c>
      <c r="E28" s="191">
        <f t="shared" si="4"/>
        <v>1389534019336320</v>
      </c>
      <c r="F28" t="s">
        <v>631</v>
      </c>
      <c r="H28" s="70">
        <f t="shared" ref="H28:H46" si="5">$H$27</f>
        <v>947817120000</v>
      </c>
      <c r="I28" t="str">
        <f t="shared" ref="I28:I46" si="6">I27</f>
        <v>BTU per</v>
      </c>
      <c r="J28" s="3" t="str">
        <f t="shared" ref="J28:J46" si="7">J27</f>
        <v>PJ</v>
      </c>
    </row>
    <row r="29" spans="1:12" x14ac:dyDescent="0.3">
      <c r="A29" t="s">
        <v>755</v>
      </c>
      <c r="B29" s="191">
        <f t="shared" si="4"/>
        <v>118303689467040</v>
      </c>
      <c r="C29" s="191">
        <f t="shared" si="4"/>
        <v>0</v>
      </c>
      <c r="D29" s="191">
        <f t="shared" si="4"/>
        <v>0</v>
      </c>
      <c r="E29" s="191">
        <f t="shared" si="4"/>
        <v>118303689467040</v>
      </c>
      <c r="F29" t="s">
        <v>631</v>
      </c>
      <c r="H29" s="70">
        <f t="shared" si="5"/>
        <v>947817120000</v>
      </c>
      <c r="I29" t="str">
        <f t="shared" si="6"/>
        <v>BTU per</v>
      </c>
      <c r="J29" s="3" t="str">
        <f t="shared" si="7"/>
        <v>PJ</v>
      </c>
    </row>
    <row r="30" spans="1:12" x14ac:dyDescent="0.3">
      <c r="A30" s="7" t="s">
        <v>756</v>
      </c>
      <c r="B30" s="192"/>
      <c r="C30" s="192"/>
      <c r="D30" s="192"/>
      <c r="E30" s="192"/>
      <c r="F30" s="30"/>
      <c r="H30" s="70">
        <f t="shared" si="5"/>
        <v>947817120000</v>
      </c>
      <c r="I30" t="str">
        <f t="shared" si="6"/>
        <v>BTU per</v>
      </c>
      <c r="J30" t="str">
        <f t="shared" si="7"/>
        <v>PJ</v>
      </c>
    </row>
    <row r="31" spans="1:12" x14ac:dyDescent="0.3">
      <c r="A31" s="7" t="s">
        <v>757</v>
      </c>
      <c r="B31" s="192"/>
      <c r="C31" s="192"/>
      <c r="D31" s="192"/>
      <c r="E31" s="192"/>
      <c r="F31" s="30"/>
      <c r="H31" s="70">
        <f t="shared" si="5"/>
        <v>947817120000</v>
      </c>
      <c r="I31" t="str">
        <f t="shared" si="6"/>
        <v>BTU per</v>
      </c>
      <c r="J31" t="str">
        <f t="shared" si="7"/>
        <v>PJ</v>
      </c>
    </row>
    <row r="32" spans="1:12" x14ac:dyDescent="0.3">
      <c r="A32" s="7" t="s">
        <v>758</v>
      </c>
      <c r="B32" s="192"/>
      <c r="C32" s="192"/>
      <c r="D32" s="192"/>
      <c r="E32" s="192"/>
      <c r="F32" s="30"/>
      <c r="H32" s="70">
        <f t="shared" si="5"/>
        <v>947817120000</v>
      </c>
      <c r="I32" t="str">
        <f t="shared" si="6"/>
        <v>BTU per</v>
      </c>
      <c r="J32" t="str">
        <f t="shared" si="7"/>
        <v>PJ</v>
      </c>
    </row>
    <row r="33" spans="1:10" x14ac:dyDescent="0.3">
      <c r="A33" t="s">
        <v>759</v>
      </c>
      <c r="B33" s="191">
        <f>B9*$H33</f>
        <v>342321213596160</v>
      </c>
      <c r="C33" s="191">
        <f t="shared" ref="C33:E33" si="8">C9*$H33</f>
        <v>0</v>
      </c>
      <c r="D33" s="191">
        <f t="shared" si="8"/>
        <v>0</v>
      </c>
      <c r="E33" s="191">
        <f t="shared" si="8"/>
        <v>342321213596160</v>
      </c>
      <c r="F33" t="s">
        <v>631</v>
      </c>
      <c r="H33" s="70">
        <f t="shared" si="5"/>
        <v>947817120000</v>
      </c>
      <c r="I33" t="str">
        <f t="shared" si="6"/>
        <v>BTU per</v>
      </c>
      <c r="J33" s="3" t="str">
        <f t="shared" si="7"/>
        <v>PJ</v>
      </c>
    </row>
    <row r="34" spans="1:10" x14ac:dyDescent="0.3">
      <c r="A34" t="s">
        <v>760</v>
      </c>
      <c r="B34" s="191">
        <f t="shared" ref="B34:E38" si="9">B10*$H34</f>
        <v>451136305874880</v>
      </c>
      <c r="C34" s="191">
        <f t="shared" si="9"/>
        <v>1069218275815200</v>
      </c>
      <c r="D34" s="191">
        <f t="shared" si="9"/>
        <v>61302915687360</v>
      </c>
      <c r="E34" s="191">
        <f t="shared" si="9"/>
        <v>1459051666002719.8</v>
      </c>
      <c r="F34" t="s">
        <v>631</v>
      </c>
      <c r="H34" s="70">
        <f t="shared" si="5"/>
        <v>947817120000</v>
      </c>
      <c r="I34" t="str">
        <f t="shared" si="6"/>
        <v>BTU per</v>
      </c>
      <c r="J34" s="3" t="str">
        <f t="shared" si="7"/>
        <v>PJ</v>
      </c>
    </row>
    <row r="35" spans="1:10" x14ac:dyDescent="0.3">
      <c r="A35" t="s">
        <v>761</v>
      </c>
      <c r="B35" s="191">
        <f t="shared" si="9"/>
        <v>208414558699680</v>
      </c>
      <c r="C35" s="191">
        <f t="shared" si="9"/>
        <v>542208261667199.94</v>
      </c>
      <c r="D35" s="191">
        <f t="shared" si="9"/>
        <v>25712382831360</v>
      </c>
      <c r="E35" s="191">
        <f t="shared" si="9"/>
        <v>724910437535519.88</v>
      </c>
      <c r="F35" t="s">
        <v>631</v>
      </c>
      <c r="H35" s="70">
        <f t="shared" si="5"/>
        <v>947817120000</v>
      </c>
      <c r="I35" t="str">
        <f t="shared" si="6"/>
        <v>BTU per</v>
      </c>
      <c r="J35" s="3" t="str">
        <f t="shared" si="7"/>
        <v>PJ</v>
      </c>
    </row>
    <row r="36" spans="1:10" x14ac:dyDescent="0.3">
      <c r="A36" t="s">
        <v>762</v>
      </c>
      <c r="B36" s="191">
        <f t="shared" si="9"/>
        <v>0</v>
      </c>
      <c r="C36" s="191">
        <f t="shared" si="9"/>
        <v>0</v>
      </c>
      <c r="D36" s="191">
        <f t="shared" si="9"/>
        <v>0</v>
      </c>
      <c r="E36" s="191">
        <f t="shared" si="9"/>
        <v>0</v>
      </c>
      <c r="F36" t="s">
        <v>631</v>
      </c>
      <c r="H36" s="70">
        <f t="shared" si="5"/>
        <v>947817120000</v>
      </c>
      <c r="I36" t="str">
        <f t="shared" si="6"/>
        <v>BTU per</v>
      </c>
      <c r="J36" s="3" t="str">
        <f t="shared" si="7"/>
        <v>PJ</v>
      </c>
    </row>
    <row r="37" spans="1:10" x14ac:dyDescent="0.3">
      <c r="A37" t="s">
        <v>763</v>
      </c>
      <c r="B37" s="191">
        <f t="shared" si="9"/>
        <v>0</v>
      </c>
      <c r="C37" s="191">
        <f t="shared" si="9"/>
        <v>0</v>
      </c>
      <c r="D37" s="191">
        <f t="shared" si="9"/>
        <v>0</v>
      </c>
      <c r="E37" s="191">
        <f t="shared" si="9"/>
        <v>0</v>
      </c>
      <c r="F37" t="s">
        <v>631</v>
      </c>
      <c r="H37" s="70">
        <f t="shared" si="5"/>
        <v>947817120000</v>
      </c>
      <c r="I37" t="str">
        <f t="shared" si="6"/>
        <v>BTU per</v>
      </c>
      <c r="J37" s="3" t="str">
        <f t="shared" si="7"/>
        <v>PJ</v>
      </c>
    </row>
    <row r="38" spans="1:10" x14ac:dyDescent="0.3">
      <c r="A38" t="s">
        <v>764</v>
      </c>
      <c r="B38" s="191">
        <f t="shared" si="9"/>
        <v>57724906059360</v>
      </c>
      <c r="C38" s="191">
        <f t="shared" si="9"/>
        <v>108707988944160</v>
      </c>
      <c r="D38" s="191">
        <f t="shared" si="9"/>
        <v>0</v>
      </c>
      <c r="E38" s="191">
        <f t="shared" si="9"/>
        <v>166432895003520</v>
      </c>
      <c r="F38" t="s">
        <v>631</v>
      </c>
      <c r="H38" s="70">
        <f t="shared" si="5"/>
        <v>947817120000</v>
      </c>
      <c r="I38" t="str">
        <f t="shared" si="6"/>
        <v>BTU per</v>
      </c>
      <c r="J38" s="3" t="str">
        <f t="shared" si="7"/>
        <v>PJ</v>
      </c>
    </row>
    <row r="39" spans="1:10" x14ac:dyDescent="0.3">
      <c r="A39" s="7" t="s">
        <v>765</v>
      </c>
      <c r="B39" s="192"/>
      <c r="C39" s="192"/>
      <c r="D39" s="192"/>
      <c r="E39" s="192"/>
      <c r="F39" s="30"/>
      <c r="H39" s="70">
        <f t="shared" si="5"/>
        <v>947817120000</v>
      </c>
      <c r="I39" t="str">
        <f t="shared" si="6"/>
        <v>BTU per</v>
      </c>
      <c r="J39" t="str">
        <f t="shared" si="7"/>
        <v>PJ</v>
      </c>
    </row>
    <row r="40" spans="1:10" x14ac:dyDescent="0.3">
      <c r="A40" s="7" t="s">
        <v>766</v>
      </c>
      <c r="B40" s="192"/>
      <c r="C40" s="192"/>
      <c r="D40" s="192"/>
      <c r="E40" s="192"/>
      <c r="F40" s="30"/>
      <c r="H40" s="70">
        <f t="shared" si="5"/>
        <v>947817120000</v>
      </c>
      <c r="I40" t="str">
        <f t="shared" si="6"/>
        <v>BTU per</v>
      </c>
      <c r="J40" t="str">
        <f t="shared" si="7"/>
        <v>PJ</v>
      </c>
    </row>
    <row r="41" spans="1:10" x14ac:dyDescent="0.3">
      <c r="A41" t="s">
        <v>767</v>
      </c>
      <c r="B41" s="191">
        <f t="shared" ref="B41:E42" si="10">B17*$H41</f>
        <v>0</v>
      </c>
      <c r="C41" s="191">
        <f t="shared" si="10"/>
        <v>0</v>
      </c>
      <c r="D41" s="191">
        <f t="shared" si="10"/>
        <v>0</v>
      </c>
      <c r="E41" s="191">
        <f t="shared" si="10"/>
        <v>0</v>
      </c>
      <c r="F41" t="s">
        <v>631</v>
      </c>
      <c r="H41" s="70">
        <f t="shared" si="5"/>
        <v>947817120000</v>
      </c>
      <c r="I41" t="str">
        <f t="shared" si="6"/>
        <v>BTU per</v>
      </c>
      <c r="J41" t="str">
        <f t="shared" si="7"/>
        <v>PJ</v>
      </c>
    </row>
    <row r="42" spans="1:10" x14ac:dyDescent="0.3">
      <c r="A42" t="s">
        <v>768</v>
      </c>
      <c r="B42" s="191">
        <f t="shared" si="10"/>
        <v>3590938801333920</v>
      </c>
      <c r="C42" s="191">
        <f t="shared" si="10"/>
        <v>0</v>
      </c>
      <c r="D42" s="191">
        <f t="shared" si="10"/>
        <v>2336671554461280</v>
      </c>
      <c r="E42" s="191">
        <f t="shared" si="10"/>
        <v>1254267246872640</v>
      </c>
      <c r="F42" t="s">
        <v>631</v>
      </c>
      <c r="H42" s="70">
        <f t="shared" si="5"/>
        <v>947817120000</v>
      </c>
      <c r="I42" t="str">
        <f t="shared" si="6"/>
        <v>BTU per</v>
      </c>
      <c r="J42" s="3" t="str">
        <f t="shared" si="7"/>
        <v>PJ</v>
      </c>
    </row>
    <row r="43" spans="1:10" x14ac:dyDescent="0.3">
      <c r="A43" t="s">
        <v>769</v>
      </c>
      <c r="B43" s="191">
        <f t="shared" ref="B43:E43" si="11">B19*$H43</f>
        <v>335695024110240</v>
      </c>
      <c r="C43" s="191">
        <f t="shared" si="11"/>
        <v>97760701208160</v>
      </c>
      <c r="D43" s="191">
        <f t="shared" si="11"/>
        <v>159727088879520</v>
      </c>
      <c r="E43" s="191">
        <f t="shared" si="11"/>
        <v>273728636438880.09</v>
      </c>
      <c r="F43" t="s">
        <v>631</v>
      </c>
      <c r="H43" s="70">
        <f t="shared" si="5"/>
        <v>947817120000</v>
      </c>
      <c r="I43" t="str">
        <f t="shared" si="6"/>
        <v>BTU per</v>
      </c>
      <c r="J43" s="3" t="str">
        <f t="shared" si="7"/>
        <v>PJ</v>
      </c>
    </row>
    <row r="44" spans="1:10" x14ac:dyDescent="0.3">
      <c r="A44" t="s">
        <v>770</v>
      </c>
      <c r="B44" s="191">
        <f t="shared" ref="B44:E44" si="12">B20*$H44</f>
        <v>154093263918240</v>
      </c>
      <c r="C44" s="191">
        <f t="shared" si="12"/>
        <v>221436618111360</v>
      </c>
      <c r="D44" s="191">
        <f t="shared" si="12"/>
        <v>1323152699520</v>
      </c>
      <c r="E44" s="191">
        <f t="shared" si="12"/>
        <v>374206729330080</v>
      </c>
      <c r="F44" t="s">
        <v>631</v>
      </c>
      <c r="H44" s="70">
        <f t="shared" si="5"/>
        <v>947817120000</v>
      </c>
      <c r="I44" t="str">
        <f t="shared" si="6"/>
        <v>BTU per</v>
      </c>
      <c r="J44" s="3" t="str">
        <f t="shared" si="7"/>
        <v>PJ</v>
      </c>
    </row>
    <row r="45" spans="1:10" x14ac:dyDescent="0.3">
      <c r="A45" t="s">
        <v>771</v>
      </c>
      <c r="B45" s="191">
        <f t="shared" ref="B45:E45" si="13">B21*$H45</f>
        <v>0</v>
      </c>
      <c r="C45" s="191">
        <f t="shared" si="13"/>
        <v>0</v>
      </c>
      <c r="D45" s="191">
        <f t="shared" si="13"/>
        <v>0</v>
      </c>
      <c r="E45" s="191">
        <f t="shared" si="13"/>
        <v>0</v>
      </c>
      <c r="F45" t="s">
        <v>631</v>
      </c>
      <c r="H45" s="70">
        <f t="shared" si="5"/>
        <v>947817120000</v>
      </c>
      <c r="I45" t="str">
        <f t="shared" si="6"/>
        <v>BTU per</v>
      </c>
      <c r="J45" t="str">
        <f t="shared" si="7"/>
        <v>PJ</v>
      </c>
    </row>
    <row r="46" spans="1:10" x14ac:dyDescent="0.3">
      <c r="A46" t="s">
        <v>772</v>
      </c>
      <c r="B46" s="191">
        <f t="shared" ref="B46:E46" si="14">B22*$H46</f>
        <v>0</v>
      </c>
      <c r="C46" s="191">
        <f t="shared" si="14"/>
        <v>0</v>
      </c>
      <c r="D46" s="191">
        <f t="shared" si="14"/>
        <v>0</v>
      </c>
      <c r="E46" s="191">
        <f t="shared" si="14"/>
        <v>0</v>
      </c>
      <c r="F46" t="s">
        <v>631</v>
      </c>
      <c r="H46" s="70">
        <f t="shared" si="5"/>
        <v>947817120000</v>
      </c>
      <c r="I46" t="str">
        <f t="shared" si="6"/>
        <v>BTU per</v>
      </c>
      <c r="J46" s="3" t="str">
        <f t="shared" si="7"/>
        <v>PJ</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I73"/>
  <sheetViews>
    <sheetView workbookViewId="0"/>
  </sheetViews>
  <sheetFormatPr defaultColWidth="8.88671875" defaultRowHeight="14.4" x14ac:dyDescent="0.3"/>
  <cols>
    <col min="1" max="1" width="38.88671875" customWidth="1"/>
    <col min="2" max="2" width="9.109375" customWidth="1"/>
  </cols>
  <sheetData>
    <row r="1" spans="1:35" x14ac:dyDescent="0.3">
      <c r="A1" s="196" t="s">
        <v>779</v>
      </c>
      <c r="B1" s="196"/>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row>
    <row r="2" spans="1:35" s="1" customFormat="1" x14ac:dyDescent="0.3">
      <c r="B2" s="1">
        <v>2019</v>
      </c>
      <c r="C2" s="1">
        <v>2020</v>
      </c>
      <c r="D2" s="1">
        <v>2021</v>
      </c>
      <c r="E2" s="1">
        <v>2022</v>
      </c>
      <c r="F2" s="1">
        <v>2023</v>
      </c>
      <c r="G2" s="1">
        <v>2024</v>
      </c>
      <c r="H2" s="1">
        <v>2025</v>
      </c>
      <c r="I2" s="1">
        <v>2026</v>
      </c>
      <c r="J2" s="1">
        <v>2027</v>
      </c>
      <c r="K2" s="1">
        <v>2028</v>
      </c>
      <c r="L2" s="1">
        <v>2029</v>
      </c>
      <c r="M2" s="1">
        <v>2030</v>
      </c>
      <c r="N2" s="1">
        <v>2031</v>
      </c>
      <c r="O2" s="1">
        <v>2032</v>
      </c>
      <c r="P2" s="1">
        <v>2033</v>
      </c>
      <c r="Q2" s="1">
        <v>2034</v>
      </c>
      <c r="R2" s="1">
        <v>2035</v>
      </c>
      <c r="S2" s="1">
        <v>2036</v>
      </c>
      <c r="T2" s="1">
        <v>2037</v>
      </c>
      <c r="U2" s="1">
        <v>2038</v>
      </c>
      <c r="V2" s="1">
        <v>2039</v>
      </c>
      <c r="W2" s="1">
        <v>2040</v>
      </c>
      <c r="X2" s="1">
        <v>2041</v>
      </c>
      <c r="Y2" s="1">
        <v>2042</v>
      </c>
      <c r="Z2" s="1">
        <v>2043</v>
      </c>
      <c r="AA2" s="1">
        <v>2044</v>
      </c>
      <c r="AB2" s="1">
        <v>2045</v>
      </c>
      <c r="AC2" s="1">
        <v>2046</v>
      </c>
      <c r="AD2" s="1">
        <v>2047</v>
      </c>
      <c r="AE2" s="1">
        <v>2048</v>
      </c>
      <c r="AF2" s="1">
        <v>2049</v>
      </c>
      <c r="AG2" s="1">
        <v>2050</v>
      </c>
    </row>
    <row r="3" spans="1:35" x14ac:dyDescent="0.3">
      <c r="A3" s="31" t="s">
        <v>751</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c r="AI3" s="7"/>
    </row>
    <row r="4" spans="1:35" x14ac:dyDescent="0.3">
      <c r="A4" t="s">
        <v>752</v>
      </c>
      <c r="B4">
        <f>'AEO Table 1'!C$19/'AEO Table 1'!$C$19</f>
        <v>1</v>
      </c>
      <c r="C4">
        <f>'AEO Table 1'!D$19/'AEO Table 1'!$C$19</f>
        <v>0.90812016497404591</v>
      </c>
      <c r="D4">
        <f>'AEO Table 1'!E$19/'AEO Table 1'!$C$19</f>
        <v>0.85455326701682643</v>
      </c>
      <c r="E4">
        <f>'AEO Table 1'!F$19/'AEO Table 1'!$C$19</f>
        <v>0.83991896466840965</v>
      </c>
      <c r="F4">
        <f>'AEO Table 1'!G$19/'AEO Table 1'!$C$19</f>
        <v>0.79480319522442144</v>
      </c>
      <c r="G4">
        <f>'AEO Table 1'!H$19/'AEO Table 1'!$C$19</f>
        <v>0.77118027008387457</v>
      </c>
      <c r="H4">
        <f>'AEO Table 1'!I$19/'AEO Table 1'!$C$19</f>
        <v>0.69476212783182068</v>
      </c>
      <c r="I4">
        <f>'AEO Table 1'!J$19/'AEO Table 1'!$C$19</f>
        <v>0.70824708849282514</v>
      </c>
      <c r="J4">
        <f>'AEO Table 1'!K$19/'AEO Table 1'!$C$19</f>
        <v>0.70487113217267283</v>
      </c>
      <c r="K4">
        <f>'AEO Table 1'!L$19/'AEO Table 1'!$C$19</f>
        <v>0.69625309598989027</v>
      </c>
      <c r="L4">
        <f>'AEO Table 1'!M$19/'AEO Table 1'!$C$19</f>
        <v>0.68403457029970505</v>
      </c>
      <c r="M4">
        <f>'AEO Table 1'!N$19/'AEO Table 1'!$C$19</f>
        <v>0.67194544410962198</v>
      </c>
      <c r="N4">
        <f>'AEO Table 1'!O$19/'AEO Table 1'!$C$19</f>
        <v>0.66548254333685786</v>
      </c>
      <c r="O4">
        <f>'AEO Table 1'!P$19/'AEO Table 1'!$C$19</f>
        <v>0.66381530888935514</v>
      </c>
      <c r="P4">
        <f>'AEO Table 1'!Q$19/'AEO Table 1'!$C$19</f>
        <v>0.66285711885528309</v>
      </c>
      <c r="Q4">
        <f>'AEO Table 1'!R$19/'AEO Table 1'!$C$19</f>
        <v>0.66253936791881318</v>
      </c>
      <c r="R4">
        <f>'AEO Table 1'!S$19/'AEO Table 1'!$C$19</f>
        <v>0.65437209297869914</v>
      </c>
      <c r="S4">
        <f>'AEO Table 1'!T$19/'AEO Table 1'!$C$19</f>
        <v>0.65379952229772242</v>
      </c>
      <c r="T4">
        <f>'AEO Table 1'!U$19/'AEO Table 1'!$C$19</f>
        <v>0.65330196795564333</v>
      </c>
      <c r="U4">
        <f>'AEO Table 1'!V$19/'AEO Table 1'!$C$19</f>
        <v>0.65027338591993433</v>
      </c>
      <c r="V4">
        <f>'AEO Table 1'!W$19/'AEO Table 1'!$C$19</f>
        <v>0.64717693546759969</v>
      </c>
      <c r="W4">
        <f>'AEO Table 1'!X$19/'AEO Table 1'!$C$19</f>
        <v>0.64068080054076604</v>
      </c>
      <c r="X4">
        <f>'AEO Table 1'!Y$19/'AEO Table 1'!$C$19</f>
        <v>0.63596339291089699</v>
      </c>
      <c r="Y4">
        <f>'AEO Table 1'!Z$19/'AEO Table 1'!$C$19</f>
        <v>0.63359411459239479</v>
      </c>
      <c r="Z4">
        <f>'AEO Table 1'!AA$19/'AEO Table 1'!$C$19</f>
        <v>0.63220660708247078</v>
      </c>
      <c r="AA4">
        <f>'AEO Table 1'!AB$19/'AEO Table 1'!$C$19</f>
        <v>0.62954109528423563</v>
      </c>
      <c r="AB4">
        <f>'AEO Table 1'!AC$19/'AEO Table 1'!$C$19</f>
        <v>0.62658038166515195</v>
      </c>
      <c r="AC4">
        <f>'AEO Table 1'!AD$19/'AEO Table 1'!$C$19</f>
        <v>0.62680719923993267</v>
      </c>
      <c r="AD4">
        <f>'AEO Table 1'!AE$19/'AEO Table 1'!$C$19</f>
        <v>0.6250437994463971</v>
      </c>
      <c r="AE4">
        <f>'AEO Table 1'!AF$19/'AEO Table 1'!$C$19</f>
        <v>0.62295100570897921</v>
      </c>
      <c r="AF4">
        <f>'AEO Table 1'!AG$19/'AEO Table 1'!$C$19</f>
        <v>0.6233543106429541</v>
      </c>
      <c r="AG4">
        <f>'AEO Table 1'!AH$19/'AEO Table 1'!$C$19</f>
        <v>0.6213817051655971</v>
      </c>
    </row>
    <row r="5" spans="1:35" x14ac:dyDescent="0.3">
      <c r="A5" t="s">
        <v>754</v>
      </c>
      <c r="B5">
        <f>'AEO Table 1'!C$18/'AEO Table 1'!$C$18</f>
        <v>1</v>
      </c>
      <c r="C5">
        <f>'AEO Table 1'!D$18/'AEO Table 1'!$C$18</f>
        <v>1.0213665128120504</v>
      </c>
      <c r="D5">
        <f>'AEO Table 1'!E$18/'AEO Table 1'!$C$18</f>
        <v>1.0756457357327418</v>
      </c>
      <c r="E5">
        <f>'AEO Table 1'!F$18/'AEO Table 1'!$C$18</f>
        <v>1.0942691071895223</v>
      </c>
      <c r="F5">
        <f>'AEO Table 1'!G$18/'AEO Table 1'!$C$18</f>
        <v>1.1076205445592326</v>
      </c>
      <c r="G5">
        <f>'AEO Table 1'!H$18/'AEO Table 1'!$C$18</f>
        <v>1.1257205378559361</v>
      </c>
      <c r="H5">
        <f>'AEO Table 1'!I$18/'AEO Table 1'!$C$18</f>
        <v>1.1651594520417785</v>
      </c>
      <c r="I5">
        <f>'AEO Table 1'!J$18/'AEO Table 1'!$C$18</f>
        <v>1.2042914936230584</v>
      </c>
      <c r="J5">
        <f>'AEO Table 1'!K$18/'AEO Table 1'!$C$18</f>
        <v>1.2279709378897972</v>
      </c>
      <c r="K5">
        <f>'AEO Table 1'!L$18/'AEO Table 1'!$C$18</f>
        <v>1.2513873204833779</v>
      </c>
      <c r="L5">
        <f>'AEO Table 1'!M$18/'AEO Table 1'!$C$18</f>
        <v>1.267986173113181</v>
      </c>
      <c r="M5">
        <f>'AEO Table 1'!N$18/'AEO Table 1'!$C$18</f>
        <v>1.276732028337157</v>
      </c>
      <c r="N5">
        <f>'AEO Table 1'!O$18/'AEO Table 1'!$C$18</f>
        <v>1.2904118516076692</v>
      </c>
      <c r="O5">
        <f>'AEO Table 1'!P$18/'AEO Table 1'!$C$18</f>
        <v>1.3083783672265326</v>
      </c>
      <c r="P5">
        <f>'AEO Table 1'!Q$18/'AEO Table 1'!$C$18</f>
        <v>1.3271274009840035</v>
      </c>
      <c r="Q5">
        <f>'AEO Table 1'!R$18/'AEO Table 1'!$C$18</f>
        <v>1.342495485779333</v>
      </c>
      <c r="R5">
        <f>'AEO Table 1'!S$18/'AEO Table 1'!$C$18</f>
        <v>1.3565454329863202</v>
      </c>
      <c r="S5">
        <f>'AEO Table 1'!T$18/'AEO Table 1'!$C$18</f>
        <v>1.3795604581469325</v>
      </c>
      <c r="T5">
        <f>'AEO Table 1'!U$18/'AEO Table 1'!$C$18</f>
        <v>1.3898930590290954</v>
      </c>
      <c r="U5">
        <f>'AEO Table 1'!V$18/'AEO Table 1'!$C$18</f>
        <v>1.4082935381705401</v>
      </c>
      <c r="V5">
        <f>'AEO Table 1'!W$18/'AEO Table 1'!$C$18</f>
        <v>1.4226993231407183</v>
      </c>
      <c r="W5">
        <f>'AEO Table 1'!X$18/'AEO Table 1'!$C$18</f>
        <v>1.4378440674270403</v>
      </c>
      <c r="X5">
        <f>'AEO Table 1'!Y$18/'AEO Table 1'!$C$18</f>
        <v>1.4510344632081036</v>
      </c>
      <c r="Y5">
        <f>'AEO Table 1'!Z$18/'AEO Table 1'!$C$18</f>
        <v>1.4649044886680251</v>
      </c>
      <c r="Z5">
        <f>'AEO Table 1'!AA$18/'AEO Table 1'!$C$18</f>
        <v>1.4777598876916298</v>
      </c>
      <c r="AA5">
        <f>'AEO Table 1'!AB$18/'AEO Table 1'!$C$18</f>
        <v>1.4925637526785525</v>
      </c>
      <c r="AB5">
        <f>'AEO Table 1'!AC$18/'AEO Table 1'!$C$18</f>
        <v>1.5047811199984493</v>
      </c>
      <c r="AC5">
        <f>'AEO Table 1'!AD$18/'AEO Table 1'!$C$18</f>
        <v>1.5223004223693126</v>
      </c>
      <c r="AD5">
        <f>'AEO Table 1'!AE$18/'AEO Table 1'!$C$18</f>
        <v>1.5354269505521649</v>
      </c>
      <c r="AE5">
        <f>'AEO Table 1'!AF$18/'AEO Table 1'!$C$18</f>
        <v>1.5491060174958562</v>
      </c>
      <c r="AF5">
        <f>'AEO Table 1'!AG$18/'AEO Table 1'!$C$18</f>
        <v>1.5630702756752437</v>
      </c>
      <c r="AG5">
        <f>'AEO Table 1'!AH$18/'AEO Table 1'!$C$18</f>
        <v>1.5783559488591974</v>
      </c>
    </row>
    <row r="6" spans="1:35" x14ac:dyDescent="0.3">
      <c r="A6" t="s">
        <v>755</v>
      </c>
      <c r="B6">
        <f>'AEO Table 1'!C$20/'AEO Table 1'!$C$20</f>
        <v>1</v>
      </c>
      <c r="C6">
        <f>'AEO Table 1'!D$20/'AEO Table 1'!$C$20</f>
        <v>0.98213005483195503</v>
      </c>
      <c r="D6">
        <f>'AEO Table 1'!E$20/'AEO Table 1'!$C$20</f>
        <v>0.96590061563086127</v>
      </c>
      <c r="E6">
        <f>'AEO Table 1'!F$20/'AEO Table 1'!$C$20</f>
        <v>0.94789105041408772</v>
      </c>
      <c r="F6">
        <f>'AEO Table 1'!G$20/'AEO Table 1'!$C$20</f>
        <v>0.95070334635743248</v>
      </c>
      <c r="G6">
        <f>'AEO Table 1'!H$20/'AEO Table 1'!$C$20</f>
        <v>0.95437408651895606</v>
      </c>
      <c r="H6">
        <f>'AEO Table 1'!I$20/'AEO Table 1'!$C$20</f>
        <v>0.93681736868669285</v>
      </c>
      <c r="I6">
        <f>'AEO Table 1'!J$20/'AEO Table 1'!$C$20</f>
        <v>0.77903925301023913</v>
      </c>
      <c r="J6">
        <f>'AEO Table 1'!K$20/'AEO Table 1'!$C$20</f>
        <v>0.72361565951939921</v>
      </c>
      <c r="K6">
        <f>'AEO Table 1'!L$20/'AEO Table 1'!$C$20</f>
        <v>0.72413269186269724</v>
      </c>
      <c r="L6">
        <f>'AEO Table 1'!M$20/'AEO Table 1'!$C$20</f>
        <v>0.72463965829917443</v>
      </c>
      <c r="M6">
        <f>'AEO Table 1'!N$20/'AEO Table 1'!$C$20</f>
        <v>0.70279261413494909</v>
      </c>
      <c r="N6">
        <f>'AEO Table 1'!O$20/'AEO Table 1'!$C$20</f>
        <v>0.69190236875656208</v>
      </c>
      <c r="O6">
        <f>'AEO Table 1'!P$20/'AEO Table 1'!$C$20</f>
        <v>0.68399790818614026</v>
      </c>
      <c r="P6">
        <f>'AEO Table 1'!Q$20/'AEO Table 1'!$C$20</f>
        <v>0.66519964956433575</v>
      </c>
      <c r="Q6">
        <f>'AEO Table 1'!R$20/'AEO Table 1'!$C$20</f>
        <v>0.63509193015065946</v>
      </c>
      <c r="R6">
        <f>'AEO Table 1'!S$20/'AEO Table 1'!$C$20</f>
        <v>0.63683250307365424</v>
      </c>
      <c r="S6">
        <f>'AEO Table 1'!T$20/'AEO Table 1'!$C$20</f>
        <v>0.57826585978357592</v>
      </c>
      <c r="T6">
        <f>'AEO Table 1'!U$20/'AEO Table 1'!$C$20</f>
        <v>0.5785274549384879</v>
      </c>
      <c r="U6">
        <f>'AEO Table 1'!V$20/'AEO Table 1'!$C$20</f>
        <v>0.5341845300986009</v>
      </c>
      <c r="V6">
        <f>'AEO Table 1'!W$20/'AEO Table 1'!$C$20</f>
        <v>0.51288317650650506</v>
      </c>
      <c r="W6">
        <f>'AEO Table 1'!X$20/'AEO Table 1'!$C$20</f>
        <v>0.51331032622301365</v>
      </c>
      <c r="X6">
        <f>'AEO Table 1'!Y$20/'AEO Table 1'!$C$20</f>
        <v>0.51486142325290796</v>
      </c>
      <c r="Y6">
        <f>'AEO Table 1'!Z$20/'AEO Table 1'!$C$20</f>
        <v>0.50613333465966459</v>
      </c>
      <c r="Z6">
        <f>'AEO Table 1'!AA$20/'AEO Table 1'!$C$20</f>
        <v>0.49740607502345352</v>
      </c>
      <c r="AA6">
        <f>'AEO Table 1'!AB$20/'AEO Table 1'!$C$20</f>
        <v>0.47941474686139107</v>
      </c>
      <c r="AB6">
        <f>'AEO Table 1'!AC$20/'AEO Table 1'!$C$20</f>
        <v>0.47190960673567856</v>
      </c>
      <c r="AC6">
        <f>'AEO Table 1'!AD$20/'AEO Table 1'!$C$20</f>
        <v>0.46402918591919379</v>
      </c>
      <c r="AD6">
        <f>'AEO Table 1'!AE$20/'AEO Table 1'!$C$20</f>
        <v>0.46455711312634512</v>
      </c>
      <c r="AE6">
        <f>'AEO Table 1'!AF$20/'AEO Table 1'!$C$20</f>
        <v>0.46488573537844141</v>
      </c>
      <c r="AF6">
        <f>'AEO Table 1'!AG$20/'AEO Table 1'!$C$20</f>
        <v>0.46528280579692027</v>
      </c>
      <c r="AG6">
        <f>'AEO Table 1'!AH$20/'AEO Table 1'!$C$20</f>
        <v>0.46585691775301491</v>
      </c>
    </row>
    <row r="7" spans="1:35" x14ac:dyDescent="0.3">
      <c r="A7" s="7" t="s">
        <v>756</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c r="AF7" s="7">
        <v>0</v>
      </c>
      <c r="AG7" s="7">
        <v>0</v>
      </c>
      <c r="AH7" s="7"/>
      <c r="AI7" s="7"/>
    </row>
    <row r="8" spans="1:35" x14ac:dyDescent="0.3">
      <c r="A8" s="7" t="s">
        <v>757</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c r="AI8" s="7"/>
    </row>
    <row r="9" spans="1:35" x14ac:dyDescent="0.3">
      <c r="A9" s="7" t="s">
        <v>758</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c r="AI9" s="7"/>
    </row>
    <row r="10" spans="1:35" x14ac:dyDescent="0.3">
      <c r="A10" t="s">
        <v>759</v>
      </c>
      <c r="B10">
        <f>'AEO Table 1'!C$22/'AEO Table 1'!$C$22</f>
        <v>1</v>
      </c>
      <c r="C10">
        <f>'AEO Table 1'!D$22/'AEO Table 1'!$C$22</f>
        <v>0.98791071006677489</v>
      </c>
      <c r="D10">
        <f>'AEO Table 1'!E$22/'AEO Table 1'!$C$22</f>
        <v>1.000300506924094</v>
      </c>
      <c r="E10">
        <f>'AEO Table 1'!F$22/'AEO Table 1'!$C$22</f>
        <v>1.0136873650309419</v>
      </c>
      <c r="F10">
        <f>'AEO Table 1'!G$22/'AEO Table 1'!$C$22</f>
        <v>1.0193860125425374</v>
      </c>
      <c r="G10">
        <f>'AEO Table 1'!H$22/'AEO Table 1'!$C$22</f>
        <v>1.0258937490414868</v>
      </c>
      <c r="H10">
        <f>'AEO Table 1'!I$22/'AEO Table 1'!$C$22</f>
        <v>1.0321171438163965</v>
      </c>
      <c r="I10">
        <f>'AEO Table 1'!J$22/'AEO Table 1'!$C$22</f>
        <v>1.0377774507894009</v>
      </c>
      <c r="J10">
        <f>'AEO Table 1'!K$22/'AEO Table 1'!$C$22</f>
        <v>1.0453568571535157</v>
      </c>
      <c r="K10">
        <f>'AEO Table 1'!L$22/'AEO Table 1'!$C$22</f>
        <v>1.052931911348385</v>
      </c>
      <c r="L10">
        <f>'AEO Table 1'!M$22/'AEO Table 1'!$C$22</f>
        <v>1.0582749244587766</v>
      </c>
      <c r="M10">
        <f>'AEO Table 1'!N$22/'AEO Table 1'!$C$22</f>
        <v>1.0628623180896879</v>
      </c>
      <c r="N10">
        <f>'AEO Table 1'!O$22/'AEO Table 1'!$C$22</f>
        <v>1.066234420270332</v>
      </c>
      <c r="O10">
        <f>'AEO Table 1'!P$22/'AEO Table 1'!$C$22</f>
        <v>1.0677585084908752</v>
      </c>
      <c r="P10">
        <f>'AEO Table 1'!Q$22/'AEO Table 1'!$C$22</f>
        <v>1.0708429530090071</v>
      </c>
      <c r="Q10">
        <f>'AEO Table 1'!R$22/'AEO Table 1'!$C$22</f>
        <v>1.0723017586908676</v>
      </c>
      <c r="R10">
        <f>'AEO Table 1'!S$22/'AEO Table 1'!$C$22</f>
        <v>1.0754802929631642</v>
      </c>
      <c r="S10">
        <f>'AEO Table 1'!T$22/'AEO Table 1'!$C$22</f>
        <v>1.0785232882503866</v>
      </c>
      <c r="T10">
        <f>'AEO Table 1'!U$22/'AEO Table 1'!$C$22</f>
        <v>1.0805518136110985</v>
      </c>
      <c r="U10">
        <f>'AEO Table 1'!V$22/'AEO Table 1'!$C$22</f>
        <v>1.0834804090210106</v>
      </c>
      <c r="V10">
        <f>'AEO Table 1'!W$22/'AEO Table 1'!$C$22</f>
        <v>1.0859509904293727</v>
      </c>
      <c r="W10">
        <f>'AEO Table 1'!X$22/'AEO Table 1'!$C$22</f>
        <v>1.0896497125495836</v>
      </c>
      <c r="X10">
        <f>'AEO Table 1'!Y$22/'AEO Table 1'!$C$22</f>
        <v>1.0949023663365929</v>
      </c>
      <c r="Y10">
        <f>'AEO Table 1'!Z$22/'AEO Table 1'!$C$22</f>
        <v>1.0975258954070106</v>
      </c>
      <c r="Z10">
        <f>'AEO Table 1'!AA$22/'AEO Table 1'!$C$22</f>
        <v>1.1024067495927614</v>
      </c>
      <c r="AA10">
        <f>'AEO Table 1'!AB$22/'AEO Table 1'!$C$22</f>
        <v>1.1089507541687564</v>
      </c>
      <c r="AB10">
        <f>'AEO Table 1'!AC$22/'AEO Table 1'!$C$22</f>
        <v>1.1146869132343251</v>
      </c>
      <c r="AC10">
        <f>'AEO Table 1'!AD$22/'AEO Table 1'!$C$22</f>
        <v>1.1241371306355412</v>
      </c>
      <c r="AD10">
        <f>'AEO Table 1'!AE$22/'AEO Table 1'!$C$22</f>
        <v>1.1320091685698772</v>
      </c>
      <c r="AE10">
        <f>'AEO Table 1'!AF$22/'AEO Table 1'!$C$22</f>
        <v>1.1400608889202062</v>
      </c>
      <c r="AF10">
        <f>'AEO Table 1'!AG$22/'AEO Table 1'!$C$22</f>
        <v>1.149402716582594</v>
      </c>
      <c r="AG10">
        <f>'AEO Table 1'!AH$22/'AEO Table 1'!$C$22</f>
        <v>1.1603109106810525</v>
      </c>
    </row>
    <row r="11" spans="1:35" x14ac:dyDescent="0.3">
      <c r="A11" t="s">
        <v>760</v>
      </c>
      <c r="B11">
        <f>'AEO Table 1'!C$16/'AEO Table 1'!$C$16</f>
        <v>1</v>
      </c>
      <c r="C11">
        <f>'AEO Table 1'!D$16/'AEO Table 1'!$C$16</f>
        <v>1.1332856068157029</v>
      </c>
      <c r="D11">
        <f>'AEO Table 1'!E$16/'AEO Table 1'!$C$16</f>
        <v>1.2555025610896953</v>
      </c>
      <c r="E11">
        <f>'AEO Table 1'!F$16/'AEO Table 1'!$C$16</f>
        <v>1.3303230146019871</v>
      </c>
      <c r="F11">
        <f>'AEO Table 1'!G$16/'AEO Table 1'!$C$16</f>
        <v>1.3645781017752501</v>
      </c>
      <c r="G11">
        <f>'AEO Table 1'!H$16/'AEO Table 1'!$C$16</f>
        <v>1.3973668753862289</v>
      </c>
      <c r="H11">
        <f>'AEO Table 1'!I$16/'AEO Table 1'!$C$16</f>
        <v>1.4158922040865449</v>
      </c>
      <c r="I11">
        <f>'AEO Table 1'!J$16/'AEO Table 1'!$C$16</f>
        <v>1.436462257693363</v>
      </c>
      <c r="J11">
        <f>'AEO Table 1'!K$16/'AEO Table 1'!$C$16</f>
        <v>1.4466574556101606</v>
      </c>
      <c r="K11">
        <f>'AEO Table 1'!L$16/'AEO Table 1'!$C$16</f>
        <v>1.4562913840567764</v>
      </c>
      <c r="L11">
        <f>'AEO Table 1'!M$16/'AEO Table 1'!$C$16</f>
        <v>1.463432712209177</v>
      </c>
      <c r="M11">
        <f>'AEO Table 1'!N$16/'AEO Table 1'!$C$16</f>
        <v>1.4731922175735681</v>
      </c>
      <c r="N11">
        <f>'AEO Table 1'!O$16/'AEO Table 1'!$C$16</f>
        <v>1.4901232738933321</v>
      </c>
      <c r="O11">
        <f>'AEO Table 1'!P$16/'AEO Table 1'!$C$16</f>
        <v>1.5008012557067019</v>
      </c>
      <c r="P11">
        <f>'AEO Table 1'!Q$16/'AEO Table 1'!$C$16</f>
        <v>1.5153940276461333</v>
      </c>
      <c r="Q11">
        <f>'AEO Table 1'!R$16/'AEO Table 1'!$C$16</f>
        <v>1.5010245295922242</v>
      </c>
      <c r="R11">
        <f>'AEO Table 1'!S$16/'AEO Table 1'!$C$16</f>
        <v>1.5074766294561748</v>
      </c>
      <c r="S11">
        <f>'AEO Table 1'!T$16/'AEO Table 1'!$C$16</f>
        <v>1.506083764333672</v>
      </c>
      <c r="T11">
        <f>'AEO Table 1'!U$16/'AEO Table 1'!$C$16</f>
        <v>1.5037162723866433</v>
      </c>
      <c r="U11">
        <f>'AEO Table 1'!V$16/'AEO Table 1'!$C$16</f>
        <v>1.4950955497430243</v>
      </c>
      <c r="V11">
        <f>'AEO Table 1'!W$16/'AEO Table 1'!$C$16</f>
        <v>1.4930995561777478</v>
      </c>
      <c r="W11">
        <f>'AEO Table 1'!X$16/'AEO Table 1'!$C$16</f>
        <v>1.4932024855170689</v>
      </c>
      <c r="X11">
        <f>'AEO Table 1'!Y$16/'AEO Table 1'!$C$16</f>
        <v>1.4930535191174066</v>
      </c>
      <c r="Y11">
        <f>'AEO Table 1'!Z$16/'AEO Table 1'!$C$16</f>
        <v>1.494486017502205</v>
      </c>
      <c r="Z11">
        <f>'AEO Table 1'!AA$16/'AEO Table 1'!$C$16</f>
        <v>1.4838095585432487</v>
      </c>
      <c r="AA11">
        <f>'AEO Table 1'!AB$16/'AEO Table 1'!$C$16</f>
        <v>1.4830291542277447</v>
      </c>
      <c r="AB11">
        <f>'AEO Table 1'!AC$16/'AEO Table 1'!$C$16</f>
        <v>1.4857180855986314</v>
      </c>
      <c r="AC11">
        <f>'AEO Table 1'!AD$16/'AEO Table 1'!$C$16</f>
        <v>1.4886721498276327</v>
      </c>
      <c r="AD11">
        <f>'AEO Table 1'!AE$16/'AEO Table 1'!$C$16</f>
        <v>1.4983643372174451</v>
      </c>
      <c r="AE11">
        <f>'AEO Table 1'!AF$16/'AEO Table 1'!$C$16</f>
        <v>1.5133122466155733</v>
      </c>
      <c r="AF11">
        <f>'AEO Table 1'!AG$16/'AEO Table 1'!$C$16</f>
        <v>1.5323391020360098</v>
      </c>
      <c r="AG11">
        <f>'AEO Table 1'!AH$16/'AEO Table 1'!$C$16</f>
        <v>1.5448237358492658</v>
      </c>
    </row>
    <row r="12" spans="1:35" x14ac:dyDescent="0.3">
      <c r="A12" t="s">
        <v>761</v>
      </c>
      <c r="B12">
        <f>'AEO Table 1'!C$16/'AEO Table 1'!$C$16</f>
        <v>1</v>
      </c>
      <c r="C12">
        <f>'AEO Table 1'!D$16/'AEO Table 1'!$C$16</f>
        <v>1.1332856068157029</v>
      </c>
      <c r="D12">
        <f>'AEO Table 1'!E$16/'AEO Table 1'!$C$16</f>
        <v>1.2555025610896953</v>
      </c>
      <c r="E12">
        <f>'AEO Table 1'!F$16/'AEO Table 1'!$C$16</f>
        <v>1.3303230146019871</v>
      </c>
      <c r="F12">
        <f>'AEO Table 1'!G$16/'AEO Table 1'!$C$16</f>
        <v>1.3645781017752501</v>
      </c>
      <c r="G12">
        <f>'AEO Table 1'!H$16/'AEO Table 1'!$C$16</f>
        <v>1.3973668753862289</v>
      </c>
      <c r="H12">
        <f>'AEO Table 1'!I$16/'AEO Table 1'!$C$16</f>
        <v>1.4158922040865449</v>
      </c>
      <c r="I12">
        <f>'AEO Table 1'!J$16/'AEO Table 1'!$C$16</f>
        <v>1.436462257693363</v>
      </c>
      <c r="J12">
        <f>'AEO Table 1'!K$16/'AEO Table 1'!$C$16</f>
        <v>1.4466574556101606</v>
      </c>
      <c r="K12">
        <f>'AEO Table 1'!L$16/'AEO Table 1'!$C$16</f>
        <v>1.4562913840567764</v>
      </c>
      <c r="L12">
        <f>'AEO Table 1'!M$16/'AEO Table 1'!$C$16</f>
        <v>1.463432712209177</v>
      </c>
      <c r="M12">
        <f>'AEO Table 1'!N$16/'AEO Table 1'!$C$16</f>
        <v>1.4731922175735681</v>
      </c>
      <c r="N12">
        <f>'AEO Table 1'!O$16/'AEO Table 1'!$C$16</f>
        <v>1.4901232738933321</v>
      </c>
      <c r="O12">
        <f>'AEO Table 1'!P$16/'AEO Table 1'!$C$16</f>
        <v>1.5008012557067019</v>
      </c>
      <c r="P12">
        <f>'AEO Table 1'!Q$16/'AEO Table 1'!$C$16</f>
        <v>1.5153940276461333</v>
      </c>
      <c r="Q12">
        <f>'AEO Table 1'!R$16/'AEO Table 1'!$C$16</f>
        <v>1.5010245295922242</v>
      </c>
      <c r="R12">
        <f>'AEO Table 1'!S$16/'AEO Table 1'!$C$16</f>
        <v>1.5074766294561748</v>
      </c>
      <c r="S12">
        <f>'AEO Table 1'!T$16/'AEO Table 1'!$C$16</f>
        <v>1.506083764333672</v>
      </c>
      <c r="T12">
        <f>'AEO Table 1'!U$16/'AEO Table 1'!$C$16</f>
        <v>1.5037162723866433</v>
      </c>
      <c r="U12">
        <f>'AEO Table 1'!V$16/'AEO Table 1'!$C$16</f>
        <v>1.4950955497430243</v>
      </c>
      <c r="V12">
        <f>'AEO Table 1'!W$16/'AEO Table 1'!$C$16</f>
        <v>1.4930995561777478</v>
      </c>
      <c r="W12">
        <f>'AEO Table 1'!X$16/'AEO Table 1'!$C$16</f>
        <v>1.4932024855170689</v>
      </c>
      <c r="X12">
        <f>'AEO Table 1'!Y$16/'AEO Table 1'!$C$16</f>
        <v>1.4930535191174066</v>
      </c>
      <c r="Y12">
        <f>'AEO Table 1'!Z$16/'AEO Table 1'!$C$16</f>
        <v>1.494486017502205</v>
      </c>
      <c r="Z12">
        <f>'AEO Table 1'!AA$16/'AEO Table 1'!$C$16</f>
        <v>1.4838095585432487</v>
      </c>
      <c r="AA12">
        <f>'AEO Table 1'!AB$16/'AEO Table 1'!$C$16</f>
        <v>1.4830291542277447</v>
      </c>
      <c r="AB12">
        <f>'AEO Table 1'!AC$16/'AEO Table 1'!$C$16</f>
        <v>1.4857180855986314</v>
      </c>
      <c r="AC12">
        <f>'AEO Table 1'!AD$16/'AEO Table 1'!$C$16</f>
        <v>1.4886721498276327</v>
      </c>
      <c r="AD12">
        <f>'AEO Table 1'!AE$16/'AEO Table 1'!$C$16</f>
        <v>1.4983643372174451</v>
      </c>
      <c r="AE12">
        <f>'AEO Table 1'!AF$16/'AEO Table 1'!$C$16</f>
        <v>1.5133122466155733</v>
      </c>
      <c r="AF12">
        <f>'AEO Table 1'!AG$16/'AEO Table 1'!$C$16</f>
        <v>1.5323391020360098</v>
      </c>
      <c r="AG12">
        <f>'AEO Table 1'!AH$16/'AEO Table 1'!$C$16</f>
        <v>1.5448237358492658</v>
      </c>
    </row>
    <row r="13" spans="1:35" x14ac:dyDescent="0.3">
      <c r="A13" t="s">
        <v>762</v>
      </c>
      <c r="B13">
        <f>'AEO Table 1'!C$22/'AEO Table 1'!$C$22</f>
        <v>1</v>
      </c>
      <c r="C13">
        <f>'AEO Table 1'!D$22/'AEO Table 1'!$C$22</f>
        <v>0.98791071006677489</v>
      </c>
      <c r="D13">
        <f>'AEO Table 1'!E$22/'AEO Table 1'!$C$22</f>
        <v>1.000300506924094</v>
      </c>
      <c r="E13">
        <f>'AEO Table 1'!F$22/'AEO Table 1'!$C$22</f>
        <v>1.0136873650309419</v>
      </c>
      <c r="F13">
        <f>'AEO Table 1'!G$22/'AEO Table 1'!$C$22</f>
        <v>1.0193860125425374</v>
      </c>
      <c r="G13">
        <f>'AEO Table 1'!H$22/'AEO Table 1'!$C$22</f>
        <v>1.0258937490414868</v>
      </c>
      <c r="H13">
        <f>'AEO Table 1'!I$22/'AEO Table 1'!$C$22</f>
        <v>1.0321171438163965</v>
      </c>
      <c r="I13">
        <f>'AEO Table 1'!J$22/'AEO Table 1'!$C$22</f>
        <v>1.0377774507894009</v>
      </c>
      <c r="J13">
        <f>'AEO Table 1'!K$22/'AEO Table 1'!$C$22</f>
        <v>1.0453568571535157</v>
      </c>
      <c r="K13">
        <f>'AEO Table 1'!L$22/'AEO Table 1'!$C$22</f>
        <v>1.052931911348385</v>
      </c>
      <c r="L13">
        <f>'AEO Table 1'!M$22/'AEO Table 1'!$C$22</f>
        <v>1.0582749244587766</v>
      </c>
      <c r="M13">
        <f>'AEO Table 1'!N$22/'AEO Table 1'!$C$22</f>
        <v>1.0628623180896879</v>
      </c>
      <c r="N13">
        <f>'AEO Table 1'!O$22/'AEO Table 1'!$C$22</f>
        <v>1.066234420270332</v>
      </c>
      <c r="O13">
        <f>'AEO Table 1'!P$22/'AEO Table 1'!$C$22</f>
        <v>1.0677585084908752</v>
      </c>
      <c r="P13">
        <f>'AEO Table 1'!Q$22/'AEO Table 1'!$C$22</f>
        <v>1.0708429530090071</v>
      </c>
      <c r="Q13">
        <f>'AEO Table 1'!R$22/'AEO Table 1'!$C$22</f>
        <v>1.0723017586908676</v>
      </c>
      <c r="R13">
        <f>'AEO Table 1'!S$22/'AEO Table 1'!$C$22</f>
        <v>1.0754802929631642</v>
      </c>
      <c r="S13">
        <f>'AEO Table 1'!T$22/'AEO Table 1'!$C$22</f>
        <v>1.0785232882503866</v>
      </c>
      <c r="T13">
        <f>'AEO Table 1'!U$22/'AEO Table 1'!$C$22</f>
        <v>1.0805518136110985</v>
      </c>
      <c r="U13">
        <f>'AEO Table 1'!V$22/'AEO Table 1'!$C$22</f>
        <v>1.0834804090210106</v>
      </c>
      <c r="V13">
        <f>'AEO Table 1'!W$22/'AEO Table 1'!$C$22</f>
        <v>1.0859509904293727</v>
      </c>
      <c r="W13">
        <f>'AEO Table 1'!X$22/'AEO Table 1'!$C$22</f>
        <v>1.0896497125495836</v>
      </c>
      <c r="X13">
        <f>'AEO Table 1'!Y$22/'AEO Table 1'!$C$22</f>
        <v>1.0949023663365929</v>
      </c>
      <c r="Y13">
        <f>'AEO Table 1'!Z$22/'AEO Table 1'!$C$22</f>
        <v>1.0975258954070106</v>
      </c>
      <c r="Z13">
        <f>'AEO Table 1'!AA$22/'AEO Table 1'!$C$22</f>
        <v>1.1024067495927614</v>
      </c>
      <c r="AA13">
        <f>'AEO Table 1'!AB$22/'AEO Table 1'!$C$22</f>
        <v>1.1089507541687564</v>
      </c>
      <c r="AB13">
        <f>'AEO Table 1'!AC$22/'AEO Table 1'!$C$22</f>
        <v>1.1146869132343251</v>
      </c>
      <c r="AC13">
        <f>'AEO Table 1'!AD$22/'AEO Table 1'!$C$22</f>
        <v>1.1241371306355412</v>
      </c>
      <c r="AD13">
        <f>'AEO Table 1'!AE$22/'AEO Table 1'!$C$22</f>
        <v>1.1320091685698772</v>
      </c>
      <c r="AE13">
        <f>'AEO Table 1'!AF$22/'AEO Table 1'!$C$22</f>
        <v>1.1400608889202062</v>
      </c>
      <c r="AF13">
        <f>'AEO Table 1'!AG$22/'AEO Table 1'!$C$22</f>
        <v>1.149402716582594</v>
      </c>
      <c r="AG13">
        <f>'AEO Table 1'!AH$22/'AEO Table 1'!$C$22</f>
        <v>1.1603109106810525</v>
      </c>
    </row>
    <row r="14" spans="1:35" x14ac:dyDescent="0.3">
      <c r="A14" t="s">
        <v>763</v>
      </c>
      <c r="B14">
        <f>'AEO Table 1'!C$22/'AEO Table 1'!$C$22</f>
        <v>1</v>
      </c>
      <c r="C14">
        <f>'AEO Table 1'!D$22/'AEO Table 1'!$C$22</f>
        <v>0.98791071006677489</v>
      </c>
      <c r="D14">
        <f>'AEO Table 1'!E$22/'AEO Table 1'!$C$22</f>
        <v>1.000300506924094</v>
      </c>
      <c r="E14">
        <f>'AEO Table 1'!F$22/'AEO Table 1'!$C$22</f>
        <v>1.0136873650309419</v>
      </c>
      <c r="F14">
        <f>'AEO Table 1'!G$22/'AEO Table 1'!$C$22</f>
        <v>1.0193860125425374</v>
      </c>
      <c r="G14">
        <f>'AEO Table 1'!H$22/'AEO Table 1'!$C$22</f>
        <v>1.0258937490414868</v>
      </c>
      <c r="H14">
        <f>'AEO Table 1'!I$22/'AEO Table 1'!$C$22</f>
        <v>1.0321171438163965</v>
      </c>
      <c r="I14">
        <f>'AEO Table 1'!J$22/'AEO Table 1'!$C$22</f>
        <v>1.0377774507894009</v>
      </c>
      <c r="J14">
        <f>'AEO Table 1'!K$22/'AEO Table 1'!$C$22</f>
        <v>1.0453568571535157</v>
      </c>
      <c r="K14">
        <f>'AEO Table 1'!L$22/'AEO Table 1'!$C$22</f>
        <v>1.052931911348385</v>
      </c>
      <c r="L14">
        <f>'AEO Table 1'!M$22/'AEO Table 1'!$C$22</f>
        <v>1.0582749244587766</v>
      </c>
      <c r="M14">
        <f>'AEO Table 1'!N$22/'AEO Table 1'!$C$22</f>
        <v>1.0628623180896879</v>
      </c>
      <c r="N14">
        <f>'AEO Table 1'!O$22/'AEO Table 1'!$C$22</f>
        <v>1.066234420270332</v>
      </c>
      <c r="O14">
        <f>'AEO Table 1'!P$22/'AEO Table 1'!$C$22</f>
        <v>1.0677585084908752</v>
      </c>
      <c r="P14">
        <f>'AEO Table 1'!Q$22/'AEO Table 1'!$C$22</f>
        <v>1.0708429530090071</v>
      </c>
      <c r="Q14">
        <f>'AEO Table 1'!R$22/'AEO Table 1'!$C$22</f>
        <v>1.0723017586908676</v>
      </c>
      <c r="R14">
        <f>'AEO Table 1'!S$22/'AEO Table 1'!$C$22</f>
        <v>1.0754802929631642</v>
      </c>
      <c r="S14">
        <f>'AEO Table 1'!T$22/'AEO Table 1'!$C$22</f>
        <v>1.0785232882503866</v>
      </c>
      <c r="T14">
        <f>'AEO Table 1'!U$22/'AEO Table 1'!$C$22</f>
        <v>1.0805518136110985</v>
      </c>
      <c r="U14">
        <f>'AEO Table 1'!V$22/'AEO Table 1'!$C$22</f>
        <v>1.0834804090210106</v>
      </c>
      <c r="V14">
        <f>'AEO Table 1'!W$22/'AEO Table 1'!$C$22</f>
        <v>1.0859509904293727</v>
      </c>
      <c r="W14">
        <f>'AEO Table 1'!X$22/'AEO Table 1'!$C$22</f>
        <v>1.0896497125495836</v>
      </c>
      <c r="X14">
        <f>'AEO Table 1'!Y$22/'AEO Table 1'!$C$22</f>
        <v>1.0949023663365929</v>
      </c>
      <c r="Y14">
        <f>'AEO Table 1'!Z$22/'AEO Table 1'!$C$22</f>
        <v>1.0975258954070106</v>
      </c>
      <c r="Z14">
        <f>'AEO Table 1'!AA$22/'AEO Table 1'!$C$22</f>
        <v>1.1024067495927614</v>
      </c>
      <c r="AA14">
        <f>'AEO Table 1'!AB$22/'AEO Table 1'!$C$22</f>
        <v>1.1089507541687564</v>
      </c>
      <c r="AB14">
        <f>'AEO Table 1'!AC$22/'AEO Table 1'!$C$22</f>
        <v>1.1146869132343251</v>
      </c>
      <c r="AC14">
        <f>'AEO Table 1'!AD$22/'AEO Table 1'!$C$22</f>
        <v>1.1241371306355412</v>
      </c>
      <c r="AD14">
        <f>'AEO Table 1'!AE$22/'AEO Table 1'!$C$22</f>
        <v>1.1320091685698772</v>
      </c>
      <c r="AE14">
        <f>'AEO Table 1'!AF$22/'AEO Table 1'!$C$22</f>
        <v>1.1400608889202062</v>
      </c>
      <c r="AF14">
        <f>'AEO Table 1'!AG$22/'AEO Table 1'!$C$22</f>
        <v>1.149402716582594</v>
      </c>
      <c r="AG14">
        <f>'AEO Table 1'!AH$22/'AEO Table 1'!$C$22</f>
        <v>1.1603109106810525</v>
      </c>
    </row>
    <row r="15" spans="1:35" x14ac:dyDescent="0.3">
      <c r="A15" t="s">
        <v>764</v>
      </c>
      <c r="B15">
        <f>'AEO Table 1'!C$16/'AEO Table 1'!$C$16</f>
        <v>1</v>
      </c>
      <c r="C15">
        <f>'AEO Table 1'!D$16/'AEO Table 1'!$C$16</f>
        <v>1.1332856068157029</v>
      </c>
      <c r="D15">
        <f>'AEO Table 1'!E$16/'AEO Table 1'!$C$16</f>
        <v>1.2555025610896953</v>
      </c>
      <c r="E15">
        <f>'AEO Table 1'!F$16/'AEO Table 1'!$C$16</f>
        <v>1.3303230146019871</v>
      </c>
      <c r="F15">
        <f>'AEO Table 1'!G$16/'AEO Table 1'!$C$16</f>
        <v>1.3645781017752501</v>
      </c>
      <c r="G15">
        <f>'AEO Table 1'!H$16/'AEO Table 1'!$C$16</f>
        <v>1.3973668753862289</v>
      </c>
      <c r="H15">
        <f>'AEO Table 1'!I$16/'AEO Table 1'!$C$16</f>
        <v>1.4158922040865449</v>
      </c>
      <c r="I15">
        <f>'AEO Table 1'!J$16/'AEO Table 1'!$C$16</f>
        <v>1.436462257693363</v>
      </c>
      <c r="J15">
        <f>'AEO Table 1'!K$16/'AEO Table 1'!$C$16</f>
        <v>1.4466574556101606</v>
      </c>
      <c r="K15">
        <f>'AEO Table 1'!L$16/'AEO Table 1'!$C$16</f>
        <v>1.4562913840567764</v>
      </c>
      <c r="L15">
        <f>'AEO Table 1'!M$16/'AEO Table 1'!$C$16</f>
        <v>1.463432712209177</v>
      </c>
      <c r="M15">
        <f>'AEO Table 1'!N$16/'AEO Table 1'!$C$16</f>
        <v>1.4731922175735681</v>
      </c>
      <c r="N15">
        <f>'AEO Table 1'!O$16/'AEO Table 1'!$C$16</f>
        <v>1.4901232738933321</v>
      </c>
      <c r="O15">
        <f>'AEO Table 1'!P$16/'AEO Table 1'!$C$16</f>
        <v>1.5008012557067019</v>
      </c>
      <c r="P15">
        <f>'AEO Table 1'!Q$16/'AEO Table 1'!$C$16</f>
        <v>1.5153940276461333</v>
      </c>
      <c r="Q15">
        <f>'AEO Table 1'!R$16/'AEO Table 1'!$C$16</f>
        <v>1.5010245295922242</v>
      </c>
      <c r="R15">
        <f>'AEO Table 1'!S$16/'AEO Table 1'!$C$16</f>
        <v>1.5074766294561748</v>
      </c>
      <c r="S15">
        <f>'AEO Table 1'!T$16/'AEO Table 1'!$C$16</f>
        <v>1.506083764333672</v>
      </c>
      <c r="T15">
        <f>'AEO Table 1'!U$16/'AEO Table 1'!$C$16</f>
        <v>1.5037162723866433</v>
      </c>
      <c r="U15">
        <f>'AEO Table 1'!V$16/'AEO Table 1'!$C$16</f>
        <v>1.4950955497430243</v>
      </c>
      <c r="V15">
        <f>'AEO Table 1'!W$16/'AEO Table 1'!$C$16</f>
        <v>1.4930995561777478</v>
      </c>
      <c r="W15">
        <f>'AEO Table 1'!X$16/'AEO Table 1'!$C$16</f>
        <v>1.4932024855170689</v>
      </c>
      <c r="X15">
        <f>'AEO Table 1'!Y$16/'AEO Table 1'!$C$16</f>
        <v>1.4930535191174066</v>
      </c>
      <c r="Y15">
        <f>'AEO Table 1'!Z$16/'AEO Table 1'!$C$16</f>
        <v>1.494486017502205</v>
      </c>
      <c r="Z15">
        <f>'AEO Table 1'!AA$16/'AEO Table 1'!$C$16</f>
        <v>1.4838095585432487</v>
      </c>
      <c r="AA15">
        <f>'AEO Table 1'!AB$16/'AEO Table 1'!$C$16</f>
        <v>1.4830291542277447</v>
      </c>
      <c r="AB15">
        <f>'AEO Table 1'!AC$16/'AEO Table 1'!$C$16</f>
        <v>1.4857180855986314</v>
      </c>
      <c r="AC15">
        <f>'AEO Table 1'!AD$16/'AEO Table 1'!$C$16</f>
        <v>1.4886721498276327</v>
      </c>
      <c r="AD15">
        <f>'AEO Table 1'!AE$16/'AEO Table 1'!$C$16</f>
        <v>1.4983643372174451</v>
      </c>
      <c r="AE15">
        <f>'AEO Table 1'!AF$16/'AEO Table 1'!$C$16</f>
        <v>1.5133122466155733</v>
      </c>
      <c r="AF15">
        <f>'AEO Table 1'!AG$16/'AEO Table 1'!$C$16</f>
        <v>1.5323391020360098</v>
      </c>
      <c r="AG15">
        <f>'AEO Table 1'!AH$16/'AEO Table 1'!$C$16</f>
        <v>1.5448237358492658</v>
      </c>
    </row>
    <row r="16" spans="1:35" x14ac:dyDescent="0.3">
      <c r="A16" s="7" t="s">
        <v>765</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c r="AI16" s="7"/>
    </row>
    <row r="17" spans="1:35" x14ac:dyDescent="0.3">
      <c r="A17" s="7" t="s">
        <v>766</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c r="AI17" s="7"/>
    </row>
    <row r="18" spans="1:35" x14ac:dyDescent="0.3">
      <c r="A18" t="s">
        <v>767</v>
      </c>
      <c r="B18">
        <f>'AEO Table 1'!C$19/'AEO Table 1'!$C$19</f>
        <v>1</v>
      </c>
      <c r="C18">
        <f>'AEO Table 1'!D$19/'AEO Table 1'!$C$19</f>
        <v>0.90812016497404591</v>
      </c>
      <c r="D18">
        <f>'AEO Table 1'!E$19/'AEO Table 1'!$C$19</f>
        <v>0.85455326701682643</v>
      </c>
      <c r="E18">
        <f>'AEO Table 1'!F$19/'AEO Table 1'!$C$19</f>
        <v>0.83991896466840965</v>
      </c>
      <c r="F18">
        <f>'AEO Table 1'!G$19/'AEO Table 1'!$C$19</f>
        <v>0.79480319522442144</v>
      </c>
      <c r="G18">
        <f>'AEO Table 1'!H$19/'AEO Table 1'!$C$19</f>
        <v>0.77118027008387457</v>
      </c>
      <c r="H18">
        <f>'AEO Table 1'!I$19/'AEO Table 1'!$C$19</f>
        <v>0.69476212783182068</v>
      </c>
      <c r="I18">
        <f>'AEO Table 1'!J$19/'AEO Table 1'!$C$19</f>
        <v>0.70824708849282514</v>
      </c>
      <c r="J18">
        <f>'AEO Table 1'!K$19/'AEO Table 1'!$C$19</f>
        <v>0.70487113217267283</v>
      </c>
      <c r="K18">
        <f>'AEO Table 1'!L$19/'AEO Table 1'!$C$19</f>
        <v>0.69625309598989027</v>
      </c>
      <c r="L18">
        <f>'AEO Table 1'!M$19/'AEO Table 1'!$C$19</f>
        <v>0.68403457029970505</v>
      </c>
      <c r="M18">
        <f>'AEO Table 1'!N$19/'AEO Table 1'!$C$19</f>
        <v>0.67194544410962198</v>
      </c>
      <c r="N18">
        <f>'AEO Table 1'!O$19/'AEO Table 1'!$C$19</f>
        <v>0.66548254333685786</v>
      </c>
      <c r="O18">
        <f>'AEO Table 1'!P$19/'AEO Table 1'!$C$19</f>
        <v>0.66381530888935514</v>
      </c>
      <c r="P18">
        <f>'AEO Table 1'!Q$19/'AEO Table 1'!$C$19</f>
        <v>0.66285711885528309</v>
      </c>
      <c r="Q18">
        <f>'AEO Table 1'!R$19/'AEO Table 1'!$C$19</f>
        <v>0.66253936791881318</v>
      </c>
      <c r="R18">
        <f>'AEO Table 1'!S$19/'AEO Table 1'!$C$19</f>
        <v>0.65437209297869914</v>
      </c>
      <c r="S18">
        <f>'AEO Table 1'!T$19/'AEO Table 1'!$C$19</f>
        <v>0.65379952229772242</v>
      </c>
      <c r="T18">
        <f>'AEO Table 1'!U$19/'AEO Table 1'!$C$19</f>
        <v>0.65330196795564333</v>
      </c>
      <c r="U18">
        <f>'AEO Table 1'!V$19/'AEO Table 1'!$C$19</f>
        <v>0.65027338591993433</v>
      </c>
      <c r="V18">
        <f>'AEO Table 1'!W$19/'AEO Table 1'!$C$19</f>
        <v>0.64717693546759969</v>
      </c>
      <c r="W18">
        <f>'AEO Table 1'!X$19/'AEO Table 1'!$C$19</f>
        <v>0.64068080054076604</v>
      </c>
      <c r="X18">
        <f>'AEO Table 1'!Y$19/'AEO Table 1'!$C$19</f>
        <v>0.63596339291089699</v>
      </c>
      <c r="Y18">
        <f>'AEO Table 1'!Z$19/'AEO Table 1'!$C$19</f>
        <v>0.63359411459239479</v>
      </c>
      <c r="Z18">
        <f>'AEO Table 1'!AA$19/'AEO Table 1'!$C$19</f>
        <v>0.63220660708247078</v>
      </c>
      <c r="AA18">
        <f>'AEO Table 1'!AB$19/'AEO Table 1'!$C$19</f>
        <v>0.62954109528423563</v>
      </c>
      <c r="AB18">
        <f>'AEO Table 1'!AC$19/'AEO Table 1'!$C$19</f>
        <v>0.62658038166515195</v>
      </c>
      <c r="AC18">
        <f>'AEO Table 1'!AD$19/'AEO Table 1'!$C$19</f>
        <v>0.62680719923993267</v>
      </c>
      <c r="AD18">
        <f>'AEO Table 1'!AE$19/'AEO Table 1'!$C$19</f>
        <v>0.6250437994463971</v>
      </c>
      <c r="AE18">
        <f>'AEO Table 1'!AF$19/'AEO Table 1'!$C$19</f>
        <v>0.62295100570897921</v>
      </c>
      <c r="AF18">
        <f>'AEO Table 1'!AG$19/'AEO Table 1'!$C$19</f>
        <v>0.6233543106429541</v>
      </c>
      <c r="AG18">
        <f>'AEO Table 1'!AH$19/'AEO Table 1'!$C$19</f>
        <v>0.6213817051655971</v>
      </c>
    </row>
    <row r="19" spans="1:35" x14ac:dyDescent="0.3">
      <c r="A19" t="s">
        <v>768</v>
      </c>
      <c r="B19">
        <f>'AEO Table 1'!C$16/'AEO Table 1'!$C$16</f>
        <v>1</v>
      </c>
      <c r="C19">
        <f>'AEO Table 1'!D$16/'AEO Table 1'!$C$16</f>
        <v>1.1332856068157029</v>
      </c>
      <c r="D19">
        <f>'AEO Table 1'!E$16/'AEO Table 1'!$C$16</f>
        <v>1.2555025610896953</v>
      </c>
      <c r="E19">
        <f>'AEO Table 1'!F$16/'AEO Table 1'!$C$16</f>
        <v>1.3303230146019871</v>
      </c>
      <c r="F19">
        <f>'AEO Table 1'!G$16/'AEO Table 1'!$C$16</f>
        <v>1.3645781017752501</v>
      </c>
      <c r="G19">
        <f>'AEO Table 1'!H$16/'AEO Table 1'!$C$16</f>
        <v>1.3973668753862289</v>
      </c>
      <c r="H19">
        <f>'AEO Table 1'!I$16/'AEO Table 1'!$C$16</f>
        <v>1.4158922040865449</v>
      </c>
      <c r="I19">
        <f>'AEO Table 1'!J$16/'AEO Table 1'!$C$16</f>
        <v>1.436462257693363</v>
      </c>
      <c r="J19">
        <f>'AEO Table 1'!K$16/'AEO Table 1'!$C$16</f>
        <v>1.4466574556101606</v>
      </c>
      <c r="K19">
        <f>'AEO Table 1'!L$16/'AEO Table 1'!$C$16</f>
        <v>1.4562913840567764</v>
      </c>
      <c r="L19">
        <f>'AEO Table 1'!M$16/'AEO Table 1'!$C$16</f>
        <v>1.463432712209177</v>
      </c>
      <c r="M19">
        <f>'AEO Table 1'!N$16/'AEO Table 1'!$C$16</f>
        <v>1.4731922175735681</v>
      </c>
      <c r="N19">
        <f>'AEO Table 1'!O$16/'AEO Table 1'!$C$16</f>
        <v>1.4901232738933321</v>
      </c>
      <c r="O19">
        <f>'AEO Table 1'!P$16/'AEO Table 1'!$C$16</f>
        <v>1.5008012557067019</v>
      </c>
      <c r="P19">
        <f>'AEO Table 1'!Q$16/'AEO Table 1'!$C$16</f>
        <v>1.5153940276461333</v>
      </c>
      <c r="Q19">
        <f>'AEO Table 1'!R$16/'AEO Table 1'!$C$16</f>
        <v>1.5010245295922242</v>
      </c>
      <c r="R19">
        <f>'AEO Table 1'!S$16/'AEO Table 1'!$C$16</f>
        <v>1.5074766294561748</v>
      </c>
      <c r="S19">
        <f>'AEO Table 1'!T$16/'AEO Table 1'!$C$16</f>
        <v>1.506083764333672</v>
      </c>
      <c r="T19">
        <f>'AEO Table 1'!U$16/'AEO Table 1'!$C$16</f>
        <v>1.5037162723866433</v>
      </c>
      <c r="U19">
        <f>'AEO Table 1'!V$16/'AEO Table 1'!$C$16</f>
        <v>1.4950955497430243</v>
      </c>
      <c r="V19">
        <f>'AEO Table 1'!W$16/'AEO Table 1'!$C$16</f>
        <v>1.4930995561777478</v>
      </c>
      <c r="W19">
        <f>'AEO Table 1'!X$16/'AEO Table 1'!$C$16</f>
        <v>1.4932024855170689</v>
      </c>
      <c r="X19">
        <f>'AEO Table 1'!Y$16/'AEO Table 1'!$C$16</f>
        <v>1.4930535191174066</v>
      </c>
      <c r="Y19">
        <f>'AEO Table 1'!Z$16/'AEO Table 1'!$C$16</f>
        <v>1.494486017502205</v>
      </c>
      <c r="Z19">
        <f>'AEO Table 1'!AA$16/'AEO Table 1'!$C$16</f>
        <v>1.4838095585432487</v>
      </c>
      <c r="AA19">
        <f>'AEO Table 1'!AB$16/'AEO Table 1'!$C$16</f>
        <v>1.4830291542277447</v>
      </c>
      <c r="AB19">
        <f>'AEO Table 1'!AC$16/'AEO Table 1'!$C$16</f>
        <v>1.4857180855986314</v>
      </c>
      <c r="AC19">
        <f>'AEO Table 1'!AD$16/'AEO Table 1'!$C$16</f>
        <v>1.4886721498276327</v>
      </c>
      <c r="AD19">
        <f>'AEO Table 1'!AE$16/'AEO Table 1'!$C$16</f>
        <v>1.4983643372174451</v>
      </c>
      <c r="AE19">
        <f>'AEO Table 1'!AF$16/'AEO Table 1'!$C$16</f>
        <v>1.5133122466155733</v>
      </c>
      <c r="AF19">
        <f>'AEO Table 1'!AG$16/'AEO Table 1'!$C$16</f>
        <v>1.5323391020360098</v>
      </c>
      <c r="AG19">
        <f>'AEO Table 1'!AH$16/'AEO Table 1'!$C$16</f>
        <v>1.5448237358492658</v>
      </c>
    </row>
    <row r="20" spans="1:35" x14ac:dyDescent="0.3">
      <c r="A20" t="s">
        <v>769</v>
      </c>
      <c r="B20">
        <f>'AEO Table 1'!C$16/'AEO Table 1'!$C$16</f>
        <v>1</v>
      </c>
      <c r="C20">
        <f>'AEO Table 1'!D$16/'AEO Table 1'!$C$16</f>
        <v>1.1332856068157029</v>
      </c>
      <c r="D20">
        <f>'AEO Table 1'!E$16/'AEO Table 1'!$C$16</f>
        <v>1.2555025610896953</v>
      </c>
      <c r="E20">
        <f>'AEO Table 1'!F$16/'AEO Table 1'!$C$16</f>
        <v>1.3303230146019871</v>
      </c>
      <c r="F20">
        <f>'AEO Table 1'!G$16/'AEO Table 1'!$C$16</f>
        <v>1.3645781017752501</v>
      </c>
      <c r="G20">
        <f>'AEO Table 1'!H$16/'AEO Table 1'!$C$16</f>
        <v>1.3973668753862289</v>
      </c>
      <c r="H20">
        <f>'AEO Table 1'!I$16/'AEO Table 1'!$C$16</f>
        <v>1.4158922040865449</v>
      </c>
      <c r="I20">
        <f>'AEO Table 1'!J$16/'AEO Table 1'!$C$16</f>
        <v>1.436462257693363</v>
      </c>
      <c r="J20">
        <f>'AEO Table 1'!K$16/'AEO Table 1'!$C$16</f>
        <v>1.4466574556101606</v>
      </c>
      <c r="K20">
        <f>'AEO Table 1'!L$16/'AEO Table 1'!$C$16</f>
        <v>1.4562913840567764</v>
      </c>
      <c r="L20">
        <f>'AEO Table 1'!M$16/'AEO Table 1'!$C$16</f>
        <v>1.463432712209177</v>
      </c>
      <c r="M20">
        <f>'AEO Table 1'!N$16/'AEO Table 1'!$C$16</f>
        <v>1.4731922175735681</v>
      </c>
      <c r="N20">
        <f>'AEO Table 1'!O$16/'AEO Table 1'!$C$16</f>
        <v>1.4901232738933321</v>
      </c>
      <c r="O20">
        <f>'AEO Table 1'!P$16/'AEO Table 1'!$C$16</f>
        <v>1.5008012557067019</v>
      </c>
      <c r="P20">
        <f>'AEO Table 1'!Q$16/'AEO Table 1'!$C$16</f>
        <v>1.5153940276461333</v>
      </c>
      <c r="Q20">
        <f>'AEO Table 1'!R$16/'AEO Table 1'!$C$16</f>
        <v>1.5010245295922242</v>
      </c>
      <c r="R20">
        <f>'AEO Table 1'!S$16/'AEO Table 1'!$C$16</f>
        <v>1.5074766294561748</v>
      </c>
      <c r="S20">
        <f>'AEO Table 1'!T$16/'AEO Table 1'!$C$16</f>
        <v>1.506083764333672</v>
      </c>
      <c r="T20">
        <f>'AEO Table 1'!U$16/'AEO Table 1'!$C$16</f>
        <v>1.5037162723866433</v>
      </c>
      <c r="U20">
        <f>'AEO Table 1'!V$16/'AEO Table 1'!$C$16</f>
        <v>1.4950955497430243</v>
      </c>
      <c r="V20">
        <f>'AEO Table 1'!W$16/'AEO Table 1'!$C$16</f>
        <v>1.4930995561777478</v>
      </c>
      <c r="W20">
        <f>'AEO Table 1'!X$16/'AEO Table 1'!$C$16</f>
        <v>1.4932024855170689</v>
      </c>
      <c r="X20">
        <f>'AEO Table 1'!Y$16/'AEO Table 1'!$C$16</f>
        <v>1.4930535191174066</v>
      </c>
      <c r="Y20">
        <f>'AEO Table 1'!Z$16/'AEO Table 1'!$C$16</f>
        <v>1.494486017502205</v>
      </c>
      <c r="Z20">
        <f>'AEO Table 1'!AA$16/'AEO Table 1'!$C$16</f>
        <v>1.4838095585432487</v>
      </c>
      <c r="AA20">
        <f>'AEO Table 1'!AB$16/'AEO Table 1'!$C$16</f>
        <v>1.4830291542277447</v>
      </c>
      <c r="AB20">
        <f>'AEO Table 1'!AC$16/'AEO Table 1'!$C$16</f>
        <v>1.4857180855986314</v>
      </c>
      <c r="AC20">
        <f>'AEO Table 1'!AD$16/'AEO Table 1'!$C$16</f>
        <v>1.4886721498276327</v>
      </c>
      <c r="AD20">
        <f>'AEO Table 1'!AE$16/'AEO Table 1'!$C$16</f>
        <v>1.4983643372174451</v>
      </c>
      <c r="AE20">
        <f>'AEO Table 1'!AF$16/'AEO Table 1'!$C$16</f>
        <v>1.5133122466155733</v>
      </c>
      <c r="AF20">
        <f>'AEO Table 1'!AG$16/'AEO Table 1'!$C$16</f>
        <v>1.5323391020360098</v>
      </c>
      <c r="AG20">
        <f>'AEO Table 1'!AH$16/'AEO Table 1'!$C$16</f>
        <v>1.5448237358492658</v>
      </c>
    </row>
    <row r="21" spans="1:35" x14ac:dyDescent="0.3">
      <c r="A21" t="s">
        <v>770</v>
      </c>
      <c r="B21">
        <f>'AEO Table 1'!C$17/'AEO Table 1'!$C$17</f>
        <v>1</v>
      </c>
      <c r="C21">
        <f>'AEO Table 1'!D$17/'AEO Table 1'!$C$17</f>
        <v>1.1643941397494237</v>
      </c>
      <c r="D21">
        <f>'AEO Table 1'!E$17/'AEO Table 1'!$C$17</f>
        <v>1.2524867833542517</v>
      </c>
      <c r="E21">
        <f>'AEO Table 1'!F$17/'AEO Table 1'!$C$17</f>
        <v>1.3762147635635913</v>
      </c>
      <c r="F21">
        <f>'AEO Table 1'!G$17/'AEO Table 1'!$C$17</f>
        <v>1.3865702641450901</v>
      </c>
      <c r="G21">
        <f>'AEO Table 1'!H$17/'AEO Table 1'!$C$17</f>
        <v>1.4057283794882143</v>
      </c>
      <c r="H21">
        <f>'AEO Table 1'!I$17/'AEO Table 1'!$C$17</f>
        <v>1.421256783272457</v>
      </c>
      <c r="I21">
        <f>'AEO Table 1'!J$17/'AEO Table 1'!$C$17</f>
        <v>1.459117539157655</v>
      </c>
      <c r="J21">
        <f>'AEO Table 1'!K$17/'AEO Table 1'!$C$17</f>
        <v>1.4978568297439132</v>
      </c>
      <c r="K21">
        <f>'AEO Table 1'!L$17/'AEO Table 1'!$C$17</f>
        <v>1.5174999568306224</v>
      </c>
      <c r="L21">
        <f>'AEO Table 1'!M$17/'AEO Table 1'!$C$17</f>
        <v>1.531193737804651</v>
      </c>
      <c r="M21">
        <f>'AEO Table 1'!N$17/'AEO Table 1'!$C$17</f>
        <v>1.5253629938766131</v>
      </c>
      <c r="N21">
        <f>'AEO Table 1'!O$17/'AEO Table 1'!$C$17</f>
        <v>1.5282106580800503</v>
      </c>
      <c r="O21">
        <f>'AEO Table 1'!P$17/'AEO Table 1'!$C$17</f>
        <v>1.5336095567610666</v>
      </c>
      <c r="P21">
        <f>'AEO Table 1'!Q$17/'AEO Table 1'!$C$17</f>
        <v>1.5419009552095746</v>
      </c>
      <c r="Q21">
        <f>'AEO Table 1'!R$17/'AEO Table 1'!$C$17</f>
        <v>1.5400407337158293</v>
      </c>
      <c r="R21">
        <f>'AEO Table 1'!S$17/'AEO Table 1'!$C$17</f>
        <v>1.5451651660385144</v>
      </c>
      <c r="S21">
        <f>'AEO Table 1'!T$17/'AEO Table 1'!$C$17</f>
        <v>1.5459081337469109</v>
      </c>
      <c r="T21">
        <f>'AEO Table 1'!U$17/'AEO Table 1'!$C$17</f>
        <v>1.5415654458366694</v>
      </c>
      <c r="U21">
        <f>'AEO Table 1'!V$17/'AEO Table 1'!$C$17</f>
        <v>1.5496373620814123</v>
      </c>
      <c r="V21">
        <f>'AEO Table 1'!W$17/'AEO Table 1'!$C$17</f>
        <v>1.549543449751299</v>
      </c>
      <c r="W21">
        <f>'AEO Table 1'!X$17/'AEO Table 1'!$C$17</f>
        <v>1.5486534032162247</v>
      </c>
      <c r="X21">
        <f>'AEO Table 1'!Y$17/'AEO Table 1'!$C$17</f>
        <v>1.5423765757201486</v>
      </c>
      <c r="Y21">
        <f>'AEO Table 1'!Z$17/'AEO Table 1'!$C$17</f>
        <v>1.5458325494683198</v>
      </c>
      <c r="Z21">
        <f>'AEO Table 1'!AA$17/'AEO Table 1'!$C$17</f>
        <v>1.5452740740471458</v>
      </c>
      <c r="AA21">
        <f>'AEO Table 1'!AB$17/'AEO Table 1'!$C$17</f>
        <v>1.5398662385476185</v>
      </c>
      <c r="AB21">
        <f>'AEO Table 1'!AC$17/'AEO Table 1'!$C$17</f>
        <v>1.5443017784874722</v>
      </c>
      <c r="AC21">
        <f>'AEO Table 1'!AD$17/'AEO Table 1'!$C$17</f>
        <v>1.5500214938058761</v>
      </c>
      <c r="AD21">
        <f>'AEO Table 1'!AE$17/'AEO Table 1'!$C$17</f>
        <v>1.5584580019515588</v>
      </c>
      <c r="AE21">
        <f>'AEO Table 1'!AF$17/'AEO Table 1'!$C$17</f>
        <v>1.5707527921498987</v>
      </c>
      <c r="AF21">
        <f>'AEO Table 1'!AG$17/'AEO Table 1'!$C$17</f>
        <v>1.586712586766662</v>
      </c>
      <c r="AG21">
        <f>'AEO Table 1'!AH$17/'AEO Table 1'!$C$17</f>
        <v>1.5985688669719726</v>
      </c>
    </row>
    <row r="22" spans="1:35" x14ac:dyDescent="0.3">
      <c r="A22" t="s">
        <v>771</v>
      </c>
      <c r="B22">
        <f>'AEO Table 1'!C$24/'AEO Table 1'!$C$24</f>
        <v>1</v>
      </c>
      <c r="C22">
        <f>'AEO Table 1'!D$24/'AEO Table 1'!$C$24</f>
        <v>0.5433325486426025</v>
      </c>
      <c r="D22">
        <f>'AEO Table 1'!E$24/'AEO Table 1'!$C$24</f>
        <v>0.51899256987154097</v>
      </c>
      <c r="E22">
        <f>'AEO Table 1'!F$24/'AEO Table 1'!$C$24</f>
        <v>0.544840846394675</v>
      </c>
      <c r="F22">
        <f>'AEO Table 1'!G$24/'AEO Table 1'!$C$24</f>
        <v>0.60251772954670724</v>
      </c>
      <c r="G22">
        <f>'AEO Table 1'!H$24/'AEO Table 1'!$C$24</f>
        <v>0.62126291039442694</v>
      </c>
      <c r="H22">
        <f>'AEO Table 1'!I$24/'AEO Table 1'!$C$24</f>
        <v>0.57490601331530899</v>
      </c>
      <c r="I22">
        <f>'AEO Table 1'!J$24/'AEO Table 1'!$C$24</f>
        <v>0.4688127723217495</v>
      </c>
      <c r="J22">
        <f>'AEO Table 1'!K$24/'AEO Table 1'!$C$24</f>
        <v>0.43877509307042911</v>
      </c>
      <c r="K22">
        <f>'AEO Table 1'!L$24/'AEO Table 1'!$C$24</f>
        <v>0.44918516680786402</v>
      </c>
      <c r="L22">
        <f>'AEO Table 1'!M$24/'AEO Table 1'!$C$24</f>
        <v>0.44281296121137459</v>
      </c>
      <c r="M22">
        <f>'AEO Table 1'!N$24/'AEO Table 1'!$C$24</f>
        <v>0.41218183022769656</v>
      </c>
      <c r="N22">
        <f>'AEO Table 1'!O$24/'AEO Table 1'!$C$24</f>
        <v>0.40761676268555941</v>
      </c>
      <c r="O22">
        <f>'AEO Table 1'!P$24/'AEO Table 1'!$C$24</f>
        <v>0.41492777791090896</v>
      </c>
      <c r="P22">
        <f>'AEO Table 1'!Q$24/'AEO Table 1'!$C$24</f>
        <v>0.39967987437430319</v>
      </c>
      <c r="Q22">
        <f>'AEO Table 1'!R$24/'AEO Table 1'!$C$24</f>
        <v>0.40907219953510598</v>
      </c>
      <c r="R22">
        <f>'AEO Table 1'!S$24/'AEO Table 1'!$C$24</f>
        <v>0.40764636479097394</v>
      </c>
      <c r="S22">
        <f>'AEO Table 1'!T$24/'AEO Table 1'!$C$24</f>
        <v>0.40346189574702329</v>
      </c>
      <c r="T22">
        <f>'AEO Table 1'!U$24/'AEO Table 1'!$C$24</f>
        <v>0.41948368289660831</v>
      </c>
      <c r="U22">
        <f>'AEO Table 1'!V$24/'AEO Table 1'!$C$24</f>
        <v>0.41943646049035183</v>
      </c>
      <c r="V22">
        <f>'AEO Table 1'!W$24/'AEO Table 1'!$C$24</f>
        <v>0.41985723327445806</v>
      </c>
      <c r="W22">
        <f>'AEO Table 1'!X$24/'AEO Table 1'!$C$24</f>
        <v>0.41610410919511881</v>
      </c>
      <c r="X22">
        <f>'AEO Table 1'!Y$24/'AEO Table 1'!$C$24</f>
        <v>0.42352648472178955</v>
      </c>
      <c r="Y22">
        <f>'AEO Table 1'!Z$24/'AEO Table 1'!$C$24</f>
        <v>0.42114985854422488</v>
      </c>
      <c r="Z22">
        <f>'AEO Table 1'!AA$24/'AEO Table 1'!$C$24</f>
        <v>0.42372806096342169</v>
      </c>
      <c r="AA22">
        <f>'AEO Table 1'!AB$24/'AEO Table 1'!$C$24</f>
        <v>0.42526455119684137</v>
      </c>
      <c r="AB22">
        <f>'AEO Table 1'!AC$24/'AEO Table 1'!$C$24</f>
        <v>0.42835938083672465</v>
      </c>
      <c r="AC22">
        <f>'AEO Table 1'!AD$24/'AEO Table 1'!$C$24</f>
        <v>0.42868711843238533</v>
      </c>
      <c r="AD22">
        <f>'AEO Table 1'!AE$24/'AEO Table 1'!$C$24</f>
        <v>0.43174741228261837</v>
      </c>
      <c r="AE22">
        <f>'AEO Table 1'!AF$24/'AEO Table 1'!$C$24</f>
        <v>0.43291740025852504</v>
      </c>
      <c r="AF22">
        <f>'AEO Table 1'!AG$24/'AEO Table 1'!$C$24</f>
        <v>0.43522777410492397</v>
      </c>
      <c r="AG22">
        <f>'AEO Table 1'!AH$24/'AEO Table 1'!$C$24</f>
        <v>0.43188132656901734</v>
      </c>
    </row>
    <row r="23" spans="1:35" x14ac:dyDescent="0.3">
      <c r="A23" t="s">
        <v>772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row>
    <row r="26" spans="1:35" x14ac:dyDescent="0.3">
      <c r="A26" s="196" t="s">
        <v>780</v>
      </c>
      <c r="B26" s="196"/>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7"/>
      <c r="AI26" s="197"/>
    </row>
    <row r="27" spans="1:35" s="1" customFormat="1" x14ac:dyDescent="0.3">
      <c r="B27" s="1">
        <f>B2</f>
        <v>2019</v>
      </c>
      <c r="C27" s="1">
        <f t="shared" ref="C27:AG27" si="0">C2</f>
        <v>2020</v>
      </c>
      <c r="D27" s="1">
        <f t="shared" si="0"/>
        <v>2021</v>
      </c>
      <c r="E27" s="1">
        <f t="shared" si="0"/>
        <v>2022</v>
      </c>
      <c r="F27" s="1">
        <f t="shared" si="0"/>
        <v>2023</v>
      </c>
      <c r="G27" s="1">
        <f t="shared" si="0"/>
        <v>2024</v>
      </c>
      <c r="H27" s="1">
        <f t="shared" si="0"/>
        <v>2025</v>
      </c>
      <c r="I27" s="1">
        <f t="shared" si="0"/>
        <v>2026</v>
      </c>
      <c r="J27" s="1">
        <f t="shared" si="0"/>
        <v>2027</v>
      </c>
      <c r="K27" s="1">
        <f t="shared" si="0"/>
        <v>2028</v>
      </c>
      <c r="L27" s="1">
        <f t="shared" si="0"/>
        <v>2029</v>
      </c>
      <c r="M27" s="1">
        <f t="shared" si="0"/>
        <v>2030</v>
      </c>
      <c r="N27" s="1">
        <f t="shared" si="0"/>
        <v>2031</v>
      </c>
      <c r="O27" s="1">
        <f t="shared" si="0"/>
        <v>2032</v>
      </c>
      <c r="P27" s="1">
        <f t="shared" si="0"/>
        <v>2033</v>
      </c>
      <c r="Q27" s="1">
        <f t="shared" si="0"/>
        <v>2034</v>
      </c>
      <c r="R27" s="1">
        <f t="shared" si="0"/>
        <v>2035</v>
      </c>
      <c r="S27" s="1">
        <f t="shared" si="0"/>
        <v>2036</v>
      </c>
      <c r="T27" s="1">
        <f t="shared" si="0"/>
        <v>2037</v>
      </c>
      <c r="U27" s="1">
        <f t="shared" si="0"/>
        <v>2038</v>
      </c>
      <c r="V27" s="1">
        <f t="shared" si="0"/>
        <v>2039</v>
      </c>
      <c r="W27" s="1">
        <f t="shared" si="0"/>
        <v>2040</v>
      </c>
      <c r="X27" s="1">
        <f t="shared" si="0"/>
        <v>2041</v>
      </c>
      <c r="Y27" s="1">
        <f t="shared" si="0"/>
        <v>2042</v>
      </c>
      <c r="Z27" s="1">
        <f t="shared" si="0"/>
        <v>2043</v>
      </c>
      <c r="AA27" s="1">
        <f t="shared" si="0"/>
        <v>2044</v>
      </c>
      <c r="AB27" s="1">
        <f t="shared" si="0"/>
        <v>2045</v>
      </c>
      <c r="AC27" s="1">
        <f t="shared" si="0"/>
        <v>2046</v>
      </c>
      <c r="AD27" s="1">
        <f t="shared" si="0"/>
        <v>2047</v>
      </c>
      <c r="AE27" s="1">
        <f t="shared" si="0"/>
        <v>2048</v>
      </c>
      <c r="AF27" s="1">
        <f t="shared" si="0"/>
        <v>2049</v>
      </c>
      <c r="AG27" s="1">
        <f t="shared" si="0"/>
        <v>2050</v>
      </c>
    </row>
    <row r="28" spans="1:35" x14ac:dyDescent="0.3">
      <c r="A28" s="31" t="s">
        <v>751</v>
      </c>
      <c r="B28" s="7">
        <v>0</v>
      </c>
      <c r="C28" s="7">
        <v>0</v>
      </c>
      <c r="D28" s="7">
        <v>0</v>
      </c>
      <c r="E28" s="7">
        <v>0</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c r="AI28" s="7"/>
    </row>
    <row r="29" spans="1:35" x14ac:dyDescent="0.3">
      <c r="A29" t="s">
        <v>752</v>
      </c>
      <c r="B29">
        <f>'AEO Table 1'!C$31/'AEO Table 1'!$C$31</f>
        <v>1</v>
      </c>
      <c r="C29">
        <f>'AEO Table 1'!D$31/'AEO Table 1'!$C$31</f>
        <v>1.0681351317057446</v>
      </c>
      <c r="D29">
        <f>'AEO Table 1'!E$31/'AEO Table 1'!$C$31</f>
        <v>0.68070316224103811</v>
      </c>
      <c r="E29">
        <f>'AEO Table 1'!F$31/'AEO Table 1'!$C$31</f>
        <v>0.64787017699084692</v>
      </c>
      <c r="F29">
        <f>'AEO Table 1'!G$31/'AEO Table 1'!$C$31</f>
        <v>0.63416633230108677</v>
      </c>
      <c r="G29">
        <f>'AEO Table 1'!H$31/'AEO Table 1'!$C$31</f>
        <v>0.64553476201744187</v>
      </c>
      <c r="H29">
        <f>'AEO Table 1'!I$31/'AEO Table 1'!$C$31</f>
        <v>0.60891230019513232</v>
      </c>
      <c r="I29">
        <f>'AEO Table 1'!J$31/'AEO Table 1'!$C$31</f>
        <v>0.62776023072939702</v>
      </c>
      <c r="J29">
        <f>'AEO Table 1'!K$31/'AEO Table 1'!$C$31</f>
        <v>0.6769582677462388</v>
      </c>
      <c r="K29">
        <f>'AEO Table 1'!L$31/'AEO Table 1'!$C$31</f>
        <v>0.69855314012146896</v>
      </c>
      <c r="L29">
        <f>'AEO Table 1'!M$31/'AEO Table 1'!$C$31</f>
        <v>0.69049064290784889</v>
      </c>
      <c r="M29">
        <f>'AEO Table 1'!N$31/'AEO Table 1'!$C$31</f>
        <v>0.7201274361533212</v>
      </c>
      <c r="N29">
        <f>'AEO Table 1'!O$31/'AEO Table 1'!$C$31</f>
        <v>0.69155718337294281</v>
      </c>
      <c r="O29">
        <f>'AEO Table 1'!P$31/'AEO Table 1'!$C$31</f>
        <v>0.72070700315846881</v>
      </c>
      <c r="P29">
        <f>'AEO Table 1'!Q$31/'AEO Table 1'!$C$31</f>
        <v>0.72139974005219532</v>
      </c>
      <c r="Q29">
        <f>'AEO Table 1'!R$31/'AEO Table 1'!$C$31</f>
        <v>0.75014489175128685</v>
      </c>
      <c r="R29">
        <f>'AEO Table 1'!S$31/'AEO Table 1'!$C$31</f>
        <v>0.74410916436040153</v>
      </c>
      <c r="S29">
        <f>'AEO Table 1'!T$31/'AEO Table 1'!$C$31</f>
        <v>0.72749719647321476</v>
      </c>
      <c r="T29">
        <f>'AEO Table 1'!U$31/'AEO Table 1'!$C$31</f>
        <v>0.72350538585787916</v>
      </c>
      <c r="U29">
        <f>'AEO Table 1'!V$31/'AEO Table 1'!$C$31</f>
        <v>0.71680435669777132</v>
      </c>
      <c r="V29">
        <f>'AEO Table 1'!W$31/'AEO Table 1'!$C$31</f>
        <v>0.71972962684801289</v>
      </c>
      <c r="W29">
        <f>'AEO Table 1'!X$31/'AEO Table 1'!$C$31</f>
        <v>0.71668775741862911</v>
      </c>
      <c r="X29">
        <f>'AEO Table 1'!Y$31/'AEO Table 1'!$C$31</f>
        <v>0.72150262176908542</v>
      </c>
      <c r="Y29">
        <f>'AEO Table 1'!Z$31/'AEO Table 1'!$C$31</f>
        <v>0.71385165142302565</v>
      </c>
      <c r="Z29">
        <f>'AEO Table 1'!AA$31/'AEO Table 1'!$C$31</f>
        <v>0.70822059211857469</v>
      </c>
      <c r="AA29">
        <f>'AEO Table 1'!AB$31/'AEO Table 1'!$C$31</f>
        <v>0.69929388848307772</v>
      </c>
      <c r="AB29">
        <f>'AEO Table 1'!AC$31/'AEO Table 1'!$C$31</f>
        <v>0.69084044074527517</v>
      </c>
      <c r="AC29">
        <f>'AEO Table 1'!AD$31/'AEO Table 1'!$C$31</f>
        <v>0.68313117075964425</v>
      </c>
      <c r="AD29">
        <f>'AEO Table 1'!AE$31/'AEO Table 1'!$C$31</f>
        <v>0.67541847138345046</v>
      </c>
      <c r="AE29">
        <f>'AEO Table 1'!AF$31/'AEO Table 1'!$C$31</f>
        <v>0.67351515962098374</v>
      </c>
      <c r="AF29">
        <f>'AEO Table 1'!AG$31/'AEO Table 1'!$C$31</f>
        <v>0.66853225513294035</v>
      </c>
      <c r="AG29">
        <f>'AEO Table 1'!AH$31/'AEO Table 1'!$C$31</f>
        <v>0.65656368206805971</v>
      </c>
    </row>
    <row r="30" spans="1:35" x14ac:dyDescent="0.3">
      <c r="A30" t="s">
        <v>754</v>
      </c>
      <c r="B30">
        <f>'AEO Table 1'!C$30/'AEO Table 1'!$C$30</f>
        <v>1</v>
      </c>
      <c r="C30">
        <f>'AEO Table 1'!D$30/'AEO Table 1'!$C$30</f>
        <v>0.97516006406145317</v>
      </c>
      <c r="D30">
        <f>'AEO Table 1'!E$30/'AEO Table 1'!$C$30</f>
        <v>0.85914792534762652</v>
      </c>
      <c r="E30">
        <f>'AEO Table 1'!F$30/'AEO Table 1'!$C$30</f>
        <v>0.82794662978714251</v>
      </c>
      <c r="F30">
        <f>'AEO Table 1'!G$30/'AEO Table 1'!$C$30</f>
        <v>0.79018584270548575</v>
      </c>
      <c r="G30">
        <f>'AEO Table 1'!H$30/'AEO Table 1'!$C$30</f>
        <v>0.7778525798349738</v>
      </c>
      <c r="H30">
        <f>'AEO Table 1'!I$30/'AEO Table 1'!$C$30</f>
        <v>0.80652294639690159</v>
      </c>
      <c r="I30">
        <f>'AEO Table 1'!J$30/'AEO Table 1'!$C$30</f>
        <v>0.83995671910772562</v>
      </c>
      <c r="J30">
        <f>'AEO Table 1'!K$30/'AEO Table 1'!$C$30</f>
        <v>0.78440168107571651</v>
      </c>
      <c r="K30">
        <f>'AEO Table 1'!L$30/'AEO Table 1'!$C$30</f>
        <v>0.67982601654562591</v>
      </c>
      <c r="L30">
        <f>'AEO Table 1'!M$30/'AEO Table 1'!$C$30</f>
        <v>0.64968273816135036</v>
      </c>
      <c r="M30">
        <f>'AEO Table 1'!N$30/'AEO Table 1'!$C$30</f>
        <v>0.63416001748433393</v>
      </c>
      <c r="N30">
        <f>'AEO Table 1'!O$30/'AEO Table 1'!$C$30</f>
        <v>0.65917515504806401</v>
      </c>
      <c r="O30">
        <f>'AEO Table 1'!P$30/'AEO Table 1'!$C$30</f>
        <v>0.63289311984292762</v>
      </c>
      <c r="P30">
        <f>'AEO Table 1'!Q$30/'AEO Table 1'!$C$30</f>
        <v>0.57189859086300232</v>
      </c>
      <c r="Q30">
        <f>'AEO Table 1'!R$30/'AEO Table 1'!$C$30</f>
        <v>0.55815762413697978</v>
      </c>
      <c r="R30">
        <f>'AEO Table 1'!S$30/'AEO Table 1'!$C$30</f>
        <v>0.54543347175097723</v>
      </c>
      <c r="S30">
        <f>'AEO Table 1'!T$30/'AEO Table 1'!$C$30</f>
        <v>0.53811083204649113</v>
      </c>
      <c r="T30">
        <f>'AEO Table 1'!U$30/'AEO Table 1'!$C$30</f>
        <v>0.53923441547506878</v>
      </c>
      <c r="U30">
        <f>'AEO Table 1'!V$30/'AEO Table 1'!$C$30</f>
        <v>0.53252121946063702</v>
      </c>
      <c r="V30">
        <f>'AEO Table 1'!W$30/'AEO Table 1'!$C$30</f>
        <v>0.52487397306409378</v>
      </c>
      <c r="W30">
        <f>'AEO Table 1'!X$30/'AEO Table 1'!$C$30</f>
        <v>0.51713572214240422</v>
      </c>
      <c r="X30">
        <f>'AEO Table 1'!Y$30/'AEO Table 1'!$C$30</f>
        <v>0.51439340467992567</v>
      </c>
      <c r="Y30">
        <f>'AEO Table 1'!Z$30/'AEO Table 1'!$C$30</f>
        <v>0.49973092756541398</v>
      </c>
      <c r="Z30">
        <f>'AEO Table 1'!AA$30/'AEO Table 1'!$C$30</f>
        <v>0.48058020759063735</v>
      </c>
      <c r="AA30">
        <f>'AEO Table 1'!AB$30/'AEO Table 1'!$C$30</f>
        <v>0.46192320507905577</v>
      </c>
      <c r="AB30">
        <f>'AEO Table 1'!AC$30/'AEO Table 1'!$C$30</f>
        <v>0.45274464631843703</v>
      </c>
      <c r="AC30">
        <f>'AEO Table 1'!AD$30/'AEO Table 1'!$C$30</f>
        <v>0.43812910460862686</v>
      </c>
      <c r="AD30">
        <f>'AEO Table 1'!AE$30/'AEO Table 1'!$C$30</f>
        <v>0.42413053058504446</v>
      </c>
      <c r="AE30">
        <f>'AEO Table 1'!AF$30/'AEO Table 1'!$C$30</f>
        <v>0.4124514970960958</v>
      </c>
      <c r="AF30">
        <f>'AEO Table 1'!AG$30/'AEO Table 1'!$C$30</f>
        <v>0.40790986969155202</v>
      </c>
      <c r="AG30">
        <f>'AEO Table 1'!AH$30/'AEO Table 1'!$C$30</f>
        <v>0.39633581386350036</v>
      </c>
    </row>
    <row r="31" spans="1:35" x14ac:dyDescent="0.3">
      <c r="A31" t="s">
        <v>755</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row>
    <row r="32" spans="1:35" x14ac:dyDescent="0.3">
      <c r="A32" s="7" t="s">
        <v>756</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c r="AF32" s="7">
        <v>0</v>
      </c>
      <c r="AG32" s="7">
        <v>0</v>
      </c>
      <c r="AH32" s="7"/>
      <c r="AI32" s="7"/>
    </row>
    <row r="33" spans="1:35" x14ac:dyDescent="0.3">
      <c r="A33" s="7" t="s">
        <v>757</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c r="AF33" s="7">
        <v>0</v>
      </c>
      <c r="AG33" s="7">
        <v>0</v>
      </c>
      <c r="AH33" s="7"/>
      <c r="AI33" s="7"/>
    </row>
    <row r="34" spans="1:35" x14ac:dyDescent="0.3">
      <c r="A34" s="7" t="s">
        <v>758</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c r="AF34" s="7">
        <v>0</v>
      </c>
      <c r="AG34" s="7">
        <v>0</v>
      </c>
      <c r="AH34" s="7"/>
      <c r="AI34" s="7"/>
    </row>
    <row r="35" spans="1:35" x14ac:dyDescent="0.3">
      <c r="A35" t="s">
        <v>759</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row>
    <row r="36" spans="1:35" x14ac:dyDescent="0.3">
      <c r="A36" t="s">
        <v>760</v>
      </c>
      <c r="B36">
        <f>'AEO Table 1'!C$29/'AEO Table 1'!$C$29</f>
        <v>1</v>
      </c>
      <c r="C36">
        <f>'AEO Table 1'!D$29/'AEO Table 1'!$C$29</f>
        <v>0.87211470840119887</v>
      </c>
      <c r="D36">
        <f>'AEO Table 1'!E$29/'AEO Table 1'!$C$29</f>
        <v>0.8829772023755299</v>
      </c>
      <c r="E36">
        <f>'AEO Table 1'!F$29/'AEO Table 1'!$C$29</f>
        <v>0.90152287824340771</v>
      </c>
      <c r="F36">
        <f>'AEO Table 1'!G$29/'AEO Table 1'!$C$29</f>
        <v>0.89442841173222409</v>
      </c>
      <c r="G36">
        <f>'AEO Table 1'!H$29/'AEO Table 1'!$C$29</f>
        <v>0.87252558484007059</v>
      </c>
      <c r="H36">
        <f>'AEO Table 1'!I$29/'AEO Table 1'!$C$29</f>
        <v>0.84070071448922556</v>
      </c>
      <c r="I36">
        <f>'AEO Table 1'!J$29/'AEO Table 1'!$C$29</f>
        <v>0.77523668454255867</v>
      </c>
      <c r="J36">
        <f>'AEO Table 1'!K$29/'AEO Table 1'!$C$29</f>
        <v>0.77987377792792523</v>
      </c>
      <c r="K36">
        <f>'AEO Table 1'!L$29/'AEO Table 1'!$C$29</f>
        <v>0.75256771835125669</v>
      </c>
      <c r="L36">
        <f>'AEO Table 1'!M$29/'AEO Table 1'!$C$29</f>
        <v>0.72055152068897754</v>
      </c>
      <c r="M36">
        <f>'AEO Table 1'!N$29/'AEO Table 1'!$C$29</f>
        <v>0.73331172427617797</v>
      </c>
      <c r="N36">
        <f>'AEO Table 1'!O$29/'AEO Table 1'!$C$29</f>
        <v>0.72614213793122051</v>
      </c>
      <c r="O36">
        <f>'AEO Table 1'!P$29/'AEO Table 1'!$C$29</f>
        <v>0.70619574693082565</v>
      </c>
      <c r="P36">
        <f>'AEO Table 1'!Q$29/'AEO Table 1'!$C$29</f>
        <v>0.71133190993007422</v>
      </c>
      <c r="Q36">
        <f>'AEO Table 1'!R$29/'AEO Table 1'!$C$29</f>
        <v>0.71303766969145055</v>
      </c>
      <c r="R36">
        <f>'AEO Table 1'!S$29/'AEO Table 1'!$C$29</f>
        <v>0.70375186217295127</v>
      </c>
      <c r="S36">
        <f>'AEO Table 1'!T$29/'AEO Table 1'!$C$29</f>
        <v>0.69054903260387546</v>
      </c>
      <c r="T36">
        <f>'AEO Table 1'!U$29/'AEO Table 1'!$C$29</f>
        <v>0.71135452888554751</v>
      </c>
      <c r="U36">
        <f>'AEO Table 1'!V$29/'AEO Table 1'!$C$29</f>
        <v>0.70243788762197379</v>
      </c>
      <c r="V36">
        <f>'AEO Table 1'!W$29/'AEO Table 1'!$C$29</f>
        <v>0.70439058827337897</v>
      </c>
      <c r="W36">
        <f>'AEO Table 1'!X$29/'AEO Table 1'!$C$29</f>
        <v>0.70979589609142379</v>
      </c>
      <c r="X36">
        <f>'AEO Table 1'!Y$29/'AEO Table 1'!$C$29</f>
        <v>0.70950703750409583</v>
      </c>
      <c r="Y36">
        <f>'AEO Table 1'!Z$29/'AEO Table 1'!$C$29</f>
        <v>0.71059461498698795</v>
      </c>
      <c r="Z36">
        <f>'AEO Table 1'!AA$29/'AEO Table 1'!$C$29</f>
        <v>0.71165666832746521</v>
      </c>
      <c r="AA36">
        <f>'AEO Table 1'!AB$29/'AEO Table 1'!$C$29</f>
        <v>0.71253175213692066</v>
      </c>
      <c r="AB36">
        <f>'AEO Table 1'!AC$29/'AEO Table 1'!$C$29</f>
        <v>0.71871731016211571</v>
      </c>
      <c r="AC36">
        <f>'AEO Table 1'!AD$29/'AEO Table 1'!$C$29</f>
        <v>0.7307605551148203</v>
      </c>
      <c r="AD36">
        <f>'AEO Table 1'!AE$29/'AEO Table 1'!$C$29</f>
        <v>0.73348416787249215</v>
      </c>
      <c r="AE36">
        <f>'AEO Table 1'!AF$29/'AEO Table 1'!$C$29</f>
        <v>0.74214411511844758</v>
      </c>
      <c r="AF36">
        <f>'AEO Table 1'!AG$29/'AEO Table 1'!$C$29</f>
        <v>0.7562292914643326</v>
      </c>
      <c r="AG36">
        <f>'AEO Table 1'!AH$29/'AEO Table 1'!$C$29</f>
        <v>0.76637959961128599</v>
      </c>
    </row>
    <row r="37" spans="1:35" x14ac:dyDescent="0.3">
      <c r="A37" t="s">
        <v>761</v>
      </c>
      <c r="B37">
        <f>'AEO Table 1'!C$29/'AEO Table 1'!$C$29</f>
        <v>1</v>
      </c>
      <c r="C37">
        <f>'AEO Table 1'!D$29/'AEO Table 1'!$C$29</f>
        <v>0.87211470840119887</v>
      </c>
      <c r="D37">
        <f>'AEO Table 1'!E$29/'AEO Table 1'!$C$29</f>
        <v>0.8829772023755299</v>
      </c>
      <c r="E37">
        <f>'AEO Table 1'!F$29/'AEO Table 1'!$C$29</f>
        <v>0.90152287824340771</v>
      </c>
      <c r="F37">
        <f>'AEO Table 1'!G$29/'AEO Table 1'!$C$29</f>
        <v>0.89442841173222409</v>
      </c>
      <c r="G37">
        <f>'AEO Table 1'!H$29/'AEO Table 1'!$C$29</f>
        <v>0.87252558484007059</v>
      </c>
      <c r="H37">
        <f>'AEO Table 1'!I$29/'AEO Table 1'!$C$29</f>
        <v>0.84070071448922556</v>
      </c>
      <c r="I37">
        <f>'AEO Table 1'!J$29/'AEO Table 1'!$C$29</f>
        <v>0.77523668454255867</v>
      </c>
      <c r="J37">
        <f>'AEO Table 1'!K$29/'AEO Table 1'!$C$29</f>
        <v>0.77987377792792523</v>
      </c>
      <c r="K37">
        <f>'AEO Table 1'!L$29/'AEO Table 1'!$C$29</f>
        <v>0.75256771835125669</v>
      </c>
      <c r="L37">
        <f>'AEO Table 1'!M$29/'AEO Table 1'!$C$29</f>
        <v>0.72055152068897754</v>
      </c>
      <c r="M37">
        <f>'AEO Table 1'!N$29/'AEO Table 1'!$C$29</f>
        <v>0.73331172427617797</v>
      </c>
      <c r="N37">
        <f>'AEO Table 1'!O$29/'AEO Table 1'!$C$29</f>
        <v>0.72614213793122051</v>
      </c>
      <c r="O37">
        <f>'AEO Table 1'!P$29/'AEO Table 1'!$C$29</f>
        <v>0.70619574693082565</v>
      </c>
      <c r="P37">
        <f>'AEO Table 1'!Q$29/'AEO Table 1'!$C$29</f>
        <v>0.71133190993007422</v>
      </c>
      <c r="Q37">
        <f>'AEO Table 1'!R$29/'AEO Table 1'!$C$29</f>
        <v>0.71303766969145055</v>
      </c>
      <c r="R37">
        <f>'AEO Table 1'!S$29/'AEO Table 1'!$C$29</f>
        <v>0.70375186217295127</v>
      </c>
      <c r="S37">
        <f>'AEO Table 1'!T$29/'AEO Table 1'!$C$29</f>
        <v>0.69054903260387546</v>
      </c>
      <c r="T37">
        <f>'AEO Table 1'!U$29/'AEO Table 1'!$C$29</f>
        <v>0.71135452888554751</v>
      </c>
      <c r="U37">
        <f>'AEO Table 1'!V$29/'AEO Table 1'!$C$29</f>
        <v>0.70243788762197379</v>
      </c>
      <c r="V37">
        <f>'AEO Table 1'!W$29/'AEO Table 1'!$C$29</f>
        <v>0.70439058827337897</v>
      </c>
      <c r="W37">
        <f>'AEO Table 1'!X$29/'AEO Table 1'!$C$29</f>
        <v>0.70979589609142379</v>
      </c>
      <c r="X37">
        <f>'AEO Table 1'!Y$29/'AEO Table 1'!$C$29</f>
        <v>0.70950703750409583</v>
      </c>
      <c r="Y37">
        <f>'AEO Table 1'!Z$29/'AEO Table 1'!$C$29</f>
        <v>0.71059461498698795</v>
      </c>
      <c r="Z37">
        <f>'AEO Table 1'!AA$29/'AEO Table 1'!$C$29</f>
        <v>0.71165666832746521</v>
      </c>
      <c r="AA37">
        <f>'AEO Table 1'!AB$29/'AEO Table 1'!$C$29</f>
        <v>0.71253175213692066</v>
      </c>
      <c r="AB37">
        <f>'AEO Table 1'!AC$29/'AEO Table 1'!$C$29</f>
        <v>0.71871731016211571</v>
      </c>
      <c r="AC37">
        <f>'AEO Table 1'!AD$29/'AEO Table 1'!$C$29</f>
        <v>0.7307605551148203</v>
      </c>
      <c r="AD37">
        <f>'AEO Table 1'!AE$29/'AEO Table 1'!$C$29</f>
        <v>0.73348416787249215</v>
      </c>
      <c r="AE37">
        <f>'AEO Table 1'!AF$29/'AEO Table 1'!$C$29</f>
        <v>0.74214411511844758</v>
      </c>
      <c r="AF37">
        <f>'AEO Table 1'!AG$29/'AEO Table 1'!$C$29</f>
        <v>0.7562292914643326</v>
      </c>
      <c r="AG37">
        <f>'AEO Table 1'!AH$29/'AEO Table 1'!$C$29</f>
        <v>0.76637959961128599</v>
      </c>
    </row>
    <row r="38" spans="1:35" x14ac:dyDescent="0.3">
      <c r="A38" t="s">
        <v>762</v>
      </c>
      <c r="B38">
        <f>'AEO Table 1'!C$29/'AEO Table 1'!$C$29</f>
        <v>1</v>
      </c>
      <c r="C38">
        <f>'AEO Table 1'!D$29/'AEO Table 1'!$C$29</f>
        <v>0.87211470840119887</v>
      </c>
      <c r="D38">
        <f>'AEO Table 1'!E$29/'AEO Table 1'!$C$29</f>
        <v>0.8829772023755299</v>
      </c>
      <c r="E38">
        <f>'AEO Table 1'!F$29/'AEO Table 1'!$C$29</f>
        <v>0.90152287824340771</v>
      </c>
      <c r="F38">
        <f>'AEO Table 1'!G$29/'AEO Table 1'!$C$29</f>
        <v>0.89442841173222409</v>
      </c>
      <c r="G38">
        <f>'AEO Table 1'!H$29/'AEO Table 1'!$C$29</f>
        <v>0.87252558484007059</v>
      </c>
      <c r="H38">
        <f>'AEO Table 1'!I$29/'AEO Table 1'!$C$29</f>
        <v>0.84070071448922556</v>
      </c>
      <c r="I38">
        <f>'AEO Table 1'!J$29/'AEO Table 1'!$C$29</f>
        <v>0.77523668454255867</v>
      </c>
      <c r="J38">
        <f>'AEO Table 1'!K$29/'AEO Table 1'!$C$29</f>
        <v>0.77987377792792523</v>
      </c>
      <c r="K38">
        <f>'AEO Table 1'!L$29/'AEO Table 1'!$C$29</f>
        <v>0.75256771835125669</v>
      </c>
      <c r="L38">
        <f>'AEO Table 1'!M$29/'AEO Table 1'!$C$29</f>
        <v>0.72055152068897754</v>
      </c>
      <c r="M38">
        <f>'AEO Table 1'!N$29/'AEO Table 1'!$C$29</f>
        <v>0.73331172427617797</v>
      </c>
      <c r="N38">
        <f>'AEO Table 1'!O$29/'AEO Table 1'!$C$29</f>
        <v>0.72614213793122051</v>
      </c>
      <c r="O38">
        <f>'AEO Table 1'!P$29/'AEO Table 1'!$C$29</f>
        <v>0.70619574693082565</v>
      </c>
      <c r="P38">
        <f>'AEO Table 1'!Q$29/'AEO Table 1'!$C$29</f>
        <v>0.71133190993007422</v>
      </c>
      <c r="Q38">
        <f>'AEO Table 1'!R$29/'AEO Table 1'!$C$29</f>
        <v>0.71303766969145055</v>
      </c>
      <c r="R38">
        <f>'AEO Table 1'!S$29/'AEO Table 1'!$C$29</f>
        <v>0.70375186217295127</v>
      </c>
      <c r="S38">
        <f>'AEO Table 1'!T$29/'AEO Table 1'!$C$29</f>
        <v>0.69054903260387546</v>
      </c>
      <c r="T38">
        <f>'AEO Table 1'!U$29/'AEO Table 1'!$C$29</f>
        <v>0.71135452888554751</v>
      </c>
      <c r="U38">
        <f>'AEO Table 1'!V$29/'AEO Table 1'!$C$29</f>
        <v>0.70243788762197379</v>
      </c>
      <c r="V38">
        <f>'AEO Table 1'!W$29/'AEO Table 1'!$C$29</f>
        <v>0.70439058827337897</v>
      </c>
      <c r="W38">
        <f>'AEO Table 1'!X$29/'AEO Table 1'!$C$29</f>
        <v>0.70979589609142379</v>
      </c>
      <c r="X38">
        <f>'AEO Table 1'!Y$29/'AEO Table 1'!$C$29</f>
        <v>0.70950703750409583</v>
      </c>
      <c r="Y38">
        <f>'AEO Table 1'!Z$29/'AEO Table 1'!$C$29</f>
        <v>0.71059461498698795</v>
      </c>
      <c r="Z38">
        <f>'AEO Table 1'!AA$29/'AEO Table 1'!$C$29</f>
        <v>0.71165666832746521</v>
      </c>
      <c r="AA38">
        <f>'AEO Table 1'!AB$29/'AEO Table 1'!$C$29</f>
        <v>0.71253175213692066</v>
      </c>
      <c r="AB38">
        <f>'AEO Table 1'!AC$29/'AEO Table 1'!$C$29</f>
        <v>0.71871731016211571</v>
      </c>
      <c r="AC38">
        <f>'AEO Table 1'!AD$29/'AEO Table 1'!$C$29</f>
        <v>0.7307605551148203</v>
      </c>
      <c r="AD38">
        <f>'AEO Table 1'!AE$29/'AEO Table 1'!$C$29</f>
        <v>0.73348416787249215</v>
      </c>
      <c r="AE38">
        <f>'AEO Table 1'!AF$29/'AEO Table 1'!$C$29</f>
        <v>0.74214411511844758</v>
      </c>
      <c r="AF38">
        <f>'AEO Table 1'!AG$29/'AEO Table 1'!$C$29</f>
        <v>0.7562292914643326</v>
      </c>
      <c r="AG38">
        <f>'AEO Table 1'!AH$29/'AEO Table 1'!$C$29</f>
        <v>0.76637959961128599</v>
      </c>
    </row>
    <row r="39" spans="1:35" x14ac:dyDescent="0.3">
      <c r="A39" t="s">
        <v>763</v>
      </c>
      <c r="B39">
        <f>'AEO Table 1'!C$29/'AEO Table 1'!$C$29</f>
        <v>1</v>
      </c>
      <c r="C39">
        <f>'AEO Table 1'!D$29/'AEO Table 1'!$C$29</f>
        <v>0.87211470840119887</v>
      </c>
      <c r="D39">
        <f>'AEO Table 1'!E$29/'AEO Table 1'!$C$29</f>
        <v>0.8829772023755299</v>
      </c>
      <c r="E39">
        <f>'AEO Table 1'!F$29/'AEO Table 1'!$C$29</f>
        <v>0.90152287824340771</v>
      </c>
      <c r="F39">
        <f>'AEO Table 1'!G$29/'AEO Table 1'!$C$29</f>
        <v>0.89442841173222409</v>
      </c>
      <c r="G39">
        <f>'AEO Table 1'!H$29/'AEO Table 1'!$C$29</f>
        <v>0.87252558484007059</v>
      </c>
      <c r="H39">
        <f>'AEO Table 1'!I$29/'AEO Table 1'!$C$29</f>
        <v>0.84070071448922556</v>
      </c>
      <c r="I39">
        <f>'AEO Table 1'!J$29/'AEO Table 1'!$C$29</f>
        <v>0.77523668454255867</v>
      </c>
      <c r="J39">
        <f>'AEO Table 1'!K$29/'AEO Table 1'!$C$29</f>
        <v>0.77987377792792523</v>
      </c>
      <c r="K39">
        <f>'AEO Table 1'!L$29/'AEO Table 1'!$C$29</f>
        <v>0.75256771835125669</v>
      </c>
      <c r="L39">
        <f>'AEO Table 1'!M$29/'AEO Table 1'!$C$29</f>
        <v>0.72055152068897754</v>
      </c>
      <c r="M39">
        <f>'AEO Table 1'!N$29/'AEO Table 1'!$C$29</f>
        <v>0.73331172427617797</v>
      </c>
      <c r="N39">
        <f>'AEO Table 1'!O$29/'AEO Table 1'!$C$29</f>
        <v>0.72614213793122051</v>
      </c>
      <c r="O39">
        <f>'AEO Table 1'!P$29/'AEO Table 1'!$C$29</f>
        <v>0.70619574693082565</v>
      </c>
      <c r="P39">
        <f>'AEO Table 1'!Q$29/'AEO Table 1'!$C$29</f>
        <v>0.71133190993007422</v>
      </c>
      <c r="Q39">
        <f>'AEO Table 1'!R$29/'AEO Table 1'!$C$29</f>
        <v>0.71303766969145055</v>
      </c>
      <c r="R39">
        <f>'AEO Table 1'!S$29/'AEO Table 1'!$C$29</f>
        <v>0.70375186217295127</v>
      </c>
      <c r="S39">
        <f>'AEO Table 1'!T$29/'AEO Table 1'!$C$29</f>
        <v>0.69054903260387546</v>
      </c>
      <c r="T39">
        <f>'AEO Table 1'!U$29/'AEO Table 1'!$C$29</f>
        <v>0.71135452888554751</v>
      </c>
      <c r="U39">
        <f>'AEO Table 1'!V$29/'AEO Table 1'!$C$29</f>
        <v>0.70243788762197379</v>
      </c>
      <c r="V39">
        <f>'AEO Table 1'!W$29/'AEO Table 1'!$C$29</f>
        <v>0.70439058827337897</v>
      </c>
      <c r="W39">
        <f>'AEO Table 1'!X$29/'AEO Table 1'!$C$29</f>
        <v>0.70979589609142379</v>
      </c>
      <c r="X39">
        <f>'AEO Table 1'!Y$29/'AEO Table 1'!$C$29</f>
        <v>0.70950703750409583</v>
      </c>
      <c r="Y39">
        <f>'AEO Table 1'!Z$29/'AEO Table 1'!$C$29</f>
        <v>0.71059461498698795</v>
      </c>
      <c r="Z39">
        <f>'AEO Table 1'!AA$29/'AEO Table 1'!$C$29</f>
        <v>0.71165666832746521</v>
      </c>
      <c r="AA39">
        <f>'AEO Table 1'!AB$29/'AEO Table 1'!$C$29</f>
        <v>0.71253175213692066</v>
      </c>
      <c r="AB39">
        <f>'AEO Table 1'!AC$29/'AEO Table 1'!$C$29</f>
        <v>0.71871731016211571</v>
      </c>
      <c r="AC39">
        <f>'AEO Table 1'!AD$29/'AEO Table 1'!$C$29</f>
        <v>0.7307605551148203</v>
      </c>
      <c r="AD39">
        <f>'AEO Table 1'!AE$29/'AEO Table 1'!$C$29</f>
        <v>0.73348416787249215</v>
      </c>
      <c r="AE39">
        <f>'AEO Table 1'!AF$29/'AEO Table 1'!$C$29</f>
        <v>0.74214411511844758</v>
      </c>
      <c r="AF39">
        <f>'AEO Table 1'!AG$29/'AEO Table 1'!$C$29</f>
        <v>0.7562292914643326</v>
      </c>
      <c r="AG39">
        <f>'AEO Table 1'!AH$29/'AEO Table 1'!$C$29</f>
        <v>0.76637959961128599</v>
      </c>
    </row>
    <row r="40" spans="1:35" x14ac:dyDescent="0.3">
      <c r="A40" t="s">
        <v>764</v>
      </c>
      <c r="B40">
        <f>'AEO Table 1'!C$29/'AEO Table 1'!$C$29</f>
        <v>1</v>
      </c>
      <c r="C40">
        <f>'AEO Table 1'!D$29/'AEO Table 1'!$C$29</f>
        <v>0.87211470840119887</v>
      </c>
      <c r="D40">
        <f>'AEO Table 1'!E$29/'AEO Table 1'!$C$29</f>
        <v>0.8829772023755299</v>
      </c>
      <c r="E40">
        <f>'AEO Table 1'!F$29/'AEO Table 1'!$C$29</f>
        <v>0.90152287824340771</v>
      </c>
      <c r="F40">
        <f>'AEO Table 1'!G$29/'AEO Table 1'!$C$29</f>
        <v>0.89442841173222409</v>
      </c>
      <c r="G40">
        <f>'AEO Table 1'!H$29/'AEO Table 1'!$C$29</f>
        <v>0.87252558484007059</v>
      </c>
      <c r="H40">
        <f>'AEO Table 1'!I$29/'AEO Table 1'!$C$29</f>
        <v>0.84070071448922556</v>
      </c>
      <c r="I40">
        <f>'AEO Table 1'!J$29/'AEO Table 1'!$C$29</f>
        <v>0.77523668454255867</v>
      </c>
      <c r="J40">
        <f>'AEO Table 1'!K$29/'AEO Table 1'!$C$29</f>
        <v>0.77987377792792523</v>
      </c>
      <c r="K40">
        <f>'AEO Table 1'!L$29/'AEO Table 1'!$C$29</f>
        <v>0.75256771835125669</v>
      </c>
      <c r="L40">
        <f>'AEO Table 1'!M$29/'AEO Table 1'!$C$29</f>
        <v>0.72055152068897754</v>
      </c>
      <c r="M40">
        <f>'AEO Table 1'!N$29/'AEO Table 1'!$C$29</f>
        <v>0.73331172427617797</v>
      </c>
      <c r="N40">
        <f>'AEO Table 1'!O$29/'AEO Table 1'!$C$29</f>
        <v>0.72614213793122051</v>
      </c>
      <c r="O40">
        <f>'AEO Table 1'!P$29/'AEO Table 1'!$C$29</f>
        <v>0.70619574693082565</v>
      </c>
      <c r="P40">
        <f>'AEO Table 1'!Q$29/'AEO Table 1'!$C$29</f>
        <v>0.71133190993007422</v>
      </c>
      <c r="Q40">
        <f>'AEO Table 1'!R$29/'AEO Table 1'!$C$29</f>
        <v>0.71303766969145055</v>
      </c>
      <c r="R40">
        <f>'AEO Table 1'!S$29/'AEO Table 1'!$C$29</f>
        <v>0.70375186217295127</v>
      </c>
      <c r="S40">
        <f>'AEO Table 1'!T$29/'AEO Table 1'!$C$29</f>
        <v>0.69054903260387546</v>
      </c>
      <c r="T40">
        <f>'AEO Table 1'!U$29/'AEO Table 1'!$C$29</f>
        <v>0.71135452888554751</v>
      </c>
      <c r="U40">
        <f>'AEO Table 1'!V$29/'AEO Table 1'!$C$29</f>
        <v>0.70243788762197379</v>
      </c>
      <c r="V40">
        <f>'AEO Table 1'!W$29/'AEO Table 1'!$C$29</f>
        <v>0.70439058827337897</v>
      </c>
      <c r="W40">
        <f>'AEO Table 1'!X$29/'AEO Table 1'!$C$29</f>
        <v>0.70979589609142379</v>
      </c>
      <c r="X40">
        <f>'AEO Table 1'!Y$29/'AEO Table 1'!$C$29</f>
        <v>0.70950703750409583</v>
      </c>
      <c r="Y40">
        <f>'AEO Table 1'!Z$29/'AEO Table 1'!$C$29</f>
        <v>0.71059461498698795</v>
      </c>
      <c r="Z40">
        <f>'AEO Table 1'!AA$29/'AEO Table 1'!$C$29</f>
        <v>0.71165666832746521</v>
      </c>
      <c r="AA40">
        <f>'AEO Table 1'!AB$29/'AEO Table 1'!$C$29</f>
        <v>0.71253175213692066</v>
      </c>
      <c r="AB40">
        <f>'AEO Table 1'!AC$29/'AEO Table 1'!$C$29</f>
        <v>0.71871731016211571</v>
      </c>
      <c r="AC40">
        <f>'AEO Table 1'!AD$29/'AEO Table 1'!$C$29</f>
        <v>0.7307605551148203</v>
      </c>
      <c r="AD40">
        <f>'AEO Table 1'!AE$29/'AEO Table 1'!$C$29</f>
        <v>0.73348416787249215</v>
      </c>
      <c r="AE40">
        <f>'AEO Table 1'!AF$29/'AEO Table 1'!$C$29</f>
        <v>0.74214411511844758</v>
      </c>
      <c r="AF40">
        <f>'AEO Table 1'!AG$29/'AEO Table 1'!$C$29</f>
        <v>0.7562292914643326</v>
      </c>
      <c r="AG40">
        <f>'AEO Table 1'!AH$29/'AEO Table 1'!$C$29</f>
        <v>0.76637959961128599</v>
      </c>
    </row>
    <row r="41" spans="1:35" x14ac:dyDescent="0.3">
      <c r="A41" s="7" t="s">
        <v>765</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c r="AF41" s="7">
        <v>0</v>
      </c>
      <c r="AG41" s="7">
        <v>0</v>
      </c>
      <c r="AH41" s="7"/>
      <c r="AI41" s="7"/>
    </row>
    <row r="42" spans="1:35" x14ac:dyDescent="0.3">
      <c r="A42" s="7" t="s">
        <v>766</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v>0</v>
      </c>
      <c r="AG42" s="7">
        <v>0</v>
      </c>
      <c r="AH42" s="7"/>
      <c r="AI42" s="7"/>
    </row>
    <row r="43" spans="1:35" x14ac:dyDescent="0.3">
      <c r="A43" t="s">
        <v>767</v>
      </c>
      <c r="B43">
        <f>'AEO Table 1'!C$31/'AEO Table 1'!$C$31</f>
        <v>1</v>
      </c>
      <c r="C43">
        <f>'AEO Table 1'!D$31/'AEO Table 1'!$C$31</f>
        <v>1.0681351317057446</v>
      </c>
      <c r="D43">
        <f>'AEO Table 1'!E$31/'AEO Table 1'!$C$31</f>
        <v>0.68070316224103811</v>
      </c>
      <c r="E43">
        <f>'AEO Table 1'!F$31/'AEO Table 1'!$C$31</f>
        <v>0.64787017699084692</v>
      </c>
      <c r="F43">
        <f>'AEO Table 1'!G$31/'AEO Table 1'!$C$31</f>
        <v>0.63416633230108677</v>
      </c>
      <c r="G43">
        <f>'AEO Table 1'!H$31/'AEO Table 1'!$C$31</f>
        <v>0.64553476201744187</v>
      </c>
      <c r="H43">
        <f>'AEO Table 1'!I$31/'AEO Table 1'!$C$31</f>
        <v>0.60891230019513232</v>
      </c>
      <c r="I43">
        <f>'AEO Table 1'!J$31/'AEO Table 1'!$C$31</f>
        <v>0.62776023072939702</v>
      </c>
      <c r="J43">
        <f>'AEO Table 1'!K$31/'AEO Table 1'!$C$31</f>
        <v>0.6769582677462388</v>
      </c>
      <c r="K43">
        <f>'AEO Table 1'!L$31/'AEO Table 1'!$C$31</f>
        <v>0.69855314012146896</v>
      </c>
      <c r="L43">
        <f>'AEO Table 1'!M$31/'AEO Table 1'!$C$31</f>
        <v>0.69049064290784889</v>
      </c>
      <c r="M43">
        <f>'AEO Table 1'!N$31/'AEO Table 1'!$C$31</f>
        <v>0.7201274361533212</v>
      </c>
      <c r="N43">
        <f>'AEO Table 1'!O$31/'AEO Table 1'!$C$31</f>
        <v>0.69155718337294281</v>
      </c>
      <c r="O43">
        <f>'AEO Table 1'!P$31/'AEO Table 1'!$C$31</f>
        <v>0.72070700315846881</v>
      </c>
      <c r="P43">
        <f>'AEO Table 1'!Q$31/'AEO Table 1'!$C$31</f>
        <v>0.72139974005219532</v>
      </c>
      <c r="Q43">
        <f>'AEO Table 1'!R$31/'AEO Table 1'!$C$31</f>
        <v>0.75014489175128685</v>
      </c>
      <c r="R43">
        <f>'AEO Table 1'!S$31/'AEO Table 1'!$C$31</f>
        <v>0.74410916436040153</v>
      </c>
      <c r="S43">
        <f>'AEO Table 1'!T$31/'AEO Table 1'!$C$31</f>
        <v>0.72749719647321476</v>
      </c>
      <c r="T43">
        <f>'AEO Table 1'!U$31/'AEO Table 1'!$C$31</f>
        <v>0.72350538585787916</v>
      </c>
      <c r="U43">
        <f>'AEO Table 1'!V$31/'AEO Table 1'!$C$31</f>
        <v>0.71680435669777132</v>
      </c>
      <c r="V43">
        <f>'AEO Table 1'!W$31/'AEO Table 1'!$C$31</f>
        <v>0.71972962684801289</v>
      </c>
      <c r="W43">
        <f>'AEO Table 1'!X$31/'AEO Table 1'!$C$31</f>
        <v>0.71668775741862911</v>
      </c>
      <c r="X43">
        <f>'AEO Table 1'!Y$31/'AEO Table 1'!$C$31</f>
        <v>0.72150262176908542</v>
      </c>
      <c r="Y43">
        <f>'AEO Table 1'!Z$31/'AEO Table 1'!$C$31</f>
        <v>0.71385165142302565</v>
      </c>
      <c r="Z43">
        <f>'AEO Table 1'!AA$31/'AEO Table 1'!$C$31</f>
        <v>0.70822059211857469</v>
      </c>
      <c r="AA43">
        <f>'AEO Table 1'!AB$31/'AEO Table 1'!$C$31</f>
        <v>0.69929388848307772</v>
      </c>
      <c r="AB43">
        <f>'AEO Table 1'!AC$31/'AEO Table 1'!$C$31</f>
        <v>0.69084044074527517</v>
      </c>
      <c r="AC43">
        <f>'AEO Table 1'!AD$31/'AEO Table 1'!$C$31</f>
        <v>0.68313117075964425</v>
      </c>
      <c r="AD43">
        <f>'AEO Table 1'!AE$31/'AEO Table 1'!$C$31</f>
        <v>0.67541847138345046</v>
      </c>
      <c r="AE43">
        <f>'AEO Table 1'!AF$31/'AEO Table 1'!$C$31</f>
        <v>0.67351515962098374</v>
      </c>
      <c r="AF43">
        <f>'AEO Table 1'!AG$31/'AEO Table 1'!$C$31</f>
        <v>0.66853225513294035</v>
      </c>
      <c r="AG43">
        <f>'AEO Table 1'!AH$31/'AEO Table 1'!$C$31</f>
        <v>0.65656368206805971</v>
      </c>
    </row>
    <row r="44" spans="1:35" x14ac:dyDescent="0.3">
      <c r="A44" t="s">
        <v>768</v>
      </c>
      <c r="B44">
        <f>'AEO Table 1'!C$28/'AEO Table 1'!$C$28</f>
        <v>1</v>
      </c>
      <c r="C44">
        <f>'AEO Table 1'!D$28/'AEO Table 1'!$C$28</f>
        <v>0.93403337581332413</v>
      </c>
      <c r="D44">
        <f>'AEO Table 1'!E$28/'AEO Table 1'!$C$28</f>
        <v>0.69674010903647554</v>
      </c>
      <c r="E44">
        <f>'AEO Table 1'!F$28/'AEO Table 1'!$C$28</f>
        <v>0.59667675220963123</v>
      </c>
      <c r="F44">
        <f>'AEO Table 1'!G$28/'AEO Table 1'!$C$28</f>
        <v>0.6241893112527368</v>
      </c>
      <c r="G44">
        <f>'AEO Table 1'!H$28/'AEO Table 1'!$C$28</f>
        <v>0.6039683471684153</v>
      </c>
      <c r="H44">
        <f>'AEO Table 1'!I$28/'AEO Table 1'!$C$28</f>
        <v>0.53840942548013992</v>
      </c>
      <c r="I44">
        <f>'AEO Table 1'!J$28/'AEO Table 1'!$C$28</f>
        <v>0.5643119356690065</v>
      </c>
      <c r="J44">
        <f>'AEO Table 1'!K$28/'AEO Table 1'!$C$28</f>
        <v>0.5312569880034681</v>
      </c>
      <c r="K44">
        <f>'AEO Table 1'!L$28/'AEO Table 1'!$C$28</f>
        <v>0.497519043846048</v>
      </c>
      <c r="L44">
        <f>'AEO Table 1'!M$28/'AEO Table 1'!$C$28</f>
        <v>0.47121378040872192</v>
      </c>
      <c r="M44">
        <f>'AEO Table 1'!N$28/'AEO Table 1'!$C$28</f>
        <v>0.36371504327090659</v>
      </c>
      <c r="N44">
        <f>'AEO Table 1'!O$28/'AEO Table 1'!$C$28</f>
        <v>0.35450924555240798</v>
      </c>
      <c r="O44">
        <f>'AEO Table 1'!P$28/'AEO Table 1'!$C$28</f>
        <v>0.33695425601107298</v>
      </c>
      <c r="P44">
        <f>'AEO Table 1'!Q$28/'AEO Table 1'!$C$28</f>
        <v>0.30234762207501736</v>
      </c>
      <c r="Q44">
        <f>'AEO Table 1'!R$28/'AEO Table 1'!$C$28</f>
        <v>0.32371507669441268</v>
      </c>
      <c r="R44">
        <f>'AEO Table 1'!S$28/'AEO Table 1'!$C$28</f>
        <v>0.32394042825666919</v>
      </c>
      <c r="S44">
        <f>'AEO Table 1'!T$28/'AEO Table 1'!$C$28</f>
        <v>0.31407548043236905</v>
      </c>
      <c r="T44">
        <f>'AEO Table 1'!U$28/'AEO Table 1'!$C$28</f>
        <v>0.34436977504630606</v>
      </c>
      <c r="U44">
        <f>'AEO Table 1'!V$28/'AEO Table 1'!$C$28</f>
        <v>0.337186870758308</v>
      </c>
      <c r="V44">
        <f>'AEO Table 1'!W$28/'AEO Table 1'!$C$28</f>
        <v>0.32827340016620488</v>
      </c>
      <c r="W44">
        <f>'AEO Table 1'!X$28/'AEO Table 1'!$C$28</f>
        <v>0.33639325531644254</v>
      </c>
      <c r="X44">
        <f>'AEO Table 1'!Y$28/'AEO Table 1'!$C$28</f>
        <v>0.37176650878559353</v>
      </c>
      <c r="Y44">
        <f>'AEO Table 1'!Z$28/'AEO Table 1'!$C$28</f>
        <v>0.36513560655596933</v>
      </c>
      <c r="Z44">
        <f>'AEO Table 1'!AA$28/'AEO Table 1'!$C$28</f>
        <v>0.38065716140718875</v>
      </c>
      <c r="AA44">
        <f>'AEO Table 1'!AB$28/'AEO Table 1'!$C$28</f>
        <v>0.38411649428814781</v>
      </c>
      <c r="AB44">
        <f>'AEO Table 1'!AC$28/'AEO Table 1'!$C$28</f>
        <v>0.37707062637514427</v>
      </c>
      <c r="AC44">
        <f>'AEO Table 1'!AD$28/'AEO Table 1'!$C$28</f>
        <v>0.38157553651315573</v>
      </c>
      <c r="AD44">
        <f>'AEO Table 1'!AE$28/'AEO Table 1'!$C$28</f>
        <v>0.3832947902459668</v>
      </c>
      <c r="AE44">
        <f>'AEO Table 1'!AF$28/'AEO Table 1'!$C$28</f>
        <v>0.37488415059269198</v>
      </c>
      <c r="AF44">
        <f>'AEO Table 1'!AG$28/'AEO Table 1'!$C$28</f>
        <v>0.38765096578185004</v>
      </c>
      <c r="AG44">
        <f>'AEO Table 1'!AH$28/'AEO Table 1'!$C$28</f>
        <v>0.37719731431844361</v>
      </c>
    </row>
    <row r="45" spans="1:35" x14ac:dyDescent="0.3">
      <c r="A45" t="s">
        <v>769</v>
      </c>
      <c r="B45">
        <f>'AEO Table 1'!C$29/'AEO Table 1'!$C$29</f>
        <v>1</v>
      </c>
      <c r="C45">
        <f>'AEO Table 1'!D$29/'AEO Table 1'!$C$29</f>
        <v>0.87211470840119887</v>
      </c>
      <c r="D45">
        <f>'AEO Table 1'!E$29/'AEO Table 1'!$C$29</f>
        <v>0.8829772023755299</v>
      </c>
      <c r="E45">
        <f>'AEO Table 1'!F$29/'AEO Table 1'!$C$29</f>
        <v>0.90152287824340771</v>
      </c>
      <c r="F45">
        <f>'AEO Table 1'!G$29/'AEO Table 1'!$C$29</f>
        <v>0.89442841173222409</v>
      </c>
      <c r="G45">
        <f>'AEO Table 1'!H$29/'AEO Table 1'!$C$29</f>
        <v>0.87252558484007059</v>
      </c>
      <c r="H45">
        <f>'AEO Table 1'!I$29/'AEO Table 1'!$C$29</f>
        <v>0.84070071448922556</v>
      </c>
      <c r="I45">
        <f>'AEO Table 1'!J$29/'AEO Table 1'!$C$29</f>
        <v>0.77523668454255867</v>
      </c>
      <c r="J45">
        <f>'AEO Table 1'!K$29/'AEO Table 1'!$C$29</f>
        <v>0.77987377792792523</v>
      </c>
      <c r="K45">
        <f>'AEO Table 1'!L$29/'AEO Table 1'!$C$29</f>
        <v>0.75256771835125669</v>
      </c>
      <c r="L45">
        <f>'AEO Table 1'!M$29/'AEO Table 1'!$C$29</f>
        <v>0.72055152068897754</v>
      </c>
      <c r="M45">
        <f>'AEO Table 1'!N$29/'AEO Table 1'!$C$29</f>
        <v>0.73331172427617797</v>
      </c>
      <c r="N45">
        <f>'AEO Table 1'!O$29/'AEO Table 1'!$C$29</f>
        <v>0.72614213793122051</v>
      </c>
      <c r="O45">
        <f>'AEO Table 1'!P$29/'AEO Table 1'!$C$29</f>
        <v>0.70619574693082565</v>
      </c>
      <c r="P45">
        <f>'AEO Table 1'!Q$29/'AEO Table 1'!$C$29</f>
        <v>0.71133190993007422</v>
      </c>
      <c r="Q45">
        <f>'AEO Table 1'!R$29/'AEO Table 1'!$C$29</f>
        <v>0.71303766969145055</v>
      </c>
      <c r="R45">
        <f>'AEO Table 1'!S$29/'AEO Table 1'!$C$29</f>
        <v>0.70375186217295127</v>
      </c>
      <c r="S45">
        <f>'AEO Table 1'!T$29/'AEO Table 1'!$C$29</f>
        <v>0.69054903260387546</v>
      </c>
      <c r="T45">
        <f>'AEO Table 1'!U$29/'AEO Table 1'!$C$29</f>
        <v>0.71135452888554751</v>
      </c>
      <c r="U45">
        <f>'AEO Table 1'!V$29/'AEO Table 1'!$C$29</f>
        <v>0.70243788762197379</v>
      </c>
      <c r="V45">
        <f>'AEO Table 1'!W$29/'AEO Table 1'!$C$29</f>
        <v>0.70439058827337897</v>
      </c>
      <c r="W45">
        <f>'AEO Table 1'!X$29/'AEO Table 1'!$C$29</f>
        <v>0.70979589609142379</v>
      </c>
      <c r="X45">
        <f>'AEO Table 1'!Y$29/'AEO Table 1'!$C$29</f>
        <v>0.70950703750409583</v>
      </c>
      <c r="Y45">
        <f>'AEO Table 1'!Z$29/'AEO Table 1'!$C$29</f>
        <v>0.71059461498698795</v>
      </c>
      <c r="Z45">
        <f>'AEO Table 1'!AA$29/'AEO Table 1'!$C$29</f>
        <v>0.71165666832746521</v>
      </c>
      <c r="AA45">
        <f>'AEO Table 1'!AB$29/'AEO Table 1'!$C$29</f>
        <v>0.71253175213692066</v>
      </c>
      <c r="AB45">
        <f>'AEO Table 1'!AC$29/'AEO Table 1'!$C$29</f>
        <v>0.71871731016211571</v>
      </c>
      <c r="AC45">
        <f>'AEO Table 1'!AD$29/'AEO Table 1'!$C$29</f>
        <v>0.7307605551148203</v>
      </c>
      <c r="AD45">
        <f>'AEO Table 1'!AE$29/'AEO Table 1'!$C$29</f>
        <v>0.73348416787249215</v>
      </c>
      <c r="AE45">
        <f>'AEO Table 1'!AF$29/'AEO Table 1'!$C$29</f>
        <v>0.74214411511844758</v>
      </c>
      <c r="AF45">
        <f>'AEO Table 1'!AG$29/'AEO Table 1'!$C$29</f>
        <v>0.7562292914643326</v>
      </c>
      <c r="AG45">
        <f>'AEO Table 1'!AH$29/'AEO Table 1'!$C$29</f>
        <v>0.76637959961128599</v>
      </c>
    </row>
    <row r="46" spans="1:35" x14ac:dyDescent="0.3">
      <c r="A46" t="s">
        <v>770</v>
      </c>
      <c r="B46">
        <f>'AEO Table 1'!C$29/'AEO Table 1'!$C$29</f>
        <v>1</v>
      </c>
      <c r="C46">
        <f>'AEO Table 1'!D$29/'AEO Table 1'!$C$29</f>
        <v>0.87211470840119887</v>
      </c>
      <c r="D46">
        <f>'AEO Table 1'!E$29/'AEO Table 1'!$C$29</f>
        <v>0.8829772023755299</v>
      </c>
      <c r="E46">
        <f>'AEO Table 1'!F$29/'AEO Table 1'!$C$29</f>
        <v>0.90152287824340771</v>
      </c>
      <c r="F46">
        <f>'AEO Table 1'!G$29/'AEO Table 1'!$C$29</f>
        <v>0.89442841173222409</v>
      </c>
      <c r="G46">
        <f>'AEO Table 1'!H$29/'AEO Table 1'!$C$29</f>
        <v>0.87252558484007059</v>
      </c>
      <c r="H46">
        <f>'AEO Table 1'!I$29/'AEO Table 1'!$C$29</f>
        <v>0.84070071448922556</v>
      </c>
      <c r="I46">
        <f>'AEO Table 1'!J$29/'AEO Table 1'!$C$29</f>
        <v>0.77523668454255867</v>
      </c>
      <c r="J46">
        <f>'AEO Table 1'!K$29/'AEO Table 1'!$C$29</f>
        <v>0.77987377792792523</v>
      </c>
      <c r="K46">
        <f>'AEO Table 1'!L$29/'AEO Table 1'!$C$29</f>
        <v>0.75256771835125669</v>
      </c>
      <c r="L46">
        <f>'AEO Table 1'!M$29/'AEO Table 1'!$C$29</f>
        <v>0.72055152068897754</v>
      </c>
      <c r="M46">
        <f>'AEO Table 1'!N$29/'AEO Table 1'!$C$29</f>
        <v>0.73331172427617797</v>
      </c>
      <c r="N46">
        <f>'AEO Table 1'!O$29/'AEO Table 1'!$C$29</f>
        <v>0.72614213793122051</v>
      </c>
      <c r="O46">
        <f>'AEO Table 1'!P$29/'AEO Table 1'!$C$29</f>
        <v>0.70619574693082565</v>
      </c>
      <c r="P46">
        <f>'AEO Table 1'!Q$29/'AEO Table 1'!$C$29</f>
        <v>0.71133190993007422</v>
      </c>
      <c r="Q46">
        <f>'AEO Table 1'!R$29/'AEO Table 1'!$C$29</f>
        <v>0.71303766969145055</v>
      </c>
      <c r="R46">
        <f>'AEO Table 1'!S$29/'AEO Table 1'!$C$29</f>
        <v>0.70375186217295127</v>
      </c>
      <c r="S46">
        <f>'AEO Table 1'!T$29/'AEO Table 1'!$C$29</f>
        <v>0.69054903260387546</v>
      </c>
      <c r="T46">
        <f>'AEO Table 1'!U$29/'AEO Table 1'!$C$29</f>
        <v>0.71135452888554751</v>
      </c>
      <c r="U46">
        <f>'AEO Table 1'!V$29/'AEO Table 1'!$C$29</f>
        <v>0.70243788762197379</v>
      </c>
      <c r="V46">
        <f>'AEO Table 1'!W$29/'AEO Table 1'!$C$29</f>
        <v>0.70439058827337897</v>
      </c>
      <c r="W46">
        <f>'AEO Table 1'!X$29/'AEO Table 1'!$C$29</f>
        <v>0.70979589609142379</v>
      </c>
      <c r="X46">
        <f>'AEO Table 1'!Y$29/'AEO Table 1'!$C$29</f>
        <v>0.70950703750409583</v>
      </c>
      <c r="Y46">
        <f>'AEO Table 1'!Z$29/'AEO Table 1'!$C$29</f>
        <v>0.71059461498698795</v>
      </c>
      <c r="Z46">
        <f>'AEO Table 1'!AA$29/'AEO Table 1'!$C$29</f>
        <v>0.71165666832746521</v>
      </c>
      <c r="AA46">
        <f>'AEO Table 1'!AB$29/'AEO Table 1'!$C$29</f>
        <v>0.71253175213692066</v>
      </c>
      <c r="AB46">
        <f>'AEO Table 1'!AC$29/'AEO Table 1'!$C$29</f>
        <v>0.71871731016211571</v>
      </c>
      <c r="AC46">
        <f>'AEO Table 1'!AD$29/'AEO Table 1'!$C$29</f>
        <v>0.7307605551148203</v>
      </c>
      <c r="AD46">
        <f>'AEO Table 1'!AE$29/'AEO Table 1'!$C$29</f>
        <v>0.73348416787249215</v>
      </c>
      <c r="AE46">
        <f>'AEO Table 1'!AF$29/'AEO Table 1'!$C$29</f>
        <v>0.74214411511844758</v>
      </c>
      <c r="AF46">
        <f>'AEO Table 1'!AG$29/'AEO Table 1'!$C$29</f>
        <v>0.7562292914643326</v>
      </c>
      <c r="AG46">
        <f>'AEO Table 1'!AH$29/'AEO Table 1'!$C$29</f>
        <v>0.76637959961128599</v>
      </c>
    </row>
    <row r="47" spans="1:35" x14ac:dyDescent="0.3">
      <c r="A47" t="s">
        <v>771</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row>
    <row r="48" spans="1:35" x14ac:dyDescent="0.3">
      <c r="A48" t="s">
        <v>772</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row>
    <row r="51" spans="1:35" x14ac:dyDescent="0.3">
      <c r="A51" s="196" t="s">
        <v>781</v>
      </c>
      <c r="B51" s="196"/>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row>
    <row r="52" spans="1:35" s="1" customFormat="1" x14ac:dyDescent="0.3">
      <c r="B52" s="1">
        <f>B2</f>
        <v>2019</v>
      </c>
      <c r="C52" s="1">
        <f t="shared" ref="C52:AG52" si="1">C2</f>
        <v>2020</v>
      </c>
      <c r="D52" s="1">
        <f t="shared" si="1"/>
        <v>2021</v>
      </c>
      <c r="E52" s="1">
        <f t="shared" si="1"/>
        <v>2022</v>
      </c>
      <c r="F52" s="1">
        <f t="shared" si="1"/>
        <v>2023</v>
      </c>
      <c r="G52" s="1">
        <f t="shared" si="1"/>
        <v>2024</v>
      </c>
      <c r="H52" s="1">
        <f t="shared" si="1"/>
        <v>2025</v>
      </c>
      <c r="I52" s="1">
        <f t="shared" si="1"/>
        <v>2026</v>
      </c>
      <c r="J52" s="1">
        <f t="shared" si="1"/>
        <v>2027</v>
      </c>
      <c r="K52" s="1">
        <f t="shared" si="1"/>
        <v>2028</v>
      </c>
      <c r="L52" s="1">
        <f t="shared" si="1"/>
        <v>2029</v>
      </c>
      <c r="M52" s="1">
        <f t="shared" si="1"/>
        <v>2030</v>
      </c>
      <c r="N52" s="1">
        <f t="shared" si="1"/>
        <v>2031</v>
      </c>
      <c r="O52" s="1">
        <f t="shared" si="1"/>
        <v>2032</v>
      </c>
      <c r="P52" s="1">
        <f t="shared" si="1"/>
        <v>2033</v>
      </c>
      <c r="Q52" s="1">
        <f t="shared" si="1"/>
        <v>2034</v>
      </c>
      <c r="R52" s="1">
        <f t="shared" si="1"/>
        <v>2035</v>
      </c>
      <c r="S52" s="1">
        <f t="shared" si="1"/>
        <v>2036</v>
      </c>
      <c r="T52" s="1">
        <f t="shared" si="1"/>
        <v>2037</v>
      </c>
      <c r="U52" s="1">
        <f t="shared" si="1"/>
        <v>2038</v>
      </c>
      <c r="V52" s="1">
        <f t="shared" si="1"/>
        <v>2039</v>
      </c>
      <c r="W52" s="1">
        <f t="shared" si="1"/>
        <v>2040</v>
      </c>
      <c r="X52" s="1">
        <f t="shared" si="1"/>
        <v>2041</v>
      </c>
      <c r="Y52" s="1">
        <f t="shared" si="1"/>
        <v>2042</v>
      </c>
      <c r="Z52" s="1">
        <f t="shared" si="1"/>
        <v>2043</v>
      </c>
      <c r="AA52" s="1">
        <f t="shared" si="1"/>
        <v>2044</v>
      </c>
      <c r="AB52" s="1">
        <f t="shared" si="1"/>
        <v>2045</v>
      </c>
      <c r="AC52" s="1">
        <f t="shared" si="1"/>
        <v>2046</v>
      </c>
      <c r="AD52" s="1">
        <f t="shared" si="1"/>
        <v>2047</v>
      </c>
      <c r="AE52" s="1">
        <f t="shared" si="1"/>
        <v>2048</v>
      </c>
      <c r="AF52" s="1">
        <f t="shared" si="1"/>
        <v>2049</v>
      </c>
      <c r="AG52" s="1">
        <f t="shared" si="1"/>
        <v>2050</v>
      </c>
    </row>
    <row r="53" spans="1:35" x14ac:dyDescent="0.3">
      <c r="A53" s="31" t="s">
        <v>751</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c r="AG53" s="7">
        <v>0</v>
      </c>
      <c r="AH53" s="7"/>
      <c r="AI53" s="7"/>
    </row>
    <row r="54" spans="1:35" x14ac:dyDescent="0.3">
      <c r="A54" t="s">
        <v>752</v>
      </c>
      <c r="B54">
        <f>'AEO Table 1'!C$37/'AEO Table 1'!$C$37</f>
        <v>1</v>
      </c>
      <c r="C54">
        <f>'AEO Table 1'!D$37/'AEO Table 1'!$C$37</f>
        <v>0.87524975417689621</v>
      </c>
      <c r="D54">
        <f>'AEO Table 1'!E$37/'AEO Table 1'!$C$37</f>
        <v>0.93042105461780544</v>
      </c>
      <c r="E54">
        <f>'AEO Table 1'!F$37/'AEO Table 1'!$C$37</f>
        <v>1.1460409376710017</v>
      </c>
      <c r="F54">
        <f>'AEO Table 1'!G$37/'AEO Table 1'!$C$37</f>
        <v>1.1527063603714289</v>
      </c>
      <c r="G54">
        <f>'AEO Table 1'!H$37/'AEO Table 1'!$C$37</f>
        <v>1.1596246296929151</v>
      </c>
      <c r="H54">
        <f>'AEO Table 1'!I$37/'AEO Table 1'!$C$37</f>
        <v>1.1673802699965827</v>
      </c>
      <c r="I54">
        <f>'AEO Table 1'!J$37/'AEO Table 1'!$C$37</f>
        <v>1.1737039514098402</v>
      </c>
      <c r="J54">
        <f>'AEO Table 1'!K$37/'AEO Table 1'!$C$37</f>
        <v>1.1726460210202341</v>
      </c>
      <c r="K54">
        <f>'AEO Table 1'!L$37/'AEO Table 1'!$C$37</f>
        <v>1.1547937077671715</v>
      </c>
      <c r="L54">
        <f>'AEO Table 1'!M$37/'AEO Table 1'!$C$37</f>
        <v>1.1328161788292321</v>
      </c>
      <c r="M54">
        <f>'AEO Table 1'!N$37/'AEO Table 1'!$C$37</f>
        <v>1.1162243248513006</v>
      </c>
      <c r="N54">
        <f>'AEO Table 1'!O$37/'AEO Table 1'!$C$37</f>
        <v>1.1152561277567306</v>
      </c>
      <c r="O54">
        <f>'AEO Table 1'!P$37/'AEO Table 1'!$C$37</f>
        <v>1.1156301562575346</v>
      </c>
      <c r="P54">
        <f>'AEO Table 1'!Q$37/'AEO Table 1'!$C$37</f>
        <v>1.1147001167790778</v>
      </c>
      <c r="Q54">
        <f>'AEO Table 1'!R$37/'AEO Table 1'!$C$37</f>
        <v>1.1144564950761999</v>
      </c>
      <c r="R54">
        <f>'AEO Table 1'!S$37/'AEO Table 1'!$C$37</f>
        <v>1.1351970463489243</v>
      </c>
      <c r="S54">
        <f>'AEO Table 1'!T$37/'AEO Table 1'!$C$37</f>
        <v>1.1323897360205801</v>
      </c>
      <c r="T54">
        <f>'AEO Table 1'!U$37/'AEO Table 1'!$C$37</f>
        <v>1.1321712731854692</v>
      </c>
      <c r="U54">
        <f>'AEO Table 1'!V$37/'AEO Table 1'!$C$37</f>
        <v>1.131970840872258</v>
      </c>
      <c r="V54">
        <f>'AEO Table 1'!W$37/'AEO Table 1'!$C$37</f>
        <v>1.1317859231941698</v>
      </c>
      <c r="W54">
        <f>'AEO Table 1'!X$37/'AEO Table 1'!$C$37</f>
        <v>1.1316165201512047</v>
      </c>
      <c r="X54">
        <f>'AEO Table 1'!Y$37/'AEO Table 1'!$C$37</f>
        <v>1.1314622124289</v>
      </c>
      <c r="Y54">
        <f>'AEO Table 1'!Z$37/'AEO Table 1'!$C$37</f>
        <v>1.13132216139833</v>
      </c>
      <c r="Z54">
        <f>'AEO Table 1'!AA$37/'AEO Table 1'!$C$37</f>
        <v>1.1311955284305688</v>
      </c>
      <c r="AA54">
        <f>'AEO Table 1'!AB$37/'AEO Table 1'!$C$37</f>
        <v>1.1346276173084624</v>
      </c>
      <c r="AB54">
        <f>'AEO Table 1'!AC$37/'AEO Table 1'!$C$37</f>
        <v>1.1345617849378054</v>
      </c>
      <c r="AC54">
        <f>'AEO Table 1'!AD$37/'AEO Table 1'!$C$37</f>
        <v>1.1345072740576432</v>
      </c>
      <c r="AD54">
        <f>'AEO Table 1'!AE$37/'AEO Table 1'!$C$37</f>
        <v>1.134464923296902</v>
      </c>
      <c r="AE54">
        <f>'AEO Table 1'!AF$37/'AEO Table 1'!$C$37</f>
        <v>1.130743507439687</v>
      </c>
      <c r="AF54">
        <f>'AEO Table 1'!AG$37/'AEO Table 1'!$C$37</f>
        <v>1.134412508989054</v>
      </c>
      <c r="AG54">
        <f>'AEO Table 1'!AH$37/'AEO Table 1'!$C$37</f>
        <v>1.134402445441947</v>
      </c>
    </row>
    <row r="55" spans="1:35" x14ac:dyDescent="0.3">
      <c r="A55" t="s">
        <v>754</v>
      </c>
      <c r="B55">
        <f>'AEO Table 1'!C$36/'AEO Table 1'!$C$36</f>
        <v>1</v>
      </c>
      <c r="C55">
        <f>'AEO Table 1'!D$36/'AEO Table 1'!$C$36</f>
        <v>1.2023294733313246</v>
      </c>
      <c r="D55">
        <f>'AEO Table 1'!E$36/'AEO Table 1'!$C$36</f>
        <v>1.4041457121947947</v>
      </c>
      <c r="E55">
        <f>'AEO Table 1'!F$36/'AEO Table 1'!$C$36</f>
        <v>1.4852938585172499</v>
      </c>
      <c r="F55">
        <f>'AEO Table 1'!G$36/'AEO Table 1'!$C$36</f>
        <v>1.531226893575335</v>
      </c>
      <c r="G55">
        <f>'AEO Table 1'!H$36/'AEO Table 1'!$C$36</f>
        <v>1.6457442022460533</v>
      </c>
      <c r="H55">
        <f>'AEO Table 1'!I$36/'AEO Table 1'!$C$36</f>
        <v>1.8577889966188088</v>
      </c>
      <c r="I55">
        <f>'AEO Table 1'!J$36/'AEO Table 1'!$C$36</f>
        <v>2.0525337076383607</v>
      </c>
      <c r="J55">
        <f>'AEO Table 1'!K$36/'AEO Table 1'!$C$36</f>
        <v>2.1326498088140271</v>
      </c>
      <c r="K55">
        <f>'AEO Table 1'!L$36/'AEO Table 1'!$C$36</f>
        <v>2.2129325271767804</v>
      </c>
      <c r="L55">
        <f>'AEO Table 1'!M$36/'AEO Table 1'!$C$36</f>
        <v>2.2659850454940758</v>
      </c>
      <c r="M55">
        <f>'AEO Table 1'!N$36/'AEO Table 1'!$C$36</f>
        <v>2.3217460410574193</v>
      </c>
      <c r="N55">
        <f>'AEO Table 1'!O$36/'AEO Table 1'!$C$36</f>
        <v>2.37394539907939</v>
      </c>
      <c r="O55">
        <f>'AEO Table 1'!P$36/'AEO Table 1'!$C$36</f>
        <v>2.4318880314658902</v>
      </c>
      <c r="P55">
        <f>'AEO Table 1'!Q$36/'AEO Table 1'!$C$36</f>
        <v>2.4604571913160105</v>
      </c>
      <c r="Q55">
        <f>'AEO Table 1'!R$36/'AEO Table 1'!$C$36</f>
        <v>2.489858544907793</v>
      </c>
      <c r="R55">
        <f>'AEO Table 1'!S$36/'AEO Table 1'!$C$36</f>
        <v>2.5398140355909482</v>
      </c>
      <c r="S55">
        <f>'AEO Table 1'!T$36/'AEO Table 1'!$C$36</f>
        <v>2.5723494428584459</v>
      </c>
      <c r="T55">
        <f>'AEO Table 1'!U$36/'AEO Table 1'!$C$36</f>
        <v>2.5722414874119264</v>
      </c>
      <c r="U55">
        <f>'AEO Table 1'!V$36/'AEO Table 1'!$C$36</f>
        <v>2.5774478841736204</v>
      </c>
      <c r="V55">
        <f>'AEO Table 1'!W$36/'AEO Table 1'!$C$36</f>
        <v>2.5824290020076588</v>
      </c>
      <c r="W55">
        <f>'AEO Table 1'!X$36/'AEO Table 1'!$C$36</f>
        <v>2.6145461934441157</v>
      </c>
      <c r="X55">
        <f>'AEO Table 1'!Y$36/'AEO Table 1'!$C$36</f>
        <v>2.6347795868741346</v>
      </c>
      <c r="Y55">
        <f>'AEO Table 1'!Z$36/'AEO Table 1'!$C$36</f>
        <v>2.639953641611561</v>
      </c>
      <c r="Z55">
        <f>'AEO Table 1'!AA$36/'AEO Table 1'!$C$36</f>
        <v>2.6448247965630913</v>
      </c>
      <c r="AA55">
        <f>'AEO Table 1'!AB$36/'AEO Table 1'!$C$36</f>
        <v>2.6543900060022336</v>
      </c>
      <c r="AB55">
        <f>'AEO Table 1'!AC$36/'AEO Table 1'!$C$36</f>
        <v>2.6540025708563566</v>
      </c>
      <c r="AC55">
        <f>'AEO Table 1'!AD$36/'AEO Table 1'!$C$36</f>
        <v>2.6590423504309633</v>
      </c>
      <c r="AD55">
        <f>'AEO Table 1'!AE$36/'AEO Table 1'!$C$36</f>
        <v>2.6653278555609661</v>
      </c>
      <c r="AE55">
        <f>'AEO Table 1'!AF$36/'AEO Table 1'!$C$36</f>
        <v>2.6786284572787511</v>
      </c>
      <c r="AF55">
        <f>'AEO Table 1'!AG$36/'AEO Table 1'!$C$36</f>
        <v>2.6822217676990614</v>
      </c>
      <c r="AG55">
        <f>'AEO Table 1'!AH$36/'AEO Table 1'!$C$36</f>
        <v>2.6863800598260537</v>
      </c>
    </row>
    <row r="56" spans="1:35" x14ac:dyDescent="0.3">
      <c r="A56" t="s">
        <v>755</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row>
    <row r="57" spans="1:35" x14ac:dyDescent="0.3">
      <c r="A57" s="7" t="s">
        <v>756</v>
      </c>
      <c r="B57" s="7">
        <v>0</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c r="AF57" s="7">
        <v>0</v>
      </c>
      <c r="AG57" s="7">
        <v>0</v>
      </c>
      <c r="AH57" s="7"/>
      <c r="AI57" s="7"/>
    </row>
    <row r="58" spans="1:35" x14ac:dyDescent="0.3">
      <c r="A58" s="7" t="s">
        <v>757</v>
      </c>
      <c r="B58" s="7">
        <v>0</v>
      </c>
      <c r="C58" s="7">
        <v>0</v>
      </c>
      <c r="D58" s="7">
        <v>0</v>
      </c>
      <c r="E58" s="7">
        <v>0</v>
      </c>
      <c r="F58" s="7">
        <v>0</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c r="AI58" s="7"/>
    </row>
    <row r="59" spans="1:35" x14ac:dyDescent="0.3">
      <c r="A59" s="7" t="s">
        <v>758</v>
      </c>
      <c r="B59" s="7">
        <v>0</v>
      </c>
      <c r="C59" s="7">
        <v>0</v>
      </c>
      <c r="D59" s="7">
        <v>0</v>
      </c>
      <c r="E59" s="7">
        <v>0</v>
      </c>
      <c r="F59" s="7">
        <v>0</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v>0</v>
      </c>
      <c r="AG59" s="7">
        <v>0</v>
      </c>
      <c r="AH59" s="7"/>
      <c r="AI59" s="7"/>
    </row>
    <row r="60" spans="1:35" x14ac:dyDescent="0.3">
      <c r="A60" t="s">
        <v>759</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row>
    <row r="61" spans="1:35" x14ac:dyDescent="0.3">
      <c r="A61" t="s">
        <v>760</v>
      </c>
      <c r="B61">
        <f>'AEO Table 1'!C$35/'AEO Table 1'!$C$35</f>
        <v>1</v>
      </c>
      <c r="C61">
        <f>'AEO Table 1'!D$35/'AEO Table 1'!$C$35</f>
        <v>1.1783686785730305</v>
      </c>
      <c r="D61">
        <f>'AEO Table 1'!E$35/'AEO Table 1'!$C$35</f>
        <v>1.1864833494090143</v>
      </c>
      <c r="E61">
        <f>'AEO Table 1'!F$35/'AEO Table 1'!$C$35</f>
        <v>1.2687304140327731</v>
      </c>
      <c r="F61">
        <f>'AEO Table 1'!G$35/'AEO Table 1'!$C$35</f>
        <v>1.357992392061937</v>
      </c>
      <c r="G61">
        <f>'AEO Table 1'!H$35/'AEO Table 1'!$C$35</f>
        <v>1.411689777741209</v>
      </c>
      <c r="H61">
        <f>'AEO Table 1'!I$35/'AEO Table 1'!$C$35</f>
        <v>1.3903290331709957</v>
      </c>
      <c r="I61">
        <f>'AEO Table 1'!J$35/'AEO Table 1'!$C$35</f>
        <v>1.4427263516671549</v>
      </c>
      <c r="J61">
        <f>'AEO Table 1'!K$35/'AEO Table 1'!$C$35</f>
        <v>1.454798891703206</v>
      </c>
      <c r="K61">
        <f>'AEO Table 1'!L$35/'AEO Table 1'!$C$35</f>
        <v>1.4486495918920839</v>
      </c>
      <c r="L61">
        <f>'AEO Table 1'!M$35/'AEO Table 1'!$C$35</f>
        <v>1.4418270237557784</v>
      </c>
      <c r="M61">
        <f>'AEO Table 1'!N$35/'AEO Table 1'!$C$35</f>
        <v>1.3666156520543546</v>
      </c>
      <c r="N61">
        <f>'AEO Table 1'!O$35/'AEO Table 1'!$C$35</f>
        <v>1.3869539485783009</v>
      </c>
      <c r="O61">
        <f>'AEO Table 1'!P$35/'AEO Table 1'!$C$35</f>
        <v>1.3883812678463563</v>
      </c>
      <c r="P61">
        <f>'AEO Table 1'!Q$35/'AEO Table 1'!$C$35</f>
        <v>1.3872607907821823</v>
      </c>
      <c r="Q61">
        <f>'AEO Table 1'!R$35/'AEO Table 1'!$C$35</f>
        <v>1.3887512270843698</v>
      </c>
      <c r="R61">
        <f>'AEO Table 1'!S$35/'AEO Table 1'!$C$35</f>
        <v>1.4017542942488583</v>
      </c>
      <c r="S61">
        <f>'AEO Table 1'!T$35/'AEO Table 1'!$C$35</f>
        <v>1.3889461473368354</v>
      </c>
      <c r="T61">
        <f>'AEO Table 1'!U$35/'AEO Table 1'!$C$35</f>
        <v>1.413911569202648</v>
      </c>
      <c r="U61">
        <f>'AEO Table 1'!V$35/'AEO Table 1'!$C$35</f>
        <v>1.3954607354859117</v>
      </c>
      <c r="V61">
        <f>'AEO Table 1'!W$35/'AEO Table 1'!$C$35</f>
        <v>1.3820495633995937</v>
      </c>
      <c r="W61">
        <f>'AEO Table 1'!X$35/'AEO Table 1'!$C$35</f>
        <v>1.3893330535583963</v>
      </c>
      <c r="X61">
        <f>'AEO Table 1'!Y$35/'AEO Table 1'!$C$35</f>
        <v>1.4142221241732431</v>
      </c>
      <c r="Y61">
        <f>'AEO Table 1'!Z$35/'AEO Table 1'!$C$35</f>
        <v>1.4063687243238976</v>
      </c>
      <c r="Z61">
        <f>'AEO Table 1'!AA$35/'AEO Table 1'!$C$35</f>
        <v>1.3980439827519231</v>
      </c>
      <c r="AA61">
        <f>'AEO Table 1'!AB$35/'AEO Table 1'!$C$35</f>
        <v>1.3889841133706489</v>
      </c>
      <c r="AB61">
        <f>'AEO Table 1'!AC$35/'AEO Table 1'!$C$35</f>
        <v>1.3796765665195754</v>
      </c>
      <c r="AC61">
        <f>'AEO Table 1'!AD$35/'AEO Table 1'!$C$35</f>
        <v>1.3751036954783951</v>
      </c>
      <c r="AD61">
        <f>'AEO Table 1'!AE$35/'AEO Table 1'!$C$35</f>
        <v>1.3819275810480505</v>
      </c>
      <c r="AE61">
        <f>'AEO Table 1'!AF$35/'AEO Table 1'!$C$35</f>
        <v>1.3856437611117269</v>
      </c>
      <c r="AF61">
        <f>'AEO Table 1'!AG$35/'AEO Table 1'!$C$35</f>
        <v>1.4151930126688581</v>
      </c>
      <c r="AG61">
        <f>'AEO Table 1'!AH$35/'AEO Table 1'!$C$35</f>
        <v>1.4092271355100565</v>
      </c>
    </row>
    <row r="62" spans="1:35" x14ac:dyDescent="0.3">
      <c r="A62" t="s">
        <v>761</v>
      </c>
      <c r="B62">
        <f>'AEO Table 1'!C$35/'AEO Table 1'!$C$35</f>
        <v>1</v>
      </c>
      <c r="C62">
        <f>'AEO Table 1'!D$35/'AEO Table 1'!$C$35</f>
        <v>1.1783686785730305</v>
      </c>
      <c r="D62">
        <f>'AEO Table 1'!E$35/'AEO Table 1'!$C$35</f>
        <v>1.1864833494090143</v>
      </c>
      <c r="E62">
        <f>'AEO Table 1'!F$35/'AEO Table 1'!$C$35</f>
        <v>1.2687304140327731</v>
      </c>
      <c r="F62">
        <f>'AEO Table 1'!G$35/'AEO Table 1'!$C$35</f>
        <v>1.357992392061937</v>
      </c>
      <c r="G62">
        <f>'AEO Table 1'!H$35/'AEO Table 1'!$C$35</f>
        <v>1.411689777741209</v>
      </c>
      <c r="H62">
        <f>'AEO Table 1'!I$35/'AEO Table 1'!$C$35</f>
        <v>1.3903290331709957</v>
      </c>
      <c r="I62">
        <f>'AEO Table 1'!J$35/'AEO Table 1'!$C$35</f>
        <v>1.4427263516671549</v>
      </c>
      <c r="J62">
        <f>'AEO Table 1'!K$35/'AEO Table 1'!$C$35</f>
        <v>1.454798891703206</v>
      </c>
      <c r="K62">
        <f>'AEO Table 1'!L$35/'AEO Table 1'!$C$35</f>
        <v>1.4486495918920839</v>
      </c>
      <c r="L62">
        <f>'AEO Table 1'!M$35/'AEO Table 1'!$C$35</f>
        <v>1.4418270237557784</v>
      </c>
      <c r="M62">
        <f>'AEO Table 1'!N$35/'AEO Table 1'!$C$35</f>
        <v>1.3666156520543546</v>
      </c>
      <c r="N62">
        <f>'AEO Table 1'!O$35/'AEO Table 1'!$C$35</f>
        <v>1.3869539485783009</v>
      </c>
      <c r="O62">
        <f>'AEO Table 1'!P$35/'AEO Table 1'!$C$35</f>
        <v>1.3883812678463563</v>
      </c>
      <c r="P62">
        <f>'AEO Table 1'!Q$35/'AEO Table 1'!$C$35</f>
        <v>1.3872607907821823</v>
      </c>
      <c r="Q62">
        <f>'AEO Table 1'!R$35/'AEO Table 1'!$C$35</f>
        <v>1.3887512270843698</v>
      </c>
      <c r="R62">
        <f>'AEO Table 1'!S$35/'AEO Table 1'!$C$35</f>
        <v>1.4017542942488583</v>
      </c>
      <c r="S62">
        <f>'AEO Table 1'!T$35/'AEO Table 1'!$C$35</f>
        <v>1.3889461473368354</v>
      </c>
      <c r="T62">
        <f>'AEO Table 1'!U$35/'AEO Table 1'!$C$35</f>
        <v>1.413911569202648</v>
      </c>
      <c r="U62">
        <f>'AEO Table 1'!V$35/'AEO Table 1'!$C$35</f>
        <v>1.3954607354859117</v>
      </c>
      <c r="V62">
        <f>'AEO Table 1'!W$35/'AEO Table 1'!$C$35</f>
        <v>1.3820495633995937</v>
      </c>
      <c r="W62">
        <f>'AEO Table 1'!X$35/'AEO Table 1'!$C$35</f>
        <v>1.3893330535583963</v>
      </c>
      <c r="X62">
        <f>'AEO Table 1'!Y$35/'AEO Table 1'!$C$35</f>
        <v>1.4142221241732431</v>
      </c>
      <c r="Y62">
        <f>'AEO Table 1'!Z$35/'AEO Table 1'!$C$35</f>
        <v>1.4063687243238976</v>
      </c>
      <c r="Z62">
        <f>'AEO Table 1'!AA$35/'AEO Table 1'!$C$35</f>
        <v>1.3980439827519231</v>
      </c>
      <c r="AA62">
        <f>'AEO Table 1'!AB$35/'AEO Table 1'!$C$35</f>
        <v>1.3889841133706489</v>
      </c>
      <c r="AB62">
        <f>'AEO Table 1'!AC$35/'AEO Table 1'!$C$35</f>
        <v>1.3796765665195754</v>
      </c>
      <c r="AC62">
        <f>'AEO Table 1'!AD$35/'AEO Table 1'!$C$35</f>
        <v>1.3751036954783951</v>
      </c>
      <c r="AD62">
        <f>'AEO Table 1'!AE$35/'AEO Table 1'!$C$35</f>
        <v>1.3819275810480505</v>
      </c>
      <c r="AE62">
        <f>'AEO Table 1'!AF$35/'AEO Table 1'!$C$35</f>
        <v>1.3856437611117269</v>
      </c>
      <c r="AF62">
        <f>'AEO Table 1'!AG$35/'AEO Table 1'!$C$35</f>
        <v>1.4151930126688581</v>
      </c>
      <c r="AG62">
        <f>'AEO Table 1'!AH$35/'AEO Table 1'!$C$35</f>
        <v>1.4092271355100565</v>
      </c>
    </row>
    <row r="63" spans="1:35" x14ac:dyDescent="0.3">
      <c r="A63" t="s">
        <v>762</v>
      </c>
      <c r="B63">
        <f>'AEO Table 1'!C$35/'AEO Table 1'!$C$35</f>
        <v>1</v>
      </c>
      <c r="C63">
        <f>'AEO Table 1'!D$35/'AEO Table 1'!$C$35</f>
        <v>1.1783686785730305</v>
      </c>
      <c r="D63">
        <f>'AEO Table 1'!E$35/'AEO Table 1'!$C$35</f>
        <v>1.1864833494090143</v>
      </c>
      <c r="E63">
        <f>'AEO Table 1'!F$35/'AEO Table 1'!$C$35</f>
        <v>1.2687304140327731</v>
      </c>
      <c r="F63">
        <f>'AEO Table 1'!G$35/'AEO Table 1'!$C$35</f>
        <v>1.357992392061937</v>
      </c>
      <c r="G63">
        <f>'AEO Table 1'!H$35/'AEO Table 1'!$C$35</f>
        <v>1.411689777741209</v>
      </c>
      <c r="H63">
        <f>'AEO Table 1'!I$35/'AEO Table 1'!$C$35</f>
        <v>1.3903290331709957</v>
      </c>
      <c r="I63">
        <f>'AEO Table 1'!J$35/'AEO Table 1'!$C$35</f>
        <v>1.4427263516671549</v>
      </c>
      <c r="J63">
        <f>'AEO Table 1'!K$35/'AEO Table 1'!$C$35</f>
        <v>1.454798891703206</v>
      </c>
      <c r="K63">
        <f>'AEO Table 1'!L$35/'AEO Table 1'!$C$35</f>
        <v>1.4486495918920839</v>
      </c>
      <c r="L63">
        <f>'AEO Table 1'!M$35/'AEO Table 1'!$C$35</f>
        <v>1.4418270237557784</v>
      </c>
      <c r="M63">
        <f>'AEO Table 1'!N$35/'AEO Table 1'!$C$35</f>
        <v>1.3666156520543546</v>
      </c>
      <c r="N63">
        <f>'AEO Table 1'!O$35/'AEO Table 1'!$C$35</f>
        <v>1.3869539485783009</v>
      </c>
      <c r="O63">
        <f>'AEO Table 1'!P$35/'AEO Table 1'!$C$35</f>
        <v>1.3883812678463563</v>
      </c>
      <c r="P63">
        <f>'AEO Table 1'!Q$35/'AEO Table 1'!$C$35</f>
        <v>1.3872607907821823</v>
      </c>
      <c r="Q63">
        <f>'AEO Table 1'!R$35/'AEO Table 1'!$C$35</f>
        <v>1.3887512270843698</v>
      </c>
      <c r="R63">
        <f>'AEO Table 1'!S$35/'AEO Table 1'!$C$35</f>
        <v>1.4017542942488583</v>
      </c>
      <c r="S63">
        <f>'AEO Table 1'!T$35/'AEO Table 1'!$C$35</f>
        <v>1.3889461473368354</v>
      </c>
      <c r="T63">
        <f>'AEO Table 1'!U$35/'AEO Table 1'!$C$35</f>
        <v>1.413911569202648</v>
      </c>
      <c r="U63">
        <f>'AEO Table 1'!V$35/'AEO Table 1'!$C$35</f>
        <v>1.3954607354859117</v>
      </c>
      <c r="V63">
        <f>'AEO Table 1'!W$35/'AEO Table 1'!$C$35</f>
        <v>1.3820495633995937</v>
      </c>
      <c r="W63">
        <f>'AEO Table 1'!X$35/'AEO Table 1'!$C$35</f>
        <v>1.3893330535583963</v>
      </c>
      <c r="X63">
        <f>'AEO Table 1'!Y$35/'AEO Table 1'!$C$35</f>
        <v>1.4142221241732431</v>
      </c>
      <c r="Y63">
        <f>'AEO Table 1'!Z$35/'AEO Table 1'!$C$35</f>
        <v>1.4063687243238976</v>
      </c>
      <c r="Z63">
        <f>'AEO Table 1'!AA$35/'AEO Table 1'!$C$35</f>
        <v>1.3980439827519231</v>
      </c>
      <c r="AA63">
        <f>'AEO Table 1'!AB$35/'AEO Table 1'!$C$35</f>
        <v>1.3889841133706489</v>
      </c>
      <c r="AB63">
        <f>'AEO Table 1'!AC$35/'AEO Table 1'!$C$35</f>
        <v>1.3796765665195754</v>
      </c>
      <c r="AC63">
        <f>'AEO Table 1'!AD$35/'AEO Table 1'!$C$35</f>
        <v>1.3751036954783951</v>
      </c>
      <c r="AD63">
        <f>'AEO Table 1'!AE$35/'AEO Table 1'!$C$35</f>
        <v>1.3819275810480505</v>
      </c>
      <c r="AE63">
        <f>'AEO Table 1'!AF$35/'AEO Table 1'!$C$35</f>
        <v>1.3856437611117269</v>
      </c>
      <c r="AF63">
        <f>'AEO Table 1'!AG$35/'AEO Table 1'!$C$35</f>
        <v>1.4151930126688581</v>
      </c>
      <c r="AG63">
        <f>'AEO Table 1'!AH$35/'AEO Table 1'!$C$35</f>
        <v>1.4092271355100565</v>
      </c>
    </row>
    <row r="64" spans="1:35" x14ac:dyDescent="0.3">
      <c r="A64" t="s">
        <v>763</v>
      </c>
      <c r="B64">
        <f>'AEO Table 1'!C$35/'AEO Table 1'!$C$35</f>
        <v>1</v>
      </c>
      <c r="C64">
        <f>'AEO Table 1'!D$35/'AEO Table 1'!$C$35</f>
        <v>1.1783686785730305</v>
      </c>
      <c r="D64">
        <f>'AEO Table 1'!E$35/'AEO Table 1'!$C$35</f>
        <v>1.1864833494090143</v>
      </c>
      <c r="E64">
        <f>'AEO Table 1'!F$35/'AEO Table 1'!$C$35</f>
        <v>1.2687304140327731</v>
      </c>
      <c r="F64">
        <f>'AEO Table 1'!G$35/'AEO Table 1'!$C$35</f>
        <v>1.357992392061937</v>
      </c>
      <c r="G64">
        <f>'AEO Table 1'!H$35/'AEO Table 1'!$C$35</f>
        <v>1.411689777741209</v>
      </c>
      <c r="H64">
        <f>'AEO Table 1'!I$35/'AEO Table 1'!$C$35</f>
        <v>1.3903290331709957</v>
      </c>
      <c r="I64">
        <f>'AEO Table 1'!J$35/'AEO Table 1'!$C$35</f>
        <v>1.4427263516671549</v>
      </c>
      <c r="J64">
        <f>'AEO Table 1'!K$35/'AEO Table 1'!$C$35</f>
        <v>1.454798891703206</v>
      </c>
      <c r="K64">
        <f>'AEO Table 1'!L$35/'AEO Table 1'!$C$35</f>
        <v>1.4486495918920839</v>
      </c>
      <c r="L64">
        <f>'AEO Table 1'!M$35/'AEO Table 1'!$C$35</f>
        <v>1.4418270237557784</v>
      </c>
      <c r="M64">
        <f>'AEO Table 1'!N$35/'AEO Table 1'!$C$35</f>
        <v>1.3666156520543546</v>
      </c>
      <c r="N64">
        <f>'AEO Table 1'!O$35/'AEO Table 1'!$C$35</f>
        <v>1.3869539485783009</v>
      </c>
      <c r="O64">
        <f>'AEO Table 1'!P$35/'AEO Table 1'!$C$35</f>
        <v>1.3883812678463563</v>
      </c>
      <c r="P64">
        <f>'AEO Table 1'!Q$35/'AEO Table 1'!$C$35</f>
        <v>1.3872607907821823</v>
      </c>
      <c r="Q64">
        <f>'AEO Table 1'!R$35/'AEO Table 1'!$C$35</f>
        <v>1.3887512270843698</v>
      </c>
      <c r="R64">
        <f>'AEO Table 1'!S$35/'AEO Table 1'!$C$35</f>
        <v>1.4017542942488583</v>
      </c>
      <c r="S64">
        <f>'AEO Table 1'!T$35/'AEO Table 1'!$C$35</f>
        <v>1.3889461473368354</v>
      </c>
      <c r="T64">
        <f>'AEO Table 1'!U$35/'AEO Table 1'!$C$35</f>
        <v>1.413911569202648</v>
      </c>
      <c r="U64">
        <f>'AEO Table 1'!V$35/'AEO Table 1'!$C$35</f>
        <v>1.3954607354859117</v>
      </c>
      <c r="V64">
        <f>'AEO Table 1'!W$35/'AEO Table 1'!$C$35</f>
        <v>1.3820495633995937</v>
      </c>
      <c r="W64">
        <f>'AEO Table 1'!X$35/'AEO Table 1'!$C$35</f>
        <v>1.3893330535583963</v>
      </c>
      <c r="X64">
        <f>'AEO Table 1'!Y$35/'AEO Table 1'!$C$35</f>
        <v>1.4142221241732431</v>
      </c>
      <c r="Y64">
        <f>'AEO Table 1'!Z$35/'AEO Table 1'!$C$35</f>
        <v>1.4063687243238976</v>
      </c>
      <c r="Z64">
        <f>'AEO Table 1'!AA$35/'AEO Table 1'!$C$35</f>
        <v>1.3980439827519231</v>
      </c>
      <c r="AA64">
        <f>'AEO Table 1'!AB$35/'AEO Table 1'!$C$35</f>
        <v>1.3889841133706489</v>
      </c>
      <c r="AB64">
        <f>'AEO Table 1'!AC$35/'AEO Table 1'!$C$35</f>
        <v>1.3796765665195754</v>
      </c>
      <c r="AC64">
        <f>'AEO Table 1'!AD$35/'AEO Table 1'!$C$35</f>
        <v>1.3751036954783951</v>
      </c>
      <c r="AD64">
        <f>'AEO Table 1'!AE$35/'AEO Table 1'!$C$35</f>
        <v>1.3819275810480505</v>
      </c>
      <c r="AE64">
        <f>'AEO Table 1'!AF$35/'AEO Table 1'!$C$35</f>
        <v>1.3856437611117269</v>
      </c>
      <c r="AF64">
        <f>'AEO Table 1'!AG$35/'AEO Table 1'!$C$35</f>
        <v>1.4151930126688581</v>
      </c>
      <c r="AG64">
        <f>'AEO Table 1'!AH$35/'AEO Table 1'!$C$35</f>
        <v>1.4092271355100565</v>
      </c>
    </row>
    <row r="65" spans="1:35" x14ac:dyDescent="0.3">
      <c r="A65" t="s">
        <v>764</v>
      </c>
      <c r="B65">
        <f>'AEO Table 1'!C$35/'AEO Table 1'!$C$35</f>
        <v>1</v>
      </c>
      <c r="C65">
        <f>'AEO Table 1'!D$35/'AEO Table 1'!$C$35</f>
        <v>1.1783686785730305</v>
      </c>
      <c r="D65">
        <f>'AEO Table 1'!E$35/'AEO Table 1'!$C$35</f>
        <v>1.1864833494090143</v>
      </c>
      <c r="E65">
        <f>'AEO Table 1'!F$35/'AEO Table 1'!$C$35</f>
        <v>1.2687304140327731</v>
      </c>
      <c r="F65">
        <f>'AEO Table 1'!G$35/'AEO Table 1'!$C$35</f>
        <v>1.357992392061937</v>
      </c>
      <c r="G65">
        <f>'AEO Table 1'!H$35/'AEO Table 1'!$C$35</f>
        <v>1.411689777741209</v>
      </c>
      <c r="H65">
        <f>'AEO Table 1'!I$35/'AEO Table 1'!$C$35</f>
        <v>1.3903290331709957</v>
      </c>
      <c r="I65">
        <f>'AEO Table 1'!J$35/'AEO Table 1'!$C$35</f>
        <v>1.4427263516671549</v>
      </c>
      <c r="J65">
        <f>'AEO Table 1'!K$35/'AEO Table 1'!$C$35</f>
        <v>1.454798891703206</v>
      </c>
      <c r="K65">
        <f>'AEO Table 1'!L$35/'AEO Table 1'!$C$35</f>
        <v>1.4486495918920839</v>
      </c>
      <c r="L65">
        <f>'AEO Table 1'!M$35/'AEO Table 1'!$C$35</f>
        <v>1.4418270237557784</v>
      </c>
      <c r="M65">
        <f>'AEO Table 1'!N$35/'AEO Table 1'!$C$35</f>
        <v>1.3666156520543546</v>
      </c>
      <c r="N65">
        <f>'AEO Table 1'!O$35/'AEO Table 1'!$C$35</f>
        <v>1.3869539485783009</v>
      </c>
      <c r="O65">
        <f>'AEO Table 1'!P$35/'AEO Table 1'!$C$35</f>
        <v>1.3883812678463563</v>
      </c>
      <c r="P65">
        <f>'AEO Table 1'!Q$35/'AEO Table 1'!$C$35</f>
        <v>1.3872607907821823</v>
      </c>
      <c r="Q65">
        <f>'AEO Table 1'!R$35/'AEO Table 1'!$C$35</f>
        <v>1.3887512270843698</v>
      </c>
      <c r="R65">
        <f>'AEO Table 1'!S$35/'AEO Table 1'!$C$35</f>
        <v>1.4017542942488583</v>
      </c>
      <c r="S65">
        <f>'AEO Table 1'!T$35/'AEO Table 1'!$C$35</f>
        <v>1.3889461473368354</v>
      </c>
      <c r="T65">
        <f>'AEO Table 1'!U$35/'AEO Table 1'!$C$35</f>
        <v>1.413911569202648</v>
      </c>
      <c r="U65">
        <f>'AEO Table 1'!V$35/'AEO Table 1'!$C$35</f>
        <v>1.3954607354859117</v>
      </c>
      <c r="V65">
        <f>'AEO Table 1'!W$35/'AEO Table 1'!$C$35</f>
        <v>1.3820495633995937</v>
      </c>
      <c r="W65">
        <f>'AEO Table 1'!X$35/'AEO Table 1'!$C$35</f>
        <v>1.3893330535583963</v>
      </c>
      <c r="X65">
        <f>'AEO Table 1'!Y$35/'AEO Table 1'!$C$35</f>
        <v>1.4142221241732431</v>
      </c>
      <c r="Y65">
        <f>'AEO Table 1'!Z$35/'AEO Table 1'!$C$35</f>
        <v>1.4063687243238976</v>
      </c>
      <c r="Z65">
        <f>'AEO Table 1'!AA$35/'AEO Table 1'!$C$35</f>
        <v>1.3980439827519231</v>
      </c>
      <c r="AA65">
        <f>'AEO Table 1'!AB$35/'AEO Table 1'!$C$35</f>
        <v>1.3889841133706489</v>
      </c>
      <c r="AB65">
        <f>'AEO Table 1'!AC$35/'AEO Table 1'!$C$35</f>
        <v>1.3796765665195754</v>
      </c>
      <c r="AC65">
        <f>'AEO Table 1'!AD$35/'AEO Table 1'!$C$35</f>
        <v>1.3751036954783951</v>
      </c>
      <c r="AD65">
        <f>'AEO Table 1'!AE$35/'AEO Table 1'!$C$35</f>
        <v>1.3819275810480505</v>
      </c>
      <c r="AE65">
        <f>'AEO Table 1'!AF$35/'AEO Table 1'!$C$35</f>
        <v>1.3856437611117269</v>
      </c>
      <c r="AF65">
        <f>'AEO Table 1'!AG$35/'AEO Table 1'!$C$35</f>
        <v>1.4151930126688581</v>
      </c>
      <c r="AG65">
        <f>'AEO Table 1'!AH$35/'AEO Table 1'!$C$35</f>
        <v>1.4092271355100565</v>
      </c>
    </row>
    <row r="66" spans="1:35" x14ac:dyDescent="0.3">
      <c r="A66" s="7" t="s">
        <v>765</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0</v>
      </c>
      <c r="AH66" s="7"/>
      <c r="AI66" s="7"/>
    </row>
    <row r="67" spans="1:35" x14ac:dyDescent="0.3">
      <c r="A67" s="7" t="s">
        <v>766</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0</v>
      </c>
      <c r="AH67" s="7"/>
      <c r="AI67" s="7"/>
    </row>
    <row r="68" spans="1:35" x14ac:dyDescent="0.3">
      <c r="A68" t="s">
        <v>767</v>
      </c>
      <c r="B68">
        <f>'AEO Table 1'!C$37/'AEO Table 1'!$C$37</f>
        <v>1</v>
      </c>
      <c r="C68">
        <f>'AEO Table 1'!D$37/'AEO Table 1'!$C$37</f>
        <v>0.87524975417689621</v>
      </c>
      <c r="D68">
        <f>'AEO Table 1'!E$37/'AEO Table 1'!$C$37</f>
        <v>0.93042105461780544</v>
      </c>
      <c r="E68">
        <f>'AEO Table 1'!F$37/'AEO Table 1'!$C$37</f>
        <v>1.1460409376710017</v>
      </c>
      <c r="F68">
        <f>'AEO Table 1'!G$37/'AEO Table 1'!$C$37</f>
        <v>1.1527063603714289</v>
      </c>
      <c r="G68">
        <f>'AEO Table 1'!H$37/'AEO Table 1'!$C$37</f>
        <v>1.1596246296929151</v>
      </c>
      <c r="H68">
        <f>'AEO Table 1'!I$37/'AEO Table 1'!$C$37</f>
        <v>1.1673802699965827</v>
      </c>
      <c r="I68">
        <f>'AEO Table 1'!J$37/'AEO Table 1'!$C$37</f>
        <v>1.1737039514098402</v>
      </c>
      <c r="J68">
        <f>'AEO Table 1'!K$37/'AEO Table 1'!$C$37</f>
        <v>1.1726460210202341</v>
      </c>
      <c r="K68">
        <f>'AEO Table 1'!L$37/'AEO Table 1'!$C$37</f>
        <v>1.1547937077671715</v>
      </c>
      <c r="L68">
        <f>'AEO Table 1'!M$37/'AEO Table 1'!$C$37</f>
        <v>1.1328161788292321</v>
      </c>
      <c r="M68">
        <f>'AEO Table 1'!N$37/'AEO Table 1'!$C$37</f>
        <v>1.1162243248513006</v>
      </c>
      <c r="N68">
        <f>'AEO Table 1'!O$37/'AEO Table 1'!$C$37</f>
        <v>1.1152561277567306</v>
      </c>
      <c r="O68">
        <f>'AEO Table 1'!P$37/'AEO Table 1'!$C$37</f>
        <v>1.1156301562575346</v>
      </c>
      <c r="P68">
        <f>'AEO Table 1'!Q$37/'AEO Table 1'!$C$37</f>
        <v>1.1147001167790778</v>
      </c>
      <c r="Q68">
        <f>'AEO Table 1'!R$37/'AEO Table 1'!$C$37</f>
        <v>1.1144564950761999</v>
      </c>
      <c r="R68">
        <f>'AEO Table 1'!S$37/'AEO Table 1'!$C$37</f>
        <v>1.1351970463489243</v>
      </c>
      <c r="S68">
        <f>'AEO Table 1'!T$37/'AEO Table 1'!$C$37</f>
        <v>1.1323897360205801</v>
      </c>
      <c r="T68">
        <f>'AEO Table 1'!U$37/'AEO Table 1'!$C$37</f>
        <v>1.1321712731854692</v>
      </c>
      <c r="U68">
        <f>'AEO Table 1'!V$37/'AEO Table 1'!$C$37</f>
        <v>1.131970840872258</v>
      </c>
      <c r="V68">
        <f>'AEO Table 1'!W$37/'AEO Table 1'!$C$37</f>
        <v>1.1317859231941698</v>
      </c>
      <c r="W68">
        <f>'AEO Table 1'!X$37/'AEO Table 1'!$C$37</f>
        <v>1.1316165201512047</v>
      </c>
      <c r="X68">
        <f>'AEO Table 1'!Y$37/'AEO Table 1'!$C$37</f>
        <v>1.1314622124289</v>
      </c>
      <c r="Y68">
        <f>'AEO Table 1'!Z$37/'AEO Table 1'!$C$37</f>
        <v>1.13132216139833</v>
      </c>
      <c r="Z68">
        <f>'AEO Table 1'!AA$37/'AEO Table 1'!$C$37</f>
        <v>1.1311955284305688</v>
      </c>
      <c r="AA68">
        <f>'AEO Table 1'!AB$37/'AEO Table 1'!$C$37</f>
        <v>1.1346276173084624</v>
      </c>
      <c r="AB68">
        <f>'AEO Table 1'!AC$37/'AEO Table 1'!$C$37</f>
        <v>1.1345617849378054</v>
      </c>
      <c r="AC68">
        <f>'AEO Table 1'!AD$37/'AEO Table 1'!$C$37</f>
        <v>1.1345072740576432</v>
      </c>
      <c r="AD68">
        <f>'AEO Table 1'!AE$37/'AEO Table 1'!$C$37</f>
        <v>1.134464923296902</v>
      </c>
      <c r="AE68">
        <f>'AEO Table 1'!AF$37/'AEO Table 1'!$C$37</f>
        <v>1.130743507439687</v>
      </c>
      <c r="AF68">
        <f>'AEO Table 1'!AG$37/'AEO Table 1'!$C$37</f>
        <v>1.134412508989054</v>
      </c>
      <c r="AG68">
        <f>'AEO Table 1'!AH$37/'AEO Table 1'!$C$37</f>
        <v>1.134402445441947</v>
      </c>
    </row>
    <row r="69" spans="1:35" x14ac:dyDescent="0.3">
      <c r="A69" t="s">
        <v>768</v>
      </c>
      <c r="B69">
        <f>'AEO Table 1'!C$35/'AEO Table 1'!$C$35</f>
        <v>1</v>
      </c>
      <c r="C69">
        <f>'AEO Table 1'!D$35/'AEO Table 1'!$C$35</f>
        <v>1.1783686785730305</v>
      </c>
      <c r="D69">
        <f>'AEO Table 1'!E$35/'AEO Table 1'!$C$35</f>
        <v>1.1864833494090143</v>
      </c>
      <c r="E69">
        <f>'AEO Table 1'!F$35/'AEO Table 1'!$C$35</f>
        <v>1.2687304140327731</v>
      </c>
      <c r="F69">
        <f>'AEO Table 1'!G$35/'AEO Table 1'!$C$35</f>
        <v>1.357992392061937</v>
      </c>
      <c r="G69">
        <f>'AEO Table 1'!H$35/'AEO Table 1'!$C$35</f>
        <v>1.411689777741209</v>
      </c>
      <c r="H69">
        <f>'AEO Table 1'!I$35/'AEO Table 1'!$C$35</f>
        <v>1.3903290331709957</v>
      </c>
      <c r="I69">
        <f>'AEO Table 1'!J$35/'AEO Table 1'!$C$35</f>
        <v>1.4427263516671549</v>
      </c>
      <c r="J69">
        <f>'AEO Table 1'!K$35/'AEO Table 1'!$C$35</f>
        <v>1.454798891703206</v>
      </c>
      <c r="K69">
        <f>'AEO Table 1'!L$35/'AEO Table 1'!$C$35</f>
        <v>1.4486495918920839</v>
      </c>
      <c r="L69">
        <f>'AEO Table 1'!M$35/'AEO Table 1'!$C$35</f>
        <v>1.4418270237557784</v>
      </c>
      <c r="M69">
        <f>'AEO Table 1'!N$35/'AEO Table 1'!$C$35</f>
        <v>1.3666156520543546</v>
      </c>
      <c r="N69">
        <f>'AEO Table 1'!O$35/'AEO Table 1'!$C$35</f>
        <v>1.3869539485783009</v>
      </c>
      <c r="O69">
        <f>'AEO Table 1'!P$35/'AEO Table 1'!$C$35</f>
        <v>1.3883812678463563</v>
      </c>
      <c r="P69">
        <f>'AEO Table 1'!Q$35/'AEO Table 1'!$C$35</f>
        <v>1.3872607907821823</v>
      </c>
      <c r="Q69">
        <f>'AEO Table 1'!R$35/'AEO Table 1'!$C$35</f>
        <v>1.3887512270843698</v>
      </c>
      <c r="R69">
        <f>'AEO Table 1'!S$35/'AEO Table 1'!$C$35</f>
        <v>1.4017542942488583</v>
      </c>
      <c r="S69">
        <f>'AEO Table 1'!T$35/'AEO Table 1'!$C$35</f>
        <v>1.3889461473368354</v>
      </c>
      <c r="T69">
        <f>'AEO Table 1'!U$35/'AEO Table 1'!$C$35</f>
        <v>1.413911569202648</v>
      </c>
      <c r="U69">
        <f>'AEO Table 1'!V$35/'AEO Table 1'!$C$35</f>
        <v>1.3954607354859117</v>
      </c>
      <c r="V69">
        <f>'AEO Table 1'!W$35/'AEO Table 1'!$C$35</f>
        <v>1.3820495633995937</v>
      </c>
      <c r="W69">
        <f>'AEO Table 1'!X$35/'AEO Table 1'!$C$35</f>
        <v>1.3893330535583963</v>
      </c>
      <c r="X69">
        <f>'AEO Table 1'!Y$35/'AEO Table 1'!$C$35</f>
        <v>1.4142221241732431</v>
      </c>
      <c r="Y69">
        <f>'AEO Table 1'!Z$35/'AEO Table 1'!$C$35</f>
        <v>1.4063687243238976</v>
      </c>
      <c r="Z69">
        <f>'AEO Table 1'!AA$35/'AEO Table 1'!$C$35</f>
        <v>1.3980439827519231</v>
      </c>
      <c r="AA69">
        <f>'AEO Table 1'!AB$35/'AEO Table 1'!$C$35</f>
        <v>1.3889841133706489</v>
      </c>
      <c r="AB69">
        <f>'AEO Table 1'!AC$35/'AEO Table 1'!$C$35</f>
        <v>1.3796765665195754</v>
      </c>
      <c r="AC69">
        <f>'AEO Table 1'!AD$35/'AEO Table 1'!$C$35</f>
        <v>1.3751036954783951</v>
      </c>
      <c r="AD69">
        <f>'AEO Table 1'!AE$35/'AEO Table 1'!$C$35</f>
        <v>1.3819275810480505</v>
      </c>
      <c r="AE69">
        <f>'AEO Table 1'!AF$35/'AEO Table 1'!$C$35</f>
        <v>1.3856437611117269</v>
      </c>
      <c r="AF69">
        <f>'AEO Table 1'!AG$35/'AEO Table 1'!$C$35</f>
        <v>1.4151930126688581</v>
      </c>
      <c r="AG69">
        <f>'AEO Table 1'!AH$35/'AEO Table 1'!$C$35</f>
        <v>1.4092271355100565</v>
      </c>
    </row>
    <row r="70" spans="1:35" x14ac:dyDescent="0.3">
      <c r="A70" t="s">
        <v>769</v>
      </c>
      <c r="B70">
        <f>'AEO Table 1'!C$35/'AEO Table 1'!$C$35</f>
        <v>1</v>
      </c>
      <c r="C70">
        <f>'AEO Table 1'!D$35/'AEO Table 1'!$C$35</f>
        <v>1.1783686785730305</v>
      </c>
      <c r="D70">
        <f>'AEO Table 1'!E$35/'AEO Table 1'!$C$35</f>
        <v>1.1864833494090143</v>
      </c>
      <c r="E70">
        <f>'AEO Table 1'!F$35/'AEO Table 1'!$C$35</f>
        <v>1.2687304140327731</v>
      </c>
      <c r="F70">
        <f>'AEO Table 1'!G$35/'AEO Table 1'!$C$35</f>
        <v>1.357992392061937</v>
      </c>
      <c r="G70">
        <f>'AEO Table 1'!H$35/'AEO Table 1'!$C$35</f>
        <v>1.411689777741209</v>
      </c>
      <c r="H70">
        <f>'AEO Table 1'!I$35/'AEO Table 1'!$C$35</f>
        <v>1.3903290331709957</v>
      </c>
      <c r="I70">
        <f>'AEO Table 1'!J$35/'AEO Table 1'!$C$35</f>
        <v>1.4427263516671549</v>
      </c>
      <c r="J70">
        <f>'AEO Table 1'!K$35/'AEO Table 1'!$C$35</f>
        <v>1.454798891703206</v>
      </c>
      <c r="K70">
        <f>'AEO Table 1'!L$35/'AEO Table 1'!$C$35</f>
        <v>1.4486495918920839</v>
      </c>
      <c r="L70">
        <f>'AEO Table 1'!M$35/'AEO Table 1'!$C$35</f>
        <v>1.4418270237557784</v>
      </c>
      <c r="M70">
        <f>'AEO Table 1'!N$35/'AEO Table 1'!$C$35</f>
        <v>1.3666156520543546</v>
      </c>
      <c r="N70">
        <f>'AEO Table 1'!O$35/'AEO Table 1'!$C$35</f>
        <v>1.3869539485783009</v>
      </c>
      <c r="O70">
        <f>'AEO Table 1'!P$35/'AEO Table 1'!$C$35</f>
        <v>1.3883812678463563</v>
      </c>
      <c r="P70">
        <f>'AEO Table 1'!Q$35/'AEO Table 1'!$C$35</f>
        <v>1.3872607907821823</v>
      </c>
      <c r="Q70">
        <f>'AEO Table 1'!R$35/'AEO Table 1'!$C$35</f>
        <v>1.3887512270843698</v>
      </c>
      <c r="R70">
        <f>'AEO Table 1'!S$35/'AEO Table 1'!$C$35</f>
        <v>1.4017542942488583</v>
      </c>
      <c r="S70">
        <f>'AEO Table 1'!T$35/'AEO Table 1'!$C$35</f>
        <v>1.3889461473368354</v>
      </c>
      <c r="T70">
        <f>'AEO Table 1'!U$35/'AEO Table 1'!$C$35</f>
        <v>1.413911569202648</v>
      </c>
      <c r="U70">
        <f>'AEO Table 1'!V$35/'AEO Table 1'!$C$35</f>
        <v>1.3954607354859117</v>
      </c>
      <c r="V70">
        <f>'AEO Table 1'!W$35/'AEO Table 1'!$C$35</f>
        <v>1.3820495633995937</v>
      </c>
      <c r="W70">
        <f>'AEO Table 1'!X$35/'AEO Table 1'!$C$35</f>
        <v>1.3893330535583963</v>
      </c>
      <c r="X70">
        <f>'AEO Table 1'!Y$35/'AEO Table 1'!$C$35</f>
        <v>1.4142221241732431</v>
      </c>
      <c r="Y70">
        <f>'AEO Table 1'!Z$35/'AEO Table 1'!$C$35</f>
        <v>1.4063687243238976</v>
      </c>
      <c r="Z70">
        <f>'AEO Table 1'!AA$35/'AEO Table 1'!$C$35</f>
        <v>1.3980439827519231</v>
      </c>
      <c r="AA70">
        <f>'AEO Table 1'!AB$35/'AEO Table 1'!$C$35</f>
        <v>1.3889841133706489</v>
      </c>
      <c r="AB70">
        <f>'AEO Table 1'!AC$35/'AEO Table 1'!$C$35</f>
        <v>1.3796765665195754</v>
      </c>
      <c r="AC70">
        <f>'AEO Table 1'!AD$35/'AEO Table 1'!$C$35</f>
        <v>1.3751036954783951</v>
      </c>
      <c r="AD70">
        <f>'AEO Table 1'!AE$35/'AEO Table 1'!$C$35</f>
        <v>1.3819275810480505</v>
      </c>
      <c r="AE70">
        <f>'AEO Table 1'!AF$35/'AEO Table 1'!$C$35</f>
        <v>1.3856437611117269</v>
      </c>
      <c r="AF70">
        <f>'AEO Table 1'!AG$35/'AEO Table 1'!$C$35</f>
        <v>1.4151930126688581</v>
      </c>
      <c r="AG70">
        <f>'AEO Table 1'!AH$35/'AEO Table 1'!$C$35</f>
        <v>1.4092271355100565</v>
      </c>
    </row>
    <row r="71" spans="1:35" x14ac:dyDescent="0.3">
      <c r="A71" t="s">
        <v>770</v>
      </c>
      <c r="B71">
        <f>'AEO Table 1'!C$35/'AEO Table 1'!$C$35</f>
        <v>1</v>
      </c>
      <c r="C71">
        <f>'AEO Table 1'!D$35/'AEO Table 1'!$C$35</f>
        <v>1.1783686785730305</v>
      </c>
      <c r="D71">
        <f>'AEO Table 1'!E$35/'AEO Table 1'!$C$35</f>
        <v>1.1864833494090143</v>
      </c>
      <c r="E71">
        <f>'AEO Table 1'!F$35/'AEO Table 1'!$C$35</f>
        <v>1.2687304140327731</v>
      </c>
      <c r="F71">
        <f>'AEO Table 1'!G$35/'AEO Table 1'!$C$35</f>
        <v>1.357992392061937</v>
      </c>
      <c r="G71">
        <f>'AEO Table 1'!H$35/'AEO Table 1'!$C$35</f>
        <v>1.411689777741209</v>
      </c>
      <c r="H71">
        <f>'AEO Table 1'!I$35/'AEO Table 1'!$C$35</f>
        <v>1.3903290331709957</v>
      </c>
      <c r="I71">
        <f>'AEO Table 1'!J$35/'AEO Table 1'!$C$35</f>
        <v>1.4427263516671549</v>
      </c>
      <c r="J71">
        <f>'AEO Table 1'!K$35/'AEO Table 1'!$C$35</f>
        <v>1.454798891703206</v>
      </c>
      <c r="K71">
        <f>'AEO Table 1'!L$35/'AEO Table 1'!$C$35</f>
        <v>1.4486495918920839</v>
      </c>
      <c r="L71">
        <f>'AEO Table 1'!M$35/'AEO Table 1'!$C$35</f>
        <v>1.4418270237557784</v>
      </c>
      <c r="M71">
        <f>'AEO Table 1'!N$35/'AEO Table 1'!$C$35</f>
        <v>1.3666156520543546</v>
      </c>
      <c r="N71">
        <f>'AEO Table 1'!O$35/'AEO Table 1'!$C$35</f>
        <v>1.3869539485783009</v>
      </c>
      <c r="O71">
        <f>'AEO Table 1'!P$35/'AEO Table 1'!$C$35</f>
        <v>1.3883812678463563</v>
      </c>
      <c r="P71">
        <f>'AEO Table 1'!Q$35/'AEO Table 1'!$C$35</f>
        <v>1.3872607907821823</v>
      </c>
      <c r="Q71">
        <f>'AEO Table 1'!R$35/'AEO Table 1'!$C$35</f>
        <v>1.3887512270843698</v>
      </c>
      <c r="R71">
        <f>'AEO Table 1'!S$35/'AEO Table 1'!$C$35</f>
        <v>1.4017542942488583</v>
      </c>
      <c r="S71">
        <f>'AEO Table 1'!T$35/'AEO Table 1'!$C$35</f>
        <v>1.3889461473368354</v>
      </c>
      <c r="T71">
        <f>'AEO Table 1'!U$35/'AEO Table 1'!$C$35</f>
        <v>1.413911569202648</v>
      </c>
      <c r="U71">
        <f>'AEO Table 1'!V$35/'AEO Table 1'!$C$35</f>
        <v>1.3954607354859117</v>
      </c>
      <c r="V71">
        <f>'AEO Table 1'!W$35/'AEO Table 1'!$C$35</f>
        <v>1.3820495633995937</v>
      </c>
      <c r="W71">
        <f>'AEO Table 1'!X$35/'AEO Table 1'!$C$35</f>
        <v>1.3893330535583963</v>
      </c>
      <c r="X71">
        <f>'AEO Table 1'!Y$35/'AEO Table 1'!$C$35</f>
        <v>1.4142221241732431</v>
      </c>
      <c r="Y71">
        <f>'AEO Table 1'!Z$35/'AEO Table 1'!$C$35</f>
        <v>1.4063687243238976</v>
      </c>
      <c r="Z71">
        <f>'AEO Table 1'!AA$35/'AEO Table 1'!$C$35</f>
        <v>1.3980439827519231</v>
      </c>
      <c r="AA71">
        <f>'AEO Table 1'!AB$35/'AEO Table 1'!$C$35</f>
        <v>1.3889841133706489</v>
      </c>
      <c r="AB71">
        <f>'AEO Table 1'!AC$35/'AEO Table 1'!$C$35</f>
        <v>1.3796765665195754</v>
      </c>
      <c r="AC71">
        <f>'AEO Table 1'!AD$35/'AEO Table 1'!$C$35</f>
        <v>1.3751036954783951</v>
      </c>
      <c r="AD71">
        <f>'AEO Table 1'!AE$35/'AEO Table 1'!$C$35</f>
        <v>1.3819275810480505</v>
      </c>
      <c r="AE71">
        <f>'AEO Table 1'!AF$35/'AEO Table 1'!$C$35</f>
        <v>1.3856437611117269</v>
      </c>
      <c r="AF71">
        <f>'AEO Table 1'!AG$35/'AEO Table 1'!$C$35</f>
        <v>1.4151930126688581</v>
      </c>
      <c r="AG71">
        <f>'AEO Table 1'!AH$35/'AEO Table 1'!$C$35</f>
        <v>1.4092271355100565</v>
      </c>
    </row>
    <row r="72" spans="1:35" x14ac:dyDescent="0.3">
      <c r="A72" t="s">
        <v>771</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row>
    <row r="73" spans="1:35" x14ac:dyDescent="0.3">
      <c r="A73" t="s">
        <v>772</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BA22"/>
  <sheetViews>
    <sheetView workbookViewId="0">
      <selection activeCell="D4" sqref="D4"/>
    </sheetView>
  </sheetViews>
  <sheetFormatPr defaultColWidth="8.88671875" defaultRowHeight="14.4" x14ac:dyDescent="0.3"/>
  <cols>
    <col min="1" max="1" width="36.33203125" customWidth="1"/>
    <col min="2" max="35" width="13" customWidth="1"/>
    <col min="36" max="53" width="11.88671875" bestFit="1" customWidth="1"/>
  </cols>
  <sheetData>
    <row r="1" spans="1:53" x14ac:dyDescent="0.3">
      <c r="A1" s="24" t="s">
        <v>782</v>
      </c>
      <c r="B1" s="18">
        <v>2019</v>
      </c>
      <c r="C1">
        <v>2020</v>
      </c>
      <c r="D1" s="18">
        <v>2021</v>
      </c>
      <c r="E1">
        <v>2022</v>
      </c>
      <c r="F1" s="18">
        <v>2023</v>
      </c>
      <c r="G1">
        <v>2024</v>
      </c>
      <c r="H1" s="18">
        <v>2025</v>
      </c>
      <c r="I1">
        <v>2026</v>
      </c>
      <c r="J1" s="18">
        <v>2027</v>
      </c>
      <c r="K1">
        <v>2028</v>
      </c>
      <c r="L1" s="18">
        <v>2029</v>
      </c>
      <c r="M1">
        <v>2030</v>
      </c>
      <c r="N1" s="18">
        <v>2031</v>
      </c>
      <c r="O1">
        <v>2032</v>
      </c>
      <c r="P1" s="18">
        <v>2033</v>
      </c>
      <c r="Q1">
        <v>2034</v>
      </c>
      <c r="R1" s="18">
        <v>2035</v>
      </c>
      <c r="S1">
        <v>2036</v>
      </c>
      <c r="T1" s="18">
        <v>2037</v>
      </c>
      <c r="U1">
        <v>2038</v>
      </c>
      <c r="V1" s="18">
        <v>2039</v>
      </c>
      <c r="W1">
        <v>2040</v>
      </c>
      <c r="X1" s="18">
        <v>2041</v>
      </c>
      <c r="Y1">
        <v>2042</v>
      </c>
      <c r="Z1" s="18">
        <v>2043</v>
      </c>
      <c r="AA1">
        <v>2044</v>
      </c>
      <c r="AB1" s="18">
        <v>2045</v>
      </c>
      <c r="AC1">
        <v>2046</v>
      </c>
      <c r="AD1" s="18">
        <v>2047</v>
      </c>
      <c r="AE1">
        <v>2048</v>
      </c>
      <c r="AF1" s="18">
        <v>2049</v>
      </c>
      <c r="AG1">
        <v>2050</v>
      </c>
      <c r="AH1" s="18">
        <v>2051</v>
      </c>
      <c r="AI1">
        <v>2052</v>
      </c>
      <c r="AJ1" s="18">
        <v>2053</v>
      </c>
      <c r="AK1">
        <v>2054</v>
      </c>
      <c r="AL1" s="18">
        <v>2055</v>
      </c>
      <c r="AM1">
        <v>2056</v>
      </c>
      <c r="AN1" s="18">
        <v>2057</v>
      </c>
      <c r="AO1">
        <v>2058</v>
      </c>
      <c r="AP1" s="18">
        <v>2059</v>
      </c>
      <c r="AQ1">
        <v>2060</v>
      </c>
      <c r="AR1" s="18">
        <v>2061</v>
      </c>
      <c r="AS1">
        <v>2062</v>
      </c>
      <c r="AT1" s="18">
        <v>2063</v>
      </c>
      <c r="AU1">
        <v>2064</v>
      </c>
      <c r="AV1" s="18">
        <v>2065</v>
      </c>
      <c r="AW1">
        <v>2066</v>
      </c>
      <c r="AX1" s="18">
        <v>2067</v>
      </c>
      <c r="AY1">
        <v>2068</v>
      </c>
      <c r="AZ1" s="18">
        <v>2069</v>
      </c>
      <c r="BA1">
        <v>2070</v>
      </c>
    </row>
    <row r="2" spans="1:53" x14ac:dyDescent="0.3">
      <c r="A2" s="24" t="s">
        <v>751</v>
      </c>
      <c r="B2">
        <f>'Start Year Data'!B26</f>
        <v>0</v>
      </c>
      <c r="C2">
        <f>$B2*'Time Series Scaling Factors'!C3</f>
        <v>0</v>
      </c>
      <c r="D2">
        <f>$B2*'Time Series Scaling Factors'!D3</f>
        <v>0</v>
      </c>
      <c r="E2">
        <f>$B2*'Time Series Scaling Factors'!E3</f>
        <v>0</v>
      </c>
      <c r="F2">
        <f>$B2*'Time Series Scaling Factors'!F3</f>
        <v>0</v>
      </c>
      <c r="G2">
        <f>$B2*'Time Series Scaling Factors'!G3</f>
        <v>0</v>
      </c>
      <c r="H2">
        <f>$B2*'Time Series Scaling Factors'!H3</f>
        <v>0</v>
      </c>
      <c r="I2">
        <f>$B2*'Time Series Scaling Factors'!I3</f>
        <v>0</v>
      </c>
      <c r="J2">
        <f>$B2*'Time Series Scaling Factors'!J3</f>
        <v>0</v>
      </c>
      <c r="K2">
        <f>$B2*'Time Series Scaling Factors'!K3</f>
        <v>0</v>
      </c>
      <c r="L2">
        <f>$B2*'Time Series Scaling Factors'!L3</f>
        <v>0</v>
      </c>
      <c r="M2">
        <f>$B2*'Time Series Scaling Factors'!M3</f>
        <v>0</v>
      </c>
      <c r="N2">
        <f>$B2*'Time Series Scaling Factors'!N3</f>
        <v>0</v>
      </c>
      <c r="O2">
        <f>$B2*'Time Series Scaling Factors'!O3</f>
        <v>0</v>
      </c>
      <c r="P2">
        <f>$B2*'Time Series Scaling Factors'!P3</f>
        <v>0</v>
      </c>
      <c r="Q2">
        <f>$B2*'Time Series Scaling Factors'!Q3</f>
        <v>0</v>
      </c>
      <c r="R2">
        <f>$B2*'Time Series Scaling Factors'!R3</f>
        <v>0</v>
      </c>
      <c r="S2">
        <f>$B2*'Time Series Scaling Factors'!S3</f>
        <v>0</v>
      </c>
      <c r="T2">
        <f>$B2*'Time Series Scaling Factors'!T3</f>
        <v>0</v>
      </c>
      <c r="U2">
        <f>$B2*'Time Series Scaling Factors'!U3</f>
        <v>0</v>
      </c>
      <c r="V2">
        <f>$B2*'Time Series Scaling Factors'!V3</f>
        <v>0</v>
      </c>
      <c r="W2">
        <f>$B2*'Time Series Scaling Factors'!W3</f>
        <v>0</v>
      </c>
      <c r="X2">
        <f>$B2*'Time Series Scaling Factors'!X3</f>
        <v>0</v>
      </c>
      <c r="Y2">
        <f>$B2*'Time Series Scaling Factors'!Y3</f>
        <v>0</v>
      </c>
      <c r="Z2">
        <f>$B2*'Time Series Scaling Factors'!Z3</f>
        <v>0</v>
      </c>
      <c r="AA2">
        <f>$B2*'Time Series Scaling Factors'!AA3</f>
        <v>0</v>
      </c>
      <c r="AB2">
        <f>$B2*'Time Series Scaling Factors'!AB3</f>
        <v>0</v>
      </c>
      <c r="AC2">
        <f>$B2*'Time Series Scaling Factors'!AC3</f>
        <v>0</v>
      </c>
      <c r="AD2">
        <f>$B2*'Time Series Scaling Factors'!AD3</f>
        <v>0</v>
      </c>
      <c r="AE2">
        <f>$B2*'Time Series Scaling Factors'!AE3</f>
        <v>0</v>
      </c>
      <c r="AF2">
        <f>$B2*'Time Series Scaling Factors'!AF3</f>
        <v>0</v>
      </c>
      <c r="AG2">
        <f>$B2*'Time Series Scaling Factors'!AG3</f>
        <v>0</v>
      </c>
      <c r="AH2">
        <f t="shared" ref="AH2:BA2" si="0">AG2</f>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3">
      <c r="A3" s="1" t="s">
        <v>752</v>
      </c>
      <c r="B3">
        <f>'Start Year Data'!B27</f>
        <v>281759490896640</v>
      </c>
      <c r="C3">
        <f>$B3*'Time Series Scaling Factors'!C4</f>
        <v>255871475356059.91</v>
      </c>
      <c r="D3">
        <f>$B3*'Time Series Scaling Factors'!D4</f>
        <v>240778493458721.47</v>
      </c>
      <c r="E3">
        <f>$B3*'Time Series Scaling Factors'!E4</f>
        <v>236655139879404.06</v>
      </c>
      <c r="F3">
        <f>$B3*'Time Series Scaling Factors'!F4</f>
        <v>223943343649455.75</v>
      </c>
      <c r="G3">
        <f>$B3*'Time Series Scaling Factors'!G4</f>
        <v>217287360288365.84</v>
      </c>
      <c r="H3">
        <f>$B3*'Time Series Scaling Factors'!H4</f>
        <v>195755823432160.13</v>
      </c>
      <c r="I3">
        <f>$B3*'Time Series Scaling Factors'!I4</f>
        <v>199555339082765.94</v>
      </c>
      <c r="J3">
        <f>$B3*'Time Series Scaling Factors'!J4</f>
        <v>198604131348710.53</v>
      </c>
      <c r="K3">
        <f>$B3*'Time Series Scaling Factors'!K4</f>
        <v>196175917861320.91</v>
      </c>
      <c r="L3">
        <f>$B3*'Time Series Scaling Factors'!L4</f>
        <v>192733232283346.81</v>
      </c>
      <c r="M3">
        <f>$B3*'Time Series Scaling Factors'!M4</f>
        <v>189327006242643.75</v>
      </c>
      <c r="N3">
        <f>$B3*'Time Series Scaling Factors'!N4</f>
        <v>187506022611194.25</v>
      </c>
      <c r="O3">
        <f>$B3*'Time Series Scaling Factors'!O4</f>
        <v>187036263482060.53</v>
      </c>
      <c r="P3">
        <f>$B3*'Time Series Scaling Factors'!P4</f>
        <v>186766284345878.16</v>
      </c>
      <c r="Q3">
        <f>$B3*'Time Series Scaling Factors'!Q4</f>
        <v>186676755003786.47</v>
      </c>
      <c r="R3">
        <f>$B3*'Time Series Scaling Factors'!R4</f>
        <v>184375547774647.03</v>
      </c>
      <c r="S3">
        <f>$B3*'Time Series Scaling Factors'!S4</f>
        <v>184214220551072.69</v>
      </c>
      <c r="T3">
        <f>$B3*'Time Series Scaling Factors'!T4</f>
        <v>184074029892955.09</v>
      </c>
      <c r="U3">
        <f>$B3*'Time Series Scaling Factors'!U4</f>
        <v>183220698160435</v>
      </c>
      <c r="V3">
        <f>$B3*'Time Series Scaling Factors'!V4</f>
        <v>182348243857398.53</v>
      </c>
      <c r="W3">
        <f>$B3*'Time Series Scaling Factors'!W4</f>
        <v>180517896187618</v>
      </c>
      <c r="X3">
        <f>$B3*'Time Series Scaling Factors'!X4</f>
        <v>179188721815474.16</v>
      </c>
      <c r="Y3">
        <f>$B3*'Time Series Scaling Factors'!Y4</f>
        <v>178521155162660.53</v>
      </c>
      <c r="Z3">
        <f>$B3*'Time Series Scaling Factors'!Z4</f>
        <v>178130211753049.09</v>
      </c>
      <c r="AA3">
        <f>$B3*'Time Series Scaling Factors'!AA4</f>
        <v>177379178505799.38</v>
      </c>
      <c r="AB3">
        <f>$B3*'Time Series Scaling Factors'!AB4</f>
        <v>176544969343795.59</v>
      </c>
      <c r="AC3">
        <f>$B3*'Time Series Scaling Factors'!AC4</f>
        <v>176608877348192.22</v>
      </c>
      <c r="AD3">
        <f>$B3*'Time Series Scaling Factors'!AD4</f>
        <v>176112022720118.41</v>
      </c>
      <c r="AE3">
        <f>$B3*'Time Series Scaling Factors'!AE4</f>
        <v>175522358222111.88</v>
      </c>
      <c r="AF3">
        <f>$B3*'Time Series Scaling Factors'!AF4</f>
        <v>175635993214984.72</v>
      </c>
      <c r="AG3">
        <f>$B3*'Time Series Scaling Factors'!AG4</f>
        <v>175080192899944.69</v>
      </c>
      <c r="AH3">
        <f t="shared" ref="AH3:BA3" si="1">AG3</f>
        <v>175080192899944.69</v>
      </c>
      <c r="AI3">
        <f t="shared" si="1"/>
        <v>175080192899944.69</v>
      </c>
      <c r="AJ3">
        <f t="shared" si="1"/>
        <v>175080192899944.69</v>
      </c>
      <c r="AK3">
        <f t="shared" si="1"/>
        <v>175080192899944.69</v>
      </c>
      <c r="AL3">
        <f t="shared" si="1"/>
        <v>175080192899944.69</v>
      </c>
      <c r="AM3">
        <f t="shared" si="1"/>
        <v>175080192899944.69</v>
      </c>
      <c r="AN3">
        <f t="shared" si="1"/>
        <v>175080192899944.69</v>
      </c>
      <c r="AO3">
        <f t="shared" si="1"/>
        <v>175080192899944.69</v>
      </c>
      <c r="AP3">
        <f t="shared" si="1"/>
        <v>175080192899944.69</v>
      </c>
      <c r="AQ3">
        <f t="shared" si="1"/>
        <v>175080192899944.69</v>
      </c>
      <c r="AR3">
        <f t="shared" si="1"/>
        <v>175080192899944.69</v>
      </c>
      <c r="AS3">
        <f t="shared" si="1"/>
        <v>175080192899944.69</v>
      </c>
      <c r="AT3">
        <f t="shared" si="1"/>
        <v>175080192899944.69</v>
      </c>
      <c r="AU3">
        <f t="shared" si="1"/>
        <v>175080192899944.69</v>
      </c>
      <c r="AV3">
        <f t="shared" si="1"/>
        <v>175080192899944.69</v>
      </c>
      <c r="AW3">
        <f t="shared" si="1"/>
        <v>175080192899944.69</v>
      </c>
      <c r="AX3">
        <f t="shared" si="1"/>
        <v>175080192899944.69</v>
      </c>
      <c r="AY3">
        <f t="shared" si="1"/>
        <v>175080192899944.69</v>
      </c>
      <c r="AZ3">
        <f t="shared" si="1"/>
        <v>175080192899944.69</v>
      </c>
      <c r="BA3">
        <f t="shared" si="1"/>
        <v>175080192899944.69</v>
      </c>
    </row>
    <row r="4" spans="1:53" s="237" customFormat="1" x14ac:dyDescent="0.3">
      <c r="A4" s="236" t="s">
        <v>754</v>
      </c>
      <c r="B4" s="237">
        <f>'Start Year Data'!B28</f>
        <v>1389534019336320</v>
      </c>
      <c r="C4" s="237">
        <f>$B4*'Time Series Scaling Factors'!C5</f>
        <v>1419223515763249.3</v>
      </c>
      <c r="D4" s="237">
        <f>$B4*'Time Series Scaling Factors'!D5</f>
        <v>1494646342554689.8</v>
      </c>
      <c r="E4" s="237">
        <f>$B4*'Time Series Scaling Factors'!E5</f>
        <v>1520524150748623.3</v>
      </c>
      <c r="F4" s="237">
        <f>$B4*'Time Series Scaling Factors'!F5</f>
        <v>1539076427180874</v>
      </c>
      <c r="G4" s="237">
        <f>$B4*'Time Series Scaling Factors'!G5</f>
        <v>1564226983616402.8</v>
      </c>
      <c r="H4" s="237">
        <f>$B4*'Time Series Scaling Factors'!H5</f>
        <v>1619028696563316.8</v>
      </c>
      <c r="I4" s="237">
        <f>$B4*'Time Series Scaling Factors'!I5</f>
        <v>1673403999586588.5</v>
      </c>
      <c r="J4" s="237">
        <f>$B4*'Time Series Scaling Factors'!J5</f>
        <v>1706307392954200.5</v>
      </c>
      <c r="K4" s="237">
        <f>$B4*'Time Series Scaling Factors'!K5</f>
        <v>1738845253177775.8</v>
      </c>
      <c r="L4" s="237">
        <f>$B4*'Time Series Scaling Factors'!L5</f>
        <v>1761909923588837.3</v>
      </c>
      <c r="M4" s="237">
        <f>$B4*'Time Series Scaling Factors'!M5</f>
        <v>1774062586950742.3</v>
      </c>
      <c r="N4" s="237">
        <f>$B4*'Time Series Scaling Factors'!N5</f>
        <v>1793071166763627.5</v>
      </c>
      <c r="O4" s="237">
        <f>$B4*'Time Series Scaling Factors'!O5</f>
        <v>1818036251424975.5</v>
      </c>
      <c r="P4" s="237">
        <f>$B4*'Time Series Scaling Factors'!P5</f>
        <v>1844088671660666.5</v>
      </c>
      <c r="Q4" s="237">
        <f>$B4*'Time Series Scaling Factors'!Q5</f>
        <v>1865443148295822</v>
      </c>
      <c r="R4" s="237">
        <f>$B4*'Time Series Scaling Factors'!R5</f>
        <v>1884966027909810</v>
      </c>
      <c r="S4" s="237">
        <f>$B4*'Time Series Scaling Factors'!S5</f>
        <v>1916946188326362.3</v>
      </c>
      <c r="T4" s="237">
        <f>$B4*'Time Series Scaling Factors'!T5</f>
        <v>1931303688760352</v>
      </c>
      <c r="U4" s="237">
        <f>$B4*'Time Series Scaling Factors'!U5</f>
        <v>1956871780499477.8</v>
      </c>
      <c r="V4" s="237">
        <f>$B4*'Time Series Scaling Factors'!V5</f>
        <v>1976889108790784.3</v>
      </c>
      <c r="W4" s="237">
        <f>$B4*'Time Series Scaling Factors'!W5</f>
        <v>1997933246190778</v>
      </c>
      <c r="X4" s="237">
        <f>$B4*'Time Series Scaling Factors'!X5</f>
        <v>2016261749857075.8</v>
      </c>
      <c r="Y4" s="237">
        <f>$B4*'Time Series Scaling Factors'!Y5</f>
        <v>2035534622082697.5</v>
      </c>
      <c r="Z4" s="237">
        <f>$B4*'Time Series Scaling Factors'!Z5</f>
        <v>2053397636358139.3</v>
      </c>
      <c r="AA4" s="237">
        <f>$B4*'Time Series Scaling Factors'!AA5</f>
        <v>2073968110375130</v>
      </c>
      <c r="AB4" s="237">
        <f>$B4*'Time Series Scaling Factors'!AB5</f>
        <v>2090944557892854.5</v>
      </c>
      <c r="AC4" s="237">
        <f>$B4*'Time Series Scaling Factors'!AC5</f>
        <v>2115288224532208.5</v>
      </c>
      <c r="AD4" s="237">
        <f>$B4*'Time Series Scaling Factors'!AD5</f>
        <v>2133527981998058.8</v>
      </c>
      <c r="AE4" s="237">
        <f>$B4*'Time Series Scaling Factors'!AE5</f>
        <v>2152535510869096.8</v>
      </c>
      <c r="AF4" s="237">
        <f>$B4*'Time Series Scaling Factors'!AF5</f>
        <v>2171939322664151</v>
      </c>
      <c r="AG4" s="237">
        <f>$B4*'Time Series Scaling Factors'!AG5</f>
        <v>2193179285561711.8</v>
      </c>
      <c r="AH4" s="237">
        <f t="shared" ref="AH4:BA4" si="2">AG4</f>
        <v>2193179285561711.8</v>
      </c>
      <c r="AI4" s="237">
        <f t="shared" si="2"/>
        <v>2193179285561711.8</v>
      </c>
      <c r="AJ4" s="237">
        <f t="shared" si="2"/>
        <v>2193179285561711.8</v>
      </c>
      <c r="AK4" s="237">
        <f t="shared" si="2"/>
        <v>2193179285561711.8</v>
      </c>
      <c r="AL4" s="237">
        <f t="shared" si="2"/>
        <v>2193179285561711.8</v>
      </c>
      <c r="AM4" s="237">
        <f t="shared" si="2"/>
        <v>2193179285561711.8</v>
      </c>
      <c r="AN4" s="237">
        <f t="shared" si="2"/>
        <v>2193179285561711.8</v>
      </c>
      <c r="AO4" s="237">
        <f t="shared" si="2"/>
        <v>2193179285561711.8</v>
      </c>
      <c r="AP4" s="237">
        <f t="shared" si="2"/>
        <v>2193179285561711.8</v>
      </c>
      <c r="AQ4" s="237">
        <f t="shared" si="2"/>
        <v>2193179285561711.8</v>
      </c>
      <c r="AR4" s="237">
        <f t="shared" si="2"/>
        <v>2193179285561711.8</v>
      </c>
      <c r="AS4" s="237">
        <f t="shared" si="2"/>
        <v>2193179285561711.8</v>
      </c>
      <c r="AT4" s="237">
        <f t="shared" si="2"/>
        <v>2193179285561711.8</v>
      </c>
      <c r="AU4" s="237">
        <f t="shared" si="2"/>
        <v>2193179285561711.8</v>
      </c>
      <c r="AV4" s="237">
        <f t="shared" si="2"/>
        <v>2193179285561711.8</v>
      </c>
      <c r="AW4" s="237">
        <f t="shared" si="2"/>
        <v>2193179285561711.8</v>
      </c>
      <c r="AX4" s="237">
        <f t="shared" si="2"/>
        <v>2193179285561711.8</v>
      </c>
      <c r="AY4" s="237">
        <f t="shared" si="2"/>
        <v>2193179285561711.8</v>
      </c>
      <c r="AZ4" s="237">
        <f t="shared" si="2"/>
        <v>2193179285561711.8</v>
      </c>
      <c r="BA4" s="237">
        <f t="shared" si="2"/>
        <v>2193179285561711.8</v>
      </c>
    </row>
    <row r="5" spans="1:53" x14ac:dyDescent="0.3">
      <c r="A5" s="1" t="s">
        <v>783</v>
      </c>
      <c r="B5">
        <f>'Start Year Data'!B29</f>
        <v>118303689467040</v>
      </c>
      <c r="C5">
        <f>$B5*'Time Series Scaling Factors'!C6</f>
        <v>116189609023086.58</v>
      </c>
      <c r="D5">
        <f>$B5*'Time Series Scaling Factors'!D6</f>
        <v>114269606487616.17</v>
      </c>
      <c r="E5">
        <f>$B5*'Time Series Scaling Factors'!E6</f>
        <v>112139008476774.59</v>
      </c>
      <c r="F5">
        <f>$B5*'Time Series Scaling Factors'!F6</f>
        <v>112471713462745.47</v>
      </c>
      <c r="G5">
        <f>$B5*'Time Series Scaling Factors'!G6</f>
        <v>112905975566928.55</v>
      </c>
      <c r="H5">
        <f>$B5*'Time Series Scaling Factors'!H6</f>
        <v>110828951072440.03</v>
      </c>
      <c r="I5">
        <f>$B5*'Time Series Scaling Factors'!I6</f>
        <v>92163217870758.141</v>
      </c>
      <c r="J5">
        <f>$B5*'Time Series Scaling Factors'!J6</f>
        <v>85606402277270.344</v>
      </c>
      <c r="K5">
        <f>$B5*'Time Series Scaling Factors'!K6</f>
        <v>85667569111056.297</v>
      </c>
      <c r="L5">
        <f>$B5*'Time Series Scaling Factors'!L6</f>
        <v>85727545110927.5</v>
      </c>
      <c r="M5">
        <f>$B5*'Time Series Scaling Factors'!M6</f>
        <v>83142959182350.281</v>
      </c>
      <c r="N5">
        <f>$B5*'Time Series Scaling Factors'!N6</f>
        <v>81854602974885.719</v>
      </c>
      <c r="O5">
        <f>$B5*'Time Series Scaling Factors'!O6</f>
        <v>80919476126158.078</v>
      </c>
      <c r="P5">
        <f>$B5*'Time Series Scaling Factors'!P6</f>
        <v>78695572775643</v>
      </c>
      <c r="Q5">
        <f>$B5*'Time Series Scaling Factors'!Q6</f>
        <v>75133718487566.672</v>
      </c>
      <c r="R5">
        <f>$B5*'Time Series Scaling Factors'!R6</f>
        <v>75339634686143.391</v>
      </c>
      <c r="S5">
        <f>$B5*'Time Series Scaling Factors'!S6</f>
        <v>68410984705227.063</v>
      </c>
      <c r="T5">
        <f>$B5*'Time Series Scaling Factors'!T6</f>
        <v>68441932377199.852</v>
      </c>
      <c r="U5">
        <f>$B5*'Time Series Scaling Factors'!U6</f>
        <v>63196000766881.563</v>
      </c>
      <c r="V5">
        <f>$B5*'Time Series Scaling Factors'!V6</f>
        <v>60675972046294.641</v>
      </c>
      <c r="W5">
        <f>$B5*'Time Series Scaling Factors'!W6</f>
        <v>60726505433712.406</v>
      </c>
      <c r="X5">
        <f>$B5*'Time Series Scaling Factors'!X6</f>
        <v>60910005935070.273</v>
      </c>
      <c r="Y5">
        <f>$B5*'Time Series Scaling Factors'!Y6</f>
        <v>59877440852494.391</v>
      </c>
      <c r="Z5">
        <f>$B5*'Time Series Scaling Factors'!Z6</f>
        <v>58844973838593.844</v>
      </c>
      <c r="AA5">
        <f>$B5*'Time Series Scaling Factors'!AA6</f>
        <v>56716533338609.602</v>
      </c>
      <c r="AB5">
        <f>$B5*'Time Series Scaling Factors'!AB6</f>
        <v>55828647571770.688</v>
      </c>
      <c r="AC5">
        <f>$B5*'Time Series Scaling Factors'!AC6</f>
        <v>54896364714627.672</v>
      </c>
      <c r="AD5">
        <f>$B5*'Time Series Scaling Factors'!AD6</f>
        <v>54958820451003.703</v>
      </c>
      <c r="AE5">
        <f>$B5*'Time Series Scaling Factors'!AE6</f>
        <v>54997697675867.664</v>
      </c>
      <c r="AF5">
        <f>$B5*'Time Series Scaling Factors'!AF6</f>
        <v>55044672571351.938</v>
      </c>
      <c r="AG5">
        <f>$B5*'Time Series Scaling Factors'!AG6</f>
        <v>55112592133925.07</v>
      </c>
      <c r="AH5">
        <f t="shared" ref="AH5:BA5" si="3">AG5</f>
        <v>55112592133925.07</v>
      </c>
      <c r="AI5">
        <f t="shared" si="3"/>
        <v>55112592133925.07</v>
      </c>
      <c r="AJ5">
        <f t="shared" si="3"/>
        <v>55112592133925.07</v>
      </c>
      <c r="AK5">
        <f t="shared" si="3"/>
        <v>55112592133925.07</v>
      </c>
      <c r="AL5">
        <f t="shared" si="3"/>
        <v>55112592133925.07</v>
      </c>
      <c r="AM5">
        <f t="shared" si="3"/>
        <v>55112592133925.07</v>
      </c>
      <c r="AN5">
        <f t="shared" si="3"/>
        <v>55112592133925.07</v>
      </c>
      <c r="AO5">
        <f t="shared" si="3"/>
        <v>55112592133925.07</v>
      </c>
      <c r="AP5">
        <f t="shared" si="3"/>
        <v>55112592133925.07</v>
      </c>
      <c r="AQ5">
        <f t="shared" si="3"/>
        <v>55112592133925.07</v>
      </c>
      <c r="AR5">
        <f t="shared" si="3"/>
        <v>55112592133925.07</v>
      </c>
      <c r="AS5">
        <f t="shared" si="3"/>
        <v>55112592133925.07</v>
      </c>
      <c r="AT5">
        <f t="shared" si="3"/>
        <v>55112592133925.07</v>
      </c>
      <c r="AU5">
        <f t="shared" si="3"/>
        <v>55112592133925.07</v>
      </c>
      <c r="AV5">
        <f t="shared" si="3"/>
        <v>55112592133925.07</v>
      </c>
      <c r="AW5">
        <f t="shared" si="3"/>
        <v>55112592133925.07</v>
      </c>
      <c r="AX5">
        <f t="shared" si="3"/>
        <v>55112592133925.07</v>
      </c>
      <c r="AY5">
        <f t="shared" si="3"/>
        <v>55112592133925.07</v>
      </c>
      <c r="AZ5">
        <f t="shared" si="3"/>
        <v>55112592133925.07</v>
      </c>
      <c r="BA5">
        <f t="shared" si="3"/>
        <v>55112592133925.07</v>
      </c>
    </row>
    <row r="6" spans="1:53" x14ac:dyDescent="0.3">
      <c r="A6" s="1" t="s">
        <v>756</v>
      </c>
      <c r="B6">
        <f>'Start Year Data'!B30</f>
        <v>0</v>
      </c>
      <c r="C6">
        <f>$B6*'Time Series Scaling Factors'!C7</f>
        <v>0</v>
      </c>
      <c r="D6">
        <f>$B6*'Time Series Scaling Factors'!D7</f>
        <v>0</v>
      </c>
      <c r="E6">
        <f>$B6*'Time Series Scaling Factors'!E7</f>
        <v>0</v>
      </c>
      <c r="F6">
        <f>$B6*'Time Series Scaling Factors'!F7</f>
        <v>0</v>
      </c>
      <c r="G6">
        <f>$B6*'Time Series Scaling Factors'!G7</f>
        <v>0</v>
      </c>
      <c r="H6">
        <f>$B6*'Time Series Scaling Factors'!H7</f>
        <v>0</v>
      </c>
      <c r="I6">
        <f>$B6*'Time Series Scaling Factors'!I7</f>
        <v>0</v>
      </c>
      <c r="J6">
        <f>$B6*'Time Series Scaling Factors'!J7</f>
        <v>0</v>
      </c>
      <c r="K6">
        <f>$B6*'Time Series Scaling Factors'!K7</f>
        <v>0</v>
      </c>
      <c r="L6">
        <f>$B6*'Time Series Scaling Factors'!L7</f>
        <v>0</v>
      </c>
      <c r="M6">
        <f>$B6*'Time Series Scaling Factors'!M7</f>
        <v>0</v>
      </c>
      <c r="N6">
        <f>$B6*'Time Series Scaling Factors'!N7</f>
        <v>0</v>
      </c>
      <c r="O6">
        <f>$B6*'Time Series Scaling Factors'!O7</f>
        <v>0</v>
      </c>
      <c r="P6">
        <f>$B6*'Time Series Scaling Factors'!P7</f>
        <v>0</v>
      </c>
      <c r="Q6">
        <f>$B6*'Time Series Scaling Factors'!Q7</f>
        <v>0</v>
      </c>
      <c r="R6">
        <f>$B6*'Time Series Scaling Factors'!R7</f>
        <v>0</v>
      </c>
      <c r="S6">
        <f>$B6*'Time Series Scaling Factors'!S7</f>
        <v>0</v>
      </c>
      <c r="T6">
        <f>$B6*'Time Series Scaling Factors'!T7</f>
        <v>0</v>
      </c>
      <c r="U6">
        <f>$B6*'Time Series Scaling Factors'!U7</f>
        <v>0</v>
      </c>
      <c r="V6">
        <f>$B6*'Time Series Scaling Factors'!V7</f>
        <v>0</v>
      </c>
      <c r="W6">
        <f>$B6*'Time Series Scaling Factors'!W7</f>
        <v>0</v>
      </c>
      <c r="X6">
        <f>$B6*'Time Series Scaling Factors'!X7</f>
        <v>0</v>
      </c>
      <c r="Y6">
        <f>$B6*'Time Series Scaling Factors'!Y7</f>
        <v>0</v>
      </c>
      <c r="Z6">
        <f>$B6*'Time Series Scaling Factors'!Z7</f>
        <v>0</v>
      </c>
      <c r="AA6">
        <f>$B6*'Time Series Scaling Factors'!AA7</f>
        <v>0</v>
      </c>
      <c r="AB6">
        <f>$B6*'Time Series Scaling Factors'!AB7</f>
        <v>0</v>
      </c>
      <c r="AC6">
        <f>$B6*'Time Series Scaling Factors'!AC7</f>
        <v>0</v>
      </c>
      <c r="AD6">
        <f>$B6*'Time Series Scaling Factors'!AD7</f>
        <v>0</v>
      </c>
      <c r="AE6">
        <f>$B6*'Time Series Scaling Factors'!AE7</f>
        <v>0</v>
      </c>
      <c r="AF6">
        <f>$B6*'Time Series Scaling Factors'!AF7</f>
        <v>0</v>
      </c>
      <c r="AG6">
        <f>$B6*'Time Series Scaling Factors'!AG7</f>
        <v>0</v>
      </c>
      <c r="AH6">
        <f t="shared" ref="AH6:BA6" si="4">AG6</f>
        <v>0</v>
      </c>
      <c r="AI6">
        <f t="shared" si="4"/>
        <v>0</v>
      </c>
      <c r="AJ6">
        <f t="shared" si="4"/>
        <v>0</v>
      </c>
      <c r="AK6">
        <f t="shared" si="4"/>
        <v>0</v>
      </c>
      <c r="AL6">
        <f t="shared" si="4"/>
        <v>0</v>
      </c>
      <c r="AM6">
        <f t="shared" si="4"/>
        <v>0</v>
      </c>
      <c r="AN6">
        <f t="shared" si="4"/>
        <v>0</v>
      </c>
      <c r="AO6">
        <f t="shared" si="4"/>
        <v>0</v>
      </c>
      <c r="AP6">
        <f t="shared" si="4"/>
        <v>0</v>
      </c>
      <c r="AQ6">
        <f t="shared" si="4"/>
        <v>0</v>
      </c>
      <c r="AR6">
        <f t="shared" si="4"/>
        <v>0</v>
      </c>
      <c r="AS6">
        <f t="shared" si="4"/>
        <v>0</v>
      </c>
      <c r="AT6">
        <f t="shared" si="4"/>
        <v>0</v>
      </c>
      <c r="AU6">
        <f t="shared" si="4"/>
        <v>0</v>
      </c>
      <c r="AV6">
        <f t="shared" si="4"/>
        <v>0</v>
      </c>
      <c r="AW6">
        <f t="shared" si="4"/>
        <v>0</v>
      </c>
      <c r="AX6">
        <f t="shared" si="4"/>
        <v>0</v>
      </c>
      <c r="AY6">
        <f t="shared" si="4"/>
        <v>0</v>
      </c>
      <c r="AZ6">
        <f t="shared" si="4"/>
        <v>0</v>
      </c>
      <c r="BA6">
        <f t="shared" si="4"/>
        <v>0</v>
      </c>
    </row>
    <row r="7" spans="1:53" x14ac:dyDescent="0.3">
      <c r="A7" s="1" t="s">
        <v>757</v>
      </c>
      <c r="B7">
        <f>'Start Year Data'!B31</f>
        <v>0</v>
      </c>
      <c r="C7">
        <f>$B7*'Time Series Scaling Factors'!C8</f>
        <v>0</v>
      </c>
      <c r="D7">
        <f>$B7*'Time Series Scaling Factors'!D8</f>
        <v>0</v>
      </c>
      <c r="E7">
        <f>$B7*'Time Series Scaling Factors'!E8</f>
        <v>0</v>
      </c>
      <c r="F7">
        <f>$B7*'Time Series Scaling Factors'!F8</f>
        <v>0</v>
      </c>
      <c r="G7">
        <f>$B7*'Time Series Scaling Factors'!G8</f>
        <v>0</v>
      </c>
      <c r="H7">
        <f>$B7*'Time Series Scaling Factors'!H8</f>
        <v>0</v>
      </c>
      <c r="I7">
        <f>$B7*'Time Series Scaling Factors'!I8</f>
        <v>0</v>
      </c>
      <c r="J7">
        <f>$B7*'Time Series Scaling Factors'!J8</f>
        <v>0</v>
      </c>
      <c r="K7">
        <f>$B7*'Time Series Scaling Factors'!K8</f>
        <v>0</v>
      </c>
      <c r="L7">
        <f>$B7*'Time Series Scaling Factors'!L8</f>
        <v>0</v>
      </c>
      <c r="M7">
        <f>$B7*'Time Series Scaling Factors'!M8</f>
        <v>0</v>
      </c>
      <c r="N7">
        <f>$B7*'Time Series Scaling Factors'!N8</f>
        <v>0</v>
      </c>
      <c r="O7">
        <f>$B7*'Time Series Scaling Factors'!O8</f>
        <v>0</v>
      </c>
      <c r="P7">
        <f>$B7*'Time Series Scaling Factors'!P8</f>
        <v>0</v>
      </c>
      <c r="Q7">
        <f>$B7*'Time Series Scaling Factors'!Q8</f>
        <v>0</v>
      </c>
      <c r="R7">
        <f>$B7*'Time Series Scaling Factors'!R8</f>
        <v>0</v>
      </c>
      <c r="S7">
        <f>$B7*'Time Series Scaling Factors'!S8</f>
        <v>0</v>
      </c>
      <c r="T7">
        <f>$B7*'Time Series Scaling Factors'!T8</f>
        <v>0</v>
      </c>
      <c r="U7">
        <f>$B7*'Time Series Scaling Factors'!U8</f>
        <v>0</v>
      </c>
      <c r="V7">
        <f>$B7*'Time Series Scaling Factors'!V8</f>
        <v>0</v>
      </c>
      <c r="W7">
        <f>$B7*'Time Series Scaling Factors'!W8</f>
        <v>0</v>
      </c>
      <c r="X7">
        <f>$B7*'Time Series Scaling Factors'!X8</f>
        <v>0</v>
      </c>
      <c r="Y7">
        <f>$B7*'Time Series Scaling Factors'!Y8</f>
        <v>0</v>
      </c>
      <c r="Z7">
        <f>$B7*'Time Series Scaling Factors'!Z8</f>
        <v>0</v>
      </c>
      <c r="AA7">
        <f>$B7*'Time Series Scaling Factors'!AA8</f>
        <v>0</v>
      </c>
      <c r="AB7">
        <f>$B7*'Time Series Scaling Factors'!AB8</f>
        <v>0</v>
      </c>
      <c r="AC7">
        <f>$B7*'Time Series Scaling Factors'!AC8</f>
        <v>0</v>
      </c>
      <c r="AD7">
        <f>$B7*'Time Series Scaling Factors'!AD8</f>
        <v>0</v>
      </c>
      <c r="AE7">
        <f>$B7*'Time Series Scaling Factors'!AE8</f>
        <v>0</v>
      </c>
      <c r="AF7">
        <f>$B7*'Time Series Scaling Factors'!AF8</f>
        <v>0</v>
      </c>
      <c r="AG7">
        <f>$B7*'Time Series Scaling Factors'!AG8</f>
        <v>0</v>
      </c>
      <c r="AH7">
        <f t="shared" ref="AH7:BA7" si="5">AG7</f>
        <v>0</v>
      </c>
      <c r="AI7">
        <f t="shared" si="5"/>
        <v>0</v>
      </c>
      <c r="AJ7">
        <f t="shared" si="5"/>
        <v>0</v>
      </c>
      <c r="AK7">
        <f t="shared" si="5"/>
        <v>0</v>
      </c>
      <c r="AL7">
        <f t="shared" si="5"/>
        <v>0</v>
      </c>
      <c r="AM7">
        <f t="shared" si="5"/>
        <v>0</v>
      </c>
      <c r="AN7">
        <f t="shared" si="5"/>
        <v>0</v>
      </c>
      <c r="AO7">
        <f t="shared" si="5"/>
        <v>0</v>
      </c>
      <c r="AP7">
        <f t="shared" si="5"/>
        <v>0</v>
      </c>
      <c r="AQ7">
        <f t="shared" si="5"/>
        <v>0</v>
      </c>
      <c r="AR7">
        <f t="shared" si="5"/>
        <v>0</v>
      </c>
      <c r="AS7">
        <f t="shared" si="5"/>
        <v>0</v>
      </c>
      <c r="AT7">
        <f t="shared" si="5"/>
        <v>0</v>
      </c>
      <c r="AU7">
        <f t="shared" si="5"/>
        <v>0</v>
      </c>
      <c r="AV7">
        <f t="shared" si="5"/>
        <v>0</v>
      </c>
      <c r="AW7">
        <f t="shared" si="5"/>
        <v>0</v>
      </c>
      <c r="AX7">
        <f t="shared" si="5"/>
        <v>0</v>
      </c>
      <c r="AY7">
        <f t="shared" si="5"/>
        <v>0</v>
      </c>
      <c r="AZ7">
        <f t="shared" si="5"/>
        <v>0</v>
      </c>
      <c r="BA7">
        <f t="shared" si="5"/>
        <v>0</v>
      </c>
    </row>
    <row r="8" spans="1:53" x14ac:dyDescent="0.3">
      <c r="A8" s="1" t="s">
        <v>758</v>
      </c>
      <c r="B8">
        <f>'Start Year Data'!B32</f>
        <v>0</v>
      </c>
      <c r="C8">
        <f>$B8*'Time Series Scaling Factors'!C9</f>
        <v>0</v>
      </c>
      <c r="D8">
        <f>$B8*'Time Series Scaling Factors'!D9</f>
        <v>0</v>
      </c>
      <c r="E8">
        <f>$B8*'Time Series Scaling Factors'!E9</f>
        <v>0</v>
      </c>
      <c r="F8">
        <f>$B8*'Time Series Scaling Factors'!F9</f>
        <v>0</v>
      </c>
      <c r="G8">
        <f>$B8*'Time Series Scaling Factors'!G9</f>
        <v>0</v>
      </c>
      <c r="H8">
        <f>$B8*'Time Series Scaling Factors'!H9</f>
        <v>0</v>
      </c>
      <c r="I8">
        <f>$B8*'Time Series Scaling Factors'!I9</f>
        <v>0</v>
      </c>
      <c r="J8">
        <f>$B8*'Time Series Scaling Factors'!J9</f>
        <v>0</v>
      </c>
      <c r="K8">
        <f>$B8*'Time Series Scaling Factors'!K9</f>
        <v>0</v>
      </c>
      <c r="L8">
        <f>$B8*'Time Series Scaling Factors'!L9</f>
        <v>0</v>
      </c>
      <c r="M8">
        <f>$B8*'Time Series Scaling Factors'!M9</f>
        <v>0</v>
      </c>
      <c r="N8">
        <f>$B8*'Time Series Scaling Factors'!N9</f>
        <v>0</v>
      </c>
      <c r="O8">
        <f>$B8*'Time Series Scaling Factors'!O9</f>
        <v>0</v>
      </c>
      <c r="P8">
        <f>$B8*'Time Series Scaling Factors'!P9</f>
        <v>0</v>
      </c>
      <c r="Q8">
        <f>$B8*'Time Series Scaling Factors'!Q9</f>
        <v>0</v>
      </c>
      <c r="R8">
        <f>$B8*'Time Series Scaling Factors'!R9</f>
        <v>0</v>
      </c>
      <c r="S8">
        <f>$B8*'Time Series Scaling Factors'!S9</f>
        <v>0</v>
      </c>
      <c r="T8">
        <f>$B8*'Time Series Scaling Factors'!T9</f>
        <v>0</v>
      </c>
      <c r="U8">
        <f>$B8*'Time Series Scaling Factors'!U9</f>
        <v>0</v>
      </c>
      <c r="V8">
        <f>$B8*'Time Series Scaling Factors'!V9</f>
        <v>0</v>
      </c>
      <c r="W8">
        <f>$B8*'Time Series Scaling Factors'!W9</f>
        <v>0</v>
      </c>
      <c r="X8">
        <f>$B8*'Time Series Scaling Factors'!X9</f>
        <v>0</v>
      </c>
      <c r="Y8">
        <f>$B8*'Time Series Scaling Factors'!Y9</f>
        <v>0</v>
      </c>
      <c r="Z8">
        <f>$B8*'Time Series Scaling Factors'!Z9</f>
        <v>0</v>
      </c>
      <c r="AA8">
        <f>$B8*'Time Series Scaling Factors'!AA9</f>
        <v>0</v>
      </c>
      <c r="AB8">
        <f>$B8*'Time Series Scaling Factors'!AB9</f>
        <v>0</v>
      </c>
      <c r="AC8">
        <f>$B8*'Time Series Scaling Factors'!AC9</f>
        <v>0</v>
      </c>
      <c r="AD8">
        <f>$B8*'Time Series Scaling Factors'!AD9</f>
        <v>0</v>
      </c>
      <c r="AE8">
        <f>$B8*'Time Series Scaling Factors'!AE9</f>
        <v>0</v>
      </c>
      <c r="AF8">
        <f>$B8*'Time Series Scaling Factors'!AF9</f>
        <v>0</v>
      </c>
      <c r="AG8">
        <f>$B8*'Time Series Scaling Factors'!AG9</f>
        <v>0</v>
      </c>
      <c r="AH8">
        <f t="shared" ref="AH8:BA8" si="6">AG8</f>
        <v>0</v>
      </c>
      <c r="AI8">
        <f t="shared" si="6"/>
        <v>0</v>
      </c>
      <c r="AJ8">
        <f t="shared" si="6"/>
        <v>0</v>
      </c>
      <c r="AK8">
        <f t="shared" si="6"/>
        <v>0</v>
      </c>
      <c r="AL8">
        <f t="shared" si="6"/>
        <v>0</v>
      </c>
      <c r="AM8">
        <f t="shared" si="6"/>
        <v>0</v>
      </c>
      <c r="AN8">
        <f t="shared" si="6"/>
        <v>0</v>
      </c>
      <c r="AO8">
        <f t="shared" si="6"/>
        <v>0</v>
      </c>
      <c r="AP8">
        <f t="shared" si="6"/>
        <v>0</v>
      </c>
      <c r="AQ8">
        <f t="shared" si="6"/>
        <v>0</v>
      </c>
      <c r="AR8">
        <f t="shared" si="6"/>
        <v>0</v>
      </c>
      <c r="AS8">
        <f t="shared" si="6"/>
        <v>0</v>
      </c>
      <c r="AT8">
        <f t="shared" si="6"/>
        <v>0</v>
      </c>
      <c r="AU8">
        <f t="shared" si="6"/>
        <v>0</v>
      </c>
      <c r="AV8">
        <f t="shared" si="6"/>
        <v>0</v>
      </c>
      <c r="AW8">
        <f t="shared" si="6"/>
        <v>0</v>
      </c>
      <c r="AX8">
        <f t="shared" si="6"/>
        <v>0</v>
      </c>
      <c r="AY8">
        <f t="shared" si="6"/>
        <v>0</v>
      </c>
      <c r="AZ8">
        <f t="shared" si="6"/>
        <v>0</v>
      </c>
      <c r="BA8">
        <f t="shared" si="6"/>
        <v>0</v>
      </c>
    </row>
    <row r="9" spans="1:53" x14ac:dyDescent="0.3">
      <c r="A9" s="1" t="s">
        <v>759</v>
      </c>
      <c r="B9">
        <f>'Start Year Data'!B33</f>
        <v>342321213596160</v>
      </c>
      <c r="C9">
        <f>$B9*'Time Series Scaling Factors'!C10</f>
        <v>338182793194702.56</v>
      </c>
      <c r="D9">
        <f>$B9*'Time Series Scaling Factors'!D10</f>
        <v>342424083491109.94</v>
      </c>
      <c r="E9">
        <f>$B9*'Time Series Scaling Factors'!E10</f>
        <v>347006689004485.69</v>
      </c>
      <c r="F9">
        <f>$B9*'Time Series Scaling Factors'!F10</f>
        <v>348957456936511.75</v>
      </c>
      <c r="G9">
        <f>$B9*'Time Series Scaling Factors'!G10</f>
        <v>351185193192596.19</v>
      </c>
      <c r="H9">
        <f>$B9*'Time Series Scaling Factors'!H10</f>
        <v>353315593244631.25</v>
      </c>
      <c r="I9">
        <f>$B9*'Time Series Scaling Factors'!I10</f>
        <v>355253236396956.94</v>
      </c>
      <c r="J9">
        <f>$B9*'Time Series Scaling Factors'!J10</f>
        <v>357847827981859.19</v>
      </c>
      <c r="K9">
        <f>$B9*'Time Series Scaling Factors'!K10</f>
        <v>360440929726903.5</v>
      </c>
      <c r="L9">
        <f>$B9*'Time Series Scaling Factors'!L10</f>
        <v>362269956459112.94</v>
      </c>
      <c r="M9">
        <f>$B9*'Time Series Scaling Factors'!M10</f>
        <v>363840318614089.81</v>
      </c>
      <c r="N9">
        <f>$B9*'Time Series Scaling Factors'!N10</f>
        <v>364994660724938.13</v>
      </c>
      <c r="O9">
        <f>$B9*'Time Series Scaling Factors'!O10</f>
        <v>365516388454222.13</v>
      </c>
      <c r="P9">
        <f>$B9*'Time Series Scaling Factors'!P10</f>
        <v>366572259244939.06</v>
      </c>
      <c r="Q9">
        <f>$B9*'Time Series Scaling Factors'!Q10</f>
        <v>367071639376354.5</v>
      </c>
      <c r="R9">
        <f>$B9*'Time Series Scaling Factors'!R10</f>
        <v>368159719085904.06</v>
      </c>
      <c r="S9">
        <f>$B9*'Time Series Scaling Factors'!S10</f>
        <v>369201400925593.44</v>
      </c>
      <c r="T9">
        <f>$B9*'Time Series Scaling Factors'!T10</f>
        <v>369895808188882.94</v>
      </c>
      <c r="U9">
        <f>$B9*'Time Series Scaling Factors'!U10</f>
        <v>370898328523736.19</v>
      </c>
      <c r="V9">
        <f>$B9*'Time Series Scaling Factors'!V10</f>
        <v>371744060949734.81</v>
      </c>
      <c r="W9">
        <f>$B9*'Time Series Scaling Factors'!W10</f>
        <v>373010211994680.38</v>
      </c>
      <c r="X9">
        <f>$B9*'Time Series Scaling Factors'!X10</f>
        <v>374808306813649.81</v>
      </c>
      <c r="Y9">
        <f>$B9*'Time Series Scaling Factors'!Y10</f>
        <v>375706396468940.06</v>
      </c>
      <c r="Z9">
        <f>$B9*'Time Series Scaling Factors'!Z10</f>
        <v>377377216397192.13</v>
      </c>
      <c r="AA9">
        <f>$B9*'Time Series Scaling Factors'!AA10</f>
        <v>379617367985425.56</v>
      </c>
      <c r="AB9">
        <f>$B9*'Time Series Scaling Factors'!AB10</f>
        <v>381580976918131.69</v>
      </c>
      <c r="AC9">
        <f>$B9*'Time Series Scaling Factors'!AC10</f>
        <v>384815986807663.5</v>
      </c>
      <c r="AD9">
        <f>$B9*'Time Series Scaling Factors'!AD10</f>
        <v>387510752386820.44</v>
      </c>
      <c r="AE9">
        <f>$B9*'Time Series Scaling Factors'!AE10</f>
        <v>390267027068681.94</v>
      </c>
      <c r="AF9">
        <f>$B9*'Time Series Scaling Factors'!AF10</f>
        <v>393464932851276.69</v>
      </c>
      <c r="AG9">
        <f>$B9*'Time Series Scaling Factors'!AG10</f>
        <v>397199039093203.5</v>
      </c>
      <c r="AH9">
        <f t="shared" ref="AH9:BA9" si="7">AG9</f>
        <v>397199039093203.5</v>
      </c>
      <c r="AI9">
        <f t="shared" si="7"/>
        <v>397199039093203.5</v>
      </c>
      <c r="AJ9">
        <f t="shared" si="7"/>
        <v>397199039093203.5</v>
      </c>
      <c r="AK9">
        <f t="shared" si="7"/>
        <v>397199039093203.5</v>
      </c>
      <c r="AL9">
        <f t="shared" si="7"/>
        <v>397199039093203.5</v>
      </c>
      <c r="AM9">
        <f t="shared" si="7"/>
        <v>397199039093203.5</v>
      </c>
      <c r="AN9">
        <f t="shared" si="7"/>
        <v>397199039093203.5</v>
      </c>
      <c r="AO9">
        <f t="shared" si="7"/>
        <v>397199039093203.5</v>
      </c>
      <c r="AP9">
        <f t="shared" si="7"/>
        <v>397199039093203.5</v>
      </c>
      <c r="AQ9">
        <f t="shared" si="7"/>
        <v>397199039093203.5</v>
      </c>
      <c r="AR9">
        <f t="shared" si="7"/>
        <v>397199039093203.5</v>
      </c>
      <c r="AS9">
        <f t="shared" si="7"/>
        <v>397199039093203.5</v>
      </c>
      <c r="AT9">
        <f t="shared" si="7"/>
        <v>397199039093203.5</v>
      </c>
      <c r="AU9">
        <f t="shared" si="7"/>
        <v>397199039093203.5</v>
      </c>
      <c r="AV9">
        <f t="shared" si="7"/>
        <v>397199039093203.5</v>
      </c>
      <c r="AW9">
        <f t="shared" si="7"/>
        <v>397199039093203.5</v>
      </c>
      <c r="AX9">
        <f t="shared" si="7"/>
        <v>397199039093203.5</v>
      </c>
      <c r="AY9">
        <f t="shared" si="7"/>
        <v>397199039093203.5</v>
      </c>
      <c r="AZ9">
        <f t="shared" si="7"/>
        <v>397199039093203.5</v>
      </c>
      <c r="BA9">
        <f t="shared" si="7"/>
        <v>397199039093203.5</v>
      </c>
    </row>
    <row r="10" spans="1:53" x14ac:dyDescent="0.3">
      <c r="A10" s="1" t="s">
        <v>760</v>
      </c>
      <c r="B10">
        <f>'Start Year Data'!B34</f>
        <v>451136305874880</v>
      </c>
      <c r="C10">
        <f>$B10*'Time Series Scaling Factors'!C11</f>
        <v>511266282160007.94</v>
      </c>
      <c r="D10">
        <f>$B10*'Time Series Scaling Factors'!D11</f>
        <v>566402787426456</v>
      </c>
      <c r="E10">
        <f>$B10*'Time Series Scaling Factors'!E11</f>
        <v>600157010427874.5</v>
      </c>
      <c r="F10">
        <f>$B10*'Time Series Scaling Factors'!F11</f>
        <v>615610723912642.38</v>
      </c>
      <c r="G10">
        <f>$B10*'Time Series Scaling Factors'!G11</f>
        <v>630402930113667.13</v>
      </c>
      <c r="H10">
        <f>$B10*'Time Series Scaling Factors'!H11</f>
        <v>638760378468645.5</v>
      </c>
      <c r="I10">
        <f>$B10*'Time Series Scaling Factors'!I11</f>
        <v>648040276464473.75</v>
      </c>
      <c r="J10">
        <f>$B10*'Time Series Scaling Factors'!J11</f>
        <v>652639700390321</v>
      </c>
      <c r="K10">
        <f>$B10*'Time Series Scaling Factors'!K11</f>
        <v>656985915280790.25</v>
      </c>
      <c r="L10">
        <f>$B10*'Time Series Scaling Factors'!L11</f>
        <v>660207627682504.5</v>
      </c>
      <c r="M10">
        <f>$B10*'Time Series Scaling Factors'!M11</f>
        <v>664610494879762</v>
      </c>
      <c r="N10">
        <f>$B10*'Time Series Scaling Factors'!N11</f>
        <v>672248709082419.88</v>
      </c>
      <c r="O10">
        <f>$B10*'Time Series Scaling Factors'!O11</f>
        <v>677065934351902.63</v>
      </c>
      <c r="P10">
        <f>$B10*'Time Series Scaling Factors'!P11</f>
        <v>683649263577132.38</v>
      </c>
      <c r="Q10">
        <f>$B10*'Time Series Scaling Factors'!Q11</f>
        <v>677166661307815.5</v>
      </c>
      <c r="R10">
        <f>$B10*'Time Series Scaling Factors'!R11</f>
        <v>680077437805574</v>
      </c>
      <c r="S10">
        <f>$B10*'Time Series Scaling Factors'!S11</f>
        <v>679449065779626.13</v>
      </c>
      <c r="T10">
        <f>$B10*'Time Series Scaling Factors'!T11</f>
        <v>678381004208455.13</v>
      </c>
      <c r="U10">
        <f>$B10*'Time Series Scaling Factors'!U11</f>
        <v>674491883241040.88</v>
      </c>
      <c r="V10">
        <f>$B10*'Time Series Scaling Factors'!V11</f>
        <v>673591418077452</v>
      </c>
      <c r="W10">
        <f>$B10*'Time Series Scaling Factors'!W11</f>
        <v>673637853239359.5</v>
      </c>
      <c r="X10">
        <f>$B10*'Time Series Scaling Factors'!X11</f>
        <v>673570649088116.38</v>
      </c>
      <c r="Y10">
        <f>$B10*'Time Series Scaling Factors'!Y11</f>
        <v>674216901117606</v>
      </c>
      <c r="Z10">
        <f>$B10*'Time Series Scaling Factors'!Z11</f>
        <v>669400362863037.75</v>
      </c>
      <c r="AA10">
        <f>$B10*'Time Series Scaling Factors'!AA11</f>
        <v>669048294143052.38</v>
      </c>
      <c r="AB10">
        <f>$B10*'Time Series Scaling Factors'!AB11</f>
        <v>670261368708465.38</v>
      </c>
      <c r="AC10">
        <f>$B10*'Time Series Scaling Factors'!AC11</f>
        <v>671594054332054.13</v>
      </c>
      <c r="AD10">
        <f>$B10*'Time Series Scaling Factors'!AD11</f>
        <v>675966551946941.13</v>
      </c>
      <c r="AE10">
        <f>$B10*'Time Series Scaling Factors'!AE11</f>
        <v>682710096573365.13</v>
      </c>
      <c r="AF10">
        <f>$B10*'Time Series Scaling Factors'!AF11</f>
        <v>691293801840156.25</v>
      </c>
      <c r="AG10">
        <f>$B10*'Time Series Scaling Factors'!AG11</f>
        <v>696926073418869.25</v>
      </c>
      <c r="AH10">
        <f t="shared" ref="AH10:BA10" si="8">AG10</f>
        <v>696926073418869.25</v>
      </c>
      <c r="AI10">
        <f t="shared" si="8"/>
        <v>696926073418869.25</v>
      </c>
      <c r="AJ10">
        <f t="shared" si="8"/>
        <v>696926073418869.25</v>
      </c>
      <c r="AK10">
        <f t="shared" si="8"/>
        <v>696926073418869.25</v>
      </c>
      <c r="AL10">
        <f t="shared" si="8"/>
        <v>696926073418869.25</v>
      </c>
      <c r="AM10">
        <f t="shared" si="8"/>
        <v>696926073418869.25</v>
      </c>
      <c r="AN10">
        <f t="shared" si="8"/>
        <v>696926073418869.25</v>
      </c>
      <c r="AO10">
        <f t="shared" si="8"/>
        <v>696926073418869.25</v>
      </c>
      <c r="AP10">
        <f t="shared" si="8"/>
        <v>696926073418869.25</v>
      </c>
      <c r="AQ10">
        <f t="shared" si="8"/>
        <v>696926073418869.25</v>
      </c>
      <c r="AR10">
        <f t="shared" si="8"/>
        <v>696926073418869.25</v>
      </c>
      <c r="AS10">
        <f t="shared" si="8"/>
        <v>696926073418869.25</v>
      </c>
      <c r="AT10">
        <f t="shared" si="8"/>
        <v>696926073418869.25</v>
      </c>
      <c r="AU10">
        <f t="shared" si="8"/>
        <v>696926073418869.25</v>
      </c>
      <c r="AV10">
        <f t="shared" si="8"/>
        <v>696926073418869.25</v>
      </c>
      <c r="AW10">
        <f t="shared" si="8"/>
        <v>696926073418869.25</v>
      </c>
      <c r="AX10">
        <f t="shared" si="8"/>
        <v>696926073418869.25</v>
      </c>
      <c r="AY10">
        <f t="shared" si="8"/>
        <v>696926073418869.25</v>
      </c>
      <c r="AZ10">
        <f t="shared" si="8"/>
        <v>696926073418869.25</v>
      </c>
      <c r="BA10">
        <f t="shared" si="8"/>
        <v>696926073418869.25</v>
      </c>
    </row>
    <row r="11" spans="1:53" x14ac:dyDescent="0.3">
      <c r="A11" s="1" t="s">
        <v>761</v>
      </c>
      <c r="B11">
        <f>'Start Year Data'!B35</f>
        <v>208414558699680</v>
      </c>
      <c r="C11">
        <f>$B11*'Time Series Scaling Factors'!C12</f>
        <v>236193219625193.78</v>
      </c>
      <c r="D11">
        <f>$B11*'Time Series Scaling Factors'!D12</f>
        <v>261665012215826.88</v>
      </c>
      <c r="E11">
        <f>$B11*'Time Series Scaling Factors'!E12</f>
        <v>277258684016301.09</v>
      </c>
      <c r="F11">
        <f>$B11*'Time Series Scaling Factors'!F12</f>
        <v>284397942892735.75</v>
      </c>
      <c r="G11">
        <f>$B11*'Time Series Scaling Factors'!G12</f>
        <v>291231600675171.63</v>
      </c>
      <c r="H11">
        <f>$B11*'Time Series Scaling Factors'!H12</f>
        <v>295092548881014.5</v>
      </c>
      <c r="I11">
        <f>$B11*'Time Series Scaling Factors'!I12</f>
        <v>299379647525908.25</v>
      </c>
      <c r="J11">
        <f>$B11*'Time Series Scaling Factors'!J12</f>
        <v>301504475200593.5</v>
      </c>
      <c r="K11">
        <f>$B11*'Time Series Scaling Factors'!K12</f>
        <v>303512326146339.25</v>
      </c>
      <c r="L11">
        <f>$B11*'Time Series Scaling Factors'!L12</f>
        <v>305000682901751.44</v>
      </c>
      <c r="M11">
        <f>$B11*'Time Series Scaling Factors'!M12</f>
        <v>307034705905398.19</v>
      </c>
      <c r="N11">
        <f>$B11*'Time Series Scaling Factors'!N12</f>
        <v>310563384536601.19</v>
      </c>
      <c r="O11">
        <f>$B11*'Time Series Scaling Factors'!O12</f>
        <v>312788831404037.88</v>
      </c>
      <c r="P11">
        <f>$B11*'Time Series Scaling Factors'!P12</f>
        <v>315830177527999.56</v>
      </c>
      <c r="Q11">
        <f>$B11*'Time Series Scaling Factors'!Q12</f>
        <v>312835364932358.19</v>
      </c>
      <c r="R11">
        <f>$B11*'Time Series Scaling Factors'!R12</f>
        <v>314180076478189.69</v>
      </c>
      <c r="S11">
        <f>$B11*'Time Series Scaling Factors'!S12</f>
        <v>313889783108355.13</v>
      </c>
      <c r="T11">
        <f>$B11*'Time Series Scaling Factors'!T12</f>
        <v>313396363318990.06</v>
      </c>
      <c r="U11">
        <f>$B11*'Time Series Scaling Factors'!U12</f>
        <v>311599679213547.88</v>
      </c>
      <c r="V11">
        <f>$B11*'Time Series Scaling Factors'!V12</f>
        <v>311183685095473.38</v>
      </c>
      <c r="W11">
        <f>$B11*'Time Series Scaling Factors'!W12</f>
        <v>311205137068305.25</v>
      </c>
      <c r="X11">
        <f>$B11*'Time Series Scaling Factors'!X12</f>
        <v>311174090301858.5</v>
      </c>
      <c r="Y11">
        <f>$B11*'Time Series Scaling Factors'!Y12</f>
        <v>311472643820564.31</v>
      </c>
      <c r="Z11">
        <f>$B11*'Time Series Scaling Factors'!Z12</f>
        <v>309247514338158.19</v>
      </c>
      <c r="AA11">
        <f>$B11*'Time Series Scaling Factors'!AA12</f>
        <v>309084866717135.06</v>
      </c>
      <c r="AB11">
        <f>$B11*'Time Series Scaling Factors'!AB12</f>
        <v>309645279162172.19</v>
      </c>
      <c r="AC11">
        <f>$B11*'Time Series Scaling Factors'!AC12</f>
        <v>310260949154830</v>
      </c>
      <c r="AD11">
        <f>$B11*'Time Series Scaling Factors'!AD12</f>
        <v>312280942112512.31</v>
      </c>
      <c r="AE11">
        <f>$B11*'Time Series Scaling Factors'!AE12</f>
        <v>315396304053206</v>
      </c>
      <c r="AF11">
        <f>$B11*'Time Series Scaling Factors'!AF12</f>
        <v>319361777729098.88</v>
      </c>
      <c r="AG11">
        <f>$B11*'Time Series Scaling Factors'!AG12</f>
        <v>321963757175815.75</v>
      </c>
      <c r="AH11">
        <f t="shared" ref="AH11:BA11" si="9">AG11</f>
        <v>321963757175815.75</v>
      </c>
      <c r="AI11">
        <f t="shared" si="9"/>
        <v>321963757175815.75</v>
      </c>
      <c r="AJ11">
        <f t="shared" si="9"/>
        <v>321963757175815.75</v>
      </c>
      <c r="AK11">
        <f t="shared" si="9"/>
        <v>321963757175815.75</v>
      </c>
      <c r="AL11">
        <f t="shared" si="9"/>
        <v>321963757175815.75</v>
      </c>
      <c r="AM11">
        <f t="shared" si="9"/>
        <v>321963757175815.75</v>
      </c>
      <c r="AN11">
        <f t="shared" si="9"/>
        <v>321963757175815.75</v>
      </c>
      <c r="AO11">
        <f t="shared" si="9"/>
        <v>321963757175815.75</v>
      </c>
      <c r="AP11">
        <f t="shared" si="9"/>
        <v>321963757175815.75</v>
      </c>
      <c r="AQ11">
        <f t="shared" si="9"/>
        <v>321963757175815.75</v>
      </c>
      <c r="AR11">
        <f t="shared" si="9"/>
        <v>321963757175815.75</v>
      </c>
      <c r="AS11">
        <f t="shared" si="9"/>
        <v>321963757175815.75</v>
      </c>
      <c r="AT11">
        <f t="shared" si="9"/>
        <v>321963757175815.75</v>
      </c>
      <c r="AU11">
        <f t="shared" si="9"/>
        <v>321963757175815.75</v>
      </c>
      <c r="AV11">
        <f t="shared" si="9"/>
        <v>321963757175815.75</v>
      </c>
      <c r="AW11">
        <f t="shared" si="9"/>
        <v>321963757175815.75</v>
      </c>
      <c r="AX11">
        <f t="shared" si="9"/>
        <v>321963757175815.75</v>
      </c>
      <c r="AY11">
        <f t="shared" si="9"/>
        <v>321963757175815.75</v>
      </c>
      <c r="AZ11">
        <f t="shared" si="9"/>
        <v>321963757175815.75</v>
      </c>
      <c r="BA11">
        <f t="shared" si="9"/>
        <v>321963757175815.75</v>
      </c>
    </row>
    <row r="12" spans="1:53" x14ac:dyDescent="0.3">
      <c r="A12" s="1" t="s">
        <v>762</v>
      </c>
      <c r="B12">
        <f>'Start Year Data'!B36</f>
        <v>0</v>
      </c>
      <c r="C12">
        <f>$B12*'Time Series Scaling Factors'!C13</f>
        <v>0</v>
      </c>
      <c r="D12">
        <f>$B12*'Time Series Scaling Factors'!D13</f>
        <v>0</v>
      </c>
      <c r="E12">
        <f>$B12*'Time Series Scaling Factors'!E13</f>
        <v>0</v>
      </c>
      <c r="F12">
        <f>$B12*'Time Series Scaling Factors'!F13</f>
        <v>0</v>
      </c>
      <c r="G12">
        <f>$B12*'Time Series Scaling Factors'!G13</f>
        <v>0</v>
      </c>
      <c r="H12">
        <f>$B12*'Time Series Scaling Factors'!H13</f>
        <v>0</v>
      </c>
      <c r="I12">
        <f>$B12*'Time Series Scaling Factors'!I13</f>
        <v>0</v>
      </c>
      <c r="J12">
        <f>$B12*'Time Series Scaling Factors'!J13</f>
        <v>0</v>
      </c>
      <c r="K12">
        <f>$B12*'Time Series Scaling Factors'!K13</f>
        <v>0</v>
      </c>
      <c r="L12">
        <f>$B12*'Time Series Scaling Factors'!L13</f>
        <v>0</v>
      </c>
      <c r="M12">
        <f>$B12*'Time Series Scaling Factors'!M13</f>
        <v>0</v>
      </c>
      <c r="N12">
        <f>$B12*'Time Series Scaling Factors'!N13</f>
        <v>0</v>
      </c>
      <c r="O12">
        <f>$B12*'Time Series Scaling Factors'!O13</f>
        <v>0</v>
      </c>
      <c r="P12">
        <f>$B12*'Time Series Scaling Factors'!P13</f>
        <v>0</v>
      </c>
      <c r="Q12">
        <f>$B12*'Time Series Scaling Factors'!Q13</f>
        <v>0</v>
      </c>
      <c r="R12">
        <f>$B12*'Time Series Scaling Factors'!R13</f>
        <v>0</v>
      </c>
      <c r="S12">
        <f>$B12*'Time Series Scaling Factors'!S13</f>
        <v>0</v>
      </c>
      <c r="T12">
        <f>$B12*'Time Series Scaling Factors'!T13</f>
        <v>0</v>
      </c>
      <c r="U12">
        <f>$B12*'Time Series Scaling Factors'!U13</f>
        <v>0</v>
      </c>
      <c r="V12">
        <f>$B12*'Time Series Scaling Factors'!V13</f>
        <v>0</v>
      </c>
      <c r="W12">
        <f>$B12*'Time Series Scaling Factors'!W13</f>
        <v>0</v>
      </c>
      <c r="X12">
        <f>$B12*'Time Series Scaling Factors'!X13</f>
        <v>0</v>
      </c>
      <c r="Y12">
        <f>$B12*'Time Series Scaling Factors'!Y13</f>
        <v>0</v>
      </c>
      <c r="Z12">
        <f>$B12*'Time Series Scaling Factors'!Z13</f>
        <v>0</v>
      </c>
      <c r="AA12">
        <f>$B12*'Time Series Scaling Factors'!AA13</f>
        <v>0</v>
      </c>
      <c r="AB12">
        <f>$B12*'Time Series Scaling Factors'!AB13</f>
        <v>0</v>
      </c>
      <c r="AC12">
        <f>$B12*'Time Series Scaling Factors'!AC13</f>
        <v>0</v>
      </c>
      <c r="AD12">
        <f>$B12*'Time Series Scaling Factors'!AD13</f>
        <v>0</v>
      </c>
      <c r="AE12">
        <f>$B12*'Time Series Scaling Factors'!AE13</f>
        <v>0</v>
      </c>
      <c r="AF12">
        <f>$B12*'Time Series Scaling Factors'!AF13</f>
        <v>0</v>
      </c>
      <c r="AG12">
        <f>$B12*'Time Series Scaling Factors'!AG13</f>
        <v>0</v>
      </c>
      <c r="AH12">
        <f t="shared" ref="AH12:BA12" si="10">AG12</f>
        <v>0</v>
      </c>
      <c r="AI12">
        <f t="shared" si="10"/>
        <v>0</v>
      </c>
      <c r="AJ12">
        <f t="shared" si="10"/>
        <v>0</v>
      </c>
      <c r="AK12">
        <f t="shared" si="10"/>
        <v>0</v>
      </c>
      <c r="AL12">
        <f t="shared" si="10"/>
        <v>0</v>
      </c>
      <c r="AM12">
        <f t="shared" si="10"/>
        <v>0</v>
      </c>
      <c r="AN12">
        <f t="shared" si="10"/>
        <v>0</v>
      </c>
      <c r="AO12">
        <f t="shared" si="10"/>
        <v>0</v>
      </c>
      <c r="AP12">
        <f t="shared" si="10"/>
        <v>0</v>
      </c>
      <c r="AQ12">
        <f t="shared" si="10"/>
        <v>0</v>
      </c>
      <c r="AR12">
        <f t="shared" si="10"/>
        <v>0</v>
      </c>
      <c r="AS12">
        <f t="shared" si="10"/>
        <v>0</v>
      </c>
      <c r="AT12">
        <f t="shared" si="10"/>
        <v>0</v>
      </c>
      <c r="AU12">
        <f t="shared" si="10"/>
        <v>0</v>
      </c>
      <c r="AV12">
        <f t="shared" si="10"/>
        <v>0</v>
      </c>
      <c r="AW12">
        <f t="shared" si="10"/>
        <v>0</v>
      </c>
      <c r="AX12">
        <f t="shared" si="10"/>
        <v>0</v>
      </c>
      <c r="AY12">
        <f t="shared" si="10"/>
        <v>0</v>
      </c>
      <c r="AZ12">
        <f t="shared" si="10"/>
        <v>0</v>
      </c>
      <c r="BA12">
        <f t="shared" si="10"/>
        <v>0</v>
      </c>
    </row>
    <row r="13" spans="1:53" x14ac:dyDescent="0.3">
      <c r="A13" s="1" t="s">
        <v>763</v>
      </c>
      <c r="B13">
        <f>'Start Year Data'!B37</f>
        <v>0</v>
      </c>
      <c r="C13">
        <f>$B13*'Time Series Scaling Factors'!C14</f>
        <v>0</v>
      </c>
      <c r="D13">
        <f>$B13*'Time Series Scaling Factors'!D14</f>
        <v>0</v>
      </c>
      <c r="E13">
        <f>$B13*'Time Series Scaling Factors'!E14</f>
        <v>0</v>
      </c>
      <c r="F13">
        <f>$B13*'Time Series Scaling Factors'!F14</f>
        <v>0</v>
      </c>
      <c r="G13">
        <f>$B13*'Time Series Scaling Factors'!G14</f>
        <v>0</v>
      </c>
      <c r="H13">
        <f>$B13*'Time Series Scaling Factors'!H14</f>
        <v>0</v>
      </c>
      <c r="I13">
        <f>$B13*'Time Series Scaling Factors'!I14</f>
        <v>0</v>
      </c>
      <c r="J13">
        <f>$B13*'Time Series Scaling Factors'!J14</f>
        <v>0</v>
      </c>
      <c r="K13">
        <f>$B13*'Time Series Scaling Factors'!K14</f>
        <v>0</v>
      </c>
      <c r="L13">
        <f>$B13*'Time Series Scaling Factors'!L14</f>
        <v>0</v>
      </c>
      <c r="M13">
        <f>$B13*'Time Series Scaling Factors'!M14</f>
        <v>0</v>
      </c>
      <c r="N13">
        <f>$B13*'Time Series Scaling Factors'!N14</f>
        <v>0</v>
      </c>
      <c r="O13">
        <f>$B13*'Time Series Scaling Factors'!O14</f>
        <v>0</v>
      </c>
      <c r="P13">
        <f>$B13*'Time Series Scaling Factors'!P14</f>
        <v>0</v>
      </c>
      <c r="Q13">
        <f>$B13*'Time Series Scaling Factors'!Q14</f>
        <v>0</v>
      </c>
      <c r="R13">
        <f>$B13*'Time Series Scaling Factors'!R14</f>
        <v>0</v>
      </c>
      <c r="S13">
        <f>$B13*'Time Series Scaling Factors'!S14</f>
        <v>0</v>
      </c>
      <c r="T13">
        <f>$B13*'Time Series Scaling Factors'!T14</f>
        <v>0</v>
      </c>
      <c r="U13">
        <f>$B13*'Time Series Scaling Factors'!U14</f>
        <v>0</v>
      </c>
      <c r="V13">
        <f>$B13*'Time Series Scaling Factors'!V14</f>
        <v>0</v>
      </c>
      <c r="W13">
        <f>$B13*'Time Series Scaling Factors'!W14</f>
        <v>0</v>
      </c>
      <c r="X13">
        <f>$B13*'Time Series Scaling Factors'!X14</f>
        <v>0</v>
      </c>
      <c r="Y13">
        <f>$B13*'Time Series Scaling Factors'!Y14</f>
        <v>0</v>
      </c>
      <c r="Z13">
        <f>$B13*'Time Series Scaling Factors'!Z14</f>
        <v>0</v>
      </c>
      <c r="AA13">
        <f>$B13*'Time Series Scaling Factors'!AA14</f>
        <v>0</v>
      </c>
      <c r="AB13">
        <f>$B13*'Time Series Scaling Factors'!AB14</f>
        <v>0</v>
      </c>
      <c r="AC13">
        <f>$B13*'Time Series Scaling Factors'!AC14</f>
        <v>0</v>
      </c>
      <c r="AD13">
        <f>$B13*'Time Series Scaling Factors'!AD14</f>
        <v>0</v>
      </c>
      <c r="AE13">
        <f>$B13*'Time Series Scaling Factors'!AE14</f>
        <v>0</v>
      </c>
      <c r="AF13">
        <f>$B13*'Time Series Scaling Factors'!AF14</f>
        <v>0</v>
      </c>
      <c r="AG13">
        <f>$B13*'Time Series Scaling Factors'!AG14</f>
        <v>0</v>
      </c>
      <c r="AH13">
        <f t="shared" ref="AH13:BA13" si="11">AG13</f>
        <v>0</v>
      </c>
      <c r="AI13">
        <f t="shared" si="11"/>
        <v>0</v>
      </c>
      <c r="AJ13">
        <f t="shared" si="11"/>
        <v>0</v>
      </c>
      <c r="AK13">
        <f t="shared" si="11"/>
        <v>0</v>
      </c>
      <c r="AL13">
        <f t="shared" si="11"/>
        <v>0</v>
      </c>
      <c r="AM13">
        <f t="shared" si="11"/>
        <v>0</v>
      </c>
      <c r="AN13">
        <f t="shared" si="11"/>
        <v>0</v>
      </c>
      <c r="AO13">
        <f t="shared" si="11"/>
        <v>0</v>
      </c>
      <c r="AP13">
        <f t="shared" si="11"/>
        <v>0</v>
      </c>
      <c r="AQ13">
        <f t="shared" si="11"/>
        <v>0</v>
      </c>
      <c r="AR13">
        <f t="shared" si="11"/>
        <v>0</v>
      </c>
      <c r="AS13">
        <f t="shared" si="11"/>
        <v>0</v>
      </c>
      <c r="AT13">
        <f t="shared" si="11"/>
        <v>0</v>
      </c>
      <c r="AU13">
        <f t="shared" si="11"/>
        <v>0</v>
      </c>
      <c r="AV13">
        <f t="shared" si="11"/>
        <v>0</v>
      </c>
      <c r="AW13">
        <f t="shared" si="11"/>
        <v>0</v>
      </c>
      <c r="AX13">
        <f t="shared" si="11"/>
        <v>0</v>
      </c>
      <c r="AY13">
        <f t="shared" si="11"/>
        <v>0</v>
      </c>
      <c r="AZ13">
        <f t="shared" si="11"/>
        <v>0</v>
      </c>
      <c r="BA13">
        <f t="shared" si="11"/>
        <v>0</v>
      </c>
    </row>
    <row r="14" spans="1:53" x14ac:dyDescent="0.3">
      <c r="A14" s="1" t="s">
        <v>764</v>
      </c>
      <c r="B14">
        <f>'Start Year Data'!B38</f>
        <v>57724906059360</v>
      </c>
      <c r="C14">
        <f>$B14*'Time Series Scaling Factors'!C15</f>
        <v>65418805191861.242</v>
      </c>
      <c r="D14">
        <f>$B14*'Time Series Scaling Factors'!D15</f>
        <v>72473767396188.547</v>
      </c>
      <c r="E14">
        <f>$B14*'Time Series Scaling Factors'!E15</f>
        <v>76792771046504.313</v>
      </c>
      <c r="F14">
        <f>$B14*'Time Series Scaling Factors'!F15</f>
        <v>78770142735636.094</v>
      </c>
      <c r="G14">
        <f>$B14*'Time Series Scaling Factors'!G15</f>
        <v>80662871612131.484</v>
      </c>
      <c r="H14">
        <f>$B14*'Time Series Scaling Factors'!H15</f>
        <v>81732244471075.984</v>
      </c>
      <c r="I14">
        <f>$B14*'Time Series Scaling Factors'!I15</f>
        <v>82919648883165.563</v>
      </c>
      <c r="J14">
        <f>$B14*'Time Series Scaling Factors'!J15</f>
        <v>83508165725169.281</v>
      </c>
      <c r="K14">
        <f>$B14*'Time Series Scaling Factors'!K15</f>
        <v>84064283339732.766</v>
      </c>
      <c r="L14">
        <f>$B14*'Time Series Scaling Factors'!L15</f>
        <v>84476515836469.156</v>
      </c>
      <c r="M14">
        <f>$B14*'Time Series Scaling Factors'!M15</f>
        <v>85039882366814.453</v>
      </c>
      <c r="N14">
        <f>$B14*'Time Series Scaling Factors'!N15</f>
        <v>86017226002358.563</v>
      </c>
      <c r="O14">
        <f>$B14*'Time Series Scaling Factors'!O15</f>
        <v>86633611499438.891</v>
      </c>
      <c r="P14">
        <f>$B14*'Time Series Scaling Factors'!P15</f>
        <v>87475977888788.234</v>
      </c>
      <c r="Q14">
        <f>$B14*'Time Series Scaling Factors'!Q15</f>
        <v>86646499963506.172</v>
      </c>
      <c r="R14">
        <f>$B14*'Time Series Scaling Factors'!R15</f>
        <v>87018946822038.328</v>
      </c>
      <c r="S14">
        <f>$B14*'Time Series Scaling Factors'!S15</f>
        <v>86938543813688.5</v>
      </c>
      <c r="T14">
        <f>$B14*'Time Series Scaling Factors'!T15</f>
        <v>86801880563449.984</v>
      </c>
      <c r="U14">
        <f>$B14*'Time Series Scaling Factors'!U15</f>
        <v>86304250158683.266</v>
      </c>
      <c r="V14">
        <f>$B14*'Time Series Scaling Factors'!V15</f>
        <v>86189031617632.594</v>
      </c>
      <c r="W14">
        <f>$B14*'Time Series Scaling Factors'!W15</f>
        <v>86194973204075.656</v>
      </c>
      <c r="X14">
        <f>$B14*'Time Series Scaling Factors'!X15</f>
        <v>86186374132649.156</v>
      </c>
      <c r="Y14">
        <f>$B14*'Time Series Scaling Factors'!Y15</f>
        <v>86269064967341.828</v>
      </c>
      <c r="Z14">
        <f>$B14*'Time Series Scaling Factors'!Z15</f>
        <v>85652767376889.469</v>
      </c>
      <c r="AA14">
        <f>$B14*'Time Series Scaling Factors'!AA15</f>
        <v>85607718611088.672</v>
      </c>
      <c r="AB14">
        <f>$B14*'Time Series Scaling Factors'!AB15</f>
        <v>85762936921873.172</v>
      </c>
      <c r="AC14">
        <f>$B14*'Time Series Scaling Factors'!AC15</f>
        <v>85933460001985.594</v>
      </c>
      <c r="AD14">
        <f>$B14*'Time Series Scaling Factors'!AD15</f>
        <v>86492940608572.234</v>
      </c>
      <c r="AE14">
        <f>$B14*'Time Series Scaling Factors'!AE15</f>
        <v>87355807274363</v>
      </c>
      <c r="AF14">
        <f>$B14*'Time Series Scaling Factors'!AF15</f>
        <v>88454130716112.719</v>
      </c>
      <c r="AG14">
        <f>$B14*'Time Series Scaling Factors'!AG15</f>
        <v>89174805030168.438</v>
      </c>
      <c r="AH14">
        <f t="shared" ref="AH14:BA14" si="12">AG14</f>
        <v>89174805030168.438</v>
      </c>
      <c r="AI14">
        <f t="shared" si="12"/>
        <v>89174805030168.438</v>
      </c>
      <c r="AJ14">
        <f t="shared" si="12"/>
        <v>89174805030168.438</v>
      </c>
      <c r="AK14">
        <f t="shared" si="12"/>
        <v>89174805030168.438</v>
      </c>
      <c r="AL14">
        <f t="shared" si="12"/>
        <v>89174805030168.438</v>
      </c>
      <c r="AM14">
        <f t="shared" si="12"/>
        <v>89174805030168.438</v>
      </c>
      <c r="AN14">
        <f t="shared" si="12"/>
        <v>89174805030168.438</v>
      </c>
      <c r="AO14">
        <f t="shared" si="12"/>
        <v>89174805030168.438</v>
      </c>
      <c r="AP14">
        <f t="shared" si="12"/>
        <v>89174805030168.438</v>
      </c>
      <c r="AQ14">
        <f t="shared" si="12"/>
        <v>89174805030168.438</v>
      </c>
      <c r="AR14">
        <f t="shared" si="12"/>
        <v>89174805030168.438</v>
      </c>
      <c r="AS14">
        <f t="shared" si="12"/>
        <v>89174805030168.438</v>
      </c>
      <c r="AT14">
        <f t="shared" si="12"/>
        <v>89174805030168.438</v>
      </c>
      <c r="AU14">
        <f t="shared" si="12"/>
        <v>89174805030168.438</v>
      </c>
      <c r="AV14">
        <f t="shared" si="12"/>
        <v>89174805030168.438</v>
      </c>
      <c r="AW14">
        <f t="shared" si="12"/>
        <v>89174805030168.438</v>
      </c>
      <c r="AX14">
        <f t="shared" si="12"/>
        <v>89174805030168.438</v>
      </c>
      <c r="AY14">
        <f t="shared" si="12"/>
        <v>89174805030168.438</v>
      </c>
      <c r="AZ14">
        <f t="shared" si="12"/>
        <v>89174805030168.438</v>
      </c>
      <c r="BA14">
        <f t="shared" si="12"/>
        <v>89174805030168.438</v>
      </c>
    </row>
    <row r="15" spans="1:53" x14ac:dyDescent="0.3">
      <c r="A15" s="1" t="s">
        <v>765</v>
      </c>
      <c r="B15">
        <f>'Start Year Data'!B39</f>
        <v>0</v>
      </c>
      <c r="C15">
        <f>$B15*'Time Series Scaling Factors'!C16</f>
        <v>0</v>
      </c>
      <c r="D15">
        <f>$B15*'Time Series Scaling Factors'!D16</f>
        <v>0</v>
      </c>
      <c r="E15">
        <f>$B15*'Time Series Scaling Factors'!E16</f>
        <v>0</v>
      </c>
      <c r="F15">
        <f>$B15*'Time Series Scaling Factors'!F16</f>
        <v>0</v>
      </c>
      <c r="G15">
        <f>$B15*'Time Series Scaling Factors'!G16</f>
        <v>0</v>
      </c>
      <c r="H15">
        <f>$B15*'Time Series Scaling Factors'!H16</f>
        <v>0</v>
      </c>
      <c r="I15">
        <f>$B15*'Time Series Scaling Factors'!I16</f>
        <v>0</v>
      </c>
      <c r="J15">
        <f>$B15*'Time Series Scaling Factors'!J16</f>
        <v>0</v>
      </c>
      <c r="K15">
        <f>$B15*'Time Series Scaling Factors'!K16</f>
        <v>0</v>
      </c>
      <c r="L15">
        <f>$B15*'Time Series Scaling Factors'!L16</f>
        <v>0</v>
      </c>
      <c r="M15">
        <f>$B15*'Time Series Scaling Factors'!M16</f>
        <v>0</v>
      </c>
      <c r="N15">
        <f>$B15*'Time Series Scaling Factors'!N16</f>
        <v>0</v>
      </c>
      <c r="O15">
        <f>$B15*'Time Series Scaling Factors'!O16</f>
        <v>0</v>
      </c>
      <c r="P15">
        <f>$B15*'Time Series Scaling Factors'!P16</f>
        <v>0</v>
      </c>
      <c r="Q15">
        <f>$B15*'Time Series Scaling Factors'!Q16</f>
        <v>0</v>
      </c>
      <c r="R15">
        <f>$B15*'Time Series Scaling Factors'!R16</f>
        <v>0</v>
      </c>
      <c r="S15">
        <f>$B15*'Time Series Scaling Factors'!S16</f>
        <v>0</v>
      </c>
      <c r="T15">
        <f>$B15*'Time Series Scaling Factors'!T16</f>
        <v>0</v>
      </c>
      <c r="U15">
        <f>$B15*'Time Series Scaling Factors'!U16</f>
        <v>0</v>
      </c>
      <c r="V15">
        <f>$B15*'Time Series Scaling Factors'!V16</f>
        <v>0</v>
      </c>
      <c r="W15">
        <f>$B15*'Time Series Scaling Factors'!W16</f>
        <v>0</v>
      </c>
      <c r="X15">
        <f>$B15*'Time Series Scaling Factors'!X16</f>
        <v>0</v>
      </c>
      <c r="Y15">
        <f>$B15*'Time Series Scaling Factors'!Y16</f>
        <v>0</v>
      </c>
      <c r="Z15">
        <f>$B15*'Time Series Scaling Factors'!Z16</f>
        <v>0</v>
      </c>
      <c r="AA15">
        <f>$B15*'Time Series Scaling Factors'!AA16</f>
        <v>0</v>
      </c>
      <c r="AB15">
        <f>$B15*'Time Series Scaling Factors'!AB16</f>
        <v>0</v>
      </c>
      <c r="AC15">
        <f>$B15*'Time Series Scaling Factors'!AC16</f>
        <v>0</v>
      </c>
      <c r="AD15">
        <f>$B15*'Time Series Scaling Factors'!AD16</f>
        <v>0</v>
      </c>
      <c r="AE15">
        <f>$B15*'Time Series Scaling Factors'!AE16</f>
        <v>0</v>
      </c>
      <c r="AF15">
        <f>$B15*'Time Series Scaling Factors'!AF16</f>
        <v>0</v>
      </c>
      <c r="AG15">
        <f>$B15*'Time Series Scaling Factors'!AG16</f>
        <v>0</v>
      </c>
      <c r="AH15">
        <f t="shared" ref="AH15:BA15" si="13">AG15</f>
        <v>0</v>
      </c>
      <c r="AI15">
        <f t="shared" si="13"/>
        <v>0</v>
      </c>
      <c r="AJ15">
        <f t="shared" si="13"/>
        <v>0</v>
      </c>
      <c r="AK15">
        <f t="shared" si="13"/>
        <v>0</v>
      </c>
      <c r="AL15">
        <f t="shared" si="13"/>
        <v>0</v>
      </c>
      <c r="AM15">
        <f t="shared" si="13"/>
        <v>0</v>
      </c>
      <c r="AN15">
        <f t="shared" si="13"/>
        <v>0</v>
      </c>
      <c r="AO15">
        <f t="shared" si="13"/>
        <v>0</v>
      </c>
      <c r="AP15">
        <f t="shared" si="13"/>
        <v>0</v>
      </c>
      <c r="AQ15">
        <f t="shared" si="13"/>
        <v>0</v>
      </c>
      <c r="AR15">
        <f t="shared" si="13"/>
        <v>0</v>
      </c>
      <c r="AS15">
        <f t="shared" si="13"/>
        <v>0</v>
      </c>
      <c r="AT15">
        <f t="shared" si="13"/>
        <v>0</v>
      </c>
      <c r="AU15">
        <f t="shared" si="13"/>
        <v>0</v>
      </c>
      <c r="AV15">
        <f t="shared" si="13"/>
        <v>0</v>
      </c>
      <c r="AW15">
        <f t="shared" si="13"/>
        <v>0</v>
      </c>
      <c r="AX15">
        <f t="shared" si="13"/>
        <v>0</v>
      </c>
      <c r="AY15">
        <f t="shared" si="13"/>
        <v>0</v>
      </c>
      <c r="AZ15">
        <f t="shared" si="13"/>
        <v>0</v>
      </c>
      <c r="BA15">
        <f t="shared" si="13"/>
        <v>0</v>
      </c>
    </row>
    <row r="16" spans="1:53" x14ac:dyDescent="0.3">
      <c r="A16" s="1" t="s">
        <v>766</v>
      </c>
      <c r="B16">
        <f>'Start Year Data'!B40</f>
        <v>0</v>
      </c>
      <c r="C16">
        <f>$B16*'Time Series Scaling Factors'!C17</f>
        <v>0</v>
      </c>
      <c r="D16">
        <f>$B16*'Time Series Scaling Factors'!D17</f>
        <v>0</v>
      </c>
      <c r="E16">
        <f>$B16*'Time Series Scaling Factors'!E17</f>
        <v>0</v>
      </c>
      <c r="F16">
        <f>$B16*'Time Series Scaling Factors'!F17</f>
        <v>0</v>
      </c>
      <c r="G16">
        <f>$B16*'Time Series Scaling Factors'!G17</f>
        <v>0</v>
      </c>
      <c r="H16">
        <f>$B16*'Time Series Scaling Factors'!H17</f>
        <v>0</v>
      </c>
      <c r="I16">
        <f>$B16*'Time Series Scaling Factors'!I17</f>
        <v>0</v>
      </c>
      <c r="J16">
        <f>$B16*'Time Series Scaling Factors'!J17</f>
        <v>0</v>
      </c>
      <c r="K16">
        <f>$B16*'Time Series Scaling Factors'!K17</f>
        <v>0</v>
      </c>
      <c r="L16">
        <f>$B16*'Time Series Scaling Factors'!L17</f>
        <v>0</v>
      </c>
      <c r="M16">
        <f>$B16*'Time Series Scaling Factors'!M17</f>
        <v>0</v>
      </c>
      <c r="N16">
        <f>$B16*'Time Series Scaling Factors'!N17</f>
        <v>0</v>
      </c>
      <c r="O16">
        <f>$B16*'Time Series Scaling Factors'!O17</f>
        <v>0</v>
      </c>
      <c r="P16">
        <f>$B16*'Time Series Scaling Factors'!P17</f>
        <v>0</v>
      </c>
      <c r="Q16">
        <f>$B16*'Time Series Scaling Factors'!Q17</f>
        <v>0</v>
      </c>
      <c r="R16">
        <f>$B16*'Time Series Scaling Factors'!R17</f>
        <v>0</v>
      </c>
      <c r="S16">
        <f>$B16*'Time Series Scaling Factors'!S17</f>
        <v>0</v>
      </c>
      <c r="T16">
        <f>$B16*'Time Series Scaling Factors'!T17</f>
        <v>0</v>
      </c>
      <c r="U16">
        <f>$B16*'Time Series Scaling Factors'!U17</f>
        <v>0</v>
      </c>
      <c r="V16">
        <f>$B16*'Time Series Scaling Factors'!V17</f>
        <v>0</v>
      </c>
      <c r="W16">
        <f>$B16*'Time Series Scaling Factors'!W17</f>
        <v>0</v>
      </c>
      <c r="X16">
        <f>$B16*'Time Series Scaling Factors'!X17</f>
        <v>0</v>
      </c>
      <c r="Y16">
        <f>$B16*'Time Series Scaling Factors'!Y17</f>
        <v>0</v>
      </c>
      <c r="Z16">
        <f>$B16*'Time Series Scaling Factors'!Z17</f>
        <v>0</v>
      </c>
      <c r="AA16">
        <f>$B16*'Time Series Scaling Factors'!AA17</f>
        <v>0</v>
      </c>
      <c r="AB16">
        <f>$B16*'Time Series Scaling Factors'!AB17</f>
        <v>0</v>
      </c>
      <c r="AC16">
        <f>$B16*'Time Series Scaling Factors'!AC17</f>
        <v>0</v>
      </c>
      <c r="AD16">
        <f>$B16*'Time Series Scaling Factors'!AD17</f>
        <v>0</v>
      </c>
      <c r="AE16">
        <f>$B16*'Time Series Scaling Factors'!AE17</f>
        <v>0</v>
      </c>
      <c r="AF16">
        <f>$B16*'Time Series Scaling Factors'!AF17</f>
        <v>0</v>
      </c>
      <c r="AG16">
        <f>$B16*'Time Series Scaling Factors'!AG17</f>
        <v>0</v>
      </c>
      <c r="AH16">
        <f t="shared" ref="AH16:BA16" si="14">AG16</f>
        <v>0</v>
      </c>
      <c r="AI16">
        <f t="shared" si="14"/>
        <v>0</v>
      </c>
      <c r="AJ16">
        <f t="shared" si="14"/>
        <v>0</v>
      </c>
      <c r="AK16">
        <f t="shared" si="14"/>
        <v>0</v>
      </c>
      <c r="AL16">
        <f t="shared" si="14"/>
        <v>0</v>
      </c>
      <c r="AM16">
        <f t="shared" si="14"/>
        <v>0</v>
      </c>
      <c r="AN16">
        <f t="shared" si="14"/>
        <v>0</v>
      </c>
      <c r="AO16">
        <f t="shared" si="14"/>
        <v>0</v>
      </c>
      <c r="AP16">
        <f t="shared" si="14"/>
        <v>0</v>
      </c>
      <c r="AQ16">
        <f t="shared" si="14"/>
        <v>0</v>
      </c>
      <c r="AR16">
        <f t="shared" si="14"/>
        <v>0</v>
      </c>
      <c r="AS16">
        <f t="shared" si="14"/>
        <v>0</v>
      </c>
      <c r="AT16">
        <f t="shared" si="14"/>
        <v>0</v>
      </c>
      <c r="AU16">
        <f t="shared" si="14"/>
        <v>0</v>
      </c>
      <c r="AV16">
        <f t="shared" si="14"/>
        <v>0</v>
      </c>
      <c r="AW16">
        <f t="shared" si="14"/>
        <v>0</v>
      </c>
      <c r="AX16">
        <f t="shared" si="14"/>
        <v>0</v>
      </c>
      <c r="AY16">
        <f t="shared" si="14"/>
        <v>0</v>
      </c>
      <c r="AZ16">
        <f t="shared" si="14"/>
        <v>0</v>
      </c>
      <c r="BA16">
        <f t="shared" si="14"/>
        <v>0</v>
      </c>
    </row>
    <row r="17" spans="1:53" x14ac:dyDescent="0.3">
      <c r="A17" s="1" t="s">
        <v>767</v>
      </c>
      <c r="B17">
        <f>'Start Year Data'!B41</f>
        <v>0</v>
      </c>
      <c r="C17">
        <f>$B17*'Time Series Scaling Factors'!C18</f>
        <v>0</v>
      </c>
      <c r="D17">
        <f>$B17*'Time Series Scaling Factors'!D18</f>
        <v>0</v>
      </c>
      <c r="E17">
        <f>$B17*'Time Series Scaling Factors'!E18</f>
        <v>0</v>
      </c>
      <c r="F17">
        <f>$B17*'Time Series Scaling Factors'!F18</f>
        <v>0</v>
      </c>
      <c r="G17">
        <f>$B17*'Time Series Scaling Factors'!G18</f>
        <v>0</v>
      </c>
      <c r="H17">
        <f>$B17*'Time Series Scaling Factors'!H18</f>
        <v>0</v>
      </c>
      <c r="I17">
        <f>$B17*'Time Series Scaling Factors'!I18</f>
        <v>0</v>
      </c>
      <c r="J17">
        <f>$B17*'Time Series Scaling Factors'!J18</f>
        <v>0</v>
      </c>
      <c r="K17">
        <f>$B17*'Time Series Scaling Factors'!K18</f>
        <v>0</v>
      </c>
      <c r="L17">
        <f>$B17*'Time Series Scaling Factors'!L18</f>
        <v>0</v>
      </c>
      <c r="M17">
        <f>$B17*'Time Series Scaling Factors'!M18</f>
        <v>0</v>
      </c>
      <c r="N17">
        <f>$B17*'Time Series Scaling Factors'!N18</f>
        <v>0</v>
      </c>
      <c r="O17">
        <f>$B17*'Time Series Scaling Factors'!O18</f>
        <v>0</v>
      </c>
      <c r="P17">
        <f>$B17*'Time Series Scaling Factors'!P18</f>
        <v>0</v>
      </c>
      <c r="Q17">
        <f>$B17*'Time Series Scaling Factors'!Q18</f>
        <v>0</v>
      </c>
      <c r="R17">
        <f>$B17*'Time Series Scaling Factors'!R18</f>
        <v>0</v>
      </c>
      <c r="S17">
        <f>$B17*'Time Series Scaling Factors'!S18</f>
        <v>0</v>
      </c>
      <c r="T17">
        <f>$B17*'Time Series Scaling Factors'!T18</f>
        <v>0</v>
      </c>
      <c r="U17">
        <f>$B17*'Time Series Scaling Factors'!U18</f>
        <v>0</v>
      </c>
      <c r="V17">
        <f>$B17*'Time Series Scaling Factors'!V18</f>
        <v>0</v>
      </c>
      <c r="W17">
        <f>$B17*'Time Series Scaling Factors'!W18</f>
        <v>0</v>
      </c>
      <c r="X17">
        <f>$B17*'Time Series Scaling Factors'!X18</f>
        <v>0</v>
      </c>
      <c r="Y17">
        <f>$B17*'Time Series Scaling Factors'!Y18</f>
        <v>0</v>
      </c>
      <c r="Z17">
        <f>$B17*'Time Series Scaling Factors'!Z18</f>
        <v>0</v>
      </c>
      <c r="AA17">
        <f>$B17*'Time Series Scaling Factors'!AA18</f>
        <v>0</v>
      </c>
      <c r="AB17">
        <f>$B17*'Time Series Scaling Factors'!AB18</f>
        <v>0</v>
      </c>
      <c r="AC17">
        <f>$B17*'Time Series Scaling Factors'!AC18</f>
        <v>0</v>
      </c>
      <c r="AD17">
        <f>$B17*'Time Series Scaling Factors'!AD18</f>
        <v>0</v>
      </c>
      <c r="AE17">
        <f>$B17*'Time Series Scaling Factors'!AE18</f>
        <v>0</v>
      </c>
      <c r="AF17">
        <f>$B17*'Time Series Scaling Factors'!AF18</f>
        <v>0</v>
      </c>
      <c r="AG17">
        <f>$B17*'Time Series Scaling Factors'!AG18</f>
        <v>0</v>
      </c>
      <c r="AH17">
        <f t="shared" ref="AH17:BA17" si="15">AG17</f>
        <v>0</v>
      </c>
      <c r="AI17">
        <f t="shared" si="15"/>
        <v>0</v>
      </c>
      <c r="AJ17">
        <f t="shared" si="15"/>
        <v>0</v>
      </c>
      <c r="AK17">
        <f t="shared" si="15"/>
        <v>0</v>
      </c>
      <c r="AL17">
        <f t="shared" si="15"/>
        <v>0</v>
      </c>
      <c r="AM17">
        <f t="shared" si="15"/>
        <v>0</v>
      </c>
      <c r="AN17">
        <f t="shared" si="15"/>
        <v>0</v>
      </c>
      <c r="AO17">
        <f t="shared" si="15"/>
        <v>0</v>
      </c>
      <c r="AP17">
        <f t="shared" si="15"/>
        <v>0</v>
      </c>
      <c r="AQ17">
        <f t="shared" si="15"/>
        <v>0</v>
      </c>
      <c r="AR17">
        <f t="shared" si="15"/>
        <v>0</v>
      </c>
      <c r="AS17">
        <f t="shared" si="15"/>
        <v>0</v>
      </c>
      <c r="AT17">
        <f t="shared" si="15"/>
        <v>0</v>
      </c>
      <c r="AU17">
        <f t="shared" si="15"/>
        <v>0</v>
      </c>
      <c r="AV17">
        <f t="shared" si="15"/>
        <v>0</v>
      </c>
      <c r="AW17">
        <f t="shared" si="15"/>
        <v>0</v>
      </c>
      <c r="AX17">
        <f t="shared" si="15"/>
        <v>0</v>
      </c>
      <c r="AY17">
        <f t="shared" si="15"/>
        <v>0</v>
      </c>
      <c r="AZ17">
        <f t="shared" si="15"/>
        <v>0</v>
      </c>
      <c r="BA17">
        <f t="shared" si="15"/>
        <v>0</v>
      </c>
    </row>
    <row r="18" spans="1:53" x14ac:dyDescent="0.3">
      <c r="A18" s="1" t="s">
        <v>768</v>
      </c>
      <c r="B18">
        <f>'Start Year Data'!B42</f>
        <v>3590938801333920</v>
      </c>
      <c r="C18">
        <f>$B18*'Time Series Scaling Factors'!C19</f>
        <v>4069559258507764.5</v>
      </c>
      <c r="D18">
        <f>$B18*'Time Series Scaling Factors'!D19</f>
        <v>4508432861791097</v>
      </c>
      <c r="E18">
        <f>$B18*'Time Series Scaling Factors'!E19</f>
        <v>4777108531441787</v>
      </c>
      <c r="F18">
        <f>$B18*'Time Series Scaling Factors'!F19</f>
        <v>4900116453115332</v>
      </c>
      <c r="G18">
        <f>$B18*'Time Series Scaling Factors'!G19</f>
        <v>5017858932523150</v>
      </c>
      <c r="H18">
        <f>$B18*'Time Series Scaling Factors'!H19</f>
        <v>5084382254160580</v>
      </c>
      <c r="I18">
        <f>$B18*'Time Series Scaling Factors'!I19</f>
        <v>5158248057802821</v>
      </c>
      <c r="J18">
        <f>$B18*'Time Series Scaling Factors'!J19</f>
        <v>5194858389589529</v>
      </c>
      <c r="K18">
        <f>$B18*'Time Series Scaling Factors'!K19</f>
        <v>5229453237057756</v>
      </c>
      <c r="L18">
        <f>$B18*'Time Series Scaling Factors'!L19</f>
        <v>5255097309413270</v>
      </c>
      <c r="M18">
        <f>$B18*'Time Series Scaling Factors'!M19</f>
        <v>5290143095908088</v>
      </c>
      <c r="N18">
        <f>$B18*'Time Series Scaling Factors'!N19</f>
        <v>5350941482994299</v>
      </c>
      <c r="O18">
        <f>$B18*'Time Series Scaling Factors'!O19</f>
        <v>5389285462207866</v>
      </c>
      <c r="P18">
        <f>$B18*'Time Series Scaling Factors'!P19</f>
        <v>5441687213184187</v>
      </c>
      <c r="Q18">
        <f>$B18*'Time Series Scaling Factors'!Q19</f>
        <v>5390087225066713</v>
      </c>
      <c r="R18">
        <f>$B18*'Time Series Scaling Factors'!R19</f>
        <v>5413256320818254</v>
      </c>
      <c r="S18">
        <f>$B18*'Time Series Scaling Factors'!S19</f>
        <v>5408254627404834</v>
      </c>
      <c r="T18">
        <f>$B18*'Time Series Scaling Factors'!T19</f>
        <v>5399753108710403</v>
      </c>
      <c r="U18">
        <f>$B18*'Time Series Scaling Factors'!U19</f>
        <v>5368796621273894</v>
      </c>
      <c r="V18">
        <f>$B18*'Time Series Scaling Factors'!V19</f>
        <v>5361629130533130</v>
      </c>
      <c r="W18">
        <f>$B18*'Time Series Scaling Factors'!W19</f>
        <v>5361998743491493</v>
      </c>
      <c r="X18">
        <f>$B18*'Time Series Scaling Factors'!X19</f>
        <v>5361463814266851</v>
      </c>
      <c r="Y18">
        <f>$B18*'Time Series Scaling Factors'!Y19</f>
        <v>5366607828299672</v>
      </c>
      <c r="Z18">
        <f>$B18*'Time Series Scaling Factors'!Z19</f>
        <v>5328269317563106</v>
      </c>
      <c r="AA18">
        <f>$B18*'Time Series Scaling Factors'!AA19</f>
        <v>5325466933425835</v>
      </c>
      <c r="AB18">
        <f>$B18*'Time Series Scaling Factors'!AB19</f>
        <v>5335122721419676</v>
      </c>
      <c r="AC18">
        <f>$B18*'Time Series Scaling Factors'!AC19</f>
        <v>5345730585281229</v>
      </c>
      <c r="AD18">
        <f>$B18*'Time Series Scaling Factors'!AD19</f>
        <v>5380534637049106</v>
      </c>
      <c r="AE18">
        <f>$B18*'Time Series Scaling Factors'!AE19</f>
        <v>5434211664905668</v>
      </c>
      <c r="AF18">
        <f>$B18*'Time Series Scaling Factors'!AF19</f>
        <v>5502535938302284</v>
      </c>
      <c r="AG18">
        <f>$B18*'Time Series Scaling Factors'!AG19</f>
        <v>5547367494282751</v>
      </c>
      <c r="AH18">
        <f t="shared" ref="AH18:BA18" si="16">AG18</f>
        <v>5547367494282751</v>
      </c>
      <c r="AI18">
        <f t="shared" si="16"/>
        <v>5547367494282751</v>
      </c>
      <c r="AJ18">
        <f t="shared" si="16"/>
        <v>5547367494282751</v>
      </c>
      <c r="AK18">
        <f t="shared" si="16"/>
        <v>5547367494282751</v>
      </c>
      <c r="AL18">
        <f t="shared" si="16"/>
        <v>5547367494282751</v>
      </c>
      <c r="AM18">
        <f t="shared" si="16"/>
        <v>5547367494282751</v>
      </c>
      <c r="AN18">
        <f t="shared" si="16"/>
        <v>5547367494282751</v>
      </c>
      <c r="AO18">
        <f t="shared" si="16"/>
        <v>5547367494282751</v>
      </c>
      <c r="AP18">
        <f t="shared" si="16"/>
        <v>5547367494282751</v>
      </c>
      <c r="AQ18">
        <f t="shared" si="16"/>
        <v>5547367494282751</v>
      </c>
      <c r="AR18">
        <f t="shared" si="16"/>
        <v>5547367494282751</v>
      </c>
      <c r="AS18">
        <f t="shared" si="16"/>
        <v>5547367494282751</v>
      </c>
      <c r="AT18">
        <f t="shared" si="16"/>
        <v>5547367494282751</v>
      </c>
      <c r="AU18">
        <f t="shared" si="16"/>
        <v>5547367494282751</v>
      </c>
      <c r="AV18">
        <f t="shared" si="16"/>
        <v>5547367494282751</v>
      </c>
      <c r="AW18">
        <f t="shared" si="16"/>
        <v>5547367494282751</v>
      </c>
      <c r="AX18">
        <f t="shared" si="16"/>
        <v>5547367494282751</v>
      </c>
      <c r="AY18">
        <f t="shared" si="16"/>
        <v>5547367494282751</v>
      </c>
      <c r="AZ18">
        <f t="shared" si="16"/>
        <v>5547367494282751</v>
      </c>
      <c r="BA18">
        <f t="shared" si="16"/>
        <v>5547367494282751</v>
      </c>
    </row>
    <row r="19" spans="1:53" x14ac:dyDescent="0.3">
      <c r="A19" s="1" t="s">
        <v>769</v>
      </c>
      <c r="B19">
        <f>'Start Year Data'!B43</f>
        <v>335695024110240</v>
      </c>
      <c r="C19">
        <f>$B19*'Time Series Scaling Factors'!C20</f>
        <v>380438339103785.38</v>
      </c>
      <c r="D19">
        <f>$B19*'Time Series Scaling Factors'!D20</f>
        <v>421465962515473.31</v>
      </c>
      <c r="E19">
        <f>$B19*'Time Series Scaling Factors'!E20</f>
        <v>446582816461221.19</v>
      </c>
      <c r="F19">
        <f>$B19*'Time Series Scaling Factors'!F20</f>
        <v>458082078775748.13</v>
      </c>
      <c r="G19">
        <f>$B19*'Time Series Scaling Factors'!G20</f>
        <v>469089106923630.88</v>
      </c>
      <c r="H19">
        <f>$B19*'Time Series Scaling Factors'!H20</f>
        <v>475307967588333.56</v>
      </c>
      <c r="I19">
        <f>$B19*'Time Series Scaling Factors'!I20</f>
        <v>482213232229823.25</v>
      </c>
      <c r="J19">
        <f>$B19*'Time Series Scaling Factors'!J20</f>
        <v>485635709440311.31</v>
      </c>
      <c r="K19">
        <f>$B19*'Time Series Scaling Factors'!K20</f>
        <v>488869771282474.31</v>
      </c>
      <c r="L19">
        <f>$B19*'Time Series Scaling Factors'!L20</f>
        <v>491267079608773.63</v>
      </c>
      <c r="M19">
        <f>$B19*'Time Series Scaling Factors'!M20</f>
        <v>494543296997376.88</v>
      </c>
      <c r="N19">
        <f>$B19*'Time Series Scaling Factors'!N20</f>
        <v>500226968356851.88</v>
      </c>
      <c r="O19">
        <f>$B19*'Time Series Scaling Factors'!O20</f>
        <v>503811513719139.75</v>
      </c>
      <c r="P19">
        <f>$B19*'Time Series Scaling Factors'!P20</f>
        <v>508710234647182.44</v>
      </c>
      <c r="Q19">
        <f>$B19*'Time Series Scaling Factors'!Q20</f>
        <v>503886465651523.38</v>
      </c>
      <c r="R19">
        <f>$B19*'Time Series Scaling Factors'!R20</f>
        <v>506052403470913.94</v>
      </c>
      <c r="S19">
        <f>$B19*'Time Series Scaling Factors'!S20</f>
        <v>505584825580033</v>
      </c>
      <c r="T19">
        <f>$B19*'Time Series Scaling Factors'!T20</f>
        <v>504790070313794.44</v>
      </c>
      <c r="U19">
        <f>$B19*'Time Series Scaling Factors'!U20</f>
        <v>501896136618097.06</v>
      </c>
      <c r="V19">
        <f>$B19*'Time Series Scaling Factors'!V20</f>
        <v>501226091510077.69</v>
      </c>
      <c r="W19">
        <f>$B19*'Time Series Scaling Factors'!W20</f>
        <v>501260644377122.75</v>
      </c>
      <c r="X19">
        <f>$B19*'Time Series Scaling Factors'!X20</f>
        <v>501210637097996.5</v>
      </c>
      <c r="Y19">
        <f>$B19*'Time Series Scaling Factors'!Y20</f>
        <v>501691519677819.25</v>
      </c>
      <c r="Z19">
        <f>$B19*'Time Series Scaling Factors'!Z20</f>
        <v>498107485530180.44</v>
      </c>
      <c r="AA19">
        <f>$B19*'Time Series Scaling Factors'!AA20</f>
        <v>497845507684671.63</v>
      </c>
      <c r="AB19">
        <f>$B19*'Time Series Scaling Factors'!AB20</f>
        <v>498748168566052.19</v>
      </c>
      <c r="AC19">
        <f>$B19*'Time Series Scaling Factors'!AC20</f>
        <v>499739833228630</v>
      </c>
      <c r="AD19">
        <f>$B19*'Time Series Scaling Factors'!AD20</f>
        <v>502993452308134</v>
      </c>
      <c r="AE19">
        <f>$B19*'Time Series Scaling Factors'!AE20</f>
        <v>508011391113936.31</v>
      </c>
      <c r="AF19">
        <f>$B19*'Time Series Scaling Factors'!AF20</f>
        <v>514398611803041.81</v>
      </c>
      <c r="AG19">
        <f>$B19*'Time Series Scaling Factors'!AG20</f>
        <v>518589641251990.31</v>
      </c>
      <c r="AH19">
        <f t="shared" ref="AH19:BA19" si="17">AG19</f>
        <v>518589641251990.31</v>
      </c>
      <c r="AI19">
        <f t="shared" si="17"/>
        <v>518589641251990.31</v>
      </c>
      <c r="AJ19">
        <f t="shared" si="17"/>
        <v>518589641251990.31</v>
      </c>
      <c r="AK19">
        <f t="shared" si="17"/>
        <v>518589641251990.31</v>
      </c>
      <c r="AL19">
        <f t="shared" si="17"/>
        <v>518589641251990.31</v>
      </c>
      <c r="AM19">
        <f t="shared" si="17"/>
        <v>518589641251990.31</v>
      </c>
      <c r="AN19">
        <f t="shared" si="17"/>
        <v>518589641251990.31</v>
      </c>
      <c r="AO19">
        <f t="shared" si="17"/>
        <v>518589641251990.31</v>
      </c>
      <c r="AP19">
        <f t="shared" si="17"/>
        <v>518589641251990.31</v>
      </c>
      <c r="AQ19">
        <f t="shared" si="17"/>
        <v>518589641251990.31</v>
      </c>
      <c r="AR19">
        <f t="shared" si="17"/>
        <v>518589641251990.31</v>
      </c>
      <c r="AS19">
        <f t="shared" si="17"/>
        <v>518589641251990.31</v>
      </c>
      <c r="AT19">
        <f t="shared" si="17"/>
        <v>518589641251990.31</v>
      </c>
      <c r="AU19">
        <f t="shared" si="17"/>
        <v>518589641251990.31</v>
      </c>
      <c r="AV19">
        <f t="shared" si="17"/>
        <v>518589641251990.31</v>
      </c>
      <c r="AW19">
        <f t="shared" si="17"/>
        <v>518589641251990.31</v>
      </c>
      <c r="AX19">
        <f t="shared" si="17"/>
        <v>518589641251990.31</v>
      </c>
      <c r="AY19">
        <f t="shared" si="17"/>
        <v>518589641251990.31</v>
      </c>
      <c r="AZ19">
        <f t="shared" si="17"/>
        <v>518589641251990.31</v>
      </c>
      <c r="BA19">
        <f t="shared" si="17"/>
        <v>518589641251990.31</v>
      </c>
    </row>
    <row r="20" spans="1:53" x14ac:dyDescent="0.3">
      <c r="A20" s="1" t="s">
        <v>770</v>
      </c>
      <c r="B20">
        <f>'Start Year Data'!B44</f>
        <v>154093263918240</v>
      </c>
      <c r="C20">
        <f>$B20*'Time Series Scaling Factors'!C21</f>
        <v>179425293481259.97</v>
      </c>
      <c r="D20">
        <f>$B20*'Time Series Scaling Factors'!D21</f>
        <v>192999776461514.19</v>
      </c>
      <c r="E20">
        <f>$B20*'Time Series Scaling Factors'!E21</f>
        <v>212065424769982.75</v>
      </c>
      <c r="F20">
        <f>$B20*'Time Series Scaling Factors'!F21</f>
        <v>213661137654093.13</v>
      </c>
      <c r="G20">
        <f>$B20*'Time Series Scaling Factors'!G21</f>
        <v>216613274177837.25</v>
      </c>
      <c r="H20">
        <f>$B20*'Time Series Scaling Factors'!H21</f>
        <v>219006096600391.53</v>
      </c>
      <c r="I20">
        <f>$B20*'Time Series Scaling Factors'!I21</f>
        <v>224840184049153.41</v>
      </c>
      <c r="J20">
        <f>$B20*'Time Series Scaling Factors'!J21</f>
        <v>230809647777467.09</v>
      </c>
      <c r="K20">
        <f>$B20*'Time Series Scaling Factors'!K21</f>
        <v>233836521343818.91</v>
      </c>
      <c r="L20">
        <f>$B20*'Time Series Scaling Factors'!L21</f>
        <v>235946640749488.47</v>
      </c>
      <c r="M20">
        <f>$B20*'Time Series Scaling Factors'!M21</f>
        <v>235048162386545.66</v>
      </c>
      <c r="N20">
        <f>$B20*'Time Series Scaling Factors'!N21</f>
        <v>235486968258196.41</v>
      </c>
      <c r="O20">
        <f>$B20*'Time Series Scaling Factors'!O21</f>
        <v>236318902177518.09</v>
      </c>
      <c r="P20">
        <f>$B20*'Time Series Scaling Factors'!P21</f>
        <v>237596550826895.34</v>
      </c>
      <c r="Q20">
        <f>$B20*'Time Series Scaling Factors'!Q21</f>
        <v>237309903225313.25</v>
      </c>
      <c r="R20">
        <f>$B20*'Time Series Scaling Factors'!R21</f>
        <v>238099543727643.94</v>
      </c>
      <c r="S20">
        <f>$B20*'Time Series Scaling Factors'!S21</f>
        <v>238214030046816.59</v>
      </c>
      <c r="T20">
        <f>$B20*'Time Series Scaling Factors'!T21</f>
        <v>237544851092549.22</v>
      </c>
      <c r="U20">
        <f>$B20*'Time Series Scaling Factors'!U21</f>
        <v>238788679012776.31</v>
      </c>
      <c r="V20">
        <f>$B20*'Time Series Scaling Factors'!V21</f>
        <v>238774207755306.97</v>
      </c>
      <c r="W20">
        <f>$B20*'Time Series Scaling Factors'!W21</f>
        <v>238637057579678.25</v>
      </c>
      <c r="X20">
        <f>$B20*'Time Series Scaling Factors'!X21</f>
        <v>237669840743756.16</v>
      </c>
      <c r="Y20">
        <f>$B20*'Time Series Scaling Factors'!Y21</f>
        <v>238202383018627.59</v>
      </c>
      <c r="Z20">
        <f>$B20*'Time Series Scaling Factors'!Z21</f>
        <v>238116325718160.78</v>
      </c>
      <c r="AA20">
        <f>$B20*'Time Series Scaling Factors'!AA21</f>
        <v>237283014695305.69</v>
      </c>
      <c r="AB20">
        <f>$B20*'Time Series Scaling Factors'!AB21</f>
        <v>237966501521877.47</v>
      </c>
      <c r="AC20">
        <f>$B20*'Time Series Scaling Factors'!AC21</f>
        <v>238847871123973.47</v>
      </c>
      <c r="AD20">
        <f>$B20*'Time Series Scaling Factors'!AD21</f>
        <v>240147880200214.53</v>
      </c>
      <c r="AE20">
        <f>$B20*'Time Series Scaling Factors'!AE21</f>
        <v>242042424551066.72</v>
      </c>
      <c r="AF20">
        <f>$B20*'Time Series Scaling Factors'!AF21</f>
        <v>244501721395028.53</v>
      </c>
      <c r="AG20">
        <f>$B20*'Time Series Scaling Factors'!AG21</f>
        <v>246328694309794.06</v>
      </c>
      <c r="AH20">
        <f t="shared" ref="AH20:BA20" si="18">AG20</f>
        <v>246328694309794.06</v>
      </c>
      <c r="AI20">
        <f t="shared" si="18"/>
        <v>246328694309794.06</v>
      </c>
      <c r="AJ20">
        <f t="shared" si="18"/>
        <v>246328694309794.06</v>
      </c>
      <c r="AK20">
        <f t="shared" si="18"/>
        <v>246328694309794.06</v>
      </c>
      <c r="AL20">
        <f t="shared" si="18"/>
        <v>246328694309794.06</v>
      </c>
      <c r="AM20">
        <f t="shared" si="18"/>
        <v>246328694309794.06</v>
      </c>
      <c r="AN20">
        <f t="shared" si="18"/>
        <v>246328694309794.06</v>
      </c>
      <c r="AO20">
        <f t="shared" si="18"/>
        <v>246328694309794.06</v>
      </c>
      <c r="AP20">
        <f t="shared" si="18"/>
        <v>246328694309794.06</v>
      </c>
      <c r="AQ20">
        <f t="shared" si="18"/>
        <v>246328694309794.06</v>
      </c>
      <c r="AR20">
        <f t="shared" si="18"/>
        <v>246328694309794.06</v>
      </c>
      <c r="AS20">
        <f t="shared" si="18"/>
        <v>246328694309794.06</v>
      </c>
      <c r="AT20">
        <f t="shared" si="18"/>
        <v>246328694309794.06</v>
      </c>
      <c r="AU20">
        <f t="shared" si="18"/>
        <v>246328694309794.06</v>
      </c>
      <c r="AV20">
        <f t="shared" si="18"/>
        <v>246328694309794.06</v>
      </c>
      <c r="AW20">
        <f t="shared" si="18"/>
        <v>246328694309794.06</v>
      </c>
      <c r="AX20">
        <f t="shared" si="18"/>
        <v>246328694309794.06</v>
      </c>
      <c r="AY20">
        <f t="shared" si="18"/>
        <v>246328694309794.06</v>
      </c>
      <c r="AZ20">
        <f t="shared" si="18"/>
        <v>246328694309794.06</v>
      </c>
      <c r="BA20">
        <f t="shared" si="18"/>
        <v>246328694309794.06</v>
      </c>
    </row>
    <row r="21" spans="1:53" x14ac:dyDescent="0.3">
      <c r="A21" s="1" t="s">
        <v>771</v>
      </c>
      <c r="B21">
        <f>'Start Year Data'!B45</f>
        <v>0</v>
      </c>
      <c r="C21">
        <f>$B21*'Time Series Scaling Factors'!C22</f>
        <v>0</v>
      </c>
      <c r="D21">
        <f>$B21*'Time Series Scaling Factors'!D22</f>
        <v>0</v>
      </c>
      <c r="E21">
        <f>$B21*'Time Series Scaling Factors'!E22</f>
        <v>0</v>
      </c>
      <c r="F21">
        <f>$B21*'Time Series Scaling Factors'!F22</f>
        <v>0</v>
      </c>
      <c r="G21">
        <f>$B21*'Time Series Scaling Factors'!G22</f>
        <v>0</v>
      </c>
      <c r="H21">
        <f>$B21*'Time Series Scaling Factors'!H22</f>
        <v>0</v>
      </c>
      <c r="I21">
        <f>$B21*'Time Series Scaling Factors'!I22</f>
        <v>0</v>
      </c>
      <c r="J21">
        <f>$B21*'Time Series Scaling Factors'!J22</f>
        <v>0</v>
      </c>
      <c r="K21">
        <f>$B21*'Time Series Scaling Factors'!K22</f>
        <v>0</v>
      </c>
      <c r="L21">
        <f>$B21*'Time Series Scaling Factors'!L22</f>
        <v>0</v>
      </c>
      <c r="M21">
        <f>$B21*'Time Series Scaling Factors'!M22</f>
        <v>0</v>
      </c>
      <c r="N21">
        <f>$B21*'Time Series Scaling Factors'!N22</f>
        <v>0</v>
      </c>
      <c r="O21">
        <f>$B21*'Time Series Scaling Factors'!O22</f>
        <v>0</v>
      </c>
      <c r="P21">
        <f>$B21*'Time Series Scaling Factors'!P22</f>
        <v>0</v>
      </c>
      <c r="Q21">
        <f>$B21*'Time Series Scaling Factors'!Q22</f>
        <v>0</v>
      </c>
      <c r="R21">
        <f>$B21*'Time Series Scaling Factors'!R22</f>
        <v>0</v>
      </c>
      <c r="S21">
        <f>$B21*'Time Series Scaling Factors'!S22</f>
        <v>0</v>
      </c>
      <c r="T21">
        <f>$B21*'Time Series Scaling Factors'!T22</f>
        <v>0</v>
      </c>
      <c r="U21">
        <f>$B21*'Time Series Scaling Factors'!U22</f>
        <v>0</v>
      </c>
      <c r="V21">
        <f>$B21*'Time Series Scaling Factors'!V22</f>
        <v>0</v>
      </c>
      <c r="W21">
        <f>$B21*'Time Series Scaling Factors'!W22</f>
        <v>0</v>
      </c>
      <c r="X21">
        <f>$B21*'Time Series Scaling Factors'!X22</f>
        <v>0</v>
      </c>
      <c r="Y21">
        <f>$B21*'Time Series Scaling Factors'!Y22</f>
        <v>0</v>
      </c>
      <c r="Z21">
        <f>$B21*'Time Series Scaling Factors'!Z22</f>
        <v>0</v>
      </c>
      <c r="AA21">
        <f>$B21*'Time Series Scaling Factors'!AA22</f>
        <v>0</v>
      </c>
      <c r="AB21">
        <f>$B21*'Time Series Scaling Factors'!AB22</f>
        <v>0</v>
      </c>
      <c r="AC21">
        <f>$B21*'Time Series Scaling Factors'!AC22</f>
        <v>0</v>
      </c>
      <c r="AD21">
        <f>$B21*'Time Series Scaling Factors'!AD22</f>
        <v>0</v>
      </c>
      <c r="AE21">
        <f>$B21*'Time Series Scaling Factors'!AE22</f>
        <v>0</v>
      </c>
      <c r="AF21">
        <f>$B21*'Time Series Scaling Factors'!AF22</f>
        <v>0</v>
      </c>
      <c r="AG21">
        <f>$B21*'Time Series Scaling Factors'!AG22</f>
        <v>0</v>
      </c>
      <c r="AH21">
        <f t="shared" ref="AH21:BA21" si="19">AG21</f>
        <v>0</v>
      </c>
      <c r="AI21">
        <f t="shared" si="19"/>
        <v>0</v>
      </c>
      <c r="AJ21">
        <f t="shared" si="19"/>
        <v>0</v>
      </c>
      <c r="AK21">
        <f t="shared" si="19"/>
        <v>0</v>
      </c>
      <c r="AL21">
        <f t="shared" si="19"/>
        <v>0</v>
      </c>
      <c r="AM21">
        <f t="shared" si="19"/>
        <v>0</v>
      </c>
      <c r="AN21">
        <f t="shared" si="19"/>
        <v>0</v>
      </c>
      <c r="AO21">
        <f t="shared" si="19"/>
        <v>0</v>
      </c>
      <c r="AP21">
        <f t="shared" si="19"/>
        <v>0</v>
      </c>
      <c r="AQ21">
        <f t="shared" si="19"/>
        <v>0</v>
      </c>
      <c r="AR21">
        <f t="shared" si="19"/>
        <v>0</v>
      </c>
      <c r="AS21">
        <f t="shared" si="19"/>
        <v>0</v>
      </c>
      <c r="AT21">
        <f t="shared" si="19"/>
        <v>0</v>
      </c>
      <c r="AU21">
        <f t="shared" si="19"/>
        <v>0</v>
      </c>
      <c r="AV21">
        <f t="shared" si="19"/>
        <v>0</v>
      </c>
      <c r="AW21">
        <f t="shared" si="19"/>
        <v>0</v>
      </c>
      <c r="AX21">
        <f t="shared" si="19"/>
        <v>0</v>
      </c>
      <c r="AY21">
        <f t="shared" si="19"/>
        <v>0</v>
      </c>
      <c r="AZ21">
        <f t="shared" si="19"/>
        <v>0</v>
      </c>
      <c r="BA21">
        <f t="shared" si="19"/>
        <v>0</v>
      </c>
    </row>
    <row r="22" spans="1:53" x14ac:dyDescent="0.3">
      <c r="A22" s="1" t="s">
        <v>772</v>
      </c>
      <c r="B22">
        <f>'Start Year Data'!B46</f>
        <v>0</v>
      </c>
      <c r="C22">
        <f>$B22*'Time Series Scaling Factors'!C23</f>
        <v>0</v>
      </c>
      <c r="D22">
        <f>$B22*'Time Series Scaling Factors'!D23</f>
        <v>0</v>
      </c>
      <c r="E22">
        <f>$B22*'Time Series Scaling Factors'!E23</f>
        <v>0</v>
      </c>
      <c r="F22">
        <f>$B22*'Time Series Scaling Factors'!F23</f>
        <v>0</v>
      </c>
      <c r="G22">
        <f>$B22*'Time Series Scaling Factors'!G23</f>
        <v>0</v>
      </c>
      <c r="H22">
        <f>$B22*'Time Series Scaling Factors'!H23</f>
        <v>0</v>
      </c>
      <c r="I22">
        <f>$B22*'Time Series Scaling Factors'!I23</f>
        <v>0</v>
      </c>
      <c r="J22">
        <f>$B22*'Time Series Scaling Factors'!J23</f>
        <v>0</v>
      </c>
      <c r="K22">
        <f>$B22*'Time Series Scaling Factors'!K23</f>
        <v>0</v>
      </c>
      <c r="L22">
        <f>$B22*'Time Series Scaling Factors'!L23</f>
        <v>0</v>
      </c>
      <c r="M22">
        <f>$B22*'Time Series Scaling Factors'!M23</f>
        <v>0</v>
      </c>
      <c r="N22">
        <f>$B22*'Time Series Scaling Factors'!N23</f>
        <v>0</v>
      </c>
      <c r="O22">
        <f>$B22*'Time Series Scaling Factors'!O23</f>
        <v>0</v>
      </c>
      <c r="P22">
        <f>$B22*'Time Series Scaling Factors'!P23</f>
        <v>0</v>
      </c>
      <c r="Q22">
        <f>$B22*'Time Series Scaling Factors'!Q23</f>
        <v>0</v>
      </c>
      <c r="R22">
        <f>$B22*'Time Series Scaling Factors'!R23</f>
        <v>0</v>
      </c>
      <c r="S22">
        <f>$B22*'Time Series Scaling Factors'!S23</f>
        <v>0</v>
      </c>
      <c r="T22">
        <f>$B22*'Time Series Scaling Factors'!T23</f>
        <v>0</v>
      </c>
      <c r="U22">
        <f>$B22*'Time Series Scaling Factors'!U23</f>
        <v>0</v>
      </c>
      <c r="V22">
        <f>$B22*'Time Series Scaling Factors'!V23</f>
        <v>0</v>
      </c>
      <c r="W22">
        <f>$B22*'Time Series Scaling Factors'!W23</f>
        <v>0</v>
      </c>
      <c r="X22">
        <f>$B22*'Time Series Scaling Factors'!X23</f>
        <v>0</v>
      </c>
      <c r="Y22">
        <f>$B22*'Time Series Scaling Factors'!Y23</f>
        <v>0</v>
      </c>
      <c r="Z22">
        <f>$B22*'Time Series Scaling Factors'!Z23</f>
        <v>0</v>
      </c>
      <c r="AA22">
        <f>$B22*'Time Series Scaling Factors'!AA23</f>
        <v>0</v>
      </c>
      <c r="AB22">
        <f>$B22*'Time Series Scaling Factors'!AB23</f>
        <v>0</v>
      </c>
      <c r="AC22">
        <f>$B22*'Time Series Scaling Factors'!AC23</f>
        <v>0</v>
      </c>
      <c r="AD22">
        <f>$B22*'Time Series Scaling Factors'!AD23</f>
        <v>0</v>
      </c>
      <c r="AE22">
        <f>$B22*'Time Series Scaling Factors'!AE23</f>
        <v>0</v>
      </c>
      <c r="AF22">
        <f>$B22*'Time Series Scaling Factors'!AF23</f>
        <v>0</v>
      </c>
      <c r="AG22">
        <f>$B22*'Time Series Scaling Factors'!AG23</f>
        <v>0</v>
      </c>
      <c r="AH22">
        <f t="shared" ref="AH22:BA22" si="20">AG22</f>
        <v>0</v>
      </c>
      <c r="AI22">
        <f t="shared" si="20"/>
        <v>0</v>
      </c>
      <c r="AJ22">
        <f t="shared" si="20"/>
        <v>0</v>
      </c>
      <c r="AK22">
        <f t="shared" si="20"/>
        <v>0</v>
      </c>
      <c r="AL22">
        <f t="shared" si="20"/>
        <v>0</v>
      </c>
      <c r="AM22">
        <f t="shared" si="20"/>
        <v>0</v>
      </c>
      <c r="AN22">
        <f t="shared" si="20"/>
        <v>0</v>
      </c>
      <c r="AO22">
        <f t="shared" si="20"/>
        <v>0</v>
      </c>
      <c r="AP22">
        <f t="shared" si="20"/>
        <v>0</v>
      </c>
      <c r="AQ22">
        <f t="shared" si="20"/>
        <v>0</v>
      </c>
      <c r="AR22">
        <f t="shared" si="20"/>
        <v>0</v>
      </c>
      <c r="AS22">
        <f t="shared" si="20"/>
        <v>0</v>
      </c>
      <c r="AT22">
        <f t="shared" si="20"/>
        <v>0</v>
      </c>
      <c r="AU22">
        <f t="shared" si="20"/>
        <v>0</v>
      </c>
      <c r="AV22">
        <f t="shared" si="20"/>
        <v>0</v>
      </c>
      <c r="AW22">
        <f t="shared" si="20"/>
        <v>0</v>
      </c>
      <c r="AX22">
        <f t="shared" si="20"/>
        <v>0</v>
      </c>
      <c r="AY22">
        <f t="shared" si="20"/>
        <v>0</v>
      </c>
      <c r="AZ22">
        <f t="shared" si="20"/>
        <v>0</v>
      </c>
      <c r="BA22">
        <f t="shared" si="20"/>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BA22"/>
  <sheetViews>
    <sheetView tabSelected="1" workbookViewId="0">
      <selection activeCell="E27" sqref="E27"/>
    </sheetView>
  </sheetViews>
  <sheetFormatPr defaultColWidth="8.88671875" defaultRowHeight="14.4" x14ac:dyDescent="0.3"/>
  <cols>
    <col min="1" max="1" width="36.33203125" customWidth="1"/>
    <col min="2" max="35" width="13" customWidth="1"/>
    <col min="36" max="53" width="11.88671875" bestFit="1" customWidth="1"/>
  </cols>
  <sheetData>
    <row r="1" spans="1:53" x14ac:dyDescent="0.3">
      <c r="A1" s="24" t="s">
        <v>782</v>
      </c>
      <c r="B1" s="18">
        <v>2019</v>
      </c>
      <c r="C1">
        <v>2020</v>
      </c>
      <c r="D1" s="18">
        <v>2021</v>
      </c>
      <c r="E1">
        <v>2022</v>
      </c>
      <c r="F1" s="18">
        <v>2023</v>
      </c>
      <c r="G1">
        <v>2024</v>
      </c>
      <c r="H1" s="18">
        <v>2025</v>
      </c>
      <c r="I1">
        <v>2026</v>
      </c>
      <c r="J1" s="18">
        <v>2027</v>
      </c>
      <c r="K1">
        <v>2028</v>
      </c>
      <c r="L1" s="18">
        <v>2029</v>
      </c>
      <c r="M1">
        <v>2030</v>
      </c>
      <c r="N1" s="18">
        <v>2031</v>
      </c>
      <c r="O1">
        <v>2032</v>
      </c>
      <c r="P1" s="18">
        <v>2033</v>
      </c>
      <c r="Q1">
        <v>2034</v>
      </c>
      <c r="R1" s="18">
        <v>2035</v>
      </c>
      <c r="S1">
        <v>2036</v>
      </c>
      <c r="T1" s="18">
        <v>2037</v>
      </c>
      <c r="U1">
        <v>2038</v>
      </c>
      <c r="V1" s="18">
        <v>2039</v>
      </c>
      <c r="W1">
        <v>2040</v>
      </c>
      <c r="X1" s="18">
        <v>2041</v>
      </c>
      <c r="Y1">
        <v>2042</v>
      </c>
      <c r="Z1" s="18">
        <v>2043</v>
      </c>
      <c r="AA1">
        <v>2044</v>
      </c>
      <c r="AB1" s="18">
        <v>2045</v>
      </c>
      <c r="AC1">
        <v>2046</v>
      </c>
      <c r="AD1" s="18">
        <v>2047</v>
      </c>
      <c r="AE1">
        <v>2048</v>
      </c>
      <c r="AF1" s="18">
        <v>2049</v>
      </c>
      <c r="AG1">
        <v>2050</v>
      </c>
      <c r="AH1" s="18">
        <v>2051</v>
      </c>
      <c r="AI1">
        <v>2052</v>
      </c>
      <c r="AJ1" s="18">
        <v>2053</v>
      </c>
      <c r="AK1">
        <v>2054</v>
      </c>
      <c r="AL1" s="18">
        <v>2055</v>
      </c>
      <c r="AM1">
        <v>2056</v>
      </c>
      <c r="AN1" s="18">
        <v>2057</v>
      </c>
      <c r="AO1">
        <v>2058</v>
      </c>
      <c r="AP1" s="18">
        <v>2059</v>
      </c>
      <c r="AQ1">
        <v>2060</v>
      </c>
      <c r="AR1" s="18">
        <v>2061</v>
      </c>
      <c r="AS1">
        <v>2062</v>
      </c>
      <c r="AT1" s="18">
        <v>2063</v>
      </c>
      <c r="AU1">
        <v>2064</v>
      </c>
      <c r="AV1" s="18">
        <v>2065</v>
      </c>
      <c r="AW1">
        <v>2066</v>
      </c>
      <c r="AX1" s="18">
        <v>2067</v>
      </c>
      <c r="AY1">
        <v>2068</v>
      </c>
      <c r="AZ1" s="18">
        <v>2069</v>
      </c>
      <c r="BA1">
        <v>2070</v>
      </c>
    </row>
    <row r="2" spans="1:53" x14ac:dyDescent="0.3">
      <c r="A2" s="24" t="s">
        <v>751</v>
      </c>
      <c r="B2">
        <f>'Start Year Data'!C26</f>
        <v>0</v>
      </c>
      <c r="C2">
        <f>$B2*'Time Series Scaling Factors'!C28</f>
        <v>0</v>
      </c>
      <c r="D2">
        <f>$B2*'Time Series Scaling Factors'!D28</f>
        <v>0</v>
      </c>
      <c r="E2">
        <f>$B2*'Time Series Scaling Factors'!E28</f>
        <v>0</v>
      </c>
      <c r="F2">
        <f>$B2*'Time Series Scaling Factors'!F28</f>
        <v>0</v>
      </c>
      <c r="G2">
        <f>$B2*'Time Series Scaling Factors'!G28</f>
        <v>0</v>
      </c>
      <c r="H2">
        <f>$B2*'Time Series Scaling Factors'!H28</f>
        <v>0</v>
      </c>
      <c r="I2">
        <f>$B2*'Time Series Scaling Factors'!I28</f>
        <v>0</v>
      </c>
      <c r="J2">
        <f>$B2*'Time Series Scaling Factors'!J28</f>
        <v>0</v>
      </c>
      <c r="K2">
        <f>$B2*'Time Series Scaling Factors'!K28</f>
        <v>0</v>
      </c>
      <c r="L2">
        <f>$B2*'Time Series Scaling Factors'!L28</f>
        <v>0</v>
      </c>
      <c r="M2">
        <f>$B2*'Time Series Scaling Factors'!M28</f>
        <v>0</v>
      </c>
      <c r="N2">
        <f>$B2*'Time Series Scaling Factors'!N28</f>
        <v>0</v>
      </c>
      <c r="O2">
        <f>$B2*'Time Series Scaling Factors'!O28</f>
        <v>0</v>
      </c>
      <c r="P2">
        <f>$B2*'Time Series Scaling Factors'!P28</f>
        <v>0</v>
      </c>
      <c r="Q2">
        <f>$B2*'Time Series Scaling Factors'!Q28</f>
        <v>0</v>
      </c>
      <c r="R2">
        <f>$B2*'Time Series Scaling Factors'!R28</f>
        <v>0</v>
      </c>
      <c r="S2">
        <f>$B2*'Time Series Scaling Factors'!S28</f>
        <v>0</v>
      </c>
      <c r="T2">
        <f>$B2*'Time Series Scaling Factors'!T28</f>
        <v>0</v>
      </c>
      <c r="U2">
        <f>$B2*'Time Series Scaling Factors'!U28</f>
        <v>0</v>
      </c>
      <c r="V2">
        <f>$B2*'Time Series Scaling Factors'!V28</f>
        <v>0</v>
      </c>
      <c r="W2">
        <f>$B2*'Time Series Scaling Factors'!W28</f>
        <v>0</v>
      </c>
      <c r="X2">
        <f>$B2*'Time Series Scaling Factors'!X28</f>
        <v>0</v>
      </c>
      <c r="Y2">
        <f>$B2*'Time Series Scaling Factors'!Y28</f>
        <v>0</v>
      </c>
      <c r="Z2">
        <f>$B2*'Time Series Scaling Factors'!Z28</f>
        <v>0</v>
      </c>
      <c r="AA2">
        <f>$B2*'Time Series Scaling Factors'!AA28</f>
        <v>0</v>
      </c>
      <c r="AB2">
        <f>$B2*'Time Series Scaling Factors'!AB28</f>
        <v>0</v>
      </c>
      <c r="AC2">
        <f>$B2*'Time Series Scaling Factors'!AC28</f>
        <v>0</v>
      </c>
      <c r="AD2">
        <f>$B2*'Time Series Scaling Factors'!AD28</f>
        <v>0</v>
      </c>
      <c r="AE2">
        <f>$B2*'Time Series Scaling Factors'!AE28</f>
        <v>0</v>
      </c>
      <c r="AF2">
        <f>$B2*'Time Series Scaling Factors'!AF28</f>
        <v>0</v>
      </c>
      <c r="AG2">
        <f>$B2*'Time Series Scaling Factors'!AG28</f>
        <v>0</v>
      </c>
      <c r="AH2">
        <f t="shared" ref="AH2:BA2" si="0">AG2</f>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3">
      <c r="A3" s="1" t="s">
        <v>752</v>
      </c>
      <c r="B3">
        <f>'Start Year Data'!C27</f>
        <v>402503809447680.06</v>
      </c>
      <c r="C3">
        <f>$B3*'Time Series Scaling Factors'!C29</f>
        <v>429928459516461.69</v>
      </c>
      <c r="D3">
        <f>$B3*'Time Series Scaling Factors'!D29</f>
        <v>273985615905100.06</v>
      </c>
      <c r="E3">
        <f>$B3*'Time Series Scaling Factors'!E29</f>
        <v>260770214266358.59</v>
      </c>
      <c r="F3">
        <f>$B3*'Time Series Scaling Factors'!F29</f>
        <v>255254364574650.78</v>
      </c>
      <c r="G3">
        <f>$B3*'Time Series Scaling Factors'!G29</f>
        <v>259830200842921.91</v>
      </c>
      <c r="H3">
        <f>$B3*'Time Series Scaling Factors'!H29</f>
        <v>245089520448090.09</v>
      </c>
      <c r="I3">
        <f>$B3*'Time Series Scaling Factors'!I29</f>
        <v>252675884288336.88</v>
      </c>
      <c r="J3">
        <f>$B3*'Time Series Scaling Factors'!J29</f>
        <v>272478281604963.69</v>
      </c>
      <c r="K3">
        <f>$B3*'Time Series Scaling Factors'!K29</f>
        <v>281170300000530.28</v>
      </c>
      <c r="L3">
        <f>$B3*'Time Series Scaling Factors'!L29</f>
        <v>277925114158386.91</v>
      </c>
      <c r="M3">
        <f>$B3*'Time Series Scaling Factors'!M29</f>
        <v>289854036339502.81</v>
      </c>
      <c r="N3">
        <f>$B3*'Time Series Scaling Factors'!N29</f>
        <v>278354400758517.31</v>
      </c>
      <c r="O3">
        <f>$B3*'Time Series Scaling Factors'!O29</f>
        <v>290087314266904.88</v>
      </c>
      <c r="P3">
        <f>$B3*'Time Series Scaling Factors'!P29</f>
        <v>290366143505574.75</v>
      </c>
      <c r="Q3">
        <f>$B3*'Time Series Scaling Factors'!Q29</f>
        <v>301936176567610.56</v>
      </c>
      <c r="R3">
        <f>$B3*'Time Series Scaling Factors'!R29</f>
        <v>299506773299991.5</v>
      </c>
      <c r="S3">
        <f>$B3*'Time Series Scaling Factors'!S29</f>
        <v>292820392942976.31</v>
      </c>
      <c r="T3">
        <f>$B3*'Time Series Scaling Factors'!T29</f>
        <v>291213673963710</v>
      </c>
      <c r="U3">
        <f>$B3*'Time Series Scaling Factors'!U29</f>
        <v>288516484199546.63</v>
      </c>
      <c r="V3">
        <f>$B3*'Time Series Scaling Factors'!V29</f>
        <v>289693916578682.44</v>
      </c>
      <c r="W3">
        <f>$B3*'Time Series Scaling Factors'!W29</f>
        <v>288469552545513.06</v>
      </c>
      <c r="X3">
        <f>$B3*'Time Series Scaling Factors'!X29</f>
        <v>290407553788545.56</v>
      </c>
      <c r="Y3">
        <f>$B3*'Time Series Scaling Factors'!Y29</f>
        <v>287328009078285.25</v>
      </c>
      <c r="Z3">
        <f>$B3*'Time Series Scaling Factors'!Z29</f>
        <v>285061486257017.94</v>
      </c>
      <c r="AA3">
        <f>$B3*'Time Series Scaling Factors'!AA29</f>
        <v>281468454037919.94</v>
      </c>
      <c r="AB3">
        <f>$B3*'Time Series Scaling Factors'!AB29</f>
        <v>278065909120487.56</v>
      </c>
      <c r="AC3">
        <f>$B3*'Time Series Scaling Factors'!AC29</f>
        <v>274962898583210.44</v>
      </c>
      <c r="AD3">
        <f>$B3*'Time Series Scaling Factors'!AD29</f>
        <v>271858507703167.69</v>
      </c>
      <c r="AE3">
        <f>$B3*'Time Series Scaling Factors'!AE29</f>
        <v>271092417468208.25</v>
      </c>
      <c r="AF3">
        <f>$B3*'Time Series Scaling Factors'!AF29</f>
        <v>269086779429656.84</v>
      </c>
      <c r="AG3">
        <f>$B3*'Time Series Scaling Factors'!AG29</f>
        <v>264269383177389.5</v>
      </c>
      <c r="AH3">
        <f t="shared" ref="AH3:BA3" si="1">AG3</f>
        <v>264269383177389.5</v>
      </c>
      <c r="AI3">
        <f t="shared" si="1"/>
        <v>264269383177389.5</v>
      </c>
      <c r="AJ3">
        <f t="shared" si="1"/>
        <v>264269383177389.5</v>
      </c>
      <c r="AK3">
        <f t="shared" si="1"/>
        <v>264269383177389.5</v>
      </c>
      <c r="AL3">
        <f t="shared" si="1"/>
        <v>264269383177389.5</v>
      </c>
      <c r="AM3">
        <f t="shared" si="1"/>
        <v>264269383177389.5</v>
      </c>
      <c r="AN3">
        <f t="shared" si="1"/>
        <v>264269383177389.5</v>
      </c>
      <c r="AO3">
        <f t="shared" si="1"/>
        <v>264269383177389.5</v>
      </c>
      <c r="AP3">
        <f t="shared" si="1"/>
        <v>264269383177389.5</v>
      </c>
      <c r="AQ3">
        <f t="shared" si="1"/>
        <v>264269383177389.5</v>
      </c>
      <c r="AR3">
        <f t="shared" si="1"/>
        <v>264269383177389.5</v>
      </c>
      <c r="AS3">
        <f t="shared" si="1"/>
        <v>264269383177389.5</v>
      </c>
      <c r="AT3">
        <f t="shared" si="1"/>
        <v>264269383177389.5</v>
      </c>
      <c r="AU3">
        <f t="shared" si="1"/>
        <v>264269383177389.5</v>
      </c>
      <c r="AV3">
        <f t="shared" si="1"/>
        <v>264269383177389.5</v>
      </c>
      <c r="AW3">
        <f t="shared" si="1"/>
        <v>264269383177389.5</v>
      </c>
      <c r="AX3">
        <f t="shared" si="1"/>
        <v>264269383177389.5</v>
      </c>
      <c r="AY3">
        <f t="shared" si="1"/>
        <v>264269383177389.5</v>
      </c>
      <c r="AZ3">
        <f t="shared" si="1"/>
        <v>264269383177389.5</v>
      </c>
      <c r="BA3">
        <f t="shared" si="1"/>
        <v>264269383177389.5</v>
      </c>
    </row>
    <row r="4" spans="1:53" x14ac:dyDescent="0.3">
      <c r="A4" s="1" t="s">
        <v>754</v>
      </c>
      <c r="B4">
        <f>'Start Year Data'!C28</f>
        <v>0</v>
      </c>
      <c r="C4">
        <f>$B4*'Time Series Scaling Factors'!C30</f>
        <v>0</v>
      </c>
      <c r="D4">
        <f>$B4*'Time Series Scaling Factors'!D30</f>
        <v>0</v>
      </c>
      <c r="E4">
        <f>$B4*'Time Series Scaling Factors'!E30</f>
        <v>0</v>
      </c>
      <c r="F4">
        <f>$B4*'Time Series Scaling Factors'!F30</f>
        <v>0</v>
      </c>
      <c r="G4">
        <f>$B4*'Time Series Scaling Factors'!G30</f>
        <v>0</v>
      </c>
      <c r="H4">
        <f>$B4*'Time Series Scaling Factors'!H30</f>
        <v>0</v>
      </c>
      <c r="I4">
        <f>$B4*'Time Series Scaling Factors'!I30</f>
        <v>0</v>
      </c>
      <c r="J4">
        <f>$B4*'Time Series Scaling Factors'!J30</f>
        <v>0</v>
      </c>
      <c r="K4">
        <f>$B4*'Time Series Scaling Factors'!K30</f>
        <v>0</v>
      </c>
      <c r="L4">
        <f>$B4*'Time Series Scaling Factors'!L30</f>
        <v>0</v>
      </c>
      <c r="M4">
        <f>$B4*'Time Series Scaling Factors'!M30</f>
        <v>0</v>
      </c>
      <c r="N4">
        <f>$B4*'Time Series Scaling Factors'!N30</f>
        <v>0</v>
      </c>
      <c r="O4">
        <f>$B4*'Time Series Scaling Factors'!O30</f>
        <v>0</v>
      </c>
      <c r="P4">
        <f>$B4*'Time Series Scaling Factors'!P30</f>
        <v>0</v>
      </c>
      <c r="Q4">
        <f>$B4*'Time Series Scaling Factors'!Q30</f>
        <v>0</v>
      </c>
      <c r="R4">
        <f>$B4*'Time Series Scaling Factors'!R30</f>
        <v>0</v>
      </c>
      <c r="S4">
        <f>$B4*'Time Series Scaling Factors'!S30</f>
        <v>0</v>
      </c>
      <c r="T4">
        <f>$B4*'Time Series Scaling Factors'!T30</f>
        <v>0</v>
      </c>
      <c r="U4">
        <f>$B4*'Time Series Scaling Factors'!U30</f>
        <v>0</v>
      </c>
      <c r="V4">
        <f>$B4*'Time Series Scaling Factors'!V30</f>
        <v>0</v>
      </c>
      <c r="W4">
        <f>$B4*'Time Series Scaling Factors'!W30</f>
        <v>0</v>
      </c>
      <c r="X4">
        <f>$B4*'Time Series Scaling Factors'!X30</f>
        <v>0</v>
      </c>
      <c r="Y4">
        <f>$B4*'Time Series Scaling Factors'!Y30</f>
        <v>0</v>
      </c>
      <c r="Z4">
        <f>$B4*'Time Series Scaling Factors'!Z30</f>
        <v>0</v>
      </c>
      <c r="AA4">
        <f>$B4*'Time Series Scaling Factors'!AA30</f>
        <v>0</v>
      </c>
      <c r="AB4">
        <f>$B4*'Time Series Scaling Factors'!AB30</f>
        <v>0</v>
      </c>
      <c r="AC4">
        <f>$B4*'Time Series Scaling Factors'!AC30</f>
        <v>0</v>
      </c>
      <c r="AD4">
        <f>$B4*'Time Series Scaling Factors'!AD30</f>
        <v>0</v>
      </c>
      <c r="AE4">
        <f>$B4*'Time Series Scaling Factors'!AE30</f>
        <v>0</v>
      </c>
      <c r="AF4">
        <f>$B4*'Time Series Scaling Factors'!AF30</f>
        <v>0</v>
      </c>
      <c r="AG4">
        <f>$B4*'Time Series Scaling Factors'!AG30</f>
        <v>0</v>
      </c>
      <c r="AH4">
        <f t="shared" ref="AH4:BA4" si="2">AG4</f>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2"/>
        <v>0</v>
      </c>
      <c r="AY4">
        <f t="shared" si="2"/>
        <v>0</v>
      </c>
      <c r="AZ4">
        <f t="shared" si="2"/>
        <v>0</v>
      </c>
      <c r="BA4">
        <f t="shared" si="2"/>
        <v>0</v>
      </c>
    </row>
    <row r="5" spans="1:53" x14ac:dyDescent="0.3">
      <c r="A5" s="1" t="s">
        <v>783</v>
      </c>
      <c r="B5">
        <f>'Start Year Data'!C29</f>
        <v>0</v>
      </c>
      <c r="C5">
        <f>$B5*'Time Series Scaling Factors'!C31</f>
        <v>0</v>
      </c>
      <c r="D5">
        <f>$B5*'Time Series Scaling Factors'!D31</f>
        <v>0</v>
      </c>
      <c r="E5">
        <f>$B5*'Time Series Scaling Factors'!E31</f>
        <v>0</v>
      </c>
      <c r="F5">
        <f>$B5*'Time Series Scaling Factors'!F31</f>
        <v>0</v>
      </c>
      <c r="G5">
        <f>$B5*'Time Series Scaling Factors'!G31</f>
        <v>0</v>
      </c>
      <c r="H5">
        <f>$B5*'Time Series Scaling Factors'!H31</f>
        <v>0</v>
      </c>
      <c r="I5">
        <f>$B5*'Time Series Scaling Factors'!I31</f>
        <v>0</v>
      </c>
      <c r="J5">
        <f>$B5*'Time Series Scaling Factors'!J31</f>
        <v>0</v>
      </c>
      <c r="K5">
        <f>$B5*'Time Series Scaling Factors'!K31</f>
        <v>0</v>
      </c>
      <c r="L5">
        <f>$B5*'Time Series Scaling Factors'!L31</f>
        <v>0</v>
      </c>
      <c r="M5">
        <f>$B5*'Time Series Scaling Factors'!M31</f>
        <v>0</v>
      </c>
      <c r="N5">
        <f>$B5*'Time Series Scaling Factors'!N31</f>
        <v>0</v>
      </c>
      <c r="O5">
        <f>$B5*'Time Series Scaling Factors'!O31</f>
        <v>0</v>
      </c>
      <c r="P5">
        <f>$B5*'Time Series Scaling Factors'!P31</f>
        <v>0</v>
      </c>
      <c r="Q5">
        <f>$B5*'Time Series Scaling Factors'!Q31</f>
        <v>0</v>
      </c>
      <c r="R5">
        <f>$B5*'Time Series Scaling Factors'!R31</f>
        <v>0</v>
      </c>
      <c r="S5">
        <f>$B5*'Time Series Scaling Factors'!S31</f>
        <v>0</v>
      </c>
      <c r="T5">
        <f>$B5*'Time Series Scaling Factors'!T31</f>
        <v>0</v>
      </c>
      <c r="U5">
        <f>$B5*'Time Series Scaling Factors'!U31</f>
        <v>0</v>
      </c>
      <c r="V5">
        <f>$B5*'Time Series Scaling Factors'!V31</f>
        <v>0</v>
      </c>
      <c r="W5">
        <f>$B5*'Time Series Scaling Factors'!W31</f>
        <v>0</v>
      </c>
      <c r="X5">
        <f>$B5*'Time Series Scaling Factors'!X31</f>
        <v>0</v>
      </c>
      <c r="Y5">
        <f>$B5*'Time Series Scaling Factors'!Y31</f>
        <v>0</v>
      </c>
      <c r="Z5">
        <f>$B5*'Time Series Scaling Factors'!Z31</f>
        <v>0</v>
      </c>
      <c r="AA5">
        <f>$B5*'Time Series Scaling Factors'!AA31</f>
        <v>0</v>
      </c>
      <c r="AB5">
        <f>$B5*'Time Series Scaling Factors'!AB31</f>
        <v>0</v>
      </c>
      <c r="AC5">
        <f>$B5*'Time Series Scaling Factors'!AC31</f>
        <v>0</v>
      </c>
      <c r="AD5">
        <f>$B5*'Time Series Scaling Factors'!AD31</f>
        <v>0</v>
      </c>
      <c r="AE5">
        <f>$B5*'Time Series Scaling Factors'!AE31</f>
        <v>0</v>
      </c>
      <c r="AF5">
        <f>$B5*'Time Series Scaling Factors'!AF31</f>
        <v>0</v>
      </c>
      <c r="AG5">
        <f>$B5*'Time Series Scaling Factors'!AG31</f>
        <v>0</v>
      </c>
      <c r="AH5">
        <f t="shared" ref="AH5:BA5" si="3">AG5</f>
        <v>0</v>
      </c>
      <c r="AI5">
        <f t="shared" si="3"/>
        <v>0</v>
      </c>
      <c r="AJ5">
        <f t="shared" si="3"/>
        <v>0</v>
      </c>
      <c r="AK5">
        <f t="shared" si="3"/>
        <v>0</v>
      </c>
      <c r="AL5">
        <f t="shared" si="3"/>
        <v>0</v>
      </c>
      <c r="AM5">
        <f t="shared" si="3"/>
        <v>0</v>
      </c>
      <c r="AN5">
        <f t="shared" si="3"/>
        <v>0</v>
      </c>
      <c r="AO5">
        <f t="shared" si="3"/>
        <v>0</v>
      </c>
      <c r="AP5">
        <f t="shared" si="3"/>
        <v>0</v>
      </c>
      <c r="AQ5">
        <f t="shared" si="3"/>
        <v>0</v>
      </c>
      <c r="AR5">
        <f t="shared" si="3"/>
        <v>0</v>
      </c>
      <c r="AS5">
        <f t="shared" si="3"/>
        <v>0</v>
      </c>
      <c r="AT5">
        <f t="shared" si="3"/>
        <v>0</v>
      </c>
      <c r="AU5">
        <f t="shared" si="3"/>
        <v>0</v>
      </c>
      <c r="AV5">
        <f t="shared" si="3"/>
        <v>0</v>
      </c>
      <c r="AW5">
        <f t="shared" si="3"/>
        <v>0</v>
      </c>
      <c r="AX5">
        <f t="shared" si="3"/>
        <v>0</v>
      </c>
      <c r="AY5">
        <f t="shared" si="3"/>
        <v>0</v>
      </c>
      <c r="AZ5">
        <f t="shared" si="3"/>
        <v>0</v>
      </c>
      <c r="BA5">
        <f t="shared" si="3"/>
        <v>0</v>
      </c>
    </row>
    <row r="6" spans="1:53" x14ac:dyDescent="0.3">
      <c r="A6" s="1" t="s">
        <v>756</v>
      </c>
      <c r="B6">
        <f>'Start Year Data'!C30</f>
        <v>0</v>
      </c>
      <c r="C6">
        <f>$B6*'Time Series Scaling Factors'!C32</f>
        <v>0</v>
      </c>
      <c r="D6">
        <f>$B6*'Time Series Scaling Factors'!D32</f>
        <v>0</v>
      </c>
      <c r="E6">
        <f>$B6*'Time Series Scaling Factors'!E32</f>
        <v>0</v>
      </c>
      <c r="F6">
        <f>$B6*'Time Series Scaling Factors'!F32</f>
        <v>0</v>
      </c>
      <c r="G6">
        <f>$B6*'Time Series Scaling Factors'!G32</f>
        <v>0</v>
      </c>
      <c r="H6">
        <f>$B6*'Time Series Scaling Factors'!H32</f>
        <v>0</v>
      </c>
      <c r="I6">
        <f>$B6*'Time Series Scaling Factors'!I32</f>
        <v>0</v>
      </c>
      <c r="J6">
        <f>$B6*'Time Series Scaling Factors'!J32</f>
        <v>0</v>
      </c>
      <c r="K6">
        <f>$B6*'Time Series Scaling Factors'!K32</f>
        <v>0</v>
      </c>
      <c r="L6">
        <f>$B6*'Time Series Scaling Factors'!L32</f>
        <v>0</v>
      </c>
      <c r="M6">
        <f>$B6*'Time Series Scaling Factors'!M32</f>
        <v>0</v>
      </c>
      <c r="N6">
        <f>$B6*'Time Series Scaling Factors'!N32</f>
        <v>0</v>
      </c>
      <c r="O6">
        <f>$B6*'Time Series Scaling Factors'!O32</f>
        <v>0</v>
      </c>
      <c r="P6">
        <f>$B6*'Time Series Scaling Factors'!P32</f>
        <v>0</v>
      </c>
      <c r="Q6">
        <f>$B6*'Time Series Scaling Factors'!Q32</f>
        <v>0</v>
      </c>
      <c r="R6">
        <f>$B6*'Time Series Scaling Factors'!R32</f>
        <v>0</v>
      </c>
      <c r="S6">
        <f>$B6*'Time Series Scaling Factors'!S32</f>
        <v>0</v>
      </c>
      <c r="T6">
        <f>$B6*'Time Series Scaling Factors'!T32</f>
        <v>0</v>
      </c>
      <c r="U6">
        <f>$B6*'Time Series Scaling Factors'!U32</f>
        <v>0</v>
      </c>
      <c r="V6">
        <f>$B6*'Time Series Scaling Factors'!V32</f>
        <v>0</v>
      </c>
      <c r="W6">
        <f>$B6*'Time Series Scaling Factors'!W32</f>
        <v>0</v>
      </c>
      <c r="X6">
        <f>$B6*'Time Series Scaling Factors'!X32</f>
        <v>0</v>
      </c>
      <c r="Y6">
        <f>$B6*'Time Series Scaling Factors'!Y32</f>
        <v>0</v>
      </c>
      <c r="Z6">
        <f>$B6*'Time Series Scaling Factors'!Z32</f>
        <v>0</v>
      </c>
      <c r="AA6">
        <f>$B6*'Time Series Scaling Factors'!AA32</f>
        <v>0</v>
      </c>
      <c r="AB6">
        <f>$B6*'Time Series Scaling Factors'!AB32</f>
        <v>0</v>
      </c>
      <c r="AC6">
        <f>$B6*'Time Series Scaling Factors'!AC32</f>
        <v>0</v>
      </c>
      <c r="AD6">
        <f>$B6*'Time Series Scaling Factors'!AD32</f>
        <v>0</v>
      </c>
      <c r="AE6">
        <f>$B6*'Time Series Scaling Factors'!AE32</f>
        <v>0</v>
      </c>
      <c r="AF6">
        <f>$B6*'Time Series Scaling Factors'!AF32</f>
        <v>0</v>
      </c>
      <c r="AG6">
        <f>$B6*'Time Series Scaling Factors'!AG32</f>
        <v>0</v>
      </c>
      <c r="AH6">
        <f t="shared" ref="AH6:BA6" si="4">AG6</f>
        <v>0</v>
      </c>
      <c r="AI6">
        <f t="shared" si="4"/>
        <v>0</v>
      </c>
      <c r="AJ6">
        <f t="shared" si="4"/>
        <v>0</v>
      </c>
      <c r="AK6">
        <f t="shared" si="4"/>
        <v>0</v>
      </c>
      <c r="AL6">
        <f t="shared" si="4"/>
        <v>0</v>
      </c>
      <c r="AM6">
        <f t="shared" si="4"/>
        <v>0</v>
      </c>
      <c r="AN6">
        <f t="shared" si="4"/>
        <v>0</v>
      </c>
      <c r="AO6">
        <f t="shared" si="4"/>
        <v>0</v>
      </c>
      <c r="AP6">
        <f t="shared" si="4"/>
        <v>0</v>
      </c>
      <c r="AQ6">
        <f t="shared" si="4"/>
        <v>0</v>
      </c>
      <c r="AR6">
        <f t="shared" si="4"/>
        <v>0</v>
      </c>
      <c r="AS6">
        <f t="shared" si="4"/>
        <v>0</v>
      </c>
      <c r="AT6">
        <f t="shared" si="4"/>
        <v>0</v>
      </c>
      <c r="AU6">
        <f t="shared" si="4"/>
        <v>0</v>
      </c>
      <c r="AV6">
        <f t="shared" si="4"/>
        <v>0</v>
      </c>
      <c r="AW6">
        <f t="shared" si="4"/>
        <v>0</v>
      </c>
      <c r="AX6">
        <f t="shared" si="4"/>
        <v>0</v>
      </c>
      <c r="AY6">
        <f t="shared" si="4"/>
        <v>0</v>
      </c>
      <c r="AZ6">
        <f t="shared" si="4"/>
        <v>0</v>
      </c>
      <c r="BA6">
        <f t="shared" si="4"/>
        <v>0</v>
      </c>
    </row>
    <row r="7" spans="1:53" x14ac:dyDescent="0.3">
      <c r="A7" s="1" t="s">
        <v>757</v>
      </c>
      <c r="B7">
        <f>'Start Year Data'!C31</f>
        <v>0</v>
      </c>
      <c r="C7">
        <f>$B7*'Time Series Scaling Factors'!C33</f>
        <v>0</v>
      </c>
      <c r="D7">
        <f>$B7*'Time Series Scaling Factors'!D33</f>
        <v>0</v>
      </c>
      <c r="E7">
        <f>$B7*'Time Series Scaling Factors'!E33</f>
        <v>0</v>
      </c>
      <c r="F7">
        <f>$B7*'Time Series Scaling Factors'!F33</f>
        <v>0</v>
      </c>
      <c r="G7">
        <f>$B7*'Time Series Scaling Factors'!G33</f>
        <v>0</v>
      </c>
      <c r="H7">
        <f>$B7*'Time Series Scaling Factors'!H33</f>
        <v>0</v>
      </c>
      <c r="I7">
        <f>$B7*'Time Series Scaling Factors'!I33</f>
        <v>0</v>
      </c>
      <c r="J7">
        <f>$B7*'Time Series Scaling Factors'!J33</f>
        <v>0</v>
      </c>
      <c r="K7">
        <f>$B7*'Time Series Scaling Factors'!K33</f>
        <v>0</v>
      </c>
      <c r="L7">
        <f>$B7*'Time Series Scaling Factors'!L33</f>
        <v>0</v>
      </c>
      <c r="M7">
        <f>$B7*'Time Series Scaling Factors'!M33</f>
        <v>0</v>
      </c>
      <c r="N7">
        <f>$B7*'Time Series Scaling Factors'!N33</f>
        <v>0</v>
      </c>
      <c r="O7">
        <f>$B7*'Time Series Scaling Factors'!O33</f>
        <v>0</v>
      </c>
      <c r="P7">
        <f>$B7*'Time Series Scaling Factors'!P33</f>
        <v>0</v>
      </c>
      <c r="Q7">
        <f>$B7*'Time Series Scaling Factors'!Q33</f>
        <v>0</v>
      </c>
      <c r="R7">
        <f>$B7*'Time Series Scaling Factors'!R33</f>
        <v>0</v>
      </c>
      <c r="S7">
        <f>$B7*'Time Series Scaling Factors'!S33</f>
        <v>0</v>
      </c>
      <c r="T7">
        <f>$B7*'Time Series Scaling Factors'!T33</f>
        <v>0</v>
      </c>
      <c r="U7">
        <f>$B7*'Time Series Scaling Factors'!U33</f>
        <v>0</v>
      </c>
      <c r="V7">
        <f>$B7*'Time Series Scaling Factors'!V33</f>
        <v>0</v>
      </c>
      <c r="W7">
        <f>$B7*'Time Series Scaling Factors'!W33</f>
        <v>0</v>
      </c>
      <c r="X7">
        <f>$B7*'Time Series Scaling Factors'!X33</f>
        <v>0</v>
      </c>
      <c r="Y7">
        <f>$B7*'Time Series Scaling Factors'!Y33</f>
        <v>0</v>
      </c>
      <c r="Z7">
        <f>$B7*'Time Series Scaling Factors'!Z33</f>
        <v>0</v>
      </c>
      <c r="AA7">
        <f>$B7*'Time Series Scaling Factors'!AA33</f>
        <v>0</v>
      </c>
      <c r="AB7">
        <f>$B7*'Time Series Scaling Factors'!AB33</f>
        <v>0</v>
      </c>
      <c r="AC7">
        <f>$B7*'Time Series Scaling Factors'!AC33</f>
        <v>0</v>
      </c>
      <c r="AD7">
        <f>$B7*'Time Series Scaling Factors'!AD33</f>
        <v>0</v>
      </c>
      <c r="AE7">
        <f>$B7*'Time Series Scaling Factors'!AE33</f>
        <v>0</v>
      </c>
      <c r="AF7">
        <f>$B7*'Time Series Scaling Factors'!AF33</f>
        <v>0</v>
      </c>
      <c r="AG7">
        <f>$B7*'Time Series Scaling Factors'!AG33</f>
        <v>0</v>
      </c>
      <c r="AH7">
        <f t="shared" ref="AH7:BA7" si="5">AG7</f>
        <v>0</v>
      </c>
      <c r="AI7">
        <f t="shared" si="5"/>
        <v>0</v>
      </c>
      <c r="AJ7">
        <f t="shared" si="5"/>
        <v>0</v>
      </c>
      <c r="AK7">
        <f t="shared" si="5"/>
        <v>0</v>
      </c>
      <c r="AL7">
        <f t="shared" si="5"/>
        <v>0</v>
      </c>
      <c r="AM7">
        <f t="shared" si="5"/>
        <v>0</v>
      </c>
      <c r="AN7">
        <f t="shared" si="5"/>
        <v>0</v>
      </c>
      <c r="AO7">
        <f t="shared" si="5"/>
        <v>0</v>
      </c>
      <c r="AP7">
        <f t="shared" si="5"/>
        <v>0</v>
      </c>
      <c r="AQ7">
        <f t="shared" si="5"/>
        <v>0</v>
      </c>
      <c r="AR7">
        <f t="shared" si="5"/>
        <v>0</v>
      </c>
      <c r="AS7">
        <f t="shared" si="5"/>
        <v>0</v>
      </c>
      <c r="AT7">
        <f t="shared" si="5"/>
        <v>0</v>
      </c>
      <c r="AU7">
        <f t="shared" si="5"/>
        <v>0</v>
      </c>
      <c r="AV7">
        <f t="shared" si="5"/>
        <v>0</v>
      </c>
      <c r="AW7">
        <f t="shared" si="5"/>
        <v>0</v>
      </c>
      <c r="AX7">
        <f t="shared" si="5"/>
        <v>0</v>
      </c>
      <c r="AY7">
        <f t="shared" si="5"/>
        <v>0</v>
      </c>
      <c r="AZ7">
        <f t="shared" si="5"/>
        <v>0</v>
      </c>
      <c r="BA7">
        <f t="shared" si="5"/>
        <v>0</v>
      </c>
    </row>
    <row r="8" spans="1:53" x14ac:dyDescent="0.3">
      <c r="A8" s="1" t="s">
        <v>758</v>
      </c>
      <c r="B8">
        <f>'Start Year Data'!C32</f>
        <v>0</v>
      </c>
      <c r="C8">
        <f>$B8*'Time Series Scaling Factors'!C34</f>
        <v>0</v>
      </c>
      <c r="D8">
        <f>$B8*'Time Series Scaling Factors'!D34</f>
        <v>0</v>
      </c>
      <c r="E8">
        <f>$B8*'Time Series Scaling Factors'!E34</f>
        <v>0</v>
      </c>
      <c r="F8">
        <f>$B8*'Time Series Scaling Factors'!F34</f>
        <v>0</v>
      </c>
      <c r="G8">
        <f>$B8*'Time Series Scaling Factors'!G34</f>
        <v>0</v>
      </c>
      <c r="H8">
        <f>$B8*'Time Series Scaling Factors'!H34</f>
        <v>0</v>
      </c>
      <c r="I8">
        <f>$B8*'Time Series Scaling Factors'!I34</f>
        <v>0</v>
      </c>
      <c r="J8">
        <f>$B8*'Time Series Scaling Factors'!J34</f>
        <v>0</v>
      </c>
      <c r="K8">
        <f>$B8*'Time Series Scaling Factors'!K34</f>
        <v>0</v>
      </c>
      <c r="L8">
        <f>$B8*'Time Series Scaling Factors'!L34</f>
        <v>0</v>
      </c>
      <c r="M8">
        <f>$B8*'Time Series Scaling Factors'!M34</f>
        <v>0</v>
      </c>
      <c r="N8">
        <f>$B8*'Time Series Scaling Factors'!N34</f>
        <v>0</v>
      </c>
      <c r="O8">
        <f>$B8*'Time Series Scaling Factors'!O34</f>
        <v>0</v>
      </c>
      <c r="P8">
        <f>$B8*'Time Series Scaling Factors'!P34</f>
        <v>0</v>
      </c>
      <c r="Q8">
        <f>$B8*'Time Series Scaling Factors'!Q34</f>
        <v>0</v>
      </c>
      <c r="R8">
        <f>$B8*'Time Series Scaling Factors'!R34</f>
        <v>0</v>
      </c>
      <c r="S8">
        <f>$B8*'Time Series Scaling Factors'!S34</f>
        <v>0</v>
      </c>
      <c r="T8">
        <f>$B8*'Time Series Scaling Factors'!T34</f>
        <v>0</v>
      </c>
      <c r="U8">
        <f>$B8*'Time Series Scaling Factors'!U34</f>
        <v>0</v>
      </c>
      <c r="V8">
        <f>$B8*'Time Series Scaling Factors'!V34</f>
        <v>0</v>
      </c>
      <c r="W8">
        <f>$B8*'Time Series Scaling Factors'!W34</f>
        <v>0</v>
      </c>
      <c r="X8">
        <f>$B8*'Time Series Scaling Factors'!X34</f>
        <v>0</v>
      </c>
      <c r="Y8">
        <f>$B8*'Time Series Scaling Factors'!Y34</f>
        <v>0</v>
      </c>
      <c r="Z8">
        <f>$B8*'Time Series Scaling Factors'!Z34</f>
        <v>0</v>
      </c>
      <c r="AA8">
        <f>$B8*'Time Series Scaling Factors'!AA34</f>
        <v>0</v>
      </c>
      <c r="AB8">
        <f>$B8*'Time Series Scaling Factors'!AB34</f>
        <v>0</v>
      </c>
      <c r="AC8">
        <f>$B8*'Time Series Scaling Factors'!AC34</f>
        <v>0</v>
      </c>
      <c r="AD8">
        <f>$B8*'Time Series Scaling Factors'!AD34</f>
        <v>0</v>
      </c>
      <c r="AE8">
        <f>$B8*'Time Series Scaling Factors'!AE34</f>
        <v>0</v>
      </c>
      <c r="AF8">
        <f>$B8*'Time Series Scaling Factors'!AF34</f>
        <v>0</v>
      </c>
      <c r="AG8">
        <f>$B8*'Time Series Scaling Factors'!AG34</f>
        <v>0</v>
      </c>
      <c r="AH8">
        <f t="shared" ref="AH8:BA8" si="6">AG8</f>
        <v>0</v>
      </c>
      <c r="AI8">
        <f t="shared" si="6"/>
        <v>0</v>
      </c>
      <c r="AJ8">
        <f t="shared" si="6"/>
        <v>0</v>
      </c>
      <c r="AK8">
        <f t="shared" si="6"/>
        <v>0</v>
      </c>
      <c r="AL8">
        <f t="shared" si="6"/>
        <v>0</v>
      </c>
      <c r="AM8">
        <f t="shared" si="6"/>
        <v>0</v>
      </c>
      <c r="AN8">
        <f t="shared" si="6"/>
        <v>0</v>
      </c>
      <c r="AO8">
        <f t="shared" si="6"/>
        <v>0</v>
      </c>
      <c r="AP8">
        <f t="shared" si="6"/>
        <v>0</v>
      </c>
      <c r="AQ8">
        <f t="shared" si="6"/>
        <v>0</v>
      </c>
      <c r="AR8">
        <f t="shared" si="6"/>
        <v>0</v>
      </c>
      <c r="AS8">
        <f t="shared" si="6"/>
        <v>0</v>
      </c>
      <c r="AT8">
        <f t="shared" si="6"/>
        <v>0</v>
      </c>
      <c r="AU8">
        <f t="shared" si="6"/>
        <v>0</v>
      </c>
      <c r="AV8">
        <f t="shared" si="6"/>
        <v>0</v>
      </c>
      <c r="AW8">
        <f t="shared" si="6"/>
        <v>0</v>
      </c>
      <c r="AX8">
        <f t="shared" si="6"/>
        <v>0</v>
      </c>
      <c r="AY8">
        <f t="shared" si="6"/>
        <v>0</v>
      </c>
      <c r="AZ8">
        <f t="shared" si="6"/>
        <v>0</v>
      </c>
      <c r="BA8">
        <f t="shared" si="6"/>
        <v>0</v>
      </c>
    </row>
    <row r="9" spans="1:53" x14ac:dyDescent="0.3">
      <c r="A9" s="1" t="s">
        <v>759</v>
      </c>
      <c r="B9">
        <f>'Start Year Data'!C33</f>
        <v>0</v>
      </c>
      <c r="C9">
        <f>$B9*'Time Series Scaling Factors'!C35</f>
        <v>0</v>
      </c>
      <c r="D9">
        <f>$B9*'Time Series Scaling Factors'!D35</f>
        <v>0</v>
      </c>
      <c r="E9">
        <f>$B9*'Time Series Scaling Factors'!E35</f>
        <v>0</v>
      </c>
      <c r="F9">
        <f>$B9*'Time Series Scaling Factors'!F35</f>
        <v>0</v>
      </c>
      <c r="G9">
        <f>$B9*'Time Series Scaling Factors'!G35</f>
        <v>0</v>
      </c>
      <c r="H9">
        <f>$B9*'Time Series Scaling Factors'!H35</f>
        <v>0</v>
      </c>
      <c r="I9">
        <f>$B9*'Time Series Scaling Factors'!I35</f>
        <v>0</v>
      </c>
      <c r="J9">
        <f>$B9*'Time Series Scaling Factors'!J35</f>
        <v>0</v>
      </c>
      <c r="K9">
        <f>$B9*'Time Series Scaling Factors'!K35</f>
        <v>0</v>
      </c>
      <c r="L9">
        <f>$B9*'Time Series Scaling Factors'!L35</f>
        <v>0</v>
      </c>
      <c r="M9">
        <f>$B9*'Time Series Scaling Factors'!M35</f>
        <v>0</v>
      </c>
      <c r="N9">
        <f>$B9*'Time Series Scaling Factors'!N35</f>
        <v>0</v>
      </c>
      <c r="O9">
        <f>$B9*'Time Series Scaling Factors'!O35</f>
        <v>0</v>
      </c>
      <c r="P9">
        <f>$B9*'Time Series Scaling Factors'!P35</f>
        <v>0</v>
      </c>
      <c r="Q9">
        <f>$B9*'Time Series Scaling Factors'!Q35</f>
        <v>0</v>
      </c>
      <c r="R9">
        <f>$B9*'Time Series Scaling Factors'!R35</f>
        <v>0</v>
      </c>
      <c r="S9">
        <f>$B9*'Time Series Scaling Factors'!S35</f>
        <v>0</v>
      </c>
      <c r="T9">
        <f>$B9*'Time Series Scaling Factors'!T35</f>
        <v>0</v>
      </c>
      <c r="U9">
        <f>$B9*'Time Series Scaling Factors'!U35</f>
        <v>0</v>
      </c>
      <c r="V9">
        <f>$B9*'Time Series Scaling Factors'!V35</f>
        <v>0</v>
      </c>
      <c r="W9">
        <f>$B9*'Time Series Scaling Factors'!W35</f>
        <v>0</v>
      </c>
      <c r="X9">
        <f>$B9*'Time Series Scaling Factors'!X35</f>
        <v>0</v>
      </c>
      <c r="Y9">
        <f>$B9*'Time Series Scaling Factors'!Y35</f>
        <v>0</v>
      </c>
      <c r="Z9">
        <f>$B9*'Time Series Scaling Factors'!Z35</f>
        <v>0</v>
      </c>
      <c r="AA9">
        <f>$B9*'Time Series Scaling Factors'!AA35</f>
        <v>0</v>
      </c>
      <c r="AB9">
        <f>$B9*'Time Series Scaling Factors'!AB35</f>
        <v>0</v>
      </c>
      <c r="AC9">
        <f>$B9*'Time Series Scaling Factors'!AC35</f>
        <v>0</v>
      </c>
      <c r="AD9">
        <f>$B9*'Time Series Scaling Factors'!AD35</f>
        <v>0</v>
      </c>
      <c r="AE9">
        <f>$B9*'Time Series Scaling Factors'!AE35</f>
        <v>0</v>
      </c>
      <c r="AF9">
        <f>$B9*'Time Series Scaling Factors'!AF35</f>
        <v>0</v>
      </c>
      <c r="AG9">
        <f>$B9*'Time Series Scaling Factors'!AG35</f>
        <v>0</v>
      </c>
      <c r="AH9">
        <f t="shared" ref="AH9:BA9" si="7">AG9</f>
        <v>0</v>
      </c>
      <c r="AI9">
        <f t="shared" si="7"/>
        <v>0</v>
      </c>
      <c r="AJ9">
        <f t="shared" si="7"/>
        <v>0</v>
      </c>
      <c r="AK9">
        <f t="shared" si="7"/>
        <v>0</v>
      </c>
      <c r="AL9">
        <f t="shared" si="7"/>
        <v>0</v>
      </c>
      <c r="AM9">
        <f t="shared" si="7"/>
        <v>0</v>
      </c>
      <c r="AN9">
        <f t="shared" si="7"/>
        <v>0</v>
      </c>
      <c r="AO9">
        <f t="shared" si="7"/>
        <v>0</v>
      </c>
      <c r="AP9">
        <f t="shared" si="7"/>
        <v>0</v>
      </c>
      <c r="AQ9">
        <f t="shared" si="7"/>
        <v>0</v>
      </c>
      <c r="AR9">
        <f t="shared" si="7"/>
        <v>0</v>
      </c>
      <c r="AS9">
        <f t="shared" si="7"/>
        <v>0</v>
      </c>
      <c r="AT9">
        <f t="shared" si="7"/>
        <v>0</v>
      </c>
      <c r="AU9">
        <f t="shared" si="7"/>
        <v>0</v>
      </c>
      <c r="AV9">
        <f t="shared" si="7"/>
        <v>0</v>
      </c>
      <c r="AW9">
        <f t="shared" si="7"/>
        <v>0</v>
      </c>
      <c r="AX9">
        <f t="shared" si="7"/>
        <v>0</v>
      </c>
      <c r="AY9">
        <f t="shared" si="7"/>
        <v>0</v>
      </c>
      <c r="AZ9">
        <f t="shared" si="7"/>
        <v>0</v>
      </c>
      <c r="BA9">
        <f t="shared" si="7"/>
        <v>0</v>
      </c>
    </row>
    <row r="10" spans="1:53" x14ac:dyDescent="0.3">
      <c r="A10" s="1" t="s">
        <v>760</v>
      </c>
      <c r="B10">
        <f>'Start Year Data'!C34</f>
        <v>1069218275815200</v>
      </c>
      <c r="C10">
        <f>$B10*'Time Series Scaling Factors'!C36</f>
        <v>932480984829805.75</v>
      </c>
      <c r="D10">
        <f>$B10*'Time Series Scaling Factors'!D36</f>
        <v>944095361908093</v>
      </c>
      <c r="E10">
        <f>$B10*'Time Series Scaling Factors'!E36</f>
        <v>963924737483372.88</v>
      </c>
      <c r="F10">
        <f>$B10*'Time Series Scaling Factors'!F36</f>
        <v>956339204232456.5</v>
      </c>
      <c r="G10">
        <f>$B10*'Time Series Scaling Factors'!G36</f>
        <v>932920301427349.25</v>
      </c>
      <c r="H10">
        <f>$B10*'Time Series Scaling Factors'!H36</f>
        <v>898892568422776.5</v>
      </c>
      <c r="I10">
        <f>$B10*'Time Series Scaling Factors'!I36</f>
        <v>828897231195286.75</v>
      </c>
      <c r="J10">
        <f>$B10*'Time Series Scaling Factors'!J36</f>
        <v>833855296189582.38</v>
      </c>
      <c r="K10">
        <f>$B10*'Time Series Scaling Factors'!K36</f>
        <v>804659158249709.75</v>
      </c>
      <c r="L10">
        <f>$B10*'Time Series Scaling Factors'!L36</f>
        <v>770426854587089</v>
      </c>
      <c r="M10">
        <f>$B10*'Time Series Scaling Factors'!M36</f>
        <v>784070297465646.38</v>
      </c>
      <c r="N10">
        <f>$B10*'Time Series Scaling Factors'!N36</f>
        <v>776404444715582.75</v>
      </c>
      <c r="O10">
        <f>$B10*'Time Series Scaling Factors'!O36</f>
        <v>755077398921404.75</v>
      </c>
      <c r="P10">
        <f>$B10*'Time Series Scaling Factors'!P36</f>
        <v>760569078267767.13</v>
      </c>
      <c r="Q10">
        <f>$B10*'Time Series Scaling Factors'!Q36</f>
        <v>762392907778780.88</v>
      </c>
      <c r="R10">
        <f>$B10*'Time Series Scaling Factors'!R36</f>
        <v>752464352674299.25</v>
      </c>
      <c r="S10">
        <f>$B10*'Time Series Scaling Factors'!S36</f>
        <v>738347646006570</v>
      </c>
      <c r="T10">
        <f>$B10*'Time Series Scaling Factors'!T36</f>
        <v>760593262868339</v>
      </c>
      <c r="U10">
        <f>$B10*'Time Series Scaling Factors'!U36</f>
        <v>751059427070438</v>
      </c>
      <c r="V10">
        <f>$B10*'Time Series Scaling Factors'!V36</f>
        <v>753147290294116.75</v>
      </c>
      <c r="W10">
        <f>$B10*'Time Series Scaling Factors'!W36</f>
        <v>758926744199577</v>
      </c>
      <c r="X10">
        <f>$B10*'Time Series Scaling Factors'!X36</f>
        <v>758617891318879.75</v>
      </c>
      <c r="Y10">
        <f>$B10*'Time Series Scaling Factors'!Y36</f>
        <v>759780749039953.13</v>
      </c>
      <c r="Z10">
        <f>$B10*'Time Series Scaling Factors'!Z36</f>
        <v>760916315881482</v>
      </c>
      <c r="AA10">
        <f>$B10*'Time Series Scaling Factors'!AA36</f>
        <v>761851971483421.75</v>
      </c>
      <c r="AB10">
        <f>$B10*'Time Series Scaling Factors'!AB36</f>
        <v>768465683170075.63</v>
      </c>
      <c r="AC10">
        <f>$B10*'Time Series Scaling Factors'!AC36</f>
        <v>781342540773626.63</v>
      </c>
      <c r="AD10">
        <f>$B10*'Time Series Scaling Factors'!AD36</f>
        <v>784254677310372.75</v>
      </c>
      <c r="AE10">
        <f>$B10*'Time Series Scaling Factors'!AE36</f>
        <v>793514051173343.88</v>
      </c>
      <c r="AF10">
        <f>$B10*'Time Series Scaling Factors'!AF36</f>
        <v>808574179140444</v>
      </c>
      <c r="AG10">
        <f>$B10*'Time Series Scaling Factors'!AG36</f>
        <v>819427074116322.5</v>
      </c>
      <c r="AH10">
        <f t="shared" ref="AH10:BA10" si="8">AG10</f>
        <v>819427074116322.5</v>
      </c>
      <c r="AI10">
        <f t="shared" si="8"/>
        <v>819427074116322.5</v>
      </c>
      <c r="AJ10">
        <f t="shared" si="8"/>
        <v>819427074116322.5</v>
      </c>
      <c r="AK10">
        <f t="shared" si="8"/>
        <v>819427074116322.5</v>
      </c>
      <c r="AL10">
        <f t="shared" si="8"/>
        <v>819427074116322.5</v>
      </c>
      <c r="AM10">
        <f t="shared" si="8"/>
        <v>819427074116322.5</v>
      </c>
      <c r="AN10">
        <f t="shared" si="8"/>
        <v>819427074116322.5</v>
      </c>
      <c r="AO10">
        <f t="shared" si="8"/>
        <v>819427074116322.5</v>
      </c>
      <c r="AP10">
        <f t="shared" si="8"/>
        <v>819427074116322.5</v>
      </c>
      <c r="AQ10">
        <f t="shared" si="8"/>
        <v>819427074116322.5</v>
      </c>
      <c r="AR10">
        <f t="shared" si="8"/>
        <v>819427074116322.5</v>
      </c>
      <c r="AS10">
        <f t="shared" si="8"/>
        <v>819427074116322.5</v>
      </c>
      <c r="AT10">
        <f t="shared" si="8"/>
        <v>819427074116322.5</v>
      </c>
      <c r="AU10">
        <f t="shared" si="8"/>
        <v>819427074116322.5</v>
      </c>
      <c r="AV10">
        <f t="shared" si="8"/>
        <v>819427074116322.5</v>
      </c>
      <c r="AW10">
        <f t="shared" si="8"/>
        <v>819427074116322.5</v>
      </c>
      <c r="AX10">
        <f t="shared" si="8"/>
        <v>819427074116322.5</v>
      </c>
      <c r="AY10">
        <f t="shared" si="8"/>
        <v>819427074116322.5</v>
      </c>
      <c r="AZ10">
        <f t="shared" si="8"/>
        <v>819427074116322.5</v>
      </c>
      <c r="BA10">
        <f t="shared" si="8"/>
        <v>819427074116322.5</v>
      </c>
    </row>
    <row r="11" spans="1:53" x14ac:dyDescent="0.3">
      <c r="A11" s="1" t="s">
        <v>761</v>
      </c>
      <c r="B11">
        <f>'Start Year Data'!C35</f>
        <v>542208261667199.94</v>
      </c>
      <c r="C11">
        <f>$B11*'Time Series Scaling Factors'!C37</f>
        <v>472867800016611</v>
      </c>
      <c r="D11">
        <f>$B11*'Time Series Scaling Factors'!D37</f>
        <v>478757533991803.5</v>
      </c>
      <c r="E11">
        <f>$B11*'Time Series Scaling Factors'!E37</f>
        <v>488813152665568.81</v>
      </c>
      <c r="F11">
        <f>$B11*'Time Series Scaling Factors'!F37</f>
        <v>484966474311083.81</v>
      </c>
      <c r="G11">
        <f>$B11*'Time Series Scaling Factors'!G37</f>
        <v>473090580616291.63</v>
      </c>
      <c r="H11">
        <f>$B11*'Time Series Scaling Factors'!H37</f>
        <v>455834872985575.94</v>
      </c>
      <c r="I11">
        <f>$B11*'Time Series Scaling Factors'!I37</f>
        <v>420339735106464.19</v>
      </c>
      <c r="J11">
        <f>$B11*'Time Series Scaling Factors'!J37</f>
        <v>422854005450132.25</v>
      </c>
      <c r="K11">
        <f>$B11*'Time Series Scaling Factors'!K37</f>
        <v>408048434354085.81</v>
      </c>
      <c r="L11">
        <f>$B11*'Time Series Scaling Factors'!L37</f>
        <v>390688987474427.94</v>
      </c>
      <c r="M11">
        <f>$B11*'Time Series Scaling Factors'!M37</f>
        <v>397607675279963.5</v>
      </c>
      <c r="N11">
        <f>$B11*'Time Series Scaling Factors'!N37</f>
        <v>393720266330991.19</v>
      </c>
      <c r="O11">
        <f>$B11*'Time Series Scaling Factors'!O37</f>
        <v>382905168340132.81</v>
      </c>
      <c r="P11">
        <f>$B11*'Time Series Scaling Factors'!P37</f>
        <v>385690038351594.81</v>
      </c>
      <c r="Q11">
        <f>$B11*'Time Series Scaling Factors'!Q37</f>
        <v>386614915386632.5</v>
      </c>
      <c r="R11">
        <f>$B11*'Time Series Scaling Factors'!R37</f>
        <v>381580073833850.81</v>
      </c>
      <c r="S11">
        <f>$B11*'Time Series Scaling Factors'!S37</f>
        <v>374421390564113.88</v>
      </c>
      <c r="T11">
        <f>$B11*'Time Series Scaling Factors'!T37</f>
        <v>385702302536122.69</v>
      </c>
      <c r="U11">
        <f>$B11*'Time Series Scaling Factors'!U37</f>
        <v>380867625976690.38</v>
      </c>
      <c r="V11">
        <f>$B11*'Time Series Scaling Factors'!V37</f>
        <v>381926396402445.19</v>
      </c>
      <c r="W11">
        <f>$B11*'Time Series Scaling Factors'!W37</f>
        <v>384857198958243.38</v>
      </c>
      <c r="X11">
        <f>$B11*'Time Series Scaling Factors'!X37</f>
        <v>384700577445740.63</v>
      </c>
      <c r="Y11">
        <f>$B11*'Time Series Scaling Factors'!Y37</f>
        <v>385290270942167.94</v>
      </c>
      <c r="Z11">
        <f>$B11*'Time Series Scaling Factors'!Z37</f>
        <v>385866125037706</v>
      </c>
      <c r="AA11">
        <f>$B11*'Time Series Scaling Factors'!AA37</f>
        <v>386340602708843.94</v>
      </c>
      <c r="AB11">
        <f>$B11*'Time Series Scaling Factors'!AB37</f>
        <v>389694463373126.5</v>
      </c>
      <c r="AC11">
        <f>$B11*'Time Series Scaling Factors'!AC37</f>
        <v>396224410283764.75</v>
      </c>
      <c r="AD11">
        <f>$B11*'Time Series Scaling Factors'!AD37</f>
        <v>397701175622556.63</v>
      </c>
      <c r="AE11">
        <f>$B11*'Time Series Scaling Factors'!AE37</f>
        <v>402396670564915.75</v>
      </c>
      <c r="AF11">
        <f>$B11*'Time Series Scaling Factors'!AF37</f>
        <v>410033769546694.06</v>
      </c>
      <c r="AG11">
        <f>$B11*'Time Series Scaling Factors'!AG37</f>
        <v>415537350482440.06</v>
      </c>
      <c r="AH11">
        <f t="shared" ref="AH11:BA11" si="9">AG11</f>
        <v>415537350482440.06</v>
      </c>
      <c r="AI11">
        <f t="shared" si="9"/>
        <v>415537350482440.06</v>
      </c>
      <c r="AJ11">
        <f t="shared" si="9"/>
        <v>415537350482440.06</v>
      </c>
      <c r="AK11">
        <f t="shared" si="9"/>
        <v>415537350482440.06</v>
      </c>
      <c r="AL11">
        <f t="shared" si="9"/>
        <v>415537350482440.06</v>
      </c>
      <c r="AM11">
        <f t="shared" si="9"/>
        <v>415537350482440.06</v>
      </c>
      <c r="AN11">
        <f t="shared" si="9"/>
        <v>415537350482440.06</v>
      </c>
      <c r="AO11">
        <f t="shared" si="9"/>
        <v>415537350482440.06</v>
      </c>
      <c r="AP11">
        <f t="shared" si="9"/>
        <v>415537350482440.06</v>
      </c>
      <c r="AQ11">
        <f t="shared" si="9"/>
        <v>415537350482440.06</v>
      </c>
      <c r="AR11">
        <f t="shared" si="9"/>
        <v>415537350482440.06</v>
      </c>
      <c r="AS11">
        <f t="shared" si="9"/>
        <v>415537350482440.06</v>
      </c>
      <c r="AT11">
        <f t="shared" si="9"/>
        <v>415537350482440.06</v>
      </c>
      <c r="AU11">
        <f t="shared" si="9"/>
        <v>415537350482440.06</v>
      </c>
      <c r="AV11">
        <f t="shared" si="9"/>
        <v>415537350482440.06</v>
      </c>
      <c r="AW11">
        <f t="shared" si="9"/>
        <v>415537350482440.06</v>
      </c>
      <c r="AX11">
        <f t="shared" si="9"/>
        <v>415537350482440.06</v>
      </c>
      <c r="AY11">
        <f t="shared" si="9"/>
        <v>415537350482440.06</v>
      </c>
      <c r="AZ11">
        <f t="shared" si="9"/>
        <v>415537350482440.06</v>
      </c>
      <c r="BA11">
        <f t="shared" si="9"/>
        <v>415537350482440.06</v>
      </c>
    </row>
    <row r="12" spans="1:53" x14ac:dyDescent="0.3">
      <c r="A12" s="1" t="s">
        <v>762</v>
      </c>
      <c r="B12">
        <f>'Start Year Data'!C36</f>
        <v>0</v>
      </c>
      <c r="C12">
        <f>$B12*'Time Series Scaling Factors'!C38</f>
        <v>0</v>
      </c>
      <c r="D12">
        <f>$B12*'Time Series Scaling Factors'!D38</f>
        <v>0</v>
      </c>
      <c r="E12">
        <f>$B12*'Time Series Scaling Factors'!E38</f>
        <v>0</v>
      </c>
      <c r="F12">
        <f>$B12*'Time Series Scaling Factors'!F38</f>
        <v>0</v>
      </c>
      <c r="G12">
        <f>$B12*'Time Series Scaling Factors'!G38</f>
        <v>0</v>
      </c>
      <c r="H12">
        <f>$B12*'Time Series Scaling Factors'!H38</f>
        <v>0</v>
      </c>
      <c r="I12">
        <f>$B12*'Time Series Scaling Factors'!I38</f>
        <v>0</v>
      </c>
      <c r="J12">
        <f>$B12*'Time Series Scaling Factors'!J38</f>
        <v>0</v>
      </c>
      <c r="K12">
        <f>$B12*'Time Series Scaling Factors'!K38</f>
        <v>0</v>
      </c>
      <c r="L12">
        <f>$B12*'Time Series Scaling Factors'!L38</f>
        <v>0</v>
      </c>
      <c r="M12">
        <f>$B12*'Time Series Scaling Factors'!M38</f>
        <v>0</v>
      </c>
      <c r="N12">
        <f>$B12*'Time Series Scaling Factors'!N38</f>
        <v>0</v>
      </c>
      <c r="O12">
        <f>$B12*'Time Series Scaling Factors'!O38</f>
        <v>0</v>
      </c>
      <c r="P12">
        <f>$B12*'Time Series Scaling Factors'!P38</f>
        <v>0</v>
      </c>
      <c r="Q12">
        <f>$B12*'Time Series Scaling Factors'!Q38</f>
        <v>0</v>
      </c>
      <c r="R12">
        <f>$B12*'Time Series Scaling Factors'!R38</f>
        <v>0</v>
      </c>
      <c r="S12">
        <f>$B12*'Time Series Scaling Factors'!S38</f>
        <v>0</v>
      </c>
      <c r="T12">
        <f>$B12*'Time Series Scaling Factors'!T38</f>
        <v>0</v>
      </c>
      <c r="U12">
        <f>$B12*'Time Series Scaling Factors'!U38</f>
        <v>0</v>
      </c>
      <c r="V12">
        <f>$B12*'Time Series Scaling Factors'!V38</f>
        <v>0</v>
      </c>
      <c r="W12">
        <f>$B12*'Time Series Scaling Factors'!W38</f>
        <v>0</v>
      </c>
      <c r="X12">
        <f>$B12*'Time Series Scaling Factors'!X38</f>
        <v>0</v>
      </c>
      <c r="Y12">
        <f>$B12*'Time Series Scaling Factors'!Y38</f>
        <v>0</v>
      </c>
      <c r="Z12">
        <f>$B12*'Time Series Scaling Factors'!Z38</f>
        <v>0</v>
      </c>
      <c r="AA12">
        <f>$B12*'Time Series Scaling Factors'!AA38</f>
        <v>0</v>
      </c>
      <c r="AB12">
        <f>$B12*'Time Series Scaling Factors'!AB38</f>
        <v>0</v>
      </c>
      <c r="AC12">
        <f>$B12*'Time Series Scaling Factors'!AC38</f>
        <v>0</v>
      </c>
      <c r="AD12">
        <f>$B12*'Time Series Scaling Factors'!AD38</f>
        <v>0</v>
      </c>
      <c r="AE12">
        <f>$B12*'Time Series Scaling Factors'!AE38</f>
        <v>0</v>
      </c>
      <c r="AF12">
        <f>$B12*'Time Series Scaling Factors'!AF38</f>
        <v>0</v>
      </c>
      <c r="AG12">
        <f>$B12*'Time Series Scaling Factors'!AG38</f>
        <v>0</v>
      </c>
      <c r="AH12">
        <f t="shared" ref="AH12:BA12" si="10">AG12</f>
        <v>0</v>
      </c>
      <c r="AI12">
        <f t="shared" si="10"/>
        <v>0</v>
      </c>
      <c r="AJ12">
        <f t="shared" si="10"/>
        <v>0</v>
      </c>
      <c r="AK12">
        <f t="shared" si="10"/>
        <v>0</v>
      </c>
      <c r="AL12">
        <f t="shared" si="10"/>
        <v>0</v>
      </c>
      <c r="AM12">
        <f t="shared" si="10"/>
        <v>0</v>
      </c>
      <c r="AN12">
        <f t="shared" si="10"/>
        <v>0</v>
      </c>
      <c r="AO12">
        <f t="shared" si="10"/>
        <v>0</v>
      </c>
      <c r="AP12">
        <f t="shared" si="10"/>
        <v>0</v>
      </c>
      <c r="AQ12">
        <f t="shared" si="10"/>
        <v>0</v>
      </c>
      <c r="AR12">
        <f t="shared" si="10"/>
        <v>0</v>
      </c>
      <c r="AS12">
        <f t="shared" si="10"/>
        <v>0</v>
      </c>
      <c r="AT12">
        <f t="shared" si="10"/>
        <v>0</v>
      </c>
      <c r="AU12">
        <f t="shared" si="10"/>
        <v>0</v>
      </c>
      <c r="AV12">
        <f t="shared" si="10"/>
        <v>0</v>
      </c>
      <c r="AW12">
        <f t="shared" si="10"/>
        <v>0</v>
      </c>
      <c r="AX12">
        <f t="shared" si="10"/>
        <v>0</v>
      </c>
      <c r="AY12">
        <f t="shared" si="10"/>
        <v>0</v>
      </c>
      <c r="AZ12">
        <f t="shared" si="10"/>
        <v>0</v>
      </c>
      <c r="BA12">
        <f t="shared" si="10"/>
        <v>0</v>
      </c>
    </row>
    <row r="13" spans="1:53" x14ac:dyDescent="0.3">
      <c r="A13" s="1" t="s">
        <v>763</v>
      </c>
      <c r="B13">
        <f>'Start Year Data'!C37</f>
        <v>0</v>
      </c>
      <c r="C13">
        <f>$B13*'Time Series Scaling Factors'!C39</f>
        <v>0</v>
      </c>
      <c r="D13">
        <f>$B13*'Time Series Scaling Factors'!D39</f>
        <v>0</v>
      </c>
      <c r="E13">
        <f>$B13*'Time Series Scaling Factors'!E39</f>
        <v>0</v>
      </c>
      <c r="F13">
        <f>$B13*'Time Series Scaling Factors'!F39</f>
        <v>0</v>
      </c>
      <c r="G13">
        <f>$B13*'Time Series Scaling Factors'!G39</f>
        <v>0</v>
      </c>
      <c r="H13">
        <f>$B13*'Time Series Scaling Factors'!H39</f>
        <v>0</v>
      </c>
      <c r="I13">
        <f>$B13*'Time Series Scaling Factors'!I39</f>
        <v>0</v>
      </c>
      <c r="J13">
        <f>$B13*'Time Series Scaling Factors'!J39</f>
        <v>0</v>
      </c>
      <c r="K13">
        <f>$B13*'Time Series Scaling Factors'!K39</f>
        <v>0</v>
      </c>
      <c r="L13">
        <f>$B13*'Time Series Scaling Factors'!L39</f>
        <v>0</v>
      </c>
      <c r="M13">
        <f>$B13*'Time Series Scaling Factors'!M39</f>
        <v>0</v>
      </c>
      <c r="N13">
        <f>$B13*'Time Series Scaling Factors'!N39</f>
        <v>0</v>
      </c>
      <c r="O13">
        <f>$B13*'Time Series Scaling Factors'!O39</f>
        <v>0</v>
      </c>
      <c r="P13">
        <f>$B13*'Time Series Scaling Factors'!P39</f>
        <v>0</v>
      </c>
      <c r="Q13">
        <f>$B13*'Time Series Scaling Factors'!Q39</f>
        <v>0</v>
      </c>
      <c r="R13">
        <f>$B13*'Time Series Scaling Factors'!R39</f>
        <v>0</v>
      </c>
      <c r="S13">
        <f>$B13*'Time Series Scaling Factors'!S39</f>
        <v>0</v>
      </c>
      <c r="T13">
        <f>$B13*'Time Series Scaling Factors'!T39</f>
        <v>0</v>
      </c>
      <c r="U13">
        <f>$B13*'Time Series Scaling Factors'!U39</f>
        <v>0</v>
      </c>
      <c r="V13">
        <f>$B13*'Time Series Scaling Factors'!V39</f>
        <v>0</v>
      </c>
      <c r="W13">
        <f>$B13*'Time Series Scaling Factors'!W39</f>
        <v>0</v>
      </c>
      <c r="X13">
        <f>$B13*'Time Series Scaling Factors'!X39</f>
        <v>0</v>
      </c>
      <c r="Y13">
        <f>$B13*'Time Series Scaling Factors'!Y39</f>
        <v>0</v>
      </c>
      <c r="Z13">
        <f>$B13*'Time Series Scaling Factors'!Z39</f>
        <v>0</v>
      </c>
      <c r="AA13">
        <f>$B13*'Time Series Scaling Factors'!AA39</f>
        <v>0</v>
      </c>
      <c r="AB13">
        <f>$B13*'Time Series Scaling Factors'!AB39</f>
        <v>0</v>
      </c>
      <c r="AC13">
        <f>$B13*'Time Series Scaling Factors'!AC39</f>
        <v>0</v>
      </c>
      <c r="AD13">
        <f>$B13*'Time Series Scaling Factors'!AD39</f>
        <v>0</v>
      </c>
      <c r="AE13">
        <f>$B13*'Time Series Scaling Factors'!AE39</f>
        <v>0</v>
      </c>
      <c r="AF13">
        <f>$B13*'Time Series Scaling Factors'!AF39</f>
        <v>0</v>
      </c>
      <c r="AG13">
        <f>$B13*'Time Series Scaling Factors'!AG39</f>
        <v>0</v>
      </c>
      <c r="AH13">
        <f t="shared" ref="AH13:BA13" si="11">AG13</f>
        <v>0</v>
      </c>
      <c r="AI13">
        <f t="shared" si="11"/>
        <v>0</v>
      </c>
      <c r="AJ13">
        <f t="shared" si="11"/>
        <v>0</v>
      </c>
      <c r="AK13">
        <f t="shared" si="11"/>
        <v>0</v>
      </c>
      <c r="AL13">
        <f t="shared" si="11"/>
        <v>0</v>
      </c>
      <c r="AM13">
        <f t="shared" si="11"/>
        <v>0</v>
      </c>
      <c r="AN13">
        <f t="shared" si="11"/>
        <v>0</v>
      </c>
      <c r="AO13">
        <f t="shared" si="11"/>
        <v>0</v>
      </c>
      <c r="AP13">
        <f t="shared" si="11"/>
        <v>0</v>
      </c>
      <c r="AQ13">
        <f t="shared" si="11"/>
        <v>0</v>
      </c>
      <c r="AR13">
        <f t="shared" si="11"/>
        <v>0</v>
      </c>
      <c r="AS13">
        <f t="shared" si="11"/>
        <v>0</v>
      </c>
      <c r="AT13">
        <f t="shared" si="11"/>
        <v>0</v>
      </c>
      <c r="AU13">
        <f t="shared" si="11"/>
        <v>0</v>
      </c>
      <c r="AV13">
        <f t="shared" si="11"/>
        <v>0</v>
      </c>
      <c r="AW13">
        <f t="shared" si="11"/>
        <v>0</v>
      </c>
      <c r="AX13">
        <f t="shared" si="11"/>
        <v>0</v>
      </c>
      <c r="AY13">
        <f t="shared" si="11"/>
        <v>0</v>
      </c>
      <c r="AZ13">
        <f t="shared" si="11"/>
        <v>0</v>
      </c>
      <c r="BA13">
        <f t="shared" si="11"/>
        <v>0</v>
      </c>
    </row>
    <row r="14" spans="1:53" x14ac:dyDescent="0.3">
      <c r="A14" s="1" t="s">
        <v>764</v>
      </c>
      <c r="B14">
        <f>'Start Year Data'!C38</f>
        <v>108707988944160</v>
      </c>
      <c r="C14">
        <f>$B14*'Time Series Scaling Factors'!C40</f>
        <v>94805836078916.844</v>
      </c>
      <c r="D14">
        <f>$B14*'Time Series Scaling Factors'!D40</f>
        <v>95986675953784.438</v>
      </c>
      <c r="E14">
        <f>$B14*'Time Series Scaling Factors'!E40</f>
        <v>98002739080991.672</v>
      </c>
      <c r="F14">
        <f>$B14*'Time Series Scaling Factors'!F40</f>
        <v>97231513893929.203</v>
      </c>
      <c r="G14">
        <f>$B14*'Time Series Scaling Factors'!G40</f>
        <v>94850501630291.125</v>
      </c>
      <c r="H14">
        <f>$B14*'Time Series Scaling Factors'!H40</f>
        <v>91390883976042.141</v>
      </c>
      <c r="I14">
        <f>$B14*'Time Series Scaling Factors'!I40</f>
        <v>84274420932359.719</v>
      </c>
      <c r="J14">
        <f>$B14*'Time Series Scaling Factors'!J40</f>
        <v>84778510028829.188</v>
      </c>
      <c r="K14">
        <f>$B14*'Time Series Scaling Factors'!K40</f>
        <v>81810123206260.125</v>
      </c>
      <c r="L14">
        <f>$B14*'Time Series Scaling Factors'!L40</f>
        <v>78329706744755.047</v>
      </c>
      <c r="M14">
        <f>$B14*'Time Series Scaling Factors'!M40</f>
        <v>79716842815237.656</v>
      </c>
      <c r="N14">
        <f>$B14*'Time Series Scaling Factors'!N40</f>
        <v>78937451502115.828</v>
      </c>
      <c r="O14">
        <f>$B14*'Time Series Scaling Factors'!O40</f>
        <v>76769119449769.016</v>
      </c>
      <c r="P14">
        <f>$B14*'Time Series Scaling Factors'!P40</f>
        <v>77327461400306.719</v>
      </c>
      <c r="Q14">
        <f>$B14*'Time Series Scaling Factors'!Q40</f>
        <v>77512891113587.813</v>
      </c>
      <c r="R14">
        <f>$B14*'Time Series Scaling Factors'!R40</f>
        <v>76503449652529.203</v>
      </c>
      <c r="S14">
        <f>$B14*'Time Series Scaling Factors'!S40</f>
        <v>75068196601702.469</v>
      </c>
      <c r="T14">
        <f>$B14*'Time Series Scaling Factors'!T40</f>
        <v>77329920261468.25</v>
      </c>
      <c r="U14">
        <f>$B14*'Time Series Scaling Factors'!U40</f>
        <v>76360610121568.625</v>
      </c>
      <c r="V14">
        <f>$B14*'Time Series Scaling Factors'!V40</f>
        <v>76572884282392.844</v>
      </c>
      <c r="W14">
        <f>$B14*'Time Series Scaling Factors'!W40</f>
        <v>77160484424916.641</v>
      </c>
      <c r="X14">
        <f>$B14*'Time Series Scaling Factors'!X40</f>
        <v>77129083188798.969</v>
      </c>
      <c r="Y14">
        <f>$B14*'Time Series Scaling Factors'!Y40</f>
        <v>77247311549785.125</v>
      </c>
      <c r="Z14">
        <f>$B14*'Time Series Scaling Factors'!Z40</f>
        <v>77362765232579.828</v>
      </c>
      <c r="AA14">
        <f>$B14*'Time Series Scaling Factors'!AA40</f>
        <v>77457893833663.328</v>
      </c>
      <c r="AB14">
        <f>$B14*'Time Series Scaling Factors'!AB40</f>
        <v>78130313407079.688</v>
      </c>
      <c r="AC14">
        <f>$B14*'Time Series Scaling Factors'!AC40</f>
        <v>79439510346250.109</v>
      </c>
      <c r="AD14">
        <f>$B14*'Time Series Scaling Factors'!AD40</f>
        <v>79735588811799.281</v>
      </c>
      <c r="AE14">
        <f>$B14*'Time Series Scaling Factors'!AE40</f>
        <v>80676994261269.609</v>
      </c>
      <c r="AF14">
        <f>$B14*'Time Series Scaling Factors'!AF40</f>
        <v>82208165455754.625</v>
      </c>
      <c r="AG14">
        <f>$B14*'Time Series Scaling Factors'!AG40</f>
        <v>83311585041573.438</v>
      </c>
      <c r="AH14">
        <f t="shared" ref="AH14:BA14" si="12">AG14</f>
        <v>83311585041573.438</v>
      </c>
      <c r="AI14">
        <f t="shared" si="12"/>
        <v>83311585041573.438</v>
      </c>
      <c r="AJ14">
        <f t="shared" si="12"/>
        <v>83311585041573.438</v>
      </c>
      <c r="AK14">
        <f t="shared" si="12"/>
        <v>83311585041573.438</v>
      </c>
      <c r="AL14">
        <f t="shared" si="12"/>
        <v>83311585041573.438</v>
      </c>
      <c r="AM14">
        <f t="shared" si="12"/>
        <v>83311585041573.438</v>
      </c>
      <c r="AN14">
        <f t="shared" si="12"/>
        <v>83311585041573.438</v>
      </c>
      <c r="AO14">
        <f t="shared" si="12"/>
        <v>83311585041573.438</v>
      </c>
      <c r="AP14">
        <f t="shared" si="12"/>
        <v>83311585041573.438</v>
      </c>
      <c r="AQ14">
        <f t="shared" si="12"/>
        <v>83311585041573.438</v>
      </c>
      <c r="AR14">
        <f t="shared" si="12"/>
        <v>83311585041573.438</v>
      </c>
      <c r="AS14">
        <f t="shared" si="12"/>
        <v>83311585041573.438</v>
      </c>
      <c r="AT14">
        <f t="shared" si="12"/>
        <v>83311585041573.438</v>
      </c>
      <c r="AU14">
        <f t="shared" si="12"/>
        <v>83311585041573.438</v>
      </c>
      <c r="AV14">
        <f t="shared" si="12"/>
        <v>83311585041573.438</v>
      </c>
      <c r="AW14">
        <f t="shared" si="12"/>
        <v>83311585041573.438</v>
      </c>
      <c r="AX14">
        <f t="shared" si="12"/>
        <v>83311585041573.438</v>
      </c>
      <c r="AY14">
        <f t="shared" si="12"/>
        <v>83311585041573.438</v>
      </c>
      <c r="AZ14">
        <f t="shared" si="12"/>
        <v>83311585041573.438</v>
      </c>
      <c r="BA14">
        <f t="shared" si="12"/>
        <v>83311585041573.438</v>
      </c>
    </row>
    <row r="15" spans="1:53" x14ac:dyDescent="0.3">
      <c r="A15" s="1" t="s">
        <v>784</v>
      </c>
      <c r="B15">
        <f>'Start Year Data'!C39</f>
        <v>0</v>
      </c>
      <c r="C15">
        <f>$B15*'Time Series Scaling Factors'!C41</f>
        <v>0</v>
      </c>
      <c r="D15">
        <f>$B15*'Time Series Scaling Factors'!D41</f>
        <v>0</v>
      </c>
      <c r="E15">
        <f>$B15*'Time Series Scaling Factors'!E41</f>
        <v>0</v>
      </c>
      <c r="F15">
        <f>$B15*'Time Series Scaling Factors'!F41</f>
        <v>0</v>
      </c>
      <c r="G15">
        <f>$B15*'Time Series Scaling Factors'!G41</f>
        <v>0</v>
      </c>
      <c r="H15">
        <f>$B15*'Time Series Scaling Factors'!H41</f>
        <v>0</v>
      </c>
      <c r="I15">
        <f>$B15*'Time Series Scaling Factors'!I41</f>
        <v>0</v>
      </c>
      <c r="J15">
        <f>$B15*'Time Series Scaling Factors'!J41</f>
        <v>0</v>
      </c>
      <c r="K15">
        <f>$B15*'Time Series Scaling Factors'!K41</f>
        <v>0</v>
      </c>
      <c r="L15">
        <f>$B15*'Time Series Scaling Factors'!L41</f>
        <v>0</v>
      </c>
      <c r="M15">
        <f>$B15*'Time Series Scaling Factors'!M41</f>
        <v>0</v>
      </c>
      <c r="N15">
        <f>$B15*'Time Series Scaling Factors'!N41</f>
        <v>0</v>
      </c>
      <c r="O15">
        <f>$B15*'Time Series Scaling Factors'!O41</f>
        <v>0</v>
      </c>
      <c r="P15">
        <f>$B15*'Time Series Scaling Factors'!P41</f>
        <v>0</v>
      </c>
      <c r="Q15">
        <f>$B15*'Time Series Scaling Factors'!Q41</f>
        <v>0</v>
      </c>
      <c r="R15">
        <f>$B15*'Time Series Scaling Factors'!R41</f>
        <v>0</v>
      </c>
      <c r="S15">
        <f>$B15*'Time Series Scaling Factors'!S41</f>
        <v>0</v>
      </c>
      <c r="T15">
        <f>$B15*'Time Series Scaling Factors'!T41</f>
        <v>0</v>
      </c>
      <c r="U15">
        <f>$B15*'Time Series Scaling Factors'!U41</f>
        <v>0</v>
      </c>
      <c r="V15">
        <f>$B15*'Time Series Scaling Factors'!V41</f>
        <v>0</v>
      </c>
      <c r="W15">
        <f>$B15*'Time Series Scaling Factors'!W41</f>
        <v>0</v>
      </c>
      <c r="X15">
        <f>$B15*'Time Series Scaling Factors'!X41</f>
        <v>0</v>
      </c>
      <c r="Y15">
        <f>$B15*'Time Series Scaling Factors'!Y41</f>
        <v>0</v>
      </c>
      <c r="Z15">
        <f>$B15*'Time Series Scaling Factors'!Z41</f>
        <v>0</v>
      </c>
      <c r="AA15">
        <f>$B15*'Time Series Scaling Factors'!AA41</f>
        <v>0</v>
      </c>
      <c r="AB15">
        <f>$B15*'Time Series Scaling Factors'!AB41</f>
        <v>0</v>
      </c>
      <c r="AC15">
        <f>$B15*'Time Series Scaling Factors'!AC41</f>
        <v>0</v>
      </c>
      <c r="AD15">
        <f>$B15*'Time Series Scaling Factors'!AD41</f>
        <v>0</v>
      </c>
      <c r="AE15">
        <f>$B15*'Time Series Scaling Factors'!AE41</f>
        <v>0</v>
      </c>
      <c r="AF15">
        <f>$B15*'Time Series Scaling Factors'!AF41</f>
        <v>0</v>
      </c>
      <c r="AG15">
        <f>$B15*'Time Series Scaling Factors'!AG41</f>
        <v>0</v>
      </c>
      <c r="AH15">
        <f t="shared" ref="AH15:BA15" si="13">AG15</f>
        <v>0</v>
      </c>
      <c r="AI15">
        <f t="shared" si="13"/>
        <v>0</v>
      </c>
      <c r="AJ15">
        <f t="shared" si="13"/>
        <v>0</v>
      </c>
      <c r="AK15">
        <f t="shared" si="13"/>
        <v>0</v>
      </c>
      <c r="AL15">
        <f t="shared" si="13"/>
        <v>0</v>
      </c>
      <c r="AM15">
        <f t="shared" si="13"/>
        <v>0</v>
      </c>
      <c r="AN15">
        <f t="shared" si="13"/>
        <v>0</v>
      </c>
      <c r="AO15">
        <f t="shared" si="13"/>
        <v>0</v>
      </c>
      <c r="AP15">
        <f t="shared" si="13"/>
        <v>0</v>
      </c>
      <c r="AQ15">
        <f t="shared" si="13"/>
        <v>0</v>
      </c>
      <c r="AR15">
        <f t="shared" si="13"/>
        <v>0</v>
      </c>
      <c r="AS15">
        <f t="shared" si="13"/>
        <v>0</v>
      </c>
      <c r="AT15">
        <f t="shared" si="13"/>
        <v>0</v>
      </c>
      <c r="AU15">
        <f t="shared" si="13"/>
        <v>0</v>
      </c>
      <c r="AV15">
        <f t="shared" si="13"/>
        <v>0</v>
      </c>
      <c r="AW15">
        <f t="shared" si="13"/>
        <v>0</v>
      </c>
      <c r="AX15">
        <f t="shared" si="13"/>
        <v>0</v>
      </c>
      <c r="AY15">
        <f t="shared" si="13"/>
        <v>0</v>
      </c>
      <c r="AZ15">
        <f t="shared" si="13"/>
        <v>0</v>
      </c>
      <c r="BA15">
        <f t="shared" si="13"/>
        <v>0</v>
      </c>
    </row>
    <row r="16" spans="1:53" x14ac:dyDescent="0.3">
      <c r="A16" s="1" t="s">
        <v>766</v>
      </c>
      <c r="B16">
        <f>'Start Year Data'!C40</f>
        <v>0</v>
      </c>
      <c r="C16">
        <f>$B16*'Time Series Scaling Factors'!C42</f>
        <v>0</v>
      </c>
      <c r="D16">
        <f>$B16*'Time Series Scaling Factors'!D42</f>
        <v>0</v>
      </c>
      <c r="E16">
        <f>$B16*'Time Series Scaling Factors'!E42</f>
        <v>0</v>
      </c>
      <c r="F16">
        <f>$B16*'Time Series Scaling Factors'!F42</f>
        <v>0</v>
      </c>
      <c r="G16">
        <f>$B16*'Time Series Scaling Factors'!G42</f>
        <v>0</v>
      </c>
      <c r="H16">
        <f>$B16*'Time Series Scaling Factors'!H42</f>
        <v>0</v>
      </c>
      <c r="I16">
        <f>$B16*'Time Series Scaling Factors'!I42</f>
        <v>0</v>
      </c>
      <c r="J16">
        <f>$B16*'Time Series Scaling Factors'!J42</f>
        <v>0</v>
      </c>
      <c r="K16">
        <f>$B16*'Time Series Scaling Factors'!K42</f>
        <v>0</v>
      </c>
      <c r="L16">
        <f>$B16*'Time Series Scaling Factors'!L42</f>
        <v>0</v>
      </c>
      <c r="M16">
        <f>$B16*'Time Series Scaling Factors'!M42</f>
        <v>0</v>
      </c>
      <c r="N16">
        <f>$B16*'Time Series Scaling Factors'!N42</f>
        <v>0</v>
      </c>
      <c r="O16">
        <f>$B16*'Time Series Scaling Factors'!O42</f>
        <v>0</v>
      </c>
      <c r="P16">
        <f>$B16*'Time Series Scaling Factors'!P42</f>
        <v>0</v>
      </c>
      <c r="Q16">
        <f>$B16*'Time Series Scaling Factors'!Q42</f>
        <v>0</v>
      </c>
      <c r="R16">
        <f>$B16*'Time Series Scaling Factors'!R42</f>
        <v>0</v>
      </c>
      <c r="S16">
        <f>$B16*'Time Series Scaling Factors'!S42</f>
        <v>0</v>
      </c>
      <c r="T16">
        <f>$B16*'Time Series Scaling Factors'!T42</f>
        <v>0</v>
      </c>
      <c r="U16">
        <f>$B16*'Time Series Scaling Factors'!U42</f>
        <v>0</v>
      </c>
      <c r="V16">
        <f>$B16*'Time Series Scaling Factors'!V42</f>
        <v>0</v>
      </c>
      <c r="W16">
        <f>$B16*'Time Series Scaling Factors'!W42</f>
        <v>0</v>
      </c>
      <c r="X16">
        <f>$B16*'Time Series Scaling Factors'!X42</f>
        <v>0</v>
      </c>
      <c r="Y16">
        <f>$B16*'Time Series Scaling Factors'!Y42</f>
        <v>0</v>
      </c>
      <c r="Z16">
        <f>$B16*'Time Series Scaling Factors'!Z42</f>
        <v>0</v>
      </c>
      <c r="AA16">
        <f>$B16*'Time Series Scaling Factors'!AA42</f>
        <v>0</v>
      </c>
      <c r="AB16">
        <f>$B16*'Time Series Scaling Factors'!AB42</f>
        <v>0</v>
      </c>
      <c r="AC16">
        <f>$B16*'Time Series Scaling Factors'!AC42</f>
        <v>0</v>
      </c>
      <c r="AD16">
        <f>$B16*'Time Series Scaling Factors'!AD42</f>
        <v>0</v>
      </c>
      <c r="AE16">
        <f>$B16*'Time Series Scaling Factors'!AE42</f>
        <v>0</v>
      </c>
      <c r="AF16">
        <f>$B16*'Time Series Scaling Factors'!AF42</f>
        <v>0</v>
      </c>
      <c r="AG16">
        <f>$B16*'Time Series Scaling Factors'!AG42</f>
        <v>0</v>
      </c>
      <c r="AH16">
        <f t="shared" ref="AH16:BA16" si="14">AG16</f>
        <v>0</v>
      </c>
      <c r="AI16">
        <f t="shared" si="14"/>
        <v>0</v>
      </c>
      <c r="AJ16">
        <f t="shared" si="14"/>
        <v>0</v>
      </c>
      <c r="AK16">
        <f t="shared" si="14"/>
        <v>0</v>
      </c>
      <c r="AL16">
        <f t="shared" si="14"/>
        <v>0</v>
      </c>
      <c r="AM16">
        <f t="shared" si="14"/>
        <v>0</v>
      </c>
      <c r="AN16">
        <f t="shared" si="14"/>
        <v>0</v>
      </c>
      <c r="AO16">
        <f t="shared" si="14"/>
        <v>0</v>
      </c>
      <c r="AP16">
        <f t="shared" si="14"/>
        <v>0</v>
      </c>
      <c r="AQ16">
        <f t="shared" si="14"/>
        <v>0</v>
      </c>
      <c r="AR16">
        <f t="shared" si="14"/>
        <v>0</v>
      </c>
      <c r="AS16">
        <f t="shared" si="14"/>
        <v>0</v>
      </c>
      <c r="AT16">
        <f t="shared" si="14"/>
        <v>0</v>
      </c>
      <c r="AU16">
        <f t="shared" si="14"/>
        <v>0</v>
      </c>
      <c r="AV16">
        <f t="shared" si="14"/>
        <v>0</v>
      </c>
      <c r="AW16">
        <f t="shared" si="14"/>
        <v>0</v>
      </c>
      <c r="AX16">
        <f t="shared" si="14"/>
        <v>0</v>
      </c>
      <c r="AY16">
        <f t="shared" si="14"/>
        <v>0</v>
      </c>
      <c r="AZ16">
        <f t="shared" si="14"/>
        <v>0</v>
      </c>
      <c r="BA16">
        <f t="shared" si="14"/>
        <v>0</v>
      </c>
    </row>
    <row r="17" spans="1:53" x14ac:dyDescent="0.3">
      <c r="A17" s="1" t="s">
        <v>767</v>
      </c>
      <c r="B17">
        <f>'Start Year Data'!C41</f>
        <v>0</v>
      </c>
      <c r="C17">
        <f>$B17*'Time Series Scaling Factors'!C43</f>
        <v>0</v>
      </c>
      <c r="D17">
        <f>$B17*'Time Series Scaling Factors'!D43</f>
        <v>0</v>
      </c>
      <c r="E17">
        <f>$B17*'Time Series Scaling Factors'!E43</f>
        <v>0</v>
      </c>
      <c r="F17">
        <f>$B17*'Time Series Scaling Factors'!F43</f>
        <v>0</v>
      </c>
      <c r="G17">
        <f>$B17*'Time Series Scaling Factors'!G43</f>
        <v>0</v>
      </c>
      <c r="H17">
        <f>$B17*'Time Series Scaling Factors'!H43</f>
        <v>0</v>
      </c>
      <c r="I17">
        <f>$B17*'Time Series Scaling Factors'!I43</f>
        <v>0</v>
      </c>
      <c r="J17">
        <f>$B17*'Time Series Scaling Factors'!J43</f>
        <v>0</v>
      </c>
      <c r="K17">
        <f>$B17*'Time Series Scaling Factors'!K43</f>
        <v>0</v>
      </c>
      <c r="L17">
        <f>$B17*'Time Series Scaling Factors'!L43</f>
        <v>0</v>
      </c>
      <c r="M17">
        <f>$B17*'Time Series Scaling Factors'!M43</f>
        <v>0</v>
      </c>
      <c r="N17">
        <f>$B17*'Time Series Scaling Factors'!N43</f>
        <v>0</v>
      </c>
      <c r="O17">
        <f>$B17*'Time Series Scaling Factors'!O43</f>
        <v>0</v>
      </c>
      <c r="P17">
        <f>$B17*'Time Series Scaling Factors'!P43</f>
        <v>0</v>
      </c>
      <c r="Q17">
        <f>$B17*'Time Series Scaling Factors'!Q43</f>
        <v>0</v>
      </c>
      <c r="R17">
        <f>$B17*'Time Series Scaling Factors'!R43</f>
        <v>0</v>
      </c>
      <c r="S17">
        <f>$B17*'Time Series Scaling Factors'!S43</f>
        <v>0</v>
      </c>
      <c r="T17">
        <f>$B17*'Time Series Scaling Factors'!T43</f>
        <v>0</v>
      </c>
      <c r="U17">
        <f>$B17*'Time Series Scaling Factors'!U43</f>
        <v>0</v>
      </c>
      <c r="V17">
        <f>$B17*'Time Series Scaling Factors'!V43</f>
        <v>0</v>
      </c>
      <c r="W17">
        <f>$B17*'Time Series Scaling Factors'!W43</f>
        <v>0</v>
      </c>
      <c r="X17">
        <f>$B17*'Time Series Scaling Factors'!X43</f>
        <v>0</v>
      </c>
      <c r="Y17">
        <f>$B17*'Time Series Scaling Factors'!Y43</f>
        <v>0</v>
      </c>
      <c r="Z17">
        <f>$B17*'Time Series Scaling Factors'!Z43</f>
        <v>0</v>
      </c>
      <c r="AA17">
        <f>$B17*'Time Series Scaling Factors'!AA43</f>
        <v>0</v>
      </c>
      <c r="AB17">
        <f>$B17*'Time Series Scaling Factors'!AB43</f>
        <v>0</v>
      </c>
      <c r="AC17">
        <f>$B17*'Time Series Scaling Factors'!AC43</f>
        <v>0</v>
      </c>
      <c r="AD17">
        <f>$B17*'Time Series Scaling Factors'!AD43</f>
        <v>0</v>
      </c>
      <c r="AE17">
        <f>$B17*'Time Series Scaling Factors'!AE43</f>
        <v>0</v>
      </c>
      <c r="AF17">
        <f>$B17*'Time Series Scaling Factors'!AF43</f>
        <v>0</v>
      </c>
      <c r="AG17">
        <f>$B17*'Time Series Scaling Factors'!AG43</f>
        <v>0</v>
      </c>
      <c r="AH17">
        <f t="shared" ref="AH17:BA17" si="15">AG17</f>
        <v>0</v>
      </c>
      <c r="AI17">
        <f t="shared" si="15"/>
        <v>0</v>
      </c>
      <c r="AJ17">
        <f t="shared" si="15"/>
        <v>0</v>
      </c>
      <c r="AK17">
        <f t="shared" si="15"/>
        <v>0</v>
      </c>
      <c r="AL17">
        <f t="shared" si="15"/>
        <v>0</v>
      </c>
      <c r="AM17">
        <f t="shared" si="15"/>
        <v>0</v>
      </c>
      <c r="AN17">
        <f t="shared" si="15"/>
        <v>0</v>
      </c>
      <c r="AO17">
        <f t="shared" si="15"/>
        <v>0</v>
      </c>
      <c r="AP17">
        <f t="shared" si="15"/>
        <v>0</v>
      </c>
      <c r="AQ17">
        <f t="shared" si="15"/>
        <v>0</v>
      </c>
      <c r="AR17">
        <f t="shared" si="15"/>
        <v>0</v>
      </c>
      <c r="AS17">
        <f t="shared" si="15"/>
        <v>0</v>
      </c>
      <c r="AT17">
        <f t="shared" si="15"/>
        <v>0</v>
      </c>
      <c r="AU17">
        <f t="shared" si="15"/>
        <v>0</v>
      </c>
      <c r="AV17">
        <f t="shared" si="15"/>
        <v>0</v>
      </c>
      <c r="AW17">
        <f t="shared" si="15"/>
        <v>0</v>
      </c>
      <c r="AX17">
        <f t="shared" si="15"/>
        <v>0</v>
      </c>
      <c r="AY17">
        <f t="shared" si="15"/>
        <v>0</v>
      </c>
      <c r="AZ17">
        <f t="shared" si="15"/>
        <v>0</v>
      </c>
      <c r="BA17">
        <f t="shared" si="15"/>
        <v>0</v>
      </c>
    </row>
    <row r="18" spans="1:53" x14ac:dyDescent="0.3">
      <c r="A18" s="1" t="s">
        <v>768</v>
      </c>
      <c r="B18">
        <f>'Start Year Data'!C42</f>
        <v>0</v>
      </c>
      <c r="C18">
        <f>$B18*'Time Series Scaling Factors'!C44</f>
        <v>0</v>
      </c>
      <c r="D18">
        <f>$B18*'Time Series Scaling Factors'!D44</f>
        <v>0</v>
      </c>
      <c r="E18">
        <f>$B18*'Time Series Scaling Factors'!E44</f>
        <v>0</v>
      </c>
      <c r="F18">
        <f>$B18*'Time Series Scaling Factors'!F44</f>
        <v>0</v>
      </c>
      <c r="G18">
        <f>$B18*'Time Series Scaling Factors'!G44</f>
        <v>0</v>
      </c>
      <c r="H18">
        <f>$B18*'Time Series Scaling Factors'!H44</f>
        <v>0</v>
      </c>
      <c r="I18">
        <f>$B18*'Time Series Scaling Factors'!I44</f>
        <v>0</v>
      </c>
      <c r="J18">
        <f>$B18*'Time Series Scaling Factors'!J44</f>
        <v>0</v>
      </c>
      <c r="K18">
        <f>$B18*'Time Series Scaling Factors'!K44</f>
        <v>0</v>
      </c>
      <c r="L18">
        <f>$B18*'Time Series Scaling Factors'!L44</f>
        <v>0</v>
      </c>
      <c r="M18">
        <f>$B18*'Time Series Scaling Factors'!M44</f>
        <v>0</v>
      </c>
      <c r="N18">
        <f>$B18*'Time Series Scaling Factors'!N44</f>
        <v>0</v>
      </c>
      <c r="O18">
        <f>$B18*'Time Series Scaling Factors'!O44</f>
        <v>0</v>
      </c>
      <c r="P18">
        <f>$B18*'Time Series Scaling Factors'!P44</f>
        <v>0</v>
      </c>
      <c r="Q18">
        <f>$B18*'Time Series Scaling Factors'!Q44</f>
        <v>0</v>
      </c>
      <c r="R18">
        <f>$B18*'Time Series Scaling Factors'!R44</f>
        <v>0</v>
      </c>
      <c r="S18">
        <f>$B18*'Time Series Scaling Factors'!S44</f>
        <v>0</v>
      </c>
      <c r="T18">
        <f>$B18*'Time Series Scaling Factors'!T44</f>
        <v>0</v>
      </c>
      <c r="U18">
        <f>$B18*'Time Series Scaling Factors'!U44</f>
        <v>0</v>
      </c>
      <c r="V18">
        <f>$B18*'Time Series Scaling Factors'!V44</f>
        <v>0</v>
      </c>
      <c r="W18">
        <f>$B18*'Time Series Scaling Factors'!W44</f>
        <v>0</v>
      </c>
      <c r="X18">
        <f>$B18*'Time Series Scaling Factors'!X44</f>
        <v>0</v>
      </c>
      <c r="Y18">
        <f>$B18*'Time Series Scaling Factors'!Y44</f>
        <v>0</v>
      </c>
      <c r="Z18">
        <f>$B18*'Time Series Scaling Factors'!Z44</f>
        <v>0</v>
      </c>
      <c r="AA18">
        <f>$B18*'Time Series Scaling Factors'!AA44</f>
        <v>0</v>
      </c>
      <c r="AB18">
        <f>$B18*'Time Series Scaling Factors'!AB44</f>
        <v>0</v>
      </c>
      <c r="AC18">
        <f>$B18*'Time Series Scaling Factors'!AC44</f>
        <v>0</v>
      </c>
      <c r="AD18">
        <f>$B18*'Time Series Scaling Factors'!AD44</f>
        <v>0</v>
      </c>
      <c r="AE18">
        <f>$B18*'Time Series Scaling Factors'!AE44</f>
        <v>0</v>
      </c>
      <c r="AF18">
        <f>$B18*'Time Series Scaling Factors'!AF44</f>
        <v>0</v>
      </c>
      <c r="AG18">
        <f>$B18*'Time Series Scaling Factors'!AG44</f>
        <v>0</v>
      </c>
      <c r="AH18">
        <f t="shared" ref="AH18:BA18" si="16">AG18</f>
        <v>0</v>
      </c>
      <c r="AI18">
        <f t="shared" si="16"/>
        <v>0</v>
      </c>
      <c r="AJ18">
        <f t="shared" si="16"/>
        <v>0</v>
      </c>
      <c r="AK18">
        <f t="shared" si="16"/>
        <v>0</v>
      </c>
      <c r="AL18">
        <f t="shared" si="16"/>
        <v>0</v>
      </c>
      <c r="AM18">
        <f t="shared" si="16"/>
        <v>0</v>
      </c>
      <c r="AN18">
        <f t="shared" si="16"/>
        <v>0</v>
      </c>
      <c r="AO18">
        <f t="shared" si="16"/>
        <v>0</v>
      </c>
      <c r="AP18">
        <f t="shared" si="16"/>
        <v>0</v>
      </c>
      <c r="AQ18">
        <f t="shared" si="16"/>
        <v>0</v>
      </c>
      <c r="AR18">
        <f t="shared" si="16"/>
        <v>0</v>
      </c>
      <c r="AS18">
        <f t="shared" si="16"/>
        <v>0</v>
      </c>
      <c r="AT18">
        <f t="shared" si="16"/>
        <v>0</v>
      </c>
      <c r="AU18">
        <f t="shared" si="16"/>
        <v>0</v>
      </c>
      <c r="AV18">
        <f t="shared" si="16"/>
        <v>0</v>
      </c>
      <c r="AW18">
        <f t="shared" si="16"/>
        <v>0</v>
      </c>
      <c r="AX18">
        <f t="shared" si="16"/>
        <v>0</v>
      </c>
      <c r="AY18">
        <f t="shared" si="16"/>
        <v>0</v>
      </c>
      <c r="AZ18">
        <f t="shared" si="16"/>
        <v>0</v>
      </c>
      <c r="BA18">
        <f t="shared" si="16"/>
        <v>0</v>
      </c>
    </row>
    <row r="19" spans="1:53" x14ac:dyDescent="0.3">
      <c r="A19" s="1" t="s">
        <v>769</v>
      </c>
      <c r="B19">
        <f>'Start Year Data'!C43</f>
        <v>97760701208160</v>
      </c>
      <c r="C19">
        <f>$B19*'Time Series Scaling Factors'!C45</f>
        <v>85258545427251.188</v>
      </c>
      <c r="D19">
        <f>$B19*'Time Series Scaling Factors'!D45</f>
        <v>86320470455051.203</v>
      </c>
      <c r="E19">
        <f>$B19*'Time Series Scaling Factors'!E45</f>
        <v>88133508732274.188</v>
      </c>
      <c r="F19">
        <f>$B19*'Time Series Scaling Factors'!F45</f>
        <v>87439948711443.063</v>
      </c>
      <c r="G19">
        <f>$B19*'Time Series Scaling Factors'!G45</f>
        <v>85298712996025.203</v>
      </c>
      <c r="H19">
        <f>$B19*'Time Series Scaling Factors'!H45</f>
        <v>82187491354667.813</v>
      </c>
      <c r="I19">
        <f>$B19*'Time Series Scaling Factors'!I45</f>
        <v>75787681883169.672</v>
      </c>
      <c r="J19">
        <f>$B19*'Time Series Scaling Factors'!J45</f>
        <v>76241007384090.828</v>
      </c>
      <c r="K19">
        <f>$B19*'Time Series Scaling Factors'!K45</f>
        <v>73571547852643.922</v>
      </c>
      <c r="L19">
        <f>$B19*'Time Series Scaling Factors'!L45</f>
        <v>70441621919160.453</v>
      </c>
      <c r="M19">
        <f>$B19*'Time Series Scaling Factors'!M45</f>
        <v>71689068369404.047</v>
      </c>
      <c r="N19">
        <f>$B19*'Time Series Scaling Factors'!N45</f>
        <v>70988164580948.547</v>
      </c>
      <c r="O19">
        <f>$B19*'Time Series Scaling Factors'!O45</f>
        <v>69038191410177.82</v>
      </c>
      <c r="P19">
        <f>$B19*'Time Series Scaling Factors'!P45</f>
        <v>69540306306503.766</v>
      </c>
      <c r="Q19">
        <f>$B19*'Time Series Scaling Factors'!Q45</f>
        <v>69707062576868.578</v>
      </c>
      <c r="R19">
        <f>$B19*'Time Series Scaling Factors'!R45</f>
        <v>68799275522576.086</v>
      </c>
      <c r="S19">
        <f>$B19*'Time Series Scaling Factors'!S45</f>
        <v>67508557645971.406</v>
      </c>
      <c r="T19">
        <f>$B19*'Time Series Scaling Factors'!T45</f>
        <v>69542517551451.43</v>
      </c>
      <c r="U19">
        <f>$B19*'Time Series Scaling Factors'!U45</f>
        <v>68670820449102.852</v>
      </c>
      <c r="V19">
        <f>$B19*'Time Series Scaling Factors'!V45</f>
        <v>68861717834033.852</v>
      </c>
      <c r="W19">
        <f>$B19*'Time Series Scaling Factors'!W45</f>
        <v>69390144516571.867</v>
      </c>
      <c r="X19">
        <f>$B19*'Time Series Scaling Factors'!X45</f>
        <v>69361905498524.68</v>
      </c>
      <c r="Y19">
        <f>$B19*'Time Series Scaling Factors'!Y45</f>
        <v>69468227835870.422</v>
      </c>
      <c r="Z19">
        <f>$B19*'Time Series Scaling Factors'!Z45</f>
        <v>69572054915155.945</v>
      </c>
      <c r="AA19">
        <f>$B19*'Time Series Scaling Factors'!AA45</f>
        <v>69657603721984.219</v>
      </c>
      <c r="AB19">
        <f>$B19*'Time Series Scaling Factors'!AB45</f>
        <v>70262308211891.047</v>
      </c>
      <c r="AC19">
        <f>$B19*'Time Series Scaling Factors'!AC45</f>
        <v>71439664283289.078</v>
      </c>
      <c r="AD19">
        <f>$B19*'Time Series Scaling Factors'!AD45</f>
        <v>71705926576298.578</v>
      </c>
      <c r="AE19">
        <f>$B19*'Time Series Scaling Factors'!AE45</f>
        <v>72552529091488.859</v>
      </c>
      <c r="AF19">
        <f>$B19*'Time Series Scaling Factors'!AF45</f>
        <v>73929505807703.156</v>
      </c>
      <c r="AG19">
        <f>$B19*'Time Series Scaling Factors'!AG45</f>
        <v>74921807049628.219</v>
      </c>
      <c r="AH19">
        <f t="shared" ref="AH19:BA19" si="17">AG19</f>
        <v>74921807049628.219</v>
      </c>
      <c r="AI19">
        <f t="shared" si="17"/>
        <v>74921807049628.219</v>
      </c>
      <c r="AJ19">
        <f t="shared" si="17"/>
        <v>74921807049628.219</v>
      </c>
      <c r="AK19">
        <f t="shared" si="17"/>
        <v>74921807049628.219</v>
      </c>
      <c r="AL19">
        <f t="shared" si="17"/>
        <v>74921807049628.219</v>
      </c>
      <c r="AM19">
        <f t="shared" si="17"/>
        <v>74921807049628.219</v>
      </c>
      <c r="AN19">
        <f t="shared" si="17"/>
        <v>74921807049628.219</v>
      </c>
      <c r="AO19">
        <f t="shared" si="17"/>
        <v>74921807049628.219</v>
      </c>
      <c r="AP19">
        <f t="shared" si="17"/>
        <v>74921807049628.219</v>
      </c>
      <c r="AQ19">
        <f t="shared" si="17"/>
        <v>74921807049628.219</v>
      </c>
      <c r="AR19">
        <f t="shared" si="17"/>
        <v>74921807049628.219</v>
      </c>
      <c r="AS19">
        <f t="shared" si="17"/>
        <v>74921807049628.219</v>
      </c>
      <c r="AT19">
        <f t="shared" si="17"/>
        <v>74921807049628.219</v>
      </c>
      <c r="AU19">
        <f t="shared" si="17"/>
        <v>74921807049628.219</v>
      </c>
      <c r="AV19">
        <f t="shared" si="17"/>
        <v>74921807049628.219</v>
      </c>
      <c r="AW19">
        <f t="shared" si="17"/>
        <v>74921807049628.219</v>
      </c>
      <c r="AX19">
        <f t="shared" si="17"/>
        <v>74921807049628.219</v>
      </c>
      <c r="AY19">
        <f t="shared" si="17"/>
        <v>74921807049628.219</v>
      </c>
      <c r="AZ19">
        <f t="shared" si="17"/>
        <v>74921807049628.219</v>
      </c>
      <c r="BA19">
        <f t="shared" si="17"/>
        <v>74921807049628.219</v>
      </c>
    </row>
    <row r="20" spans="1:53" x14ac:dyDescent="0.3">
      <c r="A20" s="1" t="s">
        <v>770</v>
      </c>
      <c r="B20">
        <f>'Start Year Data'!C44</f>
        <v>221436618111360</v>
      </c>
      <c r="C20">
        <f>$B20*'Time Series Scaling Factors'!C46</f>
        <v>193118131633536.34</v>
      </c>
      <c r="D20">
        <f>$B20*'Time Series Scaling Factors'!D46</f>
        <v>195523485563467.25</v>
      </c>
      <c r="E20">
        <f>$B20*'Time Series Scaling Factors'!E46</f>
        <v>199630177308239.56</v>
      </c>
      <c r="F20">
        <f>$B20*'Time Series Scaling Factors'!F46</f>
        <v>198059202636698.78</v>
      </c>
      <c r="G20">
        <f>$B20*'Time Series Scaling Factors'!G46</f>
        <v>193209114722621.75</v>
      </c>
      <c r="H20">
        <f>$B20*'Time Series Scaling Factors'!H46</f>
        <v>186161923060298.13</v>
      </c>
      <c r="I20">
        <f>$B20*'Time Series Scaling Factors'!I46</f>
        <v>171665789660967.44</v>
      </c>
      <c r="J20">
        <f>$B20*'Time Series Scaling Factors'!J46</f>
        <v>172692611938089.56</v>
      </c>
      <c r="K20">
        <f>$B20*'Time Series Scaling Factors'!K46</f>
        <v>166646050451484.75</v>
      </c>
      <c r="L20">
        <f>$B20*'Time Series Scaling Factors'!L46</f>
        <v>159556491916364.84</v>
      </c>
      <c r="M20">
        <f>$B20*'Time Series Scaling Factors'!M46</f>
        <v>162382068245126.94</v>
      </c>
      <c r="N20">
        <f>$B20*'Time Series Scaling Factors'!N46</f>
        <v>160794459291642.19</v>
      </c>
      <c r="O20">
        <f>$B20*'Time Series Scaling Factors'!O46</f>
        <v>156377597924987.88</v>
      </c>
      <c r="P20">
        <f>$B20*'Time Series Scaling Factors'!P46</f>
        <v>157514932489610.19</v>
      </c>
      <c r="Q20">
        <f>$B20*'Time Series Scaling Factors'!Q46</f>
        <v>157892650162479.78</v>
      </c>
      <c r="R20">
        <f>$B20*'Time Series Scaling Factors'!R46</f>
        <v>155836432349150.28</v>
      </c>
      <c r="S20">
        <f>$B20*'Time Series Scaling Factors'!S46</f>
        <v>152912842419873.47</v>
      </c>
      <c r="T20">
        <f>$B20*'Time Series Scaling Factors'!T46</f>
        <v>157519941154615.38</v>
      </c>
      <c r="U20">
        <f>$B20*'Time Series Scaling Factors'!U46</f>
        <v>155545470268297.41</v>
      </c>
      <c r="V20">
        <f>$B20*'Time Series Scaling Factors'!V46</f>
        <v>155977869696728.44</v>
      </c>
      <c r="W20">
        <f>$B20*'Time Series Scaling Factors'!W46</f>
        <v>157174802779807.19</v>
      </c>
      <c r="X20">
        <f>$B20*'Time Series Scaling Factors'!X46</f>
        <v>157110838911116.84</v>
      </c>
      <c r="Y20">
        <f>$B20*'Time Series Scaling Factors'!Y46</f>
        <v>157351668390862.53</v>
      </c>
      <c r="Z20">
        <f>$B20*'Time Series Scaling Factors'!Z46</f>
        <v>157586845890831.69</v>
      </c>
      <c r="AA20">
        <f>$B20*'Time Series Scaling Factors'!AA46</f>
        <v>157780621490161.53</v>
      </c>
      <c r="AB20">
        <f>$B20*'Time Series Scaling Factors'!AB46</f>
        <v>159150330540392.28</v>
      </c>
      <c r="AC20">
        <f>$B20*'Time Series Scaling Factors'!AC46</f>
        <v>161817145973805.91</v>
      </c>
      <c r="AD20">
        <f>$B20*'Time Series Scaling Factors'!AD46</f>
        <v>162420253571909.72</v>
      </c>
      <c r="AE20">
        <f>$B20*'Time Series Scaling Factors'!AE46</f>
        <v>164337883003076.88</v>
      </c>
      <c r="AF20">
        <f>$B20*'Time Series Scaling Factors'!AF46</f>
        <v>167456856818611.78</v>
      </c>
      <c r="AG20">
        <f>$B20*'Time Series Scaling Factors'!AG46</f>
        <v>169704506727461.31</v>
      </c>
      <c r="AH20">
        <f t="shared" ref="AH20:BA20" si="18">AG20</f>
        <v>169704506727461.31</v>
      </c>
      <c r="AI20">
        <f t="shared" si="18"/>
        <v>169704506727461.31</v>
      </c>
      <c r="AJ20">
        <f t="shared" si="18"/>
        <v>169704506727461.31</v>
      </c>
      <c r="AK20">
        <f t="shared" si="18"/>
        <v>169704506727461.31</v>
      </c>
      <c r="AL20">
        <f t="shared" si="18"/>
        <v>169704506727461.31</v>
      </c>
      <c r="AM20">
        <f t="shared" si="18"/>
        <v>169704506727461.31</v>
      </c>
      <c r="AN20">
        <f t="shared" si="18"/>
        <v>169704506727461.31</v>
      </c>
      <c r="AO20">
        <f t="shared" si="18"/>
        <v>169704506727461.31</v>
      </c>
      <c r="AP20">
        <f t="shared" si="18"/>
        <v>169704506727461.31</v>
      </c>
      <c r="AQ20">
        <f t="shared" si="18"/>
        <v>169704506727461.31</v>
      </c>
      <c r="AR20">
        <f t="shared" si="18"/>
        <v>169704506727461.31</v>
      </c>
      <c r="AS20">
        <f t="shared" si="18"/>
        <v>169704506727461.31</v>
      </c>
      <c r="AT20">
        <f t="shared" si="18"/>
        <v>169704506727461.31</v>
      </c>
      <c r="AU20">
        <f t="shared" si="18"/>
        <v>169704506727461.31</v>
      </c>
      <c r="AV20">
        <f t="shared" si="18"/>
        <v>169704506727461.31</v>
      </c>
      <c r="AW20">
        <f t="shared" si="18"/>
        <v>169704506727461.31</v>
      </c>
      <c r="AX20">
        <f t="shared" si="18"/>
        <v>169704506727461.31</v>
      </c>
      <c r="AY20">
        <f t="shared" si="18"/>
        <v>169704506727461.31</v>
      </c>
      <c r="AZ20">
        <f t="shared" si="18"/>
        <v>169704506727461.31</v>
      </c>
      <c r="BA20">
        <f t="shared" si="18"/>
        <v>169704506727461.31</v>
      </c>
    </row>
    <row r="21" spans="1:53" x14ac:dyDescent="0.3">
      <c r="A21" s="1" t="s">
        <v>771</v>
      </c>
      <c r="B21">
        <f>'Start Year Data'!C45</f>
        <v>0</v>
      </c>
      <c r="C21">
        <f>$B21*'Time Series Scaling Factors'!C47</f>
        <v>0</v>
      </c>
      <c r="D21">
        <f>$B21*'Time Series Scaling Factors'!D47</f>
        <v>0</v>
      </c>
      <c r="E21">
        <f>$B21*'Time Series Scaling Factors'!E47</f>
        <v>0</v>
      </c>
      <c r="F21">
        <f>$B21*'Time Series Scaling Factors'!F47</f>
        <v>0</v>
      </c>
      <c r="G21">
        <f>$B21*'Time Series Scaling Factors'!G47</f>
        <v>0</v>
      </c>
      <c r="H21">
        <f>$B21*'Time Series Scaling Factors'!H47</f>
        <v>0</v>
      </c>
      <c r="I21">
        <f>$B21*'Time Series Scaling Factors'!I47</f>
        <v>0</v>
      </c>
      <c r="J21">
        <f>$B21*'Time Series Scaling Factors'!J47</f>
        <v>0</v>
      </c>
      <c r="K21">
        <f>$B21*'Time Series Scaling Factors'!K47</f>
        <v>0</v>
      </c>
      <c r="L21">
        <f>$B21*'Time Series Scaling Factors'!L47</f>
        <v>0</v>
      </c>
      <c r="M21">
        <f>$B21*'Time Series Scaling Factors'!M47</f>
        <v>0</v>
      </c>
      <c r="N21">
        <f>$B21*'Time Series Scaling Factors'!N47</f>
        <v>0</v>
      </c>
      <c r="O21">
        <f>$B21*'Time Series Scaling Factors'!O47</f>
        <v>0</v>
      </c>
      <c r="P21">
        <f>$B21*'Time Series Scaling Factors'!P47</f>
        <v>0</v>
      </c>
      <c r="Q21">
        <f>$B21*'Time Series Scaling Factors'!Q47</f>
        <v>0</v>
      </c>
      <c r="R21">
        <f>$B21*'Time Series Scaling Factors'!R47</f>
        <v>0</v>
      </c>
      <c r="S21">
        <f>$B21*'Time Series Scaling Factors'!S47</f>
        <v>0</v>
      </c>
      <c r="T21">
        <f>$B21*'Time Series Scaling Factors'!T47</f>
        <v>0</v>
      </c>
      <c r="U21">
        <f>$B21*'Time Series Scaling Factors'!U47</f>
        <v>0</v>
      </c>
      <c r="V21">
        <f>$B21*'Time Series Scaling Factors'!V47</f>
        <v>0</v>
      </c>
      <c r="W21">
        <f>$B21*'Time Series Scaling Factors'!W47</f>
        <v>0</v>
      </c>
      <c r="X21">
        <f>$B21*'Time Series Scaling Factors'!X47</f>
        <v>0</v>
      </c>
      <c r="Y21">
        <f>$B21*'Time Series Scaling Factors'!Y47</f>
        <v>0</v>
      </c>
      <c r="Z21">
        <f>$B21*'Time Series Scaling Factors'!Z47</f>
        <v>0</v>
      </c>
      <c r="AA21">
        <f>$B21*'Time Series Scaling Factors'!AA47</f>
        <v>0</v>
      </c>
      <c r="AB21">
        <f>$B21*'Time Series Scaling Factors'!AB47</f>
        <v>0</v>
      </c>
      <c r="AC21">
        <f>$B21*'Time Series Scaling Factors'!AC47</f>
        <v>0</v>
      </c>
      <c r="AD21">
        <f>$B21*'Time Series Scaling Factors'!AD47</f>
        <v>0</v>
      </c>
      <c r="AE21">
        <f>$B21*'Time Series Scaling Factors'!AE47</f>
        <v>0</v>
      </c>
      <c r="AF21">
        <f>$B21*'Time Series Scaling Factors'!AF47</f>
        <v>0</v>
      </c>
      <c r="AG21">
        <f>$B21*'Time Series Scaling Factors'!AG47</f>
        <v>0</v>
      </c>
      <c r="AH21">
        <f t="shared" ref="AH21:BA21" si="19">AG21</f>
        <v>0</v>
      </c>
      <c r="AI21">
        <f t="shared" si="19"/>
        <v>0</v>
      </c>
      <c r="AJ21">
        <f t="shared" si="19"/>
        <v>0</v>
      </c>
      <c r="AK21">
        <f t="shared" si="19"/>
        <v>0</v>
      </c>
      <c r="AL21">
        <f t="shared" si="19"/>
        <v>0</v>
      </c>
      <c r="AM21">
        <f t="shared" si="19"/>
        <v>0</v>
      </c>
      <c r="AN21">
        <f t="shared" si="19"/>
        <v>0</v>
      </c>
      <c r="AO21">
        <f t="shared" si="19"/>
        <v>0</v>
      </c>
      <c r="AP21">
        <f t="shared" si="19"/>
        <v>0</v>
      </c>
      <c r="AQ21">
        <f t="shared" si="19"/>
        <v>0</v>
      </c>
      <c r="AR21">
        <f t="shared" si="19"/>
        <v>0</v>
      </c>
      <c r="AS21">
        <f t="shared" si="19"/>
        <v>0</v>
      </c>
      <c r="AT21">
        <f t="shared" si="19"/>
        <v>0</v>
      </c>
      <c r="AU21">
        <f t="shared" si="19"/>
        <v>0</v>
      </c>
      <c r="AV21">
        <f t="shared" si="19"/>
        <v>0</v>
      </c>
      <c r="AW21">
        <f t="shared" si="19"/>
        <v>0</v>
      </c>
      <c r="AX21">
        <f t="shared" si="19"/>
        <v>0</v>
      </c>
      <c r="AY21">
        <f t="shared" si="19"/>
        <v>0</v>
      </c>
      <c r="AZ21">
        <f t="shared" si="19"/>
        <v>0</v>
      </c>
      <c r="BA21">
        <f t="shared" si="19"/>
        <v>0</v>
      </c>
    </row>
    <row r="22" spans="1:53" x14ac:dyDescent="0.3">
      <c r="A22" s="1" t="s">
        <v>772</v>
      </c>
      <c r="B22">
        <f>'Start Year Data'!C46</f>
        <v>0</v>
      </c>
      <c r="C22">
        <f>$B22*'Time Series Scaling Factors'!C48</f>
        <v>0</v>
      </c>
      <c r="D22">
        <f>$B22*'Time Series Scaling Factors'!D48</f>
        <v>0</v>
      </c>
      <c r="E22">
        <f>$B22*'Time Series Scaling Factors'!E48</f>
        <v>0</v>
      </c>
      <c r="F22">
        <f>$B22*'Time Series Scaling Factors'!F48</f>
        <v>0</v>
      </c>
      <c r="G22">
        <f>$B22*'Time Series Scaling Factors'!G48</f>
        <v>0</v>
      </c>
      <c r="H22">
        <f>$B22*'Time Series Scaling Factors'!H48</f>
        <v>0</v>
      </c>
      <c r="I22">
        <f>$B22*'Time Series Scaling Factors'!I48</f>
        <v>0</v>
      </c>
      <c r="J22">
        <f>$B22*'Time Series Scaling Factors'!J48</f>
        <v>0</v>
      </c>
      <c r="K22">
        <f>$B22*'Time Series Scaling Factors'!K48</f>
        <v>0</v>
      </c>
      <c r="L22">
        <f>$B22*'Time Series Scaling Factors'!L48</f>
        <v>0</v>
      </c>
      <c r="M22">
        <f>$B22*'Time Series Scaling Factors'!M48</f>
        <v>0</v>
      </c>
      <c r="N22">
        <f>$B22*'Time Series Scaling Factors'!N48</f>
        <v>0</v>
      </c>
      <c r="O22">
        <f>$B22*'Time Series Scaling Factors'!O48</f>
        <v>0</v>
      </c>
      <c r="P22">
        <f>$B22*'Time Series Scaling Factors'!P48</f>
        <v>0</v>
      </c>
      <c r="Q22">
        <f>$B22*'Time Series Scaling Factors'!Q48</f>
        <v>0</v>
      </c>
      <c r="R22">
        <f>$B22*'Time Series Scaling Factors'!R48</f>
        <v>0</v>
      </c>
      <c r="S22">
        <f>$B22*'Time Series Scaling Factors'!S48</f>
        <v>0</v>
      </c>
      <c r="T22">
        <f>$B22*'Time Series Scaling Factors'!T48</f>
        <v>0</v>
      </c>
      <c r="U22">
        <f>$B22*'Time Series Scaling Factors'!U48</f>
        <v>0</v>
      </c>
      <c r="V22">
        <f>$B22*'Time Series Scaling Factors'!V48</f>
        <v>0</v>
      </c>
      <c r="W22">
        <f>$B22*'Time Series Scaling Factors'!W48</f>
        <v>0</v>
      </c>
      <c r="X22">
        <f>$B22*'Time Series Scaling Factors'!X48</f>
        <v>0</v>
      </c>
      <c r="Y22">
        <f>$B22*'Time Series Scaling Factors'!Y48</f>
        <v>0</v>
      </c>
      <c r="Z22">
        <f>$B22*'Time Series Scaling Factors'!Z48</f>
        <v>0</v>
      </c>
      <c r="AA22">
        <f>$B22*'Time Series Scaling Factors'!AA48</f>
        <v>0</v>
      </c>
      <c r="AB22">
        <f>$B22*'Time Series Scaling Factors'!AB48</f>
        <v>0</v>
      </c>
      <c r="AC22">
        <f>$B22*'Time Series Scaling Factors'!AC48</f>
        <v>0</v>
      </c>
      <c r="AD22">
        <f>$B22*'Time Series Scaling Factors'!AD48</f>
        <v>0</v>
      </c>
      <c r="AE22">
        <f>$B22*'Time Series Scaling Factors'!AE48</f>
        <v>0</v>
      </c>
      <c r="AF22">
        <f>$B22*'Time Series Scaling Factors'!AF48</f>
        <v>0</v>
      </c>
      <c r="AG22">
        <f>$B22*'Time Series Scaling Factors'!AG48</f>
        <v>0</v>
      </c>
      <c r="AH22">
        <f t="shared" ref="AH22:BA22" si="20">AG22</f>
        <v>0</v>
      </c>
      <c r="AI22">
        <f t="shared" si="20"/>
        <v>0</v>
      </c>
      <c r="AJ22">
        <f t="shared" si="20"/>
        <v>0</v>
      </c>
      <c r="AK22">
        <f t="shared" si="20"/>
        <v>0</v>
      </c>
      <c r="AL22">
        <f t="shared" si="20"/>
        <v>0</v>
      </c>
      <c r="AM22">
        <f t="shared" si="20"/>
        <v>0</v>
      </c>
      <c r="AN22">
        <f t="shared" si="20"/>
        <v>0</v>
      </c>
      <c r="AO22">
        <f t="shared" si="20"/>
        <v>0</v>
      </c>
      <c r="AP22">
        <f t="shared" si="20"/>
        <v>0</v>
      </c>
      <c r="AQ22">
        <f t="shared" si="20"/>
        <v>0</v>
      </c>
      <c r="AR22">
        <f t="shared" si="20"/>
        <v>0</v>
      </c>
      <c r="AS22">
        <f t="shared" si="20"/>
        <v>0</v>
      </c>
      <c r="AT22">
        <f t="shared" si="20"/>
        <v>0</v>
      </c>
      <c r="AU22">
        <f t="shared" si="20"/>
        <v>0</v>
      </c>
      <c r="AV22">
        <f t="shared" si="20"/>
        <v>0</v>
      </c>
      <c r="AW22">
        <f t="shared" si="20"/>
        <v>0</v>
      </c>
      <c r="AX22">
        <f t="shared" si="20"/>
        <v>0</v>
      </c>
      <c r="AY22">
        <f t="shared" si="20"/>
        <v>0</v>
      </c>
      <c r="AZ22">
        <f t="shared" si="20"/>
        <v>0</v>
      </c>
      <c r="BA22">
        <f t="shared" si="20"/>
        <v>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BA22"/>
  <sheetViews>
    <sheetView workbookViewId="0">
      <selection activeCell="A4" sqref="A4:XFD4"/>
    </sheetView>
  </sheetViews>
  <sheetFormatPr defaultColWidth="8.88671875" defaultRowHeight="14.4" x14ac:dyDescent="0.3"/>
  <cols>
    <col min="1" max="1" width="36.33203125" customWidth="1"/>
    <col min="2" max="33" width="13" customWidth="1"/>
    <col min="34" max="34" width="16.33203125" customWidth="1"/>
    <col min="35" max="35" width="13" customWidth="1"/>
    <col min="36" max="53" width="11.88671875" bestFit="1" customWidth="1"/>
  </cols>
  <sheetData>
    <row r="1" spans="1:53" x14ac:dyDescent="0.3">
      <c r="A1" s="24" t="s">
        <v>782</v>
      </c>
      <c r="B1" s="18">
        <v>2019</v>
      </c>
      <c r="C1">
        <v>2020</v>
      </c>
      <c r="D1" s="18">
        <v>2021</v>
      </c>
      <c r="E1">
        <v>2022</v>
      </c>
      <c r="F1" s="18">
        <v>2023</v>
      </c>
      <c r="G1">
        <v>2024</v>
      </c>
      <c r="H1" s="18">
        <v>2025</v>
      </c>
      <c r="I1">
        <v>2026</v>
      </c>
      <c r="J1" s="18">
        <v>2027</v>
      </c>
      <c r="K1">
        <v>2028</v>
      </c>
      <c r="L1" s="18">
        <v>2029</v>
      </c>
      <c r="M1">
        <v>2030</v>
      </c>
      <c r="N1" s="18">
        <v>2031</v>
      </c>
      <c r="O1">
        <v>2032</v>
      </c>
      <c r="P1" s="18">
        <v>2033</v>
      </c>
      <c r="Q1">
        <v>2034</v>
      </c>
      <c r="R1" s="18">
        <v>2035</v>
      </c>
      <c r="S1">
        <v>2036</v>
      </c>
      <c r="T1" s="18">
        <v>2037</v>
      </c>
      <c r="U1">
        <v>2038</v>
      </c>
      <c r="V1" s="18">
        <v>2039</v>
      </c>
      <c r="W1">
        <v>2040</v>
      </c>
      <c r="X1" s="18">
        <v>2041</v>
      </c>
      <c r="Y1">
        <v>2042</v>
      </c>
      <c r="Z1" s="18">
        <v>2043</v>
      </c>
      <c r="AA1">
        <v>2044</v>
      </c>
      <c r="AB1" s="18">
        <v>2045</v>
      </c>
      <c r="AC1">
        <v>2046</v>
      </c>
      <c r="AD1" s="18">
        <v>2047</v>
      </c>
      <c r="AE1">
        <v>2048</v>
      </c>
      <c r="AF1" s="18">
        <v>2049</v>
      </c>
      <c r="AG1">
        <v>2050</v>
      </c>
      <c r="AH1" s="18">
        <v>2051</v>
      </c>
      <c r="AI1">
        <v>2052</v>
      </c>
      <c r="AJ1" s="18">
        <v>2053</v>
      </c>
      <c r="AK1">
        <v>2054</v>
      </c>
      <c r="AL1" s="18">
        <v>2055</v>
      </c>
      <c r="AM1">
        <v>2056</v>
      </c>
      <c r="AN1" s="18">
        <v>2057</v>
      </c>
      <c r="AO1">
        <v>2058</v>
      </c>
      <c r="AP1" s="18">
        <v>2059</v>
      </c>
      <c r="AQ1">
        <v>2060</v>
      </c>
      <c r="AR1" s="18">
        <v>2061</v>
      </c>
      <c r="AS1">
        <v>2062</v>
      </c>
      <c r="AT1" s="18">
        <v>2063</v>
      </c>
      <c r="AU1">
        <v>2064</v>
      </c>
      <c r="AV1" s="18">
        <v>2065</v>
      </c>
      <c r="AW1">
        <v>2066</v>
      </c>
      <c r="AX1" s="18">
        <v>2067</v>
      </c>
      <c r="AY1">
        <v>2068</v>
      </c>
      <c r="AZ1" s="18">
        <v>2069</v>
      </c>
      <c r="BA1">
        <v>2070</v>
      </c>
    </row>
    <row r="2" spans="1:53" x14ac:dyDescent="0.3">
      <c r="A2" s="24" t="s">
        <v>751</v>
      </c>
      <c r="B2">
        <f>'Start Year Data'!D26</f>
        <v>0</v>
      </c>
      <c r="C2">
        <f>$B2*'Time Series Scaling Factors'!C53</f>
        <v>0</v>
      </c>
      <c r="D2">
        <f>$B2*'Time Series Scaling Factors'!D53</f>
        <v>0</v>
      </c>
      <c r="E2">
        <f>$B2*'Time Series Scaling Factors'!E53</f>
        <v>0</v>
      </c>
      <c r="F2">
        <f>$B2*'Time Series Scaling Factors'!F53</f>
        <v>0</v>
      </c>
      <c r="G2">
        <f>$B2*'Time Series Scaling Factors'!G53</f>
        <v>0</v>
      </c>
      <c r="H2">
        <f>$B2*'Time Series Scaling Factors'!H53</f>
        <v>0</v>
      </c>
      <c r="I2">
        <f>$B2*'Time Series Scaling Factors'!I53</f>
        <v>0</v>
      </c>
      <c r="J2">
        <f>$B2*'Time Series Scaling Factors'!J53</f>
        <v>0</v>
      </c>
      <c r="K2">
        <f>$B2*'Time Series Scaling Factors'!K53</f>
        <v>0</v>
      </c>
      <c r="L2">
        <f>$B2*'Time Series Scaling Factors'!L53</f>
        <v>0</v>
      </c>
      <c r="M2">
        <f>$B2*'Time Series Scaling Factors'!M53</f>
        <v>0</v>
      </c>
      <c r="N2">
        <f>$B2*'Time Series Scaling Factors'!N53</f>
        <v>0</v>
      </c>
      <c r="O2">
        <f>$B2*'Time Series Scaling Factors'!O53</f>
        <v>0</v>
      </c>
      <c r="P2">
        <f>$B2*'Time Series Scaling Factors'!P53</f>
        <v>0</v>
      </c>
      <c r="Q2">
        <f>$B2*'Time Series Scaling Factors'!Q53</f>
        <v>0</v>
      </c>
      <c r="R2">
        <f>$B2*'Time Series Scaling Factors'!R53</f>
        <v>0</v>
      </c>
      <c r="S2">
        <f>$B2*'Time Series Scaling Factors'!S53</f>
        <v>0</v>
      </c>
      <c r="T2">
        <f>$B2*'Time Series Scaling Factors'!T53</f>
        <v>0</v>
      </c>
      <c r="U2">
        <f>$B2*'Time Series Scaling Factors'!U53</f>
        <v>0</v>
      </c>
      <c r="V2">
        <f>$B2*'Time Series Scaling Factors'!V53</f>
        <v>0</v>
      </c>
      <c r="W2">
        <f>$B2*'Time Series Scaling Factors'!W53</f>
        <v>0</v>
      </c>
      <c r="X2">
        <f>$B2*'Time Series Scaling Factors'!X53</f>
        <v>0</v>
      </c>
      <c r="Y2">
        <f>$B2*'Time Series Scaling Factors'!Y53</f>
        <v>0</v>
      </c>
      <c r="Z2">
        <f>$B2*'Time Series Scaling Factors'!Z53</f>
        <v>0</v>
      </c>
      <c r="AA2">
        <f>$B2*'Time Series Scaling Factors'!AA53</f>
        <v>0</v>
      </c>
      <c r="AB2">
        <f>$B2*'Time Series Scaling Factors'!AB53</f>
        <v>0</v>
      </c>
      <c r="AC2">
        <f>$B2*'Time Series Scaling Factors'!AC53</f>
        <v>0</v>
      </c>
      <c r="AD2">
        <f>$B2*'Time Series Scaling Factors'!AD53</f>
        <v>0</v>
      </c>
      <c r="AE2">
        <f>$B2*'Time Series Scaling Factors'!AE53</f>
        <v>0</v>
      </c>
      <c r="AF2">
        <f>$B2*'Time Series Scaling Factors'!AF53</f>
        <v>0</v>
      </c>
      <c r="AG2">
        <f>$B2*'Time Series Scaling Factors'!AG53</f>
        <v>0</v>
      </c>
      <c r="AH2">
        <f t="shared" ref="AH2:BA2" si="0">AG2</f>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3">
      <c r="A3" s="1" t="s">
        <v>752</v>
      </c>
      <c r="B3">
        <f>'Start Year Data'!D27</f>
        <v>220841388960</v>
      </c>
      <c r="C3">
        <f>$B3*'Time Series Scaling Factors'!C54</f>
        <v>193291371399.32431</v>
      </c>
      <c r="D3">
        <f>$B3*'Time Series Scaling Factors'!D54</f>
        <v>205475478019.42416</v>
      </c>
      <c r="E3">
        <f>$B3*'Time Series Scaling Factors'!E54</f>
        <v>253093272480.28479</v>
      </c>
      <c r="F3">
        <f>$B3*'Time Series Scaling Factors'!F54</f>
        <v>254565273687.45267</v>
      </c>
      <c r="G3">
        <f>$B3*'Time Series Scaling Factors'!G54</f>
        <v>256093113893.60904</v>
      </c>
      <c r="H3">
        <f>$B3*'Time Series Scaling Factors'!H54</f>
        <v>257805880270.54514</v>
      </c>
      <c r="I3">
        <f>$B3*'Time Series Scaling Factors'!I54</f>
        <v>259202410857.18945</v>
      </c>
      <c r="J3">
        <f>$B3*'Time Series Scaling Factors'!J54</f>
        <v>258968776040.52585</v>
      </c>
      <c r="K3">
        <f>$B3*'Time Series Scaling Factors'!K54</f>
        <v>255026246385.5705</v>
      </c>
      <c r="L3">
        <f>$B3*'Time Series Scaling Factors'!L54</f>
        <v>250172698369.00739</v>
      </c>
      <c r="M3">
        <f>$B3*'Time Series Scaling Factors'!M54</f>
        <v>246508530291.09949</v>
      </c>
      <c r="N3">
        <f>$B3*'Time Series Scaling Factors'!N54</f>
        <v>246294712299.94757</v>
      </c>
      <c r="O3">
        <f>$B3*'Time Series Scaling Factors'!O54</f>
        <v>246377313273.57578</v>
      </c>
      <c r="P3">
        <f>$B3*'Time Series Scaling Factors'!P54</f>
        <v>246171922063.36572</v>
      </c>
      <c r="Q3">
        <f>$B3*'Time Series Scaling Factors'!Q54</f>
        <v>246118120308.1214</v>
      </c>
      <c r="R3">
        <f>$B3*'Time Series Scaling Factors'!R54</f>
        <v>250698492458.98593</v>
      </c>
      <c r="S3">
        <f>$B3*'Time Series Scaling Factors'!S54</f>
        <v>250078522146.83267</v>
      </c>
      <c r="T3">
        <f>$B3*'Time Series Scaling Factors'!T54</f>
        <v>250030276510.89063</v>
      </c>
      <c r="U3">
        <f>$B3*'Time Series Scaling Factors'!U54</f>
        <v>249986012760.44858</v>
      </c>
      <c r="V3">
        <f>$B3*'Time Series Scaling Factors'!V54</f>
        <v>249945175283.57635</v>
      </c>
      <c r="W3">
        <f>$B3*'Time Series Scaling Factors'!W54</f>
        <v>249907764080.2739</v>
      </c>
      <c r="X3">
        <f>$B3*'Time Series Scaling Factors'!X54</f>
        <v>249873686548.55286</v>
      </c>
      <c r="Y3">
        <f>$B3*'Time Series Scaling Factors'!Y54</f>
        <v>249842757484.43649</v>
      </c>
      <c r="Z3">
        <f>$B3*'Time Series Scaling Factors'!Z54</f>
        <v>249814791683.948</v>
      </c>
      <c r="AA3">
        <f>$B3*'Time Series Scaling Factors'!AA54</f>
        <v>250572738958.77618</v>
      </c>
      <c r="AB3">
        <f>$B3*'Time Series Scaling Factors'!AB54</f>
        <v>250558200446.60175</v>
      </c>
      <c r="AC3">
        <f>$B3*'Time Series Scaling Factors'!AC54</f>
        <v>250546162188.11328</v>
      </c>
      <c r="AD3">
        <f>$B3*'Time Series Scaling Factors'!AD54</f>
        <v>250536809387.28769</v>
      </c>
      <c r="AE3">
        <f>$B3*'Time Series Scaling Factors'!AE54</f>
        <v>249714966740.48257</v>
      </c>
      <c r="AF3">
        <f>$B3*'Time Series Scaling Factors'!AF54</f>
        <v>250525234138.74118</v>
      </c>
      <c r="AG3">
        <f>$B3*'Time Series Scaling Factors'!AG54</f>
        <v>250523011691.0202</v>
      </c>
      <c r="AH3">
        <f t="shared" ref="AH3:BA3" si="1">AG3</f>
        <v>250523011691.0202</v>
      </c>
      <c r="AI3">
        <f t="shared" si="1"/>
        <v>250523011691.0202</v>
      </c>
      <c r="AJ3">
        <f t="shared" si="1"/>
        <v>250523011691.0202</v>
      </c>
      <c r="AK3">
        <f t="shared" si="1"/>
        <v>250523011691.0202</v>
      </c>
      <c r="AL3">
        <f t="shared" si="1"/>
        <v>250523011691.0202</v>
      </c>
      <c r="AM3">
        <f t="shared" si="1"/>
        <v>250523011691.0202</v>
      </c>
      <c r="AN3">
        <f t="shared" si="1"/>
        <v>250523011691.0202</v>
      </c>
      <c r="AO3">
        <f t="shared" si="1"/>
        <v>250523011691.0202</v>
      </c>
      <c r="AP3">
        <f t="shared" si="1"/>
        <v>250523011691.0202</v>
      </c>
      <c r="AQ3">
        <f t="shared" si="1"/>
        <v>250523011691.0202</v>
      </c>
      <c r="AR3">
        <f t="shared" si="1"/>
        <v>250523011691.0202</v>
      </c>
      <c r="AS3">
        <f t="shared" si="1"/>
        <v>250523011691.0202</v>
      </c>
      <c r="AT3">
        <f t="shared" si="1"/>
        <v>250523011691.0202</v>
      </c>
      <c r="AU3">
        <f t="shared" si="1"/>
        <v>250523011691.0202</v>
      </c>
      <c r="AV3">
        <f t="shared" si="1"/>
        <v>250523011691.0202</v>
      </c>
      <c r="AW3">
        <f t="shared" si="1"/>
        <v>250523011691.0202</v>
      </c>
      <c r="AX3">
        <f t="shared" si="1"/>
        <v>250523011691.0202</v>
      </c>
      <c r="AY3">
        <f t="shared" si="1"/>
        <v>250523011691.0202</v>
      </c>
      <c r="AZ3">
        <f t="shared" si="1"/>
        <v>250523011691.0202</v>
      </c>
      <c r="BA3">
        <f t="shared" si="1"/>
        <v>250523011691.0202</v>
      </c>
    </row>
    <row r="4" spans="1:53" x14ac:dyDescent="0.3">
      <c r="A4" s="1" t="s">
        <v>754</v>
      </c>
      <c r="B4">
        <f>'Start Year Data'!D28</f>
        <v>0</v>
      </c>
      <c r="C4">
        <f>$B4*'Time Series Scaling Factors'!C55</f>
        <v>0</v>
      </c>
      <c r="D4">
        <f>$B4*'Time Series Scaling Factors'!D55</f>
        <v>0</v>
      </c>
      <c r="E4">
        <f>$B4*'Time Series Scaling Factors'!E55</f>
        <v>0</v>
      </c>
      <c r="F4">
        <f>$B4*'Time Series Scaling Factors'!F55</f>
        <v>0</v>
      </c>
      <c r="G4">
        <f>$B4*'Time Series Scaling Factors'!G55</f>
        <v>0</v>
      </c>
      <c r="H4">
        <f>$B4*'Time Series Scaling Factors'!H55</f>
        <v>0</v>
      </c>
      <c r="I4">
        <f>$B4*'Time Series Scaling Factors'!I55</f>
        <v>0</v>
      </c>
      <c r="J4">
        <f>$B4*'Time Series Scaling Factors'!J55</f>
        <v>0</v>
      </c>
      <c r="K4">
        <f>$B4*'Time Series Scaling Factors'!K55</f>
        <v>0</v>
      </c>
      <c r="L4">
        <f>$B4*'Time Series Scaling Factors'!L55</f>
        <v>0</v>
      </c>
      <c r="M4">
        <f>$B4*'Time Series Scaling Factors'!M55</f>
        <v>0</v>
      </c>
      <c r="N4">
        <f>$B4*'Time Series Scaling Factors'!N55</f>
        <v>0</v>
      </c>
      <c r="O4">
        <f>$B4*'Time Series Scaling Factors'!O55</f>
        <v>0</v>
      </c>
      <c r="P4">
        <f>$B4*'Time Series Scaling Factors'!P55</f>
        <v>0</v>
      </c>
      <c r="Q4">
        <f>$B4*'Time Series Scaling Factors'!Q55</f>
        <v>0</v>
      </c>
      <c r="R4">
        <f>$B4*'Time Series Scaling Factors'!R55</f>
        <v>0</v>
      </c>
      <c r="S4">
        <f>$B4*'Time Series Scaling Factors'!S55</f>
        <v>0</v>
      </c>
      <c r="T4">
        <f>$B4*'Time Series Scaling Factors'!T55</f>
        <v>0</v>
      </c>
      <c r="U4">
        <f>$B4*'Time Series Scaling Factors'!U55</f>
        <v>0</v>
      </c>
      <c r="V4">
        <f>$B4*'Time Series Scaling Factors'!V55</f>
        <v>0</v>
      </c>
      <c r="W4">
        <f>$B4*'Time Series Scaling Factors'!W55</f>
        <v>0</v>
      </c>
      <c r="X4">
        <f>$B4*'Time Series Scaling Factors'!X55</f>
        <v>0</v>
      </c>
      <c r="Y4">
        <f>$B4*'Time Series Scaling Factors'!Y55</f>
        <v>0</v>
      </c>
      <c r="Z4">
        <f>$B4*'Time Series Scaling Factors'!Z55</f>
        <v>0</v>
      </c>
      <c r="AA4">
        <f>$B4*'Time Series Scaling Factors'!AA55</f>
        <v>0</v>
      </c>
      <c r="AB4">
        <f>$B4*'Time Series Scaling Factors'!AB55</f>
        <v>0</v>
      </c>
      <c r="AC4">
        <f>$B4*'Time Series Scaling Factors'!AC55</f>
        <v>0</v>
      </c>
      <c r="AD4">
        <f>$B4*'Time Series Scaling Factors'!AD55</f>
        <v>0</v>
      </c>
      <c r="AE4">
        <f>$B4*'Time Series Scaling Factors'!AE55</f>
        <v>0</v>
      </c>
      <c r="AF4">
        <f>$B4*'Time Series Scaling Factors'!AF55</f>
        <v>0</v>
      </c>
      <c r="AG4">
        <f>$B4*'Time Series Scaling Factors'!AG55</f>
        <v>0</v>
      </c>
      <c r="AH4">
        <f t="shared" ref="AH4:BA4" si="2">AG4</f>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2"/>
        <v>0</v>
      </c>
      <c r="AY4">
        <f t="shared" si="2"/>
        <v>0</v>
      </c>
      <c r="AZ4">
        <f t="shared" si="2"/>
        <v>0</v>
      </c>
      <c r="BA4">
        <f t="shared" si="2"/>
        <v>0</v>
      </c>
    </row>
    <row r="5" spans="1:53" x14ac:dyDescent="0.3">
      <c r="A5" s="1" t="s">
        <v>783</v>
      </c>
      <c r="B5">
        <f>'Start Year Data'!D29</f>
        <v>0</v>
      </c>
      <c r="C5">
        <f>$B5*'Time Series Scaling Factors'!C56</f>
        <v>0</v>
      </c>
      <c r="D5">
        <f>$B5*'Time Series Scaling Factors'!D56</f>
        <v>0</v>
      </c>
      <c r="E5">
        <f>$B5*'Time Series Scaling Factors'!E56</f>
        <v>0</v>
      </c>
      <c r="F5">
        <f>$B5*'Time Series Scaling Factors'!F56</f>
        <v>0</v>
      </c>
      <c r="G5">
        <f>$B5*'Time Series Scaling Factors'!G56</f>
        <v>0</v>
      </c>
      <c r="H5">
        <f>$B5*'Time Series Scaling Factors'!H56</f>
        <v>0</v>
      </c>
      <c r="I5">
        <f>$B5*'Time Series Scaling Factors'!I56</f>
        <v>0</v>
      </c>
      <c r="J5">
        <f>$B5*'Time Series Scaling Factors'!J56</f>
        <v>0</v>
      </c>
      <c r="K5">
        <f>$B5*'Time Series Scaling Factors'!K56</f>
        <v>0</v>
      </c>
      <c r="L5">
        <f>$B5*'Time Series Scaling Factors'!L56</f>
        <v>0</v>
      </c>
      <c r="M5">
        <f>$B5*'Time Series Scaling Factors'!M56</f>
        <v>0</v>
      </c>
      <c r="N5">
        <f>$B5*'Time Series Scaling Factors'!N56</f>
        <v>0</v>
      </c>
      <c r="O5">
        <f>$B5*'Time Series Scaling Factors'!O56</f>
        <v>0</v>
      </c>
      <c r="P5">
        <f>$B5*'Time Series Scaling Factors'!P56</f>
        <v>0</v>
      </c>
      <c r="Q5">
        <f>$B5*'Time Series Scaling Factors'!Q56</f>
        <v>0</v>
      </c>
      <c r="R5">
        <f>$B5*'Time Series Scaling Factors'!R56</f>
        <v>0</v>
      </c>
      <c r="S5">
        <f>$B5*'Time Series Scaling Factors'!S56</f>
        <v>0</v>
      </c>
      <c r="T5">
        <f>$B5*'Time Series Scaling Factors'!T56</f>
        <v>0</v>
      </c>
      <c r="U5">
        <f>$B5*'Time Series Scaling Factors'!U56</f>
        <v>0</v>
      </c>
      <c r="V5">
        <f>$B5*'Time Series Scaling Factors'!V56</f>
        <v>0</v>
      </c>
      <c r="W5">
        <f>$B5*'Time Series Scaling Factors'!W56</f>
        <v>0</v>
      </c>
      <c r="X5">
        <f>$B5*'Time Series Scaling Factors'!X56</f>
        <v>0</v>
      </c>
      <c r="Y5">
        <f>$B5*'Time Series Scaling Factors'!Y56</f>
        <v>0</v>
      </c>
      <c r="Z5">
        <f>$B5*'Time Series Scaling Factors'!Z56</f>
        <v>0</v>
      </c>
      <c r="AA5">
        <f>$B5*'Time Series Scaling Factors'!AA56</f>
        <v>0</v>
      </c>
      <c r="AB5">
        <f>$B5*'Time Series Scaling Factors'!AB56</f>
        <v>0</v>
      </c>
      <c r="AC5">
        <f>$B5*'Time Series Scaling Factors'!AC56</f>
        <v>0</v>
      </c>
      <c r="AD5">
        <f>$B5*'Time Series Scaling Factors'!AD56</f>
        <v>0</v>
      </c>
      <c r="AE5">
        <f>$B5*'Time Series Scaling Factors'!AE56</f>
        <v>0</v>
      </c>
      <c r="AF5">
        <f>$B5*'Time Series Scaling Factors'!AF56</f>
        <v>0</v>
      </c>
      <c r="AG5">
        <f>$B5*'Time Series Scaling Factors'!AG56</f>
        <v>0</v>
      </c>
      <c r="AH5">
        <f t="shared" ref="AH5:BA5" si="3">AG5</f>
        <v>0</v>
      </c>
      <c r="AI5">
        <f t="shared" si="3"/>
        <v>0</v>
      </c>
      <c r="AJ5">
        <f t="shared" si="3"/>
        <v>0</v>
      </c>
      <c r="AK5">
        <f t="shared" si="3"/>
        <v>0</v>
      </c>
      <c r="AL5">
        <f t="shared" si="3"/>
        <v>0</v>
      </c>
      <c r="AM5">
        <f t="shared" si="3"/>
        <v>0</v>
      </c>
      <c r="AN5">
        <f t="shared" si="3"/>
        <v>0</v>
      </c>
      <c r="AO5">
        <f t="shared" si="3"/>
        <v>0</v>
      </c>
      <c r="AP5">
        <f t="shared" si="3"/>
        <v>0</v>
      </c>
      <c r="AQ5">
        <f t="shared" si="3"/>
        <v>0</v>
      </c>
      <c r="AR5">
        <f t="shared" si="3"/>
        <v>0</v>
      </c>
      <c r="AS5">
        <f t="shared" si="3"/>
        <v>0</v>
      </c>
      <c r="AT5">
        <f t="shared" si="3"/>
        <v>0</v>
      </c>
      <c r="AU5">
        <f t="shared" si="3"/>
        <v>0</v>
      </c>
      <c r="AV5">
        <f t="shared" si="3"/>
        <v>0</v>
      </c>
      <c r="AW5">
        <f t="shared" si="3"/>
        <v>0</v>
      </c>
      <c r="AX5">
        <f t="shared" si="3"/>
        <v>0</v>
      </c>
      <c r="AY5">
        <f t="shared" si="3"/>
        <v>0</v>
      </c>
      <c r="AZ5">
        <f t="shared" si="3"/>
        <v>0</v>
      </c>
      <c r="BA5">
        <f t="shared" si="3"/>
        <v>0</v>
      </c>
    </row>
    <row r="6" spans="1:53" x14ac:dyDescent="0.3">
      <c r="A6" s="1" t="s">
        <v>756</v>
      </c>
      <c r="B6">
        <f>'Start Year Data'!D30</f>
        <v>0</v>
      </c>
      <c r="C6">
        <f>$B6*'Time Series Scaling Factors'!C57</f>
        <v>0</v>
      </c>
      <c r="D6">
        <f>$B6*'Time Series Scaling Factors'!D57</f>
        <v>0</v>
      </c>
      <c r="E6">
        <f>$B6*'Time Series Scaling Factors'!E57</f>
        <v>0</v>
      </c>
      <c r="F6">
        <f>$B6*'Time Series Scaling Factors'!F57</f>
        <v>0</v>
      </c>
      <c r="G6">
        <f>$B6*'Time Series Scaling Factors'!G57</f>
        <v>0</v>
      </c>
      <c r="H6">
        <f>$B6*'Time Series Scaling Factors'!H57</f>
        <v>0</v>
      </c>
      <c r="I6">
        <f>$B6*'Time Series Scaling Factors'!I57</f>
        <v>0</v>
      </c>
      <c r="J6">
        <f>$B6*'Time Series Scaling Factors'!J57</f>
        <v>0</v>
      </c>
      <c r="K6">
        <f>$B6*'Time Series Scaling Factors'!K57</f>
        <v>0</v>
      </c>
      <c r="L6">
        <f>$B6*'Time Series Scaling Factors'!L57</f>
        <v>0</v>
      </c>
      <c r="M6">
        <f>$B6*'Time Series Scaling Factors'!M57</f>
        <v>0</v>
      </c>
      <c r="N6">
        <f>$B6*'Time Series Scaling Factors'!N57</f>
        <v>0</v>
      </c>
      <c r="O6">
        <f>$B6*'Time Series Scaling Factors'!O57</f>
        <v>0</v>
      </c>
      <c r="P6">
        <f>$B6*'Time Series Scaling Factors'!P57</f>
        <v>0</v>
      </c>
      <c r="Q6">
        <f>$B6*'Time Series Scaling Factors'!Q57</f>
        <v>0</v>
      </c>
      <c r="R6">
        <f>$B6*'Time Series Scaling Factors'!R57</f>
        <v>0</v>
      </c>
      <c r="S6">
        <f>$B6*'Time Series Scaling Factors'!S57</f>
        <v>0</v>
      </c>
      <c r="T6">
        <f>$B6*'Time Series Scaling Factors'!T57</f>
        <v>0</v>
      </c>
      <c r="U6">
        <f>$B6*'Time Series Scaling Factors'!U57</f>
        <v>0</v>
      </c>
      <c r="V6">
        <f>$B6*'Time Series Scaling Factors'!V57</f>
        <v>0</v>
      </c>
      <c r="W6">
        <f>$B6*'Time Series Scaling Factors'!W57</f>
        <v>0</v>
      </c>
      <c r="X6">
        <f>$B6*'Time Series Scaling Factors'!X57</f>
        <v>0</v>
      </c>
      <c r="Y6">
        <f>$B6*'Time Series Scaling Factors'!Y57</f>
        <v>0</v>
      </c>
      <c r="Z6">
        <f>$B6*'Time Series Scaling Factors'!Z57</f>
        <v>0</v>
      </c>
      <c r="AA6">
        <f>$B6*'Time Series Scaling Factors'!AA57</f>
        <v>0</v>
      </c>
      <c r="AB6">
        <f>$B6*'Time Series Scaling Factors'!AB57</f>
        <v>0</v>
      </c>
      <c r="AC6">
        <f>$B6*'Time Series Scaling Factors'!AC57</f>
        <v>0</v>
      </c>
      <c r="AD6">
        <f>$B6*'Time Series Scaling Factors'!AD57</f>
        <v>0</v>
      </c>
      <c r="AE6">
        <f>$B6*'Time Series Scaling Factors'!AE57</f>
        <v>0</v>
      </c>
      <c r="AF6">
        <f>$B6*'Time Series Scaling Factors'!AF57</f>
        <v>0</v>
      </c>
      <c r="AG6">
        <f>$B6*'Time Series Scaling Factors'!AG57</f>
        <v>0</v>
      </c>
      <c r="AH6">
        <f t="shared" ref="AH6:BA6" si="4">AG6</f>
        <v>0</v>
      </c>
      <c r="AI6">
        <f t="shared" si="4"/>
        <v>0</v>
      </c>
      <c r="AJ6">
        <f t="shared" si="4"/>
        <v>0</v>
      </c>
      <c r="AK6">
        <f t="shared" si="4"/>
        <v>0</v>
      </c>
      <c r="AL6">
        <f t="shared" si="4"/>
        <v>0</v>
      </c>
      <c r="AM6">
        <f t="shared" si="4"/>
        <v>0</v>
      </c>
      <c r="AN6">
        <f t="shared" si="4"/>
        <v>0</v>
      </c>
      <c r="AO6">
        <f t="shared" si="4"/>
        <v>0</v>
      </c>
      <c r="AP6">
        <f t="shared" si="4"/>
        <v>0</v>
      </c>
      <c r="AQ6">
        <f t="shared" si="4"/>
        <v>0</v>
      </c>
      <c r="AR6">
        <f t="shared" si="4"/>
        <v>0</v>
      </c>
      <c r="AS6">
        <f t="shared" si="4"/>
        <v>0</v>
      </c>
      <c r="AT6">
        <f t="shared" si="4"/>
        <v>0</v>
      </c>
      <c r="AU6">
        <f t="shared" si="4"/>
        <v>0</v>
      </c>
      <c r="AV6">
        <f t="shared" si="4"/>
        <v>0</v>
      </c>
      <c r="AW6">
        <f t="shared" si="4"/>
        <v>0</v>
      </c>
      <c r="AX6">
        <f t="shared" si="4"/>
        <v>0</v>
      </c>
      <c r="AY6">
        <f t="shared" si="4"/>
        <v>0</v>
      </c>
      <c r="AZ6">
        <f t="shared" si="4"/>
        <v>0</v>
      </c>
      <c r="BA6">
        <f t="shared" si="4"/>
        <v>0</v>
      </c>
    </row>
    <row r="7" spans="1:53" x14ac:dyDescent="0.3">
      <c r="A7" s="1" t="s">
        <v>757</v>
      </c>
      <c r="B7">
        <f>'Start Year Data'!D31</f>
        <v>0</v>
      </c>
      <c r="C7">
        <f>$B7*'Time Series Scaling Factors'!C58</f>
        <v>0</v>
      </c>
      <c r="D7">
        <f>$B7*'Time Series Scaling Factors'!D58</f>
        <v>0</v>
      </c>
      <c r="E7">
        <f>$B7*'Time Series Scaling Factors'!E58</f>
        <v>0</v>
      </c>
      <c r="F7">
        <f>$B7*'Time Series Scaling Factors'!F58</f>
        <v>0</v>
      </c>
      <c r="G7">
        <f>$B7*'Time Series Scaling Factors'!G58</f>
        <v>0</v>
      </c>
      <c r="H7">
        <f>$B7*'Time Series Scaling Factors'!H58</f>
        <v>0</v>
      </c>
      <c r="I7">
        <f>$B7*'Time Series Scaling Factors'!I58</f>
        <v>0</v>
      </c>
      <c r="J7">
        <f>$B7*'Time Series Scaling Factors'!J58</f>
        <v>0</v>
      </c>
      <c r="K7">
        <f>$B7*'Time Series Scaling Factors'!K58</f>
        <v>0</v>
      </c>
      <c r="L7">
        <f>$B7*'Time Series Scaling Factors'!L58</f>
        <v>0</v>
      </c>
      <c r="M7">
        <f>$B7*'Time Series Scaling Factors'!M58</f>
        <v>0</v>
      </c>
      <c r="N7">
        <f>$B7*'Time Series Scaling Factors'!N58</f>
        <v>0</v>
      </c>
      <c r="O7">
        <f>$B7*'Time Series Scaling Factors'!O58</f>
        <v>0</v>
      </c>
      <c r="P7">
        <f>$B7*'Time Series Scaling Factors'!P58</f>
        <v>0</v>
      </c>
      <c r="Q7">
        <f>$B7*'Time Series Scaling Factors'!Q58</f>
        <v>0</v>
      </c>
      <c r="R7">
        <f>$B7*'Time Series Scaling Factors'!R58</f>
        <v>0</v>
      </c>
      <c r="S7">
        <f>$B7*'Time Series Scaling Factors'!S58</f>
        <v>0</v>
      </c>
      <c r="T7">
        <f>$B7*'Time Series Scaling Factors'!T58</f>
        <v>0</v>
      </c>
      <c r="U7">
        <f>$B7*'Time Series Scaling Factors'!U58</f>
        <v>0</v>
      </c>
      <c r="V7">
        <f>$B7*'Time Series Scaling Factors'!V58</f>
        <v>0</v>
      </c>
      <c r="W7">
        <f>$B7*'Time Series Scaling Factors'!W58</f>
        <v>0</v>
      </c>
      <c r="X7">
        <f>$B7*'Time Series Scaling Factors'!X58</f>
        <v>0</v>
      </c>
      <c r="Y7">
        <f>$B7*'Time Series Scaling Factors'!Y58</f>
        <v>0</v>
      </c>
      <c r="Z7">
        <f>$B7*'Time Series Scaling Factors'!Z58</f>
        <v>0</v>
      </c>
      <c r="AA7">
        <f>$B7*'Time Series Scaling Factors'!AA58</f>
        <v>0</v>
      </c>
      <c r="AB7">
        <f>$B7*'Time Series Scaling Factors'!AB58</f>
        <v>0</v>
      </c>
      <c r="AC7">
        <f>$B7*'Time Series Scaling Factors'!AC58</f>
        <v>0</v>
      </c>
      <c r="AD7">
        <f>$B7*'Time Series Scaling Factors'!AD58</f>
        <v>0</v>
      </c>
      <c r="AE7">
        <f>$B7*'Time Series Scaling Factors'!AE58</f>
        <v>0</v>
      </c>
      <c r="AF7">
        <f>$B7*'Time Series Scaling Factors'!AF58</f>
        <v>0</v>
      </c>
      <c r="AG7">
        <f>$B7*'Time Series Scaling Factors'!AG58</f>
        <v>0</v>
      </c>
      <c r="AH7">
        <f t="shared" ref="AH7:BA7" si="5">AG7</f>
        <v>0</v>
      </c>
      <c r="AI7">
        <f t="shared" si="5"/>
        <v>0</v>
      </c>
      <c r="AJ7">
        <f t="shared" si="5"/>
        <v>0</v>
      </c>
      <c r="AK7">
        <f t="shared" si="5"/>
        <v>0</v>
      </c>
      <c r="AL7">
        <f t="shared" si="5"/>
        <v>0</v>
      </c>
      <c r="AM7">
        <f t="shared" si="5"/>
        <v>0</v>
      </c>
      <c r="AN7">
        <f t="shared" si="5"/>
        <v>0</v>
      </c>
      <c r="AO7">
        <f t="shared" si="5"/>
        <v>0</v>
      </c>
      <c r="AP7">
        <f t="shared" si="5"/>
        <v>0</v>
      </c>
      <c r="AQ7">
        <f t="shared" si="5"/>
        <v>0</v>
      </c>
      <c r="AR7">
        <f t="shared" si="5"/>
        <v>0</v>
      </c>
      <c r="AS7">
        <f t="shared" si="5"/>
        <v>0</v>
      </c>
      <c r="AT7">
        <f t="shared" si="5"/>
        <v>0</v>
      </c>
      <c r="AU7">
        <f t="shared" si="5"/>
        <v>0</v>
      </c>
      <c r="AV7">
        <f t="shared" si="5"/>
        <v>0</v>
      </c>
      <c r="AW7">
        <f t="shared" si="5"/>
        <v>0</v>
      </c>
      <c r="AX7">
        <f t="shared" si="5"/>
        <v>0</v>
      </c>
      <c r="AY7">
        <f t="shared" si="5"/>
        <v>0</v>
      </c>
      <c r="AZ7">
        <f t="shared" si="5"/>
        <v>0</v>
      </c>
      <c r="BA7">
        <f t="shared" si="5"/>
        <v>0</v>
      </c>
    </row>
    <row r="8" spans="1:53" x14ac:dyDescent="0.3">
      <c r="A8" s="1" t="s">
        <v>758</v>
      </c>
      <c r="B8">
        <f>'Start Year Data'!D32</f>
        <v>0</v>
      </c>
      <c r="C8">
        <f>$B8*'Time Series Scaling Factors'!C59</f>
        <v>0</v>
      </c>
      <c r="D8">
        <f>$B8*'Time Series Scaling Factors'!D59</f>
        <v>0</v>
      </c>
      <c r="E8">
        <f>$B8*'Time Series Scaling Factors'!E59</f>
        <v>0</v>
      </c>
      <c r="F8">
        <f>$B8*'Time Series Scaling Factors'!F59</f>
        <v>0</v>
      </c>
      <c r="G8">
        <f>$B8*'Time Series Scaling Factors'!G59</f>
        <v>0</v>
      </c>
      <c r="H8">
        <f>$B8*'Time Series Scaling Factors'!H59</f>
        <v>0</v>
      </c>
      <c r="I8">
        <f>$B8*'Time Series Scaling Factors'!I59</f>
        <v>0</v>
      </c>
      <c r="J8">
        <f>$B8*'Time Series Scaling Factors'!J59</f>
        <v>0</v>
      </c>
      <c r="K8">
        <f>$B8*'Time Series Scaling Factors'!K59</f>
        <v>0</v>
      </c>
      <c r="L8">
        <f>$B8*'Time Series Scaling Factors'!L59</f>
        <v>0</v>
      </c>
      <c r="M8">
        <f>$B8*'Time Series Scaling Factors'!M59</f>
        <v>0</v>
      </c>
      <c r="N8">
        <f>$B8*'Time Series Scaling Factors'!N59</f>
        <v>0</v>
      </c>
      <c r="O8">
        <f>$B8*'Time Series Scaling Factors'!O59</f>
        <v>0</v>
      </c>
      <c r="P8">
        <f>$B8*'Time Series Scaling Factors'!P59</f>
        <v>0</v>
      </c>
      <c r="Q8">
        <f>$B8*'Time Series Scaling Factors'!Q59</f>
        <v>0</v>
      </c>
      <c r="R8">
        <f>$B8*'Time Series Scaling Factors'!R59</f>
        <v>0</v>
      </c>
      <c r="S8">
        <f>$B8*'Time Series Scaling Factors'!S59</f>
        <v>0</v>
      </c>
      <c r="T8">
        <f>$B8*'Time Series Scaling Factors'!T59</f>
        <v>0</v>
      </c>
      <c r="U8">
        <f>$B8*'Time Series Scaling Factors'!U59</f>
        <v>0</v>
      </c>
      <c r="V8">
        <f>$B8*'Time Series Scaling Factors'!V59</f>
        <v>0</v>
      </c>
      <c r="W8">
        <f>$B8*'Time Series Scaling Factors'!W59</f>
        <v>0</v>
      </c>
      <c r="X8">
        <f>$B8*'Time Series Scaling Factors'!X59</f>
        <v>0</v>
      </c>
      <c r="Y8">
        <f>$B8*'Time Series Scaling Factors'!Y59</f>
        <v>0</v>
      </c>
      <c r="Z8">
        <f>$B8*'Time Series Scaling Factors'!Z59</f>
        <v>0</v>
      </c>
      <c r="AA8">
        <f>$B8*'Time Series Scaling Factors'!AA59</f>
        <v>0</v>
      </c>
      <c r="AB8">
        <f>$B8*'Time Series Scaling Factors'!AB59</f>
        <v>0</v>
      </c>
      <c r="AC8">
        <f>$B8*'Time Series Scaling Factors'!AC59</f>
        <v>0</v>
      </c>
      <c r="AD8">
        <f>$B8*'Time Series Scaling Factors'!AD59</f>
        <v>0</v>
      </c>
      <c r="AE8">
        <f>$B8*'Time Series Scaling Factors'!AE59</f>
        <v>0</v>
      </c>
      <c r="AF8">
        <f>$B8*'Time Series Scaling Factors'!AF59</f>
        <v>0</v>
      </c>
      <c r="AG8">
        <f>$B8*'Time Series Scaling Factors'!AG59</f>
        <v>0</v>
      </c>
      <c r="AH8">
        <f t="shared" ref="AH8:BA8" si="6">AG8</f>
        <v>0</v>
      </c>
      <c r="AI8">
        <f t="shared" si="6"/>
        <v>0</v>
      </c>
      <c r="AJ8">
        <f t="shared" si="6"/>
        <v>0</v>
      </c>
      <c r="AK8">
        <f t="shared" si="6"/>
        <v>0</v>
      </c>
      <c r="AL8">
        <f t="shared" si="6"/>
        <v>0</v>
      </c>
      <c r="AM8">
        <f t="shared" si="6"/>
        <v>0</v>
      </c>
      <c r="AN8">
        <f t="shared" si="6"/>
        <v>0</v>
      </c>
      <c r="AO8">
        <f t="shared" si="6"/>
        <v>0</v>
      </c>
      <c r="AP8">
        <f t="shared" si="6"/>
        <v>0</v>
      </c>
      <c r="AQ8">
        <f t="shared" si="6"/>
        <v>0</v>
      </c>
      <c r="AR8">
        <f t="shared" si="6"/>
        <v>0</v>
      </c>
      <c r="AS8">
        <f t="shared" si="6"/>
        <v>0</v>
      </c>
      <c r="AT8">
        <f t="shared" si="6"/>
        <v>0</v>
      </c>
      <c r="AU8">
        <f t="shared" si="6"/>
        <v>0</v>
      </c>
      <c r="AV8">
        <f t="shared" si="6"/>
        <v>0</v>
      </c>
      <c r="AW8">
        <f t="shared" si="6"/>
        <v>0</v>
      </c>
      <c r="AX8">
        <f t="shared" si="6"/>
        <v>0</v>
      </c>
      <c r="AY8">
        <f t="shared" si="6"/>
        <v>0</v>
      </c>
      <c r="AZ8">
        <f t="shared" si="6"/>
        <v>0</v>
      </c>
      <c r="BA8">
        <f t="shared" si="6"/>
        <v>0</v>
      </c>
    </row>
    <row r="9" spans="1:53" x14ac:dyDescent="0.3">
      <c r="A9" s="1" t="s">
        <v>759</v>
      </c>
      <c r="B9">
        <f>'Start Year Data'!D33</f>
        <v>0</v>
      </c>
      <c r="C9">
        <f>$B9*'Time Series Scaling Factors'!C60</f>
        <v>0</v>
      </c>
      <c r="D9">
        <f>$B9*'Time Series Scaling Factors'!D60</f>
        <v>0</v>
      </c>
      <c r="E9">
        <f>$B9*'Time Series Scaling Factors'!E60</f>
        <v>0</v>
      </c>
      <c r="F9">
        <f>$B9*'Time Series Scaling Factors'!F60</f>
        <v>0</v>
      </c>
      <c r="G9">
        <f>$B9*'Time Series Scaling Factors'!G60</f>
        <v>0</v>
      </c>
      <c r="H9">
        <f>$B9*'Time Series Scaling Factors'!H60</f>
        <v>0</v>
      </c>
      <c r="I9">
        <f>$B9*'Time Series Scaling Factors'!I60</f>
        <v>0</v>
      </c>
      <c r="J9">
        <f>$B9*'Time Series Scaling Factors'!J60</f>
        <v>0</v>
      </c>
      <c r="K9">
        <f>$B9*'Time Series Scaling Factors'!K60</f>
        <v>0</v>
      </c>
      <c r="L9">
        <f>$B9*'Time Series Scaling Factors'!L60</f>
        <v>0</v>
      </c>
      <c r="M9">
        <f>$B9*'Time Series Scaling Factors'!M60</f>
        <v>0</v>
      </c>
      <c r="N9">
        <f>$B9*'Time Series Scaling Factors'!N60</f>
        <v>0</v>
      </c>
      <c r="O9">
        <f>$B9*'Time Series Scaling Factors'!O60</f>
        <v>0</v>
      </c>
      <c r="P9">
        <f>$B9*'Time Series Scaling Factors'!P60</f>
        <v>0</v>
      </c>
      <c r="Q9">
        <f>$B9*'Time Series Scaling Factors'!Q60</f>
        <v>0</v>
      </c>
      <c r="R9">
        <f>$B9*'Time Series Scaling Factors'!R60</f>
        <v>0</v>
      </c>
      <c r="S9">
        <f>$B9*'Time Series Scaling Factors'!S60</f>
        <v>0</v>
      </c>
      <c r="T9">
        <f>$B9*'Time Series Scaling Factors'!T60</f>
        <v>0</v>
      </c>
      <c r="U9">
        <f>$B9*'Time Series Scaling Factors'!U60</f>
        <v>0</v>
      </c>
      <c r="V9">
        <f>$B9*'Time Series Scaling Factors'!V60</f>
        <v>0</v>
      </c>
      <c r="W9">
        <f>$B9*'Time Series Scaling Factors'!W60</f>
        <v>0</v>
      </c>
      <c r="X9">
        <f>$B9*'Time Series Scaling Factors'!X60</f>
        <v>0</v>
      </c>
      <c r="Y9">
        <f>$B9*'Time Series Scaling Factors'!Y60</f>
        <v>0</v>
      </c>
      <c r="Z9">
        <f>$B9*'Time Series Scaling Factors'!Z60</f>
        <v>0</v>
      </c>
      <c r="AA9">
        <f>$B9*'Time Series Scaling Factors'!AA60</f>
        <v>0</v>
      </c>
      <c r="AB9">
        <f>$B9*'Time Series Scaling Factors'!AB60</f>
        <v>0</v>
      </c>
      <c r="AC9">
        <f>$B9*'Time Series Scaling Factors'!AC60</f>
        <v>0</v>
      </c>
      <c r="AD9">
        <f>$B9*'Time Series Scaling Factors'!AD60</f>
        <v>0</v>
      </c>
      <c r="AE9">
        <f>$B9*'Time Series Scaling Factors'!AE60</f>
        <v>0</v>
      </c>
      <c r="AF9">
        <f>$B9*'Time Series Scaling Factors'!AF60</f>
        <v>0</v>
      </c>
      <c r="AG9">
        <f>$B9*'Time Series Scaling Factors'!AG60</f>
        <v>0</v>
      </c>
      <c r="AH9">
        <f t="shared" ref="AH9:BA9" si="7">AG9</f>
        <v>0</v>
      </c>
      <c r="AI9">
        <f t="shared" si="7"/>
        <v>0</v>
      </c>
      <c r="AJ9">
        <f t="shared" si="7"/>
        <v>0</v>
      </c>
      <c r="AK9">
        <f t="shared" si="7"/>
        <v>0</v>
      </c>
      <c r="AL9">
        <f t="shared" si="7"/>
        <v>0</v>
      </c>
      <c r="AM9">
        <f t="shared" si="7"/>
        <v>0</v>
      </c>
      <c r="AN9">
        <f t="shared" si="7"/>
        <v>0</v>
      </c>
      <c r="AO9">
        <f t="shared" si="7"/>
        <v>0</v>
      </c>
      <c r="AP9">
        <f t="shared" si="7"/>
        <v>0</v>
      </c>
      <c r="AQ9">
        <f t="shared" si="7"/>
        <v>0</v>
      </c>
      <c r="AR9">
        <f t="shared" si="7"/>
        <v>0</v>
      </c>
      <c r="AS9">
        <f t="shared" si="7"/>
        <v>0</v>
      </c>
      <c r="AT9">
        <f t="shared" si="7"/>
        <v>0</v>
      </c>
      <c r="AU9">
        <f t="shared" si="7"/>
        <v>0</v>
      </c>
      <c r="AV9">
        <f t="shared" si="7"/>
        <v>0</v>
      </c>
      <c r="AW9">
        <f t="shared" si="7"/>
        <v>0</v>
      </c>
      <c r="AX9">
        <f t="shared" si="7"/>
        <v>0</v>
      </c>
      <c r="AY9">
        <f t="shared" si="7"/>
        <v>0</v>
      </c>
      <c r="AZ9">
        <f t="shared" si="7"/>
        <v>0</v>
      </c>
      <c r="BA9">
        <f t="shared" si="7"/>
        <v>0</v>
      </c>
    </row>
    <row r="10" spans="1:53" x14ac:dyDescent="0.3">
      <c r="A10" s="1" t="s">
        <v>760</v>
      </c>
      <c r="B10">
        <f>'Start Year Data'!D34</f>
        <v>61302915687360</v>
      </c>
      <c r="C10">
        <f>$B10*'Time Series Scaling Factors'!C61</f>
        <v>72237435751188.313</v>
      </c>
      <c r="D10">
        <f>$B10*'Time Series Scaling Factors'!D61</f>
        <v>72734888733277.297</v>
      </c>
      <c r="E10">
        <f>$B10*'Time Series Scaling Factors'!E61</f>
        <v>77776873601440.438</v>
      </c>
      <c r="F10">
        <f>$B10*'Time Series Scaling Factors'!F61</f>
        <v>83248893114649.25</v>
      </c>
      <c r="G10">
        <f>$B10*'Time Series Scaling Factors'!G61</f>
        <v>86540699421577.313</v>
      </c>
      <c r="H10">
        <f>$B10*'Time Series Scaling Factors'!H61</f>
        <v>85231223498170.297</v>
      </c>
      <c r="I10">
        <f>$B10*'Time Series Scaling Factors'!I61</f>
        <v>88443331896184.094</v>
      </c>
      <c r="J10">
        <f>$B10*'Time Series Scaling Factors'!J61</f>
        <v>89183413800146.406</v>
      </c>
      <c r="K10">
        <f>$B10*'Time Series Scaling Factors'!K61</f>
        <v>88806443792288.891</v>
      </c>
      <c r="L10">
        <f>$B10*'Time Series Scaling Factors'!L61</f>
        <v>88388200473057.688</v>
      </c>
      <c r="M10">
        <f>$B10*'Time Series Scaling Factors'!M61</f>
        <v>83777524094914.609</v>
      </c>
      <c r="N10">
        <f>$B10*'Time Series Scaling Factors'!N61</f>
        <v>85024320971946.609</v>
      </c>
      <c r="O10">
        <f>$B10*'Time Series Scaling Factors'!O61</f>
        <v>85111819804695.156</v>
      </c>
      <c r="P10">
        <f>$B10*'Time Series Scaling Factors'!P61</f>
        <v>85043131293700.484</v>
      </c>
      <c r="Q10">
        <f>$B10*'Time Series Scaling Factors'!Q61</f>
        <v>85134499384670.859</v>
      </c>
      <c r="R10">
        <f>$B10*'Time Series Scaling Factors'!R61</f>
        <v>85931625314732.578</v>
      </c>
      <c r="S10">
        <f>$B10*'Time Series Scaling Factors'!S61</f>
        <v>85146448564473.516</v>
      </c>
      <c r="T10">
        <f>$B10*'Time Series Scaling Factors'!T61</f>
        <v>86676901716212.813</v>
      </c>
      <c r="U10">
        <f>$B10*'Time Series Scaling Factors'!U61</f>
        <v>85545811812514.219</v>
      </c>
      <c r="V10">
        <f>$B10*'Time Series Scaling Factors'!V61</f>
        <v>84723667860838</v>
      </c>
      <c r="W10">
        <f>$B10*'Time Series Scaling Factors'!W61</f>
        <v>85170167043952.781</v>
      </c>
      <c r="X10">
        <f>$B10*'Time Series Scaling Factors'!X61</f>
        <v>86695939641391.484</v>
      </c>
      <c r="Y10">
        <f>$B10*'Time Series Scaling Factors'!Y61</f>
        <v>86214503332567.938</v>
      </c>
      <c r="Z10">
        <f>$B10*'Time Series Scaling Factors'!Z61</f>
        <v>85704172401862.125</v>
      </c>
      <c r="AA10">
        <f>$B10*'Time Series Scaling Factors'!AA61</f>
        <v>85148775993043.375</v>
      </c>
      <c r="AB10">
        <f>$B10*'Time Series Scaling Factors'!AB61</f>
        <v>84578196233175.859</v>
      </c>
      <c r="AC10">
        <f>$B10*'Time Series Scaling Factors'!AC61</f>
        <v>84297865905289.219</v>
      </c>
      <c r="AD10">
        <f>$B10*'Time Series Scaling Factors'!AD61</f>
        <v>84716189987025.984</v>
      </c>
      <c r="AE10">
        <f>$B10*'Time Series Scaling Factors'!AE61</f>
        <v>84944002660148.594</v>
      </c>
      <c r="AF10">
        <f>$B10*'Time Series Scaling Factors'!AF61</f>
        <v>86755457936980</v>
      </c>
      <c r="AG10">
        <f>$B10*'Time Series Scaling Factors'!AG61</f>
        <v>86389732272512.844</v>
      </c>
      <c r="AH10">
        <f t="shared" ref="AH10:BA10" si="8">AG10</f>
        <v>86389732272512.844</v>
      </c>
      <c r="AI10">
        <f t="shared" si="8"/>
        <v>86389732272512.844</v>
      </c>
      <c r="AJ10">
        <f t="shared" si="8"/>
        <v>86389732272512.844</v>
      </c>
      <c r="AK10">
        <f t="shared" si="8"/>
        <v>86389732272512.844</v>
      </c>
      <c r="AL10">
        <f t="shared" si="8"/>
        <v>86389732272512.844</v>
      </c>
      <c r="AM10">
        <f t="shared" si="8"/>
        <v>86389732272512.844</v>
      </c>
      <c r="AN10">
        <f t="shared" si="8"/>
        <v>86389732272512.844</v>
      </c>
      <c r="AO10">
        <f t="shared" si="8"/>
        <v>86389732272512.844</v>
      </c>
      <c r="AP10">
        <f t="shared" si="8"/>
        <v>86389732272512.844</v>
      </c>
      <c r="AQ10">
        <f t="shared" si="8"/>
        <v>86389732272512.844</v>
      </c>
      <c r="AR10">
        <f t="shared" si="8"/>
        <v>86389732272512.844</v>
      </c>
      <c r="AS10">
        <f t="shared" si="8"/>
        <v>86389732272512.844</v>
      </c>
      <c r="AT10">
        <f t="shared" si="8"/>
        <v>86389732272512.844</v>
      </c>
      <c r="AU10">
        <f t="shared" si="8"/>
        <v>86389732272512.844</v>
      </c>
      <c r="AV10">
        <f t="shared" si="8"/>
        <v>86389732272512.844</v>
      </c>
      <c r="AW10">
        <f t="shared" si="8"/>
        <v>86389732272512.844</v>
      </c>
      <c r="AX10">
        <f t="shared" si="8"/>
        <v>86389732272512.844</v>
      </c>
      <c r="AY10">
        <f t="shared" si="8"/>
        <v>86389732272512.844</v>
      </c>
      <c r="AZ10">
        <f t="shared" si="8"/>
        <v>86389732272512.844</v>
      </c>
      <c r="BA10">
        <f t="shared" si="8"/>
        <v>86389732272512.844</v>
      </c>
    </row>
    <row r="11" spans="1:53" x14ac:dyDescent="0.3">
      <c r="A11" s="1" t="s">
        <v>761</v>
      </c>
      <c r="B11">
        <f>'Start Year Data'!D35</f>
        <v>25712382831360</v>
      </c>
      <c r="C11">
        <f>$B11*'Time Series Scaling Factors'!C62</f>
        <v>30298666579953.559</v>
      </c>
      <c r="D11">
        <f>$B11*'Time Series Scaling Factors'!D62</f>
        <v>30507314103038.848</v>
      </c>
      <c r="E11">
        <f>$B11*'Time Series Scaling Factors'!E62</f>
        <v>32622082115400.539</v>
      </c>
      <c r="F11">
        <f>$B11*'Time Series Scaling Factors'!F62</f>
        <v>34917220266770.848</v>
      </c>
      <c r="G11">
        <f>$B11*'Time Series Scaling Factors'!G62</f>
        <v>36297908004399.477</v>
      </c>
      <c r="H11">
        <f>$B11*'Time Series Scaling Factors'!H62</f>
        <v>35748672362447.258</v>
      </c>
      <c r="I11">
        <f>$B11*'Time Series Scaling Factors'!I62</f>
        <v>37095932274957.203</v>
      </c>
      <c r="J11">
        <f>$B11*'Time Series Scaling Factors'!J62</f>
        <v>37406346046111.07</v>
      </c>
      <c r="K11">
        <f>$B11*'Time Series Scaling Factors'!K62</f>
        <v>37248232895222.688</v>
      </c>
      <c r="L11">
        <f>$B11*'Time Series Scaling Factors'!L62</f>
        <v>37072808411408.961</v>
      </c>
      <c r="M11">
        <f>$B11*'Time Series Scaling Factors'!M62</f>
        <v>35138944828950.238</v>
      </c>
      <c r="N11">
        <f>$B11*'Time Series Scaling Factors'!N62</f>
        <v>35661890895311.664</v>
      </c>
      <c r="O11">
        <f>$B11*'Time Series Scaling Factors'!O62</f>
        <v>35698590674754.484</v>
      </c>
      <c r="P11">
        <f>$B11*'Time Series Scaling Factors'!P62</f>
        <v>35669780539526.68</v>
      </c>
      <c r="Q11">
        <f>$B11*'Time Series Scaling Factors'!Q62</f>
        <v>35708103208314.281</v>
      </c>
      <c r="R11">
        <f>$B11*'Time Series Scaling Factors'!R62</f>
        <v>36042443049229.5</v>
      </c>
      <c r="S11">
        <f>$B11*'Time Series Scaling Factors'!S62</f>
        <v>35713115072467.266</v>
      </c>
      <c r="T11">
        <f>$B11*'Time Series Scaling Factors'!T62</f>
        <v>36355035557027.445</v>
      </c>
      <c r="U11">
        <f>$B11*'Time Series Scaling Factors'!U62</f>
        <v>35880620656944.953</v>
      </c>
      <c r="V11">
        <f>$B11*'Time Series Scaling Factors'!V62</f>
        <v>35535787466044.297</v>
      </c>
      <c r="W11">
        <f>$B11*'Time Series Scaling Factors'!W62</f>
        <v>35723063353355.875</v>
      </c>
      <c r="X11">
        <f>$B11*'Time Series Scaling Factors'!X62</f>
        <v>36363020665321.563</v>
      </c>
      <c r="Y11">
        <f>$B11*'Time Series Scaling Factors'!Y62</f>
        <v>36161091041867.445</v>
      </c>
      <c r="Z11">
        <f>$B11*'Time Series Scaling Factors'!Z62</f>
        <v>35947042099596.703</v>
      </c>
      <c r="AA11">
        <f>$B11*'Time Series Scaling Factors'!AA62</f>
        <v>35714091269663.266</v>
      </c>
      <c r="AB11">
        <f>$B11*'Time Series Scaling Factors'!AB62</f>
        <v>35474772061807.641</v>
      </c>
      <c r="AC11">
        <f>$B11*'Time Series Scaling Factors'!AC62</f>
        <v>35357192650958.375</v>
      </c>
      <c r="AD11">
        <f>$B11*'Time Series Scaling Factors'!AD62</f>
        <v>35532651009122.75</v>
      </c>
      <c r="AE11">
        <f>$B11*'Time Series Scaling Factors'!AE62</f>
        <v>35628202853590.266</v>
      </c>
      <c r="AF11">
        <f>$B11*'Time Series Scaling Factors'!AF62</f>
        <v>36387984522007.383</v>
      </c>
      <c r="AG11">
        <f>$B11*'Time Series Scaling Factors'!AG62</f>
        <v>36234587604575.406</v>
      </c>
      <c r="AH11">
        <f t="shared" ref="AH11:BA11" si="9">AG11</f>
        <v>36234587604575.406</v>
      </c>
      <c r="AI11">
        <f t="shared" si="9"/>
        <v>36234587604575.406</v>
      </c>
      <c r="AJ11">
        <f t="shared" si="9"/>
        <v>36234587604575.406</v>
      </c>
      <c r="AK11">
        <f t="shared" si="9"/>
        <v>36234587604575.406</v>
      </c>
      <c r="AL11">
        <f t="shared" si="9"/>
        <v>36234587604575.406</v>
      </c>
      <c r="AM11">
        <f t="shared" si="9"/>
        <v>36234587604575.406</v>
      </c>
      <c r="AN11">
        <f t="shared" si="9"/>
        <v>36234587604575.406</v>
      </c>
      <c r="AO11">
        <f t="shared" si="9"/>
        <v>36234587604575.406</v>
      </c>
      <c r="AP11">
        <f t="shared" si="9"/>
        <v>36234587604575.406</v>
      </c>
      <c r="AQ11">
        <f t="shared" si="9"/>
        <v>36234587604575.406</v>
      </c>
      <c r="AR11">
        <f t="shared" si="9"/>
        <v>36234587604575.406</v>
      </c>
      <c r="AS11">
        <f t="shared" si="9"/>
        <v>36234587604575.406</v>
      </c>
      <c r="AT11">
        <f t="shared" si="9"/>
        <v>36234587604575.406</v>
      </c>
      <c r="AU11">
        <f t="shared" si="9"/>
        <v>36234587604575.406</v>
      </c>
      <c r="AV11">
        <f t="shared" si="9"/>
        <v>36234587604575.406</v>
      </c>
      <c r="AW11">
        <f t="shared" si="9"/>
        <v>36234587604575.406</v>
      </c>
      <c r="AX11">
        <f t="shared" si="9"/>
        <v>36234587604575.406</v>
      </c>
      <c r="AY11">
        <f t="shared" si="9"/>
        <v>36234587604575.406</v>
      </c>
      <c r="AZ11">
        <f t="shared" si="9"/>
        <v>36234587604575.406</v>
      </c>
      <c r="BA11">
        <f t="shared" si="9"/>
        <v>36234587604575.406</v>
      </c>
    </row>
    <row r="12" spans="1:53" x14ac:dyDescent="0.3">
      <c r="A12" s="1" t="s">
        <v>762</v>
      </c>
      <c r="B12">
        <f>'Start Year Data'!D36</f>
        <v>0</v>
      </c>
      <c r="C12">
        <f>$B12*'Time Series Scaling Factors'!C63</f>
        <v>0</v>
      </c>
      <c r="D12">
        <f>$B12*'Time Series Scaling Factors'!D63</f>
        <v>0</v>
      </c>
      <c r="E12">
        <f>$B12*'Time Series Scaling Factors'!E63</f>
        <v>0</v>
      </c>
      <c r="F12">
        <f>$B12*'Time Series Scaling Factors'!F63</f>
        <v>0</v>
      </c>
      <c r="G12">
        <f>$B12*'Time Series Scaling Factors'!G63</f>
        <v>0</v>
      </c>
      <c r="H12">
        <f>$B12*'Time Series Scaling Factors'!H63</f>
        <v>0</v>
      </c>
      <c r="I12">
        <f>$B12*'Time Series Scaling Factors'!I63</f>
        <v>0</v>
      </c>
      <c r="J12">
        <f>$B12*'Time Series Scaling Factors'!J63</f>
        <v>0</v>
      </c>
      <c r="K12">
        <f>$B12*'Time Series Scaling Factors'!K63</f>
        <v>0</v>
      </c>
      <c r="L12">
        <f>$B12*'Time Series Scaling Factors'!L63</f>
        <v>0</v>
      </c>
      <c r="M12">
        <f>$B12*'Time Series Scaling Factors'!M63</f>
        <v>0</v>
      </c>
      <c r="N12">
        <f>$B12*'Time Series Scaling Factors'!N63</f>
        <v>0</v>
      </c>
      <c r="O12">
        <f>$B12*'Time Series Scaling Factors'!O63</f>
        <v>0</v>
      </c>
      <c r="P12">
        <f>$B12*'Time Series Scaling Factors'!P63</f>
        <v>0</v>
      </c>
      <c r="Q12">
        <f>$B12*'Time Series Scaling Factors'!Q63</f>
        <v>0</v>
      </c>
      <c r="R12">
        <f>$B12*'Time Series Scaling Factors'!R63</f>
        <v>0</v>
      </c>
      <c r="S12">
        <f>$B12*'Time Series Scaling Factors'!S63</f>
        <v>0</v>
      </c>
      <c r="T12">
        <f>$B12*'Time Series Scaling Factors'!T63</f>
        <v>0</v>
      </c>
      <c r="U12">
        <f>$B12*'Time Series Scaling Factors'!U63</f>
        <v>0</v>
      </c>
      <c r="V12">
        <f>$B12*'Time Series Scaling Factors'!V63</f>
        <v>0</v>
      </c>
      <c r="W12">
        <f>$B12*'Time Series Scaling Factors'!W63</f>
        <v>0</v>
      </c>
      <c r="X12">
        <f>$B12*'Time Series Scaling Factors'!X63</f>
        <v>0</v>
      </c>
      <c r="Y12">
        <f>$B12*'Time Series Scaling Factors'!Y63</f>
        <v>0</v>
      </c>
      <c r="Z12">
        <f>$B12*'Time Series Scaling Factors'!Z63</f>
        <v>0</v>
      </c>
      <c r="AA12">
        <f>$B12*'Time Series Scaling Factors'!AA63</f>
        <v>0</v>
      </c>
      <c r="AB12">
        <f>$B12*'Time Series Scaling Factors'!AB63</f>
        <v>0</v>
      </c>
      <c r="AC12">
        <f>$B12*'Time Series Scaling Factors'!AC63</f>
        <v>0</v>
      </c>
      <c r="AD12">
        <f>$B12*'Time Series Scaling Factors'!AD63</f>
        <v>0</v>
      </c>
      <c r="AE12">
        <f>$B12*'Time Series Scaling Factors'!AE63</f>
        <v>0</v>
      </c>
      <c r="AF12">
        <f>$B12*'Time Series Scaling Factors'!AF63</f>
        <v>0</v>
      </c>
      <c r="AG12">
        <f>$B12*'Time Series Scaling Factors'!AG63</f>
        <v>0</v>
      </c>
      <c r="AH12">
        <f t="shared" ref="AH12:BA12" si="10">AG12</f>
        <v>0</v>
      </c>
      <c r="AI12">
        <f t="shared" si="10"/>
        <v>0</v>
      </c>
      <c r="AJ12">
        <f t="shared" si="10"/>
        <v>0</v>
      </c>
      <c r="AK12">
        <f t="shared" si="10"/>
        <v>0</v>
      </c>
      <c r="AL12">
        <f t="shared" si="10"/>
        <v>0</v>
      </c>
      <c r="AM12">
        <f t="shared" si="10"/>
        <v>0</v>
      </c>
      <c r="AN12">
        <f t="shared" si="10"/>
        <v>0</v>
      </c>
      <c r="AO12">
        <f t="shared" si="10"/>
        <v>0</v>
      </c>
      <c r="AP12">
        <f t="shared" si="10"/>
        <v>0</v>
      </c>
      <c r="AQ12">
        <f t="shared" si="10"/>
        <v>0</v>
      </c>
      <c r="AR12">
        <f t="shared" si="10"/>
        <v>0</v>
      </c>
      <c r="AS12">
        <f t="shared" si="10"/>
        <v>0</v>
      </c>
      <c r="AT12">
        <f t="shared" si="10"/>
        <v>0</v>
      </c>
      <c r="AU12">
        <f t="shared" si="10"/>
        <v>0</v>
      </c>
      <c r="AV12">
        <f t="shared" si="10"/>
        <v>0</v>
      </c>
      <c r="AW12">
        <f t="shared" si="10"/>
        <v>0</v>
      </c>
      <c r="AX12">
        <f t="shared" si="10"/>
        <v>0</v>
      </c>
      <c r="AY12">
        <f t="shared" si="10"/>
        <v>0</v>
      </c>
      <c r="AZ12">
        <f t="shared" si="10"/>
        <v>0</v>
      </c>
      <c r="BA12">
        <f t="shared" si="10"/>
        <v>0</v>
      </c>
    </row>
    <row r="13" spans="1:53" x14ac:dyDescent="0.3">
      <c r="A13" s="1" t="s">
        <v>763</v>
      </c>
      <c r="B13">
        <f>'Start Year Data'!D37</f>
        <v>0</v>
      </c>
      <c r="C13">
        <f>$B13*'Time Series Scaling Factors'!C64</f>
        <v>0</v>
      </c>
      <c r="D13">
        <f>$B13*'Time Series Scaling Factors'!D64</f>
        <v>0</v>
      </c>
      <c r="E13">
        <f>$B13*'Time Series Scaling Factors'!E64</f>
        <v>0</v>
      </c>
      <c r="F13">
        <f>$B13*'Time Series Scaling Factors'!F64</f>
        <v>0</v>
      </c>
      <c r="G13">
        <f>$B13*'Time Series Scaling Factors'!G64</f>
        <v>0</v>
      </c>
      <c r="H13">
        <f>$B13*'Time Series Scaling Factors'!H64</f>
        <v>0</v>
      </c>
      <c r="I13">
        <f>$B13*'Time Series Scaling Factors'!I64</f>
        <v>0</v>
      </c>
      <c r="J13">
        <f>$B13*'Time Series Scaling Factors'!J64</f>
        <v>0</v>
      </c>
      <c r="K13">
        <f>$B13*'Time Series Scaling Factors'!K64</f>
        <v>0</v>
      </c>
      <c r="L13">
        <f>$B13*'Time Series Scaling Factors'!L64</f>
        <v>0</v>
      </c>
      <c r="M13">
        <f>$B13*'Time Series Scaling Factors'!M64</f>
        <v>0</v>
      </c>
      <c r="N13">
        <f>$B13*'Time Series Scaling Factors'!N64</f>
        <v>0</v>
      </c>
      <c r="O13">
        <f>$B13*'Time Series Scaling Factors'!O64</f>
        <v>0</v>
      </c>
      <c r="P13">
        <f>$B13*'Time Series Scaling Factors'!P64</f>
        <v>0</v>
      </c>
      <c r="Q13">
        <f>$B13*'Time Series Scaling Factors'!Q64</f>
        <v>0</v>
      </c>
      <c r="R13">
        <f>$B13*'Time Series Scaling Factors'!R64</f>
        <v>0</v>
      </c>
      <c r="S13">
        <f>$B13*'Time Series Scaling Factors'!S64</f>
        <v>0</v>
      </c>
      <c r="T13">
        <f>$B13*'Time Series Scaling Factors'!T64</f>
        <v>0</v>
      </c>
      <c r="U13">
        <f>$B13*'Time Series Scaling Factors'!U64</f>
        <v>0</v>
      </c>
      <c r="V13">
        <f>$B13*'Time Series Scaling Factors'!V64</f>
        <v>0</v>
      </c>
      <c r="W13">
        <f>$B13*'Time Series Scaling Factors'!W64</f>
        <v>0</v>
      </c>
      <c r="X13">
        <f>$B13*'Time Series Scaling Factors'!X64</f>
        <v>0</v>
      </c>
      <c r="Y13">
        <f>$B13*'Time Series Scaling Factors'!Y64</f>
        <v>0</v>
      </c>
      <c r="Z13">
        <f>$B13*'Time Series Scaling Factors'!Z64</f>
        <v>0</v>
      </c>
      <c r="AA13">
        <f>$B13*'Time Series Scaling Factors'!AA64</f>
        <v>0</v>
      </c>
      <c r="AB13">
        <f>$B13*'Time Series Scaling Factors'!AB64</f>
        <v>0</v>
      </c>
      <c r="AC13">
        <f>$B13*'Time Series Scaling Factors'!AC64</f>
        <v>0</v>
      </c>
      <c r="AD13">
        <f>$B13*'Time Series Scaling Factors'!AD64</f>
        <v>0</v>
      </c>
      <c r="AE13">
        <f>$B13*'Time Series Scaling Factors'!AE64</f>
        <v>0</v>
      </c>
      <c r="AF13">
        <f>$B13*'Time Series Scaling Factors'!AF64</f>
        <v>0</v>
      </c>
      <c r="AG13">
        <f>$B13*'Time Series Scaling Factors'!AG64</f>
        <v>0</v>
      </c>
      <c r="AH13">
        <f t="shared" ref="AH13:BA13" si="11">AG13</f>
        <v>0</v>
      </c>
      <c r="AI13">
        <f t="shared" si="11"/>
        <v>0</v>
      </c>
      <c r="AJ13">
        <f t="shared" si="11"/>
        <v>0</v>
      </c>
      <c r="AK13">
        <f t="shared" si="11"/>
        <v>0</v>
      </c>
      <c r="AL13">
        <f t="shared" si="11"/>
        <v>0</v>
      </c>
      <c r="AM13">
        <f t="shared" si="11"/>
        <v>0</v>
      </c>
      <c r="AN13">
        <f t="shared" si="11"/>
        <v>0</v>
      </c>
      <c r="AO13">
        <f t="shared" si="11"/>
        <v>0</v>
      </c>
      <c r="AP13">
        <f t="shared" si="11"/>
        <v>0</v>
      </c>
      <c r="AQ13">
        <f t="shared" si="11"/>
        <v>0</v>
      </c>
      <c r="AR13">
        <f t="shared" si="11"/>
        <v>0</v>
      </c>
      <c r="AS13">
        <f t="shared" si="11"/>
        <v>0</v>
      </c>
      <c r="AT13">
        <f t="shared" si="11"/>
        <v>0</v>
      </c>
      <c r="AU13">
        <f t="shared" si="11"/>
        <v>0</v>
      </c>
      <c r="AV13">
        <f t="shared" si="11"/>
        <v>0</v>
      </c>
      <c r="AW13">
        <f t="shared" si="11"/>
        <v>0</v>
      </c>
      <c r="AX13">
        <f t="shared" si="11"/>
        <v>0</v>
      </c>
      <c r="AY13">
        <f t="shared" si="11"/>
        <v>0</v>
      </c>
      <c r="AZ13">
        <f t="shared" si="11"/>
        <v>0</v>
      </c>
      <c r="BA13">
        <f t="shared" si="11"/>
        <v>0</v>
      </c>
    </row>
    <row r="14" spans="1:53" x14ac:dyDescent="0.3">
      <c r="A14" s="1" t="s">
        <v>764</v>
      </c>
      <c r="B14">
        <f>'Start Year Data'!D38</f>
        <v>0</v>
      </c>
      <c r="C14">
        <f>$B14*'Time Series Scaling Factors'!C65</f>
        <v>0</v>
      </c>
      <c r="D14">
        <f>$B14*'Time Series Scaling Factors'!D65</f>
        <v>0</v>
      </c>
      <c r="E14">
        <f>$B14*'Time Series Scaling Factors'!E65</f>
        <v>0</v>
      </c>
      <c r="F14">
        <f>$B14*'Time Series Scaling Factors'!F65</f>
        <v>0</v>
      </c>
      <c r="G14">
        <f>$B14*'Time Series Scaling Factors'!G65</f>
        <v>0</v>
      </c>
      <c r="H14">
        <f>$B14*'Time Series Scaling Factors'!H65</f>
        <v>0</v>
      </c>
      <c r="I14">
        <f>$B14*'Time Series Scaling Factors'!I65</f>
        <v>0</v>
      </c>
      <c r="J14">
        <f>$B14*'Time Series Scaling Factors'!J65</f>
        <v>0</v>
      </c>
      <c r="K14">
        <f>$B14*'Time Series Scaling Factors'!K65</f>
        <v>0</v>
      </c>
      <c r="L14">
        <f>$B14*'Time Series Scaling Factors'!L65</f>
        <v>0</v>
      </c>
      <c r="M14">
        <f>$B14*'Time Series Scaling Factors'!M65</f>
        <v>0</v>
      </c>
      <c r="N14">
        <f>$B14*'Time Series Scaling Factors'!N65</f>
        <v>0</v>
      </c>
      <c r="O14">
        <f>$B14*'Time Series Scaling Factors'!O65</f>
        <v>0</v>
      </c>
      <c r="P14">
        <f>$B14*'Time Series Scaling Factors'!P65</f>
        <v>0</v>
      </c>
      <c r="Q14">
        <f>$B14*'Time Series Scaling Factors'!Q65</f>
        <v>0</v>
      </c>
      <c r="R14">
        <f>$B14*'Time Series Scaling Factors'!R65</f>
        <v>0</v>
      </c>
      <c r="S14">
        <f>$B14*'Time Series Scaling Factors'!S65</f>
        <v>0</v>
      </c>
      <c r="T14">
        <f>$B14*'Time Series Scaling Factors'!T65</f>
        <v>0</v>
      </c>
      <c r="U14">
        <f>$B14*'Time Series Scaling Factors'!U65</f>
        <v>0</v>
      </c>
      <c r="V14">
        <f>$B14*'Time Series Scaling Factors'!V65</f>
        <v>0</v>
      </c>
      <c r="W14">
        <f>$B14*'Time Series Scaling Factors'!W65</f>
        <v>0</v>
      </c>
      <c r="X14">
        <f>$B14*'Time Series Scaling Factors'!X65</f>
        <v>0</v>
      </c>
      <c r="Y14">
        <f>$B14*'Time Series Scaling Factors'!Y65</f>
        <v>0</v>
      </c>
      <c r="Z14">
        <f>$B14*'Time Series Scaling Factors'!Z65</f>
        <v>0</v>
      </c>
      <c r="AA14">
        <f>$B14*'Time Series Scaling Factors'!AA65</f>
        <v>0</v>
      </c>
      <c r="AB14">
        <f>$B14*'Time Series Scaling Factors'!AB65</f>
        <v>0</v>
      </c>
      <c r="AC14">
        <f>$B14*'Time Series Scaling Factors'!AC65</f>
        <v>0</v>
      </c>
      <c r="AD14">
        <f>$B14*'Time Series Scaling Factors'!AD65</f>
        <v>0</v>
      </c>
      <c r="AE14">
        <f>$B14*'Time Series Scaling Factors'!AE65</f>
        <v>0</v>
      </c>
      <c r="AF14">
        <f>$B14*'Time Series Scaling Factors'!AF65</f>
        <v>0</v>
      </c>
      <c r="AG14">
        <f>$B14*'Time Series Scaling Factors'!AG65</f>
        <v>0</v>
      </c>
      <c r="AH14">
        <f t="shared" ref="AH14:BA14" si="12">AG14</f>
        <v>0</v>
      </c>
      <c r="AI14">
        <f t="shared" si="12"/>
        <v>0</v>
      </c>
      <c r="AJ14">
        <f t="shared" si="12"/>
        <v>0</v>
      </c>
      <c r="AK14">
        <f t="shared" si="12"/>
        <v>0</v>
      </c>
      <c r="AL14">
        <f t="shared" si="12"/>
        <v>0</v>
      </c>
      <c r="AM14">
        <f t="shared" si="12"/>
        <v>0</v>
      </c>
      <c r="AN14">
        <f t="shared" si="12"/>
        <v>0</v>
      </c>
      <c r="AO14">
        <f t="shared" si="12"/>
        <v>0</v>
      </c>
      <c r="AP14">
        <f t="shared" si="12"/>
        <v>0</v>
      </c>
      <c r="AQ14">
        <f t="shared" si="12"/>
        <v>0</v>
      </c>
      <c r="AR14">
        <f t="shared" si="12"/>
        <v>0</v>
      </c>
      <c r="AS14">
        <f t="shared" si="12"/>
        <v>0</v>
      </c>
      <c r="AT14">
        <f t="shared" si="12"/>
        <v>0</v>
      </c>
      <c r="AU14">
        <f t="shared" si="12"/>
        <v>0</v>
      </c>
      <c r="AV14">
        <f t="shared" si="12"/>
        <v>0</v>
      </c>
      <c r="AW14">
        <f t="shared" si="12"/>
        <v>0</v>
      </c>
      <c r="AX14">
        <f t="shared" si="12"/>
        <v>0</v>
      </c>
      <c r="AY14">
        <f t="shared" si="12"/>
        <v>0</v>
      </c>
      <c r="AZ14">
        <f t="shared" si="12"/>
        <v>0</v>
      </c>
      <c r="BA14">
        <f t="shared" si="12"/>
        <v>0</v>
      </c>
    </row>
    <row r="15" spans="1:53" x14ac:dyDescent="0.3">
      <c r="A15" s="1" t="s">
        <v>784</v>
      </c>
      <c r="B15">
        <f>'Start Year Data'!D39</f>
        <v>0</v>
      </c>
      <c r="C15">
        <f>$B15*'Time Series Scaling Factors'!C66</f>
        <v>0</v>
      </c>
      <c r="D15">
        <f>$B15*'Time Series Scaling Factors'!D66</f>
        <v>0</v>
      </c>
      <c r="E15">
        <f>$B15*'Time Series Scaling Factors'!E66</f>
        <v>0</v>
      </c>
      <c r="F15">
        <f>$B15*'Time Series Scaling Factors'!F66</f>
        <v>0</v>
      </c>
      <c r="G15">
        <f>$B15*'Time Series Scaling Factors'!G66</f>
        <v>0</v>
      </c>
      <c r="H15">
        <f>$B15*'Time Series Scaling Factors'!H66</f>
        <v>0</v>
      </c>
      <c r="I15">
        <f>$B15*'Time Series Scaling Factors'!I66</f>
        <v>0</v>
      </c>
      <c r="J15">
        <f>$B15*'Time Series Scaling Factors'!J66</f>
        <v>0</v>
      </c>
      <c r="K15">
        <f>$B15*'Time Series Scaling Factors'!K66</f>
        <v>0</v>
      </c>
      <c r="L15">
        <f>$B15*'Time Series Scaling Factors'!L66</f>
        <v>0</v>
      </c>
      <c r="M15">
        <f>$B15*'Time Series Scaling Factors'!M66</f>
        <v>0</v>
      </c>
      <c r="N15">
        <f>$B15*'Time Series Scaling Factors'!N66</f>
        <v>0</v>
      </c>
      <c r="O15">
        <f>$B15*'Time Series Scaling Factors'!O66</f>
        <v>0</v>
      </c>
      <c r="P15">
        <f>$B15*'Time Series Scaling Factors'!P66</f>
        <v>0</v>
      </c>
      <c r="Q15">
        <f>$B15*'Time Series Scaling Factors'!Q66</f>
        <v>0</v>
      </c>
      <c r="R15">
        <f>$B15*'Time Series Scaling Factors'!R66</f>
        <v>0</v>
      </c>
      <c r="S15">
        <f>$B15*'Time Series Scaling Factors'!S66</f>
        <v>0</v>
      </c>
      <c r="T15">
        <f>$B15*'Time Series Scaling Factors'!T66</f>
        <v>0</v>
      </c>
      <c r="U15">
        <f>$B15*'Time Series Scaling Factors'!U66</f>
        <v>0</v>
      </c>
      <c r="V15">
        <f>$B15*'Time Series Scaling Factors'!V66</f>
        <v>0</v>
      </c>
      <c r="W15">
        <f>$B15*'Time Series Scaling Factors'!W66</f>
        <v>0</v>
      </c>
      <c r="X15">
        <f>$B15*'Time Series Scaling Factors'!X66</f>
        <v>0</v>
      </c>
      <c r="Y15">
        <f>$B15*'Time Series Scaling Factors'!Y66</f>
        <v>0</v>
      </c>
      <c r="Z15">
        <f>$B15*'Time Series Scaling Factors'!Z66</f>
        <v>0</v>
      </c>
      <c r="AA15">
        <f>$B15*'Time Series Scaling Factors'!AA66</f>
        <v>0</v>
      </c>
      <c r="AB15">
        <f>$B15*'Time Series Scaling Factors'!AB66</f>
        <v>0</v>
      </c>
      <c r="AC15">
        <f>$B15*'Time Series Scaling Factors'!AC66</f>
        <v>0</v>
      </c>
      <c r="AD15">
        <f>$B15*'Time Series Scaling Factors'!AD66</f>
        <v>0</v>
      </c>
      <c r="AE15">
        <f>$B15*'Time Series Scaling Factors'!AE66</f>
        <v>0</v>
      </c>
      <c r="AF15">
        <f>$B15*'Time Series Scaling Factors'!AF66</f>
        <v>0</v>
      </c>
      <c r="AG15">
        <f>$B15*'Time Series Scaling Factors'!AG66</f>
        <v>0</v>
      </c>
      <c r="AH15">
        <f t="shared" ref="AH15:BA15" si="13">AG15</f>
        <v>0</v>
      </c>
      <c r="AI15">
        <f t="shared" si="13"/>
        <v>0</v>
      </c>
      <c r="AJ15">
        <f t="shared" si="13"/>
        <v>0</v>
      </c>
      <c r="AK15">
        <f t="shared" si="13"/>
        <v>0</v>
      </c>
      <c r="AL15">
        <f t="shared" si="13"/>
        <v>0</v>
      </c>
      <c r="AM15">
        <f t="shared" si="13"/>
        <v>0</v>
      </c>
      <c r="AN15">
        <f t="shared" si="13"/>
        <v>0</v>
      </c>
      <c r="AO15">
        <f t="shared" si="13"/>
        <v>0</v>
      </c>
      <c r="AP15">
        <f t="shared" si="13"/>
        <v>0</v>
      </c>
      <c r="AQ15">
        <f t="shared" si="13"/>
        <v>0</v>
      </c>
      <c r="AR15">
        <f t="shared" si="13"/>
        <v>0</v>
      </c>
      <c r="AS15">
        <f t="shared" si="13"/>
        <v>0</v>
      </c>
      <c r="AT15">
        <f t="shared" si="13"/>
        <v>0</v>
      </c>
      <c r="AU15">
        <f t="shared" si="13"/>
        <v>0</v>
      </c>
      <c r="AV15">
        <f t="shared" si="13"/>
        <v>0</v>
      </c>
      <c r="AW15">
        <f t="shared" si="13"/>
        <v>0</v>
      </c>
      <c r="AX15">
        <f t="shared" si="13"/>
        <v>0</v>
      </c>
      <c r="AY15">
        <f t="shared" si="13"/>
        <v>0</v>
      </c>
      <c r="AZ15">
        <f t="shared" si="13"/>
        <v>0</v>
      </c>
      <c r="BA15">
        <f t="shared" si="13"/>
        <v>0</v>
      </c>
    </row>
    <row r="16" spans="1:53" x14ac:dyDescent="0.3">
      <c r="A16" s="1" t="s">
        <v>766</v>
      </c>
      <c r="B16">
        <f>'Start Year Data'!D40</f>
        <v>0</v>
      </c>
      <c r="C16">
        <f>$B16*'Time Series Scaling Factors'!C67</f>
        <v>0</v>
      </c>
      <c r="D16">
        <f>$B16*'Time Series Scaling Factors'!D67</f>
        <v>0</v>
      </c>
      <c r="E16">
        <f>$B16*'Time Series Scaling Factors'!E67</f>
        <v>0</v>
      </c>
      <c r="F16">
        <f>$B16*'Time Series Scaling Factors'!F67</f>
        <v>0</v>
      </c>
      <c r="G16">
        <f>$B16*'Time Series Scaling Factors'!G67</f>
        <v>0</v>
      </c>
      <c r="H16">
        <f>$B16*'Time Series Scaling Factors'!H67</f>
        <v>0</v>
      </c>
      <c r="I16">
        <f>$B16*'Time Series Scaling Factors'!I67</f>
        <v>0</v>
      </c>
      <c r="J16">
        <f>$B16*'Time Series Scaling Factors'!J67</f>
        <v>0</v>
      </c>
      <c r="K16">
        <f>$B16*'Time Series Scaling Factors'!K67</f>
        <v>0</v>
      </c>
      <c r="L16">
        <f>$B16*'Time Series Scaling Factors'!L67</f>
        <v>0</v>
      </c>
      <c r="M16">
        <f>$B16*'Time Series Scaling Factors'!M67</f>
        <v>0</v>
      </c>
      <c r="N16">
        <f>$B16*'Time Series Scaling Factors'!N67</f>
        <v>0</v>
      </c>
      <c r="O16">
        <f>$B16*'Time Series Scaling Factors'!O67</f>
        <v>0</v>
      </c>
      <c r="P16">
        <f>$B16*'Time Series Scaling Factors'!P67</f>
        <v>0</v>
      </c>
      <c r="Q16">
        <f>$B16*'Time Series Scaling Factors'!Q67</f>
        <v>0</v>
      </c>
      <c r="R16">
        <f>$B16*'Time Series Scaling Factors'!R67</f>
        <v>0</v>
      </c>
      <c r="S16">
        <f>$B16*'Time Series Scaling Factors'!S67</f>
        <v>0</v>
      </c>
      <c r="T16">
        <f>$B16*'Time Series Scaling Factors'!T67</f>
        <v>0</v>
      </c>
      <c r="U16">
        <f>$B16*'Time Series Scaling Factors'!U67</f>
        <v>0</v>
      </c>
      <c r="V16">
        <f>$B16*'Time Series Scaling Factors'!V67</f>
        <v>0</v>
      </c>
      <c r="W16">
        <f>$B16*'Time Series Scaling Factors'!W67</f>
        <v>0</v>
      </c>
      <c r="X16">
        <f>$B16*'Time Series Scaling Factors'!X67</f>
        <v>0</v>
      </c>
      <c r="Y16">
        <f>$B16*'Time Series Scaling Factors'!Y67</f>
        <v>0</v>
      </c>
      <c r="Z16">
        <f>$B16*'Time Series Scaling Factors'!Z67</f>
        <v>0</v>
      </c>
      <c r="AA16">
        <f>$B16*'Time Series Scaling Factors'!AA67</f>
        <v>0</v>
      </c>
      <c r="AB16">
        <f>$B16*'Time Series Scaling Factors'!AB67</f>
        <v>0</v>
      </c>
      <c r="AC16">
        <f>$B16*'Time Series Scaling Factors'!AC67</f>
        <v>0</v>
      </c>
      <c r="AD16">
        <f>$B16*'Time Series Scaling Factors'!AD67</f>
        <v>0</v>
      </c>
      <c r="AE16">
        <f>$B16*'Time Series Scaling Factors'!AE67</f>
        <v>0</v>
      </c>
      <c r="AF16">
        <f>$B16*'Time Series Scaling Factors'!AF67</f>
        <v>0</v>
      </c>
      <c r="AG16">
        <f>$B16*'Time Series Scaling Factors'!AG67</f>
        <v>0</v>
      </c>
      <c r="AH16">
        <f t="shared" ref="AH16:BA16" si="14">AG16</f>
        <v>0</v>
      </c>
      <c r="AI16">
        <f t="shared" si="14"/>
        <v>0</v>
      </c>
      <c r="AJ16">
        <f t="shared" si="14"/>
        <v>0</v>
      </c>
      <c r="AK16">
        <f t="shared" si="14"/>
        <v>0</v>
      </c>
      <c r="AL16">
        <f t="shared" si="14"/>
        <v>0</v>
      </c>
      <c r="AM16">
        <f t="shared" si="14"/>
        <v>0</v>
      </c>
      <c r="AN16">
        <f t="shared" si="14"/>
        <v>0</v>
      </c>
      <c r="AO16">
        <f t="shared" si="14"/>
        <v>0</v>
      </c>
      <c r="AP16">
        <f t="shared" si="14"/>
        <v>0</v>
      </c>
      <c r="AQ16">
        <f t="shared" si="14"/>
        <v>0</v>
      </c>
      <c r="AR16">
        <f t="shared" si="14"/>
        <v>0</v>
      </c>
      <c r="AS16">
        <f t="shared" si="14"/>
        <v>0</v>
      </c>
      <c r="AT16">
        <f t="shared" si="14"/>
        <v>0</v>
      </c>
      <c r="AU16">
        <f t="shared" si="14"/>
        <v>0</v>
      </c>
      <c r="AV16">
        <f t="shared" si="14"/>
        <v>0</v>
      </c>
      <c r="AW16">
        <f t="shared" si="14"/>
        <v>0</v>
      </c>
      <c r="AX16">
        <f t="shared" si="14"/>
        <v>0</v>
      </c>
      <c r="AY16">
        <f t="shared" si="14"/>
        <v>0</v>
      </c>
      <c r="AZ16">
        <f t="shared" si="14"/>
        <v>0</v>
      </c>
      <c r="BA16">
        <f t="shared" si="14"/>
        <v>0</v>
      </c>
    </row>
    <row r="17" spans="1:53" x14ac:dyDescent="0.3">
      <c r="A17" s="1" t="s">
        <v>767</v>
      </c>
      <c r="B17">
        <f>'Start Year Data'!D41</f>
        <v>0</v>
      </c>
      <c r="C17">
        <f>$B17*'Time Series Scaling Factors'!C68</f>
        <v>0</v>
      </c>
      <c r="D17">
        <f>$B17*'Time Series Scaling Factors'!D68</f>
        <v>0</v>
      </c>
      <c r="E17">
        <f>$B17*'Time Series Scaling Factors'!E68</f>
        <v>0</v>
      </c>
      <c r="F17">
        <f>$B17*'Time Series Scaling Factors'!F68</f>
        <v>0</v>
      </c>
      <c r="G17">
        <f>$B17*'Time Series Scaling Factors'!G68</f>
        <v>0</v>
      </c>
      <c r="H17">
        <f>$B17*'Time Series Scaling Factors'!H68</f>
        <v>0</v>
      </c>
      <c r="I17">
        <f>$B17*'Time Series Scaling Factors'!I68</f>
        <v>0</v>
      </c>
      <c r="J17">
        <f>$B17*'Time Series Scaling Factors'!J68</f>
        <v>0</v>
      </c>
      <c r="K17">
        <f>$B17*'Time Series Scaling Factors'!K68</f>
        <v>0</v>
      </c>
      <c r="L17">
        <f>$B17*'Time Series Scaling Factors'!L68</f>
        <v>0</v>
      </c>
      <c r="M17">
        <f>$B17*'Time Series Scaling Factors'!M68</f>
        <v>0</v>
      </c>
      <c r="N17">
        <f>$B17*'Time Series Scaling Factors'!N68</f>
        <v>0</v>
      </c>
      <c r="O17">
        <f>$B17*'Time Series Scaling Factors'!O68</f>
        <v>0</v>
      </c>
      <c r="P17">
        <f>$B17*'Time Series Scaling Factors'!P68</f>
        <v>0</v>
      </c>
      <c r="Q17">
        <f>$B17*'Time Series Scaling Factors'!Q68</f>
        <v>0</v>
      </c>
      <c r="R17">
        <f>$B17*'Time Series Scaling Factors'!R68</f>
        <v>0</v>
      </c>
      <c r="S17">
        <f>$B17*'Time Series Scaling Factors'!S68</f>
        <v>0</v>
      </c>
      <c r="T17">
        <f>$B17*'Time Series Scaling Factors'!T68</f>
        <v>0</v>
      </c>
      <c r="U17">
        <f>$B17*'Time Series Scaling Factors'!U68</f>
        <v>0</v>
      </c>
      <c r="V17">
        <f>$B17*'Time Series Scaling Factors'!V68</f>
        <v>0</v>
      </c>
      <c r="W17">
        <f>$B17*'Time Series Scaling Factors'!W68</f>
        <v>0</v>
      </c>
      <c r="X17">
        <f>$B17*'Time Series Scaling Factors'!X68</f>
        <v>0</v>
      </c>
      <c r="Y17">
        <f>$B17*'Time Series Scaling Factors'!Y68</f>
        <v>0</v>
      </c>
      <c r="Z17">
        <f>$B17*'Time Series Scaling Factors'!Z68</f>
        <v>0</v>
      </c>
      <c r="AA17">
        <f>$B17*'Time Series Scaling Factors'!AA68</f>
        <v>0</v>
      </c>
      <c r="AB17">
        <f>$B17*'Time Series Scaling Factors'!AB68</f>
        <v>0</v>
      </c>
      <c r="AC17">
        <f>$B17*'Time Series Scaling Factors'!AC68</f>
        <v>0</v>
      </c>
      <c r="AD17">
        <f>$B17*'Time Series Scaling Factors'!AD68</f>
        <v>0</v>
      </c>
      <c r="AE17">
        <f>$B17*'Time Series Scaling Factors'!AE68</f>
        <v>0</v>
      </c>
      <c r="AF17">
        <f>$B17*'Time Series Scaling Factors'!AF68</f>
        <v>0</v>
      </c>
      <c r="AG17">
        <f>$B17*'Time Series Scaling Factors'!AG68</f>
        <v>0</v>
      </c>
      <c r="AH17">
        <f t="shared" ref="AH17:BA17" si="15">AG17</f>
        <v>0</v>
      </c>
      <c r="AI17">
        <f t="shared" si="15"/>
        <v>0</v>
      </c>
      <c r="AJ17">
        <f t="shared" si="15"/>
        <v>0</v>
      </c>
      <c r="AK17">
        <f t="shared" si="15"/>
        <v>0</v>
      </c>
      <c r="AL17">
        <f t="shared" si="15"/>
        <v>0</v>
      </c>
      <c r="AM17">
        <f t="shared" si="15"/>
        <v>0</v>
      </c>
      <c r="AN17">
        <f t="shared" si="15"/>
        <v>0</v>
      </c>
      <c r="AO17">
        <f t="shared" si="15"/>
        <v>0</v>
      </c>
      <c r="AP17">
        <f t="shared" si="15"/>
        <v>0</v>
      </c>
      <c r="AQ17">
        <f t="shared" si="15"/>
        <v>0</v>
      </c>
      <c r="AR17">
        <f t="shared" si="15"/>
        <v>0</v>
      </c>
      <c r="AS17">
        <f t="shared" si="15"/>
        <v>0</v>
      </c>
      <c r="AT17">
        <f t="shared" si="15"/>
        <v>0</v>
      </c>
      <c r="AU17">
        <f t="shared" si="15"/>
        <v>0</v>
      </c>
      <c r="AV17">
        <f t="shared" si="15"/>
        <v>0</v>
      </c>
      <c r="AW17">
        <f t="shared" si="15"/>
        <v>0</v>
      </c>
      <c r="AX17">
        <f t="shared" si="15"/>
        <v>0</v>
      </c>
      <c r="AY17">
        <f t="shared" si="15"/>
        <v>0</v>
      </c>
      <c r="AZ17">
        <f t="shared" si="15"/>
        <v>0</v>
      </c>
      <c r="BA17">
        <f t="shared" si="15"/>
        <v>0</v>
      </c>
    </row>
    <row r="18" spans="1:53" x14ac:dyDescent="0.3">
      <c r="A18" s="1" t="s">
        <v>768</v>
      </c>
      <c r="B18">
        <f>'Start Year Data'!D42</f>
        <v>2336671554461280</v>
      </c>
      <c r="C18">
        <f>$B18*'Time Series Scaling Factors'!C69</f>
        <v>2753460571889727.5</v>
      </c>
      <c r="D18">
        <f>$B18*'Time Series Scaling Factors'!D69</f>
        <v>2772421892405987.5</v>
      </c>
      <c r="E18">
        <f>$B18*'Time Series Scaling Factors'!E69</f>
        <v>2964606268750263.5</v>
      </c>
      <c r="F18">
        <f>$B18*'Time Series Scaling Factors'!F69</f>
        <v>3173182193705958.5</v>
      </c>
      <c r="G18">
        <f>$B18*'Time Series Scaling Factors'!G69</f>
        <v>3298655347371649.5</v>
      </c>
      <c r="H18">
        <f>$B18*'Time Series Scaling Factors'!H69</f>
        <v>3248742303152319</v>
      </c>
      <c r="I18">
        <f>$B18*'Time Series Scaling Factors'!I69</f>
        <v>3371177626812342</v>
      </c>
      <c r="J18">
        <f>$B18*'Time Series Scaling Factors'!J69</f>
        <v>3399387187704677.5</v>
      </c>
      <c r="K18">
        <f>$B18*'Time Series Scaling Factors'!K69</f>
        <v>3385018293756174.5</v>
      </c>
      <c r="L18">
        <f>$B18*'Time Series Scaling Factors'!L69</f>
        <v>3369076192863695.5</v>
      </c>
      <c r="M18">
        <f>$B18*'Time Series Scaling Factors'!M69</f>
        <v>3193331920036964.5</v>
      </c>
      <c r="N18">
        <f>$B18*'Time Series Scaling Factors'!N69</f>
        <v>3240855838990668.5</v>
      </c>
      <c r="O18">
        <f>$B18*'Time Series Scaling Factors'!O69</f>
        <v>3244191015323468</v>
      </c>
      <c r="P18">
        <f>$B18*'Time Series Scaling Factors'!P69</f>
        <v>3241572828440186.5</v>
      </c>
      <c r="Q18">
        <f>$B18*'Time Series Scaling Factors'!Q69</f>
        <v>3245055488551244.5</v>
      </c>
      <c r="R18">
        <f>$B18*'Time Series Scaling Factors'!R69</f>
        <v>3275439385715254.5</v>
      </c>
      <c r="S18">
        <f>$B18*'Time Series Scaling Factors'!S69</f>
        <v>3245510953160569</v>
      </c>
      <c r="T18">
        <f>$B18*'Time Series Scaling Factors'!T69</f>
        <v>3303846944279539.5</v>
      </c>
      <c r="U18">
        <f>$B18*'Time Series Scaling Factors'!U69</f>
        <v>3260733405977546.5</v>
      </c>
      <c r="V18">
        <f>$B18*'Time Series Scaling Factors'!V69</f>
        <v>3229395901651462</v>
      </c>
      <c r="W18">
        <f>$B18*'Time Series Scaling Factors'!W69</f>
        <v>3246415025922734.5</v>
      </c>
      <c r="X18">
        <f>$B18*'Time Series Scaling Factors'!X69</f>
        <v>3304572609245425.5</v>
      </c>
      <c r="Y18">
        <f>$B18*'Time Series Scaling Factors'!Y69</f>
        <v>3286221793211649</v>
      </c>
      <c r="Z18">
        <f>$B18*'Time Series Scaling Factors'!Z69</f>
        <v>3266769606382175</v>
      </c>
      <c r="AA18">
        <f>$B18*'Time Series Scaling Factors'!AA69</f>
        <v>3245599667311817</v>
      </c>
      <c r="AB18">
        <f>$B18*'Time Series Scaling Factors'!AB69</f>
        <v>3223850987343098</v>
      </c>
      <c r="AC18">
        <f>$B18*'Time Series Scaling Factors'!AC69</f>
        <v>3213165689658952</v>
      </c>
      <c r="AD18">
        <f>$B18*'Time Series Scaling Factors'!AD69</f>
        <v>3229110868960464.5</v>
      </c>
      <c r="AE18">
        <f>$B18*'Time Series Scaling Factors'!AE69</f>
        <v>3237794361206513.5</v>
      </c>
      <c r="AF18">
        <f>$B18*'Time Series Scaling Factors'!AF69</f>
        <v>3306841256775682.5</v>
      </c>
      <c r="AG18">
        <f>$B18*'Time Series Scaling Factors'!AG69</f>
        <v>3292900961321300.5</v>
      </c>
      <c r="AH18">
        <f t="shared" ref="AH18:BA18" si="16">AG18</f>
        <v>3292900961321300.5</v>
      </c>
      <c r="AI18">
        <f t="shared" si="16"/>
        <v>3292900961321300.5</v>
      </c>
      <c r="AJ18">
        <f t="shared" si="16"/>
        <v>3292900961321300.5</v>
      </c>
      <c r="AK18">
        <f t="shared" si="16"/>
        <v>3292900961321300.5</v>
      </c>
      <c r="AL18">
        <f t="shared" si="16"/>
        <v>3292900961321300.5</v>
      </c>
      <c r="AM18">
        <f t="shared" si="16"/>
        <v>3292900961321300.5</v>
      </c>
      <c r="AN18">
        <f t="shared" si="16"/>
        <v>3292900961321300.5</v>
      </c>
      <c r="AO18">
        <f t="shared" si="16"/>
        <v>3292900961321300.5</v>
      </c>
      <c r="AP18">
        <f t="shared" si="16"/>
        <v>3292900961321300.5</v>
      </c>
      <c r="AQ18">
        <f t="shared" si="16"/>
        <v>3292900961321300.5</v>
      </c>
      <c r="AR18">
        <f t="shared" si="16"/>
        <v>3292900961321300.5</v>
      </c>
      <c r="AS18">
        <f t="shared" si="16"/>
        <v>3292900961321300.5</v>
      </c>
      <c r="AT18">
        <f t="shared" si="16"/>
        <v>3292900961321300.5</v>
      </c>
      <c r="AU18">
        <f t="shared" si="16"/>
        <v>3292900961321300.5</v>
      </c>
      <c r="AV18">
        <f t="shared" si="16"/>
        <v>3292900961321300.5</v>
      </c>
      <c r="AW18">
        <f t="shared" si="16"/>
        <v>3292900961321300.5</v>
      </c>
      <c r="AX18">
        <f t="shared" si="16"/>
        <v>3292900961321300.5</v>
      </c>
      <c r="AY18">
        <f t="shared" si="16"/>
        <v>3292900961321300.5</v>
      </c>
      <c r="AZ18">
        <f t="shared" si="16"/>
        <v>3292900961321300.5</v>
      </c>
      <c r="BA18">
        <f t="shared" si="16"/>
        <v>3292900961321300.5</v>
      </c>
    </row>
    <row r="19" spans="1:53" x14ac:dyDescent="0.3">
      <c r="A19" s="1" t="s">
        <v>769</v>
      </c>
      <c r="B19">
        <f>'Start Year Data'!D43</f>
        <v>159727088879520</v>
      </c>
      <c r="C19">
        <f>$B19*'Time Series Scaling Factors'!C70</f>
        <v>188217398655276.97</v>
      </c>
      <c r="D19">
        <f>$B19*'Time Series Scaling Factors'!D70</f>
        <v>189513531405124.22</v>
      </c>
      <c r="E19">
        <f>$B19*'Time Series Scaling Factors'!E70</f>
        <v>202650615606362.97</v>
      </c>
      <c r="F19">
        <f>$B19*'Time Series Scaling Factors'!F70</f>
        <v>216908171504588.97</v>
      </c>
      <c r="G19">
        <f>$B19*'Time Series Scaling Factors'!G70</f>
        <v>225485098599579.91</v>
      </c>
      <c r="H19">
        <f>$B19*'Time Series Scaling Factors'!H70</f>
        <v>222073209053080.72</v>
      </c>
      <c r="I19">
        <f>$B19*'Time Series Scaling Factors'!I70</f>
        <v>230442480201565.28</v>
      </c>
      <c r="J19">
        <f>$B19*'Time Series Scaling Factors'!J70</f>
        <v>232370791876905.19</v>
      </c>
      <c r="K19">
        <f>$B19*'Time Series Scaling Factors'!K70</f>
        <v>231388582119427.25</v>
      </c>
      <c r="L19">
        <f>$B19*'Time Series Scaling Factors'!L70</f>
        <v>230298833172333</v>
      </c>
      <c r="M19">
        <f>$B19*'Time Series Scaling Factors'!M70</f>
        <v>218285539719829.09</v>
      </c>
      <c r="N19">
        <f>$B19*'Time Series Scaling Factors'!N70</f>
        <v>221534116616367.47</v>
      </c>
      <c r="O19">
        <f>$B19*'Time Series Scaling Factors'!O70</f>
        <v>221762098167955.63</v>
      </c>
      <c r="P19">
        <f>$B19*'Time Series Scaling Factors'!P70</f>
        <v>221583127628338.84</v>
      </c>
      <c r="Q19">
        <f>$B19*'Time Series Scaling Factors'!Q70</f>
        <v>221821190680047.59</v>
      </c>
      <c r="R19">
        <f>$B19*'Time Series Scaling Factors'!R70</f>
        <v>223898132744736.22</v>
      </c>
      <c r="S19">
        <f>$B19*'Time Series Scaling Factors'!S70</f>
        <v>221852324724537.59</v>
      </c>
      <c r="T19">
        <f>$B19*'Time Series Scaling Factors'!T70</f>
        <v>225839978881812.97</v>
      </c>
      <c r="U19">
        <f>$B19*'Time Series Scaling Factors'!U70</f>
        <v>222892880924838.56</v>
      </c>
      <c r="V19">
        <f>$B19*'Time Series Scaling Factors'!V70</f>
        <v>220750753449028.72</v>
      </c>
      <c r="W19">
        <f>$B19*'Time Series Scaling Factors'!W70</f>
        <v>221914124128976.88</v>
      </c>
      <c r="X19">
        <f>$B19*'Time Series Scaling Factors'!X70</f>
        <v>225889582923203.19</v>
      </c>
      <c r="Y19">
        <f>$B19*'Time Series Scaling Factors'!Y70</f>
        <v>224635182227460.34</v>
      </c>
      <c r="Z19">
        <f>$B19*'Time Series Scaling Factors'!Z70</f>
        <v>223305495490494.53</v>
      </c>
      <c r="AA19">
        <f>$B19*'Time Series Scaling Factors'!AA70</f>
        <v>221858388928594.91</v>
      </c>
      <c r="AB19">
        <f>$B19*'Time Series Scaling Factors'!AB70</f>
        <v>220371721565463.22</v>
      </c>
      <c r="AC19">
        <f>$B19*'Time Series Scaling Factors'!AC70</f>
        <v>219641310186234</v>
      </c>
      <c r="AD19">
        <f>$B19*'Time Series Scaling Factors'!AD70</f>
        <v>220731269563122.03</v>
      </c>
      <c r="AE19">
        <f>$B19*'Time Series Scaling Factors'!AE70</f>
        <v>221324844186445.19</v>
      </c>
      <c r="AF19">
        <f>$B19*'Time Series Scaling Factors'!AF70</f>
        <v>226044660116234.38</v>
      </c>
      <c r="AG19">
        <f>$B19*'Time Series Scaling Factors'!AG70</f>
        <v>225091747925046.19</v>
      </c>
      <c r="AH19">
        <f t="shared" ref="AH19:BA19" si="17">AG19</f>
        <v>225091747925046.19</v>
      </c>
      <c r="AI19">
        <f t="shared" si="17"/>
        <v>225091747925046.19</v>
      </c>
      <c r="AJ19">
        <f t="shared" si="17"/>
        <v>225091747925046.19</v>
      </c>
      <c r="AK19">
        <f t="shared" si="17"/>
        <v>225091747925046.19</v>
      </c>
      <c r="AL19">
        <f t="shared" si="17"/>
        <v>225091747925046.19</v>
      </c>
      <c r="AM19">
        <f t="shared" si="17"/>
        <v>225091747925046.19</v>
      </c>
      <c r="AN19">
        <f t="shared" si="17"/>
        <v>225091747925046.19</v>
      </c>
      <c r="AO19">
        <f t="shared" si="17"/>
        <v>225091747925046.19</v>
      </c>
      <c r="AP19">
        <f t="shared" si="17"/>
        <v>225091747925046.19</v>
      </c>
      <c r="AQ19">
        <f t="shared" si="17"/>
        <v>225091747925046.19</v>
      </c>
      <c r="AR19">
        <f t="shared" si="17"/>
        <v>225091747925046.19</v>
      </c>
      <c r="AS19">
        <f t="shared" si="17"/>
        <v>225091747925046.19</v>
      </c>
      <c r="AT19">
        <f t="shared" si="17"/>
        <v>225091747925046.19</v>
      </c>
      <c r="AU19">
        <f t="shared" si="17"/>
        <v>225091747925046.19</v>
      </c>
      <c r="AV19">
        <f t="shared" si="17"/>
        <v>225091747925046.19</v>
      </c>
      <c r="AW19">
        <f t="shared" si="17"/>
        <v>225091747925046.19</v>
      </c>
      <c r="AX19">
        <f t="shared" si="17"/>
        <v>225091747925046.19</v>
      </c>
      <c r="AY19">
        <f t="shared" si="17"/>
        <v>225091747925046.19</v>
      </c>
      <c r="AZ19">
        <f t="shared" si="17"/>
        <v>225091747925046.19</v>
      </c>
      <c r="BA19">
        <f t="shared" si="17"/>
        <v>225091747925046.19</v>
      </c>
    </row>
    <row r="20" spans="1:53" x14ac:dyDescent="0.3">
      <c r="A20" s="1" t="s">
        <v>770</v>
      </c>
      <c r="B20">
        <f>'Start Year Data'!D44</f>
        <v>1323152699520</v>
      </c>
      <c r="C20">
        <f>$B20*'Time Series Scaling Factors'!C71</f>
        <v>1559161698083.7205</v>
      </c>
      <c r="D20">
        <f>$B20*'Time Series Scaling Factors'!D71</f>
        <v>1569898646706.0686</v>
      </c>
      <c r="E20">
        <f>$B20*'Time Series Scaling Factors'!E71</f>
        <v>1678724072290.5911</v>
      </c>
      <c r="F20">
        <f>$B20*'Time Series Scaling Factors'!F71</f>
        <v>1796831299484.3743</v>
      </c>
      <c r="G20">
        <f>$B20*'Time Series Scaling Factors'!G71</f>
        <v>1867881140303.0693</v>
      </c>
      <c r="H20">
        <f>$B20*'Time Series Scaling Factors'!H71</f>
        <v>1839617613461.2346</v>
      </c>
      <c r="I20">
        <f>$B20*'Time Series Scaling Factors'!I71</f>
        <v>1908947266877.0369</v>
      </c>
      <c r="J20">
        <f>$B20*'Time Series Scaling Factors'!J71</f>
        <v>1924921080815.801</v>
      </c>
      <c r="K20">
        <f>$B20*'Time Series Scaling Factors'!K71</f>
        <v>1916784618170.5571</v>
      </c>
      <c r="L20">
        <f>$B20*'Time Series Scaling Factors'!L71</f>
        <v>1907757318723.3455</v>
      </c>
      <c r="M20">
        <f>$B20*'Time Series Scaling Factors'!M71</f>
        <v>1808241189222.0044</v>
      </c>
      <c r="N20">
        <f>$B20*'Time Series Scaling Factors'!N71</f>
        <v>1835151861171.302</v>
      </c>
      <c r="O20">
        <f>$B20*'Time Series Scaling Factors'!O71</f>
        <v>1837040422513.9065</v>
      </c>
      <c r="P20">
        <f>$B20*'Time Series Scaling Factors'!P71</f>
        <v>1835557860261.6946</v>
      </c>
      <c r="Q20">
        <f>$B20*'Time Series Scaling Factors'!Q71</f>
        <v>1837529935078.3965</v>
      </c>
      <c r="R20">
        <f>$B20*'Time Series Scaling Factors'!R71</f>
        <v>1854734978499.1294</v>
      </c>
      <c r="S20">
        <f>$B20*'Time Series Scaling Factors'!S71</f>
        <v>1837787844336.6375</v>
      </c>
      <c r="T20">
        <f>$B20*'Time Series Scaling Factors'!T71</f>
        <v>1870820909673.043</v>
      </c>
      <c r="U20">
        <f>$B20*'Time Series Scaling Factors'!U71</f>
        <v>1846407639232.3486</v>
      </c>
      <c r="V20">
        <f>$B20*'Time Series Scaling Factors'!V71</f>
        <v>1828662610682.6099</v>
      </c>
      <c r="W20">
        <f>$B20*'Time Series Scaling Factors'!W71</f>
        <v>1838299780348.1567</v>
      </c>
      <c r="X20">
        <f>$B20*'Time Series Scaling Factors'!X71</f>
        <v>1871231821320.7354</v>
      </c>
      <c r="Y20">
        <f>$B20*'Time Series Scaling Factors'!Y71</f>
        <v>1860840574109.6638</v>
      </c>
      <c r="Z20">
        <f>$B20*'Time Series Scaling Factors'!Z71</f>
        <v>1849825669825.8994</v>
      </c>
      <c r="AA20">
        <f>$B20*'Time Series Scaling Factors'!AA71</f>
        <v>1837838079196.7678</v>
      </c>
      <c r="AB20">
        <f>$B20*'Time Series Scaling Factors'!AB71</f>
        <v>1825522773454.8611</v>
      </c>
      <c r="AC20">
        <f>$B20*'Time Series Scaling Factors'!AC71</f>
        <v>1819472166792.1665</v>
      </c>
      <c r="AD20">
        <f>$B20*'Time Series Scaling Factors'!AD71</f>
        <v>1828501209404.8716</v>
      </c>
      <c r="AE20">
        <f>$B20*'Time Series Scaling Factors'!AE71</f>
        <v>1833418283088.0276</v>
      </c>
      <c r="AF20">
        <f>$B20*'Time Series Scaling Factors'!AF71</f>
        <v>1872516455054.6411</v>
      </c>
      <c r="AG20">
        <f>$B20*'Time Series Scaling Factors'!AG71</f>
        <v>1864622688586.968</v>
      </c>
      <c r="AH20">
        <f t="shared" ref="AH20:BA20" si="18">AG20</f>
        <v>1864622688586.968</v>
      </c>
      <c r="AI20">
        <f t="shared" si="18"/>
        <v>1864622688586.968</v>
      </c>
      <c r="AJ20">
        <f t="shared" si="18"/>
        <v>1864622688586.968</v>
      </c>
      <c r="AK20">
        <f t="shared" si="18"/>
        <v>1864622688586.968</v>
      </c>
      <c r="AL20">
        <f t="shared" si="18"/>
        <v>1864622688586.968</v>
      </c>
      <c r="AM20">
        <f t="shared" si="18"/>
        <v>1864622688586.968</v>
      </c>
      <c r="AN20">
        <f t="shared" si="18"/>
        <v>1864622688586.968</v>
      </c>
      <c r="AO20">
        <f t="shared" si="18"/>
        <v>1864622688586.968</v>
      </c>
      <c r="AP20">
        <f t="shared" si="18"/>
        <v>1864622688586.968</v>
      </c>
      <c r="AQ20">
        <f t="shared" si="18"/>
        <v>1864622688586.968</v>
      </c>
      <c r="AR20">
        <f t="shared" si="18"/>
        <v>1864622688586.968</v>
      </c>
      <c r="AS20">
        <f t="shared" si="18"/>
        <v>1864622688586.968</v>
      </c>
      <c r="AT20">
        <f t="shared" si="18"/>
        <v>1864622688586.968</v>
      </c>
      <c r="AU20">
        <f t="shared" si="18"/>
        <v>1864622688586.968</v>
      </c>
      <c r="AV20">
        <f t="shared" si="18"/>
        <v>1864622688586.968</v>
      </c>
      <c r="AW20">
        <f t="shared" si="18"/>
        <v>1864622688586.968</v>
      </c>
      <c r="AX20">
        <f t="shared" si="18"/>
        <v>1864622688586.968</v>
      </c>
      <c r="AY20">
        <f t="shared" si="18"/>
        <v>1864622688586.968</v>
      </c>
      <c r="AZ20">
        <f t="shared" si="18"/>
        <v>1864622688586.968</v>
      </c>
      <c r="BA20">
        <f t="shared" si="18"/>
        <v>1864622688586.968</v>
      </c>
    </row>
    <row r="21" spans="1:53" x14ac:dyDescent="0.3">
      <c r="A21" s="1" t="s">
        <v>771</v>
      </c>
      <c r="B21">
        <f>'Start Year Data'!D45</f>
        <v>0</v>
      </c>
      <c r="C21">
        <f>$B21*'Time Series Scaling Factors'!C72</f>
        <v>0</v>
      </c>
      <c r="D21">
        <f>$B21*'Time Series Scaling Factors'!D72</f>
        <v>0</v>
      </c>
      <c r="E21">
        <f>$B21*'Time Series Scaling Factors'!E72</f>
        <v>0</v>
      </c>
      <c r="F21">
        <f>$B21*'Time Series Scaling Factors'!F72</f>
        <v>0</v>
      </c>
      <c r="G21">
        <f>$B21*'Time Series Scaling Factors'!G72</f>
        <v>0</v>
      </c>
      <c r="H21">
        <f>$B21*'Time Series Scaling Factors'!H72</f>
        <v>0</v>
      </c>
      <c r="I21">
        <f>$B21*'Time Series Scaling Factors'!I72</f>
        <v>0</v>
      </c>
      <c r="J21">
        <f>$B21*'Time Series Scaling Factors'!J72</f>
        <v>0</v>
      </c>
      <c r="K21">
        <f>$B21*'Time Series Scaling Factors'!K72</f>
        <v>0</v>
      </c>
      <c r="L21">
        <f>$B21*'Time Series Scaling Factors'!L72</f>
        <v>0</v>
      </c>
      <c r="M21">
        <f>$B21*'Time Series Scaling Factors'!M72</f>
        <v>0</v>
      </c>
      <c r="N21">
        <f>$B21*'Time Series Scaling Factors'!N72</f>
        <v>0</v>
      </c>
      <c r="O21">
        <f>$B21*'Time Series Scaling Factors'!O72</f>
        <v>0</v>
      </c>
      <c r="P21">
        <f>$B21*'Time Series Scaling Factors'!P72</f>
        <v>0</v>
      </c>
      <c r="Q21">
        <f>$B21*'Time Series Scaling Factors'!Q72</f>
        <v>0</v>
      </c>
      <c r="R21">
        <f>$B21*'Time Series Scaling Factors'!R72</f>
        <v>0</v>
      </c>
      <c r="S21">
        <f>$B21*'Time Series Scaling Factors'!S72</f>
        <v>0</v>
      </c>
      <c r="T21">
        <f>$B21*'Time Series Scaling Factors'!T72</f>
        <v>0</v>
      </c>
      <c r="U21">
        <f>$B21*'Time Series Scaling Factors'!U72</f>
        <v>0</v>
      </c>
      <c r="V21">
        <f>$B21*'Time Series Scaling Factors'!V72</f>
        <v>0</v>
      </c>
      <c r="W21">
        <f>$B21*'Time Series Scaling Factors'!W72</f>
        <v>0</v>
      </c>
      <c r="X21">
        <f>$B21*'Time Series Scaling Factors'!X72</f>
        <v>0</v>
      </c>
      <c r="Y21">
        <f>$B21*'Time Series Scaling Factors'!Y72</f>
        <v>0</v>
      </c>
      <c r="Z21">
        <f>$B21*'Time Series Scaling Factors'!Z72</f>
        <v>0</v>
      </c>
      <c r="AA21">
        <f>$B21*'Time Series Scaling Factors'!AA72</f>
        <v>0</v>
      </c>
      <c r="AB21">
        <f>$B21*'Time Series Scaling Factors'!AB72</f>
        <v>0</v>
      </c>
      <c r="AC21">
        <f>$B21*'Time Series Scaling Factors'!AC72</f>
        <v>0</v>
      </c>
      <c r="AD21">
        <f>$B21*'Time Series Scaling Factors'!AD72</f>
        <v>0</v>
      </c>
      <c r="AE21">
        <f>$B21*'Time Series Scaling Factors'!AE72</f>
        <v>0</v>
      </c>
      <c r="AF21">
        <f>$B21*'Time Series Scaling Factors'!AF72</f>
        <v>0</v>
      </c>
      <c r="AG21">
        <f>$B21*'Time Series Scaling Factors'!AG72</f>
        <v>0</v>
      </c>
      <c r="AH21">
        <f t="shared" ref="AH21:BA21" si="19">AG21</f>
        <v>0</v>
      </c>
      <c r="AI21">
        <f t="shared" si="19"/>
        <v>0</v>
      </c>
      <c r="AJ21">
        <f t="shared" si="19"/>
        <v>0</v>
      </c>
      <c r="AK21">
        <f t="shared" si="19"/>
        <v>0</v>
      </c>
      <c r="AL21">
        <f t="shared" si="19"/>
        <v>0</v>
      </c>
      <c r="AM21">
        <f t="shared" si="19"/>
        <v>0</v>
      </c>
      <c r="AN21">
        <f t="shared" si="19"/>
        <v>0</v>
      </c>
      <c r="AO21">
        <f t="shared" si="19"/>
        <v>0</v>
      </c>
      <c r="AP21">
        <f t="shared" si="19"/>
        <v>0</v>
      </c>
      <c r="AQ21">
        <f t="shared" si="19"/>
        <v>0</v>
      </c>
      <c r="AR21">
        <f t="shared" si="19"/>
        <v>0</v>
      </c>
      <c r="AS21">
        <f t="shared" si="19"/>
        <v>0</v>
      </c>
      <c r="AT21">
        <f t="shared" si="19"/>
        <v>0</v>
      </c>
      <c r="AU21">
        <f t="shared" si="19"/>
        <v>0</v>
      </c>
      <c r="AV21">
        <f t="shared" si="19"/>
        <v>0</v>
      </c>
      <c r="AW21">
        <f t="shared" si="19"/>
        <v>0</v>
      </c>
      <c r="AX21">
        <f t="shared" si="19"/>
        <v>0</v>
      </c>
      <c r="AY21">
        <f t="shared" si="19"/>
        <v>0</v>
      </c>
      <c r="AZ21">
        <f t="shared" si="19"/>
        <v>0</v>
      </c>
      <c r="BA21">
        <f t="shared" si="19"/>
        <v>0</v>
      </c>
    </row>
    <row r="22" spans="1:53" x14ac:dyDescent="0.3">
      <c r="A22" s="1" t="s">
        <v>772</v>
      </c>
      <c r="B22">
        <f>'Start Year Data'!D46</f>
        <v>0</v>
      </c>
      <c r="C22">
        <f>$B22*'Time Series Scaling Factors'!C73</f>
        <v>0</v>
      </c>
      <c r="D22">
        <f>$B22*'Time Series Scaling Factors'!D73</f>
        <v>0</v>
      </c>
      <c r="E22">
        <f>$B22*'Time Series Scaling Factors'!E73</f>
        <v>0</v>
      </c>
      <c r="F22">
        <f>$B22*'Time Series Scaling Factors'!F73</f>
        <v>0</v>
      </c>
      <c r="G22">
        <f>$B22*'Time Series Scaling Factors'!G73</f>
        <v>0</v>
      </c>
      <c r="H22">
        <f>$B22*'Time Series Scaling Factors'!H73</f>
        <v>0</v>
      </c>
      <c r="I22">
        <f>$B22*'Time Series Scaling Factors'!I73</f>
        <v>0</v>
      </c>
      <c r="J22">
        <f>$B22*'Time Series Scaling Factors'!J73</f>
        <v>0</v>
      </c>
      <c r="K22">
        <f>$B22*'Time Series Scaling Factors'!K73</f>
        <v>0</v>
      </c>
      <c r="L22">
        <f>$B22*'Time Series Scaling Factors'!L73</f>
        <v>0</v>
      </c>
      <c r="M22">
        <f>$B22*'Time Series Scaling Factors'!M73</f>
        <v>0</v>
      </c>
      <c r="N22">
        <f>$B22*'Time Series Scaling Factors'!N73</f>
        <v>0</v>
      </c>
      <c r="O22">
        <f>$B22*'Time Series Scaling Factors'!O73</f>
        <v>0</v>
      </c>
      <c r="P22">
        <f>$B22*'Time Series Scaling Factors'!P73</f>
        <v>0</v>
      </c>
      <c r="Q22">
        <f>$B22*'Time Series Scaling Factors'!Q73</f>
        <v>0</v>
      </c>
      <c r="R22">
        <f>$B22*'Time Series Scaling Factors'!R73</f>
        <v>0</v>
      </c>
      <c r="S22">
        <f>$B22*'Time Series Scaling Factors'!S73</f>
        <v>0</v>
      </c>
      <c r="T22">
        <f>$B22*'Time Series Scaling Factors'!T73</f>
        <v>0</v>
      </c>
      <c r="U22">
        <f>$B22*'Time Series Scaling Factors'!U73</f>
        <v>0</v>
      </c>
      <c r="V22">
        <f>$B22*'Time Series Scaling Factors'!V73</f>
        <v>0</v>
      </c>
      <c r="W22">
        <f>$B22*'Time Series Scaling Factors'!W73</f>
        <v>0</v>
      </c>
      <c r="X22">
        <f>$B22*'Time Series Scaling Factors'!X73</f>
        <v>0</v>
      </c>
      <c r="Y22">
        <f>$B22*'Time Series Scaling Factors'!Y73</f>
        <v>0</v>
      </c>
      <c r="Z22">
        <f>$B22*'Time Series Scaling Factors'!Z73</f>
        <v>0</v>
      </c>
      <c r="AA22">
        <f>$B22*'Time Series Scaling Factors'!AA73</f>
        <v>0</v>
      </c>
      <c r="AB22">
        <f>$B22*'Time Series Scaling Factors'!AB73</f>
        <v>0</v>
      </c>
      <c r="AC22">
        <f>$B22*'Time Series Scaling Factors'!AC73</f>
        <v>0</v>
      </c>
      <c r="AD22">
        <f>$B22*'Time Series Scaling Factors'!AD73</f>
        <v>0</v>
      </c>
      <c r="AE22">
        <f>$B22*'Time Series Scaling Factors'!AE73</f>
        <v>0</v>
      </c>
      <c r="AF22">
        <f>$B22*'Time Series Scaling Factors'!AF73</f>
        <v>0</v>
      </c>
      <c r="AG22">
        <f>$B22*'Time Series Scaling Factors'!AG73</f>
        <v>0</v>
      </c>
      <c r="AH22">
        <f t="shared" ref="AH22:BA22" si="20">AG22</f>
        <v>0</v>
      </c>
      <c r="AI22">
        <f t="shared" si="20"/>
        <v>0</v>
      </c>
      <c r="AJ22">
        <f t="shared" si="20"/>
        <v>0</v>
      </c>
      <c r="AK22">
        <f t="shared" si="20"/>
        <v>0</v>
      </c>
      <c r="AL22">
        <f t="shared" si="20"/>
        <v>0</v>
      </c>
      <c r="AM22">
        <f t="shared" si="20"/>
        <v>0</v>
      </c>
      <c r="AN22">
        <f t="shared" si="20"/>
        <v>0</v>
      </c>
      <c r="AO22">
        <f t="shared" si="20"/>
        <v>0</v>
      </c>
      <c r="AP22">
        <f t="shared" si="20"/>
        <v>0</v>
      </c>
      <c r="AQ22">
        <f t="shared" si="20"/>
        <v>0</v>
      </c>
      <c r="AR22">
        <f t="shared" si="20"/>
        <v>0</v>
      </c>
      <c r="AS22">
        <f t="shared" si="20"/>
        <v>0</v>
      </c>
      <c r="AT22">
        <f t="shared" si="20"/>
        <v>0</v>
      </c>
      <c r="AU22">
        <f t="shared" si="20"/>
        <v>0</v>
      </c>
      <c r="AV22">
        <f t="shared" si="20"/>
        <v>0</v>
      </c>
      <c r="AW22">
        <f t="shared" si="20"/>
        <v>0</v>
      </c>
      <c r="AX22">
        <f t="shared" si="20"/>
        <v>0</v>
      </c>
      <c r="AY22">
        <f t="shared" si="20"/>
        <v>0</v>
      </c>
      <c r="AZ22">
        <f t="shared" si="20"/>
        <v>0</v>
      </c>
      <c r="BA22">
        <f t="shared" si="20"/>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6B017B-1DE8-4611-A06E-7793E6FBD9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4FBA7A-6D38-406A-A36F-9CBA3CCB13D8}">
  <ds:schemaRefs>
    <ds:schemaRef ds:uri="http://schemas.microsoft.com/sharepoint/v3/contenttype/forms"/>
  </ds:schemaRefs>
</ds:datastoreItem>
</file>

<file path=customXml/itemProps3.xml><?xml version="1.0" encoding="utf-8"?>
<ds:datastoreItem xmlns:ds="http://schemas.openxmlformats.org/officeDocument/2006/customXml" ds:itemID="{887C0CA8-FB8F-4A9B-A052-30CE6D56B68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Petroleum and Biofuel Data</vt:lpstr>
      <vt:lpstr>Biomass Data</vt:lpstr>
      <vt:lpstr>Uranium, Coal, MSW, Hydrogen</vt:lpstr>
      <vt:lpstr>AEO Table 1</vt:lpstr>
      <vt:lpstr>AEO Table 73</vt:lpstr>
      <vt:lpstr>GREET1 Fuel_Specs</vt:lpstr>
      <vt:lpstr>energeticos</vt:lpstr>
      <vt:lpstr>OrigenDestino_2019</vt:lpstr>
      <vt:lpstr>Start Year Data</vt:lpstr>
      <vt:lpstr>Time Series Scaling Factors</vt:lpstr>
      <vt:lpstr>BFPIaE-production</vt:lpstr>
      <vt:lpstr>BFPIaE-imports</vt:lpstr>
      <vt:lpstr>BFPIaE-exports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2019-07-26T21:45:06Z</dcterms:created>
  <dcterms:modified xsi:type="dcterms:W3CDTF">2025-05-22T15:26:43Z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