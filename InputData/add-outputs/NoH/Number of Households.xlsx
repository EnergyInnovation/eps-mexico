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chel Goldstein\Desktop\EPS Models\Mexico EPS\InputData\add-outputs\NoH\"/>
    </mc:Choice>
  </mc:AlternateContent>
  <xr:revisionPtr revIDLastSave="0" documentId="13_ncr:1_{E46A9F55-6715-47D7-B032-352C64FB7525}" xr6:coauthVersionLast="47" xr6:coauthVersionMax="47" xr10:uidLastSave="{00000000-0000-0000-0000-000000000000}"/>
  <bookViews>
    <workbookView xWindow="35310" yWindow="2055" windowWidth="25320" windowHeight="12165" firstSheet="1" activeTab="8" xr2:uid="{00000000-000D-0000-FFFF-FFFF00000000}"/>
  </bookViews>
  <sheets>
    <sheet name="About" sheetId="1" r:id="rId1"/>
    <sheet name="Households" sheetId="12" r:id="rId2"/>
    <sheet name="UN growth rates" sheetId="8" r:id="rId3"/>
    <sheet name="World Bank" sheetId="6" r:id="rId4"/>
    <sheet name="Population" sheetId="13" r:id="rId5"/>
    <sheet name="INEGI 2020" sheetId="10" r:id="rId6"/>
    <sheet name="INEGI 2022" sheetId="11" r:id="rId7"/>
    <sheet name="INEGI2024" sheetId="9" r:id="rId8"/>
    <sheet name="NoH" sheetId="3" r:id="rId9"/>
  </sheets>
  <externalReferences>
    <externalReference r:id="rId10"/>
    <externalReference r:id="rId11"/>
    <externalReference r:id="rId12"/>
  </externalReferences>
  <definedNames>
    <definedName name="\p">#N/A</definedName>
    <definedName name="\s">#N/A</definedName>
    <definedName name="_xlnm._FilterDatabase" localSheetId="5" hidden="1">'INEGI 2020'!$C$9:$I$41</definedName>
    <definedName name="_xlnm._FilterDatabase" localSheetId="6" hidden="1">'INEGI 2022'!$C$9:$I$41</definedName>
    <definedName name="_xlnm._FilterDatabase" localSheetId="7" hidden="1">INEGI2024!$C$9:$I$41</definedName>
    <definedName name="A_impresión_IM" localSheetId="5">#REF!</definedName>
    <definedName name="A_impresión_IM" localSheetId="6">#REF!</definedName>
    <definedName name="A_impresión_IM">#REF!</definedName>
    <definedName name="paso" localSheetId="5">#REF!</definedName>
    <definedName name="paso" localSheetId="6">#REF!</definedName>
    <definedName name="paso">#REF!</definedName>
    <definedName name="prueba" localSheetId="5">#REF!</definedName>
    <definedName name="prueba" localSheetId="6">#REF!</definedName>
    <definedName name="prueb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F2" i="3" l="1"/>
  <c r="AG2" i="3"/>
  <c r="AH2" i="3"/>
  <c r="AI2" i="3"/>
  <c r="AJ2" i="3"/>
  <c r="AK2" i="3"/>
  <c r="AL2" i="3"/>
  <c r="AM2" i="3"/>
  <c r="AN2" i="3"/>
  <c r="AO2" i="3"/>
  <c r="AP2" i="3"/>
  <c r="AQ2" i="3"/>
  <c r="AR2" i="3"/>
  <c r="AS2" i="3"/>
  <c r="AT2" i="3"/>
  <c r="AU2" i="3"/>
  <c r="AV2" i="3"/>
  <c r="AW2" i="3"/>
  <c r="AX2" i="3"/>
  <c r="AY2" i="3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B2" i="3"/>
  <c r="H2" i="12"/>
  <c r="I2" i="12"/>
  <c r="J2" i="12"/>
  <c r="K2" i="12"/>
  <c r="L2" i="12"/>
  <c r="M2" i="12"/>
  <c r="N2" i="12"/>
  <c r="O2" i="12"/>
  <c r="P2" i="12"/>
  <c r="Q2" i="12"/>
  <c r="R2" i="12"/>
  <c r="S2" i="12"/>
  <c r="T2" i="12"/>
  <c r="U2" i="12"/>
  <c r="V2" i="12"/>
  <c r="W2" i="12"/>
  <c r="X2" i="12"/>
  <c r="Y2" i="12"/>
  <c r="Z2" i="12"/>
  <c r="AA2" i="12"/>
  <c r="AB2" i="12"/>
  <c r="AC2" i="12"/>
  <c r="AD2" i="12"/>
  <c r="AE2" i="12"/>
  <c r="AF2" i="12"/>
  <c r="AG2" i="12"/>
  <c r="AH2" i="12"/>
  <c r="AI2" i="12"/>
  <c r="AJ2" i="12"/>
  <c r="AK2" i="12"/>
  <c r="AL2" i="12"/>
  <c r="AM2" i="12"/>
  <c r="AN2" i="12"/>
  <c r="AO2" i="12"/>
  <c r="AP2" i="12"/>
  <c r="AQ2" i="12"/>
  <c r="AR2" i="12"/>
  <c r="AS2" i="12"/>
  <c r="AT2" i="12"/>
  <c r="AU2" i="12"/>
  <c r="AV2" i="12"/>
  <c r="AW2" i="12"/>
  <c r="AX2" i="12"/>
  <c r="AY2" i="12"/>
  <c r="AZ2" i="12"/>
  <c r="G2" i="12"/>
  <c r="H5" i="12"/>
  <c r="I5" i="12"/>
  <c r="J5" i="12" s="1"/>
  <c r="K5" i="12" s="1"/>
  <c r="L5" i="12" s="1"/>
  <c r="M5" i="12" s="1"/>
  <c r="N5" i="12" s="1"/>
  <c r="O5" i="12" s="1"/>
  <c r="P5" i="12" s="1"/>
  <c r="Q5" i="12" s="1"/>
  <c r="R5" i="12" s="1"/>
  <c r="S5" i="12" s="1"/>
  <c r="T5" i="12" s="1"/>
  <c r="U5" i="12" s="1"/>
  <c r="V5" i="12" s="1"/>
  <c r="W5" i="12" s="1"/>
  <c r="X5" i="12" s="1"/>
  <c r="Y5" i="12" s="1"/>
  <c r="Z5" i="12" s="1"/>
  <c r="AA5" i="12" s="1"/>
  <c r="AB5" i="12" s="1"/>
  <c r="AC5" i="12" s="1"/>
  <c r="AD5" i="12" s="1"/>
  <c r="AE5" i="12" s="1"/>
  <c r="AF5" i="12" s="1"/>
  <c r="AG5" i="12" s="1"/>
  <c r="AH5" i="12" s="1"/>
  <c r="AI5" i="12" s="1"/>
  <c r="AJ5" i="12" s="1"/>
  <c r="AK5" i="12" s="1"/>
  <c r="AL5" i="12" s="1"/>
  <c r="AM5" i="12" s="1"/>
  <c r="AN5" i="12" s="1"/>
  <c r="AO5" i="12" s="1"/>
  <c r="AP5" i="12" s="1"/>
  <c r="AQ5" i="12" s="1"/>
  <c r="AR5" i="12" s="1"/>
  <c r="AS5" i="12" s="1"/>
  <c r="AT5" i="12" s="1"/>
  <c r="AU5" i="12" s="1"/>
  <c r="AV5" i="12" s="1"/>
  <c r="AW5" i="12" s="1"/>
  <c r="AX5" i="12" s="1"/>
  <c r="AY5" i="12" s="1"/>
  <c r="AZ5" i="12" s="1"/>
  <c r="G5" i="12"/>
  <c r="C3" i="12"/>
  <c r="D3" i="12"/>
  <c r="E3" i="12"/>
  <c r="F3" i="12"/>
  <c r="G3" i="12"/>
  <c r="H3" i="12"/>
  <c r="I3" i="12"/>
  <c r="J3" i="12"/>
  <c r="K3" i="12"/>
  <c r="L3" i="12"/>
  <c r="M3" i="12"/>
  <c r="N3" i="12"/>
  <c r="O3" i="12"/>
  <c r="P3" i="12"/>
  <c r="Q3" i="12"/>
  <c r="R3" i="12"/>
  <c r="S3" i="12"/>
  <c r="T3" i="12"/>
  <c r="U3" i="12"/>
  <c r="V3" i="12"/>
  <c r="W3" i="12"/>
  <c r="X3" i="12"/>
  <c r="Y3" i="12"/>
  <c r="Z3" i="12"/>
  <c r="AA3" i="12"/>
  <c r="AB3" i="12"/>
  <c r="AC3" i="12"/>
  <c r="AD3" i="12"/>
  <c r="AE3" i="12"/>
  <c r="AF3" i="12"/>
  <c r="AG3" i="12"/>
  <c r="AH3" i="12"/>
  <c r="AI3" i="12"/>
  <c r="AJ3" i="12"/>
  <c r="AK3" i="12"/>
  <c r="AL3" i="12"/>
  <c r="AM3" i="12"/>
  <c r="AN3" i="12"/>
  <c r="AO3" i="12"/>
  <c r="AP3" i="12"/>
  <c r="AQ3" i="12"/>
  <c r="AR3" i="12"/>
  <c r="AS3" i="12"/>
  <c r="AT3" i="12"/>
  <c r="AU3" i="12"/>
  <c r="AV3" i="12"/>
  <c r="AW3" i="12"/>
  <c r="AX3" i="12"/>
  <c r="AY3" i="12"/>
  <c r="AZ3" i="12"/>
  <c r="B3" i="12"/>
  <c r="BI2" i="13"/>
  <c r="BJ2" i="13" s="1"/>
  <c r="R2" i="13"/>
  <c r="S2" i="13"/>
  <c r="T2" i="13"/>
  <c r="U2" i="13"/>
  <c r="V2" i="13"/>
  <c r="W2" i="13"/>
  <c r="X2" i="13"/>
  <c r="Y2" i="13"/>
  <c r="Z2" i="13"/>
  <c r="AA2" i="13"/>
  <c r="AB2" i="13"/>
  <c r="AC2" i="13"/>
  <c r="AD2" i="13" s="1"/>
  <c r="AE2" i="13" s="1"/>
  <c r="AF2" i="13" s="1"/>
  <c r="AG2" i="13" s="1"/>
  <c r="AH2" i="13" s="1"/>
  <c r="AI2" i="13" s="1"/>
  <c r="AJ2" i="13" s="1"/>
  <c r="AK2" i="13" s="1"/>
  <c r="AL2" i="13" s="1"/>
  <c r="AM2" i="13" s="1"/>
  <c r="AN2" i="13" s="1"/>
  <c r="AO2" i="13" s="1"/>
  <c r="AP2" i="13" s="1"/>
  <c r="AQ2" i="13" s="1"/>
  <c r="AR2" i="13" s="1"/>
  <c r="AS2" i="13" s="1"/>
  <c r="AT2" i="13" s="1"/>
  <c r="AU2" i="13" s="1"/>
  <c r="AV2" i="13" s="1"/>
  <c r="AW2" i="13" s="1"/>
  <c r="AX2" i="13" s="1"/>
  <c r="AY2" i="13" s="1"/>
  <c r="AZ2" i="13" s="1"/>
  <c r="BA2" i="13" s="1"/>
  <c r="BB2" i="13" s="1"/>
  <c r="BC2" i="13" s="1"/>
  <c r="BD2" i="13" s="1"/>
  <c r="BE2" i="13" s="1"/>
  <c r="BF2" i="13" s="1"/>
  <c r="BG2" i="13" s="1"/>
  <c r="BH2" i="13" s="1"/>
  <c r="Q2" i="13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AK5" i="8"/>
  <c r="AL5" i="8"/>
  <c r="AM5" i="8"/>
  <c r="AN5" i="8"/>
  <c r="AO5" i="8"/>
  <c r="AP5" i="8"/>
  <c r="AQ5" i="8"/>
  <c r="AR5" i="8"/>
  <c r="AS5" i="8"/>
  <c r="AT5" i="8"/>
  <c r="AU5" i="8"/>
  <c r="AV5" i="8"/>
  <c r="AW5" i="8"/>
  <c r="AX5" i="8"/>
  <c r="AY5" i="8"/>
  <c r="AZ5" i="8"/>
  <c r="BA5" i="8"/>
  <c r="BB5" i="8"/>
  <c r="BC5" i="8"/>
  <c r="BD5" i="8"/>
  <c r="BE5" i="8"/>
  <c r="BF5" i="8"/>
  <c r="BG5" i="8"/>
  <c r="BH5" i="8"/>
  <c r="BI5" i="8"/>
  <c r="BJ5" i="8"/>
  <c r="BK5" i="8"/>
  <c r="BL5" i="8"/>
  <c r="BM5" i="8"/>
  <c r="BN5" i="8"/>
  <c r="BO5" i="8"/>
  <c r="BP5" i="8"/>
  <c r="BQ5" i="8"/>
  <c r="BR5" i="8"/>
  <c r="BS5" i="8"/>
  <c r="BT5" i="8"/>
  <c r="BU5" i="8"/>
  <c r="BV5" i="8"/>
  <c r="BW5" i="8"/>
  <c r="BX5" i="8"/>
  <c r="BY5" i="8"/>
  <c r="BZ5" i="8"/>
  <c r="CA5" i="8"/>
  <c r="CB5" i="8"/>
  <c r="CC5" i="8"/>
  <c r="CD5" i="8"/>
  <c r="CE5" i="8"/>
  <c r="CF5" i="8"/>
  <c r="CG5" i="8"/>
  <c r="CH5" i="8"/>
  <c r="CI5" i="8"/>
  <c r="CJ5" i="8"/>
  <c r="CK5" i="8"/>
  <c r="CL5" i="8"/>
  <c r="CM5" i="8"/>
  <c r="CN5" i="8"/>
  <c r="CO5" i="8"/>
  <c r="CP5" i="8"/>
  <c r="CQ5" i="8"/>
  <c r="CR5" i="8"/>
  <c r="CS5" i="8"/>
  <c r="CT5" i="8"/>
  <c r="CU5" i="8"/>
  <c r="CV5" i="8"/>
  <c r="CW5" i="8"/>
  <c r="CX5" i="8"/>
  <c r="CY5" i="8"/>
  <c r="CZ5" i="8"/>
  <c r="DA5" i="8"/>
  <c r="DB5" i="8"/>
  <c r="DC5" i="8"/>
  <c r="DD5" i="8"/>
  <c r="DE5" i="8"/>
  <c r="DF5" i="8"/>
  <c r="DG5" i="8"/>
  <c r="DH5" i="8"/>
  <c r="DI5" i="8"/>
  <c r="DJ5" i="8"/>
  <c r="DK5" i="8"/>
  <c r="DL5" i="8"/>
  <c r="DM5" i="8"/>
  <c r="DN5" i="8"/>
  <c r="DO5" i="8"/>
  <c r="DP5" i="8"/>
  <c r="DQ5" i="8"/>
  <c r="DR5" i="8"/>
  <c r="DS5" i="8"/>
  <c r="DT5" i="8"/>
  <c r="DU5" i="8"/>
  <c r="DV5" i="8"/>
  <c r="DW5" i="8"/>
  <c r="DX5" i="8"/>
  <c r="DY5" i="8"/>
  <c r="DZ5" i="8"/>
  <c r="EA5" i="8"/>
  <c r="EB5" i="8"/>
  <c r="EC5" i="8"/>
  <c r="ED5" i="8"/>
  <c r="EE5" i="8"/>
  <c r="EF5" i="8"/>
  <c r="EG5" i="8"/>
  <c r="EH5" i="8"/>
  <c r="EI5" i="8"/>
  <c r="EJ5" i="8"/>
  <c r="EK5" i="8"/>
  <c r="EL5" i="8"/>
  <c r="EM5" i="8"/>
  <c r="EN5" i="8"/>
  <c r="EO5" i="8"/>
  <c r="EP5" i="8"/>
  <c r="EQ5" i="8"/>
  <c r="ER5" i="8"/>
  <c r="ES5" i="8"/>
  <c r="ET5" i="8"/>
  <c r="EU5" i="8"/>
  <c r="EV5" i="8"/>
  <c r="B5" i="8"/>
  <c r="C2" i="13"/>
  <c r="D2" i="13"/>
  <c r="E2" i="13"/>
  <c r="F2" i="13"/>
  <c r="G2" i="13"/>
  <c r="H2" i="13"/>
  <c r="I2" i="13"/>
  <c r="J2" i="13"/>
  <c r="K2" i="13"/>
  <c r="L2" i="13"/>
  <c r="M2" i="13"/>
  <c r="N2" i="13"/>
  <c r="O2" i="13"/>
  <c r="P2" i="13"/>
  <c r="B2" i="13"/>
  <c r="E2" i="12"/>
  <c r="E5" i="12" s="1"/>
  <c r="F2" i="12"/>
  <c r="F5" i="12" s="1"/>
  <c r="D2" i="12"/>
  <c r="D5" i="12" s="1"/>
  <c r="B2" i="12"/>
  <c r="B5" i="12" s="1"/>
  <c r="C2" i="12" l="1"/>
  <c r="C5" i="12" s="1"/>
</calcChain>
</file>

<file path=xl/sharedStrings.xml><?xml version="1.0" encoding="utf-8"?>
<sst xmlns="http://schemas.openxmlformats.org/spreadsheetml/2006/main" count="510" uniqueCount="102">
  <si>
    <t>Source:</t>
  </si>
  <si>
    <t>NoH Number of Households</t>
  </si>
  <si>
    <t>Annual Energy Outlook 2023</t>
  </si>
  <si>
    <t>Energy Information Administration</t>
  </si>
  <si>
    <t>https://www.eia.gov/outlooks/archive/aeo23/tables_ref.php</t>
  </si>
  <si>
    <t>Table 4</t>
  </si>
  <si>
    <t>Households</t>
  </si>
  <si>
    <t>Dmnl</t>
  </si>
  <si>
    <t>2022-2050</t>
  </si>
  <si>
    <t>Annual Energy Outlook 2022</t>
  </si>
  <si>
    <t>https://www.eia.gov/outlooks/archive/aeo22/tables_ref.php</t>
  </si>
  <si>
    <t>Data Source</t>
  </si>
  <si>
    <t>World Development Indicators</t>
  </si>
  <si>
    <t>Last Updated Date</t>
  </si>
  <si>
    <t>Country Name</t>
  </si>
  <si>
    <t>Country Code</t>
  </si>
  <si>
    <t>Mexico</t>
  </si>
  <si>
    <t>MEX</t>
  </si>
  <si>
    <t>https://data.worldbank.org/indicator/SP.POP.TOTL?locations=MX</t>
  </si>
  <si>
    <t>World Bank</t>
  </si>
  <si>
    <t>2020-2024</t>
  </si>
  <si>
    <t>Country or Area</t>
  </si>
  <si>
    <t>Year(s)</t>
  </si>
  <si>
    <t>Variant</t>
  </si>
  <si>
    <t>Medium</t>
  </si>
  <si>
    <t>Year</t>
  </si>
  <si>
    <t>Population</t>
  </si>
  <si>
    <t>2025-2070</t>
  </si>
  <si>
    <t>https://data.un.org/Data.aspx?q=mexico&amp;d=PopDiv&amp;f=variableID%3A47%3BcrID%3A484</t>
  </si>
  <si>
    <t>Average annual rate of population change (percentage)</t>
  </si>
  <si>
    <t>UN Data</t>
  </si>
  <si>
    <t>INEGI. Encuesta Nacional de Ingresos y Gastos de los Hogares 2024. SNIEG. Información de Interés Nacional.</t>
  </si>
  <si>
    <r>
      <t xml:space="preserve">Fuente: </t>
    </r>
    <r>
      <rPr>
        <b/>
        <sz val="8"/>
        <color theme="1"/>
        <rFont val="Arial"/>
        <family val="2"/>
      </rPr>
      <t>INEGI</t>
    </r>
    <r>
      <rPr>
        <sz val="8"/>
        <color theme="1"/>
        <rFont val="Arial"/>
        <family val="2"/>
      </rPr>
      <t>. Encuesta Nacional de Ingresos y Gastos de los Hogares 2024.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</si>
  <si>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casa que comparte terreno con otra(s), casa duplex, departamento en edificio, vivienda en vecindad o cuartería, vivienda en cuarto de azotea de un edificio y local no construido para habitación.</t>
    </r>
  </si>
  <si>
    <r>
      <rPr>
        <vertAlign val="superscript"/>
        <sz val="8"/>
        <color theme="1"/>
        <rFont val="Arial"/>
        <family val="2"/>
      </rPr>
      <t>1</t>
    </r>
    <r>
      <rPr>
        <sz val="8"/>
        <color theme="1"/>
        <rFont val="Arial"/>
        <family val="2"/>
      </rPr>
      <t xml:space="preserve"> Se excluyen 45 054 viviendas las cuales no se identificó el tipo de vivienda.</t>
    </r>
  </si>
  <si>
    <r>
      <rPr>
        <b/>
        <sz val="8"/>
        <color theme="1"/>
        <rFont val="Arial"/>
        <family val="2"/>
      </rPr>
      <t xml:space="preserve">     Baja</t>
    </r>
    <r>
      <rPr>
        <sz val="8"/>
        <color theme="1"/>
        <rFont val="Arial"/>
        <family val="2"/>
      </rPr>
      <t>, CV de 30% en adelante</t>
    </r>
  </si>
  <si>
    <r>
      <t xml:space="preserve">     </t>
    </r>
    <r>
      <rPr>
        <b/>
        <sz val="8"/>
        <color theme="1"/>
        <rFont val="Arial"/>
        <family val="2"/>
      </rPr>
      <t>Moderada,</t>
    </r>
    <r>
      <rPr>
        <sz val="8"/>
        <color theme="1"/>
        <rFont val="Arial"/>
        <family val="2"/>
      </rPr>
      <t xml:space="preserve"> CV en el rango de [15,30) </t>
    </r>
  </si>
  <si>
    <r>
      <t xml:space="preserve">     </t>
    </r>
    <r>
      <rPr>
        <b/>
        <sz val="8"/>
        <color theme="1"/>
        <rFont val="Arial"/>
        <family val="2"/>
      </rPr>
      <t>Alta,</t>
    </r>
    <r>
      <rPr>
        <sz val="8"/>
        <color theme="1"/>
        <rFont val="Arial"/>
        <family val="2"/>
      </rPr>
      <t xml:space="preserve"> CV en el rango de (0,15) </t>
    </r>
  </si>
  <si>
    <t>Nivel de precisión de las estimaciones:</t>
  </si>
  <si>
    <r>
      <rPr>
        <b/>
        <sz val="8"/>
        <color theme="1"/>
        <rFont val="Arial"/>
        <family val="2"/>
      </rPr>
      <t>Nota:</t>
    </r>
    <r>
      <rPr>
        <sz val="8"/>
        <color theme="1"/>
        <rFont val="Arial"/>
        <family val="2"/>
      </rPr>
      <t xml:space="preserve"> Las estimaciones que aparecen en este cuadro están coloreadas de acuerdo con su nivel de precisión, en Alta, Moderada y Baja, tomando como referencia el coeficiente de variación CV (%). Una precisión Baja requiere un uso cauteloso de la estimación en el que se analicen las causas de la alta variabilidad y se consideren otros indicadores de precisión y confiabilidad, como el intervalo de confianza.</t>
    </r>
  </si>
  <si>
    <t>ZACATECAS</t>
  </si>
  <si>
    <t>YUCATÁN</t>
  </si>
  <si>
    <t>VERACRUZ DE IGNACIO DE LA LLAVE</t>
  </si>
  <si>
    <t>TLAXCALA</t>
  </si>
  <si>
    <t>TAMAULIPAS</t>
  </si>
  <si>
    <t>TABASCO</t>
  </si>
  <si>
    <t>SONORA</t>
  </si>
  <si>
    <t>SINALOA</t>
  </si>
  <si>
    <t>SAN LUIS POTOSÍ</t>
  </si>
  <si>
    <t>QUINTANA ROO</t>
  </si>
  <si>
    <t>QUERÉTARO</t>
  </si>
  <si>
    <t>PUEBLA</t>
  </si>
  <si>
    <t>OAXACA</t>
  </si>
  <si>
    <t>NUEVO LEÓN</t>
  </si>
  <si>
    <t>NAYARIT</t>
  </si>
  <si>
    <t>MORELOS</t>
  </si>
  <si>
    <t>MICHOACÁN DE OCAMPO</t>
  </si>
  <si>
    <t>MÉXICO</t>
  </si>
  <si>
    <t>JALISCO</t>
  </si>
  <si>
    <t>HIDALGO</t>
  </si>
  <si>
    <t>GUERRERO</t>
  </si>
  <si>
    <t>GUANAJUATO</t>
  </si>
  <si>
    <t>DURANGO</t>
  </si>
  <si>
    <t>CIUDAD DE MÉXICO</t>
  </si>
  <si>
    <t>CHIHUAHUA</t>
  </si>
  <si>
    <t>CHIAPAS</t>
  </si>
  <si>
    <t>COLIMA</t>
  </si>
  <si>
    <t>COAHUILA DE ZARAGOZA</t>
  </si>
  <si>
    <t>CAMPECHE</t>
  </si>
  <si>
    <t>BAJA CALIFORNIA SUR</t>
  </si>
  <si>
    <t>BAJA CALIFORNIA</t>
  </si>
  <si>
    <t>AGUASCALIENTES</t>
  </si>
  <si>
    <t>ESTADOS UNIDOS MEXICANOS</t>
  </si>
  <si>
    <t>RELATIVOS</t>
  </si>
  <si>
    <t>ABSOLUTOS</t>
  </si>
  <si>
    <r>
      <t>OTRO</t>
    </r>
    <r>
      <rPr>
        <vertAlign val="superscript"/>
        <sz val="8"/>
        <color theme="1"/>
        <rFont val="Arial"/>
        <family val="2"/>
      </rPr>
      <t>2</t>
    </r>
  </si>
  <si>
    <t>CASA ÚNICA EN EL TERRENO</t>
  </si>
  <si>
    <r>
      <t>TIPO DE VIVIENDA</t>
    </r>
    <r>
      <rPr>
        <vertAlign val="superscript"/>
        <sz val="8"/>
        <color theme="1"/>
        <rFont val="Arial"/>
        <family val="2"/>
      </rPr>
      <t>1</t>
    </r>
  </si>
  <si>
    <t>TOTAL DE VIVIENDAS</t>
  </si>
  <si>
    <t>ENTIDAD FEDERATIVA</t>
  </si>
  <si>
    <t>ÍNDICE</t>
  </si>
  <si>
    <t>HOUSING BY FEDERAL ENTITY, ACCORDING TO TYPE OF HOUSING</t>
  </si>
  <si>
    <t>CUADRO 1.1</t>
  </si>
  <si>
    <t xml:space="preserve">VIVIENDAS POR ENTIDAD FEDERATIVA, SEGÚN TIPO DE VIVIENDA </t>
  </si>
  <si>
    <t>INEGI. Encuesta Nacional de Ingresos y Gastos de los Hogares. ENIGH 2024. Tabulados de hogares y viviendas. 2025.</t>
  </si>
  <si>
    <t>INEGI - MX Gov</t>
  </si>
  <si>
    <t>INEGI. Encuesta Nacional de Ingresos y Gastos de los Hogares 2020. SNIEG. Información de Interés Nacional.</t>
  </si>
  <si>
    <t>Fuente: INEGI. Encuesta Nacional de Ingresos y Gastos de los Hogares 2020.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</si>
  <si>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departamento en edificio, vivienda en vecindad, vivienda en cuarto de azotea y local no construido para habitación.</t>
    </r>
  </si>
  <si>
    <r>
      <rPr>
        <vertAlign val="superscript"/>
        <sz val="8"/>
        <color theme="1"/>
        <rFont val="Arial"/>
        <family val="2"/>
      </rPr>
      <t>1</t>
    </r>
    <r>
      <rPr>
        <sz val="8"/>
        <color theme="1"/>
        <rFont val="Arial"/>
        <family val="2"/>
      </rPr>
      <t xml:space="preserve"> Se excluyen 43 924 viviendas las cuales no se identificó el tipo de vivienda.</t>
    </r>
  </si>
  <si>
    <t>CASA INDEPENDIENTE</t>
  </si>
  <si>
    <t>INEGI. Encuesta Nacional de Ingresos y Gastos de los Hogares. ENIGH 2020. Tabulados de hogares y viviendas. 2021.</t>
  </si>
  <si>
    <t>INEGI. Encuesta Nacional de Ingresos y Gastos de los Hogares 2022. SNIEG. Información de Interés Nacional.</t>
  </si>
  <si>
    <r>
      <t xml:space="preserve">Fuente: </t>
    </r>
    <r>
      <rPr>
        <b/>
        <sz val="8"/>
        <color theme="1"/>
        <rFont val="Arial"/>
        <family val="2"/>
      </rPr>
      <t>INEGI</t>
    </r>
    <r>
      <rPr>
        <sz val="8"/>
        <color theme="1"/>
        <rFont val="Arial"/>
        <family val="2"/>
      </rPr>
      <t>. Encuesta Nacional de Ingresos y Gastos de los Hogares 2022.</t>
    </r>
  </si>
  <si>
    <r>
      <rPr>
        <vertAlign val="superscript"/>
        <sz val="8"/>
        <color theme="1"/>
        <rFont val="Arial"/>
        <family val="2"/>
      </rPr>
      <t>1</t>
    </r>
    <r>
      <rPr>
        <sz val="8"/>
        <color theme="1"/>
        <rFont val="Arial"/>
        <family val="2"/>
      </rPr>
      <t xml:space="preserve"> Se excluyen 55 904 viviendas las cuales no se identificó el tipo de vivienda.</t>
    </r>
  </si>
  <si>
    <t>INEGI. Encuesta Nacional de Ingresos y Gastos de los Hogares. ENIGH 2022. Tabulados de hogares y viviendas. 2023.</t>
  </si>
  <si>
    <t>Number of households, 2020-2024</t>
  </si>
  <si>
    <t>https://en.www.inegi.org.mx/programas/enigh/nc/2024/</t>
  </si>
  <si>
    <r>
      <t>OTRO</t>
    </r>
    <r>
      <rPr>
        <vertAlign val="superscript"/>
        <sz val="8"/>
        <rFont val="Arial"/>
        <family val="2"/>
      </rPr>
      <t>2</t>
    </r>
  </si>
  <si>
    <t>Average household size:</t>
  </si>
  <si>
    <t>% Value</t>
  </si>
  <si>
    <t>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</si>
</sst>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9" formatCode="_(* #,##0_);_(* \(#,##0\);_(* &quot;-&quot;??_);_(@_)"/>
    <numFmt numFmtId="174" formatCode="###\ ###\ ##0"/>
    <numFmt numFmtId="175" formatCode="0.0"/>
    <numFmt numFmtId="176" formatCode="###\ ###\ ###\ ##0"/>
    <numFmt numFmtId="177" formatCode="#\ ###\ ##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sz val="8"/>
      <name val="Arial"/>
      <family val="2"/>
    </font>
    <font>
      <sz val="11"/>
      <color rgb="FF9C6500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0"/>
      <name val="Arial"/>
      <family val="2"/>
    </font>
    <font>
      <sz val="10"/>
      <color rgb="FF000080"/>
      <name val="Arial"/>
      <family val="2"/>
    </font>
    <font>
      <sz val="9"/>
      <color rgb="FF00008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vertAlign val="superscript"/>
      <sz val="8"/>
      <name val="Arial"/>
      <family val="2"/>
    </font>
    <font>
      <vertAlign val="superscript"/>
      <sz val="8"/>
      <color theme="1"/>
      <name val="Arial"/>
      <family val="2"/>
    </font>
    <font>
      <sz val="8"/>
      <color rgb="FF000000"/>
      <name val="Arial"/>
      <family val="2"/>
    </font>
    <font>
      <b/>
      <sz val="11"/>
      <color theme="1"/>
      <name val="Calibri"/>
      <family val="2"/>
    </font>
    <font>
      <sz val="10"/>
      <color rgb="FF000000"/>
      <name val="Arial"/>
      <family val="2"/>
    </font>
    <font>
      <b/>
      <sz val="8"/>
      <color rgb="FF000000"/>
      <name val="Arial"/>
      <family val="2"/>
    </font>
    <font>
      <u/>
      <sz val="11"/>
      <color theme="10"/>
      <name val="Calibri"/>
      <family val="2"/>
    </font>
    <font>
      <sz val="11"/>
      <color rgb="FF1F1F1F"/>
      <name val="Cambria"/>
      <family val="2"/>
      <scheme val="major"/>
    </font>
    <font>
      <b/>
      <sz val="10"/>
      <color theme="1"/>
      <name val="Arial"/>
      <family val="2"/>
    </font>
    <font>
      <b/>
      <sz val="8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5400"/>
        <bgColor indexed="64"/>
      </patternFill>
    </fill>
    <fill>
      <patternFill patternType="solid">
        <fgColor rgb="FFFFEA00"/>
        <bgColor indexed="64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2">
    <xf numFmtId="0" fontId="0" fillId="0" borderId="0"/>
    <xf numFmtId="0" fontId="2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7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7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7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7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7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7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8" fillId="0" borderId="0"/>
    <xf numFmtId="0" fontId="18" fillId="0" borderId="10">
      <alignment wrapText="1"/>
    </xf>
    <xf numFmtId="0" fontId="18" fillId="0" borderId="0"/>
    <xf numFmtId="0" fontId="18" fillId="0" borderId="11">
      <alignment wrapText="1"/>
    </xf>
    <xf numFmtId="0" fontId="19" fillId="0" borderId="12">
      <alignment wrapText="1"/>
    </xf>
    <xf numFmtId="0" fontId="19" fillId="0" borderId="13">
      <alignment wrapText="1"/>
    </xf>
    <xf numFmtId="0" fontId="20" fillId="0" borderId="0">
      <alignment horizontal="left"/>
    </xf>
    <xf numFmtId="0" fontId="3" fillId="0" borderId="0"/>
    <xf numFmtId="0" fontId="18" fillId="0" borderId="0"/>
    <xf numFmtId="0" fontId="18" fillId="0" borderId="10">
      <alignment wrapText="1"/>
    </xf>
    <xf numFmtId="0" fontId="18" fillId="0" borderId="0"/>
    <xf numFmtId="0" fontId="18" fillId="0" borderId="11">
      <alignment wrapText="1"/>
    </xf>
    <xf numFmtId="0" fontId="19" fillId="0" borderId="12">
      <alignment wrapText="1"/>
    </xf>
    <xf numFmtId="0" fontId="19" fillId="0" borderId="13">
      <alignment wrapText="1"/>
    </xf>
    <xf numFmtId="0" fontId="20" fillId="0" borderId="0">
      <alignment horizontal="left"/>
    </xf>
    <xf numFmtId="0" fontId="3" fillId="0" borderId="0"/>
    <xf numFmtId="0" fontId="18" fillId="0" borderId="0"/>
    <xf numFmtId="0" fontId="18" fillId="0" borderId="10">
      <alignment wrapText="1"/>
    </xf>
    <xf numFmtId="0" fontId="18" fillId="0" borderId="0"/>
    <xf numFmtId="0" fontId="18" fillId="0" borderId="11">
      <alignment wrapText="1"/>
    </xf>
    <xf numFmtId="0" fontId="19" fillId="0" borderId="12">
      <alignment wrapText="1"/>
    </xf>
    <xf numFmtId="0" fontId="19" fillId="0" borderId="13">
      <alignment wrapText="1"/>
    </xf>
    <xf numFmtId="0" fontId="20" fillId="0" borderId="0">
      <alignment horizontal="left"/>
    </xf>
    <xf numFmtId="0" fontId="3" fillId="0" borderId="0"/>
    <xf numFmtId="0" fontId="3" fillId="0" borderId="0"/>
    <xf numFmtId="0" fontId="3" fillId="0" borderId="0"/>
    <xf numFmtId="0" fontId="22" fillId="4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10" applyNumberFormat="0" applyFont="0" applyProtection="0">
      <alignment wrapText="1"/>
    </xf>
    <xf numFmtId="0" fontId="18" fillId="0" borderId="0" applyNumberFormat="0" applyFill="0" applyBorder="0" applyAlignment="0" applyProtection="0"/>
    <xf numFmtId="0" fontId="18" fillId="0" borderId="11" applyNumberFormat="0" applyProtection="0">
      <alignment wrapText="1"/>
    </xf>
    <xf numFmtId="0" fontId="19" fillId="0" borderId="12" applyNumberFormat="0" applyProtection="0">
      <alignment wrapText="1"/>
    </xf>
    <xf numFmtId="0" fontId="19" fillId="0" borderId="13" applyNumberFormat="0" applyProtection="0">
      <alignment wrapText="1"/>
    </xf>
    <xf numFmtId="0" fontId="20" fillId="0" borderId="0" applyNumberFormat="0" applyProtection="0">
      <alignment horizontal="left"/>
    </xf>
    <xf numFmtId="43" fontId="3" fillId="0" borderId="0" applyFont="0" applyFill="0" applyBorder="0" applyAlignment="0" applyProtection="0"/>
    <xf numFmtId="0" fontId="25" fillId="0" borderId="0"/>
    <xf numFmtId="0" fontId="25" fillId="0" borderId="0"/>
    <xf numFmtId="0" fontId="3" fillId="0" borderId="0"/>
    <xf numFmtId="0" fontId="3" fillId="0" borderId="0"/>
    <xf numFmtId="0" fontId="36" fillId="0" borderId="0" applyNumberFormat="0" applyFill="0" applyBorder="0" applyAlignment="0" applyProtection="0">
      <alignment vertical="top"/>
      <protection locked="0"/>
    </xf>
    <xf numFmtId="43" fontId="3" fillId="0" borderId="0" applyFont="0" applyFill="0" applyBorder="0" applyAlignment="0" applyProtection="0"/>
  </cellStyleXfs>
  <cellXfs count="170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right"/>
    </xf>
    <xf numFmtId="0" fontId="0" fillId="33" borderId="0" xfId="0" applyFill="1"/>
    <xf numFmtId="14" fontId="0" fillId="0" borderId="0" xfId="0" applyNumberFormat="1"/>
    <xf numFmtId="169" fontId="0" fillId="0" borderId="0" xfId="75" applyNumberFormat="1" applyFont="1"/>
    <xf numFmtId="0" fontId="24" fillId="0" borderId="0" xfId="0" applyFont="1"/>
    <xf numFmtId="0" fontId="25" fillId="0" borderId="0" xfId="76"/>
    <xf numFmtId="0" fontId="26" fillId="34" borderId="0" xfId="76" applyFont="1" applyFill="1" applyAlignment="1">
      <alignment horizontal="left" vertical="center"/>
    </xf>
    <xf numFmtId="0" fontId="27" fillId="34" borderId="0" xfId="76" applyFont="1" applyFill="1" applyAlignment="1">
      <alignment horizontal="left" vertical="center"/>
    </xf>
    <xf numFmtId="0" fontId="28" fillId="34" borderId="0" xfId="76" applyFont="1" applyFill="1" applyAlignment="1">
      <alignment horizontal="distributed" vertical="center" wrapText="1"/>
    </xf>
    <xf numFmtId="0" fontId="25" fillId="0" borderId="0" xfId="76" applyAlignment="1">
      <alignment vertical="top"/>
    </xf>
    <xf numFmtId="0" fontId="28" fillId="34" borderId="0" xfId="76" applyFont="1" applyFill="1" applyAlignment="1">
      <alignment horizontal="left" vertical="top"/>
    </xf>
    <xf numFmtId="0" fontId="28" fillId="34" borderId="0" xfId="76" applyFont="1" applyFill="1" applyAlignment="1">
      <alignment vertical="top"/>
    </xf>
    <xf numFmtId="0" fontId="28" fillId="34" borderId="0" xfId="76" applyFont="1" applyFill="1" applyAlignment="1">
      <alignment horizontal="justify" vertical="top" wrapText="1"/>
    </xf>
    <xf numFmtId="0" fontId="28" fillId="34" borderId="0" xfId="76" applyFont="1" applyFill="1" applyAlignment="1">
      <alignment horizontal="left" vertical="top"/>
    </xf>
    <xf numFmtId="0" fontId="28" fillId="35" borderId="0" xfId="76" applyFont="1" applyFill="1" applyAlignment="1">
      <alignment horizontal="left" vertical="center"/>
    </xf>
    <xf numFmtId="0" fontId="28" fillId="36" borderId="0" xfId="76" applyFont="1" applyFill="1" applyAlignment="1">
      <alignment horizontal="left" vertical="center"/>
    </xf>
    <xf numFmtId="0" fontId="28" fillId="34" borderId="0" xfId="76" applyFont="1" applyFill="1" applyAlignment="1">
      <alignment horizontal="left" vertical="center"/>
    </xf>
    <xf numFmtId="0" fontId="28" fillId="34" borderId="0" xfId="76" applyFont="1" applyFill="1" applyAlignment="1">
      <alignment vertical="center"/>
    </xf>
    <xf numFmtId="0" fontId="28" fillId="34" borderId="0" xfId="76" applyFont="1" applyFill="1" applyAlignment="1">
      <alignment vertical="distributed" wrapText="1"/>
    </xf>
    <xf numFmtId="0" fontId="28" fillId="34" borderId="0" xfId="76" applyFont="1" applyFill="1" applyAlignment="1">
      <alignment horizontal="justify" vertical="distributed" wrapText="1"/>
    </xf>
    <xf numFmtId="174" fontId="28" fillId="34" borderId="0" xfId="76" applyNumberFormat="1" applyFont="1" applyFill="1" applyAlignment="1">
      <alignment vertical="center"/>
    </xf>
    <xf numFmtId="174" fontId="28" fillId="34" borderId="0" xfId="76" applyNumberFormat="1" applyFont="1" applyFill="1" applyAlignment="1">
      <alignment horizontal="right" vertical="center"/>
    </xf>
    <xf numFmtId="175" fontId="32" fillId="37" borderId="14" xfId="76" applyNumberFormat="1" applyFont="1" applyFill="1" applyBorder="1" applyAlignment="1">
      <alignment horizontal="right"/>
    </xf>
    <xf numFmtId="176" fontId="32" fillId="37" borderId="14" xfId="76" applyNumberFormat="1" applyFont="1" applyFill="1" applyBorder="1" applyAlignment="1">
      <alignment horizontal="right"/>
    </xf>
    <xf numFmtId="0" fontId="23" fillId="34" borderId="14" xfId="76" applyFont="1" applyFill="1" applyBorder="1" applyAlignment="1">
      <alignment vertical="center"/>
    </xf>
    <xf numFmtId="177" fontId="32" fillId="0" borderId="14" xfId="76" applyNumberFormat="1" applyFont="1" applyBorder="1" applyAlignment="1">
      <alignment horizontal="left" indent="1"/>
    </xf>
    <xf numFmtId="175" fontId="32" fillId="37" borderId="0" xfId="76" applyNumberFormat="1" applyFont="1" applyFill="1" applyAlignment="1">
      <alignment horizontal="right"/>
    </xf>
    <xf numFmtId="176" fontId="32" fillId="37" borderId="0" xfId="76" applyNumberFormat="1" applyFont="1" applyFill="1" applyAlignment="1">
      <alignment horizontal="right"/>
    </xf>
    <xf numFmtId="177" fontId="32" fillId="0" borderId="0" xfId="76" applyNumberFormat="1" applyFont="1" applyAlignment="1">
      <alignment horizontal="left" indent="1"/>
    </xf>
    <xf numFmtId="177" fontId="23" fillId="34" borderId="0" xfId="76" applyNumberFormat="1" applyFont="1" applyFill="1" applyAlignment="1">
      <alignment vertical="center"/>
    </xf>
    <xf numFmtId="177" fontId="33" fillId="34" borderId="0" xfId="76" applyNumberFormat="1" applyFont="1" applyFill="1" applyAlignment="1">
      <alignment vertical="center"/>
    </xf>
    <xf numFmtId="176" fontId="34" fillId="0" borderId="0" xfId="76" applyNumberFormat="1" applyFont="1"/>
    <xf numFmtId="175" fontId="35" fillId="37" borderId="0" xfId="76" applyNumberFormat="1" applyFont="1" applyFill="1" applyAlignment="1">
      <alignment horizontal="right"/>
    </xf>
    <xf numFmtId="176" fontId="35" fillId="37" borderId="0" xfId="76" applyNumberFormat="1" applyFont="1" applyFill="1" applyAlignment="1">
      <alignment horizontal="right"/>
    </xf>
    <xf numFmtId="177" fontId="35" fillId="0" borderId="0" xfId="76" applyNumberFormat="1" applyFont="1"/>
    <xf numFmtId="2" fontId="29" fillId="34" borderId="15" xfId="76" applyNumberFormat="1" applyFont="1" applyFill="1" applyBorder="1" applyAlignment="1">
      <alignment horizontal="right"/>
    </xf>
    <xf numFmtId="0" fontId="29" fillId="34" borderId="0" xfId="76" applyFont="1" applyFill="1" applyAlignment="1">
      <alignment horizontal="right" vertical="center"/>
    </xf>
    <xf numFmtId="2" fontId="29" fillId="34" borderId="0" xfId="76" applyNumberFormat="1" applyFont="1" applyFill="1" applyAlignment="1">
      <alignment horizontal="right"/>
    </xf>
    <xf numFmtId="0" fontId="29" fillId="34" borderId="0" xfId="76" applyFont="1" applyFill="1" applyAlignment="1">
      <alignment horizontal="center" vertical="center"/>
    </xf>
    <xf numFmtId="0" fontId="29" fillId="34" borderId="0" xfId="76" applyFont="1" applyFill="1" applyAlignment="1">
      <alignment horizontal="center" vertical="center" wrapText="1"/>
    </xf>
    <xf numFmtId="0" fontId="29" fillId="34" borderId="0" xfId="76" applyFont="1" applyFill="1" applyAlignment="1">
      <alignment horizontal="left" vertical="center" wrapText="1"/>
    </xf>
    <xf numFmtId="2" fontId="28" fillId="34" borderId="16" xfId="76" applyNumberFormat="1" applyFont="1" applyFill="1" applyBorder="1" applyAlignment="1">
      <alignment horizontal="right" vertical="center"/>
    </xf>
    <xf numFmtId="0" fontId="28" fillId="34" borderId="16" xfId="76" applyFont="1" applyFill="1" applyBorder="1" applyAlignment="1">
      <alignment horizontal="right" vertical="center"/>
    </xf>
    <xf numFmtId="0" fontId="28" fillId="34" borderId="14" xfId="76" applyFont="1" applyFill="1" applyBorder="1" applyAlignment="1">
      <alignment horizontal="right" vertical="center"/>
    </xf>
    <xf numFmtId="0" fontId="28" fillId="34" borderId="14" xfId="76" applyFont="1" applyFill="1" applyBorder="1" applyAlignment="1">
      <alignment horizontal="right" vertical="center" wrapText="1"/>
    </xf>
    <xf numFmtId="0" fontId="28" fillId="34" borderId="14" xfId="76" applyFont="1" applyFill="1" applyBorder="1" applyAlignment="1">
      <alignment horizontal="right" vertical="center" wrapText="1"/>
    </xf>
    <xf numFmtId="0" fontId="28" fillId="34" borderId="14" xfId="76" applyFont="1" applyFill="1" applyBorder="1" applyAlignment="1">
      <alignment horizontal="left" vertical="center" wrapText="1"/>
    </xf>
    <xf numFmtId="2" fontId="28" fillId="34" borderId="14" xfId="76" applyNumberFormat="1" applyFont="1" applyFill="1" applyBorder="1" applyAlignment="1">
      <alignment horizontal="right" wrapText="1"/>
    </xf>
    <xf numFmtId="0" fontId="28" fillId="34" borderId="14" xfId="76" applyFont="1" applyFill="1" applyBorder="1" applyAlignment="1">
      <alignment horizontal="center" vertical="center" wrapText="1"/>
    </xf>
    <xf numFmtId="0" fontId="28" fillId="34" borderId="0" xfId="76" applyFont="1" applyFill="1" applyAlignment="1">
      <alignment horizontal="center" vertical="center" wrapText="1"/>
    </xf>
    <xf numFmtId="2" fontId="28" fillId="34" borderId="14" xfId="76" applyNumberFormat="1" applyFont="1" applyFill="1" applyBorder="1" applyAlignment="1">
      <alignment horizontal="right"/>
    </xf>
    <xf numFmtId="0" fontId="28" fillId="34" borderId="14" xfId="76" applyFont="1" applyFill="1" applyBorder="1" applyAlignment="1">
      <alignment horizontal="center" vertical="center"/>
    </xf>
    <xf numFmtId="0" fontId="28" fillId="34" borderId="0" xfId="76" applyFont="1" applyFill="1" applyAlignment="1">
      <alignment horizontal="right" vertical="center" wrapText="1"/>
    </xf>
    <xf numFmtId="0" fontId="28" fillId="34" borderId="0" xfId="76" applyFont="1" applyFill="1" applyAlignment="1">
      <alignment horizontal="right" vertical="center" wrapText="1"/>
    </xf>
    <xf numFmtId="0" fontId="28" fillId="34" borderId="0" xfId="76" applyFont="1" applyFill="1" applyAlignment="1">
      <alignment horizontal="left" vertical="center" wrapText="1"/>
    </xf>
    <xf numFmtId="2" fontId="28" fillId="34" borderId="16" xfId="76" applyNumberFormat="1" applyFont="1" applyFill="1" applyBorder="1" applyAlignment="1">
      <alignment horizontal="right" wrapText="1"/>
    </xf>
    <xf numFmtId="0" fontId="28" fillId="34" borderId="16" xfId="76" applyFont="1" applyFill="1" applyBorder="1" applyAlignment="1">
      <alignment horizontal="center" vertical="center" wrapText="1"/>
    </xf>
    <xf numFmtId="0" fontId="28" fillId="34" borderId="15" xfId="76" applyFont="1" applyFill="1" applyBorder="1" applyAlignment="1">
      <alignment horizontal="right" vertical="center" wrapText="1"/>
    </xf>
    <xf numFmtId="0" fontId="28" fillId="34" borderId="15" xfId="76" applyFont="1" applyFill="1" applyBorder="1" applyAlignment="1">
      <alignment horizontal="left" vertical="center" wrapText="1"/>
    </xf>
    <xf numFmtId="0" fontId="23" fillId="34" borderId="14" xfId="76" applyFont="1" applyFill="1" applyBorder="1" applyAlignment="1">
      <alignment horizontal="center" vertical="center"/>
    </xf>
    <xf numFmtId="0" fontId="36" fillId="34" borderId="0" xfId="76" applyFont="1" applyFill="1" applyAlignment="1">
      <alignment horizontal="right" vertical="center"/>
    </xf>
    <xf numFmtId="0" fontId="37" fillId="0" borderId="0" xfId="76" applyFont="1"/>
    <xf numFmtId="2" fontId="28" fillId="34" borderId="0" xfId="76" applyNumberFormat="1" applyFont="1" applyFill="1" applyAlignment="1">
      <alignment horizontal="right" vertical="top"/>
    </xf>
    <xf numFmtId="0" fontId="38" fillId="34" borderId="0" xfId="76" applyFont="1" applyFill="1" applyAlignment="1">
      <alignment horizontal="left" vertical="top" wrapText="1"/>
    </xf>
    <xf numFmtId="2" fontId="29" fillId="34" borderId="0" xfId="76" applyNumberFormat="1" applyFont="1" applyFill="1" applyAlignment="1">
      <alignment horizontal="right" wrapText="1"/>
    </xf>
    <xf numFmtId="0" fontId="26" fillId="0" borderId="0" xfId="76" applyFont="1"/>
    <xf numFmtId="176" fontId="35" fillId="38" borderId="0" xfId="76" applyNumberFormat="1" applyFont="1" applyFill="1" applyAlignment="1">
      <alignment horizontal="right"/>
    </xf>
    <xf numFmtId="0" fontId="3" fillId="34" borderId="0" xfId="51" applyFill="1" applyAlignment="1">
      <alignment vertical="center"/>
    </xf>
    <xf numFmtId="0" fontId="26" fillId="34" borderId="0" xfId="77" applyFont="1" applyFill="1" applyAlignment="1">
      <alignment horizontal="left" vertical="center"/>
    </xf>
    <xf numFmtId="0" fontId="27" fillId="34" borderId="0" xfId="77" applyFont="1" applyFill="1" applyAlignment="1">
      <alignment horizontal="left" vertical="center"/>
    </xf>
    <xf numFmtId="0" fontId="28" fillId="34" borderId="0" xfId="77" applyFont="1" applyFill="1" applyAlignment="1">
      <alignment horizontal="distributed" vertical="center" wrapText="1"/>
    </xf>
    <xf numFmtId="0" fontId="3" fillId="34" borderId="0" xfId="51" applyFill="1" applyAlignment="1">
      <alignment vertical="top"/>
    </xf>
    <xf numFmtId="0" fontId="28" fillId="34" borderId="0" xfId="77" applyFont="1" applyFill="1" applyAlignment="1">
      <alignment horizontal="left" vertical="top" justifyLastLine="1"/>
    </xf>
    <xf numFmtId="0" fontId="21" fillId="34" borderId="0" xfId="51" applyFont="1" applyFill="1" applyAlignment="1">
      <alignment horizontal="left" vertical="top"/>
    </xf>
    <xf numFmtId="0" fontId="28" fillId="34" borderId="0" xfId="77" applyFont="1" applyFill="1" applyAlignment="1">
      <alignment horizontal="left" vertical="top" justifyLastLine="1"/>
    </xf>
    <xf numFmtId="0" fontId="25" fillId="34" borderId="0" xfId="77" applyFill="1"/>
    <xf numFmtId="0" fontId="28" fillId="35" borderId="0" xfId="77" applyFont="1" applyFill="1" applyAlignment="1">
      <alignment horizontal="left" vertical="center"/>
    </xf>
    <xf numFmtId="0" fontId="28" fillId="36" borderId="0" xfId="77" applyFont="1" applyFill="1" applyAlignment="1">
      <alignment horizontal="left" vertical="center"/>
    </xf>
    <xf numFmtId="0" fontId="28" fillId="34" borderId="0" xfId="77" applyFont="1" applyFill="1" applyAlignment="1">
      <alignment horizontal="left" vertical="center"/>
    </xf>
    <xf numFmtId="0" fontId="28" fillId="34" borderId="0" xfId="77" applyFont="1" applyFill="1" applyAlignment="1">
      <alignment vertical="center"/>
    </xf>
    <xf numFmtId="0" fontId="28" fillId="34" borderId="0" xfId="78" applyFont="1" applyFill="1" applyAlignment="1">
      <alignment vertical="distributed" wrapText="1"/>
    </xf>
    <xf numFmtId="0" fontId="28" fillId="34" borderId="0" xfId="78" applyFont="1" applyFill="1" applyAlignment="1">
      <alignment horizontal="justify" vertical="distributed" wrapText="1"/>
    </xf>
    <xf numFmtId="174" fontId="28" fillId="34" borderId="0" xfId="51" applyNumberFormat="1" applyFont="1" applyFill="1" applyAlignment="1">
      <alignment vertical="center"/>
    </xf>
    <xf numFmtId="174" fontId="28" fillId="34" borderId="0" xfId="51" applyNumberFormat="1" applyFont="1" applyFill="1" applyAlignment="1">
      <alignment horizontal="right" vertical="center"/>
    </xf>
    <xf numFmtId="0" fontId="28" fillId="34" borderId="0" xfId="51" applyFont="1" applyFill="1" applyAlignment="1">
      <alignment vertical="center"/>
    </xf>
    <xf numFmtId="175" fontId="21" fillId="0" borderId="14" xfId="77" applyNumberFormat="1" applyFont="1" applyBorder="1"/>
    <xf numFmtId="177" fontId="21" fillId="0" borderId="14" xfId="77" applyNumberFormat="1" applyFont="1" applyBorder="1" applyAlignment="1">
      <alignment horizontal="right"/>
    </xf>
    <xf numFmtId="177" fontId="21" fillId="0" borderId="14" xfId="77" applyNumberFormat="1" applyFont="1" applyBorder="1"/>
    <xf numFmtId="0" fontId="3" fillId="34" borderId="14" xfId="51" applyFill="1" applyBorder="1" applyAlignment="1">
      <alignment vertical="center"/>
    </xf>
    <xf numFmtId="177" fontId="21" fillId="0" borderId="14" xfId="51" applyNumberFormat="1" applyFont="1" applyBorder="1" applyAlignment="1">
      <alignment horizontal="left" indent="1"/>
    </xf>
    <xf numFmtId="175" fontId="21" fillId="0" borderId="0" xfId="77" applyNumberFormat="1" applyFont="1"/>
    <xf numFmtId="177" fontId="21" fillId="0" borderId="0" xfId="77" applyNumberFormat="1" applyFont="1" applyAlignment="1">
      <alignment horizontal="right"/>
    </xf>
    <xf numFmtId="177" fontId="21" fillId="0" borderId="0" xfId="77" applyNumberFormat="1" applyFont="1"/>
    <xf numFmtId="177" fontId="21" fillId="0" borderId="0" xfId="51" applyNumberFormat="1" applyFont="1" applyAlignment="1">
      <alignment horizontal="left" indent="1"/>
    </xf>
    <xf numFmtId="177" fontId="3" fillId="34" borderId="0" xfId="51" applyNumberFormat="1" applyFill="1" applyAlignment="1">
      <alignment vertical="center"/>
    </xf>
    <xf numFmtId="0" fontId="1" fillId="34" borderId="0" xfId="51" applyFont="1" applyFill="1" applyAlignment="1">
      <alignment vertical="center"/>
    </xf>
    <xf numFmtId="177" fontId="1" fillId="34" borderId="0" xfId="51" applyNumberFormat="1" applyFont="1" applyFill="1" applyAlignment="1">
      <alignment vertical="center"/>
    </xf>
    <xf numFmtId="175" fontId="39" fillId="0" borderId="0" xfId="77" applyNumberFormat="1" applyFont="1"/>
    <xf numFmtId="177" fontId="39" fillId="0" borderId="0" xfId="77" applyNumberFormat="1" applyFont="1" applyAlignment="1">
      <alignment horizontal="right"/>
    </xf>
    <xf numFmtId="177" fontId="39" fillId="0" borderId="0" xfId="77" applyNumberFormat="1" applyFont="1"/>
    <xf numFmtId="177" fontId="39" fillId="0" borderId="0" xfId="51" applyNumberFormat="1" applyFont="1"/>
    <xf numFmtId="0" fontId="29" fillId="34" borderId="0" xfId="51" applyFont="1" applyFill="1" applyAlignment="1">
      <alignment horizontal="right" vertical="center"/>
    </xf>
    <xf numFmtId="0" fontId="29" fillId="34" borderId="0" xfId="51" applyFont="1" applyFill="1" applyAlignment="1">
      <alignment horizontal="center" vertical="center"/>
    </xf>
    <xf numFmtId="0" fontId="29" fillId="34" borderId="0" xfId="51" applyFont="1" applyFill="1" applyAlignment="1">
      <alignment horizontal="center" vertical="center" wrapText="1"/>
    </xf>
    <xf numFmtId="0" fontId="29" fillId="34" borderId="0" xfId="51" applyFont="1" applyFill="1" applyAlignment="1">
      <alignment horizontal="left" vertical="center" wrapText="1"/>
    </xf>
    <xf numFmtId="0" fontId="28" fillId="34" borderId="16" xfId="51" applyFont="1" applyFill="1" applyBorder="1" applyAlignment="1">
      <alignment horizontal="right" vertical="center"/>
    </xf>
    <xf numFmtId="0" fontId="28" fillId="34" borderId="14" xfId="51" applyFont="1" applyFill="1" applyBorder="1" applyAlignment="1">
      <alignment horizontal="right" vertical="center"/>
    </xf>
    <xf numFmtId="0" fontId="28" fillId="34" borderId="14" xfId="51" applyFont="1" applyFill="1" applyBorder="1" applyAlignment="1">
      <alignment horizontal="right" vertical="center" wrapText="1"/>
    </xf>
    <xf numFmtId="0" fontId="28" fillId="34" borderId="14" xfId="79" applyFont="1" applyFill="1" applyBorder="1" applyAlignment="1">
      <alignment horizontal="right" vertical="center" wrapText="1"/>
    </xf>
    <xf numFmtId="0" fontId="28" fillId="34" borderId="14" xfId="51" applyFont="1" applyFill="1" applyBorder="1" applyAlignment="1">
      <alignment horizontal="left" vertical="center" wrapText="1"/>
    </xf>
    <xf numFmtId="0" fontId="28" fillId="34" borderId="0" xfId="51" applyFont="1" applyFill="1" applyAlignment="1">
      <alignment horizontal="center" vertical="center" wrapText="1"/>
    </xf>
    <xf numFmtId="0" fontId="28" fillId="34" borderId="14" xfId="79" applyFont="1" applyFill="1" applyBorder="1" applyAlignment="1">
      <alignment horizontal="center" vertical="center"/>
    </xf>
    <xf numFmtId="0" fontId="28" fillId="34" borderId="0" xfId="51" applyFont="1" applyFill="1" applyAlignment="1">
      <alignment horizontal="right" vertical="center" wrapText="1"/>
    </xf>
    <xf numFmtId="0" fontId="28" fillId="34" borderId="0" xfId="79" applyFont="1" applyFill="1" applyAlignment="1">
      <alignment horizontal="right" vertical="center" wrapText="1"/>
    </xf>
    <xf numFmtId="0" fontId="28" fillId="34" borderId="0" xfId="51" applyFont="1" applyFill="1" applyAlignment="1">
      <alignment horizontal="left" vertical="center" wrapText="1"/>
    </xf>
    <xf numFmtId="0" fontId="28" fillId="34" borderId="16" xfId="51" applyFont="1" applyFill="1" applyBorder="1" applyAlignment="1">
      <alignment horizontal="center" vertical="center" wrapText="1"/>
    </xf>
    <xf numFmtId="0" fontId="28" fillId="34" borderId="15" xfId="79" applyFont="1" applyFill="1" applyBorder="1" applyAlignment="1">
      <alignment horizontal="right" vertical="center" wrapText="1"/>
    </xf>
    <xf numFmtId="0" fontId="28" fillId="34" borderId="15" xfId="51" applyFont="1" applyFill="1" applyBorder="1" applyAlignment="1">
      <alignment horizontal="left" vertical="center" wrapText="1"/>
    </xf>
    <xf numFmtId="0" fontId="3" fillId="34" borderId="14" xfId="51" applyFill="1" applyBorder="1" applyAlignment="1">
      <alignment horizontal="center" vertical="center"/>
    </xf>
    <xf numFmtId="0" fontId="36" fillId="34" borderId="0" xfId="80" applyNumberFormat="1" applyFill="1" applyBorder="1" applyAlignment="1" applyProtection="1">
      <alignment horizontal="right" vertical="center"/>
    </xf>
    <xf numFmtId="0" fontId="38" fillId="34" borderId="0" xfId="79" applyFont="1" applyFill="1" applyAlignment="1">
      <alignment horizontal="left" vertical="top" wrapText="1"/>
    </xf>
    <xf numFmtId="0" fontId="28" fillId="34" borderId="0" xfId="51" applyFont="1" applyFill="1" applyAlignment="1">
      <alignment horizontal="left" vertical="center"/>
    </xf>
    <xf numFmtId="0" fontId="26" fillId="0" borderId="0" xfId="51" applyFont="1"/>
    <xf numFmtId="174" fontId="21" fillId="0" borderId="14" xfId="77" applyNumberFormat="1" applyFont="1" applyBorder="1" applyAlignment="1">
      <alignment horizontal="right"/>
    </xf>
    <xf numFmtId="174" fontId="21" fillId="0" borderId="14" xfId="77" applyNumberFormat="1" applyFont="1" applyBorder="1"/>
    <xf numFmtId="174" fontId="21" fillId="0" borderId="0" xfId="77" applyNumberFormat="1" applyFont="1" applyAlignment="1">
      <alignment horizontal="right"/>
    </xf>
    <xf numFmtId="174" fontId="21" fillId="0" borderId="0" xfId="77" applyNumberFormat="1" applyFont="1"/>
    <xf numFmtId="174" fontId="39" fillId="0" borderId="0" xfId="77" applyNumberFormat="1" applyFont="1" applyAlignment="1">
      <alignment horizontal="right"/>
    </xf>
    <xf numFmtId="174" fontId="39" fillId="0" borderId="0" xfId="77" applyNumberFormat="1" applyFont="1"/>
    <xf numFmtId="0" fontId="3" fillId="0" borderId="0" xfId="51" applyFill="1" applyAlignment="1">
      <alignment vertical="center"/>
    </xf>
    <xf numFmtId="0" fontId="28" fillId="0" borderId="0" xfId="51" applyFont="1" applyFill="1" applyAlignment="1">
      <alignment vertical="center"/>
    </xf>
    <xf numFmtId="43" fontId="28" fillId="0" borderId="0" xfId="81" applyFont="1" applyFill="1" applyBorder="1" applyAlignment="1">
      <alignment horizontal="right" vertical="top"/>
    </xf>
    <xf numFmtId="0" fontId="28" fillId="0" borderId="14" xfId="51" applyFont="1" applyFill="1" applyBorder="1" applyAlignment="1">
      <alignment horizontal="center" vertical="center" wrapText="1"/>
    </xf>
    <xf numFmtId="0" fontId="28" fillId="0" borderId="16" xfId="51" applyFont="1" applyFill="1" applyBorder="1" applyAlignment="1">
      <alignment horizontal="right" vertical="center"/>
    </xf>
    <xf numFmtId="0" fontId="29" fillId="0" borderId="0" xfId="51" applyFont="1" applyFill="1" applyAlignment="1">
      <alignment horizontal="right" vertical="center"/>
    </xf>
    <xf numFmtId="0" fontId="29" fillId="0" borderId="15" xfId="51" applyFont="1" applyFill="1" applyBorder="1" applyAlignment="1">
      <alignment horizontal="right" vertical="center"/>
    </xf>
    <xf numFmtId="174" fontId="39" fillId="0" borderId="0" xfId="77" applyNumberFormat="1" applyFont="1" applyFill="1" applyAlignment="1">
      <alignment horizontal="right"/>
    </xf>
    <xf numFmtId="175" fontId="39" fillId="0" borderId="0" xfId="77" applyNumberFormat="1" applyFont="1" applyFill="1"/>
    <xf numFmtId="174" fontId="21" fillId="0" borderId="0" xfId="77" applyNumberFormat="1" applyFont="1" applyFill="1" applyAlignment="1">
      <alignment horizontal="right"/>
    </xf>
    <xf numFmtId="175" fontId="21" fillId="0" borderId="0" xfId="77" applyNumberFormat="1" applyFont="1" applyFill="1"/>
    <xf numFmtId="174" fontId="21" fillId="0" borderId="14" xfId="77" applyNumberFormat="1" applyFont="1" applyFill="1" applyBorder="1" applyAlignment="1">
      <alignment horizontal="right"/>
    </xf>
    <xf numFmtId="175" fontId="21" fillId="0" borderId="14" xfId="77" applyNumberFormat="1" applyFont="1" applyFill="1" applyBorder="1"/>
    <xf numFmtId="174" fontId="28" fillId="0" borderId="0" xfId="51" applyNumberFormat="1" applyFont="1" applyFill="1" applyAlignment="1">
      <alignment horizontal="right" vertical="center"/>
    </xf>
    <xf numFmtId="174" fontId="28" fillId="0" borderId="0" xfId="51" applyNumberFormat="1" applyFont="1" applyFill="1" applyAlignment="1">
      <alignment vertical="center"/>
    </xf>
    <xf numFmtId="0" fontId="25" fillId="0" borderId="0" xfId="77" applyFill="1"/>
    <xf numFmtId="0" fontId="3" fillId="0" borderId="0" xfId="51" applyFill="1" applyAlignment="1">
      <alignment vertical="top"/>
    </xf>
    <xf numFmtId="174" fontId="39" fillId="38" borderId="0" xfId="77" applyNumberFormat="1" applyFont="1" applyFill="1" applyAlignment="1">
      <alignment horizontal="right"/>
    </xf>
    <xf numFmtId="177" fontId="39" fillId="38" borderId="0" xfId="77" applyNumberFormat="1" applyFont="1" applyFill="1" applyAlignment="1">
      <alignment horizontal="right"/>
    </xf>
    <xf numFmtId="0" fontId="24" fillId="34" borderId="0" xfId="51" applyFont="1" applyFill="1" applyAlignment="1">
      <alignment vertical="center"/>
    </xf>
    <xf numFmtId="0" fontId="21" fillId="34" borderId="0" xfId="51" applyFont="1" applyFill="1" applyAlignment="1">
      <alignment vertical="center"/>
    </xf>
    <xf numFmtId="43" fontId="21" fillId="34" borderId="0" xfId="81" applyFont="1" applyFill="1" applyBorder="1" applyAlignment="1">
      <alignment horizontal="right" vertical="top"/>
    </xf>
    <xf numFmtId="0" fontId="21" fillId="34" borderId="14" xfId="51" applyFont="1" applyFill="1" applyBorder="1" applyAlignment="1">
      <alignment horizontal="center" vertical="center" wrapText="1"/>
    </xf>
    <xf numFmtId="0" fontId="21" fillId="34" borderId="16" xfId="51" applyFont="1" applyFill="1" applyBorder="1" applyAlignment="1">
      <alignment horizontal="right" vertical="center"/>
    </xf>
    <xf numFmtId="0" fontId="39" fillId="34" borderId="0" xfId="51" applyFont="1" applyFill="1" applyAlignment="1">
      <alignment horizontal="right" vertical="center"/>
    </xf>
    <xf numFmtId="0" fontId="39" fillId="34" borderId="15" xfId="51" applyFont="1" applyFill="1" applyBorder="1" applyAlignment="1">
      <alignment horizontal="right" vertical="center"/>
    </xf>
    <xf numFmtId="174" fontId="21" fillId="34" borderId="0" xfId="51" applyNumberFormat="1" applyFont="1" applyFill="1" applyAlignment="1">
      <alignment horizontal="right" vertical="center"/>
    </xf>
    <xf numFmtId="174" fontId="21" fillId="34" borderId="0" xfId="51" applyNumberFormat="1" applyFont="1" applyFill="1" applyAlignment="1">
      <alignment vertical="center"/>
    </xf>
    <xf numFmtId="0" fontId="25" fillId="34" borderId="0" xfId="77" applyFont="1" applyFill="1"/>
    <xf numFmtId="0" fontId="24" fillId="34" borderId="0" xfId="51" applyFont="1" applyFill="1" applyAlignment="1">
      <alignment vertical="top"/>
    </xf>
    <xf numFmtId="177" fontId="39" fillId="34" borderId="0" xfId="77" applyNumberFormat="1" applyFont="1" applyFill="1" applyAlignment="1">
      <alignment horizontal="right"/>
    </xf>
    <xf numFmtId="175" fontId="39" fillId="34" borderId="0" xfId="77" applyNumberFormat="1" applyFont="1" applyFill="1"/>
    <xf numFmtId="177" fontId="21" fillId="34" borderId="0" xfId="77" applyNumberFormat="1" applyFont="1" applyFill="1" applyAlignment="1">
      <alignment horizontal="right"/>
    </xf>
    <xf numFmtId="175" fontId="21" fillId="34" borderId="0" xfId="77" applyNumberFormat="1" applyFont="1" applyFill="1"/>
    <xf numFmtId="177" fontId="21" fillId="34" borderId="14" xfId="77" applyNumberFormat="1" applyFont="1" applyFill="1" applyBorder="1" applyAlignment="1">
      <alignment horizontal="right"/>
    </xf>
    <xf numFmtId="175" fontId="21" fillId="34" borderId="14" xfId="77" applyNumberFormat="1" applyFont="1" applyFill="1" applyBorder="1"/>
    <xf numFmtId="43" fontId="0" fillId="0" borderId="0" xfId="0" applyNumberFormat="1"/>
  </cellXfs>
  <cellStyles count="82">
    <cellStyle name="20% - Accent1" xfId="19" builtinId="30" customBuiltin="1"/>
    <cellStyle name="20% - Accent2" xfId="22" builtinId="34" customBuiltin="1"/>
    <cellStyle name="20% - Accent3" xfId="25" builtinId="38" customBuiltin="1"/>
    <cellStyle name="20% - Accent4" xfId="28" builtinId="42" customBuiltin="1"/>
    <cellStyle name="20% - Accent5" xfId="31" builtinId="46" customBuiltin="1"/>
    <cellStyle name="20% - Accent6" xfId="34" builtinId="50" customBuiltin="1"/>
    <cellStyle name="40% - Accent1" xfId="20" builtinId="31" customBuiltin="1"/>
    <cellStyle name="40% - Accent2" xfId="23" builtinId="35" customBuiltin="1"/>
    <cellStyle name="40% - Accent3" xfId="26" builtinId="39" customBuiltin="1"/>
    <cellStyle name="40% - Accent4" xfId="29" builtinId="43" customBuiltin="1"/>
    <cellStyle name="40% - Accent5" xfId="32" builtinId="47" customBuiltin="1"/>
    <cellStyle name="40% - Accent6" xfId="35" builtinId="51" customBuiltin="1"/>
    <cellStyle name="60% - Accent1 2" xfId="63" xr:uid="{7D4913BE-1660-475B-88D4-714E8A641CFB}"/>
    <cellStyle name="60% - Accent2 2" xfId="64" xr:uid="{E18DA92F-95CC-4882-BBE6-08084463355B}"/>
    <cellStyle name="60% - Accent3 2" xfId="65" xr:uid="{3D7AA9D9-39BB-404D-82B7-1179141C06D3}"/>
    <cellStyle name="60% - Accent4 2" xfId="66" xr:uid="{AB77D1E1-0C03-48A6-82C6-F8C803DAB0D4}"/>
    <cellStyle name="60% - Accent5 2" xfId="67" xr:uid="{741B7963-9D58-462B-9B00-F2AFEE0DEE08}"/>
    <cellStyle name="60% - Accent6 2" xfId="68" xr:uid="{D898A326-A2CF-46B5-815E-CCFFA4AA3BA6}"/>
    <cellStyle name="Accent1" xfId="18" builtinId="29" customBuiltin="1"/>
    <cellStyle name="Accent2" xfId="21" builtinId="33" customBuiltin="1"/>
    <cellStyle name="Accent3" xfId="24" builtinId="37" customBuiltin="1"/>
    <cellStyle name="Accent4" xfId="27" builtinId="41" customBuiltin="1"/>
    <cellStyle name="Accent5" xfId="30" builtinId="45" customBuiltin="1"/>
    <cellStyle name="Accent6" xfId="33" builtinId="49" customBuiltin="1"/>
    <cellStyle name="Bad" xfId="8" builtinId="27" customBuiltin="1"/>
    <cellStyle name="Body: normal cell" xfId="37" xr:uid="{EA3F03DA-DAAC-4E67-9C48-32345E5792CA}"/>
    <cellStyle name="Body: normal cell 2" xfId="53" xr:uid="{08CD34FB-32D1-4D4E-B78E-6D9F0921375F}"/>
    <cellStyle name="Body: normal cell 3" xfId="45" xr:uid="{3455BC5E-F6FE-45B4-B515-07C1FF8A7B97}"/>
    <cellStyle name="Body: normal cell 4" xfId="69" xr:uid="{235B8F88-29E6-46ED-B2CB-1EE68DFFBB5C}"/>
    <cellStyle name="Calculation" xfId="11" builtinId="22" customBuiltin="1"/>
    <cellStyle name="Check Cell" xfId="13" builtinId="23" customBuiltin="1"/>
    <cellStyle name="Comma" xfId="75" builtinId="3"/>
    <cellStyle name="Explanatory Text" xfId="16" builtinId="53" customBuiltin="1"/>
    <cellStyle name="Font: Calibri, 9pt regular" xfId="38" xr:uid="{046FC022-7ADB-439F-AC6B-06F1FB0969A9}"/>
    <cellStyle name="Font: Calibri, 9pt regular 2" xfId="54" xr:uid="{F67B9D4D-81FC-422B-BE16-8FCFA80B6324}"/>
    <cellStyle name="Font: Calibri, 9pt regular 3" xfId="46" xr:uid="{B9AB311C-4622-44DC-95B7-A3EE560BED6E}"/>
    <cellStyle name="Font: Calibri, 9pt regular 4" xfId="70" xr:uid="{33D67280-C367-44AA-BF18-AC4AD176CDEA}"/>
    <cellStyle name="Footnotes: top row" xfId="39" xr:uid="{668B1DA9-A269-4C4B-AB8B-E4412D39AA5E}"/>
    <cellStyle name="Footnotes: top row 2" xfId="55" xr:uid="{FAE885D7-0ED1-4F57-9C86-3E57F5B776CA}"/>
    <cellStyle name="Footnotes: top row 3" xfId="47" xr:uid="{6D3A535B-FE51-41C9-A1AF-6CC2E6D28C13}"/>
    <cellStyle name="Footnotes: top row 4" xfId="71" xr:uid="{D55444D5-5FDB-452E-9A25-4FBC5024891F}"/>
    <cellStyle name="Good" xfId="7" builtinId="26" customBuiltin="1"/>
    <cellStyle name="Header: bottom row" xfId="40" xr:uid="{1B3E9918-1BEB-4E26-9226-DDCFB4A4D031}"/>
    <cellStyle name="Header: bottom row 2" xfId="56" xr:uid="{4F80F3A6-0CFF-4FA5-96E2-ADE6F1F6B9E1}"/>
    <cellStyle name="Header: bottom row 3" xfId="48" xr:uid="{99198BBE-FF67-47E8-8D1B-44FF5F9DAF26}"/>
    <cellStyle name="Header: bottom row 4" xfId="72" xr:uid="{97A7D3E4-344A-41A0-A4B7-78E77DCD1453}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ipervínculo 2 2" xfId="80" xr:uid="{067AE79A-8CBE-4759-9A6D-FCA9DA4EF721}"/>
    <cellStyle name="Hyperlink" xfId="1" builtinId="8"/>
    <cellStyle name="Input" xfId="9" builtinId="20" customBuiltin="1"/>
    <cellStyle name="Linked Cell" xfId="12" builtinId="24" customBuiltin="1"/>
    <cellStyle name="Millares 3" xfId="81" xr:uid="{D3CFC1C7-A8A7-45D0-82BE-0828E481CC32}"/>
    <cellStyle name="Neutral 2" xfId="62" xr:uid="{9752847A-6ACD-42F9-AFB4-C2A2E9213018}"/>
    <cellStyle name="Normal" xfId="0" builtinId="0"/>
    <cellStyle name="Normal 10" xfId="78" xr:uid="{227FC687-72A8-461F-9D9F-6D1A3599976C}"/>
    <cellStyle name="Normal 2" xfId="52" xr:uid="{2F0F7E80-8BCA-4A78-8B67-35323ECD9B42}"/>
    <cellStyle name="Normal 2 2" xfId="79" xr:uid="{233E1EE5-F44F-47B8-AB5C-4903E27912AB}"/>
    <cellStyle name="Normal 2 2 2" xfId="77" xr:uid="{77C00431-30A1-45CA-B619-511776970C97}"/>
    <cellStyle name="Normal 3" xfId="51" xr:uid="{60154007-A150-4910-8900-986DA2B8C17E}"/>
    <cellStyle name="Normal 3 2" xfId="60" xr:uid="{7C665A8E-D301-430C-9E6F-6F85D41847C9}"/>
    <cellStyle name="Normal 4" xfId="44" xr:uid="{E1491568-9A2C-4286-86C9-1DA1BBF22958}"/>
    <cellStyle name="Normal 5" xfId="43" xr:uid="{ECE11EFF-A0E2-4BBF-86F5-5C6C3BC8BE27}"/>
    <cellStyle name="Normal 5 2" xfId="61" xr:uid="{801F20AC-8EC6-4D23-972B-E25ECAB445C9}"/>
    <cellStyle name="Normal 6" xfId="59" xr:uid="{963376A2-6DCB-443C-B7BC-658DC602F929}"/>
    <cellStyle name="Normal 7" xfId="36" xr:uid="{6F59A552-82E2-4373-88A6-95B1E6D451CC}"/>
    <cellStyle name="Normal 8" xfId="76" xr:uid="{FA9D7874-1E45-4051-AAD7-BC5601DAD29F}"/>
    <cellStyle name="Note" xfId="15" builtinId="10" customBuiltin="1"/>
    <cellStyle name="Output" xfId="10" builtinId="21" customBuiltin="1"/>
    <cellStyle name="Parent row" xfId="41" xr:uid="{BB70FD24-CC8A-4059-A8FB-EF3473AEE5BF}"/>
    <cellStyle name="Parent row 2" xfId="57" xr:uid="{E64DB29F-0F99-4575-888E-643D4F638507}"/>
    <cellStyle name="Parent row 3" xfId="49" xr:uid="{E7854F2A-5513-4980-9AA1-ADA6421310AC}"/>
    <cellStyle name="Parent row 4" xfId="73" xr:uid="{40E6F94A-1F43-4CBB-A2FC-6ABCE1474C05}"/>
    <cellStyle name="Table title" xfId="42" xr:uid="{C69E9F71-E318-451E-9F0E-06C687F530F6}"/>
    <cellStyle name="Table title 2" xfId="58" xr:uid="{B08EF0C1-BB7F-43EF-93CB-237A779E958C}"/>
    <cellStyle name="Table title 3" xfId="50" xr:uid="{AB3CAFA1-44B0-47FC-9653-B91E22DB566D}"/>
    <cellStyle name="Table title 4" xfId="74" xr:uid="{DB43BB74-3283-438D-B986-0BAB8FC15190}"/>
    <cellStyle name="Title" xfId="2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achel%20Goldstein\Downloads\enigh2024_ns_hogviv_tabulados.xlsx" TargetMode="External"/><Relationship Id="rId1" Type="http://schemas.openxmlformats.org/officeDocument/2006/relationships/externalLinkPath" Target="/Users/Rachel%20Goldstein/Downloads/enigh2024_ns_hogviv_tabulado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achel%20Goldstein\Downloads\enigh2020_ns_hogviv_tabulados.xlsx" TargetMode="External"/><Relationship Id="rId1" Type="http://schemas.openxmlformats.org/officeDocument/2006/relationships/externalLinkPath" Target="/Users/Rachel%20Goldstein/Downloads/enigh2020_ns_hogviv_tabulado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achel%20Goldstein\Downloads\enigh2022_ns_hogviv_tabulados.xlsx" TargetMode="External"/><Relationship Id="rId1" Type="http://schemas.openxmlformats.org/officeDocument/2006/relationships/externalLinkPath" Target="/Users/Rachel%20Goldstein/Downloads/enigh2022_ns_hogviv_tabulad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ICE "/>
      <sheetName val="1.2"/>
      <sheetName val="1.3"/>
      <sheetName val="1.4"/>
      <sheetName val="1.5"/>
      <sheetName val="1.6"/>
      <sheetName val="1.7"/>
      <sheetName val="1.8"/>
      <sheetName val="1.9"/>
      <sheetName val="1.10"/>
      <sheetName val="1.11"/>
      <sheetName val="1.12"/>
      <sheetName val="1.13"/>
      <sheetName val="1.14"/>
      <sheetName val="1.15"/>
      <sheetName val="1.16"/>
      <sheetName val="1.17"/>
      <sheetName val="1.18"/>
      <sheetName val="1.19"/>
      <sheetName val="1.20"/>
      <sheetName val="1.21"/>
      <sheetName val="1.22"/>
      <sheetName val="1.23"/>
      <sheetName val="1.24"/>
      <sheetName val="1.25"/>
      <sheetName val="1.26"/>
      <sheetName val="1.27"/>
      <sheetName val="1.28"/>
      <sheetName val="2.1"/>
      <sheetName val="2.2"/>
      <sheetName val="2.3"/>
      <sheetName val="2.4"/>
      <sheetName val="2.5"/>
      <sheetName val="3.1"/>
      <sheetName val="3.2"/>
      <sheetName val="3.3"/>
      <sheetName val="3.4"/>
      <sheetName val="4.1"/>
      <sheetName val="5.1"/>
      <sheetName val="5.2"/>
      <sheetName val="5.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ICE "/>
      <sheetName val="1.2"/>
      <sheetName val="1.3"/>
      <sheetName val="1.4"/>
      <sheetName val="1.5"/>
      <sheetName val="1.6"/>
      <sheetName val="1.7"/>
      <sheetName val="1.8"/>
      <sheetName val="1.9"/>
      <sheetName val="1.10"/>
      <sheetName val="1.11"/>
      <sheetName val="1.12"/>
      <sheetName val="1.13"/>
      <sheetName val="1.14"/>
      <sheetName val="1.15"/>
      <sheetName val="1.16"/>
      <sheetName val="1.17"/>
      <sheetName val="1.18"/>
      <sheetName val="1.19"/>
      <sheetName val="1.20"/>
      <sheetName val="1.21"/>
      <sheetName val="1.22"/>
      <sheetName val="1.23"/>
      <sheetName val="1.24"/>
      <sheetName val="1.25"/>
      <sheetName val="1.26"/>
      <sheetName val="1.27"/>
      <sheetName val="1.28"/>
      <sheetName val="2.1"/>
      <sheetName val="2.2"/>
      <sheetName val="2.3"/>
      <sheetName val="2.4"/>
      <sheetName val="2.5"/>
      <sheetName val="3.1"/>
      <sheetName val="3.2"/>
      <sheetName val="3.3"/>
      <sheetName val="3.4"/>
      <sheetName val="3.5"/>
      <sheetName val="4.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ICE "/>
      <sheetName val="1.2"/>
      <sheetName val="1.3"/>
      <sheetName val="1.4"/>
      <sheetName val="1.5"/>
      <sheetName val="1.6"/>
      <sheetName val="1.7"/>
      <sheetName val="1.8"/>
      <sheetName val="1.9"/>
      <sheetName val="1.10"/>
      <sheetName val="1.11"/>
      <sheetName val="1.12"/>
      <sheetName val="1.13"/>
      <sheetName val="1.14"/>
      <sheetName val="1.15"/>
      <sheetName val="1.16"/>
      <sheetName val="1.17"/>
      <sheetName val="1.18"/>
      <sheetName val="1.19"/>
      <sheetName val="1.20"/>
      <sheetName val="1.21"/>
      <sheetName val="1.22"/>
      <sheetName val="1.23"/>
      <sheetName val="1.24"/>
      <sheetName val="1.25"/>
      <sheetName val="1.26"/>
      <sheetName val="1.27"/>
      <sheetName val="1.28"/>
      <sheetName val="2.1"/>
      <sheetName val="2.2"/>
      <sheetName val="2.3"/>
      <sheetName val="2.4"/>
      <sheetName val="2.5"/>
      <sheetName val="3.1"/>
      <sheetName val="3.2"/>
      <sheetName val="3.3"/>
      <sheetName val="3.4"/>
      <sheetName val="3.5"/>
      <sheetName val="4.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outlooks/archive/aeo22/tables_ref.php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opLeftCell="A7" workbookViewId="0">
      <selection activeCell="I30" sqref="I30"/>
    </sheetView>
  </sheetViews>
  <sheetFormatPr defaultRowHeight="14.4" x14ac:dyDescent="0.3"/>
  <cols>
    <col min="2" max="2" width="38.21875" customWidth="1"/>
  </cols>
  <sheetData>
    <row r="1" spans="1:2" x14ac:dyDescent="0.3">
      <c r="A1" s="1" t="s">
        <v>1</v>
      </c>
    </row>
    <row r="3" spans="1:2" x14ac:dyDescent="0.3">
      <c r="A3" s="1" t="s">
        <v>0</v>
      </c>
      <c r="B3" s="5" t="s">
        <v>8</v>
      </c>
    </row>
    <row r="4" spans="1:2" x14ac:dyDescent="0.3">
      <c r="B4" t="s">
        <v>3</v>
      </c>
    </row>
    <row r="5" spans="1:2" x14ac:dyDescent="0.3">
      <c r="B5" s="2">
        <v>2023</v>
      </c>
    </row>
    <row r="6" spans="1:2" x14ac:dyDescent="0.3">
      <c r="B6" t="s">
        <v>2</v>
      </c>
    </row>
    <row r="7" spans="1:2" x14ac:dyDescent="0.3">
      <c r="B7" s="3" t="s">
        <v>4</v>
      </c>
    </row>
    <row r="8" spans="1:2" x14ac:dyDescent="0.3">
      <c r="B8" t="s">
        <v>5</v>
      </c>
    </row>
    <row r="10" spans="1:2" x14ac:dyDescent="0.3">
      <c r="B10" s="5">
        <v>2021</v>
      </c>
    </row>
    <row r="11" spans="1:2" x14ac:dyDescent="0.3">
      <c r="B11" t="s">
        <v>3</v>
      </c>
    </row>
    <row r="12" spans="1:2" x14ac:dyDescent="0.3">
      <c r="B12" s="2">
        <v>2022</v>
      </c>
    </row>
    <row r="13" spans="1:2" x14ac:dyDescent="0.3">
      <c r="B13" t="s">
        <v>9</v>
      </c>
    </row>
    <row r="14" spans="1:2" x14ac:dyDescent="0.3">
      <c r="B14" s="3" t="s">
        <v>10</v>
      </c>
    </row>
    <row r="15" spans="1:2" x14ac:dyDescent="0.3">
      <c r="B15" t="s">
        <v>5</v>
      </c>
    </row>
    <row r="17" spans="2:2" x14ac:dyDescent="0.3">
      <c r="B17" s="5" t="s">
        <v>20</v>
      </c>
    </row>
    <row r="18" spans="2:2" x14ac:dyDescent="0.3">
      <c r="B18" t="s">
        <v>19</v>
      </c>
    </row>
    <row r="19" spans="2:2" x14ac:dyDescent="0.3">
      <c r="B19" t="s">
        <v>12</v>
      </c>
    </row>
    <row r="20" spans="2:2" x14ac:dyDescent="0.3">
      <c r="B20" t="s">
        <v>18</v>
      </c>
    </row>
    <row r="22" spans="2:2" x14ac:dyDescent="0.3">
      <c r="B22" s="5" t="s">
        <v>27</v>
      </c>
    </row>
    <row r="23" spans="2:2" x14ac:dyDescent="0.3">
      <c r="B23" t="s">
        <v>30</v>
      </c>
    </row>
    <row r="24" spans="2:2" x14ac:dyDescent="0.3">
      <c r="B24" t="s">
        <v>29</v>
      </c>
    </row>
    <row r="25" spans="2:2" x14ac:dyDescent="0.3">
      <c r="B25" t="s">
        <v>28</v>
      </c>
    </row>
    <row r="27" spans="2:2" x14ac:dyDescent="0.3">
      <c r="B27" s="5" t="s">
        <v>96</v>
      </c>
    </row>
    <row r="28" spans="2:2" x14ac:dyDescent="0.3">
      <c r="B28" s="8" t="s">
        <v>85</v>
      </c>
    </row>
    <row r="29" spans="2:2" x14ac:dyDescent="0.3">
      <c r="B29" s="8" t="s">
        <v>97</v>
      </c>
    </row>
    <row r="30" spans="2:2" x14ac:dyDescent="0.3">
      <c r="B30" s="8"/>
    </row>
  </sheetData>
  <hyperlinks>
    <hyperlink ref="B14" r:id="rId1" xr:uid="{626A62BE-96EC-4C42-BAF4-5090B19F8F52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D9B84-8FA4-4816-95F8-16263F4CA004}">
  <dimension ref="A1:AZ5"/>
  <sheetViews>
    <sheetView workbookViewId="0">
      <selection activeCell="AS17" sqref="AS17"/>
    </sheetView>
  </sheetViews>
  <sheetFormatPr defaultRowHeight="14.4" x14ac:dyDescent="0.3"/>
  <cols>
    <col min="1" max="1" width="26.109375" customWidth="1"/>
    <col min="2" max="4" width="11.21875" bestFit="1" customWidth="1"/>
    <col min="5" max="5" width="11.109375" customWidth="1"/>
    <col min="6" max="7" width="11.21875" bestFit="1" customWidth="1"/>
  </cols>
  <sheetData>
    <row r="1" spans="1:52" x14ac:dyDescent="0.3">
      <c r="A1" t="s">
        <v>25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</row>
    <row r="2" spans="1:52" x14ac:dyDescent="0.3">
      <c r="A2" t="s">
        <v>6</v>
      </c>
      <c r="B2" s="7">
        <f>'INEGI 2020'!C9</f>
        <v>35234822</v>
      </c>
      <c r="C2" s="7">
        <f>AVERAGE(B2,D2)</f>
        <v>36101846.5</v>
      </c>
      <c r="D2" s="7">
        <f>'INEGI 2022'!C9</f>
        <v>36968871</v>
      </c>
      <c r="E2" s="7">
        <f>AVERAGE(D2,F2)</f>
        <v>37662456.5</v>
      </c>
      <c r="F2" s="7">
        <f>INEGI2024!C9</f>
        <v>38356042</v>
      </c>
      <c r="G2" s="7">
        <f>G3/G5</f>
        <v>38665958.819360003</v>
      </c>
      <c r="H2" s="7">
        <f t="shared" ref="H2:AZ2" si="0">H3/H5</f>
        <v>38966779.978974625</v>
      </c>
      <c r="I2" s="7">
        <f t="shared" si="0"/>
        <v>39259030.828816928</v>
      </c>
      <c r="J2" s="7">
        <f t="shared" si="0"/>
        <v>39543266.212017566</v>
      </c>
      <c r="K2" s="7">
        <f t="shared" si="0"/>
        <v>39818882.777515329</v>
      </c>
      <c r="L2" s="7">
        <f t="shared" si="0"/>
        <v>40086465.669780232</v>
      </c>
      <c r="M2" s="7">
        <f t="shared" si="0"/>
        <v>40346225.967320412</v>
      </c>
      <c r="N2" s="7">
        <f t="shared" si="0"/>
        <v>40597986.417356491</v>
      </c>
      <c r="O2" s="7">
        <f t="shared" si="0"/>
        <v>40841980.315724798</v>
      </c>
      <c r="P2" s="7">
        <f t="shared" si="0"/>
        <v>41075188.023327589</v>
      </c>
      <c r="Q2" s="7">
        <f t="shared" si="0"/>
        <v>41301101.557455882</v>
      </c>
      <c r="R2" s="7">
        <f t="shared" si="0"/>
        <v>41516693.307585806</v>
      </c>
      <c r="S2" s="7">
        <f t="shared" si="0"/>
        <v>41725107.107989885</v>
      </c>
      <c r="T2" s="7">
        <f t="shared" si="0"/>
        <v>41923301.366752841</v>
      </c>
      <c r="U2" s="7">
        <f t="shared" si="0"/>
        <v>42110279.290848553</v>
      </c>
      <c r="V2" s="7">
        <f t="shared" si="0"/>
        <v>42287563.566663027</v>
      </c>
      <c r="W2" s="7">
        <f t="shared" si="0"/>
        <v>42455868.069658346</v>
      </c>
      <c r="X2" s="7">
        <f t="shared" si="0"/>
        <v>42613803.898877479</v>
      </c>
      <c r="Y2" s="7">
        <f t="shared" si="0"/>
        <v>42760395.384289622</v>
      </c>
      <c r="Z2" s="7">
        <f t="shared" si="0"/>
        <v>42898083.857427031</v>
      </c>
      <c r="AA2" s="7">
        <f t="shared" si="0"/>
        <v>43024204.223967865</v>
      </c>
      <c r="AB2" s="7">
        <f t="shared" si="0"/>
        <v>43139509.091288097</v>
      </c>
      <c r="AC2" s="7">
        <f t="shared" si="0"/>
        <v>43243475.308198102</v>
      </c>
      <c r="AD2" s="7">
        <f t="shared" si="0"/>
        <v>43339043.38862922</v>
      </c>
      <c r="AE2" s="7">
        <f t="shared" si="0"/>
        <v>43421820.961501502</v>
      </c>
      <c r="AF2" s="7">
        <f t="shared" si="0"/>
        <v>43495638.057136051</v>
      </c>
      <c r="AG2" s="7">
        <f t="shared" si="0"/>
        <v>43559141.688699469</v>
      </c>
      <c r="AH2" s="7">
        <f t="shared" si="0"/>
        <v>43613155.024393462</v>
      </c>
      <c r="AI2" s="7">
        <f t="shared" si="0"/>
        <v>43657640.442518339</v>
      </c>
      <c r="AJ2" s="7">
        <f t="shared" si="0"/>
        <v>43693003.131276779</v>
      </c>
      <c r="AK2" s="7">
        <f t="shared" si="0"/>
        <v>43719218.933155544</v>
      </c>
      <c r="AL2" s="7">
        <f t="shared" si="0"/>
        <v>43736706.620728806</v>
      </c>
      <c r="AM2" s="7">
        <f t="shared" si="0"/>
        <v>43746328.696185365</v>
      </c>
      <c r="AN2" s="7">
        <f t="shared" si="0"/>
        <v>43748516.012620181</v>
      </c>
      <c r="AO2" s="7">
        <f t="shared" si="0"/>
        <v>43742391.220378406</v>
      </c>
      <c r="AP2" s="7">
        <f t="shared" si="0"/>
        <v>43727081.383451276</v>
      </c>
      <c r="AQ2" s="7">
        <f t="shared" si="0"/>
        <v>43704343.301131882</v>
      </c>
      <c r="AR2" s="7">
        <f t="shared" si="0"/>
        <v>43674187.3042541</v>
      </c>
      <c r="AS2" s="7">
        <f t="shared" si="0"/>
        <v>43635754.019426353</v>
      </c>
      <c r="AT2" s="7">
        <f t="shared" si="0"/>
        <v>43589500.120165758</v>
      </c>
      <c r="AU2" s="7">
        <f t="shared" si="0"/>
        <v>43535013.245015554</v>
      </c>
      <c r="AV2" s="7">
        <f t="shared" si="0"/>
        <v>43473628.876340084</v>
      </c>
      <c r="AW2" s="7">
        <f t="shared" si="0"/>
        <v>43405375.279004231</v>
      </c>
      <c r="AX2" s="7">
        <f t="shared" si="0"/>
        <v>43329415.872265972</v>
      </c>
      <c r="AY2" s="7">
        <f t="shared" si="0"/>
        <v>43246223.393791221</v>
      </c>
      <c r="AZ2" s="7">
        <f t="shared" si="0"/>
        <v>43154973.862430327</v>
      </c>
    </row>
    <row r="3" spans="1:52" x14ac:dyDescent="0.3">
      <c r="A3" t="s">
        <v>26</v>
      </c>
      <c r="B3">
        <f>Population!L2</f>
        <v>126799054</v>
      </c>
      <c r="C3">
        <f>Population!M2</f>
        <v>127648148</v>
      </c>
      <c r="D3">
        <f>Population!N2</f>
        <v>128613117</v>
      </c>
      <c r="E3">
        <f>Population!O2</f>
        <v>129739759</v>
      </c>
      <c r="F3">
        <f>Population!P2</f>
        <v>130861007</v>
      </c>
      <c r="G3">
        <f>Population!Q2</f>
        <v>131918363.93656</v>
      </c>
      <c r="H3">
        <f>Population!R2</f>
        <v>132944688.80798644</v>
      </c>
      <c r="I3">
        <f>Population!S2</f>
        <v>133941773.97404633</v>
      </c>
      <c r="J3">
        <f>Population!T2</f>
        <v>134911512.41761842</v>
      </c>
      <c r="K3">
        <f>Population!U2</f>
        <v>135851845.65916923</v>
      </c>
      <c r="L3">
        <f>Population!V2</f>
        <v>136764770.06199884</v>
      </c>
      <c r="M3">
        <f>Population!W2</f>
        <v>137651005.77200061</v>
      </c>
      <c r="N3">
        <f>Population!X2</f>
        <v>138509948.04801789</v>
      </c>
      <c r="O3">
        <f>Population!Y2</f>
        <v>139342392.83578646</v>
      </c>
      <c r="P3">
        <f>Population!Z2</f>
        <v>140138037.89887881</v>
      </c>
      <c r="Q3">
        <f>Population!AA2</f>
        <v>140908797.10732263</v>
      </c>
      <c r="R3">
        <f>Population!AB2</f>
        <v>141644341.02822286</v>
      </c>
      <c r="S3">
        <f>Population!AC2</f>
        <v>142355395.62018454</v>
      </c>
      <c r="T3">
        <f>Population!AD2</f>
        <v>143031583.74938041</v>
      </c>
      <c r="U3">
        <f>Population!AE2</f>
        <v>143669504.61290264</v>
      </c>
      <c r="V3">
        <f>Population!AF2</f>
        <v>144274353.22732297</v>
      </c>
      <c r="W3">
        <f>Population!AG2</f>
        <v>144848565.15316772</v>
      </c>
      <c r="X3">
        <f>Population!AH2</f>
        <v>145387401.81553751</v>
      </c>
      <c r="Y3">
        <f>Population!AI2</f>
        <v>145887534.47778296</v>
      </c>
      <c r="Z3">
        <f>Population!AJ2</f>
        <v>146357292.33880141</v>
      </c>
      <c r="AA3">
        <f>Population!AK2</f>
        <v>146787582.77827749</v>
      </c>
      <c r="AB3">
        <f>Population!AL2</f>
        <v>147180973.50012326</v>
      </c>
      <c r="AC3">
        <f>Population!AM2</f>
        <v>147535679.64625856</v>
      </c>
      <c r="AD3">
        <f>Population!AN2</f>
        <v>147861733.4982768</v>
      </c>
      <c r="AE3">
        <f>Population!AO2</f>
        <v>148144149.40925851</v>
      </c>
      <c r="AF3">
        <f>Population!AP2</f>
        <v>148395994.46325424</v>
      </c>
      <c r="AG3">
        <f>Population!AQ2</f>
        <v>148612652.6151706</v>
      </c>
      <c r="AH3">
        <f>Population!AR2</f>
        <v>148796932.30441341</v>
      </c>
      <c r="AI3">
        <f>Population!AS2</f>
        <v>148948705.1753639</v>
      </c>
      <c r="AJ3">
        <f>Population!AT2</f>
        <v>149069353.62655595</v>
      </c>
      <c r="AK3">
        <f>Population!AU2</f>
        <v>149158795.23873189</v>
      </c>
      <c r="AL3">
        <f>Population!AV2</f>
        <v>149218458.75682738</v>
      </c>
      <c r="AM3">
        <f>Population!AW2</f>
        <v>149251286.81775388</v>
      </c>
      <c r="AN3">
        <f>Population!AX2</f>
        <v>149258749.38209477</v>
      </c>
      <c r="AO3">
        <f>Population!AY2</f>
        <v>149237853.15718126</v>
      </c>
      <c r="AP3">
        <f>Population!AZ2</f>
        <v>149185619.90857625</v>
      </c>
      <c r="AQ3">
        <f>Population!BA2</f>
        <v>149108043.38622379</v>
      </c>
      <c r="AR3">
        <f>Population!BB2</f>
        <v>149005158.83628729</v>
      </c>
      <c r="AS3">
        <f>Population!BC2</f>
        <v>148874034.29651135</v>
      </c>
      <c r="AT3">
        <f>Population!BD2</f>
        <v>148716227.82015705</v>
      </c>
      <c r="AU3">
        <f>Population!BE2</f>
        <v>148530332.53538185</v>
      </c>
      <c r="AV3">
        <f>Population!BF2</f>
        <v>148320904.76650697</v>
      </c>
      <c r="AW3">
        <f>Population!BG2</f>
        <v>148088040.94602355</v>
      </c>
      <c r="AX3">
        <f>Population!BH2</f>
        <v>147828886.87436801</v>
      </c>
      <c r="AY3">
        <f>Population!BI2</f>
        <v>147545055.41156924</v>
      </c>
      <c r="AZ3">
        <f>Population!BJ2</f>
        <v>147233735.34465083</v>
      </c>
    </row>
    <row r="5" spans="1:52" x14ac:dyDescent="0.3">
      <c r="A5" t="s">
        <v>99</v>
      </c>
      <c r="B5" s="169">
        <f>'World Bank'!M6/B2</f>
        <v>3.5986858114396036</v>
      </c>
      <c r="C5" s="169">
        <f>'World Bank'!N6/C2</f>
        <v>3.53577892477051</v>
      </c>
      <c r="D5" s="169">
        <f>'World Bank'!O6/D2</f>
        <v>3.4789571204378951</v>
      </c>
      <c r="E5" s="169">
        <f>'World Bank'!P6/E2</f>
        <v>3.444803421146998</v>
      </c>
      <c r="F5" s="169">
        <f>'World Bank'!Q6/F2</f>
        <v>3.4117442826869362</v>
      </c>
      <c r="G5" s="169">
        <f>F5</f>
        <v>3.4117442826869362</v>
      </c>
      <c r="H5" s="169">
        <f t="shared" ref="H5:AZ5" si="1">G5</f>
        <v>3.4117442826869362</v>
      </c>
      <c r="I5" s="169">
        <f t="shared" si="1"/>
        <v>3.4117442826869362</v>
      </c>
      <c r="J5" s="169">
        <f t="shared" si="1"/>
        <v>3.4117442826869362</v>
      </c>
      <c r="K5" s="169">
        <f t="shared" si="1"/>
        <v>3.4117442826869362</v>
      </c>
      <c r="L5" s="169">
        <f t="shared" si="1"/>
        <v>3.4117442826869362</v>
      </c>
      <c r="M5" s="169">
        <f t="shared" si="1"/>
        <v>3.4117442826869362</v>
      </c>
      <c r="N5" s="169">
        <f t="shared" si="1"/>
        <v>3.4117442826869362</v>
      </c>
      <c r="O5" s="169">
        <f t="shared" si="1"/>
        <v>3.4117442826869362</v>
      </c>
      <c r="P5" s="169">
        <f t="shared" si="1"/>
        <v>3.4117442826869362</v>
      </c>
      <c r="Q5" s="169">
        <f t="shared" si="1"/>
        <v>3.4117442826869362</v>
      </c>
      <c r="R5" s="169">
        <f t="shared" si="1"/>
        <v>3.4117442826869362</v>
      </c>
      <c r="S5" s="169">
        <f t="shared" si="1"/>
        <v>3.4117442826869362</v>
      </c>
      <c r="T5" s="169">
        <f t="shared" si="1"/>
        <v>3.4117442826869362</v>
      </c>
      <c r="U5" s="169">
        <f t="shared" si="1"/>
        <v>3.4117442826869362</v>
      </c>
      <c r="V5" s="169">
        <f t="shared" si="1"/>
        <v>3.4117442826869362</v>
      </c>
      <c r="W5" s="169">
        <f t="shared" si="1"/>
        <v>3.4117442826869362</v>
      </c>
      <c r="X5" s="169">
        <f t="shared" si="1"/>
        <v>3.4117442826869362</v>
      </c>
      <c r="Y5" s="169">
        <f t="shared" si="1"/>
        <v>3.4117442826869362</v>
      </c>
      <c r="Z5" s="169">
        <f t="shared" si="1"/>
        <v>3.4117442826869362</v>
      </c>
      <c r="AA5" s="169">
        <f t="shared" si="1"/>
        <v>3.4117442826869362</v>
      </c>
      <c r="AB5" s="169">
        <f t="shared" si="1"/>
        <v>3.4117442826869362</v>
      </c>
      <c r="AC5" s="169">
        <f t="shared" si="1"/>
        <v>3.4117442826869362</v>
      </c>
      <c r="AD5" s="169">
        <f t="shared" si="1"/>
        <v>3.4117442826869362</v>
      </c>
      <c r="AE5" s="169">
        <f t="shared" si="1"/>
        <v>3.4117442826869362</v>
      </c>
      <c r="AF5" s="169">
        <f t="shared" si="1"/>
        <v>3.4117442826869362</v>
      </c>
      <c r="AG5" s="169">
        <f t="shared" si="1"/>
        <v>3.4117442826869362</v>
      </c>
      <c r="AH5" s="169">
        <f t="shared" si="1"/>
        <v>3.4117442826869362</v>
      </c>
      <c r="AI5" s="169">
        <f t="shared" si="1"/>
        <v>3.4117442826869362</v>
      </c>
      <c r="AJ5" s="169">
        <f t="shared" si="1"/>
        <v>3.4117442826869362</v>
      </c>
      <c r="AK5" s="169">
        <f t="shared" si="1"/>
        <v>3.4117442826869362</v>
      </c>
      <c r="AL5" s="169">
        <f t="shared" si="1"/>
        <v>3.4117442826869362</v>
      </c>
      <c r="AM5" s="169">
        <f t="shared" si="1"/>
        <v>3.4117442826869362</v>
      </c>
      <c r="AN5" s="169">
        <f t="shared" si="1"/>
        <v>3.4117442826869362</v>
      </c>
      <c r="AO5" s="169">
        <f t="shared" si="1"/>
        <v>3.4117442826869362</v>
      </c>
      <c r="AP5" s="169">
        <f t="shared" si="1"/>
        <v>3.4117442826869362</v>
      </c>
      <c r="AQ5" s="169">
        <f t="shared" si="1"/>
        <v>3.4117442826869362</v>
      </c>
      <c r="AR5" s="169">
        <f t="shared" si="1"/>
        <v>3.4117442826869362</v>
      </c>
      <c r="AS5" s="169">
        <f t="shared" si="1"/>
        <v>3.4117442826869362</v>
      </c>
      <c r="AT5" s="169">
        <f t="shared" si="1"/>
        <v>3.4117442826869362</v>
      </c>
      <c r="AU5" s="169">
        <f t="shared" si="1"/>
        <v>3.4117442826869362</v>
      </c>
      <c r="AV5" s="169">
        <f t="shared" si="1"/>
        <v>3.4117442826869362</v>
      </c>
      <c r="AW5" s="169">
        <f t="shared" si="1"/>
        <v>3.4117442826869362</v>
      </c>
      <c r="AX5" s="169">
        <f t="shared" si="1"/>
        <v>3.4117442826869362</v>
      </c>
      <c r="AY5" s="169">
        <f t="shared" si="1"/>
        <v>3.4117442826869362</v>
      </c>
      <c r="AZ5" s="169">
        <f t="shared" si="1"/>
        <v>3.4117442826869362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A294-5515-4E40-8A75-07DA3385615B}">
  <dimension ref="A1:EV5"/>
  <sheetViews>
    <sheetView workbookViewId="0">
      <selection activeCell="A6" sqref="A6"/>
    </sheetView>
  </sheetViews>
  <sheetFormatPr defaultRowHeight="14.4" x14ac:dyDescent="0.3"/>
  <sheetData>
    <row r="1" spans="1:152" x14ac:dyDescent="0.3">
      <c r="A1" t="s">
        <v>21</v>
      </c>
      <c r="B1" t="s">
        <v>16</v>
      </c>
      <c r="C1" t="s">
        <v>16</v>
      </c>
      <c r="D1" t="s">
        <v>16</v>
      </c>
      <c r="E1" t="s">
        <v>16</v>
      </c>
      <c r="F1" t="s">
        <v>16</v>
      </c>
      <c r="G1" t="s">
        <v>16</v>
      </c>
      <c r="H1" t="s">
        <v>16</v>
      </c>
      <c r="I1" t="s">
        <v>16</v>
      </c>
      <c r="J1" t="s">
        <v>16</v>
      </c>
      <c r="K1" t="s">
        <v>16</v>
      </c>
      <c r="L1" t="s">
        <v>16</v>
      </c>
      <c r="M1" t="s">
        <v>16</v>
      </c>
      <c r="N1" t="s">
        <v>16</v>
      </c>
      <c r="O1" t="s">
        <v>16</v>
      </c>
      <c r="P1" t="s">
        <v>16</v>
      </c>
      <c r="Q1" t="s">
        <v>16</v>
      </c>
      <c r="R1" t="s">
        <v>16</v>
      </c>
      <c r="S1" t="s">
        <v>16</v>
      </c>
      <c r="T1" t="s">
        <v>16</v>
      </c>
      <c r="U1" t="s">
        <v>16</v>
      </c>
      <c r="V1" t="s">
        <v>16</v>
      </c>
      <c r="W1" t="s">
        <v>16</v>
      </c>
      <c r="X1" t="s">
        <v>16</v>
      </c>
      <c r="Y1" t="s">
        <v>16</v>
      </c>
      <c r="Z1" t="s">
        <v>16</v>
      </c>
      <c r="AA1" t="s">
        <v>16</v>
      </c>
      <c r="AB1" t="s">
        <v>16</v>
      </c>
      <c r="AC1" t="s">
        <v>16</v>
      </c>
      <c r="AD1" t="s">
        <v>16</v>
      </c>
      <c r="AE1" t="s">
        <v>16</v>
      </c>
      <c r="AF1" t="s">
        <v>16</v>
      </c>
      <c r="AG1" t="s">
        <v>16</v>
      </c>
      <c r="AH1" t="s">
        <v>16</v>
      </c>
      <c r="AI1" t="s">
        <v>16</v>
      </c>
      <c r="AJ1" t="s">
        <v>16</v>
      </c>
      <c r="AK1" t="s">
        <v>16</v>
      </c>
      <c r="AL1" t="s">
        <v>16</v>
      </c>
      <c r="AM1" t="s">
        <v>16</v>
      </c>
      <c r="AN1" t="s">
        <v>16</v>
      </c>
      <c r="AO1" t="s">
        <v>16</v>
      </c>
      <c r="AP1" t="s">
        <v>16</v>
      </c>
      <c r="AQ1" t="s">
        <v>16</v>
      </c>
      <c r="AR1" t="s">
        <v>16</v>
      </c>
      <c r="AS1" t="s">
        <v>16</v>
      </c>
      <c r="AT1" t="s">
        <v>16</v>
      </c>
      <c r="AU1" t="s">
        <v>16</v>
      </c>
      <c r="AV1" t="s">
        <v>16</v>
      </c>
      <c r="AW1" t="s">
        <v>16</v>
      </c>
      <c r="AX1" t="s">
        <v>16</v>
      </c>
      <c r="AY1" t="s">
        <v>16</v>
      </c>
      <c r="AZ1" t="s">
        <v>16</v>
      </c>
      <c r="BA1" t="s">
        <v>16</v>
      </c>
      <c r="BB1" t="s">
        <v>16</v>
      </c>
      <c r="BC1" t="s">
        <v>16</v>
      </c>
      <c r="BD1" t="s">
        <v>16</v>
      </c>
      <c r="BE1" t="s">
        <v>16</v>
      </c>
      <c r="BF1" t="s">
        <v>16</v>
      </c>
      <c r="BG1" t="s">
        <v>16</v>
      </c>
      <c r="BH1" t="s">
        <v>16</v>
      </c>
      <c r="BI1" t="s">
        <v>16</v>
      </c>
      <c r="BJ1" t="s">
        <v>16</v>
      </c>
      <c r="BK1" t="s">
        <v>16</v>
      </c>
      <c r="BL1" t="s">
        <v>16</v>
      </c>
      <c r="BM1" t="s">
        <v>16</v>
      </c>
      <c r="BN1" t="s">
        <v>16</v>
      </c>
      <c r="BO1" t="s">
        <v>16</v>
      </c>
      <c r="BP1" t="s">
        <v>16</v>
      </c>
      <c r="BQ1" t="s">
        <v>16</v>
      </c>
      <c r="BR1" t="s">
        <v>16</v>
      </c>
      <c r="BS1" t="s">
        <v>16</v>
      </c>
      <c r="BT1" t="s">
        <v>16</v>
      </c>
      <c r="BU1" t="s">
        <v>16</v>
      </c>
      <c r="BV1" t="s">
        <v>16</v>
      </c>
      <c r="BW1" t="s">
        <v>16</v>
      </c>
      <c r="BX1" t="s">
        <v>16</v>
      </c>
      <c r="BY1" t="s">
        <v>16</v>
      </c>
      <c r="BZ1" t="s">
        <v>16</v>
      </c>
      <c r="CA1" t="s">
        <v>16</v>
      </c>
      <c r="CB1" t="s">
        <v>16</v>
      </c>
      <c r="CC1" t="s">
        <v>16</v>
      </c>
      <c r="CD1" t="s">
        <v>16</v>
      </c>
      <c r="CE1" t="s">
        <v>16</v>
      </c>
      <c r="CF1" t="s">
        <v>16</v>
      </c>
      <c r="CG1" t="s">
        <v>16</v>
      </c>
      <c r="CH1" t="s">
        <v>16</v>
      </c>
      <c r="CI1" t="s">
        <v>16</v>
      </c>
      <c r="CJ1" t="s">
        <v>16</v>
      </c>
      <c r="CK1" t="s">
        <v>16</v>
      </c>
      <c r="CL1" t="s">
        <v>16</v>
      </c>
      <c r="CM1" t="s">
        <v>16</v>
      </c>
      <c r="CN1" t="s">
        <v>16</v>
      </c>
      <c r="CO1" t="s">
        <v>16</v>
      </c>
      <c r="CP1" t="s">
        <v>16</v>
      </c>
      <c r="CQ1" t="s">
        <v>16</v>
      </c>
      <c r="CR1" t="s">
        <v>16</v>
      </c>
      <c r="CS1" t="s">
        <v>16</v>
      </c>
      <c r="CT1" t="s">
        <v>16</v>
      </c>
      <c r="CU1" t="s">
        <v>16</v>
      </c>
      <c r="CV1" t="s">
        <v>16</v>
      </c>
      <c r="CW1" t="s">
        <v>16</v>
      </c>
      <c r="CX1" t="s">
        <v>16</v>
      </c>
      <c r="CY1" t="s">
        <v>16</v>
      </c>
      <c r="CZ1" t="s">
        <v>16</v>
      </c>
      <c r="DA1" t="s">
        <v>16</v>
      </c>
      <c r="DB1" t="s">
        <v>16</v>
      </c>
      <c r="DC1" t="s">
        <v>16</v>
      </c>
      <c r="DD1" t="s">
        <v>16</v>
      </c>
      <c r="DE1" t="s">
        <v>16</v>
      </c>
      <c r="DF1" t="s">
        <v>16</v>
      </c>
      <c r="DG1" t="s">
        <v>16</v>
      </c>
      <c r="DH1" t="s">
        <v>16</v>
      </c>
      <c r="DI1" t="s">
        <v>16</v>
      </c>
      <c r="DJ1" t="s">
        <v>16</v>
      </c>
      <c r="DK1" t="s">
        <v>16</v>
      </c>
      <c r="DL1" t="s">
        <v>16</v>
      </c>
      <c r="DM1" t="s">
        <v>16</v>
      </c>
      <c r="DN1" t="s">
        <v>16</v>
      </c>
      <c r="DO1" t="s">
        <v>16</v>
      </c>
      <c r="DP1" t="s">
        <v>16</v>
      </c>
      <c r="DQ1" t="s">
        <v>16</v>
      </c>
      <c r="DR1" t="s">
        <v>16</v>
      </c>
      <c r="DS1" t="s">
        <v>16</v>
      </c>
      <c r="DT1" t="s">
        <v>16</v>
      </c>
      <c r="DU1" t="s">
        <v>16</v>
      </c>
      <c r="DV1" t="s">
        <v>16</v>
      </c>
      <c r="DW1" t="s">
        <v>16</v>
      </c>
      <c r="DX1" t="s">
        <v>16</v>
      </c>
      <c r="DY1" t="s">
        <v>16</v>
      </c>
      <c r="DZ1" t="s">
        <v>16</v>
      </c>
      <c r="EA1" t="s">
        <v>16</v>
      </c>
      <c r="EB1" t="s">
        <v>16</v>
      </c>
      <c r="EC1" t="s">
        <v>16</v>
      </c>
      <c r="ED1" t="s">
        <v>16</v>
      </c>
      <c r="EE1" t="s">
        <v>16</v>
      </c>
      <c r="EF1" t="s">
        <v>16</v>
      </c>
      <c r="EG1" t="s">
        <v>16</v>
      </c>
      <c r="EH1" t="s">
        <v>16</v>
      </c>
      <c r="EI1" t="s">
        <v>16</v>
      </c>
      <c r="EJ1" t="s">
        <v>16</v>
      </c>
      <c r="EK1" t="s">
        <v>16</v>
      </c>
      <c r="EL1" t="s">
        <v>16</v>
      </c>
      <c r="EM1" t="s">
        <v>16</v>
      </c>
      <c r="EN1" t="s">
        <v>16</v>
      </c>
      <c r="EO1" t="s">
        <v>16</v>
      </c>
      <c r="EP1" t="s">
        <v>16</v>
      </c>
      <c r="EQ1" t="s">
        <v>16</v>
      </c>
      <c r="ER1" t="s">
        <v>16</v>
      </c>
      <c r="ES1" t="s">
        <v>16</v>
      </c>
      <c r="ET1" t="s">
        <v>16</v>
      </c>
      <c r="EU1" t="s">
        <v>16</v>
      </c>
      <c r="EV1" t="s">
        <v>16</v>
      </c>
    </row>
    <row r="2" spans="1:152" x14ac:dyDescent="0.3">
      <c r="A2" t="s">
        <v>22</v>
      </c>
      <c r="B2">
        <v>1950</v>
      </c>
      <c r="C2">
        <v>1951</v>
      </c>
      <c r="D2">
        <v>1952</v>
      </c>
      <c r="E2">
        <v>1953</v>
      </c>
      <c r="F2">
        <v>1954</v>
      </c>
      <c r="G2">
        <v>1955</v>
      </c>
      <c r="H2">
        <v>1956</v>
      </c>
      <c r="I2">
        <v>1957</v>
      </c>
      <c r="J2">
        <v>1958</v>
      </c>
      <c r="K2">
        <v>1959</v>
      </c>
      <c r="L2">
        <v>1960</v>
      </c>
      <c r="M2">
        <v>1961</v>
      </c>
      <c r="N2">
        <v>1962</v>
      </c>
      <c r="O2">
        <v>1963</v>
      </c>
      <c r="P2">
        <v>1964</v>
      </c>
      <c r="Q2">
        <v>1965</v>
      </c>
      <c r="R2">
        <v>1966</v>
      </c>
      <c r="S2">
        <v>1967</v>
      </c>
      <c r="T2">
        <v>1968</v>
      </c>
      <c r="U2">
        <v>1969</v>
      </c>
      <c r="V2">
        <v>1970</v>
      </c>
      <c r="W2">
        <v>1971</v>
      </c>
      <c r="X2">
        <v>1972</v>
      </c>
      <c r="Y2">
        <v>1973</v>
      </c>
      <c r="Z2">
        <v>1974</v>
      </c>
      <c r="AA2">
        <v>1975</v>
      </c>
      <c r="AB2">
        <v>1976</v>
      </c>
      <c r="AC2">
        <v>1977</v>
      </c>
      <c r="AD2">
        <v>1978</v>
      </c>
      <c r="AE2">
        <v>1979</v>
      </c>
      <c r="AF2">
        <v>1980</v>
      </c>
      <c r="AG2">
        <v>1981</v>
      </c>
      <c r="AH2">
        <v>1982</v>
      </c>
      <c r="AI2">
        <v>1983</v>
      </c>
      <c r="AJ2">
        <v>1984</v>
      </c>
      <c r="AK2">
        <v>1985</v>
      </c>
      <c r="AL2">
        <v>1986</v>
      </c>
      <c r="AM2">
        <v>1987</v>
      </c>
      <c r="AN2">
        <v>1988</v>
      </c>
      <c r="AO2">
        <v>1989</v>
      </c>
      <c r="AP2">
        <v>1990</v>
      </c>
      <c r="AQ2">
        <v>1991</v>
      </c>
      <c r="AR2">
        <v>1992</v>
      </c>
      <c r="AS2">
        <v>1993</v>
      </c>
      <c r="AT2">
        <v>1994</v>
      </c>
      <c r="AU2">
        <v>1995</v>
      </c>
      <c r="AV2">
        <v>1996</v>
      </c>
      <c r="AW2">
        <v>1997</v>
      </c>
      <c r="AX2">
        <v>1998</v>
      </c>
      <c r="AY2">
        <v>1999</v>
      </c>
      <c r="AZ2">
        <v>2000</v>
      </c>
      <c r="BA2">
        <v>2001</v>
      </c>
      <c r="BB2">
        <v>2002</v>
      </c>
      <c r="BC2">
        <v>2003</v>
      </c>
      <c r="BD2">
        <v>2004</v>
      </c>
      <c r="BE2">
        <v>2005</v>
      </c>
      <c r="BF2">
        <v>2006</v>
      </c>
      <c r="BG2">
        <v>2007</v>
      </c>
      <c r="BH2">
        <v>2008</v>
      </c>
      <c r="BI2">
        <v>2009</v>
      </c>
      <c r="BJ2">
        <v>2010</v>
      </c>
      <c r="BK2">
        <v>2011</v>
      </c>
      <c r="BL2">
        <v>2012</v>
      </c>
      <c r="BM2">
        <v>2013</v>
      </c>
      <c r="BN2">
        <v>2014</v>
      </c>
      <c r="BO2">
        <v>2015</v>
      </c>
      <c r="BP2">
        <v>2016</v>
      </c>
      <c r="BQ2">
        <v>2017</v>
      </c>
      <c r="BR2">
        <v>2018</v>
      </c>
      <c r="BS2">
        <v>2019</v>
      </c>
      <c r="BT2">
        <v>2020</v>
      </c>
      <c r="BU2">
        <v>2021</v>
      </c>
      <c r="BV2">
        <v>2022</v>
      </c>
      <c r="BW2">
        <v>2023</v>
      </c>
      <c r="BX2">
        <v>2024</v>
      </c>
      <c r="BY2">
        <v>2025</v>
      </c>
      <c r="BZ2">
        <v>2026</v>
      </c>
      <c r="CA2">
        <v>2027</v>
      </c>
      <c r="CB2">
        <v>2028</v>
      </c>
      <c r="CC2">
        <v>2029</v>
      </c>
      <c r="CD2">
        <v>2030</v>
      </c>
      <c r="CE2">
        <v>2031</v>
      </c>
      <c r="CF2">
        <v>2032</v>
      </c>
      <c r="CG2">
        <v>2033</v>
      </c>
      <c r="CH2">
        <v>2034</v>
      </c>
      <c r="CI2">
        <v>2035</v>
      </c>
      <c r="CJ2">
        <v>2036</v>
      </c>
      <c r="CK2">
        <v>2037</v>
      </c>
      <c r="CL2">
        <v>2038</v>
      </c>
      <c r="CM2">
        <v>2039</v>
      </c>
      <c r="CN2">
        <v>2040</v>
      </c>
      <c r="CO2">
        <v>2041</v>
      </c>
      <c r="CP2">
        <v>2042</v>
      </c>
      <c r="CQ2">
        <v>2043</v>
      </c>
      <c r="CR2">
        <v>2044</v>
      </c>
      <c r="CS2">
        <v>2045</v>
      </c>
      <c r="CT2">
        <v>2046</v>
      </c>
      <c r="CU2">
        <v>2047</v>
      </c>
      <c r="CV2">
        <v>2048</v>
      </c>
      <c r="CW2">
        <v>2049</v>
      </c>
      <c r="CX2">
        <v>2050</v>
      </c>
      <c r="CY2">
        <v>2051</v>
      </c>
      <c r="CZ2">
        <v>2052</v>
      </c>
      <c r="DA2">
        <v>2053</v>
      </c>
      <c r="DB2">
        <v>2054</v>
      </c>
      <c r="DC2">
        <v>2055</v>
      </c>
      <c r="DD2">
        <v>2056</v>
      </c>
      <c r="DE2">
        <v>2057</v>
      </c>
      <c r="DF2">
        <v>2058</v>
      </c>
      <c r="DG2">
        <v>2059</v>
      </c>
      <c r="DH2">
        <v>2060</v>
      </c>
      <c r="DI2">
        <v>2061</v>
      </c>
      <c r="DJ2">
        <v>2062</v>
      </c>
      <c r="DK2">
        <v>2063</v>
      </c>
      <c r="DL2">
        <v>2064</v>
      </c>
      <c r="DM2">
        <v>2065</v>
      </c>
      <c r="DN2">
        <v>2066</v>
      </c>
      <c r="DO2">
        <v>2067</v>
      </c>
      <c r="DP2">
        <v>2068</v>
      </c>
      <c r="DQ2">
        <v>2069</v>
      </c>
      <c r="DR2">
        <v>2070</v>
      </c>
      <c r="DS2">
        <v>2071</v>
      </c>
      <c r="DT2">
        <v>2072</v>
      </c>
      <c r="DU2">
        <v>2073</v>
      </c>
      <c r="DV2">
        <v>2074</v>
      </c>
      <c r="DW2">
        <v>2075</v>
      </c>
      <c r="DX2">
        <v>2076</v>
      </c>
      <c r="DY2">
        <v>2077</v>
      </c>
      <c r="DZ2">
        <v>2078</v>
      </c>
      <c r="EA2">
        <v>2079</v>
      </c>
      <c r="EB2">
        <v>2080</v>
      </c>
      <c r="EC2">
        <v>2081</v>
      </c>
      <c r="ED2">
        <v>2082</v>
      </c>
      <c r="EE2">
        <v>2083</v>
      </c>
      <c r="EF2">
        <v>2084</v>
      </c>
      <c r="EG2">
        <v>2085</v>
      </c>
      <c r="EH2">
        <v>2086</v>
      </c>
      <c r="EI2">
        <v>2087</v>
      </c>
      <c r="EJ2">
        <v>2088</v>
      </c>
      <c r="EK2">
        <v>2089</v>
      </c>
      <c r="EL2">
        <v>2090</v>
      </c>
      <c r="EM2">
        <v>2091</v>
      </c>
      <c r="EN2">
        <v>2092</v>
      </c>
      <c r="EO2">
        <v>2093</v>
      </c>
      <c r="EP2">
        <v>2094</v>
      </c>
      <c r="EQ2">
        <v>2095</v>
      </c>
      <c r="ER2">
        <v>2096</v>
      </c>
      <c r="ES2">
        <v>2097</v>
      </c>
      <c r="ET2">
        <v>2098</v>
      </c>
      <c r="EU2">
        <v>2099</v>
      </c>
      <c r="EV2">
        <v>2100</v>
      </c>
    </row>
    <row r="3" spans="1:152" x14ac:dyDescent="0.3">
      <c r="A3" t="s">
        <v>23</v>
      </c>
      <c r="B3" t="s">
        <v>24</v>
      </c>
      <c r="C3" t="s">
        <v>24</v>
      </c>
      <c r="D3" t="s">
        <v>24</v>
      </c>
      <c r="E3" t="s">
        <v>24</v>
      </c>
      <c r="F3" t="s">
        <v>24</v>
      </c>
      <c r="G3" t="s">
        <v>24</v>
      </c>
      <c r="H3" t="s">
        <v>24</v>
      </c>
      <c r="I3" t="s">
        <v>24</v>
      </c>
      <c r="J3" t="s">
        <v>24</v>
      </c>
      <c r="K3" t="s">
        <v>24</v>
      </c>
      <c r="L3" t="s">
        <v>24</v>
      </c>
      <c r="M3" t="s">
        <v>24</v>
      </c>
      <c r="N3" t="s">
        <v>24</v>
      </c>
      <c r="O3" t="s">
        <v>24</v>
      </c>
      <c r="P3" t="s">
        <v>24</v>
      </c>
      <c r="Q3" t="s">
        <v>24</v>
      </c>
      <c r="R3" t="s">
        <v>24</v>
      </c>
      <c r="S3" t="s">
        <v>24</v>
      </c>
      <c r="T3" t="s">
        <v>24</v>
      </c>
      <c r="U3" t="s">
        <v>24</v>
      </c>
      <c r="V3" t="s">
        <v>24</v>
      </c>
      <c r="W3" t="s">
        <v>24</v>
      </c>
      <c r="X3" t="s">
        <v>24</v>
      </c>
      <c r="Y3" t="s">
        <v>24</v>
      </c>
      <c r="Z3" t="s">
        <v>24</v>
      </c>
      <c r="AA3" t="s">
        <v>24</v>
      </c>
      <c r="AB3" t="s">
        <v>24</v>
      </c>
      <c r="AC3" t="s">
        <v>24</v>
      </c>
      <c r="AD3" t="s">
        <v>24</v>
      </c>
      <c r="AE3" t="s">
        <v>24</v>
      </c>
      <c r="AF3" t="s">
        <v>24</v>
      </c>
      <c r="AG3" t="s">
        <v>24</v>
      </c>
      <c r="AH3" t="s">
        <v>24</v>
      </c>
      <c r="AI3" t="s">
        <v>24</v>
      </c>
      <c r="AJ3" t="s">
        <v>24</v>
      </c>
      <c r="AK3" t="s">
        <v>24</v>
      </c>
      <c r="AL3" t="s">
        <v>24</v>
      </c>
      <c r="AM3" t="s">
        <v>24</v>
      </c>
      <c r="AN3" t="s">
        <v>24</v>
      </c>
      <c r="AO3" t="s">
        <v>24</v>
      </c>
      <c r="AP3" t="s">
        <v>24</v>
      </c>
      <c r="AQ3" t="s">
        <v>24</v>
      </c>
      <c r="AR3" t="s">
        <v>24</v>
      </c>
      <c r="AS3" t="s">
        <v>24</v>
      </c>
      <c r="AT3" t="s">
        <v>24</v>
      </c>
      <c r="AU3" t="s">
        <v>24</v>
      </c>
      <c r="AV3" t="s">
        <v>24</v>
      </c>
      <c r="AW3" t="s">
        <v>24</v>
      </c>
      <c r="AX3" t="s">
        <v>24</v>
      </c>
      <c r="AY3" t="s">
        <v>24</v>
      </c>
      <c r="AZ3" t="s">
        <v>24</v>
      </c>
      <c r="BA3" t="s">
        <v>24</v>
      </c>
      <c r="BB3" t="s">
        <v>24</v>
      </c>
      <c r="BC3" t="s">
        <v>24</v>
      </c>
      <c r="BD3" t="s">
        <v>24</v>
      </c>
      <c r="BE3" t="s">
        <v>24</v>
      </c>
      <c r="BF3" t="s">
        <v>24</v>
      </c>
      <c r="BG3" t="s">
        <v>24</v>
      </c>
      <c r="BH3" t="s">
        <v>24</v>
      </c>
      <c r="BI3" t="s">
        <v>24</v>
      </c>
      <c r="BJ3" t="s">
        <v>24</v>
      </c>
      <c r="BK3" t="s">
        <v>24</v>
      </c>
      <c r="BL3" t="s">
        <v>24</v>
      </c>
      <c r="BM3" t="s">
        <v>24</v>
      </c>
      <c r="BN3" t="s">
        <v>24</v>
      </c>
      <c r="BO3" t="s">
        <v>24</v>
      </c>
      <c r="BP3" t="s">
        <v>24</v>
      </c>
      <c r="BQ3" t="s">
        <v>24</v>
      </c>
      <c r="BR3" t="s">
        <v>24</v>
      </c>
      <c r="BS3" t="s">
        <v>24</v>
      </c>
      <c r="BT3" t="s">
        <v>24</v>
      </c>
      <c r="BU3" t="s">
        <v>24</v>
      </c>
      <c r="BV3" t="s">
        <v>24</v>
      </c>
      <c r="BW3" t="s">
        <v>24</v>
      </c>
      <c r="BX3" t="s">
        <v>24</v>
      </c>
      <c r="BY3" t="s">
        <v>24</v>
      </c>
      <c r="BZ3" t="s">
        <v>24</v>
      </c>
      <c r="CA3" t="s">
        <v>24</v>
      </c>
      <c r="CB3" t="s">
        <v>24</v>
      </c>
      <c r="CC3" t="s">
        <v>24</v>
      </c>
      <c r="CD3" t="s">
        <v>24</v>
      </c>
      <c r="CE3" t="s">
        <v>24</v>
      </c>
      <c r="CF3" t="s">
        <v>24</v>
      </c>
      <c r="CG3" t="s">
        <v>24</v>
      </c>
      <c r="CH3" t="s">
        <v>24</v>
      </c>
      <c r="CI3" t="s">
        <v>24</v>
      </c>
      <c r="CJ3" t="s">
        <v>24</v>
      </c>
      <c r="CK3" t="s">
        <v>24</v>
      </c>
      <c r="CL3" t="s">
        <v>24</v>
      </c>
      <c r="CM3" t="s">
        <v>24</v>
      </c>
      <c r="CN3" t="s">
        <v>24</v>
      </c>
      <c r="CO3" t="s">
        <v>24</v>
      </c>
      <c r="CP3" t="s">
        <v>24</v>
      </c>
      <c r="CQ3" t="s">
        <v>24</v>
      </c>
      <c r="CR3" t="s">
        <v>24</v>
      </c>
      <c r="CS3" t="s">
        <v>24</v>
      </c>
      <c r="CT3" t="s">
        <v>24</v>
      </c>
      <c r="CU3" t="s">
        <v>24</v>
      </c>
      <c r="CV3" t="s">
        <v>24</v>
      </c>
      <c r="CW3" t="s">
        <v>24</v>
      </c>
      <c r="CX3" t="s">
        <v>24</v>
      </c>
      <c r="CY3" t="s">
        <v>24</v>
      </c>
      <c r="CZ3" t="s">
        <v>24</v>
      </c>
      <c r="DA3" t="s">
        <v>24</v>
      </c>
      <c r="DB3" t="s">
        <v>24</v>
      </c>
      <c r="DC3" t="s">
        <v>24</v>
      </c>
      <c r="DD3" t="s">
        <v>24</v>
      </c>
      <c r="DE3" t="s">
        <v>24</v>
      </c>
      <c r="DF3" t="s">
        <v>24</v>
      </c>
      <c r="DG3" t="s">
        <v>24</v>
      </c>
      <c r="DH3" t="s">
        <v>24</v>
      </c>
      <c r="DI3" t="s">
        <v>24</v>
      </c>
      <c r="DJ3" t="s">
        <v>24</v>
      </c>
      <c r="DK3" t="s">
        <v>24</v>
      </c>
      <c r="DL3" t="s">
        <v>24</v>
      </c>
      <c r="DM3" t="s">
        <v>24</v>
      </c>
      <c r="DN3" t="s">
        <v>24</v>
      </c>
      <c r="DO3" t="s">
        <v>24</v>
      </c>
      <c r="DP3" t="s">
        <v>24</v>
      </c>
      <c r="DQ3" t="s">
        <v>24</v>
      </c>
      <c r="DR3" t="s">
        <v>24</v>
      </c>
      <c r="DS3" t="s">
        <v>24</v>
      </c>
      <c r="DT3" t="s">
        <v>24</v>
      </c>
      <c r="DU3" t="s">
        <v>24</v>
      </c>
      <c r="DV3" t="s">
        <v>24</v>
      </c>
      <c r="DW3" t="s">
        <v>24</v>
      </c>
      <c r="DX3" t="s">
        <v>24</v>
      </c>
      <c r="DY3" t="s">
        <v>24</v>
      </c>
      <c r="DZ3" t="s">
        <v>24</v>
      </c>
      <c r="EA3" t="s">
        <v>24</v>
      </c>
      <c r="EB3" t="s">
        <v>24</v>
      </c>
      <c r="EC3" t="s">
        <v>24</v>
      </c>
      <c r="ED3" t="s">
        <v>24</v>
      </c>
      <c r="EE3" t="s">
        <v>24</v>
      </c>
      <c r="EF3" t="s">
        <v>24</v>
      </c>
      <c r="EG3" t="s">
        <v>24</v>
      </c>
      <c r="EH3" t="s">
        <v>24</v>
      </c>
      <c r="EI3" t="s">
        <v>24</v>
      </c>
      <c r="EJ3" t="s">
        <v>24</v>
      </c>
      <c r="EK3" t="s">
        <v>24</v>
      </c>
      <c r="EL3" t="s">
        <v>24</v>
      </c>
      <c r="EM3" t="s">
        <v>24</v>
      </c>
      <c r="EN3" t="s">
        <v>24</v>
      </c>
      <c r="EO3" t="s">
        <v>24</v>
      </c>
      <c r="EP3" t="s">
        <v>24</v>
      </c>
      <c r="EQ3" t="s">
        <v>24</v>
      </c>
      <c r="ER3" t="s">
        <v>24</v>
      </c>
      <c r="ES3" t="s">
        <v>24</v>
      </c>
      <c r="ET3" t="s">
        <v>24</v>
      </c>
      <c r="EU3" t="s">
        <v>24</v>
      </c>
      <c r="EV3" t="s">
        <v>24</v>
      </c>
    </row>
    <row r="4" spans="1:152" x14ac:dyDescent="0.3">
      <c r="A4" t="s">
        <v>100</v>
      </c>
      <c r="B4">
        <v>2.5840000000000001</v>
      </c>
      <c r="C4">
        <v>2.657</v>
      </c>
      <c r="D4">
        <v>2.706</v>
      </c>
      <c r="E4">
        <v>2.78</v>
      </c>
      <c r="F4">
        <v>2.85</v>
      </c>
      <c r="G4">
        <v>2.903</v>
      </c>
      <c r="H4">
        <v>2.9340000000000002</v>
      </c>
      <c r="I4">
        <v>2.9609999999999999</v>
      </c>
      <c r="J4">
        <v>2.9820000000000002</v>
      </c>
      <c r="K4">
        <v>3.0129999999999999</v>
      </c>
      <c r="L4">
        <v>3.0539999999999998</v>
      </c>
      <c r="M4">
        <v>3.1930000000000001</v>
      </c>
      <c r="N4">
        <v>3.242</v>
      </c>
      <c r="O4">
        <v>3.2690000000000001</v>
      </c>
      <c r="P4">
        <v>3.2909999999999999</v>
      </c>
      <c r="Q4">
        <v>3.3130000000000002</v>
      </c>
      <c r="R4">
        <v>3.3149999999999999</v>
      </c>
      <c r="S4">
        <v>3.2989999999999999</v>
      </c>
      <c r="T4">
        <v>3.2639999999999998</v>
      </c>
      <c r="U4">
        <v>3.198</v>
      </c>
      <c r="V4">
        <v>3.1280000000000001</v>
      </c>
      <c r="W4">
        <v>3.0640000000000001</v>
      </c>
      <c r="X4">
        <v>3.016</v>
      </c>
      <c r="Y4">
        <v>2.9550000000000001</v>
      </c>
      <c r="Z4">
        <v>2.8980000000000001</v>
      </c>
      <c r="AA4">
        <v>2.8210000000000002</v>
      </c>
      <c r="AB4">
        <v>2.742</v>
      </c>
      <c r="AC4">
        <v>2.67</v>
      </c>
      <c r="AD4">
        <v>2.6219999999999999</v>
      </c>
      <c r="AE4">
        <v>2.532</v>
      </c>
      <c r="AF4">
        <v>2.4380000000000002</v>
      </c>
      <c r="AG4">
        <v>2.2389999999999999</v>
      </c>
      <c r="AH4">
        <v>2.1859999999999999</v>
      </c>
      <c r="AI4">
        <v>2.1349999999999998</v>
      </c>
      <c r="AJ4">
        <v>2.0880000000000001</v>
      </c>
      <c r="AK4">
        <v>2.0499999999999998</v>
      </c>
      <c r="AL4">
        <v>2.0190000000000001</v>
      </c>
      <c r="AM4">
        <v>1.9910000000000001</v>
      </c>
      <c r="AN4">
        <v>1.96</v>
      </c>
      <c r="AO4">
        <v>1.897</v>
      </c>
      <c r="AP4">
        <v>1.9379999999999999</v>
      </c>
      <c r="AQ4">
        <v>1.9139999999999999</v>
      </c>
      <c r="AR4">
        <v>1.8740000000000001</v>
      </c>
      <c r="AS4">
        <v>1.8320000000000001</v>
      </c>
      <c r="AT4">
        <v>1.798</v>
      </c>
      <c r="AU4">
        <v>1.762</v>
      </c>
      <c r="AV4">
        <v>1.708</v>
      </c>
      <c r="AW4">
        <v>1.657</v>
      </c>
      <c r="AX4">
        <v>1.6220000000000001</v>
      </c>
      <c r="AY4">
        <v>1.5760000000000001</v>
      </c>
      <c r="AZ4">
        <v>1.51</v>
      </c>
      <c r="BA4">
        <v>1.4570000000000001</v>
      </c>
      <c r="BB4">
        <v>1.419</v>
      </c>
      <c r="BC4">
        <v>1.3779999999999999</v>
      </c>
      <c r="BD4">
        <v>1.353</v>
      </c>
      <c r="BE4">
        <v>1.3440000000000001</v>
      </c>
      <c r="BF4">
        <v>1.363</v>
      </c>
      <c r="BG4">
        <v>1.452</v>
      </c>
      <c r="BH4">
        <v>1.468</v>
      </c>
      <c r="BI4">
        <v>1.456</v>
      </c>
      <c r="BJ4">
        <v>1.4239999999999999</v>
      </c>
      <c r="BK4">
        <v>1.407</v>
      </c>
      <c r="BL4">
        <v>1.3080000000000001</v>
      </c>
      <c r="BM4">
        <v>1.2869999999999999</v>
      </c>
      <c r="BN4">
        <v>1.1339999999999999</v>
      </c>
      <c r="BO4">
        <v>1.0049999999999999</v>
      </c>
      <c r="BP4">
        <v>0.93300000000000005</v>
      </c>
      <c r="BQ4">
        <v>0.93700000000000006</v>
      </c>
      <c r="BR4">
        <v>0.95599999999999996</v>
      </c>
      <c r="BS4">
        <v>0.94499999999999995</v>
      </c>
      <c r="BT4">
        <v>0.69699999999999995</v>
      </c>
      <c r="BU4">
        <v>0.63800000000000001</v>
      </c>
      <c r="BV4">
        <v>0.86799999999999999</v>
      </c>
      <c r="BW4">
        <v>0.877</v>
      </c>
      <c r="BX4">
        <v>0.84499999999999997</v>
      </c>
      <c r="BY4">
        <v>0.80800000000000005</v>
      </c>
      <c r="BZ4">
        <v>0.77800000000000002</v>
      </c>
      <c r="CA4">
        <v>0.75</v>
      </c>
      <c r="CB4">
        <v>0.72399999999999998</v>
      </c>
      <c r="CC4">
        <v>0.69699999999999995</v>
      </c>
      <c r="CD4">
        <v>0.67200000000000004</v>
      </c>
      <c r="CE4">
        <v>0.64800000000000002</v>
      </c>
      <c r="CF4">
        <v>0.624</v>
      </c>
      <c r="CG4">
        <v>0.60099999999999998</v>
      </c>
      <c r="CH4">
        <v>0.57099999999999995</v>
      </c>
      <c r="CI4">
        <v>0.55000000000000004</v>
      </c>
      <c r="CJ4">
        <v>0.52200000000000002</v>
      </c>
      <c r="CK4">
        <v>0.502</v>
      </c>
      <c r="CL4">
        <v>0.47499999999999998</v>
      </c>
      <c r="CM4">
        <v>0.44600000000000001</v>
      </c>
      <c r="CN4">
        <v>0.42099999999999999</v>
      </c>
      <c r="CO4">
        <v>0.39800000000000002</v>
      </c>
      <c r="CP4">
        <v>0.372</v>
      </c>
      <c r="CQ4">
        <v>0.34399999999999997</v>
      </c>
      <c r="CR4">
        <v>0.32200000000000001</v>
      </c>
      <c r="CS4">
        <v>0.29399999999999998</v>
      </c>
      <c r="CT4">
        <v>0.26800000000000002</v>
      </c>
      <c r="CU4">
        <v>0.24099999999999999</v>
      </c>
      <c r="CV4">
        <v>0.221</v>
      </c>
      <c r="CW4">
        <v>0.191</v>
      </c>
      <c r="CX4">
        <v>0.17</v>
      </c>
      <c r="CY4">
        <v>0.14599999999999999</v>
      </c>
      <c r="CZ4">
        <v>0.124</v>
      </c>
      <c r="DA4">
        <v>0.10199999999999999</v>
      </c>
      <c r="DB4">
        <v>8.1000000000000003E-2</v>
      </c>
      <c r="DC4">
        <v>0.06</v>
      </c>
      <c r="DD4">
        <v>0.04</v>
      </c>
      <c r="DE4">
        <v>2.1999999999999999E-2</v>
      </c>
      <c r="DF4">
        <v>5.0000000000000001E-3</v>
      </c>
      <c r="DG4">
        <v>-1.4E-2</v>
      </c>
      <c r="DH4">
        <v>-3.5000000000000003E-2</v>
      </c>
      <c r="DI4">
        <v>-5.1999999999999998E-2</v>
      </c>
      <c r="DJ4">
        <v>-6.9000000000000006E-2</v>
      </c>
      <c r="DK4">
        <v>-8.7999999999999995E-2</v>
      </c>
      <c r="DL4">
        <v>-0.106</v>
      </c>
      <c r="DM4">
        <v>-0.125</v>
      </c>
      <c r="DN4">
        <v>-0.14099999999999999</v>
      </c>
      <c r="DO4">
        <v>-0.157</v>
      </c>
      <c r="DP4">
        <v>-0.17499999999999999</v>
      </c>
      <c r="DQ4">
        <v>-0.192</v>
      </c>
      <c r="DR4">
        <v>-0.21099999999999999</v>
      </c>
      <c r="DS4">
        <v>-0.224</v>
      </c>
      <c r="DT4">
        <v>-0.24299999999999999</v>
      </c>
      <c r="DU4">
        <v>-0.26100000000000001</v>
      </c>
      <c r="DV4">
        <v>-0.27800000000000002</v>
      </c>
      <c r="DW4">
        <v>-0.29299999999999998</v>
      </c>
      <c r="DX4">
        <v>-0.308</v>
      </c>
      <c r="DY4">
        <v>-0.32500000000000001</v>
      </c>
      <c r="DZ4">
        <v>-0.34100000000000003</v>
      </c>
      <c r="EA4">
        <v>-0.35699999999999998</v>
      </c>
      <c r="EB4">
        <v>-0.373</v>
      </c>
      <c r="EC4">
        <v>-0.38900000000000001</v>
      </c>
      <c r="ED4">
        <v>-0.39800000000000002</v>
      </c>
      <c r="EE4">
        <v>-0.41599999999999998</v>
      </c>
      <c r="EF4">
        <v>-0.43</v>
      </c>
      <c r="EG4">
        <v>-0.44600000000000001</v>
      </c>
      <c r="EH4">
        <v>-0.45700000000000002</v>
      </c>
      <c r="EI4">
        <v>-0.46800000000000003</v>
      </c>
      <c r="EJ4">
        <v>-0.47699999999999998</v>
      </c>
      <c r="EK4">
        <v>-0.49099999999999999</v>
      </c>
      <c r="EL4">
        <v>-0.502</v>
      </c>
      <c r="EM4">
        <v>-0.51400000000000001</v>
      </c>
      <c r="EN4">
        <v>-0.52100000000000002</v>
      </c>
      <c r="EO4">
        <v>-0.53500000000000003</v>
      </c>
      <c r="EP4">
        <v>-0.54500000000000004</v>
      </c>
      <c r="EQ4">
        <v>-0.55400000000000005</v>
      </c>
      <c r="ER4">
        <v>-0.56000000000000005</v>
      </c>
      <c r="ES4">
        <v>-0.56699999999999995</v>
      </c>
      <c r="ET4">
        <v>-0.57199999999999995</v>
      </c>
      <c r="EU4">
        <v>-0.57799999999999996</v>
      </c>
      <c r="EV4">
        <v>-0.58299999999999996</v>
      </c>
    </row>
    <row r="5" spans="1:152" x14ac:dyDescent="0.3">
      <c r="A5" t="s">
        <v>101</v>
      </c>
      <c r="B5">
        <f>B4/100</f>
        <v>2.5840000000000002E-2</v>
      </c>
      <c r="C5">
        <f t="shared" ref="C5:BN5" si="0">C4/100</f>
        <v>2.657E-2</v>
      </c>
      <c r="D5">
        <f t="shared" si="0"/>
        <v>2.7060000000000001E-2</v>
      </c>
      <c r="E5">
        <f t="shared" si="0"/>
        <v>2.7799999999999998E-2</v>
      </c>
      <c r="F5">
        <f t="shared" si="0"/>
        <v>2.8500000000000001E-2</v>
      </c>
      <c r="G5">
        <f t="shared" si="0"/>
        <v>2.903E-2</v>
      </c>
      <c r="H5">
        <f t="shared" si="0"/>
        <v>2.9340000000000001E-2</v>
      </c>
      <c r="I5">
        <f t="shared" si="0"/>
        <v>2.9609999999999997E-2</v>
      </c>
      <c r="J5">
        <f t="shared" si="0"/>
        <v>2.9820000000000003E-2</v>
      </c>
      <c r="K5">
        <f t="shared" si="0"/>
        <v>3.0130000000000001E-2</v>
      </c>
      <c r="L5">
        <f t="shared" si="0"/>
        <v>3.0539999999999998E-2</v>
      </c>
      <c r="M5">
        <f t="shared" si="0"/>
        <v>3.193E-2</v>
      </c>
      <c r="N5">
        <f t="shared" si="0"/>
        <v>3.2419999999999997E-2</v>
      </c>
      <c r="O5">
        <f t="shared" si="0"/>
        <v>3.2690000000000004E-2</v>
      </c>
      <c r="P5">
        <f t="shared" si="0"/>
        <v>3.2910000000000002E-2</v>
      </c>
      <c r="Q5">
        <f t="shared" si="0"/>
        <v>3.313E-2</v>
      </c>
      <c r="R5">
        <f t="shared" si="0"/>
        <v>3.3149999999999999E-2</v>
      </c>
      <c r="S5">
        <f t="shared" si="0"/>
        <v>3.2989999999999998E-2</v>
      </c>
      <c r="T5">
        <f t="shared" si="0"/>
        <v>3.2639999999999995E-2</v>
      </c>
      <c r="U5">
        <f t="shared" si="0"/>
        <v>3.1980000000000001E-2</v>
      </c>
      <c r="V5">
        <f t="shared" si="0"/>
        <v>3.1280000000000002E-2</v>
      </c>
      <c r="W5">
        <f t="shared" si="0"/>
        <v>3.0640000000000001E-2</v>
      </c>
      <c r="X5">
        <f t="shared" si="0"/>
        <v>3.0159999999999999E-2</v>
      </c>
      <c r="Y5">
        <f t="shared" si="0"/>
        <v>2.955E-2</v>
      </c>
      <c r="Z5">
        <f t="shared" si="0"/>
        <v>2.8980000000000002E-2</v>
      </c>
      <c r="AA5">
        <f t="shared" si="0"/>
        <v>2.8210000000000002E-2</v>
      </c>
      <c r="AB5">
        <f t="shared" si="0"/>
        <v>2.742E-2</v>
      </c>
      <c r="AC5">
        <f t="shared" si="0"/>
        <v>2.6699999999999998E-2</v>
      </c>
      <c r="AD5">
        <f t="shared" si="0"/>
        <v>2.622E-2</v>
      </c>
      <c r="AE5">
        <f t="shared" si="0"/>
        <v>2.5319999999999999E-2</v>
      </c>
      <c r="AF5">
        <f t="shared" si="0"/>
        <v>2.4380000000000002E-2</v>
      </c>
      <c r="AG5">
        <f t="shared" si="0"/>
        <v>2.239E-2</v>
      </c>
      <c r="AH5">
        <f t="shared" si="0"/>
        <v>2.1860000000000001E-2</v>
      </c>
      <c r="AI5">
        <f t="shared" si="0"/>
        <v>2.1349999999999997E-2</v>
      </c>
      <c r="AJ5">
        <f t="shared" si="0"/>
        <v>2.0879999999999999E-2</v>
      </c>
      <c r="AK5">
        <f t="shared" si="0"/>
        <v>2.0499999999999997E-2</v>
      </c>
      <c r="AL5">
        <f t="shared" si="0"/>
        <v>2.019E-2</v>
      </c>
      <c r="AM5">
        <f t="shared" si="0"/>
        <v>1.9910000000000001E-2</v>
      </c>
      <c r="AN5">
        <f t="shared" si="0"/>
        <v>1.9599999999999999E-2</v>
      </c>
      <c r="AO5">
        <f t="shared" si="0"/>
        <v>1.8970000000000001E-2</v>
      </c>
      <c r="AP5">
        <f t="shared" si="0"/>
        <v>1.9379999999999998E-2</v>
      </c>
      <c r="AQ5">
        <f t="shared" si="0"/>
        <v>1.9140000000000001E-2</v>
      </c>
      <c r="AR5">
        <f t="shared" si="0"/>
        <v>1.874E-2</v>
      </c>
      <c r="AS5">
        <f t="shared" si="0"/>
        <v>1.8319999999999999E-2</v>
      </c>
      <c r="AT5">
        <f t="shared" si="0"/>
        <v>1.7979999999999999E-2</v>
      </c>
      <c r="AU5">
        <f t="shared" si="0"/>
        <v>1.762E-2</v>
      </c>
      <c r="AV5">
        <f t="shared" si="0"/>
        <v>1.7079999999999998E-2</v>
      </c>
      <c r="AW5">
        <f t="shared" si="0"/>
        <v>1.6570000000000001E-2</v>
      </c>
      <c r="AX5">
        <f t="shared" si="0"/>
        <v>1.6220000000000002E-2</v>
      </c>
      <c r="AY5">
        <f t="shared" si="0"/>
        <v>1.576E-2</v>
      </c>
      <c r="AZ5">
        <f t="shared" si="0"/>
        <v>1.5100000000000001E-2</v>
      </c>
      <c r="BA5">
        <f t="shared" si="0"/>
        <v>1.4570000000000001E-2</v>
      </c>
      <c r="BB5">
        <f t="shared" si="0"/>
        <v>1.4190000000000001E-2</v>
      </c>
      <c r="BC5">
        <f t="shared" si="0"/>
        <v>1.3779999999999999E-2</v>
      </c>
      <c r="BD5">
        <f t="shared" si="0"/>
        <v>1.353E-2</v>
      </c>
      <c r="BE5">
        <f t="shared" si="0"/>
        <v>1.3440000000000001E-2</v>
      </c>
      <c r="BF5">
        <f t="shared" si="0"/>
        <v>1.363E-2</v>
      </c>
      <c r="BG5">
        <f t="shared" si="0"/>
        <v>1.452E-2</v>
      </c>
      <c r="BH5">
        <f t="shared" si="0"/>
        <v>1.468E-2</v>
      </c>
      <c r="BI5">
        <f t="shared" si="0"/>
        <v>1.456E-2</v>
      </c>
      <c r="BJ5">
        <f t="shared" si="0"/>
        <v>1.4239999999999999E-2</v>
      </c>
      <c r="BK5">
        <f t="shared" si="0"/>
        <v>1.4070000000000001E-2</v>
      </c>
      <c r="BL5">
        <f t="shared" si="0"/>
        <v>1.3080000000000001E-2</v>
      </c>
      <c r="BM5">
        <f t="shared" si="0"/>
        <v>1.2869999999999999E-2</v>
      </c>
      <c r="BN5">
        <f t="shared" si="0"/>
        <v>1.1339999999999999E-2</v>
      </c>
      <c r="BO5">
        <f t="shared" ref="BO5:DZ5" si="1">BO4/100</f>
        <v>1.0049999999999998E-2</v>
      </c>
      <c r="BP5">
        <f t="shared" si="1"/>
        <v>9.3299999999999998E-3</v>
      </c>
      <c r="BQ5">
        <f t="shared" si="1"/>
        <v>9.3699999999999999E-3</v>
      </c>
      <c r="BR5">
        <f t="shared" si="1"/>
        <v>9.5599999999999991E-3</v>
      </c>
      <c r="BS5">
        <f t="shared" si="1"/>
        <v>9.4500000000000001E-3</v>
      </c>
      <c r="BT5">
        <f t="shared" si="1"/>
        <v>6.9699999999999996E-3</v>
      </c>
      <c r="BU5">
        <f t="shared" si="1"/>
        <v>6.3800000000000003E-3</v>
      </c>
      <c r="BV5">
        <f t="shared" si="1"/>
        <v>8.6800000000000002E-3</v>
      </c>
      <c r="BW5">
        <f t="shared" si="1"/>
        <v>8.77E-3</v>
      </c>
      <c r="BX5">
        <f t="shared" si="1"/>
        <v>8.4499999999999992E-3</v>
      </c>
      <c r="BY5">
        <f t="shared" si="1"/>
        <v>8.0800000000000004E-3</v>
      </c>
      <c r="BZ5">
        <f t="shared" si="1"/>
        <v>7.7800000000000005E-3</v>
      </c>
      <c r="CA5">
        <f t="shared" si="1"/>
        <v>7.4999999999999997E-3</v>
      </c>
      <c r="CB5">
        <f t="shared" si="1"/>
        <v>7.2399999999999999E-3</v>
      </c>
      <c r="CC5">
        <f t="shared" si="1"/>
        <v>6.9699999999999996E-3</v>
      </c>
      <c r="CD5">
        <f t="shared" si="1"/>
        <v>6.7200000000000003E-3</v>
      </c>
      <c r="CE5">
        <f t="shared" si="1"/>
        <v>6.4800000000000005E-3</v>
      </c>
      <c r="CF5">
        <f t="shared" si="1"/>
        <v>6.2399999999999999E-3</v>
      </c>
      <c r="CG5">
        <f t="shared" si="1"/>
        <v>6.0099999999999997E-3</v>
      </c>
      <c r="CH5">
        <f t="shared" si="1"/>
        <v>5.7099999999999998E-3</v>
      </c>
      <c r="CI5">
        <f t="shared" si="1"/>
        <v>5.5000000000000005E-3</v>
      </c>
      <c r="CJ5">
        <f t="shared" si="1"/>
        <v>5.2199999999999998E-3</v>
      </c>
      <c r="CK5">
        <f t="shared" si="1"/>
        <v>5.0200000000000002E-3</v>
      </c>
      <c r="CL5">
        <f t="shared" si="1"/>
        <v>4.7499999999999999E-3</v>
      </c>
      <c r="CM5">
        <f t="shared" si="1"/>
        <v>4.4600000000000004E-3</v>
      </c>
      <c r="CN5">
        <f t="shared" si="1"/>
        <v>4.2100000000000002E-3</v>
      </c>
      <c r="CO5">
        <f t="shared" si="1"/>
        <v>3.98E-3</v>
      </c>
      <c r="CP5">
        <f t="shared" si="1"/>
        <v>3.7199999999999998E-3</v>
      </c>
      <c r="CQ5">
        <f t="shared" si="1"/>
        <v>3.4399999999999999E-3</v>
      </c>
      <c r="CR5">
        <f t="shared" si="1"/>
        <v>3.2200000000000002E-3</v>
      </c>
      <c r="CS5">
        <f t="shared" si="1"/>
        <v>2.9399999999999999E-3</v>
      </c>
      <c r="CT5">
        <f t="shared" si="1"/>
        <v>2.6800000000000001E-3</v>
      </c>
      <c r="CU5">
        <f t="shared" si="1"/>
        <v>2.4099999999999998E-3</v>
      </c>
      <c r="CV5">
        <f t="shared" si="1"/>
        <v>2.2100000000000002E-3</v>
      </c>
      <c r="CW5">
        <f t="shared" si="1"/>
        <v>1.91E-3</v>
      </c>
      <c r="CX5">
        <f t="shared" si="1"/>
        <v>1.7000000000000001E-3</v>
      </c>
      <c r="CY5">
        <f t="shared" si="1"/>
        <v>1.4599999999999999E-3</v>
      </c>
      <c r="CZ5">
        <f t="shared" si="1"/>
        <v>1.24E-3</v>
      </c>
      <c r="DA5">
        <f t="shared" si="1"/>
        <v>1.0199999999999999E-3</v>
      </c>
      <c r="DB5">
        <f t="shared" si="1"/>
        <v>8.1000000000000006E-4</v>
      </c>
      <c r="DC5">
        <f t="shared" si="1"/>
        <v>5.9999999999999995E-4</v>
      </c>
      <c r="DD5">
        <f t="shared" si="1"/>
        <v>4.0000000000000002E-4</v>
      </c>
      <c r="DE5">
        <f t="shared" si="1"/>
        <v>2.1999999999999998E-4</v>
      </c>
      <c r="DF5">
        <f t="shared" si="1"/>
        <v>5.0000000000000002E-5</v>
      </c>
      <c r="DG5">
        <f t="shared" si="1"/>
        <v>-1.4000000000000001E-4</v>
      </c>
      <c r="DH5">
        <f t="shared" si="1"/>
        <v>-3.5000000000000005E-4</v>
      </c>
      <c r="DI5">
        <f t="shared" si="1"/>
        <v>-5.1999999999999995E-4</v>
      </c>
      <c r="DJ5">
        <f t="shared" si="1"/>
        <v>-6.9000000000000008E-4</v>
      </c>
      <c r="DK5">
        <f t="shared" si="1"/>
        <v>-8.7999999999999992E-4</v>
      </c>
      <c r="DL5">
        <f t="shared" si="1"/>
        <v>-1.06E-3</v>
      </c>
      <c r="DM5">
        <f t="shared" si="1"/>
        <v>-1.25E-3</v>
      </c>
      <c r="DN5">
        <f t="shared" si="1"/>
        <v>-1.4099999999999998E-3</v>
      </c>
      <c r="DO5">
        <f t="shared" si="1"/>
        <v>-1.57E-3</v>
      </c>
      <c r="DP5">
        <f t="shared" si="1"/>
        <v>-1.7499999999999998E-3</v>
      </c>
      <c r="DQ5">
        <f t="shared" si="1"/>
        <v>-1.92E-3</v>
      </c>
      <c r="DR5">
        <f t="shared" si="1"/>
        <v>-2.1099999999999999E-3</v>
      </c>
      <c r="DS5">
        <f t="shared" si="1"/>
        <v>-2.2400000000000002E-3</v>
      </c>
      <c r="DT5">
        <f t="shared" si="1"/>
        <v>-2.4299999999999999E-3</v>
      </c>
      <c r="DU5">
        <f t="shared" si="1"/>
        <v>-2.6099999999999999E-3</v>
      </c>
      <c r="DV5">
        <f t="shared" si="1"/>
        <v>-2.7800000000000004E-3</v>
      </c>
      <c r="DW5">
        <f t="shared" si="1"/>
        <v>-2.9299999999999999E-3</v>
      </c>
      <c r="DX5">
        <f t="shared" si="1"/>
        <v>-3.0799999999999998E-3</v>
      </c>
      <c r="DY5">
        <f t="shared" si="1"/>
        <v>-3.2500000000000003E-3</v>
      </c>
      <c r="DZ5">
        <f t="shared" si="1"/>
        <v>-3.4100000000000003E-3</v>
      </c>
      <c r="EA5">
        <f t="shared" ref="EA5:EV5" si="2">EA4/100</f>
        <v>-3.5699999999999998E-3</v>
      </c>
      <c r="EB5">
        <f t="shared" si="2"/>
        <v>-3.7299999999999998E-3</v>
      </c>
      <c r="EC5">
        <f t="shared" si="2"/>
        <v>-3.8900000000000002E-3</v>
      </c>
      <c r="ED5">
        <f t="shared" si="2"/>
        <v>-3.98E-3</v>
      </c>
      <c r="EE5">
        <f t="shared" si="2"/>
        <v>-4.1599999999999996E-3</v>
      </c>
      <c r="EF5">
        <f t="shared" si="2"/>
        <v>-4.3E-3</v>
      </c>
      <c r="EG5">
        <f t="shared" si="2"/>
        <v>-4.4600000000000004E-3</v>
      </c>
      <c r="EH5">
        <f t="shared" si="2"/>
        <v>-4.5700000000000003E-3</v>
      </c>
      <c r="EI5">
        <f t="shared" si="2"/>
        <v>-4.6800000000000001E-3</v>
      </c>
      <c r="EJ5">
        <f t="shared" si="2"/>
        <v>-4.7699999999999999E-3</v>
      </c>
      <c r="EK5">
        <f t="shared" si="2"/>
        <v>-4.9100000000000003E-3</v>
      </c>
      <c r="EL5">
        <f t="shared" si="2"/>
        <v>-5.0200000000000002E-3</v>
      </c>
      <c r="EM5">
        <f t="shared" si="2"/>
        <v>-5.1400000000000005E-3</v>
      </c>
      <c r="EN5">
        <f t="shared" si="2"/>
        <v>-5.2100000000000002E-3</v>
      </c>
      <c r="EO5">
        <f t="shared" si="2"/>
        <v>-5.3500000000000006E-3</v>
      </c>
      <c r="EP5">
        <f t="shared" si="2"/>
        <v>-5.45E-3</v>
      </c>
      <c r="EQ5">
        <f t="shared" si="2"/>
        <v>-5.5400000000000007E-3</v>
      </c>
      <c r="ER5">
        <f t="shared" si="2"/>
        <v>-5.6000000000000008E-3</v>
      </c>
      <c r="ES5">
        <f t="shared" si="2"/>
        <v>-5.6699999999999997E-3</v>
      </c>
      <c r="ET5">
        <f t="shared" si="2"/>
        <v>-5.7199999999999994E-3</v>
      </c>
      <c r="EU5">
        <f t="shared" si="2"/>
        <v>-5.7799999999999995E-3</v>
      </c>
      <c r="EV5">
        <f t="shared" si="2"/>
        <v>-5.8299999999999992E-3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D2F99-2C41-4BC9-BA01-0B8A93B0A964}">
  <dimension ref="A1:Q6"/>
  <sheetViews>
    <sheetView workbookViewId="0">
      <selection activeCell="A5" sqref="A5:S7"/>
    </sheetView>
  </sheetViews>
  <sheetFormatPr defaultRowHeight="14.4" x14ac:dyDescent="0.3"/>
  <cols>
    <col min="2" max="2" width="16.6640625" customWidth="1"/>
  </cols>
  <sheetData>
    <row r="1" spans="1:17" x14ac:dyDescent="0.3">
      <c r="A1" t="s">
        <v>11</v>
      </c>
      <c r="B1" t="s">
        <v>12</v>
      </c>
    </row>
    <row r="3" spans="1:17" x14ac:dyDescent="0.3">
      <c r="A3" t="s">
        <v>13</v>
      </c>
      <c r="B3" s="6">
        <v>45937</v>
      </c>
    </row>
    <row r="5" spans="1:17" x14ac:dyDescent="0.3">
      <c r="A5" t="s">
        <v>14</v>
      </c>
      <c r="B5" t="s">
        <v>15</v>
      </c>
      <c r="C5">
        <v>2010</v>
      </c>
      <c r="D5">
        <v>2011</v>
      </c>
      <c r="E5">
        <v>2012</v>
      </c>
      <c r="F5">
        <v>2013</v>
      </c>
      <c r="G5">
        <v>2014</v>
      </c>
      <c r="H5">
        <v>2015</v>
      </c>
      <c r="I5">
        <v>2016</v>
      </c>
      <c r="J5">
        <v>2017</v>
      </c>
      <c r="K5">
        <v>2018</v>
      </c>
      <c r="L5">
        <v>2019</v>
      </c>
      <c r="M5">
        <v>2020</v>
      </c>
      <c r="N5">
        <v>2021</v>
      </c>
      <c r="O5">
        <v>2022</v>
      </c>
      <c r="P5">
        <v>2023</v>
      </c>
      <c r="Q5">
        <v>2024</v>
      </c>
    </row>
    <row r="6" spans="1:17" x14ac:dyDescent="0.3">
      <c r="A6" t="s">
        <v>16</v>
      </c>
      <c r="B6" t="s">
        <v>17</v>
      </c>
      <c r="C6">
        <v>113623895</v>
      </c>
      <c r="D6">
        <v>115243504</v>
      </c>
      <c r="E6">
        <v>116818208</v>
      </c>
      <c r="F6">
        <v>118343573</v>
      </c>
      <c r="G6">
        <v>119784261</v>
      </c>
      <c r="H6">
        <v>121072306</v>
      </c>
      <c r="I6">
        <v>122251351</v>
      </c>
      <c r="J6">
        <v>123400057</v>
      </c>
      <c r="K6">
        <v>124573711</v>
      </c>
      <c r="L6">
        <v>125762982</v>
      </c>
      <c r="M6">
        <v>126799054</v>
      </c>
      <c r="N6">
        <v>127648148</v>
      </c>
      <c r="O6">
        <v>128613117</v>
      </c>
      <c r="P6">
        <v>129739759</v>
      </c>
      <c r="Q6">
        <v>130861007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710C8-3640-40BA-8D46-A8A95308E2F8}">
  <dimension ref="A1:BJ2"/>
  <sheetViews>
    <sheetView workbookViewId="0">
      <selection activeCell="A2" sqref="A2:XFD2"/>
    </sheetView>
  </sheetViews>
  <sheetFormatPr defaultRowHeight="14.4" x14ac:dyDescent="0.3"/>
  <cols>
    <col min="2" max="2" width="10" bestFit="1" customWidth="1"/>
    <col min="17" max="17" width="12" bestFit="1" customWidth="1"/>
    <col min="50" max="50" width="12" bestFit="1" customWidth="1"/>
  </cols>
  <sheetData>
    <row r="1" spans="1:62" x14ac:dyDescent="0.3">
      <c r="A1" t="s">
        <v>25</v>
      </c>
      <c r="B1">
        <v>2010</v>
      </c>
      <c r="C1">
        <v>2011</v>
      </c>
      <c r="D1">
        <v>2012</v>
      </c>
      <c r="E1">
        <v>2013</v>
      </c>
      <c r="F1">
        <v>2014</v>
      </c>
      <c r="G1">
        <v>2015</v>
      </c>
      <c r="H1">
        <v>2016</v>
      </c>
      <c r="I1">
        <v>2017</v>
      </c>
      <c r="J1">
        <v>2018</v>
      </c>
      <c r="K1">
        <v>2019</v>
      </c>
      <c r="L1">
        <v>2020</v>
      </c>
      <c r="M1">
        <v>2021</v>
      </c>
      <c r="N1">
        <v>2022</v>
      </c>
      <c r="O1">
        <v>2023</v>
      </c>
      <c r="P1">
        <v>2024</v>
      </c>
      <c r="Q1">
        <v>2025</v>
      </c>
      <c r="R1">
        <v>2026</v>
      </c>
      <c r="S1">
        <v>2027</v>
      </c>
      <c r="T1">
        <v>2028</v>
      </c>
      <c r="U1">
        <v>2029</v>
      </c>
      <c r="V1">
        <v>2030</v>
      </c>
      <c r="W1">
        <v>2031</v>
      </c>
      <c r="X1">
        <v>2032</v>
      </c>
      <c r="Y1">
        <v>2033</v>
      </c>
      <c r="Z1">
        <v>2034</v>
      </c>
      <c r="AA1">
        <v>2035</v>
      </c>
      <c r="AB1">
        <v>2036</v>
      </c>
      <c r="AC1">
        <v>2037</v>
      </c>
      <c r="AD1">
        <v>2038</v>
      </c>
      <c r="AE1">
        <v>2039</v>
      </c>
      <c r="AF1">
        <v>2040</v>
      </c>
      <c r="AG1">
        <v>2041</v>
      </c>
      <c r="AH1">
        <v>2042</v>
      </c>
      <c r="AI1">
        <v>2043</v>
      </c>
      <c r="AJ1">
        <v>2044</v>
      </c>
      <c r="AK1">
        <v>2045</v>
      </c>
      <c r="AL1">
        <v>2046</v>
      </c>
      <c r="AM1">
        <v>2047</v>
      </c>
      <c r="AN1">
        <v>2048</v>
      </c>
      <c r="AO1">
        <v>2049</v>
      </c>
      <c r="AP1">
        <v>2050</v>
      </c>
      <c r="AQ1">
        <v>2051</v>
      </c>
      <c r="AR1">
        <v>2052</v>
      </c>
      <c r="AS1">
        <v>2053</v>
      </c>
      <c r="AT1">
        <v>2054</v>
      </c>
      <c r="AU1">
        <v>2055</v>
      </c>
      <c r="AV1">
        <v>2056</v>
      </c>
      <c r="AW1">
        <v>2057</v>
      </c>
      <c r="AX1">
        <v>2058</v>
      </c>
      <c r="AY1">
        <v>2059</v>
      </c>
      <c r="AZ1">
        <v>2060</v>
      </c>
      <c r="BA1">
        <v>2061</v>
      </c>
      <c r="BB1">
        <v>2062</v>
      </c>
      <c r="BC1">
        <v>2063</v>
      </c>
      <c r="BD1">
        <v>2064</v>
      </c>
      <c r="BE1">
        <v>2065</v>
      </c>
      <c r="BF1">
        <v>2066</v>
      </c>
      <c r="BG1">
        <v>2067</v>
      </c>
      <c r="BH1">
        <v>2068</v>
      </c>
      <c r="BI1">
        <v>2069</v>
      </c>
      <c r="BJ1">
        <v>2070</v>
      </c>
    </row>
    <row r="2" spans="1:62" x14ac:dyDescent="0.3">
      <c r="A2" t="s">
        <v>26</v>
      </c>
      <c r="B2">
        <f>'World Bank'!C6</f>
        <v>113623895</v>
      </c>
      <c r="C2">
        <f>'World Bank'!D6</f>
        <v>115243504</v>
      </c>
      <c r="D2">
        <f>'World Bank'!E6</f>
        <v>116818208</v>
      </c>
      <c r="E2">
        <f>'World Bank'!F6</f>
        <v>118343573</v>
      </c>
      <c r="F2">
        <f>'World Bank'!G6</f>
        <v>119784261</v>
      </c>
      <c r="G2">
        <f>'World Bank'!H6</f>
        <v>121072306</v>
      </c>
      <c r="H2">
        <f>'World Bank'!I6</f>
        <v>122251351</v>
      </c>
      <c r="I2">
        <f>'World Bank'!J6</f>
        <v>123400057</v>
      </c>
      <c r="J2">
        <f>'World Bank'!K6</f>
        <v>124573711</v>
      </c>
      <c r="K2">
        <f>'World Bank'!L6</f>
        <v>125762982</v>
      </c>
      <c r="L2">
        <f>'World Bank'!M6</f>
        <v>126799054</v>
      </c>
      <c r="M2">
        <f>'World Bank'!N6</f>
        <v>127648148</v>
      </c>
      <c r="N2">
        <f>'World Bank'!O6</f>
        <v>128613117</v>
      </c>
      <c r="O2">
        <f>'World Bank'!P6</f>
        <v>129739759</v>
      </c>
      <c r="P2">
        <f>'World Bank'!Q6</f>
        <v>130861007</v>
      </c>
      <c r="Q2">
        <f>P2+P2*'UN growth rates'!BY5</f>
        <v>131918363.93656</v>
      </c>
      <c r="R2">
        <f>Q2+Q2*'UN growth rates'!BZ5</f>
        <v>132944688.80798644</v>
      </c>
      <c r="S2">
        <f>R2+R2*'UN growth rates'!CA5</f>
        <v>133941773.97404633</v>
      </c>
      <c r="T2">
        <f>S2+S2*'UN growth rates'!CB5</f>
        <v>134911512.41761842</v>
      </c>
      <c r="U2">
        <f>T2+T2*'UN growth rates'!CC5</f>
        <v>135851845.65916923</v>
      </c>
      <c r="V2">
        <f>U2+U2*'UN growth rates'!CD5</f>
        <v>136764770.06199884</v>
      </c>
      <c r="W2">
        <f>V2+V2*'UN growth rates'!CE5</f>
        <v>137651005.77200061</v>
      </c>
      <c r="X2">
        <f>W2+W2*'UN growth rates'!CF5</f>
        <v>138509948.04801789</v>
      </c>
      <c r="Y2">
        <f>X2+X2*'UN growth rates'!CG5</f>
        <v>139342392.83578646</v>
      </c>
      <c r="Z2">
        <f>Y2+Y2*'UN growth rates'!CH5</f>
        <v>140138037.89887881</v>
      </c>
      <c r="AA2">
        <f>Z2+Z2*'UN growth rates'!CI5</f>
        <v>140908797.10732263</v>
      </c>
      <c r="AB2">
        <f>AA2+AA2*'UN growth rates'!CJ5</f>
        <v>141644341.02822286</v>
      </c>
      <c r="AC2">
        <f>AB2+AB2*'UN growth rates'!CK5</f>
        <v>142355395.62018454</v>
      </c>
      <c r="AD2">
        <f>AC2+AC2*'UN growth rates'!CL5</f>
        <v>143031583.74938041</v>
      </c>
      <c r="AE2">
        <f>AD2+AD2*'UN growth rates'!CM5</f>
        <v>143669504.61290264</v>
      </c>
      <c r="AF2">
        <f>AE2+AE2*'UN growth rates'!CN5</f>
        <v>144274353.22732297</v>
      </c>
      <c r="AG2">
        <f>AF2+AF2*'UN growth rates'!CO5</f>
        <v>144848565.15316772</v>
      </c>
      <c r="AH2">
        <f>AG2+AG2*'UN growth rates'!CP5</f>
        <v>145387401.81553751</v>
      </c>
      <c r="AI2">
        <f>AH2+AH2*'UN growth rates'!CQ5</f>
        <v>145887534.47778296</v>
      </c>
      <c r="AJ2">
        <f>AI2+AI2*'UN growth rates'!CR5</f>
        <v>146357292.33880141</v>
      </c>
      <c r="AK2">
        <f>AJ2+AJ2*'UN growth rates'!CS5</f>
        <v>146787582.77827749</v>
      </c>
      <c r="AL2">
        <f>AK2+AK2*'UN growth rates'!CT5</f>
        <v>147180973.50012326</v>
      </c>
      <c r="AM2">
        <f>AL2+AL2*'UN growth rates'!CU5</f>
        <v>147535679.64625856</v>
      </c>
      <c r="AN2">
        <f>AM2+AM2*'UN growth rates'!CV5</f>
        <v>147861733.4982768</v>
      </c>
      <c r="AO2">
        <f>AN2+AN2*'UN growth rates'!CW5</f>
        <v>148144149.40925851</v>
      </c>
      <c r="AP2">
        <f>AO2+AO2*'UN growth rates'!CX5</f>
        <v>148395994.46325424</v>
      </c>
      <c r="AQ2">
        <f>AP2+AP2*'UN growth rates'!CY5</f>
        <v>148612652.6151706</v>
      </c>
      <c r="AR2">
        <f>AQ2+AQ2*'UN growth rates'!CZ5</f>
        <v>148796932.30441341</v>
      </c>
      <c r="AS2">
        <f>AR2+AR2*'UN growth rates'!DA5</f>
        <v>148948705.1753639</v>
      </c>
      <c r="AT2">
        <f>AS2+AS2*'UN growth rates'!DB5</f>
        <v>149069353.62655595</v>
      </c>
      <c r="AU2">
        <f>AT2+AT2*'UN growth rates'!DC5</f>
        <v>149158795.23873189</v>
      </c>
      <c r="AV2">
        <f>AU2+AU2*'UN growth rates'!DD5</f>
        <v>149218458.75682738</v>
      </c>
      <c r="AW2">
        <f>AV2+AV2*'UN growth rates'!DE5</f>
        <v>149251286.81775388</v>
      </c>
      <c r="AX2">
        <f>AW2+AW2*'UN growth rates'!DF5</f>
        <v>149258749.38209477</v>
      </c>
      <c r="AY2">
        <f>AX2+AX2*'UN growth rates'!DG5</f>
        <v>149237853.15718126</v>
      </c>
      <c r="AZ2">
        <f>AY2+AY2*'UN growth rates'!DH5</f>
        <v>149185619.90857625</v>
      </c>
      <c r="BA2">
        <f>AZ2+AZ2*'UN growth rates'!DI5</f>
        <v>149108043.38622379</v>
      </c>
      <c r="BB2">
        <f>BA2+BA2*'UN growth rates'!DJ5</f>
        <v>149005158.83628729</v>
      </c>
      <c r="BC2">
        <f>BB2+BB2*'UN growth rates'!DK5</f>
        <v>148874034.29651135</v>
      </c>
      <c r="BD2">
        <f>BC2+BC2*'UN growth rates'!DL5</f>
        <v>148716227.82015705</v>
      </c>
      <c r="BE2">
        <f>BD2+BD2*'UN growth rates'!DM5</f>
        <v>148530332.53538185</v>
      </c>
      <c r="BF2">
        <f>BE2+BE2*'UN growth rates'!DN5</f>
        <v>148320904.76650697</v>
      </c>
      <c r="BG2">
        <f>BF2+BF2*'UN growth rates'!DO5</f>
        <v>148088040.94602355</v>
      </c>
      <c r="BH2">
        <f>BG2+BG2*'UN growth rates'!DP5</f>
        <v>147828886.87436801</v>
      </c>
      <c r="BI2">
        <f>BH2+BH2*'UN growth rates'!DQ5</f>
        <v>147545055.41156924</v>
      </c>
      <c r="BJ2">
        <f>BI2+BI2*'UN growth rates'!DR5</f>
        <v>147233735.34465083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135D2-DB07-4DEC-9544-EC68902C8FBC}">
  <sheetPr>
    <pageSetUpPr fitToPage="1"/>
  </sheetPr>
  <dimension ref="A1:W52"/>
  <sheetViews>
    <sheetView showGridLines="0" zoomScaleNormal="100" zoomScaleSheetLayoutView="100" workbookViewId="0">
      <selection activeCell="L7" sqref="L7"/>
    </sheetView>
  </sheetViews>
  <sheetFormatPr defaultColWidth="11.44140625" defaultRowHeight="12.75" customHeight="1" x14ac:dyDescent="0.3"/>
  <cols>
    <col min="1" max="1" width="1.33203125" style="71" customWidth="1"/>
    <col min="2" max="2" width="30.6640625" style="71" customWidth="1" collapsed="1"/>
    <col min="3" max="3" width="18.6640625" style="71" customWidth="1" collapsed="1"/>
    <col min="4" max="4" width="0.88671875" style="71" customWidth="1" collapsed="1"/>
    <col min="5" max="6" width="12.6640625" style="71" customWidth="1" collapsed="1"/>
    <col min="7" max="7" width="0.88671875" style="71" customWidth="1" collapsed="1"/>
    <col min="8" max="9" width="12.6640625" style="152" customWidth="1" collapsed="1"/>
    <col min="10" max="23" width="11.44140625" style="71"/>
    <col min="24" max="16384" width="11.44140625" style="71" collapsed="1"/>
  </cols>
  <sheetData>
    <row r="1" spans="1:15" ht="15" customHeight="1" x14ac:dyDescent="0.25">
      <c r="A1" s="126" t="s">
        <v>91</v>
      </c>
    </row>
    <row r="2" spans="1:15" s="88" customFormat="1" ht="11.25" customHeight="1" x14ac:dyDescent="0.3">
      <c r="B2" s="125"/>
      <c r="H2" s="153"/>
      <c r="I2" s="153"/>
    </row>
    <row r="3" spans="1:15" ht="28.5" customHeight="1" x14ac:dyDescent="0.3">
      <c r="A3" s="124" t="s">
        <v>83</v>
      </c>
      <c r="B3" s="124"/>
      <c r="C3" s="124"/>
      <c r="D3" s="124"/>
      <c r="E3" s="124"/>
      <c r="F3" s="124"/>
      <c r="G3" s="124"/>
      <c r="H3" s="124"/>
      <c r="I3" s="154" t="s">
        <v>82</v>
      </c>
      <c r="K3" s="123" t="s">
        <v>80</v>
      </c>
    </row>
    <row r="4" spans="1:15" ht="4.5" customHeight="1" x14ac:dyDescent="0.3">
      <c r="A4" s="122"/>
      <c r="B4" s="122"/>
      <c r="C4" s="122"/>
      <c r="D4" s="122"/>
      <c r="E4" s="122"/>
      <c r="F4" s="122"/>
      <c r="G4" s="122"/>
      <c r="H4" s="122"/>
      <c r="I4" s="122"/>
    </row>
    <row r="5" spans="1:15" ht="15" customHeight="1" x14ac:dyDescent="0.3">
      <c r="A5" s="121" t="s">
        <v>79</v>
      </c>
      <c r="B5" s="121"/>
      <c r="C5" s="120" t="s">
        <v>78</v>
      </c>
      <c r="D5" s="116"/>
      <c r="E5" s="119" t="s">
        <v>77</v>
      </c>
      <c r="F5" s="119"/>
      <c r="G5" s="119"/>
      <c r="H5" s="119"/>
      <c r="I5" s="119"/>
    </row>
    <row r="6" spans="1:15" ht="34.5" customHeight="1" x14ac:dyDescent="0.3">
      <c r="A6" s="118"/>
      <c r="B6" s="118"/>
      <c r="C6" s="117"/>
      <c r="D6" s="116"/>
      <c r="E6" s="115" t="s">
        <v>90</v>
      </c>
      <c r="F6" s="115"/>
      <c r="G6" s="114"/>
      <c r="H6" s="155" t="s">
        <v>98</v>
      </c>
      <c r="I6" s="155"/>
    </row>
    <row r="7" spans="1:15" ht="15" customHeight="1" x14ac:dyDescent="0.3">
      <c r="A7" s="113"/>
      <c r="B7" s="113"/>
      <c r="C7" s="112"/>
      <c r="D7" s="111"/>
      <c r="E7" s="109" t="s">
        <v>74</v>
      </c>
      <c r="F7" s="109" t="s">
        <v>73</v>
      </c>
      <c r="G7" s="110"/>
      <c r="H7" s="156" t="s">
        <v>74</v>
      </c>
      <c r="I7" s="156" t="s">
        <v>73</v>
      </c>
    </row>
    <row r="8" spans="1:15" ht="4.5" customHeight="1" x14ac:dyDescent="0.3">
      <c r="B8" s="108"/>
      <c r="C8" s="107"/>
      <c r="D8" s="107"/>
      <c r="E8" s="106"/>
      <c r="F8" s="105"/>
      <c r="G8" s="105"/>
      <c r="H8" s="157"/>
      <c r="I8" s="158"/>
    </row>
    <row r="9" spans="1:15" s="99" customFormat="1" ht="12.75" customHeight="1" x14ac:dyDescent="0.2">
      <c r="A9" s="104" t="s">
        <v>72</v>
      </c>
      <c r="C9" s="151">
        <v>35234822</v>
      </c>
      <c r="D9" s="103"/>
      <c r="E9" s="102">
        <v>32328253</v>
      </c>
      <c r="F9" s="101">
        <v>91.750862257797095</v>
      </c>
      <c r="G9" s="101"/>
      <c r="H9" s="163">
        <v>2862645</v>
      </c>
      <c r="I9" s="164">
        <v>8.1244769733759394</v>
      </c>
      <c r="K9" s="100"/>
      <c r="L9" s="100"/>
      <c r="M9" s="100"/>
      <c r="O9" s="100"/>
    </row>
    <row r="10" spans="1:15" ht="12.75" customHeight="1" x14ac:dyDescent="0.2">
      <c r="A10" s="97" t="s">
        <v>71</v>
      </c>
      <c r="C10" s="95">
        <v>386782</v>
      </c>
      <c r="D10" s="96"/>
      <c r="E10" s="95">
        <v>364909</v>
      </c>
      <c r="F10" s="94">
        <v>94.344876442026802</v>
      </c>
      <c r="G10" s="94"/>
      <c r="H10" s="165">
        <v>20867</v>
      </c>
      <c r="I10" s="166">
        <v>5.3950287241908903</v>
      </c>
      <c r="K10" s="98"/>
    </row>
    <row r="11" spans="1:15" ht="12.75" customHeight="1" x14ac:dyDescent="0.2">
      <c r="A11" s="97" t="s">
        <v>70</v>
      </c>
      <c r="C11" s="95">
        <v>1144066</v>
      </c>
      <c r="D11" s="96"/>
      <c r="E11" s="95">
        <v>1019522</v>
      </c>
      <c r="F11" s="94">
        <v>89.113914756666105</v>
      </c>
      <c r="G11" s="94"/>
      <c r="H11" s="165">
        <v>111205</v>
      </c>
      <c r="I11" s="166">
        <v>9.7201560049857303</v>
      </c>
    </row>
    <row r="12" spans="1:15" ht="12.75" customHeight="1" x14ac:dyDescent="0.2">
      <c r="A12" s="97" t="s">
        <v>69</v>
      </c>
      <c r="C12" s="95">
        <v>245689</v>
      </c>
      <c r="D12" s="96"/>
      <c r="E12" s="95">
        <v>219758</v>
      </c>
      <c r="F12" s="94">
        <v>89.445599925108596</v>
      </c>
      <c r="G12" s="94"/>
      <c r="H12" s="165">
        <v>25824</v>
      </c>
      <c r="I12" s="166">
        <v>10.510849081562499</v>
      </c>
    </row>
    <row r="13" spans="1:15" ht="12.75" customHeight="1" x14ac:dyDescent="0.2">
      <c r="A13" s="97" t="s">
        <v>68</v>
      </c>
      <c r="C13" s="95">
        <v>257257</v>
      </c>
      <c r="D13" s="96"/>
      <c r="E13" s="95">
        <v>254612</v>
      </c>
      <c r="F13" s="94">
        <v>98.971845275347206</v>
      </c>
      <c r="G13" s="94"/>
      <c r="H13" s="165">
        <v>2541</v>
      </c>
      <c r="I13" s="166">
        <v>0.98772822508231095</v>
      </c>
    </row>
    <row r="14" spans="1:15" ht="12.75" customHeight="1" x14ac:dyDescent="0.2">
      <c r="A14" s="97" t="s">
        <v>67</v>
      </c>
      <c r="C14" s="95">
        <v>903683</v>
      </c>
      <c r="D14" s="96"/>
      <c r="E14" s="95">
        <v>887854</v>
      </c>
      <c r="F14" s="94">
        <v>98.248390198775496</v>
      </c>
      <c r="G14" s="94"/>
      <c r="H14" s="165">
        <v>15257</v>
      </c>
      <c r="I14" s="166">
        <v>1.68831326914416</v>
      </c>
    </row>
    <row r="15" spans="1:15" ht="12.75" customHeight="1" x14ac:dyDescent="0.2">
      <c r="A15" s="97" t="s">
        <v>66</v>
      </c>
      <c r="C15" s="95">
        <v>228765</v>
      </c>
      <c r="D15" s="96"/>
      <c r="E15" s="95">
        <v>223582</v>
      </c>
      <c r="F15" s="94">
        <v>97.734356217078698</v>
      </c>
      <c r="G15" s="94"/>
      <c r="H15" s="165">
        <v>5084</v>
      </c>
      <c r="I15" s="166">
        <v>2.2223679321574501</v>
      </c>
    </row>
    <row r="16" spans="1:15" ht="12.75" customHeight="1" x14ac:dyDescent="0.2">
      <c r="A16" s="97" t="s">
        <v>65</v>
      </c>
      <c r="C16" s="95">
        <v>1411266</v>
      </c>
      <c r="D16" s="96"/>
      <c r="E16" s="95">
        <v>1386899</v>
      </c>
      <c r="F16" s="94">
        <v>98.273394243183105</v>
      </c>
      <c r="G16" s="94"/>
      <c r="H16" s="165">
        <v>23750</v>
      </c>
      <c r="I16" s="166">
        <v>1.68288614619781</v>
      </c>
    </row>
    <row r="17" spans="1:9" ht="12.75" customHeight="1" x14ac:dyDescent="0.2">
      <c r="A17" s="97" t="s">
        <v>64</v>
      </c>
      <c r="C17" s="95">
        <v>1136150</v>
      </c>
      <c r="D17" s="96"/>
      <c r="E17" s="95">
        <v>1105726</v>
      </c>
      <c r="F17" s="94">
        <v>97.322184570699307</v>
      </c>
      <c r="G17" s="94"/>
      <c r="H17" s="165">
        <v>27666</v>
      </c>
      <c r="I17" s="166">
        <v>2.4350657923689698</v>
      </c>
    </row>
    <row r="18" spans="1:9" ht="12.75" customHeight="1" x14ac:dyDescent="0.2">
      <c r="A18" s="97" t="s">
        <v>63</v>
      </c>
      <c r="C18" s="95">
        <v>2707156</v>
      </c>
      <c r="D18" s="96"/>
      <c r="E18" s="95">
        <v>1591705</v>
      </c>
      <c r="F18" s="94">
        <v>58.796205316575801</v>
      </c>
      <c r="G18" s="94"/>
      <c r="H18" s="165">
        <v>1105944</v>
      </c>
      <c r="I18" s="166">
        <v>40.852614330315703</v>
      </c>
    </row>
    <row r="19" spans="1:9" ht="12.75" customHeight="1" x14ac:dyDescent="0.2">
      <c r="A19" s="97" t="s">
        <v>62</v>
      </c>
      <c r="C19" s="95">
        <v>499269</v>
      </c>
      <c r="D19" s="96"/>
      <c r="E19" s="95">
        <v>492064</v>
      </c>
      <c r="F19" s="94">
        <v>98.556890173433601</v>
      </c>
      <c r="G19" s="94"/>
      <c r="H19" s="165">
        <v>6731</v>
      </c>
      <c r="I19" s="166">
        <v>1.3481710260400701</v>
      </c>
    </row>
    <row r="20" spans="1:9" ht="12.75" customHeight="1" x14ac:dyDescent="0.2">
      <c r="A20" s="97" t="s">
        <v>61</v>
      </c>
      <c r="C20" s="95">
        <v>1597797</v>
      </c>
      <c r="D20" s="96"/>
      <c r="E20" s="95">
        <v>1536735</v>
      </c>
      <c r="F20" s="94">
        <v>96.178363083670803</v>
      </c>
      <c r="G20" s="94"/>
      <c r="H20" s="165">
        <v>61062</v>
      </c>
      <c r="I20" s="166">
        <v>3.8216369163291701</v>
      </c>
    </row>
    <row r="21" spans="1:9" ht="12.75" customHeight="1" x14ac:dyDescent="0.2">
      <c r="A21" s="97" t="s">
        <v>60</v>
      </c>
      <c r="C21" s="95">
        <v>937809</v>
      </c>
      <c r="D21" s="96"/>
      <c r="E21" s="95">
        <v>907662</v>
      </c>
      <c r="F21" s="94">
        <v>96.785379538903996</v>
      </c>
      <c r="G21" s="94"/>
      <c r="H21" s="165">
        <v>29850</v>
      </c>
      <c r="I21" s="166">
        <v>3.18295089938356</v>
      </c>
    </row>
    <row r="22" spans="1:9" ht="12.75" customHeight="1" x14ac:dyDescent="0.2">
      <c r="A22" s="97" t="s">
        <v>59</v>
      </c>
      <c r="C22" s="95">
        <v>861222</v>
      </c>
      <c r="D22" s="96"/>
      <c r="E22" s="95">
        <v>829366</v>
      </c>
      <c r="F22" s="94">
        <v>96.301069875130906</v>
      </c>
      <c r="G22" s="94"/>
      <c r="H22" s="165">
        <v>30879</v>
      </c>
      <c r="I22" s="166">
        <v>3.5854866689425</v>
      </c>
    </row>
    <row r="23" spans="1:9" ht="12.75" customHeight="1" x14ac:dyDescent="0.2">
      <c r="A23" s="97" t="s">
        <v>58</v>
      </c>
      <c r="C23" s="95">
        <v>2314882</v>
      </c>
      <c r="D23" s="96"/>
      <c r="E23" s="95">
        <v>2083464</v>
      </c>
      <c r="F23" s="94">
        <v>90.003032551983196</v>
      </c>
      <c r="G23" s="94"/>
      <c r="H23" s="165">
        <v>229547</v>
      </c>
      <c r="I23" s="166">
        <v>9.9161425938773604</v>
      </c>
    </row>
    <row r="24" spans="1:9" ht="12.75" customHeight="1" x14ac:dyDescent="0.2">
      <c r="A24" s="97" t="s">
        <v>57</v>
      </c>
      <c r="C24" s="95">
        <v>4618111</v>
      </c>
      <c r="D24" s="96"/>
      <c r="E24" s="95">
        <v>4128058</v>
      </c>
      <c r="F24" s="94">
        <v>89.388453417425396</v>
      </c>
      <c r="G24" s="94"/>
      <c r="H24" s="165">
        <v>484226</v>
      </c>
      <c r="I24" s="166">
        <v>10.485369450842599</v>
      </c>
    </row>
    <row r="25" spans="1:9" ht="12.75" customHeight="1" x14ac:dyDescent="0.2">
      <c r="A25" s="97" t="s">
        <v>56</v>
      </c>
      <c r="C25" s="95">
        <v>1282994</v>
      </c>
      <c r="D25" s="96"/>
      <c r="E25" s="95">
        <v>1261610</v>
      </c>
      <c r="F25" s="94">
        <v>98.333273577273204</v>
      </c>
      <c r="G25" s="94"/>
      <c r="H25" s="165">
        <v>21384</v>
      </c>
      <c r="I25" s="166">
        <v>1.6667264227268399</v>
      </c>
    </row>
    <row r="26" spans="1:9" ht="12.75" customHeight="1" x14ac:dyDescent="0.2">
      <c r="A26" s="97" t="s">
        <v>55</v>
      </c>
      <c r="C26" s="95">
        <v>576022</v>
      </c>
      <c r="D26" s="96"/>
      <c r="E26" s="95">
        <v>541574</v>
      </c>
      <c r="F26" s="94">
        <v>94.019672859717204</v>
      </c>
      <c r="G26" s="94"/>
      <c r="H26" s="165">
        <v>34197</v>
      </c>
      <c r="I26" s="166">
        <v>5.9367524157063398</v>
      </c>
    </row>
    <row r="27" spans="1:9" ht="12.75" customHeight="1" x14ac:dyDescent="0.2">
      <c r="A27" s="97" t="s">
        <v>54</v>
      </c>
      <c r="C27" s="95">
        <v>368748</v>
      </c>
      <c r="D27" s="96"/>
      <c r="E27" s="95">
        <v>356709</v>
      </c>
      <c r="F27" s="94">
        <v>96.735168733118499</v>
      </c>
      <c r="G27" s="94"/>
      <c r="H27" s="165">
        <v>12039</v>
      </c>
      <c r="I27" s="166">
        <v>3.2648312668814499</v>
      </c>
    </row>
    <row r="28" spans="1:9" ht="12.75" customHeight="1" x14ac:dyDescent="0.2">
      <c r="A28" s="97" t="s">
        <v>53</v>
      </c>
      <c r="C28" s="95">
        <v>1667880</v>
      </c>
      <c r="D28" s="96"/>
      <c r="E28" s="95">
        <v>1594475</v>
      </c>
      <c r="F28" s="94">
        <v>95.598903997889494</v>
      </c>
      <c r="G28" s="94"/>
      <c r="H28" s="165">
        <v>71832</v>
      </c>
      <c r="I28" s="166">
        <v>4.3067846607669598</v>
      </c>
    </row>
    <row r="29" spans="1:9" ht="12.75" customHeight="1" x14ac:dyDescent="0.2">
      <c r="A29" s="97" t="s">
        <v>52</v>
      </c>
      <c r="C29" s="95">
        <v>1118022</v>
      </c>
      <c r="D29" s="96"/>
      <c r="E29" s="95">
        <v>1101787</v>
      </c>
      <c r="F29" s="94">
        <v>98.547881884256299</v>
      </c>
      <c r="G29" s="94"/>
      <c r="H29" s="165">
        <v>15819</v>
      </c>
      <c r="I29" s="166">
        <v>1.4149095456082299</v>
      </c>
    </row>
    <row r="30" spans="1:9" ht="12.75" customHeight="1" x14ac:dyDescent="0.2">
      <c r="A30" s="97" t="s">
        <v>51</v>
      </c>
      <c r="C30" s="95">
        <v>1714877</v>
      </c>
      <c r="D30" s="96"/>
      <c r="E30" s="95">
        <v>1555955</v>
      </c>
      <c r="F30" s="94">
        <v>90.732746430210398</v>
      </c>
      <c r="G30" s="94"/>
      <c r="H30" s="165">
        <v>158922</v>
      </c>
      <c r="I30" s="166">
        <v>9.2672535697895508</v>
      </c>
    </row>
    <row r="31" spans="1:9" ht="12.75" customHeight="1" x14ac:dyDescent="0.2">
      <c r="A31" s="97" t="s">
        <v>50</v>
      </c>
      <c r="C31" s="95">
        <v>660207</v>
      </c>
      <c r="D31" s="96"/>
      <c r="E31" s="95">
        <v>631902</v>
      </c>
      <c r="F31" s="94">
        <v>95.712708286946395</v>
      </c>
      <c r="G31" s="94"/>
      <c r="H31" s="165">
        <v>28305</v>
      </c>
      <c r="I31" s="166">
        <v>4.2872917130536301</v>
      </c>
    </row>
    <row r="32" spans="1:9" ht="12.75" customHeight="1" x14ac:dyDescent="0.2">
      <c r="A32" s="97" t="s">
        <v>49</v>
      </c>
      <c r="C32" s="95">
        <v>557830</v>
      </c>
      <c r="D32" s="96"/>
      <c r="E32" s="95">
        <v>483276</v>
      </c>
      <c r="F32" s="94">
        <v>86.634996325045293</v>
      </c>
      <c r="G32" s="94"/>
      <c r="H32" s="165">
        <v>73976</v>
      </c>
      <c r="I32" s="166">
        <v>13.261387878027399</v>
      </c>
    </row>
    <row r="33" spans="1:13" ht="12.75" customHeight="1" x14ac:dyDescent="0.2">
      <c r="A33" s="97" t="s">
        <v>48</v>
      </c>
      <c r="C33" s="95">
        <v>748392</v>
      </c>
      <c r="D33" s="96"/>
      <c r="E33" s="95">
        <v>731469</v>
      </c>
      <c r="F33" s="94">
        <v>97.738751884039402</v>
      </c>
      <c r="G33" s="94"/>
      <c r="H33" s="165">
        <v>16923</v>
      </c>
      <c r="I33" s="166">
        <v>2.2612481159606199</v>
      </c>
    </row>
    <row r="34" spans="1:13" ht="12.75" customHeight="1" x14ac:dyDescent="0.2">
      <c r="A34" s="97" t="s">
        <v>47</v>
      </c>
      <c r="C34" s="95">
        <v>862532</v>
      </c>
      <c r="D34" s="96"/>
      <c r="E34" s="95">
        <v>844211</v>
      </c>
      <c r="F34" s="94">
        <v>97.875904893963394</v>
      </c>
      <c r="G34" s="94"/>
      <c r="H34" s="165">
        <v>18321</v>
      </c>
      <c r="I34" s="166">
        <v>2.1240951060366502</v>
      </c>
    </row>
    <row r="35" spans="1:13" ht="12.75" customHeight="1" x14ac:dyDescent="0.2">
      <c r="A35" s="97" t="s">
        <v>46</v>
      </c>
      <c r="C35" s="95">
        <v>875959</v>
      </c>
      <c r="D35" s="96"/>
      <c r="E35" s="95">
        <v>849994</v>
      </c>
      <c r="F35" s="94">
        <v>97.035820169665499</v>
      </c>
      <c r="G35" s="94"/>
      <c r="H35" s="165">
        <v>25965</v>
      </c>
      <c r="I35" s="166">
        <v>2.9641798303345199</v>
      </c>
    </row>
    <row r="36" spans="1:13" ht="12.75" customHeight="1" x14ac:dyDescent="0.2">
      <c r="A36" s="97" t="s">
        <v>45</v>
      </c>
      <c r="C36" s="95">
        <v>681950</v>
      </c>
      <c r="D36" s="96"/>
      <c r="E36" s="95">
        <v>649297</v>
      </c>
      <c r="F36" s="94">
        <v>95.211819048317295</v>
      </c>
      <c r="G36" s="94"/>
      <c r="H36" s="165">
        <v>30123</v>
      </c>
      <c r="I36" s="166">
        <v>4.4171860107045999</v>
      </c>
    </row>
    <row r="37" spans="1:13" ht="12.75" customHeight="1" x14ac:dyDescent="0.2">
      <c r="A37" s="97" t="s">
        <v>44</v>
      </c>
      <c r="C37" s="95">
        <v>1050737</v>
      </c>
      <c r="D37" s="96"/>
      <c r="E37" s="95">
        <v>994156</v>
      </c>
      <c r="F37" s="94">
        <v>94.615113011153099</v>
      </c>
      <c r="G37" s="94"/>
      <c r="H37" s="165">
        <v>55706</v>
      </c>
      <c r="I37" s="166">
        <v>5.3016121065499702</v>
      </c>
    </row>
    <row r="38" spans="1:13" ht="12.75" customHeight="1" x14ac:dyDescent="0.2">
      <c r="A38" s="97" t="s">
        <v>43</v>
      </c>
      <c r="C38" s="95">
        <v>335517</v>
      </c>
      <c r="D38" s="96"/>
      <c r="E38" s="95">
        <v>320398</v>
      </c>
      <c r="F38" s="94">
        <v>95.493819985276403</v>
      </c>
      <c r="G38" s="94"/>
      <c r="H38" s="165">
        <v>14973</v>
      </c>
      <c r="I38" s="166">
        <v>4.4626650810540198</v>
      </c>
    </row>
    <row r="39" spans="1:13" ht="12.75" customHeight="1" x14ac:dyDescent="0.2">
      <c r="A39" s="97" t="s">
        <v>42</v>
      </c>
      <c r="C39" s="95">
        <v>2370865</v>
      </c>
      <c r="D39" s="96"/>
      <c r="E39" s="95">
        <v>2286254</v>
      </c>
      <c r="F39" s="94">
        <v>96.431218141901795</v>
      </c>
      <c r="G39" s="94"/>
      <c r="H39" s="165">
        <v>84611</v>
      </c>
      <c r="I39" s="166">
        <v>3.5687818580982</v>
      </c>
    </row>
    <row r="40" spans="1:13" ht="12.75" customHeight="1" x14ac:dyDescent="0.2">
      <c r="A40" s="97" t="s">
        <v>41</v>
      </c>
      <c r="C40" s="95">
        <v>659472</v>
      </c>
      <c r="D40" s="96"/>
      <c r="E40" s="95">
        <v>649210</v>
      </c>
      <c r="F40" s="94">
        <v>98.443906640463894</v>
      </c>
      <c r="G40" s="94"/>
      <c r="H40" s="165">
        <v>10262</v>
      </c>
      <c r="I40" s="166">
        <v>1.5560933595361099</v>
      </c>
    </row>
    <row r="41" spans="1:13" ht="12.75" customHeight="1" x14ac:dyDescent="0.2">
      <c r="A41" s="93" t="s">
        <v>40</v>
      </c>
      <c r="B41" s="92"/>
      <c r="C41" s="90">
        <v>452914</v>
      </c>
      <c r="D41" s="91"/>
      <c r="E41" s="90">
        <v>444060</v>
      </c>
      <c r="F41" s="89">
        <v>98.045103485429905</v>
      </c>
      <c r="G41" s="89"/>
      <c r="H41" s="167">
        <v>8854</v>
      </c>
      <c r="I41" s="168">
        <v>1.9548965145700901</v>
      </c>
    </row>
    <row r="42" spans="1:13" ht="4.5" customHeight="1" x14ac:dyDescent="0.3">
      <c r="B42" s="88"/>
      <c r="C42" s="87"/>
      <c r="D42" s="87"/>
      <c r="E42" s="87"/>
      <c r="F42" s="86"/>
      <c r="G42" s="86"/>
      <c r="H42" s="159"/>
      <c r="I42" s="160"/>
    </row>
    <row r="43" spans="1:13" s="79" customFormat="1" ht="34.5" customHeight="1" x14ac:dyDescent="0.25">
      <c r="A43" s="85" t="s">
        <v>39</v>
      </c>
      <c r="B43" s="85"/>
      <c r="C43" s="85"/>
      <c r="D43" s="85"/>
      <c r="E43" s="85"/>
      <c r="F43" s="85"/>
      <c r="G43" s="85"/>
      <c r="H43" s="85"/>
      <c r="I43" s="85"/>
      <c r="J43" s="84"/>
      <c r="K43" s="84"/>
      <c r="L43" s="84"/>
      <c r="M43" s="84"/>
    </row>
    <row r="44" spans="1:13" s="79" customFormat="1" ht="12.75" customHeight="1" x14ac:dyDescent="0.25">
      <c r="A44" s="83" t="s">
        <v>38</v>
      </c>
      <c r="B44" s="83"/>
      <c r="H44" s="161"/>
      <c r="I44" s="161"/>
    </row>
    <row r="45" spans="1:13" s="79" customFormat="1" ht="12.75" customHeight="1" x14ac:dyDescent="0.25">
      <c r="A45" s="83" t="s">
        <v>37</v>
      </c>
      <c r="B45" s="82"/>
      <c r="H45" s="161"/>
      <c r="I45" s="161"/>
    </row>
    <row r="46" spans="1:13" s="79" customFormat="1" ht="12.75" customHeight="1" x14ac:dyDescent="0.25">
      <c r="A46" s="81" t="s">
        <v>36</v>
      </c>
      <c r="B46" s="81"/>
      <c r="C46" s="81"/>
      <c r="D46" s="81"/>
      <c r="H46" s="161"/>
      <c r="I46" s="161"/>
    </row>
    <row r="47" spans="1:13" s="79" customFormat="1" ht="12.75" customHeight="1" x14ac:dyDescent="0.25">
      <c r="A47" s="80" t="s">
        <v>35</v>
      </c>
      <c r="B47" s="80"/>
      <c r="C47" s="80"/>
      <c r="D47" s="80"/>
      <c r="H47" s="161"/>
      <c r="I47" s="161"/>
    </row>
    <row r="48" spans="1:13" s="75" customFormat="1" ht="12.75" customHeight="1" x14ac:dyDescent="0.3">
      <c r="A48" s="78" t="s">
        <v>89</v>
      </c>
      <c r="B48" s="78"/>
      <c r="C48" s="78"/>
      <c r="D48" s="78"/>
      <c r="E48" s="78"/>
      <c r="F48" s="78"/>
      <c r="G48" s="78"/>
      <c r="H48" s="78"/>
      <c r="I48" s="78"/>
    </row>
    <row r="49" spans="1:9" s="75" customFormat="1" ht="12.75" customHeight="1" x14ac:dyDescent="0.3">
      <c r="A49" s="77" t="s">
        <v>88</v>
      </c>
      <c r="C49" s="77"/>
      <c r="H49" s="162"/>
      <c r="I49" s="162"/>
    </row>
    <row r="50" spans="1:9" s="75" customFormat="1" ht="12.75" customHeight="1" x14ac:dyDescent="0.3">
      <c r="A50" s="76" t="s">
        <v>87</v>
      </c>
      <c r="C50" s="76"/>
      <c r="H50" s="162"/>
      <c r="I50" s="162"/>
    </row>
    <row r="51" spans="1:9" ht="12.75" customHeight="1" x14ac:dyDescent="0.3">
      <c r="B51" s="74"/>
      <c r="C51" s="74"/>
    </row>
    <row r="52" spans="1:9" ht="12.75" customHeight="1" x14ac:dyDescent="0.3">
      <c r="A52" s="73" t="s">
        <v>86</v>
      </c>
      <c r="C52" s="72"/>
    </row>
  </sheetData>
  <mergeCells count="11">
    <mergeCell ref="H6:I6"/>
    <mergeCell ref="A48:I48"/>
    <mergeCell ref="A43:I43"/>
    <mergeCell ref="A46:D46"/>
    <mergeCell ref="A47:D47"/>
    <mergeCell ref="A3:H3"/>
    <mergeCell ref="A4:I4"/>
    <mergeCell ref="A5:B7"/>
    <mergeCell ref="C5:C7"/>
    <mergeCell ref="E5:I5"/>
    <mergeCell ref="E6:F6"/>
  </mergeCells>
  <hyperlinks>
    <hyperlink ref="K3" location="'INDICE '!A1" display="ÍNDICE" xr:uid="{987B49F0-822A-4EC4-8974-DAB825C67E0F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B716D-5EF4-4088-A4C9-DD2B54025844}">
  <sheetPr>
    <pageSetUpPr fitToPage="1"/>
  </sheetPr>
  <dimension ref="A1:W52"/>
  <sheetViews>
    <sheetView showGridLines="0" zoomScaleNormal="100" zoomScaleSheetLayoutView="100" workbookViewId="0">
      <selection activeCell="C9" sqref="C9"/>
    </sheetView>
  </sheetViews>
  <sheetFormatPr defaultColWidth="11.44140625" defaultRowHeight="12.75" customHeight="1" x14ac:dyDescent="0.3"/>
  <cols>
    <col min="1" max="1" width="1.33203125" style="71" customWidth="1"/>
    <col min="2" max="2" width="30.6640625" style="71" customWidth="1" collapsed="1"/>
    <col min="3" max="3" width="18.6640625" style="71" customWidth="1" collapsed="1"/>
    <col min="4" max="4" width="0.88671875" style="71" customWidth="1" collapsed="1"/>
    <col min="5" max="6" width="12.6640625" style="71" customWidth="1" collapsed="1"/>
    <col min="7" max="7" width="0.88671875" style="71" customWidth="1" collapsed="1"/>
    <col min="8" max="9" width="12.6640625" style="133" customWidth="1" collapsed="1"/>
    <col min="10" max="23" width="11.44140625" style="71"/>
    <col min="24" max="16384" width="11.44140625" style="71" collapsed="1"/>
  </cols>
  <sheetData>
    <row r="1" spans="1:15" ht="15" customHeight="1" x14ac:dyDescent="0.25">
      <c r="A1" s="126" t="s">
        <v>95</v>
      </c>
    </row>
    <row r="2" spans="1:15" s="88" customFormat="1" ht="11.25" customHeight="1" x14ac:dyDescent="0.3">
      <c r="B2" s="125"/>
      <c r="H2" s="134"/>
      <c r="I2" s="134"/>
    </row>
    <row r="3" spans="1:15" ht="28.5" customHeight="1" x14ac:dyDescent="0.3">
      <c r="A3" s="124" t="s">
        <v>83</v>
      </c>
      <c r="B3" s="124"/>
      <c r="C3" s="124"/>
      <c r="D3" s="124"/>
      <c r="E3" s="124"/>
      <c r="F3" s="124"/>
      <c r="G3" s="124"/>
      <c r="H3" s="124"/>
      <c r="I3" s="135" t="s">
        <v>82</v>
      </c>
      <c r="K3" s="123" t="s">
        <v>80</v>
      </c>
    </row>
    <row r="4" spans="1:15" ht="4.5" customHeight="1" x14ac:dyDescent="0.3">
      <c r="A4" s="122"/>
      <c r="B4" s="122"/>
      <c r="C4" s="122"/>
      <c r="D4" s="122"/>
      <c r="E4" s="122"/>
      <c r="F4" s="122"/>
      <c r="G4" s="122"/>
      <c r="H4" s="122"/>
      <c r="I4" s="122"/>
    </row>
    <row r="5" spans="1:15" ht="15" customHeight="1" x14ac:dyDescent="0.3">
      <c r="A5" s="121" t="s">
        <v>79</v>
      </c>
      <c r="B5" s="121"/>
      <c r="C5" s="120" t="s">
        <v>78</v>
      </c>
      <c r="D5" s="116"/>
      <c r="E5" s="119" t="s">
        <v>77</v>
      </c>
      <c r="F5" s="119"/>
      <c r="G5" s="119"/>
      <c r="H5" s="119"/>
      <c r="I5" s="119"/>
    </row>
    <row r="6" spans="1:15" ht="34.5" customHeight="1" x14ac:dyDescent="0.3">
      <c r="A6" s="118"/>
      <c r="B6" s="118"/>
      <c r="C6" s="117"/>
      <c r="D6" s="116"/>
      <c r="E6" s="115" t="s">
        <v>90</v>
      </c>
      <c r="F6" s="115"/>
      <c r="G6" s="114"/>
      <c r="H6" s="136" t="s">
        <v>75</v>
      </c>
      <c r="I6" s="136"/>
    </row>
    <row r="7" spans="1:15" ht="15" customHeight="1" x14ac:dyDescent="0.3">
      <c r="A7" s="113"/>
      <c r="B7" s="113"/>
      <c r="C7" s="112"/>
      <c r="D7" s="111"/>
      <c r="E7" s="109" t="s">
        <v>74</v>
      </c>
      <c r="F7" s="109" t="s">
        <v>73</v>
      </c>
      <c r="G7" s="110"/>
      <c r="H7" s="137" t="s">
        <v>74</v>
      </c>
      <c r="I7" s="137" t="s">
        <v>73</v>
      </c>
    </row>
    <row r="8" spans="1:15" ht="4.5" customHeight="1" x14ac:dyDescent="0.3">
      <c r="B8" s="108"/>
      <c r="C8" s="107"/>
      <c r="D8" s="107"/>
      <c r="E8" s="106"/>
      <c r="F8" s="105"/>
      <c r="G8" s="105"/>
      <c r="H8" s="138"/>
      <c r="I8" s="139"/>
    </row>
    <row r="9" spans="1:15" s="99" customFormat="1" ht="12.75" customHeight="1" x14ac:dyDescent="0.2">
      <c r="A9" s="104" t="s">
        <v>72</v>
      </c>
      <c r="C9" s="150">
        <v>36968871</v>
      </c>
      <c r="D9" s="132"/>
      <c r="E9" s="131">
        <v>33955579</v>
      </c>
      <c r="F9" s="101">
        <v>91.8491100255672</v>
      </c>
      <c r="G9" s="101"/>
      <c r="H9" s="140">
        <v>2957388</v>
      </c>
      <c r="I9" s="141">
        <v>7.9996708582201501</v>
      </c>
      <c r="K9" s="100"/>
      <c r="L9" s="100"/>
      <c r="M9" s="100"/>
      <c r="O9" s="100"/>
    </row>
    <row r="10" spans="1:15" ht="12.75" customHeight="1" x14ac:dyDescent="0.2">
      <c r="A10" s="97" t="s">
        <v>71</v>
      </c>
      <c r="C10" s="129">
        <v>404976</v>
      </c>
      <c r="D10" s="130"/>
      <c r="E10" s="129">
        <v>376017</v>
      </c>
      <c r="F10" s="94">
        <v>92.849205878866897</v>
      </c>
      <c r="G10" s="94"/>
      <c r="H10" s="142">
        <v>28495</v>
      </c>
      <c r="I10" s="143">
        <v>7.0362194302872298</v>
      </c>
      <c r="K10" s="98"/>
    </row>
    <row r="11" spans="1:15" ht="12.75" customHeight="1" x14ac:dyDescent="0.2">
      <c r="A11" s="97" t="s">
        <v>70</v>
      </c>
      <c r="C11" s="129">
        <v>1188788</v>
      </c>
      <c r="D11" s="130"/>
      <c r="E11" s="129">
        <v>1042525</v>
      </c>
      <c r="F11" s="94">
        <v>87.696460596843195</v>
      </c>
      <c r="G11" s="94"/>
      <c r="H11" s="142">
        <v>132472</v>
      </c>
      <c r="I11" s="143">
        <v>11.1434503040071</v>
      </c>
    </row>
    <row r="12" spans="1:15" ht="12.75" customHeight="1" x14ac:dyDescent="0.2">
      <c r="A12" s="97" t="s">
        <v>69</v>
      </c>
      <c r="C12" s="129">
        <v>270678</v>
      </c>
      <c r="D12" s="130"/>
      <c r="E12" s="129">
        <v>236034</v>
      </c>
      <c r="F12" s="94">
        <v>87.201028528362102</v>
      </c>
      <c r="G12" s="94"/>
      <c r="H12" s="142">
        <v>34031</v>
      </c>
      <c r="I12" s="143">
        <v>12.572503121790501</v>
      </c>
    </row>
    <row r="13" spans="1:15" ht="12.75" customHeight="1" x14ac:dyDescent="0.2">
      <c r="A13" s="97" t="s">
        <v>68</v>
      </c>
      <c r="C13" s="129">
        <v>270573</v>
      </c>
      <c r="D13" s="130"/>
      <c r="E13" s="129">
        <v>266155</v>
      </c>
      <c r="F13" s="94">
        <v>98.367168934076901</v>
      </c>
      <c r="G13" s="94"/>
      <c r="H13" s="142">
        <v>4418</v>
      </c>
      <c r="I13" s="143">
        <v>1.63283106592306</v>
      </c>
    </row>
    <row r="14" spans="1:15" ht="12.75" customHeight="1" x14ac:dyDescent="0.2">
      <c r="A14" s="97" t="s">
        <v>67</v>
      </c>
      <c r="C14" s="129">
        <v>956756</v>
      </c>
      <c r="D14" s="130"/>
      <c r="E14" s="129">
        <v>937269</v>
      </c>
      <c r="F14" s="94">
        <v>97.963221552830603</v>
      </c>
      <c r="G14" s="94"/>
      <c r="H14" s="142">
        <v>19223</v>
      </c>
      <c r="I14" s="143">
        <v>2.0091852050052501</v>
      </c>
    </row>
    <row r="15" spans="1:15" ht="12.75" customHeight="1" x14ac:dyDescent="0.2">
      <c r="A15" s="97" t="s">
        <v>66</v>
      </c>
      <c r="C15" s="129">
        <v>245644</v>
      </c>
      <c r="D15" s="130"/>
      <c r="E15" s="129">
        <v>234177</v>
      </c>
      <c r="F15" s="94">
        <v>95.331862369933702</v>
      </c>
      <c r="G15" s="94"/>
      <c r="H15" s="142">
        <v>10856</v>
      </c>
      <c r="I15" s="143">
        <v>4.4194036898926896</v>
      </c>
    </row>
    <row r="16" spans="1:15" ht="12.75" customHeight="1" x14ac:dyDescent="0.2">
      <c r="A16" s="97" t="s">
        <v>65</v>
      </c>
      <c r="C16" s="129">
        <v>1430351</v>
      </c>
      <c r="D16" s="130"/>
      <c r="E16" s="129">
        <v>1396197</v>
      </c>
      <c r="F16" s="94">
        <v>97.612194489324693</v>
      </c>
      <c r="G16" s="94"/>
      <c r="H16" s="142">
        <v>32570</v>
      </c>
      <c r="I16" s="143">
        <v>2.2770634620453301</v>
      </c>
    </row>
    <row r="17" spans="1:9" ht="12.75" customHeight="1" x14ac:dyDescent="0.2">
      <c r="A17" s="97" t="s">
        <v>64</v>
      </c>
      <c r="C17" s="129">
        <v>1193845</v>
      </c>
      <c r="D17" s="130"/>
      <c r="E17" s="129">
        <v>1163430</v>
      </c>
      <c r="F17" s="94">
        <v>97.452349341832502</v>
      </c>
      <c r="G17" s="94"/>
      <c r="H17" s="142">
        <v>29293</v>
      </c>
      <c r="I17" s="143">
        <v>2.4536686085714599</v>
      </c>
    </row>
    <row r="18" spans="1:9" ht="12.75" customHeight="1" x14ac:dyDescent="0.2">
      <c r="A18" s="97" t="s">
        <v>63</v>
      </c>
      <c r="C18" s="129">
        <v>2947953</v>
      </c>
      <c r="D18" s="130"/>
      <c r="E18" s="129">
        <v>1794484</v>
      </c>
      <c r="F18" s="94">
        <v>60.872205221724997</v>
      </c>
      <c r="G18" s="94"/>
      <c r="H18" s="142">
        <v>1142432</v>
      </c>
      <c r="I18" s="143">
        <v>38.753399392731197</v>
      </c>
    </row>
    <row r="19" spans="1:9" ht="12.75" customHeight="1" x14ac:dyDescent="0.2">
      <c r="A19" s="97" t="s">
        <v>62</v>
      </c>
      <c r="C19" s="129">
        <v>517501</v>
      </c>
      <c r="D19" s="130"/>
      <c r="E19" s="129">
        <v>512955</v>
      </c>
      <c r="F19" s="94">
        <v>99.121547591212405</v>
      </c>
      <c r="G19" s="94"/>
      <c r="H19" s="142">
        <v>4546</v>
      </c>
      <c r="I19" s="143">
        <v>0.87845240878761599</v>
      </c>
    </row>
    <row r="20" spans="1:9" ht="12.75" customHeight="1" x14ac:dyDescent="0.2">
      <c r="A20" s="97" t="s">
        <v>61</v>
      </c>
      <c r="C20" s="129">
        <v>1651948</v>
      </c>
      <c r="D20" s="130"/>
      <c r="E20" s="129">
        <v>1586927</v>
      </c>
      <c r="F20" s="94">
        <v>96.063980222137701</v>
      </c>
      <c r="G20" s="94"/>
      <c r="H20" s="142">
        <v>63515</v>
      </c>
      <c r="I20" s="143">
        <v>3.8448546806558102</v>
      </c>
    </row>
    <row r="21" spans="1:9" ht="12.75" customHeight="1" x14ac:dyDescent="0.2">
      <c r="A21" s="97" t="s">
        <v>60</v>
      </c>
      <c r="C21" s="129">
        <v>1009741</v>
      </c>
      <c r="D21" s="130"/>
      <c r="E21" s="129">
        <v>962729</v>
      </c>
      <c r="F21" s="94">
        <v>95.344152609431504</v>
      </c>
      <c r="G21" s="94"/>
      <c r="H21" s="142">
        <v>46628</v>
      </c>
      <c r="I21" s="143">
        <v>4.6178178364550897</v>
      </c>
    </row>
    <row r="22" spans="1:9" ht="12.75" customHeight="1" x14ac:dyDescent="0.2">
      <c r="A22" s="97" t="s">
        <v>59</v>
      </c>
      <c r="C22" s="129">
        <v>891691</v>
      </c>
      <c r="D22" s="130"/>
      <c r="E22" s="129">
        <v>860693</v>
      </c>
      <c r="F22" s="94">
        <v>96.523683652745206</v>
      </c>
      <c r="G22" s="94"/>
      <c r="H22" s="142">
        <v>30534</v>
      </c>
      <c r="I22" s="143">
        <v>3.4242803841241001</v>
      </c>
    </row>
    <row r="23" spans="1:9" ht="12.75" customHeight="1" x14ac:dyDescent="0.2">
      <c r="A23" s="97" t="s">
        <v>58</v>
      </c>
      <c r="C23" s="129">
        <v>2379319</v>
      </c>
      <c r="D23" s="130"/>
      <c r="E23" s="129">
        <v>2189455</v>
      </c>
      <c r="F23" s="94">
        <v>92.020237723483106</v>
      </c>
      <c r="G23" s="94"/>
      <c r="H23" s="142">
        <v>189022</v>
      </c>
      <c r="I23" s="143">
        <v>7.9443739994511002</v>
      </c>
    </row>
    <row r="24" spans="1:9" ht="12.75" customHeight="1" x14ac:dyDescent="0.2">
      <c r="A24" s="97" t="s">
        <v>57</v>
      </c>
      <c r="C24" s="129">
        <v>4798616</v>
      </c>
      <c r="D24" s="130"/>
      <c r="E24" s="129">
        <v>4387668</v>
      </c>
      <c r="F24" s="94">
        <v>91.436114079559601</v>
      </c>
      <c r="G24" s="94"/>
      <c r="H24" s="142">
        <v>403468</v>
      </c>
      <c r="I24" s="143">
        <v>8.4080076422035006</v>
      </c>
    </row>
    <row r="25" spans="1:9" ht="12.75" customHeight="1" x14ac:dyDescent="0.2">
      <c r="A25" s="97" t="s">
        <v>56</v>
      </c>
      <c r="C25" s="129">
        <v>1375052</v>
      </c>
      <c r="D25" s="130"/>
      <c r="E25" s="129">
        <v>1334254</v>
      </c>
      <c r="F25" s="94">
        <v>97.032984934387898</v>
      </c>
      <c r="G25" s="94"/>
      <c r="H25" s="142">
        <v>40175</v>
      </c>
      <c r="I25" s="143">
        <v>2.9217076881456099</v>
      </c>
    </row>
    <row r="26" spans="1:9" ht="12.75" customHeight="1" x14ac:dyDescent="0.2">
      <c r="A26" s="97" t="s">
        <v>55</v>
      </c>
      <c r="C26" s="129">
        <v>594786</v>
      </c>
      <c r="D26" s="130"/>
      <c r="E26" s="129">
        <v>565320</v>
      </c>
      <c r="F26" s="94">
        <v>95.045949299411902</v>
      </c>
      <c r="G26" s="94"/>
      <c r="H26" s="142">
        <v>29192</v>
      </c>
      <c r="I26" s="143">
        <v>4.9079837117887797</v>
      </c>
    </row>
    <row r="27" spans="1:9" ht="12.75" customHeight="1" x14ac:dyDescent="0.2">
      <c r="A27" s="97" t="s">
        <v>54</v>
      </c>
      <c r="C27" s="129">
        <v>382292</v>
      </c>
      <c r="D27" s="130"/>
      <c r="E27" s="129">
        <v>363499</v>
      </c>
      <c r="F27" s="94">
        <v>95.084124177330395</v>
      </c>
      <c r="G27" s="94"/>
      <c r="H27" s="142">
        <v>18793</v>
      </c>
      <c r="I27" s="143">
        <v>4.9158758226695802</v>
      </c>
    </row>
    <row r="28" spans="1:9" ht="12.75" customHeight="1" x14ac:dyDescent="0.2">
      <c r="A28" s="97" t="s">
        <v>53</v>
      </c>
      <c r="C28" s="129">
        <v>1802942</v>
      </c>
      <c r="D28" s="130"/>
      <c r="E28" s="129">
        <v>1719779</v>
      </c>
      <c r="F28" s="94">
        <v>95.387372416860899</v>
      </c>
      <c r="G28" s="94"/>
      <c r="H28" s="142">
        <v>83163</v>
      </c>
      <c r="I28" s="143">
        <v>4.6126275831391101</v>
      </c>
    </row>
    <row r="29" spans="1:9" ht="12.75" customHeight="1" x14ac:dyDescent="0.2">
      <c r="A29" s="97" t="s">
        <v>52</v>
      </c>
      <c r="C29" s="129">
        <v>1184472</v>
      </c>
      <c r="D29" s="130"/>
      <c r="E29" s="129">
        <v>1164372</v>
      </c>
      <c r="F29" s="94">
        <v>98.303041355135505</v>
      </c>
      <c r="G29" s="94"/>
      <c r="H29" s="142">
        <v>20100</v>
      </c>
      <c r="I29" s="143">
        <v>1.6969586448645499</v>
      </c>
    </row>
    <row r="30" spans="1:9" ht="12.75" customHeight="1" x14ac:dyDescent="0.2">
      <c r="A30" s="97" t="s">
        <v>51</v>
      </c>
      <c r="C30" s="129">
        <v>1795448</v>
      </c>
      <c r="D30" s="130"/>
      <c r="E30" s="129">
        <v>1621716</v>
      </c>
      <c r="F30" s="94">
        <v>90.323752066336695</v>
      </c>
      <c r="G30" s="94"/>
      <c r="H30" s="142">
        <v>170416</v>
      </c>
      <c r="I30" s="143">
        <v>9.4915586527707791</v>
      </c>
    </row>
    <row r="31" spans="1:9" ht="12.75" customHeight="1" x14ac:dyDescent="0.2">
      <c r="A31" s="97" t="s">
        <v>50</v>
      </c>
      <c r="C31" s="129">
        <v>692663</v>
      </c>
      <c r="D31" s="130"/>
      <c r="E31" s="129">
        <v>654405</v>
      </c>
      <c r="F31" s="94">
        <v>94.476679135452599</v>
      </c>
      <c r="G31" s="94"/>
      <c r="H31" s="142">
        <v>38258</v>
      </c>
      <c r="I31" s="143">
        <v>5.5233208645474097</v>
      </c>
    </row>
    <row r="32" spans="1:9" ht="12.75" customHeight="1" x14ac:dyDescent="0.2">
      <c r="A32" s="97" t="s">
        <v>49</v>
      </c>
      <c r="C32" s="129">
        <v>586279</v>
      </c>
      <c r="D32" s="130"/>
      <c r="E32" s="129">
        <v>509773</v>
      </c>
      <c r="F32" s="94">
        <v>86.950581549057702</v>
      </c>
      <c r="G32" s="94"/>
      <c r="H32" s="142">
        <v>75635</v>
      </c>
      <c r="I32" s="143">
        <v>12.9008543713829</v>
      </c>
    </row>
    <row r="33" spans="1:13" ht="12.75" customHeight="1" x14ac:dyDescent="0.2">
      <c r="A33" s="97" t="s">
        <v>48</v>
      </c>
      <c r="C33" s="129">
        <v>790298</v>
      </c>
      <c r="D33" s="130"/>
      <c r="E33" s="129">
        <v>762754</v>
      </c>
      <c r="F33" s="94">
        <v>96.514732417391897</v>
      </c>
      <c r="G33" s="94"/>
      <c r="H33" s="142">
        <v>27063</v>
      </c>
      <c r="I33" s="143">
        <v>3.4244044651511198</v>
      </c>
    </row>
    <row r="34" spans="1:13" ht="12.75" customHeight="1" x14ac:dyDescent="0.2">
      <c r="A34" s="97" t="s">
        <v>47</v>
      </c>
      <c r="C34" s="129">
        <v>887590</v>
      </c>
      <c r="D34" s="130"/>
      <c r="E34" s="129">
        <v>869193</v>
      </c>
      <c r="F34" s="94">
        <v>97.9273087799547</v>
      </c>
      <c r="G34" s="94"/>
      <c r="H34" s="142">
        <v>18397</v>
      </c>
      <c r="I34" s="143">
        <v>2.0726912200452898</v>
      </c>
    </row>
    <row r="35" spans="1:13" ht="12.75" customHeight="1" x14ac:dyDescent="0.2">
      <c r="A35" s="97" t="s">
        <v>46</v>
      </c>
      <c r="C35" s="129">
        <v>930440</v>
      </c>
      <c r="D35" s="130"/>
      <c r="E35" s="129">
        <v>894128</v>
      </c>
      <c r="F35" s="94">
        <v>96.097330295344094</v>
      </c>
      <c r="G35" s="94"/>
      <c r="H35" s="142">
        <v>33437</v>
      </c>
      <c r="I35" s="143">
        <v>3.59367611022742</v>
      </c>
    </row>
    <row r="36" spans="1:13" ht="12.75" customHeight="1" x14ac:dyDescent="0.2">
      <c r="A36" s="97" t="s">
        <v>45</v>
      </c>
      <c r="C36" s="129">
        <v>691921</v>
      </c>
      <c r="D36" s="130"/>
      <c r="E36" s="129">
        <v>675169</v>
      </c>
      <c r="F36" s="94">
        <v>97.578914355829596</v>
      </c>
      <c r="G36" s="94"/>
      <c r="H36" s="142">
        <v>14911</v>
      </c>
      <c r="I36" s="143">
        <v>2.1550148066036399</v>
      </c>
    </row>
    <row r="37" spans="1:13" ht="12.75" customHeight="1" x14ac:dyDescent="0.2">
      <c r="A37" s="97" t="s">
        <v>44</v>
      </c>
      <c r="C37" s="129">
        <v>1097076</v>
      </c>
      <c r="D37" s="130"/>
      <c r="E37" s="129">
        <v>1031046</v>
      </c>
      <c r="F37" s="94">
        <v>93.981273858875795</v>
      </c>
      <c r="G37" s="94"/>
      <c r="H37" s="142">
        <v>66030</v>
      </c>
      <c r="I37" s="143">
        <v>6.0187261411242199</v>
      </c>
    </row>
    <row r="38" spans="1:13" ht="12.75" customHeight="1" x14ac:dyDescent="0.2">
      <c r="A38" s="97" t="s">
        <v>43</v>
      </c>
      <c r="C38" s="129">
        <v>355253</v>
      </c>
      <c r="D38" s="130"/>
      <c r="E38" s="129">
        <v>337627</v>
      </c>
      <c r="F38" s="94">
        <v>95.038465544274104</v>
      </c>
      <c r="G38" s="94"/>
      <c r="H38" s="142">
        <v>17626</v>
      </c>
      <c r="I38" s="143">
        <v>4.9615344557259196</v>
      </c>
    </row>
    <row r="39" spans="1:13" ht="12.75" customHeight="1" x14ac:dyDescent="0.2">
      <c r="A39" s="97" t="s">
        <v>42</v>
      </c>
      <c r="C39" s="129">
        <v>2521081</v>
      </c>
      <c r="D39" s="130"/>
      <c r="E39" s="129">
        <v>2401868</v>
      </c>
      <c r="F39" s="94">
        <v>95.271353835913999</v>
      </c>
      <c r="G39" s="94"/>
      <c r="H39" s="142">
        <v>114401</v>
      </c>
      <c r="I39" s="143">
        <v>4.5377756605202304</v>
      </c>
    </row>
    <row r="40" spans="1:13" ht="12.75" customHeight="1" x14ac:dyDescent="0.2">
      <c r="A40" s="97" t="s">
        <v>41</v>
      </c>
      <c r="C40" s="129">
        <v>671313</v>
      </c>
      <c r="D40" s="130"/>
      <c r="E40" s="129">
        <v>662344</v>
      </c>
      <c r="F40" s="94">
        <v>98.663961520185097</v>
      </c>
      <c r="G40" s="94"/>
      <c r="H40" s="142">
        <v>8969</v>
      </c>
      <c r="I40" s="143">
        <v>1.3360384798149301</v>
      </c>
    </row>
    <row r="41" spans="1:13" ht="12.75" customHeight="1" x14ac:dyDescent="0.2">
      <c r="A41" s="93" t="s">
        <v>40</v>
      </c>
      <c r="B41" s="92"/>
      <c r="C41" s="127">
        <v>451585</v>
      </c>
      <c r="D41" s="128"/>
      <c r="E41" s="127">
        <v>441617</v>
      </c>
      <c r="F41" s="89">
        <v>97.792663618144999</v>
      </c>
      <c r="G41" s="89"/>
      <c r="H41" s="144">
        <v>9319</v>
      </c>
      <c r="I41" s="145">
        <v>2.06362035940078</v>
      </c>
    </row>
    <row r="42" spans="1:13" ht="4.5" customHeight="1" x14ac:dyDescent="0.3">
      <c r="B42" s="88"/>
      <c r="C42" s="87"/>
      <c r="D42" s="87"/>
      <c r="E42" s="87"/>
      <c r="F42" s="86"/>
      <c r="G42" s="86"/>
      <c r="H42" s="146"/>
      <c r="I42" s="147"/>
    </row>
    <row r="43" spans="1:13" s="79" customFormat="1" ht="34.5" customHeight="1" x14ac:dyDescent="0.25">
      <c r="A43" s="85" t="s">
        <v>39</v>
      </c>
      <c r="B43" s="85"/>
      <c r="C43" s="85"/>
      <c r="D43" s="85"/>
      <c r="E43" s="85"/>
      <c r="F43" s="85"/>
      <c r="G43" s="85"/>
      <c r="H43" s="85"/>
      <c r="I43" s="85"/>
      <c r="J43" s="84"/>
      <c r="K43" s="84"/>
      <c r="L43" s="84"/>
      <c r="M43" s="84"/>
    </row>
    <row r="44" spans="1:13" s="79" customFormat="1" ht="12.75" customHeight="1" x14ac:dyDescent="0.25">
      <c r="A44" s="83" t="s">
        <v>38</v>
      </c>
      <c r="B44" s="83"/>
      <c r="H44" s="148"/>
      <c r="I44" s="148"/>
    </row>
    <row r="45" spans="1:13" s="79" customFormat="1" ht="12.75" customHeight="1" x14ac:dyDescent="0.25">
      <c r="A45" s="83" t="s">
        <v>37</v>
      </c>
      <c r="B45" s="82"/>
      <c r="H45" s="148"/>
      <c r="I45" s="148"/>
    </row>
    <row r="46" spans="1:13" s="79" customFormat="1" ht="12.75" customHeight="1" x14ac:dyDescent="0.25">
      <c r="A46" s="81" t="s">
        <v>36</v>
      </c>
      <c r="B46" s="81"/>
      <c r="C46" s="81"/>
      <c r="D46" s="81"/>
      <c r="H46" s="148"/>
      <c r="I46" s="148"/>
    </row>
    <row r="47" spans="1:13" s="79" customFormat="1" ht="12.75" customHeight="1" x14ac:dyDescent="0.25">
      <c r="A47" s="80" t="s">
        <v>35</v>
      </c>
      <c r="B47" s="80"/>
      <c r="C47" s="80"/>
      <c r="D47" s="80"/>
      <c r="H47" s="148"/>
      <c r="I47" s="148"/>
    </row>
    <row r="48" spans="1:13" s="75" customFormat="1" ht="12.75" customHeight="1" x14ac:dyDescent="0.3">
      <c r="A48" s="78" t="s">
        <v>94</v>
      </c>
      <c r="B48" s="78"/>
      <c r="C48" s="78"/>
      <c r="D48" s="78"/>
      <c r="E48" s="78"/>
      <c r="F48" s="78"/>
      <c r="G48" s="78"/>
      <c r="H48" s="78"/>
      <c r="I48" s="78"/>
    </row>
    <row r="49" spans="1:9" s="75" customFormat="1" ht="12.75" customHeight="1" x14ac:dyDescent="0.3">
      <c r="A49" s="77" t="s">
        <v>88</v>
      </c>
      <c r="C49" s="77"/>
      <c r="H49" s="149"/>
      <c r="I49" s="149"/>
    </row>
    <row r="50" spans="1:9" s="75" customFormat="1" ht="12.75" customHeight="1" x14ac:dyDescent="0.3">
      <c r="A50" s="76" t="s">
        <v>93</v>
      </c>
      <c r="C50" s="76"/>
      <c r="H50" s="149"/>
      <c r="I50" s="149"/>
    </row>
    <row r="51" spans="1:9" ht="12.75" customHeight="1" x14ac:dyDescent="0.3">
      <c r="B51" s="74"/>
      <c r="C51" s="74"/>
    </row>
    <row r="52" spans="1:9" ht="12.75" customHeight="1" x14ac:dyDescent="0.3">
      <c r="A52" s="73" t="s">
        <v>92</v>
      </c>
      <c r="C52" s="72"/>
    </row>
  </sheetData>
  <mergeCells count="11">
    <mergeCell ref="H6:I6"/>
    <mergeCell ref="A48:I48"/>
    <mergeCell ref="A43:I43"/>
    <mergeCell ref="A46:D46"/>
    <mergeCell ref="A47:D47"/>
    <mergeCell ref="A3:H3"/>
    <mergeCell ref="A4:I4"/>
    <mergeCell ref="A5:B7"/>
    <mergeCell ref="C5:C7"/>
    <mergeCell ref="E5:I5"/>
    <mergeCell ref="E6:F6"/>
  </mergeCells>
  <hyperlinks>
    <hyperlink ref="K3" location="'INDICE '!A1" display="ÍNDICE" xr:uid="{87464BF2-B7D4-4418-9C02-68A600F41833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932DF-67D4-45DF-BC13-A7F02B336093}">
  <sheetPr>
    <pageSetUpPr fitToPage="1"/>
  </sheetPr>
  <dimension ref="A1:O52"/>
  <sheetViews>
    <sheetView showGridLines="0" topLeftCell="A3" zoomScaleNormal="100" zoomScaleSheetLayoutView="100" workbookViewId="0">
      <selection activeCell="O16" sqref="O16"/>
    </sheetView>
  </sheetViews>
  <sheetFormatPr defaultColWidth="11.5546875" defaultRowHeight="13.2" x14ac:dyDescent="0.25"/>
  <cols>
    <col min="1" max="1" width="1.33203125" style="9" customWidth="1"/>
    <col min="2" max="2" width="30.6640625" style="9" customWidth="1"/>
    <col min="3" max="3" width="18.6640625" style="9" customWidth="1"/>
    <col min="4" max="4" width="0.88671875" style="9" customWidth="1"/>
    <col min="5" max="6" width="12.6640625" style="9" customWidth="1"/>
    <col min="7" max="7" width="0.88671875" style="9" customWidth="1"/>
    <col min="8" max="9" width="12.6640625" style="9" customWidth="1"/>
    <col min="10" max="16384" width="11.5546875" style="9"/>
  </cols>
  <sheetData>
    <row r="1" spans="1:15" ht="15" customHeight="1" x14ac:dyDescent="0.25">
      <c r="A1" s="69" t="s">
        <v>84</v>
      </c>
    </row>
    <row r="2" spans="1:15" ht="11.25" customHeight="1" x14ac:dyDescent="0.25">
      <c r="B2" s="20"/>
    </row>
    <row r="3" spans="1:15" ht="27" customHeight="1" x14ac:dyDescent="0.25">
      <c r="A3" s="67" t="s">
        <v>83</v>
      </c>
      <c r="B3" s="67"/>
      <c r="C3" s="67"/>
      <c r="D3" s="67"/>
      <c r="E3" s="67"/>
      <c r="F3" s="68"/>
      <c r="G3" s="67"/>
      <c r="H3" s="67"/>
      <c r="I3" s="66" t="s">
        <v>82</v>
      </c>
      <c r="J3" s="65" t="s">
        <v>81</v>
      </c>
      <c r="K3" s="64" t="s">
        <v>80</v>
      </c>
    </row>
    <row r="4" spans="1:15" ht="4.5" customHeight="1" x14ac:dyDescent="0.25">
      <c r="A4" s="63"/>
      <c r="B4" s="63"/>
      <c r="C4" s="63"/>
      <c r="D4" s="63"/>
      <c r="E4" s="63"/>
      <c r="F4" s="54"/>
      <c r="G4" s="63"/>
      <c r="H4" s="63"/>
      <c r="I4" s="54"/>
    </row>
    <row r="5" spans="1:15" ht="15" customHeight="1" x14ac:dyDescent="0.25">
      <c r="A5" s="62" t="s">
        <v>79</v>
      </c>
      <c r="B5" s="62"/>
      <c r="C5" s="61" t="s">
        <v>78</v>
      </c>
      <c r="D5" s="56"/>
      <c r="E5" s="60" t="s">
        <v>77</v>
      </c>
      <c r="F5" s="59"/>
      <c r="G5" s="60"/>
      <c r="H5" s="60"/>
      <c r="I5" s="59"/>
    </row>
    <row r="6" spans="1:15" ht="34.5" customHeight="1" x14ac:dyDescent="0.25">
      <c r="A6" s="58"/>
      <c r="B6" s="58"/>
      <c r="C6" s="57"/>
      <c r="D6" s="56"/>
      <c r="E6" s="55" t="s">
        <v>76</v>
      </c>
      <c r="F6" s="54"/>
      <c r="G6" s="53"/>
      <c r="H6" s="52" t="s">
        <v>75</v>
      </c>
      <c r="I6" s="51"/>
    </row>
    <row r="7" spans="1:15" ht="15" customHeight="1" x14ac:dyDescent="0.25">
      <c r="A7" s="50"/>
      <c r="B7" s="50"/>
      <c r="C7" s="49"/>
      <c r="D7" s="48"/>
      <c r="E7" s="46" t="s">
        <v>74</v>
      </c>
      <c r="F7" s="45" t="s">
        <v>73</v>
      </c>
      <c r="G7" s="47"/>
      <c r="H7" s="46" t="s">
        <v>74</v>
      </c>
      <c r="I7" s="45" t="s">
        <v>73</v>
      </c>
    </row>
    <row r="8" spans="1:15" ht="4.5" customHeight="1" x14ac:dyDescent="0.25">
      <c r="B8" s="44"/>
      <c r="C8" s="43"/>
      <c r="D8" s="43"/>
      <c r="E8" s="42"/>
      <c r="F8" s="41"/>
      <c r="G8" s="40"/>
      <c r="H8" s="40"/>
      <c r="I8" s="39"/>
    </row>
    <row r="9" spans="1:15" ht="12.75" customHeight="1" x14ac:dyDescent="0.25">
      <c r="A9" s="38" t="s">
        <v>72</v>
      </c>
      <c r="C9" s="70">
        <v>38356042</v>
      </c>
      <c r="D9" s="37"/>
      <c r="E9" s="37">
        <v>29006872</v>
      </c>
      <c r="F9" s="36">
        <v>75.625300441583605</v>
      </c>
      <c r="G9" s="37"/>
      <c r="H9" s="37">
        <v>9304116</v>
      </c>
      <c r="I9" s="36">
        <v>24.257236969341101</v>
      </c>
      <c r="J9" s="35"/>
      <c r="K9" s="34"/>
      <c r="L9" s="34"/>
      <c r="M9" s="34"/>
      <c r="O9" s="34"/>
    </row>
    <row r="10" spans="1:15" ht="12.75" customHeight="1" x14ac:dyDescent="0.25">
      <c r="A10" s="32" t="s">
        <v>71</v>
      </c>
      <c r="C10" s="31">
        <v>430980</v>
      </c>
      <c r="D10" s="31"/>
      <c r="E10" s="31">
        <v>382992</v>
      </c>
      <c r="F10" s="30">
        <v>88.865376583600195</v>
      </c>
      <c r="G10" s="31"/>
      <c r="H10" s="31">
        <v>47709</v>
      </c>
      <c r="I10" s="30">
        <v>11.0698872337463</v>
      </c>
      <c r="K10" s="33"/>
    </row>
    <row r="11" spans="1:15" ht="12.75" customHeight="1" x14ac:dyDescent="0.25">
      <c r="A11" s="32" t="s">
        <v>70</v>
      </c>
      <c r="C11" s="31">
        <v>1188652</v>
      </c>
      <c r="D11" s="31"/>
      <c r="E11" s="31">
        <v>894701</v>
      </c>
      <c r="F11" s="30">
        <v>75.270222066677206</v>
      </c>
      <c r="G11" s="31"/>
      <c r="H11" s="31">
        <v>290644</v>
      </c>
      <c r="I11" s="30">
        <v>24.451563619966102</v>
      </c>
    </row>
    <row r="12" spans="1:15" ht="12.75" customHeight="1" x14ac:dyDescent="0.25">
      <c r="A12" s="32" t="s">
        <v>69</v>
      </c>
      <c r="C12" s="31">
        <v>275159</v>
      </c>
      <c r="D12" s="31"/>
      <c r="E12" s="31">
        <v>215031</v>
      </c>
      <c r="F12" s="30">
        <v>78.147907210013102</v>
      </c>
      <c r="G12" s="31"/>
      <c r="H12" s="31">
        <v>59816</v>
      </c>
      <c r="I12" s="30">
        <v>21.7387038039824</v>
      </c>
    </row>
    <row r="13" spans="1:15" ht="12.75" customHeight="1" x14ac:dyDescent="0.25">
      <c r="A13" s="32" t="s">
        <v>68</v>
      </c>
      <c r="C13" s="31">
        <v>270527</v>
      </c>
      <c r="D13" s="31"/>
      <c r="E13" s="31">
        <v>222896</v>
      </c>
      <c r="F13" s="30">
        <v>82.393254647410402</v>
      </c>
      <c r="G13" s="31"/>
      <c r="H13" s="31">
        <v>47631</v>
      </c>
      <c r="I13" s="30">
        <v>17.606745352589598</v>
      </c>
    </row>
    <row r="14" spans="1:15" ht="12.75" customHeight="1" x14ac:dyDescent="0.25">
      <c r="A14" s="32" t="s">
        <v>67</v>
      </c>
      <c r="C14" s="31">
        <v>1010678</v>
      </c>
      <c r="D14" s="31"/>
      <c r="E14" s="31">
        <v>940938</v>
      </c>
      <c r="F14" s="30">
        <v>93.099681599876504</v>
      </c>
      <c r="G14" s="31"/>
      <c r="H14" s="31">
        <v>69000</v>
      </c>
      <c r="I14" s="30">
        <v>6.8271002238101604</v>
      </c>
    </row>
    <row r="15" spans="1:15" ht="12.75" customHeight="1" x14ac:dyDescent="0.25">
      <c r="A15" s="32" t="s">
        <v>66</v>
      </c>
      <c r="C15" s="31">
        <v>241824</v>
      </c>
      <c r="D15" s="31"/>
      <c r="E15" s="31">
        <v>217704</v>
      </c>
      <c r="F15" s="30">
        <v>90.025803890432698</v>
      </c>
      <c r="G15" s="31"/>
      <c r="H15" s="31">
        <v>23629</v>
      </c>
      <c r="I15" s="30">
        <v>9.7711558819637396</v>
      </c>
    </row>
    <row r="16" spans="1:15" ht="12.75" customHeight="1" x14ac:dyDescent="0.25">
      <c r="A16" s="32" t="s">
        <v>65</v>
      </c>
      <c r="C16" s="31">
        <v>1527562</v>
      </c>
      <c r="D16" s="31"/>
      <c r="E16" s="31">
        <v>1318351</v>
      </c>
      <c r="F16" s="30">
        <v>86.304254753653197</v>
      </c>
      <c r="G16" s="31"/>
      <c r="H16" s="31">
        <v>208554</v>
      </c>
      <c r="I16" s="30">
        <v>13.652735535448</v>
      </c>
    </row>
    <row r="17" spans="1:9" ht="12.75" customHeight="1" x14ac:dyDescent="0.25">
      <c r="A17" s="32" t="s">
        <v>64</v>
      </c>
      <c r="C17" s="31">
        <v>1216358</v>
      </c>
      <c r="D17" s="31"/>
      <c r="E17" s="31">
        <v>1114931</v>
      </c>
      <c r="F17" s="30">
        <v>91.661418759937405</v>
      </c>
      <c r="G17" s="31"/>
      <c r="H17" s="31">
        <v>99306</v>
      </c>
      <c r="I17" s="30">
        <v>8.1642082347466793</v>
      </c>
    </row>
    <row r="18" spans="1:9" ht="12.75" customHeight="1" x14ac:dyDescent="0.25">
      <c r="A18" s="32" t="s">
        <v>63</v>
      </c>
      <c r="C18" s="31">
        <v>3029724</v>
      </c>
      <c r="D18" s="31"/>
      <c r="E18" s="31">
        <v>972591</v>
      </c>
      <c r="F18" s="30">
        <v>32.101636980794297</v>
      </c>
      <c r="G18" s="31"/>
      <c r="H18" s="31">
        <v>2047203</v>
      </c>
      <c r="I18" s="30">
        <v>67.570610392233704</v>
      </c>
    </row>
    <row r="19" spans="1:9" ht="12.75" customHeight="1" x14ac:dyDescent="0.25">
      <c r="A19" s="32" t="s">
        <v>62</v>
      </c>
      <c r="C19" s="31">
        <v>532752</v>
      </c>
      <c r="D19" s="31"/>
      <c r="E19" s="31">
        <v>497841</v>
      </c>
      <c r="F19" s="30">
        <v>93.447044778808902</v>
      </c>
      <c r="G19" s="31"/>
      <c r="H19" s="31">
        <v>34669</v>
      </c>
      <c r="I19" s="30">
        <v>6.50753070847224</v>
      </c>
    </row>
    <row r="20" spans="1:9" ht="12.75" customHeight="1" x14ac:dyDescent="0.25">
      <c r="A20" s="32" t="s">
        <v>61</v>
      </c>
      <c r="C20" s="31">
        <v>1746818</v>
      </c>
      <c r="D20" s="31"/>
      <c r="E20" s="31">
        <v>1479256</v>
      </c>
      <c r="F20" s="30">
        <v>84.682891978443095</v>
      </c>
      <c r="G20" s="31"/>
      <c r="H20" s="31">
        <v>267562</v>
      </c>
      <c r="I20" s="30">
        <v>15.3171080215569</v>
      </c>
    </row>
    <row r="21" spans="1:9" ht="12.75" customHeight="1" x14ac:dyDescent="0.25">
      <c r="A21" s="32" t="s">
        <v>60</v>
      </c>
      <c r="C21" s="31">
        <v>990805</v>
      </c>
      <c r="D21" s="31"/>
      <c r="E21" s="31">
        <v>721003</v>
      </c>
      <c r="F21" s="30">
        <v>72.769414768799095</v>
      </c>
      <c r="G21" s="31"/>
      <c r="H21" s="31">
        <v>268339</v>
      </c>
      <c r="I21" s="30">
        <v>27.082927518532902</v>
      </c>
    </row>
    <row r="22" spans="1:9" ht="12.75" customHeight="1" x14ac:dyDescent="0.25">
      <c r="A22" s="32" t="s">
        <v>59</v>
      </c>
      <c r="C22" s="31">
        <v>964225</v>
      </c>
      <c r="D22" s="31"/>
      <c r="E22" s="31">
        <v>745546</v>
      </c>
      <c r="F22" s="30">
        <v>77.320749824988994</v>
      </c>
      <c r="G22" s="31"/>
      <c r="H22" s="31">
        <v>217760</v>
      </c>
      <c r="I22" s="30">
        <v>22.583940470325899</v>
      </c>
    </row>
    <row r="23" spans="1:9" ht="12.75" customHeight="1" x14ac:dyDescent="0.25">
      <c r="A23" s="32" t="s">
        <v>58</v>
      </c>
      <c r="C23" s="31">
        <v>2622667</v>
      </c>
      <c r="D23" s="31"/>
      <c r="E23" s="31">
        <v>2079648</v>
      </c>
      <c r="F23" s="30">
        <v>79.295160231931803</v>
      </c>
      <c r="G23" s="31"/>
      <c r="H23" s="31">
        <v>540125</v>
      </c>
      <c r="I23" s="30">
        <v>20.594494077974801</v>
      </c>
    </row>
    <row r="24" spans="1:9" ht="12.75" customHeight="1" x14ac:dyDescent="0.25">
      <c r="A24" s="32" t="s">
        <v>57</v>
      </c>
      <c r="C24" s="31">
        <v>5039462</v>
      </c>
      <c r="D24" s="31"/>
      <c r="E24" s="31">
        <v>3357670</v>
      </c>
      <c r="F24" s="30">
        <v>66.627548734368901</v>
      </c>
      <c r="G24" s="31"/>
      <c r="H24" s="31">
        <v>1673728</v>
      </c>
      <c r="I24" s="30">
        <v>33.212434184442699</v>
      </c>
    </row>
    <row r="25" spans="1:9" ht="12.75" customHeight="1" x14ac:dyDescent="0.25">
      <c r="A25" s="32" t="s">
        <v>56</v>
      </c>
      <c r="C25" s="31">
        <v>1407871</v>
      </c>
      <c r="D25" s="31"/>
      <c r="E25" s="31">
        <v>1176886</v>
      </c>
      <c r="F25" s="30">
        <v>83.593312171356601</v>
      </c>
      <c r="G25" s="31"/>
      <c r="H25" s="31">
        <v>229542</v>
      </c>
      <c r="I25" s="30">
        <v>16.304192642649799</v>
      </c>
    </row>
    <row r="26" spans="1:9" ht="12.75" customHeight="1" x14ac:dyDescent="0.25">
      <c r="A26" s="32" t="s">
        <v>55</v>
      </c>
      <c r="C26" s="31">
        <v>598036</v>
      </c>
      <c r="D26" s="31"/>
      <c r="E26" s="31">
        <v>404426</v>
      </c>
      <c r="F26" s="30">
        <v>67.625694774227597</v>
      </c>
      <c r="G26" s="31"/>
      <c r="H26" s="31">
        <v>193268</v>
      </c>
      <c r="I26" s="30">
        <v>32.317118033028102</v>
      </c>
    </row>
    <row r="27" spans="1:9" ht="12.75" customHeight="1" x14ac:dyDescent="0.25">
      <c r="A27" s="32" t="s">
        <v>54</v>
      </c>
      <c r="C27" s="31">
        <v>385341</v>
      </c>
      <c r="D27" s="31"/>
      <c r="E27" s="31">
        <v>328300</v>
      </c>
      <c r="F27" s="30">
        <v>85.197266836386504</v>
      </c>
      <c r="G27" s="31"/>
      <c r="H27" s="31">
        <v>56486</v>
      </c>
      <c r="I27" s="30">
        <v>14.6587048873595</v>
      </c>
    </row>
    <row r="28" spans="1:9" ht="12.75" customHeight="1" x14ac:dyDescent="0.25">
      <c r="A28" s="32" t="s">
        <v>53</v>
      </c>
      <c r="C28" s="31">
        <v>1843783</v>
      </c>
      <c r="D28" s="31"/>
      <c r="E28" s="31">
        <v>1631629</v>
      </c>
      <c r="F28" s="30">
        <v>88.493548318864001</v>
      </c>
      <c r="G28" s="31"/>
      <c r="H28" s="31">
        <v>211059</v>
      </c>
      <c r="I28" s="30">
        <v>11.4470629135858</v>
      </c>
    </row>
    <row r="29" spans="1:9" ht="12.75" customHeight="1" x14ac:dyDescent="0.25">
      <c r="A29" s="32" t="s">
        <v>52</v>
      </c>
      <c r="C29" s="31">
        <v>1196565</v>
      </c>
      <c r="D29" s="31"/>
      <c r="E29" s="31">
        <v>942119</v>
      </c>
      <c r="F29" s="30">
        <v>78.735296452762697</v>
      </c>
      <c r="G29" s="31"/>
      <c r="H29" s="31">
        <v>253126</v>
      </c>
      <c r="I29" s="30">
        <v>21.154387768320099</v>
      </c>
    </row>
    <row r="30" spans="1:9" ht="12.75" customHeight="1" x14ac:dyDescent="0.25">
      <c r="A30" s="32" t="s">
        <v>51</v>
      </c>
      <c r="C30" s="31">
        <v>1865054</v>
      </c>
      <c r="D30" s="31"/>
      <c r="E30" s="31">
        <v>1354076</v>
      </c>
      <c r="F30" s="30">
        <v>72.602509096251396</v>
      </c>
      <c r="G30" s="31"/>
      <c r="H30" s="31">
        <v>510209</v>
      </c>
      <c r="I30" s="30">
        <v>27.3562588536311</v>
      </c>
    </row>
    <row r="31" spans="1:9" ht="12.75" customHeight="1" x14ac:dyDescent="0.25">
      <c r="A31" s="32" t="s">
        <v>50</v>
      </c>
      <c r="C31" s="31">
        <v>741325</v>
      </c>
      <c r="D31" s="31"/>
      <c r="E31" s="31">
        <v>613743</v>
      </c>
      <c r="F31" s="30">
        <v>82.790004384042106</v>
      </c>
      <c r="G31" s="31"/>
      <c r="H31" s="31">
        <v>126728</v>
      </c>
      <c r="I31" s="30">
        <v>17.094796479277001</v>
      </c>
    </row>
    <row r="32" spans="1:9" ht="12.75" customHeight="1" x14ac:dyDescent="0.25">
      <c r="A32" s="32" t="s">
        <v>49</v>
      </c>
      <c r="C32" s="31">
        <v>590284</v>
      </c>
      <c r="D32" s="31"/>
      <c r="E32" s="31">
        <v>425660</v>
      </c>
      <c r="F32" s="30">
        <v>72.111051629385202</v>
      </c>
      <c r="G32" s="31"/>
      <c r="H32" s="31">
        <v>163813</v>
      </c>
      <c r="I32" s="30">
        <v>27.7515568777063</v>
      </c>
    </row>
    <row r="33" spans="1:13" ht="12.75" customHeight="1" x14ac:dyDescent="0.25">
      <c r="A33" s="32" t="s">
        <v>48</v>
      </c>
      <c r="C33" s="31">
        <v>833815</v>
      </c>
      <c r="D33" s="31"/>
      <c r="E33" s="31">
        <v>717288</v>
      </c>
      <c r="F33" s="30">
        <v>86.024837643841906</v>
      </c>
      <c r="G33" s="31"/>
      <c r="H33" s="31">
        <v>116527</v>
      </c>
      <c r="I33" s="30">
        <v>13.9751623561581</v>
      </c>
    </row>
    <row r="34" spans="1:13" ht="12.75" customHeight="1" x14ac:dyDescent="0.25">
      <c r="A34" s="32" t="s">
        <v>47</v>
      </c>
      <c r="C34" s="31">
        <v>939698</v>
      </c>
      <c r="D34" s="31"/>
      <c r="E34" s="31">
        <v>830485</v>
      </c>
      <c r="F34" s="30">
        <v>88.377861823692299</v>
      </c>
      <c r="G34" s="31"/>
      <c r="H34" s="31">
        <v>108314</v>
      </c>
      <c r="I34" s="30">
        <v>11.5264691422138</v>
      </c>
    </row>
    <row r="35" spans="1:13" ht="12.75" customHeight="1" x14ac:dyDescent="0.25">
      <c r="A35" s="32" t="s">
        <v>46</v>
      </c>
      <c r="C35" s="31">
        <v>941596</v>
      </c>
      <c r="D35" s="31"/>
      <c r="E35" s="31">
        <v>814317</v>
      </c>
      <c r="F35" s="30">
        <v>86.482631616956695</v>
      </c>
      <c r="G35" s="31"/>
      <c r="H35" s="31">
        <v>126003</v>
      </c>
      <c r="I35" s="30">
        <v>13.3818537886737</v>
      </c>
    </row>
    <row r="36" spans="1:13" ht="12.75" customHeight="1" x14ac:dyDescent="0.25">
      <c r="A36" s="32" t="s">
        <v>45</v>
      </c>
      <c r="C36" s="31">
        <v>740239</v>
      </c>
      <c r="D36" s="31"/>
      <c r="E36" s="31">
        <v>496094</v>
      </c>
      <c r="F36" s="30">
        <v>67.018084699671306</v>
      </c>
      <c r="G36" s="31"/>
      <c r="H36" s="31">
        <v>242142</v>
      </c>
      <c r="I36" s="30">
        <v>32.711327017355202</v>
      </c>
    </row>
    <row r="37" spans="1:13" ht="12.75" customHeight="1" x14ac:dyDescent="0.25">
      <c r="A37" s="32" t="s">
        <v>44</v>
      </c>
      <c r="C37" s="31">
        <v>1107790</v>
      </c>
      <c r="D37" s="31"/>
      <c r="E37" s="31">
        <v>871906</v>
      </c>
      <c r="F37" s="30">
        <v>78.7067946090866</v>
      </c>
      <c r="G37" s="31"/>
      <c r="H37" s="31">
        <v>234646</v>
      </c>
      <c r="I37" s="30">
        <v>21.181451358109399</v>
      </c>
    </row>
    <row r="38" spans="1:13" ht="12.75" customHeight="1" x14ac:dyDescent="0.25">
      <c r="A38" s="32" t="s">
        <v>43</v>
      </c>
      <c r="C38" s="31">
        <v>401022</v>
      </c>
      <c r="D38" s="31"/>
      <c r="E38" s="31">
        <v>314592</v>
      </c>
      <c r="F38" s="30">
        <v>78.447566467675102</v>
      </c>
      <c r="G38" s="31"/>
      <c r="H38" s="31">
        <v>86430</v>
      </c>
      <c r="I38" s="30">
        <v>21.552433532324901</v>
      </c>
    </row>
    <row r="39" spans="1:13" ht="12.75" customHeight="1" x14ac:dyDescent="0.25">
      <c r="A39" s="32" t="s">
        <v>42</v>
      </c>
      <c r="C39" s="31">
        <v>2493877</v>
      </c>
      <c r="D39" s="31"/>
      <c r="E39" s="31">
        <v>1865711</v>
      </c>
      <c r="F39" s="30">
        <v>74.811668739075699</v>
      </c>
      <c r="G39" s="31"/>
      <c r="H39" s="31">
        <v>627317</v>
      </c>
      <c r="I39" s="30">
        <v>25.1542878818803</v>
      </c>
    </row>
    <row r="40" spans="1:13" ht="12.75" customHeight="1" x14ac:dyDescent="0.25">
      <c r="A40" s="32" t="s">
        <v>41</v>
      </c>
      <c r="C40" s="31">
        <v>706464</v>
      </c>
      <c r="D40" s="31"/>
      <c r="E40" s="31">
        <v>629199</v>
      </c>
      <c r="F40" s="30">
        <v>89.063136975132494</v>
      </c>
      <c r="G40" s="31"/>
      <c r="H40" s="31">
        <v>77265</v>
      </c>
      <c r="I40" s="30">
        <v>10.936863024867501</v>
      </c>
    </row>
    <row r="41" spans="1:13" ht="12.75" customHeight="1" x14ac:dyDescent="0.25">
      <c r="A41" s="29" t="s">
        <v>40</v>
      </c>
      <c r="B41" s="28"/>
      <c r="C41" s="27">
        <v>475089</v>
      </c>
      <c r="D41" s="27"/>
      <c r="E41" s="27">
        <v>429342</v>
      </c>
      <c r="F41" s="26">
        <v>90.370856828930997</v>
      </c>
      <c r="G41" s="27"/>
      <c r="H41" s="27">
        <v>45566</v>
      </c>
      <c r="I41" s="26">
        <v>9.5910450462965908</v>
      </c>
    </row>
    <row r="42" spans="1:13" ht="4.5" customHeight="1" x14ac:dyDescent="0.25">
      <c r="B42" s="21"/>
      <c r="C42" s="25"/>
      <c r="D42" s="25"/>
      <c r="E42" s="25"/>
      <c r="F42" s="24"/>
      <c r="G42" s="24"/>
      <c r="H42" s="25"/>
      <c r="I42" s="24"/>
    </row>
    <row r="43" spans="1:13" ht="34.5" customHeight="1" x14ac:dyDescent="0.25">
      <c r="A43" s="23" t="s">
        <v>39</v>
      </c>
      <c r="B43" s="23"/>
      <c r="C43" s="23"/>
      <c r="D43" s="23"/>
      <c r="E43" s="23"/>
      <c r="F43" s="23"/>
      <c r="G43" s="23"/>
      <c r="H43" s="23"/>
      <c r="I43" s="23"/>
      <c r="J43" s="22"/>
      <c r="K43" s="22"/>
      <c r="L43" s="22"/>
      <c r="M43" s="22"/>
    </row>
    <row r="44" spans="1:13" ht="12.75" customHeight="1" x14ac:dyDescent="0.25">
      <c r="A44" s="21" t="s">
        <v>38</v>
      </c>
      <c r="B44" s="21"/>
    </row>
    <row r="45" spans="1:13" ht="12.75" customHeight="1" x14ac:dyDescent="0.25">
      <c r="A45" s="21" t="s">
        <v>37</v>
      </c>
      <c r="B45" s="20"/>
    </row>
    <row r="46" spans="1:13" ht="12.75" customHeight="1" x14ac:dyDescent="0.25">
      <c r="A46" s="19" t="s">
        <v>36</v>
      </c>
      <c r="B46" s="19"/>
      <c r="C46" s="19"/>
      <c r="D46" s="19"/>
    </row>
    <row r="47" spans="1:13" ht="12.75" customHeight="1" x14ac:dyDescent="0.25">
      <c r="A47" s="18" t="s">
        <v>35</v>
      </c>
      <c r="B47" s="18"/>
      <c r="C47" s="18"/>
      <c r="D47" s="18"/>
    </row>
    <row r="48" spans="1:13" ht="12.75" customHeight="1" x14ac:dyDescent="0.25">
      <c r="A48" s="17" t="s">
        <v>34</v>
      </c>
      <c r="B48" s="17"/>
      <c r="C48" s="17"/>
      <c r="D48" s="17"/>
      <c r="E48" s="17"/>
      <c r="F48" s="17"/>
      <c r="G48" s="17"/>
      <c r="H48" s="17"/>
      <c r="I48" s="17"/>
    </row>
    <row r="49" spans="1:9" ht="24" customHeight="1" x14ac:dyDescent="0.25">
      <c r="A49" s="16" t="s">
        <v>33</v>
      </c>
      <c r="B49" s="16"/>
      <c r="C49" s="16"/>
      <c r="D49" s="16"/>
      <c r="E49" s="16"/>
      <c r="F49" s="16"/>
      <c r="G49" s="16"/>
      <c r="H49" s="16"/>
      <c r="I49" s="16"/>
    </row>
    <row r="50" spans="1:9" ht="12.75" customHeight="1" x14ac:dyDescent="0.25">
      <c r="A50" s="15" t="s">
        <v>32</v>
      </c>
      <c r="B50" s="13"/>
      <c r="C50" s="14"/>
      <c r="D50" s="13"/>
      <c r="E50" s="13"/>
      <c r="F50" s="13"/>
      <c r="G50" s="13"/>
      <c r="H50" s="13"/>
      <c r="I50" s="13"/>
    </row>
    <row r="51" spans="1:9" ht="12.75" customHeight="1" x14ac:dyDescent="0.25">
      <c r="B51" s="12"/>
      <c r="C51" s="12"/>
    </row>
    <row r="52" spans="1:9" ht="12.75" customHeight="1" x14ac:dyDescent="0.25">
      <c r="A52" s="11" t="s">
        <v>31</v>
      </c>
      <c r="C52" s="10"/>
    </row>
  </sheetData>
  <mergeCells count="12">
    <mergeCell ref="E6:F6"/>
    <mergeCell ref="H6:I6"/>
    <mergeCell ref="A49:I49"/>
    <mergeCell ref="A48:I48"/>
    <mergeCell ref="A43:I43"/>
    <mergeCell ref="A46:D46"/>
    <mergeCell ref="A47:D47"/>
    <mergeCell ref="A3:H3"/>
    <mergeCell ref="A4:I4"/>
    <mergeCell ref="A5:B7"/>
    <mergeCell ref="C5:C7"/>
    <mergeCell ref="E5:I5"/>
  </mergeCells>
  <hyperlinks>
    <hyperlink ref="K3" location="'INDICE '!A1" display="ÍNDICE" xr:uid="{A9A0BE86-AD5F-4100-AC23-F6F6CBFB19A6}"/>
  </hyperlinks>
  <pageMargins left="0.70866141732283472" right="0.70866141732283472" top="0.59055118110236227" bottom="0.59055118110236227" header="0.23622047244094491" footer="0.23622047244094491"/>
  <pageSetup scale="73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O2"/>
  <sheetViews>
    <sheetView tabSelected="1" workbookViewId="0">
      <selection activeCell="I14" sqref="I14"/>
    </sheetView>
  </sheetViews>
  <sheetFormatPr defaultRowHeight="14.4" x14ac:dyDescent="0.3"/>
  <cols>
    <col min="1" max="1" width="16.5546875" customWidth="1"/>
    <col min="2" max="2" width="16.44140625" customWidth="1"/>
    <col min="3" max="3" width="9.77734375" bestFit="1" customWidth="1"/>
  </cols>
  <sheetData>
    <row r="1" spans="1:67" x14ac:dyDescent="0.3">
      <c r="A1" t="s">
        <v>7</v>
      </c>
      <c r="B1" s="4">
        <v>2021</v>
      </c>
      <c r="C1" s="4">
        <v>2022</v>
      </c>
      <c r="D1" s="4">
        <v>2023</v>
      </c>
      <c r="E1" s="4">
        <v>2024</v>
      </c>
      <c r="F1" s="4">
        <v>2025</v>
      </c>
      <c r="G1" s="4">
        <v>2026</v>
      </c>
      <c r="H1" s="4">
        <v>2027</v>
      </c>
      <c r="I1" s="4">
        <v>2028</v>
      </c>
      <c r="J1" s="4">
        <v>2029</v>
      </c>
      <c r="K1" s="4">
        <v>2030</v>
      </c>
      <c r="L1" s="4">
        <v>2031</v>
      </c>
      <c r="M1" s="4">
        <v>2032</v>
      </c>
      <c r="N1" s="4">
        <v>2033</v>
      </c>
      <c r="O1" s="4">
        <v>2034</v>
      </c>
      <c r="P1" s="4">
        <v>2035</v>
      </c>
      <c r="Q1" s="4">
        <v>2036</v>
      </c>
      <c r="R1" s="4">
        <v>2037</v>
      </c>
      <c r="S1" s="4">
        <v>2038</v>
      </c>
      <c r="T1" s="4">
        <v>2039</v>
      </c>
      <c r="U1" s="4">
        <v>2040</v>
      </c>
      <c r="V1" s="4">
        <v>2041</v>
      </c>
      <c r="W1" s="4">
        <v>2042</v>
      </c>
      <c r="X1" s="4">
        <v>2043</v>
      </c>
      <c r="Y1" s="4">
        <v>2044</v>
      </c>
      <c r="Z1" s="4">
        <v>2045</v>
      </c>
      <c r="AA1" s="4">
        <v>2046</v>
      </c>
      <c r="AB1" s="4">
        <v>2047</v>
      </c>
      <c r="AC1" s="4">
        <v>2048</v>
      </c>
      <c r="AD1" s="4">
        <v>2049</v>
      </c>
      <c r="AE1" s="4">
        <v>2050</v>
      </c>
      <c r="AF1" s="4">
        <v>2051</v>
      </c>
      <c r="AG1" s="4">
        <v>2052</v>
      </c>
      <c r="AH1" s="4">
        <v>2053</v>
      </c>
      <c r="AI1" s="4">
        <v>2054</v>
      </c>
      <c r="AJ1" s="4">
        <v>2055</v>
      </c>
      <c r="AK1" s="4">
        <v>2056</v>
      </c>
      <c r="AL1" s="4">
        <v>2057</v>
      </c>
      <c r="AM1" s="4">
        <v>2058</v>
      </c>
      <c r="AN1" s="4">
        <v>2059</v>
      </c>
      <c r="AO1" s="4">
        <v>2060</v>
      </c>
      <c r="AP1" s="4">
        <v>2061</v>
      </c>
      <c r="AQ1" s="4">
        <v>2062</v>
      </c>
      <c r="AR1" s="4">
        <v>2063</v>
      </c>
      <c r="AS1" s="4">
        <v>2064</v>
      </c>
      <c r="AT1" s="4">
        <v>2065</v>
      </c>
      <c r="AU1" s="4">
        <v>2066</v>
      </c>
      <c r="AV1" s="4">
        <v>2067</v>
      </c>
      <c r="AW1" s="4">
        <v>2068</v>
      </c>
      <c r="AX1" s="4">
        <v>2069</v>
      </c>
      <c r="AY1" s="4">
        <v>2070</v>
      </c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</row>
    <row r="2" spans="1:67" x14ac:dyDescent="0.3">
      <c r="A2" t="s">
        <v>6</v>
      </c>
      <c r="B2">
        <f>Households!C2</f>
        <v>36101846.5</v>
      </c>
      <c r="C2">
        <f>Households!D2</f>
        <v>36968871</v>
      </c>
      <c r="D2">
        <f>Households!E2</f>
        <v>37662456.5</v>
      </c>
      <c r="E2">
        <f>Households!F2</f>
        <v>38356042</v>
      </c>
      <c r="F2">
        <f>Households!G2</f>
        <v>38665958.819360003</v>
      </c>
      <c r="G2">
        <f>Households!H2</f>
        <v>38966779.978974625</v>
      </c>
      <c r="H2">
        <f>Households!I2</f>
        <v>39259030.828816928</v>
      </c>
      <c r="I2">
        <f>Households!J2</f>
        <v>39543266.212017566</v>
      </c>
      <c r="J2">
        <f>Households!K2</f>
        <v>39818882.777515329</v>
      </c>
      <c r="K2">
        <f>Households!L2</f>
        <v>40086465.669780232</v>
      </c>
      <c r="L2">
        <f>Households!M2</f>
        <v>40346225.967320412</v>
      </c>
      <c r="M2">
        <f>Households!N2</f>
        <v>40597986.417356491</v>
      </c>
      <c r="N2">
        <f>Households!O2</f>
        <v>40841980.315724798</v>
      </c>
      <c r="O2">
        <f>Households!P2</f>
        <v>41075188.023327589</v>
      </c>
      <c r="P2">
        <f>Households!Q2</f>
        <v>41301101.557455882</v>
      </c>
      <c r="Q2">
        <f>Households!R2</f>
        <v>41516693.307585806</v>
      </c>
      <c r="R2">
        <f>Households!S2</f>
        <v>41725107.107989885</v>
      </c>
      <c r="S2">
        <f>Households!T2</f>
        <v>41923301.366752841</v>
      </c>
      <c r="T2">
        <f>Households!U2</f>
        <v>42110279.290848553</v>
      </c>
      <c r="U2">
        <f>Households!V2</f>
        <v>42287563.566663027</v>
      </c>
      <c r="V2">
        <f>Households!W2</f>
        <v>42455868.069658346</v>
      </c>
      <c r="W2">
        <f>Households!X2</f>
        <v>42613803.898877479</v>
      </c>
      <c r="X2">
        <f>Households!Y2</f>
        <v>42760395.384289622</v>
      </c>
      <c r="Y2">
        <f>Households!Z2</f>
        <v>42898083.857427031</v>
      </c>
      <c r="Z2">
        <f>Households!AA2</f>
        <v>43024204.223967865</v>
      </c>
      <c r="AA2">
        <f>Households!AB2</f>
        <v>43139509.091288097</v>
      </c>
      <c r="AB2">
        <f>Households!AC2</f>
        <v>43243475.308198102</v>
      </c>
      <c r="AC2">
        <f>Households!AD2</f>
        <v>43339043.38862922</v>
      </c>
      <c r="AD2">
        <f>Households!AE2</f>
        <v>43421820.961501502</v>
      </c>
      <c r="AE2">
        <f>Households!AF2</f>
        <v>43495638.057136051</v>
      </c>
      <c r="AF2">
        <f>Households!AG2</f>
        <v>43559141.688699469</v>
      </c>
      <c r="AG2">
        <f>Households!AH2</f>
        <v>43613155.024393462</v>
      </c>
      <c r="AH2">
        <f>Households!AI2</f>
        <v>43657640.442518339</v>
      </c>
      <c r="AI2">
        <f>Households!AJ2</f>
        <v>43693003.131276779</v>
      </c>
      <c r="AJ2">
        <f>Households!AK2</f>
        <v>43719218.933155544</v>
      </c>
      <c r="AK2">
        <f>Households!AL2</f>
        <v>43736706.620728806</v>
      </c>
      <c r="AL2">
        <f>Households!AM2</f>
        <v>43746328.696185365</v>
      </c>
      <c r="AM2">
        <f>Households!AN2</f>
        <v>43748516.012620181</v>
      </c>
      <c r="AN2">
        <f>Households!AO2</f>
        <v>43742391.220378406</v>
      </c>
      <c r="AO2">
        <f>Households!AP2</f>
        <v>43727081.383451276</v>
      </c>
      <c r="AP2">
        <f>Households!AQ2</f>
        <v>43704343.301131882</v>
      </c>
      <c r="AQ2">
        <f>Households!AR2</f>
        <v>43674187.3042541</v>
      </c>
      <c r="AR2">
        <f>Households!AS2</f>
        <v>43635754.019426353</v>
      </c>
      <c r="AS2">
        <f>Households!AT2</f>
        <v>43589500.120165758</v>
      </c>
      <c r="AT2">
        <f>Households!AU2</f>
        <v>43535013.245015554</v>
      </c>
      <c r="AU2">
        <f>Households!AV2</f>
        <v>43473628.876340084</v>
      </c>
      <c r="AV2">
        <f>Households!AW2</f>
        <v>43405375.279004231</v>
      </c>
      <c r="AW2">
        <f>Households!AX2</f>
        <v>43329415.872265972</v>
      </c>
      <c r="AX2">
        <f>Households!AY2</f>
        <v>43246223.393791221</v>
      </c>
      <c r="AY2">
        <f>Households!AZ2</f>
        <v>43154973.862430327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About</vt:lpstr>
      <vt:lpstr>Households</vt:lpstr>
      <vt:lpstr>UN growth rates</vt:lpstr>
      <vt:lpstr>World Bank</vt:lpstr>
      <vt:lpstr>Population</vt:lpstr>
      <vt:lpstr>INEGI 2020</vt:lpstr>
      <vt:lpstr>INEGI 2022</vt:lpstr>
      <vt:lpstr>INEGI2024</vt:lpstr>
      <vt:lpstr>NoH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Rachel Goldstein</cp:lastModifiedBy>
  <dcterms:created xsi:type="dcterms:W3CDTF">2016-01-21T23:28:30Z</dcterms:created>
  <dcterms:modified xsi:type="dcterms:W3CDTF">2025-10-09T17:18:20Z</dcterms:modified>
</cp:coreProperties>
</file>