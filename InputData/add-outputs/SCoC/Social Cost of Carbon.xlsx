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A1A5E2CE-C221-DD42-833E-F23A6B106EAA}" xr6:coauthVersionLast="47" xr6:coauthVersionMax="47" xr10:uidLastSave="{00000000-0000-0000-0000-000000000000}"/>
  <bookViews>
    <workbookView xWindow="34780" yWindow="4440" windowWidth="28800" windowHeight="16280" firstSheet="2" activeTab="2" xr2:uid="{00000000-000D-0000-FFFF-FFFF00000000}"/>
  </bookViews>
  <sheets>
    <sheet name="About" sheetId="1" r:id="rId1"/>
    <sheet name="SourceData New" sheetId="4" r:id="rId2"/>
    <sheet name="SCo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0" i="4"/>
  <c r="B51" i="4"/>
  <c r="B52" i="4"/>
  <c r="B53" i="4"/>
  <c r="B54" i="4"/>
  <c r="B55" i="4"/>
  <c r="B56" i="4"/>
  <c r="B57" i="4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20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2" i="3"/>
  <c r="B21" i="4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19" i="4"/>
  <c r="B18" i="4"/>
  <c r="B11" i="4"/>
  <c r="B10" i="4"/>
</calcChain>
</file>

<file path=xl/sharedStrings.xml><?xml version="1.0" encoding="utf-8"?>
<sst xmlns="http://schemas.openxmlformats.org/spreadsheetml/2006/main" count="18" uniqueCount="15">
  <si>
    <t>SCoC Social Cost of Carbon</t>
  </si>
  <si>
    <t>Source:</t>
  </si>
  <si>
    <t>United Nations</t>
  </si>
  <si>
    <t>https://www.cepal.org/es/publicaciones/44423-costo-social-carbono-vision-agregada-america-latina</t>
  </si>
  <si>
    <t>Notes:</t>
  </si>
  <si>
    <t>A summary of the literature was constructed, using some methods derived from meta-analysis, which allow an orderly synthesis of the available information to be presented. The results obtained indicate a mean SCC of $25.83 per ton of CO2 with a deviation of 0.84. It should be noted, however, that this value is sensitive to the discount rate used; for example, the value of the SCC, with discount rates close to zero, is 100 dollars per ton of carbon, whereas, with a discount rate of over 3%, a SCC of 6 dollars per ton of carbon is obtained. It should also be noted that these estimates normally exclude the potential effects of extreme catastrophic events."</t>
  </si>
  <si>
    <t>2019 Dollar</t>
  </si>
  <si>
    <t>Social Cost of Carbon (USD/tCO2e)</t>
  </si>
  <si>
    <r>
      <t xml:space="preserve">Converting $1 from 2019 USD to 2012 USD results in approximately </t>
    </r>
    <r>
      <rPr>
        <b/>
        <sz val="11"/>
        <color theme="1"/>
        <rFont val="Calibri"/>
        <family val="2"/>
        <scheme val="minor"/>
      </rPr>
      <t>$0.90</t>
    </r>
  </si>
  <si>
    <t>1tCO₂e=1×1,000,000=1,000,000gCO₂e</t>
  </si>
  <si>
    <t>2012 Dollar</t>
  </si>
  <si>
    <t>Social Cost of Carbon (USD/gCO2e)</t>
  </si>
  <si>
    <t>Discount rate</t>
  </si>
  <si>
    <t>Year</t>
  </si>
  <si>
    <t>Social Cost of Carbon ($/g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</si>
</sst>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B539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right"/>
    </xf>
    <xf numFmtId="11" fontId="0" fillId="0" borderId="0" xfId="0" applyNumberForma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/>
    </xf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epal.org/es/publicaciones/44423-costo-social-carbono-vision-agregada-america-lat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" sqref="A3:B10"/>
    </sheetView>
  </sheetViews>
  <sheetFormatPr defaultColWidth="8.85546875" defaultRowHeight="15"/>
  <cols>
    <col min="2" max="2" width="97.140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2019</v>
      </c>
    </row>
    <row r="6" spans="1:2">
      <c r="B6" s="3" t="s">
        <v>3</v>
      </c>
    </row>
    <row r="9" spans="1:2">
      <c r="A9" s="1" t="s">
        <v>4</v>
      </c>
    </row>
    <row r="10" spans="1:2" ht="96">
      <c r="A10" s="6"/>
      <c r="B10" s="7" t="s">
        <v>5</v>
      </c>
    </row>
  </sheetData>
  <hyperlinks>
    <hyperlink ref="B6" r:id="rId1" xr:uid="{68E68593-D7BE-7E4E-AD30-BBFA7E7DB5BB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7931-D936-864A-BCCA-F73B94915186}">
  <dimension ref="A1:B69"/>
  <sheetViews>
    <sheetView topLeftCell="A6" workbookViewId="0">
      <selection activeCell="A18" sqref="A18:A69"/>
    </sheetView>
  </sheetViews>
  <sheetFormatPr defaultColWidth="11.42578125" defaultRowHeight="15"/>
  <cols>
    <col min="1" max="1" width="23.140625" customWidth="1"/>
  </cols>
  <sheetData>
    <row r="1" spans="1:2">
      <c r="A1" s="1" t="s">
        <v>6</v>
      </c>
    </row>
    <row r="2" spans="1:2" ht="32.1">
      <c r="A2" s="9" t="s">
        <v>7</v>
      </c>
      <c r="B2">
        <v>2019</v>
      </c>
    </row>
    <row r="3" spans="1:2">
      <c r="B3">
        <v>25.83</v>
      </c>
    </row>
    <row r="5" spans="1:2" ht="48">
      <c r="A5" s="7" t="s">
        <v>8</v>
      </c>
      <c r="B5">
        <v>0.9</v>
      </c>
    </row>
    <row r="7" spans="1:2" ht="32.1">
      <c r="A7" s="7" t="s">
        <v>9</v>
      </c>
      <c r="B7" s="5">
        <v>1000000</v>
      </c>
    </row>
    <row r="9" spans="1:2" ht="15.95">
      <c r="A9" s="9" t="s">
        <v>10</v>
      </c>
      <c r="B9">
        <v>2019</v>
      </c>
    </row>
    <row r="10" spans="1:2" ht="32.1">
      <c r="A10" s="9" t="s">
        <v>7</v>
      </c>
      <c r="B10">
        <f>B3*B5</f>
        <v>23.247</v>
      </c>
    </row>
    <row r="11" spans="1:2" ht="32.1">
      <c r="A11" s="9" t="s">
        <v>11</v>
      </c>
      <c r="B11" s="5">
        <f>B10/B7</f>
        <v>2.3247E-5</v>
      </c>
    </row>
    <row r="16" spans="1:2">
      <c r="A16" t="s">
        <v>12</v>
      </c>
      <c r="B16" s="8">
        <v>0.03</v>
      </c>
    </row>
    <row r="17" spans="1:2" ht="48">
      <c r="A17" t="s">
        <v>13</v>
      </c>
      <c r="B17" s="7" t="s">
        <v>11</v>
      </c>
    </row>
    <row r="18" spans="1:2">
      <c r="A18" s="2">
        <v>2019</v>
      </c>
      <c r="B18" s="5">
        <f>B11</f>
        <v>2.3247E-5</v>
      </c>
    </row>
    <row r="19" spans="1:2">
      <c r="A19" s="2">
        <v>2020</v>
      </c>
      <c r="B19" s="5">
        <f>B18*(1+0.03)</f>
        <v>2.3944410000000001E-5</v>
      </c>
    </row>
    <row r="20" spans="1:2">
      <c r="A20" s="2">
        <v>2021</v>
      </c>
      <c r="B20" s="5">
        <f>B19*(1+0.03)</f>
        <v>2.4662742300000003E-5</v>
      </c>
    </row>
    <row r="21" spans="1:2">
      <c r="A21" s="2">
        <v>2022</v>
      </c>
      <c r="B21" s="5">
        <f t="shared" ref="B20:B69" si="0">B20*(1+0.03)</f>
        <v>2.5402624569000005E-5</v>
      </c>
    </row>
    <row r="22" spans="1:2">
      <c r="A22" s="2">
        <v>2023</v>
      </c>
      <c r="B22" s="5">
        <f t="shared" si="0"/>
        <v>2.6164703306070008E-5</v>
      </c>
    </row>
    <row r="23" spans="1:2">
      <c r="A23" s="2">
        <v>2024</v>
      </c>
      <c r="B23" s="5">
        <f t="shared" si="0"/>
        <v>2.694964440525211E-5</v>
      </c>
    </row>
    <row r="24" spans="1:2">
      <c r="A24" s="2">
        <v>2025</v>
      </c>
      <c r="B24" s="5">
        <f t="shared" si="0"/>
        <v>2.7758133737409674E-5</v>
      </c>
    </row>
    <row r="25" spans="1:2">
      <c r="A25" s="2">
        <v>2026</v>
      </c>
      <c r="B25" s="5">
        <f t="shared" si="0"/>
        <v>2.8590877749531965E-5</v>
      </c>
    </row>
    <row r="26" spans="1:2">
      <c r="A26" s="2">
        <v>2027</v>
      </c>
      <c r="B26" s="5">
        <f t="shared" si="0"/>
        <v>2.9448604082017925E-5</v>
      </c>
    </row>
    <row r="27" spans="1:2">
      <c r="A27" s="2">
        <v>2028</v>
      </c>
      <c r="B27" s="5">
        <f t="shared" si="0"/>
        <v>3.0332062204478463E-5</v>
      </c>
    </row>
    <row r="28" spans="1:2">
      <c r="A28" s="2">
        <v>2029</v>
      </c>
      <c r="B28" s="5">
        <f t="shared" si="0"/>
        <v>3.1242024070612816E-5</v>
      </c>
    </row>
    <row r="29" spans="1:2">
      <c r="A29" s="2">
        <v>2030</v>
      </c>
      <c r="B29" s="5">
        <f t="shared" si="0"/>
        <v>3.2179284792731198E-5</v>
      </c>
    </row>
    <row r="30" spans="1:2">
      <c r="A30" s="2">
        <v>2031</v>
      </c>
      <c r="B30" s="5">
        <f t="shared" si="0"/>
        <v>3.3144663336513132E-5</v>
      </c>
    </row>
    <row r="31" spans="1:2">
      <c r="A31" s="2">
        <v>2032</v>
      </c>
      <c r="B31" s="5">
        <f t="shared" si="0"/>
        <v>3.4139003236608524E-5</v>
      </c>
    </row>
    <row r="32" spans="1:2">
      <c r="A32" s="2">
        <v>2033</v>
      </c>
      <c r="B32" s="5">
        <f t="shared" si="0"/>
        <v>3.5163173333706778E-5</v>
      </c>
    </row>
    <row r="33" spans="1:2">
      <c r="A33" s="2">
        <v>2034</v>
      </c>
      <c r="B33" s="5">
        <f t="shared" si="0"/>
        <v>3.6218068533717985E-5</v>
      </c>
    </row>
    <row r="34" spans="1:2">
      <c r="A34" s="2">
        <v>2035</v>
      </c>
      <c r="B34" s="5">
        <f t="shared" si="0"/>
        <v>3.7304610589729528E-5</v>
      </c>
    </row>
    <row r="35" spans="1:2">
      <c r="A35" s="2">
        <v>2036</v>
      </c>
      <c r="B35" s="5">
        <f t="shared" si="0"/>
        <v>3.8423748907421417E-5</v>
      </c>
    </row>
    <row r="36" spans="1:2">
      <c r="A36" s="2">
        <v>2037</v>
      </c>
      <c r="B36" s="5">
        <f t="shared" si="0"/>
        <v>3.9576461374644058E-5</v>
      </c>
    </row>
    <row r="37" spans="1:2">
      <c r="A37" s="2">
        <v>2038</v>
      </c>
      <c r="B37" s="5">
        <f t="shared" si="0"/>
        <v>4.0763755215883383E-5</v>
      </c>
    </row>
    <row r="38" spans="1:2">
      <c r="A38" s="2">
        <v>2039</v>
      </c>
      <c r="B38" s="5">
        <f t="shared" si="0"/>
        <v>4.1986667872359888E-5</v>
      </c>
    </row>
    <row r="39" spans="1:2">
      <c r="A39" s="2">
        <v>2040</v>
      </c>
      <c r="B39" s="5">
        <f t="shared" si="0"/>
        <v>4.3246267908530686E-5</v>
      </c>
    </row>
    <row r="40" spans="1:2">
      <c r="A40" s="2">
        <v>2041</v>
      </c>
      <c r="B40" s="5">
        <f t="shared" si="0"/>
        <v>4.454365594578661E-5</v>
      </c>
    </row>
    <row r="41" spans="1:2">
      <c r="A41" s="2">
        <v>2042</v>
      </c>
      <c r="B41" s="5">
        <f t="shared" si="0"/>
        <v>4.5879965624160207E-5</v>
      </c>
    </row>
    <row r="42" spans="1:2">
      <c r="A42" s="2">
        <v>2043</v>
      </c>
      <c r="B42" s="5">
        <f t="shared" si="0"/>
        <v>4.7256364592885013E-5</v>
      </c>
    </row>
    <row r="43" spans="1:2">
      <c r="A43" s="2">
        <v>2044</v>
      </c>
      <c r="B43" s="5">
        <f t="shared" si="0"/>
        <v>4.8674055530671561E-5</v>
      </c>
    </row>
    <row r="44" spans="1:2">
      <c r="A44" s="2">
        <v>2045</v>
      </c>
      <c r="B44" s="5">
        <f t="shared" si="0"/>
        <v>5.0134277196591708E-5</v>
      </c>
    </row>
    <row r="45" spans="1:2">
      <c r="A45" s="2">
        <v>2046</v>
      </c>
      <c r="B45" s="5">
        <f t="shared" si="0"/>
        <v>5.1638305512489462E-5</v>
      </c>
    </row>
    <row r="46" spans="1:2">
      <c r="A46" s="2">
        <v>2047</v>
      </c>
      <c r="B46" s="5">
        <f t="shared" si="0"/>
        <v>5.318745467786415E-5</v>
      </c>
    </row>
    <row r="47" spans="1:2">
      <c r="A47" s="2">
        <v>2048</v>
      </c>
      <c r="B47" s="5">
        <f t="shared" si="0"/>
        <v>5.4783078318200077E-5</v>
      </c>
    </row>
    <row r="48" spans="1:2">
      <c r="A48" s="2">
        <v>2049</v>
      </c>
      <c r="B48" s="5">
        <f t="shared" si="0"/>
        <v>5.6426570667746082E-5</v>
      </c>
    </row>
    <row r="49" spans="1:2">
      <c r="A49" s="2">
        <v>2050</v>
      </c>
      <c r="B49" s="5">
        <f t="shared" si="0"/>
        <v>5.8119367787778467E-5</v>
      </c>
    </row>
    <row r="50" spans="1:2">
      <c r="A50" s="2">
        <v>2051</v>
      </c>
      <c r="B50" s="5">
        <f t="shared" si="0"/>
        <v>5.9862948821411824E-5</v>
      </c>
    </row>
    <row r="51" spans="1:2">
      <c r="A51" s="2">
        <v>2052</v>
      </c>
      <c r="B51" s="5">
        <f t="shared" si="0"/>
        <v>6.1658837286054181E-5</v>
      </c>
    </row>
    <row r="52" spans="1:2">
      <c r="A52" s="2">
        <v>2053</v>
      </c>
      <c r="B52" s="5">
        <f t="shared" si="0"/>
        <v>6.3508602404635807E-5</v>
      </c>
    </row>
    <row r="53" spans="1:2">
      <c r="A53" s="2">
        <v>2054</v>
      </c>
      <c r="B53" s="5">
        <f t="shared" si="0"/>
        <v>6.5413860476774881E-5</v>
      </c>
    </row>
    <row r="54" spans="1:2">
      <c r="A54" s="2">
        <v>2055</v>
      </c>
      <c r="B54" s="5">
        <f t="shared" si="0"/>
        <v>6.7376276291078124E-5</v>
      </c>
    </row>
    <row r="55" spans="1:2">
      <c r="A55" s="2">
        <v>2056</v>
      </c>
      <c r="B55" s="5">
        <f t="shared" si="0"/>
        <v>6.9397564579810474E-5</v>
      </c>
    </row>
    <row r="56" spans="1:2">
      <c r="A56" s="2">
        <v>2057</v>
      </c>
      <c r="B56" s="5">
        <f t="shared" si="0"/>
        <v>7.1479491517204797E-5</v>
      </c>
    </row>
    <row r="57" spans="1:2">
      <c r="A57" s="2">
        <v>2058</v>
      </c>
      <c r="B57" s="5">
        <f t="shared" si="0"/>
        <v>7.3623876262720949E-5</v>
      </c>
    </row>
    <row r="58" spans="1:2">
      <c r="A58" s="2">
        <v>2059</v>
      </c>
      <c r="B58" s="5">
        <f t="shared" si="0"/>
        <v>7.5832592550602581E-5</v>
      </c>
    </row>
    <row r="59" spans="1:2">
      <c r="A59" s="2">
        <v>2060</v>
      </c>
      <c r="B59" s="5">
        <f t="shared" si="0"/>
        <v>7.8107570327120657E-5</v>
      </c>
    </row>
    <row r="60" spans="1:2">
      <c r="A60" s="2">
        <v>2061</v>
      </c>
      <c r="B60" s="5">
        <f t="shared" si="0"/>
        <v>8.0450797436934279E-5</v>
      </c>
    </row>
    <row r="61" spans="1:2">
      <c r="A61" s="2">
        <v>2062</v>
      </c>
      <c r="B61" s="5">
        <f t="shared" si="0"/>
        <v>8.2864321360042308E-5</v>
      </c>
    </row>
    <row r="62" spans="1:2">
      <c r="A62" s="2">
        <v>2063</v>
      </c>
      <c r="B62" s="5">
        <f t="shared" si="0"/>
        <v>8.5350251000843578E-5</v>
      </c>
    </row>
    <row r="63" spans="1:2">
      <c r="A63" s="2">
        <v>2064</v>
      </c>
      <c r="B63" s="5">
        <f t="shared" si="0"/>
        <v>8.7910758530868884E-5</v>
      </c>
    </row>
    <row r="64" spans="1:2">
      <c r="A64" s="2">
        <v>2065</v>
      </c>
      <c r="B64" s="5">
        <f t="shared" si="0"/>
        <v>9.054808128679495E-5</v>
      </c>
    </row>
    <row r="65" spans="1:2">
      <c r="A65" s="2">
        <v>2066</v>
      </c>
      <c r="B65" s="5">
        <f t="shared" si="0"/>
        <v>9.3264523725398803E-5</v>
      </c>
    </row>
    <row r="66" spans="1:2">
      <c r="A66" s="2">
        <v>2067</v>
      </c>
      <c r="B66" s="5">
        <f t="shared" si="0"/>
        <v>9.6062459437160763E-5</v>
      </c>
    </row>
    <row r="67" spans="1:2">
      <c r="A67" s="2">
        <v>2068</v>
      </c>
      <c r="B67" s="5">
        <f t="shared" si="0"/>
        <v>9.8944333220275584E-5</v>
      </c>
    </row>
    <row r="68" spans="1:2">
      <c r="A68" s="2">
        <v>2069</v>
      </c>
      <c r="B68" s="5">
        <f t="shared" si="0"/>
        <v>1.0191266321688386E-4</v>
      </c>
    </row>
    <row r="69" spans="1:2">
      <c r="A69" s="2">
        <v>2070</v>
      </c>
      <c r="B69" s="5">
        <f t="shared" si="0"/>
        <v>1.0497004311339037E-4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66"/>
  <sheetViews>
    <sheetView tabSelected="1" workbookViewId="0">
      <selection activeCell="F21" sqref="F21"/>
    </sheetView>
  </sheetViews>
  <sheetFormatPr defaultColWidth="8.85546875" defaultRowHeight="15"/>
  <cols>
    <col min="2" max="2" width="24.140625" customWidth="1"/>
  </cols>
  <sheetData>
    <row r="1" spans="1:2">
      <c r="A1" s="4" t="s">
        <v>13</v>
      </c>
      <c r="B1" s="4" t="s">
        <v>14</v>
      </c>
    </row>
    <row r="2" spans="1:2">
      <c r="A2" s="2">
        <v>2019</v>
      </c>
      <c r="B2" s="11">
        <f>'SourceData New'!B18</f>
        <v>2.3247E-5</v>
      </c>
    </row>
    <row r="3" spans="1:2">
      <c r="A3" s="2">
        <v>2020</v>
      </c>
      <c r="B3" s="11">
        <f>'SourceData New'!B19</f>
        <v>2.3944410000000001E-5</v>
      </c>
    </row>
    <row r="4" spans="1:2">
      <c r="A4" s="2">
        <v>2021</v>
      </c>
      <c r="B4" s="11">
        <f>'SourceData New'!B20</f>
        <v>2.4662742300000003E-5</v>
      </c>
    </row>
    <row r="5" spans="1:2">
      <c r="A5" s="2">
        <v>2022</v>
      </c>
      <c r="B5" s="11">
        <f>'SourceData New'!B21</f>
        <v>2.5402624569000005E-5</v>
      </c>
    </row>
    <row r="6" spans="1:2">
      <c r="A6" s="2">
        <v>2023</v>
      </c>
      <c r="B6" s="11">
        <f>'SourceData New'!B22</f>
        <v>2.6164703306070008E-5</v>
      </c>
    </row>
    <row r="7" spans="1:2">
      <c r="A7" s="2">
        <v>2024</v>
      </c>
      <c r="B7" s="11">
        <f>'SourceData New'!B23</f>
        <v>2.694964440525211E-5</v>
      </c>
    </row>
    <row r="8" spans="1:2">
      <c r="A8" s="2">
        <v>2025</v>
      </c>
      <c r="B8" s="11">
        <f>'SourceData New'!B24</f>
        <v>2.7758133737409674E-5</v>
      </c>
    </row>
    <row r="9" spans="1:2">
      <c r="A9" s="2">
        <v>2026</v>
      </c>
      <c r="B9" s="11">
        <f>'SourceData New'!B25</f>
        <v>2.8590877749531965E-5</v>
      </c>
    </row>
    <row r="10" spans="1:2">
      <c r="A10" s="2">
        <v>2027</v>
      </c>
      <c r="B10" s="11">
        <f>'SourceData New'!B26</f>
        <v>2.9448604082017925E-5</v>
      </c>
    </row>
    <row r="11" spans="1:2">
      <c r="A11" s="2">
        <v>2028</v>
      </c>
      <c r="B11" s="11">
        <f>'SourceData New'!B27</f>
        <v>3.0332062204478463E-5</v>
      </c>
    </row>
    <row r="12" spans="1:2">
      <c r="A12" s="2">
        <v>2029</v>
      </c>
      <c r="B12" s="11">
        <f>'SourceData New'!B28</f>
        <v>3.1242024070612816E-5</v>
      </c>
    </row>
    <row r="13" spans="1:2">
      <c r="A13" s="2">
        <v>2030</v>
      </c>
      <c r="B13" s="11">
        <f>'SourceData New'!B29</f>
        <v>3.2179284792731198E-5</v>
      </c>
    </row>
    <row r="14" spans="1:2">
      <c r="A14" s="2">
        <v>2031</v>
      </c>
      <c r="B14" s="11">
        <f>'SourceData New'!B30</f>
        <v>3.3144663336513132E-5</v>
      </c>
    </row>
    <row r="15" spans="1:2">
      <c r="A15" s="2">
        <v>2032</v>
      </c>
      <c r="B15" s="11">
        <f>'SourceData New'!B31</f>
        <v>3.4139003236608524E-5</v>
      </c>
    </row>
    <row r="16" spans="1:2">
      <c r="A16" s="2">
        <v>2033</v>
      </c>
      <c r="B16" s="11">
        <f>'SourceData New'!B32</f>
        <v>3.5163173333706778E-5</v>
      </c>
    </row>
    <row r="17" spans="1:2">
      <c r="A17" s="2">
        <v>2034</v>
      </c>
      <c r="B17" s="11">
        <f>'SourceData New'!B33</f>
        <v>3.6218068533717985E-5</v>
      </c>
    </row>
    <row r="18" spans="1:2">
      <c r="A18" s="2">
        <v>2035</v>
      </c>
      <c r="B18" s="11">
        <f>'SourceData New'!B34</f>
        <v>3.7304610589729528E-5</v>
      </c>
    </row>
    <row r="19" spans="1:2">
      <c r="A19" s="2">
        <v>2036</v>
      </c>
      <c r="B19" s="11">
        <f>'SourceData New'!B35</f>
        <v>3.8423748907421417E-5</v>
      </c>
    </row>
    <row r="20" spans="1:2">
      <c r="A20" s="2">
        <v>2037</v>
      </c>
      <c r="B20" s="11">
        <f>'SourceData New'!B36</f>
        <v>3.9576461374644058E-5</v>
      </c>
    </row>
    <row r="21" spans="1:2">
      <c r="A21" s="2">
        <v>2038</v>
      </c>
      <c r="B21" s="11">
        <f>'SourceData New'!B37</f>
        <v>4.0763755215883383E-5</v>
      </c>
    </row>
    <row r="22" spans="1:2">
      <c r="A22" s="2">
        <v>2039</v>
      </c>
      <c r="B22" s="11">
        <f>'SourceData New'!B38</f>
        <v>4.1986667872359888E-5</v>
      </c>
    </row>
    <row r="23" spans="1:2">
      <c r="A23" s="2">
        <v>2040</v>
      </c>
      <c r="B23" s="11">
        <f>'SourceData New'!B39</f>
        <v>4.3246267908530686E-5</v>
      </c>
    </row>
    <row r="24" spans="1:2">
      <c r="A24" s="2">
        <v>2041</v>
      </c>
      <c r="B24" s="11">
        <f>'SourceData New'!B40</f>
        <v>4.454365594578661E-5</v>
      </c>
    </row>
    <row r="25" spans="1:2">
      <c r="A25" s="2">
        <v>2042</v>
      </c>
      <c r="B25" s="11">
        <f>'SourceData New'!B41</f>
        <v>4.5879965624160207E-5</v>
      </c>
    </row>
    <row r="26" spans="1:2">
      <c r="A26" s="2">
        <v>2043</v>
      </c>
      <c r="B26" s="11">
        <f>'SourceData New'!B42</f>
        <v>4.7256364592885013E-5</v>
      </c>
    </row>
    <row r="27" spans="1:2">
      <c r="A27" s="2">
        <v>2044</v>
      </c>
      <c r="B27" s="11">
        <f>'SourceData New'!B43</f>
        <v>4.8674055530671561E-5</v>
      </c>
    </row>
    <row r="28" spans="1:2">
      <c r="A28" s="2">
        <v>2045</v>
      </c>
      <c r="B28" s="11">
        <f>'SourceData New'!B44</f>
        <v>5.0134277196591708E-5</v>
      </c>
    </row>
    <row r="29" spans="1:2">
      <c r="A29" s="2">
        <v>2046</v>
      </c>
      <c r="B29" s="11">
        <f>'SourceData New'!B45</f>
        <v>5.1638305512489462E-5</v>
      </c>
    </row>
    <row r="30" spans="1:2">
      <c r="A30" s="2">
        <v>2047</v>
      </c>
      <c r="B30" s="11">
        <f>'SourceData New'!B46</f>
        <v>5.318745467786415E-5</v>
      </c>
    </row>
    <row r="31" spans="1:2">
      <c r="A31" s="2">
        <v>2048</v>
      </c>
      <c r="B31" s="11">
        <f>'SourceData New'!B47</f>
        <v>5.4783078318200077E-5</v>
      </c>
    </row>
    <row r="32" spans="1:2">
      <c r="A32" s="2">
        <v>2049</v>
      </c>
      <c r="B32" s="11">
        <f>'SourceData New'!B48</f>
        <v>5.6426570667746082E-5</v>
      </c>
    </row>
    <row r="33" spans="1:2">
      <c r="A33" s="2">
        <v>2050</v>
      </c>
      <c r="B33" s="11">
        <f>'SourceData New'!B49</f>
        <v>5.8119367787778467E-5</v>
      </c>
    </row>
    <row r="34" spans="1:2">
      <c r="A34" s="2">
        <v>2051</v>
      </c>
      <c r="B34" s="11">
        <f>'SourceData New'!B50</f>
        <v>5.9862948821411824E-5</v>
      </c>
    </row>
    <row r="35" spans="1:2">
      <c r="A35" s="2">
        <v>2052</v>
      </c>
      <c r="B35" s="11">
        <f>'SourceData New'!B51</f>
        <v>6.1658837286054181E-5</v>
      </c>
    </row>
    <row r="36" spans="1:2">
      <c r="A36" s="2">
        <v>2053</v>
      </c>
      <c r="B36" s="11">
        <f>'SourceData New'!B52</f>
        <v>6.3508602404635807E-5</v>
      </c>
    </row>
    <row r="37" spans="1:2">
      <c r="A37" s="2">
        <v>2054</v>
      </c>
      <c r="B37" s="11">
        <f>'SourceData New'!B53</f>
        <v>6.5413860476774881E-5</v>
      </c>
    </row>
    <row r="38" spans="1:2">
      <c r="A38" s="2">
        <v>2055</v>
      </c>
      <c r="B38" s="11">
        <f>'SourceData New'!B54</f>
        <v>6.7376276291078124E-5</v>
      </c>
    </row>
    <row r="39" spans="1:2">
      <c r="A39" s="2">
        <v>2056</v>
      </c>
      <c r="B39" s="11">
        <f>'SourceData New'!B55</f>
        <v>6.9397564579810474E-5</v>
      </c>
    </row>
    <row r="40" spans="1:2">
      <c r="A40" s="2">
        <v>2057</v>
      </c>
      <c r="B40" s="11">
        <f>'SourceData New'!B56</f>
        <v>7.1479491517204797E-5</v>
      </c>
    </row>
    <row r="41" spans="1:2">
      <c r="A41" s="2">
        <v>2058</v>
      </c>
      <c r="B41" s="11">
        <f>'SourceData New'!B57</f>
        <v>7.3623876262720949E-5</v>
      </c>
    </row>
    <row r="42" spans="1:2">
      <c r="A42" s="2">
        <v>2059</v>
      </c>
      <c r="B42" s="11">
        <f>'SourceData New'!B58</f>
        <v>7.5832592550602581E-5</v>
      </c>
    </row>
    <row r="43" spans="1:2">
      <c r="A43" s="2">
        <v>2060</v>
      </c>
      <c r="B43" s="11">
        <f>'SourceData New'!B59</f>
        <v>7.8107570327120657E-5</v>
      </c>
    </row>
    <row r="44" spans="1:2">
      <c r="A44" s="2">
        <v>2061</v>
      </c>
      <c r="B44" s="11">
        <f>'SourceData New'!B60</f>
        <v>8.0450797436934279E-5</v>
      </c>
    </row>
    <row r="45" spans="1:2">
      <c r="A45" s="2">
        <v>2062</v>
      </c>
      <c r="B45" s="11">
        <f>'SourceData New'!B61</f>
        <v>8.2864321360042308E-5</v>
      </c>
    </row>
    <row r="46" spans="1:2">
      <c r="A46" s="2">
        <v>2063</v>
      </c>
      <c r="B46" s="11">
        <f>'SourceData New'!B62</f>
        <v>8.5350251000843578E-5</v>
      </c>
    </row>
    <row r="47" spans="1:2">
      <c r="A47" s="2">
        <v>2064</v>
      </c>
      <c r="B47" s="11">
        <f>'SourceData New'!B63</f>
        <v>8.7910758530868884E-5</v>
      </c>
    </row>
    <row r="48" spans="1:2">
      <c r="A48" s="2">
        <v>2065</v>
      </c>
      <c r="B48" s="11">
        <f>'SourceData New'!B64</f>
        <v>9.054808128679495E-5</v>
      </c>
    </row>
    <row r="49" spans="1:2">
      <c r="A49" s="2">
        <v>2066</v>
      </c>
      <c r="B49" s="11">
        <f>'SourceData New'!B65</f>
        <v>9.3264523725398803E-5</v>
      </c>
    </row>
    <row r="50" spans="1:2">
      <c r="A50" s="2">
        <v>2067</v>
      </c>
      <c r="B50" s="11">
        <f>'SourceData New'!B66</f>
        <v>9.6062459437160763E-5</v>
      </c>
    </row>
    <row r="51" spans="1:2">
      <c r="A51" s="2">
        <v>2068</v>
      </c>
      <c r="B51" s="11">
        <f>'SourceData New'!B67</f>
        <v>9.8944333220275584E-5</v>
      </c>
    </row>
    <row r="52" spans="1:2">
      <c r="A52" s="2">
        <v>2069</v>
      </c>
      <c r="B52" s="11">
        <f>'SourceData New'!B68</f>
        <v>1.0191266321688386E-4</v>
      </c>
    </row>
    <row r="53" spans="1:2">
      <c r="A53" s="2">
        <v>2070</v>
      </c>
      <c r="B53" s="11">
        <f>'SourceData New'!B69</f>
        <v>1.0497004311339037E-4</v>
      </c>
    </row>
    <row r="54" spans="1:2">
      <c r="A54" s="10"/>
    </row>
    <row r="55" spans="1:2">
      <c r="A55" s="10"/>
    </row>
    <row r="56" spans="1:2">
      <c r="A56" s="10"/>
    </row>
    <row r="57" spans="1:2">
      <c r="A57" s="10"/>
    </row>
    <row r="58" spans="1:2">
      <c r="A58" s="10"/>
    </row>
    <row r="59" spans="1:2">
      <c r="A59" s="10"/>
    </row>
    <row r="60" spans="1:2">
      <c r="A60" s="10"/>
    </row>
    <row r="61" spans="1:2">
      <c r="A61" s="10"/>
    </row>
    <row r="62" spans="1:2">
      <c r="A62" s="10"/>
    </row>
    <row r="63" spans="1:2">
      <c r="A63" s="10"/>
    </row>
    <row r="64" spans="1:2">
      <c r="A64" s="10"/>
    </row>
    <row r="65" spans="1:1">
      <c r="A65" s="10"/>
    </row>
    <row r="66" spans="1:1">
      <c r="A66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D1523F-FC3D-4902-BA0E-D36849546FD5}"/>
</file>

<file path=customXml/itemProps2.xml><?xml version="1.0" encoding="utf-8"?>
<ds:datastoreItem xmlns:ds="http://schemas.openxmlformats.org/officeDocument/2006/customXml" ds:itemID="{27BF0389-2BFB-4CC1-BA4C-B85F2D3658DE}"/>
</file>

<file path=customXml/itemProps3.xml><?xml version="1.0" encoding="utf-8"?>
<ds:datastoreItem xmlns:ds="http://schemas.openxmlformats.org/officeDocument/2006/customXml" ds:itemID="{01F19FB1-16F4-4854-A820-5838EFA91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2014-12-03T01:41:26Z</dcterms:created>
  <dcterms:modified xsi:type="dcterms:W3CDTF">2024-12-10T16:51:49Z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