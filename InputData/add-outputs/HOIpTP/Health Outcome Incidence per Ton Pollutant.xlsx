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1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chel Goldstein\Desktop\"/>
    </mc:Choice>
  </mc:AlternateContent>
  <xr:revisionPtr revIDLastSave="0" documentId="8_{C72205AD-0CCD-4F0D-A21B-9CA464FD8D55}" xr6:coauthVersionLast="47" xr6:coauthVersionMax="47" xr10:uidLastSave="{00000000-0000-0000-0000-000000000000}"/>
  <bookViews>
    <workbookView xWindow="34575" yWindow="150" windowWidth="26805" windowHeight="13140" firstSheet="2" activeTab="2" xr2:uid="{86292C8D-3CA1-4858-AA87-6B74F5B88277}"/>
  </bookViews>
  <sheets>
    <sheet name="About" sheetId="1" r:id="rId1"/>
    <sheet name="Mappings" sheetId="70" r:id="rId2"/>
    <sheet name="HOIpTP-transport-NOx" sheetId="73" r:id="rId3"/>
    <sheet name="HOIpTP-transport-PM25" sheetId="71" r:id="rId4"/>
    <sheet name="HOIpTP-transport-SO2" sheetId="74" r:id="rId5"/>
    <sheet name="HOIpTP-electricity-NOx" sheetId="76" r:id="rId6"/>
    <sheet name="HOIpTP-electricity-PM25" sheetId="75" r:id="rId7"/>
    <sheet name="HOIpTP-electricity-SO2" sheetId="77" r:id="rId8"/>
    <sheet name="HOIpTP-buildings-NOx" sheetId="78" r:id="rId9"/>
    <sheet name="HOIpTP-buildings-PM25" sheetId="79" r:id="rId10"/>
    <sheet name="HOIpTP-buildings-SO2" sheetId="80" r:id="rId11"/>
    <sheet name="HOIpTP-industry-NOx" sheetId="81" r:id="rId12"/>
    <sheet name="HOIpTP-industry-PM25" sheetId="82" r:id="rId13"/>
    <sheet name="HOIpTP-industry-SO2" sheetId="83" r:id="rId14"/>
    <sheet name="HOIpTP-LULUCF-NOx" sheetId="84" r:id="rId15"/>
    <sheet name="HOIpTP-LULUCF-PM25" sheetId="85" r:id="rId16"/>
    <sheet name="HOIpTP-LULUCF-SO2" sheetId="86" r:id="rId17"/>
    <sheet name="Table 1" sheetId="2" r:id="rId18"/>
    <sheet name="Table 2" sheetId="3" r:id="rId19"/>
    <sheet name="Table 3" sheetId="4" r:id="rId20"/>
    <sheet name="Table 4" sheetId="5" r:id="rId21"/>
    <sheet name="Table 5" sheetId="6" r:id="rId22"/>
    <sheet name="Table 6" sheetId="7" r:id="rId23"/>
    <sheet name="Table 7" sheetId="8" r:id="rId24"/>
    <sheet name="Table 8" sheetId="9" r:id="rId25"/>
    <sheet name="Table 9" sheetId="10" r:id="rId26"/>
    <sheet name="Table 10" sheetId="11" r:id="rId27"/>
    <sheet name="Table 11" sheetId="12" r:id="rId28"/>
    <sheet name="Table 12" sheetId="13" r:id="rId29"/>
    <sheet name="Table 13" sheetId="14" r:id="rId30"/>
    <sheet name="Table 14" sheetId="15" r:id="rId31"/>
    <sheet name="Table 15" sheetId="16" r:id="rId32"/>
    <sheet name="Table 16" sheetId="17" r:id="rId33"/>
    <sheet name="Table 17" sheetId="18" r:id="rId34"/>
    <sheet name="Table 18" sheetId="19" r:id="rId35"/>
    <sheet name="Table 19" sheetId="20" r:id="rId36"/>
    <sheet name="Table 20" sheetId="21" r:id="rId37"/>
    <sheet name="Table 21" sheetId="22" r:id="rId38"/>
    <sheet name="Table 22" sheetId="23" r:id="rId39"/>
    <sheet name="Table 23" sheetId="24" r:id="rId40"/>
    <sheet name="Table 24" sheetId="25" r:id="rId41"/>
    <sheet name="Table 25" sheetId="26" r:id="rId42"/>
    <sheet name="Table 26" sheetId="27" r:id="rId43"/>
    <sheet name="Table 27" sheetId="28" r:id="rId44"/>
    <sheet name="Table 28" sheetId="29" r:id="rId45"/>
    <sheet name="Table 29" sheetId="30" r:id="rId46"/>
    <sheet name="Table 30" sheetId="31" r:id="rId47"/>
    <sheet name="Table 31" sheetId="32" r:id="rId48"/>
    <sheet name="Table 32" sheetId="33" r:id="rId49"/>
    <sheet name="Table 33" sheetId="34" r:id="rId50"/>
    <sheet name="Table 34" sheetId="35" r:id="rId51"/>
    <sheet name="Table 35" sheetId="36" r:id="rId52"/>
    <sheet name="Table 36" sheetId="37" r:id="rId53"/>
    <sheet name="Table 37" sheetId="38" r:id="rId54"/>
    <sheet name="Table 38" sheetId="39" r:id="rId55"/>
    <sheet name="Table 39" sheetId="40" r:id="rId56"/>
    <sheet name="Table 40" sheetId="41" r:id="rId57"/>
    <sheet name="Table 41" sheetId="42" r:id="rId58"/>
    <sheet name="Table 42" sheetId="43" r:id="rId59"/>
    <sheet name="Table 43" sheetId="44" r:id="rId60"/>
    <sheet name="Table 44" sheetId="45" r:id="rId61"/>
    <sheet name="Table 45" sheetId="46" r:id="rId62"/>
    <sheet name="Table 46" sheetId="47" r:id="rId63"/>
    <sheet name="Table 47" sheetId="48" r:id="rId64"/>
    <sheet name="Table 48" sheetId="49" r:id="rId65"/>
    <sheet name="Table 49" sheetId="50" r:id="rId66"/>
    <sheet name="Table 50" sheetId="51" r:id="rId67"/>
    <sheet name="Table 51" sheetId="52" r:id="rId68"/>
    <sheet name="Table 52" sheetId="53" r:id="rId69"/>
    <sheet name="Table 53" sheetId="54" r:id="rId70"/>
    <sheet name="Table 54" sheetId="55" r:id="rId71"/>
    <sheet name="Table 55" sheetId="56" r:id="rId72"/>
    <sheet name="Table 56" sheetId="57" r:id="rId73"/>
    <sheet name="Table 57" sheetId="58" r:id="rId74"/>
    <sheet name="Table 58" sheetId="59" r:id="rId75"/>
    <sheet name="Table 59" sheetId="60" r:id="rId76"/>
    <sheet name="Table 60" sheetId="61" r:id="rId77"/>
    <sheet name="Table 61" sheetId="62" r:id="rId78"/>
    <sheet name="Table 62" sheetId="63" r:id="rId79"/>
    <sheet name="Table 63" sheetId="64" r:id="rId80"/>
    <sheet name="Table 64" sheetId="65" r:id="rId81"/>
    <sheet name="Table 65" sheetId="66" r:id="rId82"/>
    <sheet name="Table 66" sheetId="67" r:id="rId83"/>
    <sheet name="Table 67" sheetId="68" r:id="rId84"/>
    <sheet name="Table 68" sheetId="69" r:id="rId8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7" i="1" l="1"/>
  <c r="B17" i="86" a="1"/>
  <c r="B17" i="86" s="1"/>
  <c r="B18" i="86" s="1"/>
  <c r="B17" i="85" a="1"/>
  <c r="B17" i="85" s="1"/>
  <c r="B18" i="85" s="1"/>
  <c r="B17" i="84" a="1"/>
  <c r="B17" i="84" s="1"/>
  <c r="B18" i="84" s="1"/>
  <c r="B17" i="83" a="1"/>
  <c r="B17" i="83" s="1"/>
  <c r="B18" i="83" s="1"/>
  <c r="B17" i="82" a="1"/>
  <c r="B17" i="82" s="1"/>
  <c r="B18" i="82" s="1"/>
  <c r="B17" i="81" a="1"/>
  <c r="B17" i="81" s="1"/>
  <c r="B18" i="81" s="1"/>
  <c r="B17" i="80" a="1"/>
  <c r="B17" i="80" s="1"/>
  <c r="B18" i="80" s="1"/>
  <c r="B24" i="80" s="1"/>
  <c r="B25" i="80" s="1"/>
  <c r="B17" i="79" a="1"/>
  <c r="B17" i="79" s="1"/>
  <c r="B18" i="79" s="1"/>
  <c r="B17" i="78" a="1"/>
  <c r="B17" i="78" s="1"/>
  <c r="B18" i="78" s="1"/>
  <c r="B17" i="77" a="1"/>
  <c r="B17" i="77" s="1"/>
  <c r="B18" i="77" s="1"/>
  <c r="B17" i="76" a="1"/>
  <c r="B17" i="76" s="1"/>
  <c r="B18" i="76" s="1"/>
  <c r="B24" i="76" s="1"/>
  <c r="B25" i="76" s="1"/>
  <c r="B17" i="75" a="1"/>
  <c r="B17" i="75" s="1"/>
  <c r="B18" i="75" s="1"/>
  <c r="B17" i="74" a="1"/>
  <c r="B17" i="74" s="1"/>
  <c r="B18" i="74" s="1"/>
  <c r="B17" i="73" a="1"/>
  <c r="B17" i="73" s="1"/>
  <c r="B18" i="73" s="1"/>
  <c r="B26" i="70"/>
  <c r="B25" i="70"/>
  <c r="B24" i="70"/>
  <c r="B23" i="70"/>
  <c r="B22" i="70"/>
  <c r="B17" i="71" a="1"/>
  <c r="B17" i="71" s="1"/>
  <c r="B18" i="71" s="1"/>
  <c r="B19" i="71" s="1"/>
  <c r="B20" i="71" s="1"/>
  <c r="B19" i="84" l="1"/>
  <c r="B20" i="84" s="1"/>
  <c r="B24" i="84"/>
  <c r="B25" i="84" s="1"/>
  <c r="B19" i="85"/>
  <c r="B20" i="85" s="1"/>
  <c r="B24" i="85"/>
  <c r="B25" i="85" s="1"/>
  <c r="B24" i="86"/>
  <c r="B25" i="86" s="1"/>
  <c r="B19" i="86"/>
  <c r="B20" i="86" s="1"/>
  <c r="B24" i="81"/>
  <c r="B25" i="81" s="1"/>
  <c r="B19" i="81"/>
  <c r="B20" i="81" s="1"/>
  <c r="B24" i="82"/>
  <c r="B25" i="82" s="1"/>
  <c r="B19" i="82"/>
  <c r="B20" i="82" s="1"/>
  <c r="B24" i="83"/>
  <c r="B25" i="83" s="1"/>
  <c r="B19" i="83"/>
  <c r="B20" i="83" s="1"/>
  <c r="B19" i="78"/>
  <c r="B20" i="78" s="1"/>
  <c r="B24" i="78"/>
  <c r="B25" i="78" s="1"/>
  <c r="B19" i="79"/>
  <c r="B20" i="79" s="1"/>
  <c r="B24" i="79"/>
  <c r="B25" i="79" s="1"/>
  <c r="B19" i="80"/>
  <c r="B20" i="80" s="1"/>
  <c r="B24" i="77"/>
  <c r="B25" i="77" s="1"/>
  <c r="B19" i="77"/>
  <c r="B20" i="77" s="1"/>
  <c r="B19" i="76"/>
  <c r="B20" i="76" s="1"/>
  <c r="B24" i="75"/>
  <c r="B25" i="75" s="1"/>
  <c r="B19" i="75"/>
  <c r="B20" i="75" s="1"/>
  <c r="B24" i="74"/>
  <c r="B25" i="74" s="1"/>
  <c r="B19" i="74"/>
  <c r="B20" i="74" s="1"/>
  <c r="B24" i="73"/>
  <c r="B25" i="73" s="1"/>
  <c r="B19" i="73"/>
  <c r="B20" i="73" s="1"/>
  <c r="B24" i="71"/>
  <c r="B25" i="71" s="1"/>
  <c r="D22" i="85" l="1"/>
  <c r="D23" i="85" s="1"/>
  <c r="C22" i="85"/>
  <c r="C23" i="85" s="1"/>
  <c r="B22" i="85"/>
  <c r="B23" i="85" s="1"/>
  <c r="E22" i="85"/>
  <c r="E23" i="85" s="1"/>
  <c r="C22" i="86"/>
  <c r="C23" i="86" s="1"/>
  <c r="B22" i="86"/>
  <c r="B23" i="86" s="1"/>
  <c r="E22" i="86"/>
  <c r="E23" i="86" s="1"/>
  <c r="D22" i="86"/>
  <c r="D23" i="86" s="1"/>
  <c r="D22" i="84"/>
  <c r="D23" i="84" s="1"/>
  <c r="C22" i="84"/>
  <c r="C23" i="84" s="1"/>
  <c r="B22" i="84"/>
  <c r="B23" i="84" s="1"/>
  <c r="E22" i="84"/>
  <c r="E23" i="84" s="1"/>
  <c r="B22" i="82"/>
  <c r="B23" i="82" s="1"/>
  <c r="E22" i="82"/>
  <c r="E23" i="82" s="1"/>
  <c r="D22" i="82"/>
  <c r="D23" i="82" s="1"/>
  <c r="C22" i="82"/>
  <c r="C23" i="82" s="1"/>
  <c r="C22" i="83"/>
  <c r="C23" i="83" s="1"/>
  <c r="B22" i="83"/>
  <c r="B23" i="83" s="1"/>
  <c r="E22" i="83"/>
  <c r="E23" i="83" s="1"/>
  <c r="D22" i="83"/>
  <c r="D23" i="83" s="1"/>
  <c r="B22" i="81"/>
  <c r="B23" i="81" s="1"/>
  <c r="E22" i="81"/>
  <c r="E23" i="81" s="1"/>
  <c r="D22" i="81"/>
  <c r="D23" i="81" s="1"/>
  <c r="C22" i="81"/>
  <c r="C23" i="81" s="1"/>
  <c r="C22" i="80"/>
  <c r="C23" i="80" s="1"/>
  <c r="B22" i="80"/>
  <c r="B23" i="80" s="1"/>
  <c r="E22" i="80"/>
  <c r="E23" i="80" s="1"/>
  <c r="D22" i="80"/>
  <c r="D23" i="80" s="1"/>
  <c r="D22" i="79"/>
  <c r="D23" i="79" s="1"/>
  <c r="C22" i="79"/>
  <c r="C23" i="79" s="1"/>
  <c r="B22" i="79"/>
  <c r="B23" i="79" s="1"/>
  <c r="E22" i="79"/>
  <c r="E23" i="79" s="1"/>
  <c r="D22" i="78"/>
  <c r="D23" i="78" s="1"/>
  <c r="C22" i="78"/>
  <c r="C23" i="78" s="1"/>
  <c r="B22" i="78"/>
  <c r="B23" i="78" s="1"/>
  <c r="E22" i="78"/>
  <c r="E23" i="78" s="1"/>
  <c r="C22" i="77"/>
  <c r="C23" i="77" s="1"/>
  <c r="B22" i="77"/>
  <c r="B23" i="77" s="1"/>
  <c r="E22" i="77"/>
  <c r="E23" i="77" s="1"/>
  <c r="D22" i="77"/>
  <c r="D23" i="77" s="1"/>
  <c r="C22" i="76"/>
  <c r="C23" i="76" s="1"/>
  <c r="B22" i="76"/>
  <c r="B23" i="76" s="1"/>
  <c r="E22" i="76"/>
  <c r="E23" i="76" s="1"/>
  <c r="D22" i="76"/>
  <c r="D23" i="76" s="1"/>
  <c r="C22" i="75"/>
  <c r="C23" i="75" s="1"/>
  <c r="B22" i="75"/>
  <c r="B23" i="75" s="1"/>
  <c r="E22" i="75"/>
  <c r="E23" i="75" s="1"/>
  <c r="D22" i="75"/>
  <c r="D23" i="75" s="1"/>
  <c r="C22" i="74"/>
  <c r="C23" i="74" s="1"/>
  <c r="B22" i="74"/>
  <c r="B23" i="74" s="1"/>
  <c r="D22" i="74"/>
  <c r="D23" i="74" s="1"/>
  <c r="E22" i="74"/>
  <c r="E23" i="74" s="1"/>
  <c r="C22" i="73"/>
  <c r="C23" i="73" s="1"/>
  <c r="B22" i="73"/>
  <c r="B23" i="73" s="1"/>
  <c r="E22" i="73"/>
  <c r="E23" i="73" s="1"/>
  <c r="D22" i="73"/>
  <c r="D23" i="73" s="1"/>
  <c r="D22" i="71"/>
  <c r="D23" i="71" s="1"/>
  <c r="E22" i="71"/>
  <c r="E23" i="71" s="1"/>
  <c r="B22" i="71"/>
  <c r="B23" i="71" s="1"/>
  <c r="C22" i="71"/>
  <c r="C23" i="71" s="1"/>
  <c r="B12" i="85"/>
  <c r="B3" i="73" a="1"/>
  <c r="F12" i="75"/>
  <c r="F12" i="77"/>
  <c r="K12" i="84"/>
  <c r="F12" i="74"/>
  <c r="K12" i="71"/>
  <c r="B2" i="73" a="1"/>
  <c r="B12" i="81"/>
  <c r="B12" i="73"/>
  <c r="B12" i="83"/>
  <c r="B12" i="86"/>
  <c r="K12" i="78"/>
  <c r="B12" i="79"/>
  <c r="B12" i="82"/>
  <c r="B12" i="77"/>
  <c r="F12" i="85"/>
  <c r="F12" i="83"/>
  <c r="F12" i="79"/>
  <c r="F12" i="78"/>
  <c r="B12" i="74"/>
  <c r="F12" i="84"/>
  <c r="F12" i="86"/>
  <c r="K12" i="85"/>
  <c r="K12" i="83"/>
  <c r="B12" i="75"/>
  <c r="B12" i="78"/>
  <c r="K12" i="79"/>
  <c r="B12" i="71"/>
  <c r="B12" i="84"/>
  <c r="F12" i="71"/>
  <c r="D12" i="86" l="1"/>
  <c r="C12" i="86"/>
  <c r="E12" i="86"/>
  <c r="H12" i="85"/>
  <c r="G12" i="85"/>
  <c r="J12" i="85"/>
  <c r="I12" i="85"/>
  <c r="D12" i="85"/>
  <c r="C12" i="85"/>
  <c r="E12" i="85"/>
  <c r="D12" i="84"/>
  <c r="C12" i="84"/>
  <c r="E12" i="84"/>
  <c r="H12" i="84"/>
  <c r="G12" i="84"/>
  <c r="J12" i="84"/>
  <c r="I12" i="84"/>
  <c r="H12" i="83"/>
  <c r="G12" i="83"/>
  <c r="J12" i="83"/>
  <c r="I12" i="83"/>
  <c r="D12" i="83"/>
  <c r="C12" i="83"/>
  <c r="E12" i="83"/>
  <c r="H12" i="79"/>
  <c r="G12" i="79"/>
  <c r="J12" i="79"/>
  <c r="I12" i="79"/>
  <c r="D12" i="79"/>
  <c r="C12" i="79"/>
  <c r="E12" i="79"/>
  <c r="D12" i="78"/>
  <c r="C12" i="78"/>
  <c r="E12" i="78"/>
  <c r="H12" i="78"/>
  <c r="G12" i="78"/>
  <c r="J12" i="78"/>
  <c r="I12" i="78"/>
  <c r="D12" i="77"/>
  <c r="C12" i="77"/>
  <c r="E12" i="77"/>
  <c r="D12" i="75"/>
  <c r="C12" i="75"/>
  <c r="E12" i="75"/>
  <c r="D12" i="74"/>
  <c r="C12" i="74"/>
  <c r="E12" i="74"/>
  <c r="H12" i="71"/>
  <c r="G12" i="71"/>
  <c r="I12" i="71"/>
  <c r="J12" i="71"/>
  <c r="D12" i="71"/>
  <c r="C12" i="71"/>
  <c r="E12" i="71"/>
  <c r="B3" i="73"/>
  <c r="B2" i="73"/>
  <c r="F4" i="86" a="1"/>
  <c r="F7" i="73" a="1"/>
  <c r="P6" i="85" a="1"/>
  <c r="F10" i="76" a="1"/>
  <c r="P7" i="71" a="1"/>
  <c r="K10" i="75" a="1"/>
  <c r="K9" i="83" a="1"/>
  <c r="B11" i="83" a="1"/>
  <c r="B6" i="83" a="1"/>
  <c r="K4" i="75" a="1"/>
  <c r="P6" i="81" a="1"/>
  <c r="K11" i="85" a="1"/>
  <c r="F10" i="81" a="1"/>
  <c r="B3" i="71" a="1"/>
  <c r="P12" i="84"/>
  <c r="B3" i="79" a="1"/>
  <c r="P5" i="76" a="1"/>
  <c r="K4" i="79" a="1"/>
  <c r="K12" i="81"/>
  <c r="K2" i="71" a="1"/>
  <c r="K3" i="76" a="1"/>
  <c r="P7" i="73" a="1"/>
  <c r="P10" i="74" a="1"/>
  <c r="F2" i="83" a="1"/>
  <c r="K3" i="77" a="1"/>
  <c r="F10" i="73" a="1"/>
  <c r="F4" i="85" a="1"/>
  <c r="F3" i="78" a="1"/>
  <c r="K9" i="84" a="1"/>
  <c r="K2" i="78" a="1"/>
  <c r="K5" i="86" a="1"/>
  <c r="F7" i="83" a="1"/>
  <c r="B9" i="83" a="1"/>
  <c r="B4" i="85" a="1"/>
  <c r="B8" i="82" a="1"/>
  <c r="F9" i="84" a="1"/>
  <c r="F8" i="78" a="1"/>
  <c r="P4" i="80" a="1"/>
  <c r="B11" i="73" a="1"/>
  <c r="B4" i="71" a="1"/>
  <c r="K2" i="82" a="1"/>
  <c r="K6" i="75" a="1"/>
  <c r="B2" i="81" a="1"/>
  <c r="B9" i="85" a="1"/>
  <c r="B5" i="78" a="1"/>
  <c r="F4" i="77" a="1"/>
  <c r="P12" i="75"/>
  <c r="P5" i="86" a="1"/>
  <c r="F10" i="85" a="1"/>
  <c r="F4" i="74" a="1"/>
  <c r="K6" i="83" a="1"/>
  <c r="F7" i="86" a="1"/>
  <c r="P11" i="77" a="1"/>
  <c r="F6" i="75" a="1"/>
  <c r="K8" i="78" a="1"/>
  <c r="F8" i="73" a="1"/>
  <c r="F6" i="85" a="1"/>
  <c r="B7" i="73" a="1"/>
  <c r="B11" i="71" a="1"/>
  <c r="K11" i="82" a="1"/>
  <c r="F4" i="75" a="1"/>
  <c r="B8" i="84" a="1"/>
  <c r="K4" i="73" a="1"/>
  <c r="F2" i="77" a="1"/>
  <c r="K8" i="86" a="1"/>
  <c r="K12" i="82"/>
  <c r="F11" i="77" a="1"/>
  <c r="B10" i="82" a="1"/>
  <c r="B8" i="78" a="1"/>
  <c r="P5" i="77" a="1"/>
  <c r="F8" i="82" a="1"/>
  <c r="P12" i="85"/>
  <c r="K4" i="85" a="1"/>
  <c r="F9" i="86" a="1"/>
  <c r="B2" i="84" a="1"/>
  <c r="K2" i="79" a="1"/>
  <c r="P9" i="76" a="1"/>
  <c r="B2" i="78" a="1"/>
  <c r="K6" i="71" a="1"/>
  <c r="B7" i="74" a="1"/>
  <c r="K6" i="77" a="1"/>
  <c r="P4" i="74" a="1"/>
  <c r="F3" i="79" a="1"/>
  <c r="K7" i="75" a="1"/>
  <c r="K11" i="86" a="1"/>
  <c r="P3" i="82" a="1"/>
  <c r="K8" i="71" a="1"/>
  <c r="K6" i="85" a="1"/>
  <c r="P12" i="73"/>
  <c r="F3" i="82" a="1"/>
  <c r="P7" i="83" a="1"/>
  <c r="K5" i="71" a="1"/>
  <c r="B7" i="79" a="1"/>
  <c r="F6" i="80" a="1"/>
  <c r="B9" i="79" a="1"/>
  <c r="K6" i="82" a="1"/>
  <c r="F3" i="80" a="1"/>
  <c r="K10" i="82" a="1"/>
  <c r="B5" i="84" a="1"/>
  <c r="F6" i="82" a="1"/>
  <c r="B7" i="85" a="1"/>
  <c r="F3" i="81" a="1"/>
  <c r="P9" i="75" a="1"/>
  <c r="K2" i="81" a="1"/>
  <c r="B9" i="75" a="1"/>
  <c r="P11" i="84" a="1"/>
  <c r="P9" i="77" a="1"/>
  <c r="K3" i="79" a="1"/>
  <c r="K9" i="75" a="1"/>
  <c r="K3" i="78" a="1"/>
  <c r="P2" i="86" a="1"/>
  <c r="B6" i="86" a="1"/>
  <c r="B3" i="75" a="1"/>
  <c r="B11" i="86" a="1"/>
  <c r="F11" i="75" a="1"/>
  <c r="K5" i="84" a="1"/>
  <c r="P9" i="71" a="1"/>
  <c r="B2" i="77" a="1"/>
  <c r="K9" i="77" a="1"/>
  <c r="F2" i="81" a="1"/>
  <c r="B5" i="71" a="1"/>
  <c r="F11" i="80" a="1"/>
  <c r="F5" i="84" a="1"/>
  <c r="B12" i="80"/>
  <c r="K12" i="77"/>
  <c r="F11" i="86" a="1"/>
  <c r="P2" i="77" a="1"/>
  <c r="B6" i="77" a="1"/>
  <c r="P12" i="74"/>
  <c r="F9" i="81" a="1"/>
  <c r="F12" i="73"/>
  <c r="F10" i="71" a="1"/>
  <c r="K11" i="73" a="1"/>
  <c r="B9" i="81" a="1"/>
  <c r="P10" i="73" a="1"/>
  <c r="P11" i="85" a="1"/>
  <c r="K4" i="71" a="1"/>
  <c r="F7" i="76" a="1"/>
  <c r="K7" i="80" a="1"/>
  <c r="K10" i="71" a="1"/>
  <c r="F9" i="73" a="1"/>
  <c r="B5" i="74" a="1"/>
  <c r="B2" i="76" a="1"/>
  <c r="F7" i="71" a="1"/>
  <c r="P4" i="77" a="1"/>
  <c r="P12" i="82"/>
  <c r="B6" i="82" a="1"/>
  <c r="P9" i="86" a="1"/>
  <c r="B8" i="80" a="1"/>
  <c r="K7" i="83" a="1"/>
  <c r="P8" i="75" a="1"/>
  <c r="F10" i="77" a="1"/>
  <c r="B3" i="77" a="1"/>
  <c r="K6" i="76" a="1"/>
  <c r="B6" i="80" a="1"/>
  <c r="B11" i="81" a="1"/>
  <c r="P7" i="76" a="1"/>
  <c r="F2" i="84" a="1"/>
  <c r="P4" i="84" a="1"/>
  <c r="F4" i="83" a="1"/>
  <c r="F3" i="75" a="1"/>
  <c r="K8" i="84" a="1"/>
  <c r="K5" i="85" a="1"/>
  <c r="B2" i="71" a="1"/>
  <c r="F9" i="71" a="1"/>
  <c r="K4" i="84" a="1"/>
  <c r="F8" i="77" a="1"/>
  <c r="F6" i="74" a="1"/>
  <c r="P12" i="76"/>
  <c r="F5" i="82" a="1"/>
  <c r="B9" i="82" a="1"/>
  <c r="B3" i="82" a="1"/>
  <c r="F8" i="74" a="1"/>
  <c r="P2" i="84" a="1"/>
  <c r="P6" i="83" a="1"/>
  <c r="F2" i="74" a="1"/>
  <c r="K4" i="82" a="1"/>
  <c r="F9" i="77" a="1"/>
  <c r="K7" i="79" a="1"/>
  <c r="K5" i="83" a="1"/>
  <c r="F5" i="73" a="1"/>
  <c r="B11" i="76" a="1"/>
  <c r="P2" i="83" a="1"/>
  <c r="B9" i="76" a="1"/>
  <c r="F6" i="77" a="1"/>
  <c r="B4" i="82" a="1"/>
  <c r="F2" i="86" a="1"/>
  <c r="P7" i="79" a="1"/>
  <c r="P9" i="83" a="1"/>
  <c r="F6" i="78" a="1"/>
  <c r="K4" i="78" a="1"/>
  <c r="P9" i="84" a="1"/>
  <c r="P8" i="80" a="1"/>
  <c r="K4" i="76" a="1"/>
  <c r="F9" i="78" a="1"/>
  <c r="K3" i="73" a="1"/>
  <c r="F12" i="81"/>
  <c r="F2" i="82" a="1"/>
  <c r="P4" i="76" a="1"/>
  <c r="K7" i="73" a="1"/>
  <c r="B4" i="75" a="1"/>
  <c r="K7" i="71" a="1"/>
  <c r="B6" i="75" a="1"/>
  <c r="P2" i="81" a="1"/>
  <c r="P4" i="85" a="1"/>
  <c r="P5" i="78" a="1"/>
  <c r="P5" i="75" a="1"/>
  <c r="K4" i="86" a="1"/>
  <c r="F9" i="75" a="1"/>
  <c r="B3" i="85" a="1"/>
  <c r="F9" i="76" a="1"/>
  <c r="B10" i="85" a="1"/>
  <c r="P10" i="71" a="1"/>
  <c r="P11" i="74" a="1"/>
  <c r="B7" i="76" a="1"/>
  <c r="F3" i="77" a="1"/>
  <c r="F5" i="85" a="1"/>
  <c r="B8" i="79" a="1"/>
  <c r="P6" i="75" a="1"/>
  <c r="K9" i="78" a="1"/>
  <c r="F11" i="81" a="1"/>
  <c r="K7" i="81" a="1"/>
  <c r="F11" i="85" a="1"/>
  <c r="B7" i="86" a="1"/>
  <c r="P5" i="71" a="1"/>
  <c r="K3" i="83" a="1"/>
  <c r="P9" i="82" a="1"/>
  <c r="B6" i="71" a="1"/>
  <c r="B6" i="76" a="1"/>
  <c r="K5" i="80" a="1"/>
  <c r="F5" i="79" a="1"/>
  <c r="K3" i="85" a="1"/>
  <c r="F8" i="76" a="1"/>
  <c r="B4" i="77" a="1"/>
  <c r="F8" i="81" a="1"/>
  <c r="K9" i="82" a="1"/>
  <c r="B9" i="86" a="1"/>
  <c r="K10" i="85" a="1"/>
  <c r="B8" i="74" a="1"/>
  <c r="F12" i="80"/>
  <c r="B4" i="74" a="1"/>
  <c r="P8" i="82" a="1"/>
  <c r="K8" i="83" a="1"/>
  <c r="P10" i="76" a="1"/>
  <c r="B7" i="71" a="1"/>
  <c r="P8" i="73" a="1"/>
  <c r="P8" i="85" a="1"/>
  <c r="B5" i="73" a="1"/>
  <c r="B10" i="76" a="1"/>
  <c r="P2" i="80" a="1"/>
  <c r="F3" i="74" a="1"/>
  <c r="K6" i="79" a="1"/>
  <c r="K8" i="85" a="1"/>
  <c r="F9" i="82" a="1"/>
  <c r="P2" i="75" a="1"/>
  <c r="F8" i="75" a="1"/>
  <c r="B9" i="84" a="1"/>
  <c r="P2" i="73" a="1"/>
  <c r="F11" i="74" a="1"/>
  <c r="F7" i="80" a="1"/>
  <c r="F9" i="83" a="1"/>
  <c r="P12" i="78"/>
  <c r="K6" i="78" a="1"/>
  <c r="P3" i="75" a="1"/>
  <c r="P5" i="85" a="1"/>
  <c r="P10" i="85" a="1"/>
  <c r="B8" i="83" a="1"/>
  <c r="P7" i="82" a="1"/>
  <c r="P9" i="78" a="1"/>
  <c r="P5" i="74" a="1"/>
  <c r="F4" i="78" a="1"/>
  <c r="P12" i="83"/>
  <c r="K2" i="76" a="1"/>
  <c r="K11" i="79" a="1"/>
  <c r="K9" i="76" a="1"/>
  <c r="P10" i="81" a="1"/>
  <c r="P11" i="86" a="1"/>
  <c r="P6" i="73" a="1"/>
  <c r="P3" i="83" a="1"/>
  <c r="K3" i="71" a="1"/>
  <c r="P5" i="73" a="1"/>
  <c r="F7" i="75" a="1"/>
  <c r="P6" i="77" a="1"/>
  <c r="F2" i="79" a="1"/>
  <c r="F10" i="74" a="1"/>
  <c r="B4" i="80" a="1"/>
  <c r="K2" i="77" a="1"/>
  <c r="F10" i="79" a="1"/>
  <c r="P10" i="78" a="1"/>
  <c r="K4" i="80" a="1"/>
  <c r="P8" i="76" a="1"/>
  <c r="P2" i="79" a="1"/>
  <c r="K6" i="73" a="1"/>
  <c r="P4" i="82" a="1"/>
  <c r="P2" i="85" a="1"/>
  <c r="K6" i="74" a="1"/>
  <c r="B10" i="78" a="1"/>
  <c r="B9" i="78" a="1"/>
  <c r="P5" i="79" a="1"/>
  <c r="F8" i="71" a="1"/>
  <c r="K10" i="73" a="1"/>
  <c r="K10" i="74" a="1"/>
  <c r="P4" i="79" a="1"/>
  <c r="P3" i="86" a="1"/>
  <c r="K10" i="81" a="1"/>
  <c r="F5" i="75" a="1"/>
  <c r="K3" i="84" a="1"/>
  <c r="F9" i="74" a="1"/>
  <c r="P10" i="82" a="1"/>
  <c r="B5" i="81" a="1"/>
  <c r="K10" i="79" a="1"/>
  <c r="B5" i="80" a="1"/>
  <c r="F11" i="83" a="1"/>
  <c r="F7" i="84" a="1"/>
  <c r="F3" i="76" a="1"/>
  <c r="P7" i="78" a="1"/>
  <c r="K6" i="84" a="1"/>
  <c r="B11" i="77" a="1"/>
  <c r="K10" i="86" a="1"/>
  <c r="P8" i="84" a="1"/>
  <c r="P4" i="71" a="1"/>
  <c r="B6" i="84" a="1"/>
  <c r="K11" i="71" a="1"/>
  <c r="F4" i="80" a="1"/>
  <c r="F8" i="86" a="1"/>
  <c r="K8" i="75" a="1"/>
  <c r="P8" i="77" a="1"/>
  <c r="B6" i="81" a="1"/>
  <c r="B10" i="73" a="1"/>
  <c r="B7" i="82" a="1"/>
  <c r="K7" i="77" a="1"/>
  <c r="K5" i="79" a="1"/>
  <c r="F5" i="76" a="1"/>
  <c r="K6" i="80" a="1"/>
  <c r="F4" i="71" a="1"/>
  <c r="K7" i="84" a="1"/>
  <c r="K8" i="74" a="1"/>
  <c r="K5" i="78" a="1"/>
  <c r="P11" i="80" a="1"/>
  <c r="B4" i="86" a="1"/>
  <c r="F5" i="71" a="1"/>
  <c r="K8" i="79" a="1"/>
  <c r="F11" i="79" a="1"/>
  <c r="F8" i="80" a="1"/>
  <c r="K2" i="83" a="1"/>
  <c r="F11" i="76" a="1"/>
  <c r="K4" i="74" a="1"/>
  <c r="B11" i="80" a="1"/>
  <c r="P12" i="81"/>
  <c r="F5" i="77" a="1"/>
  <c r="P4" i="78" a="1"/>
  <c r="K6" i="86" a="1"/>
  <c r="F4" i="82" a="1"/>
  <c r="B6" i="73" a="1"/>
  <c r="P5" i="83" a="1"/>
  <c r="F7" i="78" a="1"/>
  <c r="F10" i="75" a="1"/>
  <c r="P9" i="80" a="1"/>
  <c r="K3" i="75" a="1"/>
  <c r="P4" i="86" a="1"/>
  <c r="P11" i="78" a="1"/>
  <c r="K10" i="78" a="1"/>
  <c r="B9" i="71" a="1"/>
  <c r="F2" i="76" a="1"/>
  <c r="B11" i="82" a="1"/>
  <c r="K7" i="86" a="1"/>
  <c r="P3" i="71" a="1"/>
  <c r="B4" i="79" a="1"/>
  <c r="F4" i="73" a="1"/>
  <c r="B10" i="83" a="1"/>
  <c r="P6" i="86" a="1"/>
  <c r="B7" i="83" a="1"/>
  <c r="B2" i="74" a="1"/>
  <c r="P11" i="81" a="1"/>
  <c r="B8" i="76" a="1"/>
  <c r="B7" i="80" a="1"/>
  <c r="K10" i="84" a="1"/>
  <c r="F12" i="82"/>
  <c r="P9" i="81" a="1"/>
  <c r="B10" i="84" a="1"/>
  <c r="F7" i="74" a="1"/>
  <c r="F4" i="81" a="1"/>
  <c r="K11" i="74" a="1"/>
  <c r="F6" i="73" a="1"/>
  <c r="B10" i="80" a="1"/>
  <c r="P7" i="81" a="1"/>
  <c r="P3" i="73" a="1"/>
  <c r="P5" i="84" a="1"/>
  <c r="P7" i="80" a="1"/>
  <c r="P10" i="83" a="1"/>
  <c r="F5" i="74" a="1"/>
  <c r="F7" i="85" a="1"/>
  <c r="P10" i="77" a="1"/>
  <c r="K2" i="86" a="1"/>
  <c r="B2" i="86" a="1"/>
  <c r="K12" i="73"/>
  <c r="B11" i="78" a="1"/>
  <c r="F7" i="81" a="1"/>
  <c r="K8" i="76" a="1"/>
  <c r="P5" i="80" a="1"/>
  <c r="F2" i="80" a="1"/>
  <c r="P2" i="82" a="1"/>
  <c r="B3" i="80" a="1"/>
  <c r="B4" i="81" a="1"/>
  <c r="K3" i="74" a="1"/>
  <c r="F6" i="83" a="1"/>
  <c r="F11" i="71" a="1"/>
  <c r="P10" i="86" a="1"/>
  <c r="K3" i="80" a="1"/>
  <c r="B2" i="83" a="1"/>
  <c r="B11" i="79" a="1"/>
  <c r="B4" i="76" a="1"/>
  <c r="B7" i="81" a="1"/>
  <c r="B9" i="80" a="1"/>
  <c r="K3" i="81" a="1"/>
  <c r="K7" i="78" a="1"/>
  <c r="B5" i="83" a="1"/>
  <c r="P3" i="78" a="1"/>
  <c r="B7" i="77" a="1"/>
  <c r="B2" i="75" a="1"/>
  <c r="P10" i="75" a="1"/>
  <c r="B5" i="76" a="1"/>
  <c r="F6" i="71" a="1"/>
  <c r="F7" i="77" a="1"/>
  <c r="P6" i="71" a="1"/>
  <c r="B3" i="78" a="1"/>
  <c r="K10" i="80" a="1"/>
  <c r="P9" i="74" a="1"/>
  <c r="K11" i="78" a="1"/>
  <c r="F10" i="86" a="1"/>
  <c r="K12" i="74"/>
  <c r="F2" i="75" a="1"/>
  <c r="F3" i="85" a="1"/>
  <c r="K12" i="86"/>
  <c r="K2" i="75" a="1"/>
  <c r="B5" i="79" a="1"/>
  <c r="K10" i="76" a="1"/>
  <c r="K8" i="73" a="1"/>
  <c r="B8" i="85" a="1"/>
  <c r="P2" i="74" a="1"/>
  <c r="K6" i="81" a="1"/>
  <c r="K4" i="81" a="1"/>
  <c r="K9" i="86" a="1"/>
  <c r="P9" i="79" a="1"/>
  <c r="P12" i="79"/>
  <c r="P3" i="77" a="1"/>
  <c r="F11" i="73" a="1"/>
  <c r="F11" i="78" a="1"/>
  <c r="P10" i="79" a="1"/>
  <c r="P7" i="86" a="1"/>
  <c r="P4" i="75" a="1"/>
  <c r="P8" i="86" a="1"/>
  <c r="K5" i="75" a="1"/>
  <c r="P7" i="84" a="1"/>
  <c r="P7" i="77" a="1"/>
  <c r="P6" i="82" a="1"/>
  <c r="B6" i="78" a="1"/>
  <c r="K9" i="71" a="1"/>
  <c r="P11" i="79" a="1"/>
  <c r="F5" i="81" a="1"/>
  <c r="B11" i="75" a="1"/>
  <c r="B10" i="79" a="1"/>
  <c r="B9" i="73" a="1"/>
  <c r="F4" i="76" a="1"/>
  <c r="K8" i="80" a="1"/>
  <c r="K3" i="82" a="1"/>
  <c r="F10" i="80" a="1"/>
  <c r="F11" i="82" a="1"/>
  <c r="P6" i="84" a="1"/>
  <c r="P6" i="74" a="1"/>
  <c r="P7" i="75" a="1"/>
  <c r="F3" i="84" a="1"/>
  <c r="P6" i="78" a="1"/>
  <c r="F10" i="78" a="1"/>
  <c r="F7" i="79" a="1"/>
  <c r="P11" i="75" a="1"/>
  <c r="K7" i="82" a="1"/>
  <c r="P8" i="81" a="1"/>
  <c r="P7" i="85" a="1"/>
  <c r="F8" i="83" a="1"/>
  <c r="K10" i="77" a="1"/>
  <c r="P3" i="76" a="1"/>
  <c r="B5" i="86" a="1"/>
  <c r="B6" i="74" a="1"/>
  <c r="K9" i="80" a="1"/>
  <c r="K12" i="80"/>
  <c r="B10" i="71" a="1"/>
  <c r="K11" i="77" a="1"/>
  <c r="B5" i="75" a="1"/>
  <c r="B2" i="82" a="1"/>
  <c r="K7" i="76" a="1"/>
  <c r="P12" i="86"/>
  <c r="K5" i="73" a="1"/>
  <c r="B6" i="85" a="1"/>
  <c r="B7" i="75" a="1"/>
  <c r="F4" i="84" a="1"/>
  <c r="P11" i="71" a="1"/>
  <c r="P11" i="76" a="1"/>
  <c r="P5" i="81" a="1"/>
  <c r="B4" i="83" a="1"/>
  <c r="F6" i="86" a="1"/>
  <c r="P8" i="83" a="1"/>
  <c r="B5" i="85" a="1"/>
  <c r="K11" i="81" a="1"/>
  <c r="P7" i="74" a="1"/>
  <c r="B8" i="71" a="1"/>
  <c r="B4" i="78" a="1"/>
  <c r="F6" i="81" a="1"/>
  <c r="B10" i="75" a="1"/>
  <c r="F8" i="79" a="1"/>
  <c r="F3" i="83" a="1"/>
  <c r="K2" i="80" a="1"/>
  <c r="K10" i="83" a="1"/>
  <c r="K7" i="85" a="1"/>
  <c r="B12" i="76"/>
  <c r="P10" i="80" a="1"/>
  <c r="K9" i="79" a="1"/>
  <c r="K12" i="76"/>
  <c r="P6" i="79" a="1"/>
  <c r="F5" i="80" a="1"/>
  <c r="F11" i="84" a="1"/>
  <c r="B7" i="84" a="1"/>
  <c r="P8" i="78" a="1"/>
  <c r="K9" i="74" a="1"/>
  <c r="B10" i="86" a="1"/>
  <c r="P2" i="71" a="1"/>
  <c r="K2" i="85" a="1"/>
  <c r="B8" i="81" a="1"/>
  <c r="P2" i="76" a="1"/>
  <c r="F9" i="79" a="1"/>
  <c r="P12" i="80"/>
  <c r="K8" i="81" a="1"/>
  <c r="P3" i="79" a="1"/>
  <c r="P3" i="80" a="1"/>
  <c r="F3" i="71" a="1"/>
  <c r="B2" i="80" a="1"/>
  <c r="F2" i="73" a="1"/>
  <c r="P9" i="73" a="1"/>
  <c r="F6" i="79" a="1"/>
  <c r="B8" i="73" a="1"/>
  <c r="F12" i="76"/>
  <c r="F2" i="85" a="1"/>
  <c r="B7" i="78" a="1"/>
  <c r="F9" i="85" a="1"/>
  <c r="K11" i="84" a="1"/>
  <c r="F5" i="83" a="1"/>
  <c r="P6" i="80" a="1"/>
  <c r="K8" i="77" a="1"/>
  <c r="P2" i="78" a="1"/>
  <c r="B10" i="77" a="1"/>
  <c r="K7" i="74" a="1"/>
  <c r="P11" i="83" a="1"/>
  <c r="P11" i="82" a="1"/>
  <c r="F10" i="84" a="1"/>
  <c r="F6" i="84" a="1"/>
  <c r="B3" i="86" a="1"/>
  <c r="P3" i="74" a="1"/>
  <c r="K2" i="74" a="1"/>
  <c r="K11" i="80" a="1"/>
  <c r="P12" i="71"/>
  <c r="F5" i="86" a="1"/>
  <c r="B8" i="75" a="1"/>
  <c r="B11" i="85" a="1"/>
  <c r="B3" i="76" a="1"/>
  <c r="P4" i="83" a="1"/>
  <c r="B9" i="77" a="1"/>
  <c r="K11" i="83" a="1"/>
  <c r="P3" i="84" a="1"/>
  <c r="K2" i="84" a="1"/>
  <c r="K5" i="76" a="1"/>
  <c r="B5" i="82" a="1"/>
  <c r="K2" i="73" a="1"/>
  <c r="F5" i="78" a="1"/>
  <c r="F3" i="86" a="1"/>
  <c r="F8" i="84" a="1"/>
  <c r="F9" i="80" a="1"/>
  <c r="K5" i="82" a="1"/>
  <c r="B2" i="79" a="1"/>
  <c r="B3" i="81" a="1"/>
  <c r="P4" i="73" a="1"/>
  <c r="K11" i="75" a="1"/>
  <c r="B6" i="79" a="1"/>
  <c r="B8" i="86" a="1"/>
  <c r="P11" i="73" a="1"/>
  <c r="K3" i="86" a="1"/>
  <c r="P3" i="81" a="1"/>
  <c r="B9" i="74" a="1"/>
  <c r="K9" i="81" a="1"/>
  <c r="P3" i="85" a="1"/>
  <c r="F2" i="78" a="1"/>
  <c r="B3" i="83" a="1"/>
  <c r="B3" i="74" a="1"/>
  <c r="F10" i="83" a="1"/>
  <c r="P9" i="85" a="1"/>
  <c r="F7" i="82" a="1"/>
  <c r="F8" i="85" a="1"/>
  <c r="F4" i="79" a="1"/>
  <c r="F3" i="73" a="1"/>
  <c r="K5" i="74" a="1"/>
  <c r="P6" i="76" a="1"/>
  <c r="K4" i="83" a="1"/>
  <c r="B11" i="74" a="1"/>
  <c r="K5" i="81" a="1"/>
  <c r="P4" i="81" a="1"/>
  <c r="B11" i="84" a="1"/>
  <c r="K4" i="77" a="1"/>
  <c r="B8" i="77" a="1"/>
  <c r="K11" i="76" a="1"/>
  <c r="K12" i="75"/>
  <c r="F10" i="82" a="1"/>
  <c r="B4" i="73" a="1"/>
  <c r="P5" i="82" a="1"/>
  <c r="K9" i="85" a="1"/>
  <c r="K8" i="82" a="1"/>
  <c r="B3" i="84" a="1"/>
  <c r="P8" i="71" a="1"/>
  <c r="F6" i="76" a="1"/>
  <c r="B5" i="77" a="1"/>
  <c r="P8" i="79" a="1"/>
  <c r="K5" i="77" a="1"/>
  <c r="B4" i="84" a="1"/>
  <c r="B2" i="85" a="1"/>
  <c r="B10" i="81" a="1"/>
  <c r="P10" i="84" a="1"/>
  <c r="K9" i="73" a="1"/>
  <c r="P12" i="77"/>
  <c r="B10" i="74" a="1"/>
  <c r="F2" i="71" a="1"/>
  <c r="P8" i="74" a="1"/>
  <c r="F6" i="86" l="1"/>
  <c r="F4" i="86"/>
  <c r="F7" i="86"/>
  <c r="B4" i="86"/>
  <c r="B11" i="86"/>
  <c r="B10" i="86"/>
  <c r="K7" i="86"/>
  <c r="K10" i="86"/>
  <c r="P10" i="86"/>
  <c r="P8" i="86"/>
  <c r="P11" i="86"/>
  <c r="F10" i="86"/>
  <c r="F8" i="86"/>
  <c r="F11" i="86"/>
  <c r="B8" i="86"/>
  <c r="B5" i="86"/>
  <c r="K4" i="86"/>
  <c r="K11" i="86"/>
  <c r="K5" i="86"/>
  <c r="P5" i="86"/>
  <c r="P6" i="86"/>
  <c r="F5" i="86"/>
  <c r="F2" i="86"/>
  <c r="L12" i="86"/>
  <c r="O12" i="86"/>
  <c r="N12" i="86"/>
  <c r="M12" i="86"/>
  <c r="H12" i="86"/>
  <c r="G12" i="86"/>
  <c r="J12" i="86"/>
  <c r="I12" i="86"/>
  <c r="B3" i="86"/>
  <c r="B2" i="86"/>
  <c r="K8" i="86"/>
  <c r="K2" i="86"/>
  <c r="K9" i="86"/>
  <c r="P9" i="86"/>
  <c r="P3" i="86"/>
  <c r="F9" i="86"/>
  <c r="F3" i="86"/>
  <c r="B9" i="86"/>
  <c r="B7" i="86"/>
  <c r="B6" i="86"/>
  <c r="K3" i="86"/>
  <c r="K6" i="86"/>
  <c r="P2" i="86"/>
  <c r="P4" i="86"/>
  <c r="P7" i="86"/>
  <c r="K10" i="85"/>
  <c r="F11" i="85"/>
  <c r="P3" i="85"/>
  <c r="B10" i="85"/>
  <c r="K3" i="85"/>
  <c r="K8" i="85"/>
  <c r="K5" i="85"/>
  <c r="F5" i="85"/>
  <c r="F8" i="85"/>
  <c r="P10" i="85"/>
  <c r="P6" i="85"/>
  <c r="P7" i="85"/>
  <c r="B8" i="85"/>
  <c r="B5" i="85"/>
  <c r="L12" i="85"/>
  <c r="O12" i="85"/>
  <c r="M12" i="85"/>
  <c r="N12" i="85"/>
  <c r="F4" i="85"/>
  <c r="B4" i="85"/>
  <c r="K7" i="85"/>
  <c r="K2" i="85"/>
  <c r="K9" i="85"/>
  <c r="F9" i="85"/>
  <c r="F3" i="85"/>
  <c r="P5" i="85"/>
  <c r="P4" i="85"/>
  <c r="P11" i="85"/>
  <c r="B3" i="85"/>
  <c r="B2" i="85"/>
  <c r="K4" i="85"/>
  <c r="F6" i="85"/>
  <c r="P2" i="85"/>
  <c r="B11" i="85"/>
  <c r="K11" i="85"/>
  <c r="K6" i="85"/>
  <c r="F2" i="85"/>
  <c r="F10" i="85"/>
  <c r="F7" i="85"/>
  <c r="P9" i="85"/>
  <c r="P8" i="85"/>
  <c r="B9" i="85"/>
  <c r="B7" i="85"/>
  <c r="B6" i="85"/>
  <c r="L12" i="84"/>
  <c r="M12" i="84"/>
  <c r="N12" i="84"/>
  <c r="O12" i="84"/>
  <c r="K11" i="84"/>
  <c r="K4" i="84"/>
  <c r="B8" i="84"/>
  <c r="B7" i="84"/>
  <c r="B10" i="84"/>
  <c r="P2" i="84"/>
  <c r="P3" i="84"/>
  <c r="F6" i="84"/>
  <c r="F4" i="84"/>
  <c r="F11" i="84"/>
  <c r="K8" i="84"/>
  <c r="K2" i="84"/>
  <c r="K5" i="84"/>
  <c r="B5" i="84"/>
  <c r="B11" i="84"/>
  <c r="P10" i="84"/>
  <c r="P6" i="84"/>
  <c r="P7" i="84"/>
  <c r="F5" i="84"/>
  <c r="F8" i="84"/>
  <c r="K3" i="84"/>
  <c r="K6" i="84"/>
  <c r="K9" i="84"/>
  <c r="B9" i="84"/>
  <c r="B2" i="84"/>
  <c r="P5" i="84"/>
  <c r="P4" i="84"/>
  <c r="P11" i="84"/>
  <c r="F9" i="84"/>
  <c r="F3" i="84"/>
  <c r="K7" i="84"/>
  <c r="K10" i="84"/>
  <c r="B4" i="84"/>
  <c r="B3" i="84"/>
  <c r="B6" i="84"/>
  <c r="P9" i="84"/>
  <c r="P8" i="84"/>
  <c r="F2" i="84"/>
  <c r="F10" i="84"/>
  <c r="F7" i="84"/>
  <c r="L12" i="83"/>
  <c r="O12" i="83"/>
  <c r="N12" i="83"/>
  <c r="M12" i="83"/>
  <c r="K8" i="83"/>
  <c r="K9" i="83"/>
  <c r="P6" i="83"/>
  <c r="P8" i="83"/>
  <c r="P11" i="83"/>
  <c r="F2" i="83"/>
  <c r="F9" i="83"/>
  <c r="F7" i="83"/>
  <c r="K11" i="83"/>
  <c r="K3" i="83"/>
  <c r="B9" i="83"/>
  <c r="B3" i="83"/>
  <c r="B6" i="83"/>
  <c r="P10" i="83"/>
  <c r="P5" i="83"/>
  <c r="F5" i="83"/>
  <c r="B8" i="83"/>
  <c r="F6" i="83"/>
  <c r="F4" i="83"/>
  <c r="F11" i="83"/>
  <c r="K2" i="83"/>
  <c r="K7" i="83"/>
  <c r="B5" i="83"/>
  <c r="B7" i="83"/>
  <c r="B10" i="83"/>
  <c r="P9" i="83"/>
  <c r="P3" i="83"/>
  <c r="F3" i="83"/>
  <c r="K10" i="83"/>
  <c r="B2" i="83"/>
  <c r="F10" i="83"/>
  <c r="F8" i="83"/>
  <c r="K4" i="83"/>
  <c r="K6" i="83"/>
  <c r="K5" i="83"/>
  <c r="B4" i="83"/>
  <c r="B11" i="83"/>
  <c r="P2" i="83"/>
  <c r="P4" i="83"/>
  <c r="P7" i="83"/>
  <c r="B9" i="82"/>
  <c r="B7" i="82"/>
  <c r="B10" i="82"/>
  <c r="P10" i="82"/>
  <c r="P8" i="82"/>
  <c r="H12" i="82"/>
  <c r="G12" i="82"/>
  <c r="J12" i="82"/>
  <c r="I12" i="82"/>
  <c r="D12" i="82"/>
  <c r="C12" i="82"/>
  <c r="E12" i="82"/>
  <c r="K7" i="82"/>
  <c r="K10" i="82"/>
  <c r="F6" i="82"/>
  <c r="F4" i="82"/>
  <c r="F11" i="82"/>
  <c r="B4" i="82"/>
  <c r="B11" i="82"/>
  <c r="L12" i="82"/>
  <c r="O12" i="82"/>
  <c r="N12" i="82"/>
  <c r="M12" i="82"/>
  <c r="P5" i="82"/>
  <c r="P3" i="82"/>
  <c r="K4" i="82"/>
  <c r="K11" i="82"/>
  <c r="K5" i="82"/>
  <c r="F10" i="82"/>
  <c r="F8" i="82"/>
  <c r="B8" i="82"/>
  <c r="B2" i="82"/>
  <c r="P2" i="82"/>
  <c r="P9" i="82"/>
  <c r="P7" i="82"/>
  <c r="K8" i="82"/>
  <c r="K2" i="82"/>
  <c r="K9" i="82"/>
  <c r="F5" i="82"/>
  <c r="F3" i="82"/>
  <c r="B5" i="82"/>
  <c r="B3" i="82"/>
  <c r="B6" i="82"/>
  <c r="P6" i="82"/>
  <c r="P4" i="82"/>
  <c r="P11" i="82"/>
  <c r="K3" i="82"/>
  <c r="K6" i="82"/>
  <c r="F2" i="82"/>
  <c r="F9" i="82"/>
  <c r="F7" i="82"/>
  <c r="B9" i="81"/>
  <c r="B7" i="81"/>
  <c r="B10" i="81"/>
  <c r="P10" i="81"/>
  <c r="P8" i="81"/>
  <c r="H12" i="81"/>
  <c r="G12" i="81"/>
  <c r="J12" i="81"/>
  <c r="I12" i="81"/>
  <c r="D12" i="81"/>
  <c r="C12" i="81"/>
  <c r="E12" i="81"/>
  <c r="K7" i="81"/>
  <c r="K10" i="81"/>
  <c r="F6" i="81"/>
  <c r="F4" i="81"/>
  <c r="F11" i="81"/>
  <c r="B4" i="81"/>
  <c r="B11" i="81"/>
  <c r="L12" i="81"/>
  <c r="O12" i="81"/>
  <c r="N12" i="81"/>
  <c r="M12" i="81"/>
  <c r="P5" i="81"/>
  <c r="P3" i="81"/>
  <c r="K4" i="81"/>
  <c r="K11" i="81"/>
  <c r="K5" i="81"/>
  <c r="F10" i="81"/>
  <c r="F8" i="81"/>
  <c r="B8" i="81"/>
  <c r="B2" i="81"/>
  <c r="P2" i="81"/>
  <c r="P9" i="81"/>
  <c r="P7" i="81"/>
  <c r="K8" i="81"/>
  <c r="K2" i="81"/>
  <c r="K9" i="81"/>
  <c r="F5" i="81"/>
  <c r="F3" i="81"/>
  <c r="B5" i="81"/>
  <c r="B3" i="81"/>
  <c r="B6" i="81"/>
  <c r="P6" i="81"/>
  <c r="P4" i="81"/>
  <c r="P11" i="81"/>
  <c r="K3" i="81"/>
  <c r="K6" i="81"/>
  <c r="F2" i="81"/>
  <c r="F9" i="81"/>
  <c r="F7" i="81"/>
  <c r="F6" i="80"/>
  <c r="B3" i="80"/>
  <c r="K3" i="80"/>
  <c r="P10" i="80"/>
  <c r="P8" i="80"/>
  <c r="F5" i="80"/>
  <c r="F10" i="80"/>
  <c r="F7" i="80"/>
  <c r="B4" i="80"/>
  <c r="B7" i="80"/>
  <c r="B10" i="80"/>
  <c r="K7" i="80"/>
  <c r="K6" i="80"/>
  <c r="P5" i="80"/>
  <c r="P3" i="80"/>
  <c r="F3" i="80"/>
  <c r="K2" i="80"/>
  <c r="F9" i="80"/>
  <c r="F4" i="80"/>
  <c r="F11" i="80"/>
  <c r="B8" i="80"/>
  <c r="B11" i="80"/>
  <c r="L12" i="80"/>
  <c r="O12" i="80"/>
  <c r="M12" i="80"/>
  <c r="N12" i="80"/>
  <c r="K11" i="80"/>
  <c r="K10" i="80"/>
  <c r="P2" i="80"/>
  <c r="P9" i="80"/>
  <c r="P7" i="80"/>
  <c r="H12" i="80"/>
  <c r="G12" i="80"/>
  <c r="J12" i="80"/>
  <c r="I12" i="80"/>
  <c r="B5" i="80"/>
  <c r="B6" i="80"/>
  <c r="K9" i="80"/>
  <c r="F2" i="80"/>
  <c r="F8" i="80"/>
  <c r="D12" i="80"/>
  <c r="C12" i="80"/>
  <c r="E12" i="80"/>
  <c r="B9" i="80"/>
  <c r="B2" i="80"/>
  <c r="K8" i="80"/>
  <c r="K4" i="80"/>
  <c r="K5" i="80"/>
  <c r="P6" i="80"/>
  <c r="P4" i="80"/>
  <c r="P11" i="80"/>
  <c r="K10" i="79"/>
  <c r="P4" i="79"/>
  <c r="F5" i="79"/>
  <c r="B9" i="79"/>
  <c r="B7" i="79"/>
  <c r="B10" i="79"/>
  <c r="K8" i="79"/>
  <c r="K4" i="79"/>
  <c r="K5" i="79"/>
  <c r="P10" i="79"/>
  <c r="P8" i="79"/>
  <c r="F2" i="79"/>
  <c r="F9" i="79"/>
  <c r="F7" i="79"/>
  <c r="B4" i="79"/>
  <c r="B11" i="79"/>
  <c r="L12" i="79"/>
  <c r="O12" i="79"/>
  <c r="N12" i="79"/>
  <c r="M12" i="79"/>
  <c r="P11" i="79"/>
  <c r="K3" i="79"/>
  <c r="K2" i="79"/>
  <c r="K9" i="79"/>
  <c r="P5" i="79"/>
  <c r="P3" i="79"/>
  <c r="F6" i="79"/>
  <c r="F4" i="79"/>
  <c r="F11" i="79"/>
  <c r="B8" i="79"/>
  <c r="B2" i="79"/>
  <c r="K11" i="79"/>
  <c r="P6" i="79"/>
  <c r="F3" i="79"/>
  <c r="K7" i="79"/>
  <c r="K6" i="79"/>
  <c r="P2" i="79"/>
  <c r="P9" i="79"/>
  <c r="P7" i="79"/>
  <c r="F10" i="79"/>
  <c r="F8" i="79"/>
  <c r="B5" i="79"/>
  <c r="B3" i="79"/>
  <c r="B6" i="79"/>
  <c r="K7" i="78"/>
  <c r="F4" i="78"/>
  <c r="P6" i="78"/>
  <c r="K4" i="78"/>
  <c r="K2" i="78"/>
  <c r="K9" i="78"/>
  <c r="F5" i="78"/>
  <c r="F3" i="78"/>
  <c r="B5" i="78"/>
  <c r="B4" i="78"/>
  <c r="B10" i="78"/>
  <c r="P5" i="78"/>
  <c r="P3" i="78"/>
  <c r="L12" i="78"/>
  <c r="N12" i="78"/>
  <c r="M12" i="78"/>
  <c r="O12" i="78"/>
  <c r="K10" i="78"/>
  <c r="F6" i="78"/>
  <c r="F11" i="78"/>
  <c r="B7" i="78"/>
  <c r="B2" i="78"/>
  <c r="P4" i="78"/>
  <c r="P11" i="78"/>
  <c r="K8" i="78"/>
  <c r="K11" i="78"/>
  <c r="K5" i="78"/>
  <c r="F2" i="78"/>
  <c r="F8" i="78"/>
  <c r="B9" i="78"/>
  <c r="B11" i="78"/>
  <c r="B6" i="78"/>
  <c r="P10" i="78"/>
  <c r="P8" i="78"/>
  <c r="K3" i="78"/>
  <c r="K6" i="78"/>
  <c r="F10" i="78"/>
  <c r="F9" i="78"/>
  <c r="F7" i="78"/>
  <c r="B3" i="78"/>
  <c r="B8" i="78"/>
  <c r="P2" i="78"/>
  <c r="P9" i="78"/>
  <c r="P7" i="78"/>
  <c r="F2" i="77"/>
  <c r="B4" i="77"/>
  <c r="B10" i="77"/>
  <c r="K11" i="77"/>
  <c r="P2" i="77"/>
  <c r="P11" i="77"/>
  <c r="F10" i="77"/>
  <c r="F4" i="77"/>
  <c r="F11" i="77"/>
  <c r="B8" i="77"/>
  <c r="B11" i="77"/>
  <c r="K8" i="77"/>
  <c r="K4" i="77"/>
  <c r="K5" i="77"/>
  <c r="P9" i="77"/>
  <c r="P6" i="77"/>
  <c r="F7" i="77"/>
  <c r="K10" i="77"/>
  <c r="F5" i="77"/>
  <c r="F8" i="77"/>
  <c r="L12" i="77"/>
  <c r="O12" i="77"/>
  <c r="N12" i="77"/>
  <c r="M12" i="77"/>
  <c r="H12" i="77"/>
  <c r="G12" i="77"/>
  <c r="J12" i="77"/>
  <c r="I12" i="77"/>
  <c r="B9" i="77"/>
  <c r="B2" i="77"/>
  <c r="K3" i="77"/>
  <c r="K2" i="77"/>
  <c r="K9" i="77"/>
  <c r="P4" i="77"/>
  <c r="P3" i="77"/>
  <c r="F6" i="77"/>
  <c r="B7" i="77"/>
  <c r="P5" i="77"/>
  <c r="F9" i="77"/>
  <c r="F3" i="77"/>
  <c r="B5" i="77"/>
  <c r="B3" i="77"/>
  <c r="B6" i="77"/>
  <c r="K7" i="77"/>
  <c r="K6" i="77"/>
  <c r="P10" i="77"/>
  <c r="P8" i="77"/>
  <c r="P7" i="77"/>
  <c r="F7" i="75"/>
  <c r="B7" i="75"/>
  <c r="K11" i="75"/>
  <c r="P8" i="75"/>
  <c r="P11" i="75"/>
  <c r="F6" i="75"/>
  <c r="F4" i="75"/>
  <c r="F11" i="75"/>
  <c r="B4" i="75"/>
  <c r="B11" i="75"/>
  <c r="K8" i="75"/>
  <c r="K2" i="75"/>
  <c r="K5" i="75"/>
  <c r="P9" i="75"/>
  <c r="P6" i="75"/>
  <c r="F9" i="75"/>
  <c r="K4" i="75"/>
  <c r="F10" i="75"/>
  <c r="F8" i="75"/>
  <c r="L12" i="75"/>
  <c r="O12" i="75"/>
  <c r="N12" i="75"/>
  <c r="M12" i="75"/>
  <c r="H12" i="75"/>
  <c r="G12" i="75"/>
  <c r="J12" i="75"/>
  <c r="I12" i="75"/>
  <c r="B8" i="75"/>
  <c r="B2" i="75"/>
  <c r="K3" i="75"/>
  <c r="K6" i="75"/>
  <c r="K9" i="75"/>
  <c r="P2" i="75"/>
  <c r="P3" i="75"/>
  <c r="F2" i="75"/>
  <c r="B9" i="75"/>
  <c r="B10" i="75"/>
  <c r="P5" i="75"/>
  <c r="F5" i="75"/>
  <c r="F3" i="75"/>
  <c r="B5" i="75"/>
  <c r="B3" i="75"/>
  <c r="B6" i="75"/>
  <c r="K7" i="75"/>
  <c r="K10" i="75"/>
  <c r="P10" i="75"/>
  <c r="P4" i="75"/>
  <c r="P7" i="75"/>
  <c r="H12" i="76"/>
  <c r="G12" i="76"/>
  <c r="J12" i="76"/>
  <c r="I12" i="76"/>
  <c r="F5" i="76"/>
  <c r="B9" i="76"/>
  <c r="B6" i="76"/>
  <c r="P2" i="76"/>
  <c r="P11" i="76"/>
  <c r="K3" i="76"/>
  <c r="F2" i="76"/>
  <c r="F7" i="76"/>
  <c r="B5" i="76"/>
  <c r="B11" i="76"/>
  <c r="B10" i="76"/>
  <c r="P5" i="76"/>
  <c r="L12" i="76"/>
  <c r="O12" i="76"/>
  <c r="N12" i="76"/>
  <c r="M12" i="76"/>
  <c r="K7" i="76"/>
  <c r="K10" i="76"/>
  <c r="F10" i="76"/>
  <c r="F4" i="76"/>
  <c r="F11" i="76"/>
  <c r="B8" i="76"/>
  <c r="B4" i="76"/>
  <c r="P9" i="76"/>
  <c r="P3" i="76"/>
  <c r="K8" i="76"/>
  <c r="K11" i="76"/>
  <c r="K5" i="76"/>
  <c r="F3" i="76"/>
  <c r="B7" i="76"/>
  <c r="P8" i="76"/>
  <c r="K6" i="76"/>
  <c r="F9" i="76"/>
  <c r="P10" i="76"/>
  <c r="F6" i="76"/>
  <c r="F8" i="76"/>
  <c r="D12" i="76"/>
  <c r="C12" i="76"/>
  <c r="E12" i="76"/>
  <c r="B3" i="76"/>
  <c r="B2" i="76"/>
  <c r="P6" i="76"/>
  <c r="P4" i="76"/>
  <c r="P7" i="76"/>
  <c r="K4" i="76"/>
  <c r="K2" i="76"/>
  <c r="K9" i="76"/>
  <c r="F7" i="74"/>
  <c r="B10" i="74"/>
  <c r="K10" i="74"/>
  <c r="P11" i="74"/>
  <c r="F10" i="74"/>
  <c r="F4" i="74"/>
  <c r="F11" i="74"/>
  <c r="B8" i="74"/>
  <c r="B5" i="74"/>
  <c r="K3" i="74"/>
  <c r="K8" i="74"/>
  <c r="K5" i="74"/>
  <c r="P5" i="74"/>
  <c r="P2" i="74"/>
  <c r="F2" i="74"/>
  <c r="B4" i="74"/>
  <c r="P10" i="74"/>
  <c r="F5" i="74"/>
  <c r="F8" i="74"/>
  <c r="L12" i="74"/>
  <c r="O12" i="74"/>
  <c r="N12" i="74"/>
  <c r="M12" i="74"/>
  <c r="H12" i="74"/>
  <c r="G12" i="74"/>
  <c r="J12" i="74"/>
  <c r="I12" i="74"/>
  <c r="B3" i="74"/>
  <c r="B2" i="74"/>
  <c r="K7" i="74"/>
  <c r="K2" i="74"/>
  <c r="K9" i="74"/>
  <c r="P9" i="74"/>
  <c r="P3" i="74"/>
  <c r="F6" i="74"/>
  <c r="B11" i="74"/>
  <c r="K4" i="74"/>
  <c r="P8" i="74"/>
  <c r="F9" i="74"/>
  <c r="F3" i="74"/>
  <c r="B9" i="74"/>
  <c r="B7" i="74"/>
  <c r="B6" i="74"/>
  <c r="K11" i="74"/>
  <c r="K6" i="74"/>
  <c r="P6" i="74"/>
  <c r="P4" i="74"/>
  <c r="P7" i="74"/>
  <c r="L12" i="71"/>
  <c r="O12" i="71"/>
  <c r="N12" i="71"/>
  <c r="M12" i="71"/>
  <c r="K11" i="71"/>
  <c r="K10" i="71"/>
  <c r="P6" i="71"/>
  <c r="P4" i="71"/>
  <c r="P11" i="71"/>
  <c r="B9" i="71"/>
  <c r="B2" i="71"/>
  <c r="F5" i="71"/>
  <c r="F2" i="71"/>
  <c r="F11" i="71"/>
  <c r="K8" i="71"/>
  <c r="K4" i="71"/>
  <c r="K5" i="71"/>
  <c r="P10" i="71"/>
  <c r="P8" i="71"/>
  <c r="B5" i="71"/>
  <c r="B3" i="71"/>
  <c r="B6" i="71"/>
  <c r="F9" i="71"/>
  <c r="F6" i="71"/>
  <c r="K3" i="71"/>
  <c r="K2" i="71"/>
  <c r="K9" i="71"/>
  <c r="P5" i="71"/>
  <c r="P3" i="71"/>
  <c r="B4" i="71"/>
  <c r="B7" i="71"/>
  <c r="B10" i="71"/>
  <c r="F4" i="71"/>
  <c r="F3" i="71"/>
  <c r="K7" i="71"/>
  <c r="K6" i="71"/>
  <c r="P2" i="71"/>
  <c r="P9" i="71"/>
  <c r="P7" i="71"/>
  <c r="B8" i="71"/>
  <c r="B11" i="71"/>
  <c r="F10" i="71"/>
  <c r="F8" i="71"/>
  <c r="F7" i="71"/>
  <c r="P5" i="73"/>
  <c r="P7" i="73"/>
  <c r="P4" i="73"/>
  <c r="P9" i="73"/>
  <c r="P6" i="73"/>
  <c r="P3" i="73"/>
  <c r="P11" i="73"/>
  <c r="P8" i="73"/>
  <c r="P2" i="73"/>
  <c r="P10" i="73"/>
  <c r="K7" i="73"/>
  <c r="K4" i="73"/>
  <c r="K9" i="73"/>
  <c r="K6" i="73"/>
  <c r="K3" i="73"/>
  <c r="K11" i="73"/>
  <c r="K8" i="73"/>
  <c r="K5" i="73"/>
  <c r="K2" i="73"/>
  <c r="K10" i="73"/>
  <c r="F7" i="73"/>
  <c r="F4" i="73"/>
  <c r="D12" i="73"/>
  <c r="E12" i="73"/>
  <c r="C12" i="73"/>
  <c r="F9" i="73"/>
  <c r="F6" i="73"/>
  <c r="F3" i="73"/>
  <c r="F11" i="73"/>
  <c r="F8" i="73"/>
  <c r="F5" i="73"/>
  <c r="F2" i="73"/>
  <c r="F10" i="73"/>
  <c r="B10" i="73"/>
  <c r="B9" i="73"/>
  <c r="B8" i="73"/>
  <c r="B7" i="73"/>
  <c r="B6" i="73"/>
  <c r="B11" i="73"/>
  <c r="B5" i="73"/>
  <c r="B4" i="73"/>
  <c r="O12" i="73"/>
  <c r="N12" i="73"/>
  <c r="M12" i="73"/>
  <c r="L12" i="73"/>
  <c r="J12" i="73"/>
  <c r="G12" i="73"/>
  <c r="I12" i="73"/>
  <c r="H12" i="73"/>
  <c r="AG12" i="82" l="1" a="1"/>
  <c r="AG12" i="82" s="1"/>
  <c r="AG12" i="75" a="1"/>
  <c r="AG12" i="75" s="1"/>
  <c r="AD12" i="81" a="1"/>
  <c r="AD12" i="81" s="1"/>
  <c r="AG12" i="83" a="1"/>
  <c r="AG12" i="83" s="1"/>
  <c r="I3" i="86"/>
  <c r="J3" i="86"/>
  <c r="H3" i="86"/>
  <c r="G3" i="86"/>
  <c r="N9" i="86"/>
  <c r="M9" i="86"/>
  <c r="L9" i="86"/>
  <c r="O9" i="86"/>
  <c r="C4" i="86"/>
  <c r="D4" i="86"/>
  <c r="E4" i="86"/>
  <c r="E6" i="86"/>
  <c r="D6" i="86"/>
  <c r="C6" i="86"/>
  <c r="G9" i="86"/>
  <c r="J9" i="86"/>
  <c r="I9" i="86"/>
  <c r="H9" i="86"/>
  <c r="O2" i="86"/>
  <c r="N2" i="86"/>
  <c r="L2" i="86"/>
  <c r="M2" i="86"/>
  <c r="H2" i="86"/>
  <c r="I2" i="86"/>
  <c r="G2" i="86"/>
  <c r="J2" i="86"/>
  <c r="N5" i="86"/>
  <c r="O5" i="86"/>
  <c r="M5" i="86"/>
  <c r="L5" i="86"/>
  <c r="C8" i="86"/>
  <c r="D8" i="86"/>
  <c r="E8" i="86"/>
  <c r="L7" i="86"/>
  <c r="M7" i="86"/>
  <c r="O7" i="86"/>
  <c r="N7" i="86"/>
  <c r="I7" i="86"/>
  <c r="H7" i="86"/>
  <c r="G7" i="86"/>
  <c r="J7" i="86"/>
  <c r="D5" i="86"/>
  <c r="C5" i="86"/>
  <c r="E5" i="86"/>
  <c r="H10" i="86"/>
  <c r="G10" i="86"/>
  <c r="J10" i="86"/>
  <c r="I10" i="86"/>
  <c r="E7" i="86"/>
  <c r="D7" i="86"/>
  <c r="C7" i="86"/>
  <c r="M8" i="86"/>
  <c r="N8" i="86"/>
  <c r="L8" i="86"/>
  <c r="O8" i="86"/>
  <c r="G5" i="86"/>
  <c r="H5" i="86"/>
  <c r="J5" i="86"/>
  <c r="I5" i="86"/>
  <c r="L11" i="86"/>
  <c r="O11" i="86"/>
  <c r="N11" i="86"/>
  <c r="M11" i="86"/>
  <c r="I11" i="86"/>
  <c r="H11" i="86"/>
  <c r="G11" i="86"/>
  <c r="J11" i="86"/>
  <c r="E10" i="86"/>
  <c r="D10" i="86"/>
  <c r="C10" i="86"/>
  <c r="J4" i="86"/>
  <c r="I4" i="86"/>
  <c r="G4" i="86"/>
  <c r="H4" i="86"/>
  <c r="L3" i="86"/>
  <c r="O3" i="86"/>
  <c r="N3" i="86"/>
  <c r="M3" i="86"/>
  <c r="C3" i="86"/>
  <c r="E3" i="86"/>
  <c r="D3" i="86"/>
  <c r="O10" i="86"/>
  <c r="N10" i="86"/>
  <c r="M10" i="86"/>
  <c r="L10" i="86"/>
  <c r="O6" i="86"/>
  <c r="N6" i="86"/>
  <c r="M6" i="86"/>
  <c r="L6" i="86"/>
  <c r="D9" i="86"/>
  <c r="C9" i="86"/>
  <c r="E9" i="86"/>
  <c r="E2" i="86"/>
  <c r="D2" i="86"/>
  <c r="C2" i="86"/>
  <c r="M4" i="86"/>
  <c r="L4" i="86"/>
  <c r="O4" i="86"/>
  <c r="N4" i="86"/>
  <c r="J8" i="86"/>
  <c r="G8" i="86"/>
  <c r="I8" i="86"/>
  <c r="H8" i="86"/>
  <c r="E11" i="86"/>
  <c r="D11" i="86"/>
  <c r="C11" i="86"/>
  <c r="H6" i="86"/>
  <c r="G6" i="86"/>
  <c r="J6" i="86"/>
  <c r="I6" i="86"/>
  <c r="E10" i="85"/>
  <c r="D10" i="85"/>
  <c r="C10" i="85"/>
  <c r="E7" i="85"/>
  <c r="D7" i="85"/>
  <c r="C7" i="85"/>
  <c r="I7" i="85"/>
  <c r="H7" i="85"/>
  <c r="G7" i="85"/>
  <c r="J7" i="85"/>
  <c r="L11" i="85"/>
  <c r="O11" i="85"/>
  <c r="N11" i="85"/>
  <c r="M11" i="85"/>
  <c r="M4" i="85"/>
  <c r="L4" i="85"/>
  <c r="O4" i="85"/>
  <c r="N4" i="85"/>
  <c r="N9" i="85"/>
  <c r="M9" i="85"/>
  <c r="O9" i="85"/>
  <c r="L9" i="85"/>
  <c r="J4" i="85"/>
  <c r="I4" i="85"/>
  <c r="H4" i="85"/>
  <c r="G4" i="85"/>
  <c r="N5" i="85"/>
  <c r="O5" i="85"/>
  <c r="M5" i="85"/>
  <c r="L5" i="85"/>
  <c r="D9" i="85"/>
  <c r="C9" i="85"/>
  <c r="E9" i="85"/>
  <c r="H10" i="85"/>
  <c r="G10" i="85"/>
  <c r="I10" i="85"/>
  <c r="J10" i="85"/>
  <c r="E11" i="85"/>
  <c r="C11" i="85"/>
  <c r="D11" i="85"/>
  <c r="E2" i="85"/>
  <c r="D2" i="85"/>
  <c r="C2" i="85"/>
  <c r="O2" i="85"/>
  <c r="N2" i="85"/>
  <c r="M2" i="85"/>
  <c r="L2" i="85"/>
  <c r="D5" i="85"/>
  <c r="E5" i="85"/>
  <c r="C5" i="85"/>
  <c r="M8" i="85"/>
  <c r="L8" i="85"/>
  <c r="N8" i="85"/>
  <c r="O8" i="85"/>
  <c r="I11" i="85"/>
  <c r="H11" i="85"/>
  <c r="J11" i="85"/>
  <c r="G11" i="85"/>
  <c r="E6" i="85"/>
  <c r="D6" i="85"/>
  <c r="C6" i="85"/>
  <c r="O6" i="85"/>
  <c r="L6" i="85"/>
  <c r="N6" i="85"/>
  <c r="M6" i="85"/>
  <c r="H6" i="85"/>
  <c r="G6" i="85"/>
  <c r="J6" i="85"/>
  <c r="I6" i="85"/>
  <c r="G9" i="85"/>
  <c r="J9" i="85"/>
  <c r="I9" i="85"/>
  <c r="H9" i="85"/>
  <c r="C4" i="85"/>
  <c r="E4" i="85"/>
  <c r="D4" i="85"/>
  <c r="G5" i="85"/>
  <c r="J5" i="85"/>
  <c r="H5" i="85"/>
  <c r="I5" i="85"/>
  <c r="H2" i="85"/>
  <c r="I2" i="85"/>
  <c r="G2" i="85"/>
  <c r="J2" i="85"/>
  <c r="E3" i="85"/>
  <c r="D3" i="85"/>
  <c r="C3" i="85"/>
  <c r="I3" i="85"/>
  <c r="H3" i="85"/>
  <c r="G3" i="85"/>
  <c r="J3" i="85"/>
  <c r="L7" i="85"/>
  <c r="O7" i="85"/>
  <c r="M7" i="85"/>
  <c r="N7" i="85"/>
  <c r="C8" i="85"/>
  <c r="D8" i="85"/>
  <c r="E8" i="85"/>
  <c r="J8" i="85"/>
  <c r="I8" i="85"/>
  <c r="H8" i="85"/>
  <c r="G8" i="85"/>
  <c r="L3" i="85"/>
  <c r="O3" i="85"/>
  <c r="N3" i="85"/>
  <c r="M3" i="85"/>
  <c r="O10" i="85"/>
  <c r="N10" i="85"/>
  <c r="L10" i="85"/>
  <c r="M10" i="85"/>
  <c r="R12" i="81" a="1"/>
  <c r="R12" i="81" s="1"/>
  <c r="H10" i="84"/>
  <c r="G10" i="84"/>
  <c r="I10" i="84"/>
  <c r="J10" i="84"/>
  <c r="E6" i="84"/>
  <c r="D6" i="84"/>
  <c r="C6" i="84"/>
  <c r="L7" i="84"/>
  <c r="M7" i="84"/>
  <c r="O7" i="84"/>
  <c r="N7" i="84"/>
  <c r="N9" i="84"/>
  <c r="M9" i="84"/>
  <c r="L9" i="84"/>
  <c r="O9" i="84"/>
  <c r="G5" i="84"/>
  <c r="H5" i="84"/>
  <c r="J5" i="84"/>
  <c r="I5" i="84"/>
  <c r="E11" i="84"/>
  <c r="C11" i="84"/>
  <c r="D11" i="84"/>
  <c r="M8" i="84"/>
  <c r="L8" i="84"/>
  <c r="O8" i="84"/>
  <c r="N8" i="84"/>
  <c r="C8" i="84"/>
  <c r="E8" i="84"/>
  <c r="D8" i="84"/>
  <c r="H6" i="84"/>
  <c r="G6" i="84"/>
  <c r="J6" i="84"/>
  <c r="I6" i="84"/>
  <c r="H2" i="84"/>
  <c r="I2" i="84"/>
  <c r="G2" i="84"/>
  <c r="J2" i="84"/>
  <c r="E3" i="84"/>
  <c r="D3" i="84"/>
  <c r="C3" i="84"/>
  <c r="I3" i="84"/>
  <c r="H3" i="84"/>
  <c r="J3" i="84"/>
  <c r="G3" i="84"/>
  <c r="O6" i="84"/>
  <c r="N6" i="84"/>
  <c r="M6" i="84"/>
  <c r="L6" i="84"/>
  <c r="D5" i="84"/>
  <c r="C5" i="84"/>
  <c r="E5" i="84"/>
  <c r="I11" i="84"/>
  <c r="H11" i="84"/>
  <c r="J11" i="84"/>
  <c r="G11" i="84"/>
  <c r="M4" i="84"/>
  <c r="L4" i="84"/>
  <c r="O4" i="84"/>
  <c r="N4" i="84"/>
  <c r="I7" i="84"/>
  <c r="H7" i="84"/>
  <c r="J7" i="84"/>
  <c r="G7" i="84"/>
  <c r="O10" i="84"/>
  <c r="N10" i="84"/>
  <c r="L10" i="84"/>
  <c r="M10" i="84"/>
  <c r="D9" i="84"/>
  <c r="C9" i="84"/>
  <c r="E9" i="84"/>
  <c r="J8" i="84"/>
  <c r="I8" i="84"/>
  <c r="G8" i="84"/>
  <c r="H8" i="84"/>
  <c r="O2" i="84"/>
  <c r="N2" i="84"/>
  <c r="M2" i="84"/>
  <c r="L2" i="84"/>
  <c r="E7" i="84"/>
  <c r="D7" i="84"/>
  <c r="C7" i="84"/>
  <c r="V12" i="82" a="1"/>
  <c r="V12" i="82" s="1"/>
  <c r="C4" i="84"/>
  <c r="D4" i="84"/>
  <c r="E4" i="84"/>
  <c r="G9" i="84"/>
  <c r="J9" i="84"/>
  <c r="H9" i="84"/>
  <c r="I9" i="84"/>
  <c r="E2" i="84"/>
  <c r="D2" i="84"/>
  <c r="C2" i="84"/>
  <c r="L3" i="84"/>
  <c r="O3" i="84"/>
  <c r="N3" i="84"/>
  <c r="M3" i="84"/>
  <c r="N5" i="84"/>
  <c r="M5" i="84"/>
  <c r="O5" i="84"/>
  <c r="L5" i="84"/>
  <c r="J4" i="84"/>
  <c r="I4" i="84"/>
  <c r="H4" i="84"/>
  <c r="G4" i="84"/>
  <c r="E10" i="84"/>
  <c r="D10" i="84"/>
  <c r="C10" i="84"/>
  <c r="L11" i="84"/>
  <c r="O11" i="84"/>
  <c r="N11" i="84"/>
  <c r="M11" i="84"/>
  <c r="S12" i="82" a="1"/>
  <c r="S12" i="82" s="1"/>
  <c r="AA12" i="83" a="1"/>
  <c r="AA12" i="83" s="1"/>
  <c r="AD12" i="83" a="1"/>
  <c r="AD12" i="83" s="1"/>
  <c r="Q12" i="83" a="1"/>
  <c r="Q12" i="83" s="1"/>
  <c r="AJ12" i="82" a="1"/>
  <c r="AJ12" i="82" s="1"/>
  <c r="C4" i="83"/>
  <c r="E4" i="83"/>
  <c r="D4" i="83"/>
  <c r="J8" i="83"/>
  <c r="H8" i="83"/>
  <c r="I8" i="83"/>
  <c r="G8" i="83"/>
  <c r="I3" i="83"/>
  <c r="H3" i="83"/>
  <c r="G3" i="83"/>
  <c r="J3" i="83"/>
  <c r="E7" i="83"/>
  <c r="D7" i="83"/>
  <c r="C7" i="83"/>
  <c r="I11" i="83"/>
  <c r="H11" i="83"/>
  <c r="G11" i="83"/>
  <c r="J11" i="83"/>
  <c r="G5" i="83"/>
  <c r="J5" i="83"/>
  <c r="I5" i="83"/>
  <c r="H5" i="83"/>
  <c r="D3" i="83"/>
  <c r="E3" i="83"/>
  <c r="C3" i="83"/>
  <c r="V12" i="81" a="1"/>
  <c r="V12" i="81" s="1"/>
  <c r="Y12" i="82" a="1"/>
  <c r="Y12" i="82" s="1"/>
  <c r="X12" i="83" a="1"/>
  <c r="X12" i="83" s="1"/>
  <c r="V12" i="83" a="1"/>
  <c r="V12" i="83" s="1"/>
  <c r="Z12" i="83" a="1"/>
  <c r="Z12" i="83" s="1"/>
  <c r="AI12" i="83" a="1"/>
  <c r="AI12" i="83" s="1"/>
  <c r="T12" i="83" a="1"/>
  <c r="T12" i="83" s="1"/>
  <c r="AJ12" i="83" a="1"/>
  <c r="AJ12" i="83" s="1"/>
  <c r="AF12" i="81" a="1"/>
  <c r="AF12" i="81" s="1"/>
  <c r="N5" i="83"/>
  <c r="M5" i="83"/>
  <c r="L5" i="83"/>
  <c r="O5" i="83"/>
  <c r="H10" i="83"/>
  <c r="G10" i="83"/>
  <c r="J10" i="83"/>
  <c r="I10" i="83"/>
  <c r="D5" i="83"/>
  <c r="C5" i="83"/>
  <c r="E5" i="83"/>
  <c r="J4" i="83"/>
  <c r="I4" i="83"/>
  <c r="H4" i="83"/>
  <c r="G4" i="83"/>
  <c r="D9" i="83"/>
  <c r="C9" i="83"/>
  <c r="E9" i="83"/>
  <c r="G9" i="83"/>
  <c r="J9" i="83"/>
  <c r="I9" i="83"/>
  <c r="H9" i="83"/>
  <c r="I7" i="83"/>
  <c r="H7" i="83"/>
  <c r="G7" i="83"/>
  <c r="J7" i="83"/>
  <c r="AJ12" i="81" a="1"/>
  <c r="AJ12" i="81" s="1"/>
  <c r="AE12" i="83" a="1"/>
  <c r="AE12" i="83" s="1"/>
  <c r="S12" i="83" a="1"/>
  <c r="S12" i="83" s="1"/>
  <c r="AH12" i="83" a="1"/>
  <c r="AH12" i="83" s="1"/>
  <c r="O6" i="83"/>
  <c r="N6" i="83"/>
  <c r="M6" i="83"/>
  <c r="L6" i="83"/>
  <c r="E2" i="83"/>
  <c r="D2" i="83"/>
  <c r="C2" i="83"/>
  <c r="L7" i="83"/>
  <c r="N7" i="83"/>
  <c r="O7" i="83"/>
  <c r="M7" i="83"/>
  <c r="H6" i="83"/>
  <c r="G6" i="83"/>
  <c r="J6" i="83"/>
  <c r="I6" i="83"/>
  <c r="L3" i="83"/>
  <c r="N3" i="83"/>
  <c r="O3" i="83"/>
  <c r="M3" i="83"/>
  <c r="H2" i="83"/>
  <c r="J2" i="83"/>
  <c r="G2" i="83"/>
  <c r="I2" i="83"/>
  <c r="N9" i="83"/>
  <c r="L9" i="83"/>
  <c r="M9" i="83"/>
  <c r="O9" i="83"/>
  <c r="R12" i="82" a="1"/>
  <c r="R12" i="82" s="1"/>
  <c r="AC12" i="83" a="1"/>
  <c r="AC12" i="83" s="1"/>
  <c r="Y12" i="83" a="1"/>
  <c r="Y12" i="83" s="1"/>
  <c r="R12" i="83" a="1"/>
  <c r="R12" i="83" s="1"/>
  <c r="Y12" i="81" a="1"/>
  <c r="Y12" i="81" s="1"/>
  <c r="AE12" i="82" a="1"/>
  <c r="AE12" i="82" s="1"/>
  <c r="W12" i="83" a="1"/>
  <c r="W12" i="83" s="1"/>
  <c r="U12" i="83" a="1"/>
  <c r="U12" i="83" s="1"/>
  <c r="AF12" i="83" a="1"/>
  <c r="AF12" i="83" s="1"/>
  <c r="AB12" i="83" a="1"/>
  <c r="AB12" i="83" s="1"/>
  <c r="E11" i="83"/>
  <c r="D11" i="83"/>
  <c r="C11" i="83"/>
  <c r="M4" i="83"/>
  <c r="O4" i="83"/>
  <c r="L4" i="83"/>
  <c r="N4" i="83"/>
  <c r="O10" i="83"/>
  <c r="N10" i="83"/>
  <c r="M10" i="83"/>
  <c r="L10" i="83"/>
  <c r="E10" i="83"/>
  <c r="D10" i="83"/>
  <c r="C10" i="83"/>
  <c r="O2" i="83"/>
  <c r="N2" i="83"/>
  <c r="M2" i="83"/>
  <c r="L2" i="83"/>
  <c r="C8" i="83"/>
  <c r="E8" i="83"/>
  <c r="D8" i="83"/>
  <c r="E6" i="83"/>
  <c r="D6" i="83"/>
  <c r="C6" i="83"/>
  <c r="L11" i="83"/>
  <c r="O11" i="83"/>
  <c r="N11" i="83"/>
  <c r="M11" i="83"/>
  <c r="M8" i="83"/>
  <c r="O8" i="83"/>
  <c r="L8" i="83"/>
  <c r="N8" i="83"/>
  <c r="E6" i="82"/>
  <c r="D6" i="82"/>
  <c r="C6" i="82"/>
  <c r="E11" i="82"/>
  <c r="D11" i="82"/>
  <c r="C11" i="82"/>
  <c r="H6" i="82"/>
  <c r="G6" i="82"/>
  <c r="J6" i="82"/>
  <c r="I6" i="82"/>
  <c r="O6" i="82"/>
  <c r="N6" i="82"/>
  <c r="M6" i="82"/>
  <c r="L6" i="82"/>
  <c r="I3" i="82"/>
  <c r="H3" i="82"/>
  <c r="G3" i="82"/>
  <c r="J3" i="82"/>
  <c r="M8" i="82"/>
  <c r="L8" i="82"/>
  <c r="O8" i="82"/>
  <c r="N8" i="82"/>
  <c r="E2" i="82"/>
  <c r="D2" i="82"/>
  <c r="C2" i="82"/>
  <c r="N5" i="82"/>
  <c r="M5" i="82"/>
  <c r="L5" i="82"/>
  <c r="O5" i="82"/>
  <c r="J4" i="82"/>
  <c r="I4" i="82"/>
  <c r="H4" i="82"/>
  <c r="G4" i="82"/>
  <c r="AB12" i="81" a="1"/>
  <c r="AB12" i="81" s="1"/>
  <c r="AE12" i="81" a="1"/>
  <c r="AE12" i="81" s="1"/>
  <c r="W12" i="82" a="1"/>
  <c r="W12" i="82" s="1"/>
  <c r="AB12" i="82" a="1"/>
  <c r="AB12" i="82" s="1"/>
  <c r="I7" i="82"/>
  <c r="H7" i="82"/>
  <c r="G7" i="82"/>
  <c r="J7" i="82"/>
  <c r="L3" i="82"/>
  <c r="O3" i="82"/>
  <c r="N3" i="82"/>
  <c r="M3" i="82"/>
  <c r="G5" i="82"/>
  <c r="J5" i="82"/>
  <c r="I5" i="82"/>
  <c r="H5" i="82"/>
  <c r="C8" i="82"/>
  <c r="E8" i="82"/>
  <c r="D8" i="82"/>
  <c r="L11" i="82"/>
  <c r="O11" i="82"/>
  <c r="N11" i="82"/>
  <c r="M11" i="82"/>
  <c r="E10" i="82"/>
  <c r="D10" i="82"/>
  <c r="C10" i="82"/>
  <c r="AA12" i="81" a="1"/>
  <c r="AA12" i="81" s="1"/>
  <c r="T12" i="81" a="1"/>
  <c r="T12" i="81" s="1"/>
  <c r="AH12" i="81" a="1"/>
  <c r="AH12" i="81" s="1"/>
  <c r="W12" i="81" a="1"/>
  <c r="W12" i="81" s="1"/>
  <c r="AH12" i="82" a="1"/>
  <c r="AH12" i="82" s="1"/>
  <c r="U12" i="82" a="1"/>
  <c r="U12" i="82" s="1"/>
  <c r="AF12" i="82" a="1"/>
  <c r="AF12" i="82" s="1"/>
  <c r="AI12" i="82" a="1"/>
  <c r="AI12" i="82" s="1"/>
  <c r="AC12" i="81" a="1"/>
  <c r="AC12" i="81" s="1"/>
  <c r="G9" i="82"/>
  <c r="J9" i="82"/>
  <c r="I9" i="82"/>
  <c r="H9" i="82"/>
  <c r="E3" i="82"/>
  <c r="D3" i="82"/>
  <c r="C3" i="82"/>
  <c r="N9" i="82"/>
  <c r="M9" i="82"/>
  <c r="L9" i="82"/>
  <c r="O9" i="82"/>
  <c r="J8" i="82"/>
  <c r="I8" i="82"/>
  <c r="H8" i="82"/>
  <c r="G8" i="82"/>
  <c r="M4" i="82"/>
  <c r="L4" i="82"/>
  <c r="O4" i="82"/>
  <c r="N4" i="82"/>
  <c r="C4" i="82"/>
  <c r="E4" i="82"/>
  <c r="D4" i="82"/>
  <c r="O10" i="82"/>
  <c r="N10" i="82"/>
  <c r="M10" i="82"/>
  <c r="L10" i="82"/>
  <c r="E7" i="82"/>
  <c r="D7" i="82"/>
  <c r="C7" i="82"/>
  <c r="AI12" i="81" a="1"/>
  <c r="AI12" i="81" s="1"/>
  <c r="Q12" i="81" a="1"/>
  <c r="Q12" i="81" s="1"/>
  <c r="Q12" i="82" a="1"/>
  <c r="Q12" i="82" s="1"/>
  <c r="AC12" i="82" a="1"/>
  <c r="AC12" i="82" s="1"/>
  <c r="AD12" i="82" a="1"/>
  <c r="AD12" i="82" s="1"/>
  <c r="U12" i="81" a="1"/>
  <c r="U12" i="81" s="1"/>
  <c r="S12" i="81" a="1"/>
  <c r="S12" i="81" s="1"/>
  <c r="AG12" i="81" a="1"/>
  <c r="AG12" i="81" s="1"/>
  <c r="Z12" i="81" a="1"/>
  <c r="Z12" i="81" s="1"/>
  <c r="X12" i="81" a="1"/>
  <c r="X12" i="81" s="1"/>
  <c r="Z12" i="82" a="1"/>
  <c r="Z12" i="82" s="1"/>
  <c r="X12" i="82" a="1"/>
  <c r="X12" i="82" s="1"/>
  <c r="AA12" i="82" a="1"/>
  <c r="AA12" i="82" s="1"/>
  <c r="T12" i="82" a="1"/>
  <c r="T12" i="82" s="1"/>
  <c r="H2" i="82"/>
  <c r="G2" i="82"/>
  <c r="J2" i="82"/>
  <c r="I2" i="82"/>
  <c r="D5" i="82"/>
  <c r="C5" i="82"/>
  <c r="E5" i="82"/>
  <c r="O2" i="82"/>
  <c r="N2" i="82"/>
  <c r="M2" i="82"/>
  <c r="L2" i="82"/>
  <c r="H10" i="82"/>
  <c r="G10" i="82"/>
  <c r="J10" i="82"/>
  <c r="I10" i="82"/>
  <c r="I11" i="82"/>
  <c r="H11" i="82"/>
  <c r="G11" i="82"/>
  <c r="J11" i="82"/>
  <c r="L7" i="82"/>
  <c r="O7" i="82"/>
  <c r="N7" i="82"/>
  <c r="M7" i="82"/>
  <c r="D9" i="82"/>
  <c r="C9" i="82"/>
  <c r="E9" i="82"/>
  <c r="O6" i="81"/>
  <c r="N6" i="81"/>
  <c r="M6" i="81"/>
  <c r="L6" i="81"/>
  <c r="I3" i="81"/>
  <c r="H3" i="81"/>
  <c r="G3" i="81"/>
  <c r="J3" i="81"/>
  <c r="M8" i="81"/>
  <c r="L8" i="81"/>
  <c r="O8" i="81"/>
  <c r="N8" i="81"/>
  <c r="E2" i="81"/>
  <c r="D2" i="81"/>
  <c r="C2" i="81"/>
  <c r="N5" i="81"/>
  <c r="M5" i="81"/>
  <c r="L5" i="81"/>
  <c r="O5" i="81"/>
  <c r="J4" i="81"/>
  <c r="I4" i="81"/>
  <c r="H4" i="81"/>
  <c r="G4" i="81"/>
  <c r="I7" i="81"/>
  <c r="H7" i="81"/>
  <c r="G7" i="81"/>
  <c r="J7" i="81"/>
  <c r="L3" i="81"/>
  <c r="O3" i="81"/>
  <c r="N3" i="81"/>
  <c r="M3" i="81"/>
  <c r="E6" i="81"/>
  <c r="D6" i="81"/>
  <c r="C6" i="81"/>
  <c r="G5" i="81"/>
  <c r="J5" i="81"/>
  <c r="I5" i="81"/>
  <c r="H5" i="81"/>
  <c r="C8" i="81"/>
  <c r="E8" i="81"/>
  <c r="D8" i="81"/>
  <c r="L11" i="81"/>
  <c r="O11" i="81"/>
  <c r="N11" i="81"/>
  <c r="M11" i="81"/>
  <c r="E11" i="81"/>
  <c r="D11" i="81"/>
  <c r="C11" i="81"/>
  <c r="H6" i="81"/>
  <c r="G6" i="81"/>
  <c r="J6" i="81"/>
  <c r="I6" i="81"/>
  <c r="E10" i="81"/>
  <c r="D10" i="81"/>
  <c r="C10" i="81"/>
  <c r="G9" i="81"/>
  <c r="J9" i="81"/>
  <c r="I9" i="81"/>
  <c r="H9" i="81"/>
  <c r="E3" i="81"/>
  <c r="D3" i="81"/>
  <c r="C3" i="81"/>
  <c r="N9" i="81"/>
  <c r="M9" i="81"/>
  <c r="L9" i="81"/>
  <c r="O9" i="81"/>
  <c r="J8" i="81"/>
  <c r="I8" i="81"/>
  <c r="H8" i="81"/>
  <c r="G8" i="81"/>
  <c r="M4" i="81"/>
  <c r="L4" i="81"/>
  <c r="O4" i="81"/>
  <c r="N4" i="81"/>
  <c r="C4" i="81"/>
  <c r="E4" i="81"/>
  <c r="D4" i="81"/>
  <c r="O10" i="81"/>
  <c r="N10" i="81"/>
  <c r="M10" i="81"/>
  <c r="L10" i="81"/>
  <c r="E7" i="81"/>
  <c r="D7" i="81"/>
  <c r="C7" i="81"/>
  <c r="H2" i="81"/>
  <c r="G2" i="81"/>
  <c r="J2" i="81"/>
  <c r="I2" i="81"/>
  <c r="D5" i="81"/>
  <c r="C5" i="81"/>
  <c r="E5" i="81"/>
  <c r="O2" i="81"/>
  <c r="N2" i="81"/>
  <c r="M2" i="81"/>
  <c r="L2" i="81"/>
  <c r="H10" i="81"/>
  <c r="G10" i="81"/>
  <c r="J10" i="81"/>
  <c r="I10" i="81"/>
  <c r="I11" i="81"/>
  <c r="H11" i="81"/>
  <c r="G11" i="81"/>
  <c r="J11" i="81"/>
  <c r="L7" i="81"/>
  <c r="O7" i="81"/>
  <c r="N7" i="81"/>
  <c r="M7" i="81"/>
  <c r="D9" i="81"/>
  <c r="C9" i="81"/>
  <c r="E9" i="81"/>
  <c r="AH12" i="75" a="1"/>
  <c r="AH12" i="75" s="1"/>
  <c r="M4" i="80"/>
  <c r="L4" i="80"/>
  <c r="N4" i="80"/>
  <c r="O4" i="80"/>
  <c r="H2" i="80"/>
  <c r="G2" i="80"/>
  <c r="I2" i="80"/>
  <c r="J2" i="80"/>
  <c r="L11" i="80"/>
  <c r="O11" i="80"/>
  <c r="N11" i="80"/>
  <c r="M11" i="80"/>
  <c r="J4" i="80"/>
  <c r="I4" i="80"/>
  <c r="H4" i="80"/>
  <c r="G4" i="80"/>
  <c r="E10" i="80"/>
  <c r="D10" i="80"/>
  <c r="C10" i="80"/>
  <c r="H10" i="80"/>
  <c r="G10" i="80"/>
  <c r="I10" i="80"/>
  <c r="J10" i="80"/>
  <c r="L3" i="80"/>
  <c r="O3" i="80"/>
  <c r="N3" i="80"/>
  <c r="M3" i="80"/>
  <c r="D9" i="80"/>
  <c r="C9" i="80"/>
  <c r="E9" i="80"/>
  <c r="J8" i="80"/>
  <c r="I8" i="80"/>
  <c r="G8" i="80"/>
  <c r="H8" i="80"/>
  <c r="O10" i="80"/>
  <c r="N10" i="80"/>
  <c r="L10" i="80"/>
  <c r="M10" i="80"/>
  <c r="I3" i="80"/>
  <c r="H3" i="80"/>
  <c r="J3" i="80"/>
  <c r="G3" i="80"/>
  <c r="I7" i="80"/>
  <c r="H7" i="80"/>
  <c r="J7" i="80"/>
  <c r="G7" i="80"/>
  <c r="M8" i="80"/>
  <c r="L8" i="80"/>
  <c r="O8" i="80"/>
  <c r="N8" i="80"/>
  <c r="N9" i="80"/>
  <c r="M9" i="80"/>
  <c r="O9" i="80"/>
  <c r="L9" i="80"/>
  <c r="E11" i="80"/>
  <c r="C11" i="80"/>
  <c r="D11" i="80"/>
  <c r="G9" i="80"/>
  <c r="J9" i="80"/>
  <c r="H9" i="80"/>
  <c r="I9" i="80"/>
  <c r="E7" i="80"/>
  <c r="C7" i="80"/>
  <c r="D7" i="80"/>
  <c r="G5" i="80"/>
  <c r="J5" i="80"/>
  <c r="I5" i="80"/>
  <c r="H5" i="80"/>
  <c r="E3" i="80"/>
  <c r="C3" i="80"/>
  <c r="D3" i="80"/>
  <c r="N5" i="80"/>
  <c r="M5" i="80"/>
  <c r="L5" i="80"/>
  <c r="O5" i="80"/>
  <c r="D5" i="80"/>
  <c r="C5" i="80"/>
  <c r="E5" i="80"/>
  <c r="I11" i="80"/>
  <c r="H11" i="80"/>
  <c r="J11" i="80"/>
  <c r="G11" i="80"/>
  <c r="L7" i="80"/>
  <c r="O7" i="80"/>
  <c r="N7" i="80"/>
  <c r="M7" i="80"/>
  <c r="E2" i="80"/>
  <c r="D2" i="80"/>
  <c r="C2" i="80"/>
  <c r="E6" i="80"/>
  <c r="D6" i="80"/>
  <c r="C6" i="80"/>
  <c r="C8" i="80"/>
  <c r="D8" i="80"/>
  <c r="E8" i="80"/>
  <c r="O2" i="80"/>
  <c r="N2" i="80"/>
  <c r="L2" i="80"/>
  <c r="M2" i="80"/>
  <c r="O6" i="80"/>
  <c r="N6" i="80"/>
  <c r="L6" i="80"/>
  <c r="M6" i="80"/>
  <c r="C4" i="80"/>
  <c r="D4" i="80"/>
  <c r="E4" i="80"/>
  <c r="H6" i="80"/>
  <c r="G6" i="80"/>
  <c r="I6" i="80"/>
  <c r="J6" i="80"/>
  <c r="E6" i="79"/>
  <c r="D6" i="79"/>
  <c r="C6" i="79"/>
  <c r="H10" i="79"/>
  <c r="G10" i="79"/>
  <c r="J10" i="79"/>
  <c r="I10" i="79"/>
  <c r="O6" i="79"/>
  <c r="N6" i="79"/>
  <c r="M6" i="79"/>
  <c r="L6" i="79"/>
  <c r="L11" i="79"/>
  <c r="O11" i="79"/>
  <c r="N11" i="79"/>
  <c r="M11" i="79"/>
  <c r="J4" i="79"/>
  <c r="G4" i="79"/>
  <c r="I4" i="79"/>
  <c r="H4" i="79"/>
  <c r="E11" i="79"/>
  <c r="D11" i="79"/>
  <c r="C11" i="79"/>
  <c r="H2" i="79"/>
  <c r="G2" i="79"/>
  <c r="J2" i="79"/>
  <c r="I2" i="79"/>
  <c r="D9" i="79"/>
  <c r="C9" i="79"/>
  <c r="E9" i="79"/>
  <c r="E3" i="79"/>
  <c r="D3" i="79"/>
  <c r="C3" i="79"/>
  <c r="L7" i="79"/>
  <c r="O7" i="79"/>
  <c r="N7" i="79"/>
  <c r="M7" i="79"/>
  <c r="E2" i="79"/>
  <c r="D2" i="79"/>
  <c r="C2" i="79"/>
  <c r="H6" i="79"/>
  <c r="G6" i="79"/>
  <c r="I6" i="79"/>
  <c r="J6" i="79"/>
  <c r="O2" i="79"/>
  <c r="N2" i="79"/>
  <c r="M2" i="79"/>
  <c r="L2" i="79"/>
  <c r="C4" i="79"/>
  <c r="D4" i="79"/>
  <c r="E4" i="79"/>
  <c r="M8" i="79"/>
  <c r="L8" i="79"/>
  <c r="O8" i="79"/>
  <c r="N8" i="79"/>
  <c r="G5" i="79"/>
  <c r="H5" i="79"/>
  <c r="J5" i="79"/>
  <c r="I5" i="79"/>
  <c r="N9" i="79"/>
  <c r="M9" i="79"/>
  <c r="L9" i="79"/>
  <c r="O9" i="79"/>
  <c r="D5" i="79"/>
  <c r="C5" i="79"/>
  <c r="E5" i="79"/>
  <c r="I3" i="79"/>
  <c r="H3" i="79"/>
  <c r="G3" i="79"/>
  <c r="J3" i="79"/>
  <c r="C8" i="79"/>
  <c r="E8" i="79"/>
  <c r="D8" i="79"/>
  <c r="L3" i="79"/>
  <c r="M3" i="79"/>
  <c r="O3" i="79"/>
  <c r="N3" i="79"/>
  <c r="I7" i="79"/>
  <c r="H7" i="79"/>
  <c r="G7" i="79"/>
  <c r="J7" i="79"/>
  <c r="E10" i="79"/>
  <c r="D10" i="79"/>
  <c r="C10" i="79"/>
  <c r="M4" i="79"/>
  <c r="N4" i="79"/>
  <c r="L4" i="79"/>
  <c r="O4" i="79"/>
  <c r="J8" i="79"/>
  <c r="I8" i="79"/>
  <c r="H8" i="79"/>
  <c r="G8" i="79"/>
  <c r="I11" i="79"/>
  <c r="H11" i="79"/>
  <c r="G11" i="79"/>
  <c r="J11" i="79"/>
  <c r="G9" i="79"/>
  <c r="J9" i="79"/>
  <c r="I9" i="79"/>
  <c r="H9" i="79"/>
  <c r="N5" i="79"/>
  <c r="M5" i="79"/>
  <c r="L5" i="79"/>
  <c r="O5" i="79"/>
  <c r="E7" i="79"/>
  <c r="D7" i="79"/>
  <c r="C7" i="79"/>
  <c r="O10" i="79"/>
  <c r="N10" i="79"/>
  <c r="M10" i="79"/>
  <c r="L10" i="79"/>
  <c r="I7" i="78"/>
  <c r="H7" i="78"/>
  <c r="G7" i="78"/>
  <c r="J7" i="78"/>
  <c r="L3" i="78"/>
  <c r="O3" i="78"/>
  <c r="N3" i="78"/>
  <c r="M3" i="78"/>
  <c r="E11" i="78"/>
  <c r="D11" i="78"/>
  <c r="C11" i="78"/>
  <c r="N5" i="78"/>
  <c r="M5" i="78"/>
  <c r="L5" i="78"/>
  <c r="O5" i="78"/>
  <c r="H6" i="78"/>
  <c r="G6" i="78"/>
  <c r="J6" i="78"/>
  <c r="I6" i="78"/>
  <c r="E10" i="78"/>
  <c r="D10" i="78"/>
  <c r="C10" i="78"/>
  <c r="G5" i="78"/>
  <c r="J5" i="78"/>
  <c r="I5" i="78"/>
  <c r="H5" i="78"/>
  <c r="E3" i="78"/>
  <c r="D3" i="78"/>
  <c r="C3" i="78"/>
  <c r="O6" i="78"/>
  <c r="N6" i="78"/>
  <c r="M6" i="78"/>
  <c r="L6" i="78"/>
  <c r="E6" i="78"/>
  <c r="D6" i="78"/>
  <c r="C6" i="78"/>
  <c r="H2" i="78"/>
  <c r="G2" i="78"/>
  <c r="J2" i="78"/>
  <c r="I2" i="78"/>
  <c r="I11" i="78"/>
  <c r="G11" i="78"/>
  <c r="H11" i="78"/>
  <c r="J11" i="78"/>
  <c r="I3" i="78"/>
  <c r="H3" i="78"/>
  <c r="J3" i="78"/>
  <c r="G3" i="78"/>
  <c r="G9" i="78"/>
  <c r="J9" i="78"/>
  <c r="I9" i="78"/>
  <c r="H9" i="78"/>
  <c r="D9" i="78"/>
  <c r="C9" i="78"/>
  <c r="E9" i="78"/>
  <c r="L11" i="78"/>
  <c r="O11" i="78"/>
  <c r="N11" i="78"/>
  <c r="M11" i="78"/>
  <c r="E2" i="78"/>
  <c r="D2" i="78"/>
  <c r="C2" i="78"/>
  <c r="O10" i="78"/>
  <c r="N10" i="78"/>
  <c r="M10" i="78"/>
  <c r="L10" i="78"/>
  <c r="C4" i="78"/>
  <c r="E4" i="78"/>
  <c r="D4" i="78"/>
  <c r="N9" i="78"/>
  <c r="M9" i="78"/>
  <c r="L9" i="78"/>
  <c r="O9" i="78"/>
  <c r="J4" i="78"/>
  <c r="H4" i="78"/>
  <c r="I4" i="78"/>
  <c r="G4" i="78"/>
  <c r="M4" i="78"/>
  <c r="L4" i="78"/>
  <c r="O4" i="78"/>
  <c r="N4" i="78"/>
  <c r="AF12" i="75" a="1"/>
  <c r="AF12" i="75" s="1"/>
  <c r="C8" i="78"/>
  <c r="E8" i="78"/>
  <c r="D8" i="78"/>
  <c r="H10" i="78"/>
  <c r="G10" i="78"/>
  <c r="J10" i="78"/>
  <c r="I10" i="78"/>
  <c r="J8" i="78"/>
  <c r="H8" i="78"/>
  <c r="I8" i="78"/>
  <c r="G8" i="78"/>
  <c r="M8" i="78"/>
  <c r="O8" i="78"/>
  <c r="L8" i="78"/>
  <c r="N8" i="78"/>
  <c r="E7" i="78"/>
  <c r="D7" i="78"/>
  <c r="C7" i="78"/>
  <c r="D5" i="78"/>
  <c r="C5" i="78"/>
  <c r="E5" i="78"/>
  <c r="O2" i="78"/>
  <c r="N2" i="78"/>
  <c r="M2" i="78"/>
  <c r="L2" i="78"/>
  <c r="L7" i="78"/>
  <c r="O7" i="78"/>
  <c r="N7" i="78"/>
  <c r="M7" i="78"/>
  <c r="M8" i="77"/>
  <c r="L8" i="77"/>
  <c r="O8" i="77"/>
  <c r="N8" i="77"/>
  <c r="E6" i="77"/>
  <c r="D6" i="77"/>
  <c r="C6" i="77"/>
  <c r="G9" i="77"/>
  <c r="J9" i="77"/>
  <c r="H9" i="77"/>
  <c r="I9" i="77"/>
  <c r="L3" i="77"/>
  <c r="M3" i="77"/>
  <c r="O3" i="77"/>
  <c r="N3" i="77"/>
  <c r="G5" i="77"/>
  <c r="J5" i="77"/>
  <c r="I5" i="77"/>
  <c r="H5" i="77"/>
  <c r="E11" i="77"/>
  <c r="D11" i="77"/>
  <c r="C11" i="77"/>
  <c r="H10" i="77"/>
  <c r="G10" i="77"/>
  <c r="I10" i="77"/>
  <c r="J10" i="77"/>
  <c r="E10" i="77"/>
  <c r="D10" i="77"/>
  <c r="C10" i="77"/>
  <c r="I3" i="77"/>
  <c r="H3" i="77"/>
  <c r="G3" i="77"/>
  <c r="J3" i="77"/>
  <c r="O2" i="77"/>
  <c r="N2" i="77"/>
  <c r="L2" i="77"/>
  <c r="M2" i="77"/>
  <c r="J8" i="77"/>
  <c r="G8" i="77"/>
  <c r="I8" i="77"/>
  <c r="H8" i="77"/>
  <c r="L11" i="77"/>
  <c r="O11" i="77"/>
  <c r="N11" i="77"/>
  <c r="M11" i="77"/>
  <c r="AI12" i="75" a="1"/>
  <c r="AI12" i="75" s="1"/>
  <c r="E3" i="77"/>
  <c r="D3" i="77"/>
  <c r="C3" i="77"/>
  <c r="E2" i="77"/>
  <c r="D2" i="77"/>
  <c r="C2" i="77"/>
  <c r="O10" i="77"/>
  <c r="N10" i="77"/>
  <c r="L10" i="77"/>
  <c r="M10" i="77"/>
  <c r="N5" i="77"/>
  <c r="M5" i="77"/>
  <c r="L5" i="77"/>
  <c r="O5" i="77"/>
  <c r="C8" i="77"/>
  <c r="E8" i="77"/>
  <c r="D8" i="77"/>
  <c r="C4" i="77"/>
  <c r="D4" i="77"/>
  <c r="E4" i="77"/>
  <c r="L7" i="77"/>
  <c r="O7" i="77"/>
  <c r="N7" i="77"/>
  <c r="M7" i="77"/>
  <c r="H6" i="77"/>
  <c r="G6" i="77"/>
  <c r="J6" i="77"/>
  <c r="I6" i="77"/>
  <c r="J4" i="77"/>
  <c r="G4" i="77"/>
  <c r="I4" i="77"/>
  <c r="H4" i="77"/>
  <c r="V12" i="75" a="1"/>
  <c r="V12" i="75" s="1"/>
  <c r="Y12" i="75" a="1"/>
  <c r="Y12" i="75" s="1"/>
  <c r="O6" i="77"/>
  <c r="N6" i="77"/>
  <c r="L6" i="77"/>
  <c r="M6" i="77"/>
  <c r="D5" i="77"/>
  <c r="E5" i="77"/>
  <c r="C5" i="77"/>
  <c r="E7" i="77"/>
  <c r="D7" i="77"/>
  <c r="C7" i="77"/>
  <c r="N9" i="77"/>
  <c r="M9" i="77"/>
  <c r="O9" i="77"/>
  <c r="L9" i="77"/>
  <c r="D9" i="77"/>
  <c r="C9" i="77"/>
  <c r="E9" i="77"/>
  <c r="I7" i="77"/>
  <c r="H7" i="77"/>
  <c r="G7" i="77"/>
  <c r="J7" i="77"/>
  <c r="M4" i="77"/>
  <c r="N4" i="77"/>
  <c r="L4" i="77"/>
  <c r="O4" i="77"/>
  <c r="I11" i="77"/>
  <c r="H11" i="77"/>
  <c r="G11" i="77"/>
  <c r="J11" i="77"/>
  <c r="H2" i="77"/>
  <c r="G2" i="77"/>
  <c r="J2" i="77"/>
  <c r="I2" i="77"/>
  <c r="I3" i="75"/>
  <c r="H3" i="75"/>
  <c r="G3" i="75"/>
  <c r="J3" i="75"/>
  <c r="D9" i="75"/>
  <c r="C9" i="75"/>
  <c r="E9" i="75"/>
  <c r="N9" i="75"/>
  <c r="M9" i="75"/>
  <c r="L9" i="75"/>
  <c r="O9" i="75"/>
  <c r="C8" i="75"/>
  <c r="D8" i="75"/>
  <c r="E8" i="75"/>
  <c r="G9" i="75"/>
  <c r="J9" i="75"/>
  <c r="I9" i="75"/>
  <c r="H9" i="75"/>
  <c r="Z12" i="75" a="1"/>
  <c r="Z12" i="75" s="1"/>
  <c r="X12" i="75" a="1"/>
  <c r="X12" i="75" s="1"/>
  <c r="W12" i="75" a="1"/>
  <c r="W12" i="75" s="1"/>
  <c r="U12" i="75" a="1"/>
  <c r="U12" i="75" s="1"/>
  <c r="Q12" i="75" a="1"/>
  <c r="Q12" i="75" s="1"/>
  <c r="E6" i="75"/>
  <c r="D6" i="75"/>
  <c r="C6" i="75"/>
  <c r="G5" i="75"/>
  <c r="J5" i="75"/>
  <c r="H5" i="75"/>
  <c r="I5" i="75"/>
  <c r="H2" i="75"/>
  <c r="I2" i="75"/>
  <c r="G2" i="75"/>
  <c r="J2" i="75"/>
  <c r="O6" i="75"/>
  <c r="N6" i="75"/>
  <c r="M6" i="75"/>
  <c r="L6" i="75"/>
  <c r="J8" i="75"/>
  <c r="I8" i="75"/>
  <c r="G8" i="75"/>
  <c r="H8" i="75"/>
  <c r="M8" i="75"/>
  <c r="L8" i="75"/>
  <c r="O8" i="75"/>
  <c r="N8" i="75"/>
  <c r="J4" i="75"/>
  <c r="I4" i="75"/>
  <c r="G4" i="75"/>
  <c r="H4" i="75"/>
  <c r="L11" i="75"/>
  <c r="O11" i="75"/>
  <c r="N11" i="75"/>
  <c r="M11" i="75"/>
  <c r="O2" i="75"/>
  <c r="N2" i="75"/>
  <c r="M2" i="75"/>
  <c r="L2" i="75"/>
  <c r="T12" i="75" a="1"/>
  <c r="T12" i="75" s="1"/>
  <c r="C3" i="75"/>
  <c r="E3" i="75"/>
  <c r="D3" i="75"/>
  <c r="L3" i="75"/>
  <c r="O3" i="75"/>
  <c r="M3" i="75"/>
  <c r="N3" i="75"/>
  <c r="H10" i="75"/>
  <c r="G10" i="75"/>
  <c r="J10" i="75"/>
  <c r="I10" i="75"/>
  <c r="E11" i="75"/>
  <c r="D11" i="75"/>
  <c r="C11" i="75"/>
  <c r="H6" i="75"/>
  <c r="G6" i="75"/>
  <c r="I6" i="75"/>
  <c r="J6" i="75"/>
  <c r="E7" i="75"/>
  <c r="D7" i="75"/>
  <c r="C7" i="75"/>
  <c r="L7" i="75"/>
  <c r="O7" i="75"/>
  <c r="N7" i="75"/>
  <c r="M7" i="75"/>
  <c r="I11" i="75"/>
  <c r="H11" i="75"/>
  <c r="G11" i="75"/>
  <c r="J11" i="75"/>
  <c r="R12" i="75" a="1"/>
  <c r="R12" i="75" s="1"/>
  <c r="AA12" i="75" a="1"/>
  <c r="AA12" i="75" s="1"/>
  <c r="AC12" i="75" a="1"/>
  <c r="AC12" i="75" s="1"/>
  <c r="AJ12" i="75" a="1"/>
  <c r="AJ12" i="75" s="1"/>
  <c r="AE12" i="75" a="1"/>
  <c r="AE12" i="75" s="1"/>
  <c r="AD12" i="75" a="1"/>
  <c r="AD12" i="75" s="1"/>
  <c r="AB12" i="75" a="1"/>
  <c r="AB12" i="75" s="1"/>
  <c r="S12" i="75" a="1"/>
  <c r="S12" i="75" s="1"/>
  <c r="O10" i="75"/>
  <c r="N10" i="75"/>
  <c r="M10" i="75"/>
  <c r="L10" i="75"/>
  <c r="D5" i="75"/>
  <c r="E5" i="75"/>
  <c r="C5" i="75"/>
  <c r="E10" i="75"/>
  <c r="D10" i="75"/>
  <c r="C10" i="75"/>
  <c r="E2" i="75"/>
  <c r="D2" i="75"/>
  <c r="C2" i="75"/>
  <c r="M4" i="75"/>
  <c r="L4" i="75"/>
  <c r="N4" i="75"/>
  <c r="O4" i="75"/>
  <c r="N5" i="75"/>
  <c r="M5" i="75"/>
  <c r="O5" i="75"/>
  <c r="L5" i="75"/>
  <c r="C4" i="75"/>
  <c r="D4" i="75"/>
  <c r="E4" i="75"/>
  <c r="I7" i="75"/>
  <c r="H7" i="75"/>
  <c r="G7" i="75"/>
  <c r="J7" i="75"/>
  <c r="D3" i="76"/>
  <c r="E3" i="76"/>
  <c r="C3" i="76"/>
  <c r="J8" i="76"/>
  <c r="I8" i="76"/>
  <c r="H8" i="76"/>
  <c r="G8" i="76"/>
  <c r="O6" i="76"/>
  <c r="M6" i="76"/>
  <c r="N6" i="76"/>
  <c r="L6" i="76"/>
  <c r="N5" i="76"/>
  <c r="M5" i="76"/>
  <c r="L5" i="76"/>
  <c r="O5" i="76"/>
  <c r="J4" i="76"/>
  <c r="H4" i="76"/>
  <c r="I4" i="76"/>
  <c r="G4" i="76"/>
  <c r="I7" i="76"/>
  <c r="G7" i="76"/>
  <c r="H7" i="76"/>
  <c r="J7" i="76"/>
  <c r="N9" i="76"/>
  <c r="M9" i="76"/>
  <c r="L9" i="76"/>
  <c r="O9" i="76"/>
  <c r="H6" i="76"/>
  <c r="G6" i="76"/>
  <c r="J6" i="76"/>
  <c r="I6" i="76"/>
  <c r="L11" i="76"/>
  <c r="O11" i="76"/>
  <c r="N11" i="76"/>
  <c r="M11" i="76"/>
  <c r="C4" i="76"/>
  <c r="E4" i="76"/>
  <c r="D4" i="76"/>
  <c r="H10" i="76"/>
  <c r="G10" i="76"/>
  <c r="J10" i="76"/>
  <c r="I10" i="76"/>
  <c r="E10" i="76"/>
  <c r="D10" i="76"/>
  <c r="C10" i="76"/>
  <c r="H2" i="76"/>
  <c r="G2" i="76"/>
  <c r="J2" i="76"/>
  <c r="I2" i="76"/>
  <c r="E6" i="76"/>
  <c r="D6" i="76"/>
  <c r="C6" i="76"/>
  <c r="O2" i="76"/>
  <c r="M2" i="76"/>
  <c r="N2" i="76"/>
  <c r="L2" i="76"/>
  <c r="D7" i="76"/>
  <c r="E7" i="76"/>
  <c r="C7" i="76"/>
  <c r="M8" i="76"/>
  <c r="L8" i="76"/>
  <c r="O8" i="76"/>
  <c r="N8" i="76"/>
  <c r="C8" i="76"/>
  <c r="E8" i="76"/>
  <c r="D8" i="76"/>
  <c r="O10" i="76"/>
  <c r="N10" i="76"/>
  <c r="M10" i="76"/>
  <c r="L10" i="76"/>
  <c r="E11" i="76"/>
  <c r="D11" i="76"/>
  <c r="C11" i="76"/>
  <c r="L3" i="76"/>
  <c r="O3" i="76"/>
  <c r="N3" i="76"/>
  <c r="M3" i="76"/>
  <c r="D9" i="76"/>
  <c r="C9" i="76"/>
  <c r="E9" i="76"/>
  <c r="M4" i="76"/>
  <c r="O4" i="76"/>
  <c r="L4" i="76"/>
  <c r="N4" i="76"/>
  <c r="E2" i="76"/>
  <c r="D2" i="76"/>
  <c r="C2" i="76"/>
  <c r="G9" i="76"/>
  <c r="J9" i="76"/>
  <c r="I9" i="76"/>
  <c r="H9" i="76"/>
  <c r="I3" i="76"/>
  <c r="G3" i="76"/>
  <c r="H3" i="76"/>
  <c r="J3" i="76"/>
  <c r="I11" i="76"/>
  <c r="H11" i="76"/>
  <c r="G11" i="76"/>
  <c r="J11" i="76"/>
  <c r="L7" i="76"/>
  <c r="N7" i="76"/>
  <c r="O7" i="76"/>
  <c r="M7" i="76"/>
  <c r="D5" i="76"/>
  <c r="C5" i="76"/>
  <c r="E5" i="76"/>
  <c r="G5" i="76"/>
  <c r="J5" i="76"/>
  <c r="I5" i="76"/>
  <c r="H5" i="76"/>
  <c r="N5" i="74"/>
  <c r="M5" i="74"/>
  <c r="L5" i="74"/>
  <c r="O5" i="74"/>
  <c r="E6" i="74"/>
  <c r="D6" i="74"/>
  <c r="C6" i="74"/>
  <c r="G9" i="74"/>
  <c r="J9" i="74"/>
  <c r="I9" i="74"/>
  <c r="H9" i="74"/>
  <c r="H6" i="74"/>
  <c r="I6" i="74"/>
  <c r="G6" i="74"/>
  <c r="J6" i="74"/>
  <c r="O2" i="74"/>
  <c r="N2" i="74"/>
  <c r="L2" i="74"/>
  <c r="M2" i="74"/>
  <c r="J8" i="74"/>
  <c r="I8" i="74"/>
  <c r="H8" i="74"/>
  <c r="G8" i="74"/>
  <c r="H2" i="74"/>
  <c r="G2" i="74"/>
  <c r="J2" i="74"/>
  <c r="I2" i="74"/>
  <c r="M8" i="74"/>
  <c r="L8" i="74"/>
  <c r="N8" i="74"/>
  <c r="O8" i="74"/>
  <c r="I11" i="74"/>
  <c r="H11" i="74"/>
  <c r="G11" i="74"/>
  <c r="J11" i="74"/>
  <c r="O10" i="74"/>
  <c r="N10" i="74"/>
  <c r="L10" i="74"/>
  <c r="M10" i="74"/>
  <c r="I3" i="74"/>
  <c r="J3" i="74"/>
  <c r="H3" i="74"/>
  <c r="G3" i="74"/>
  <c r="N9" i="74"/>
  <c r="M9" i="74"/>
  <c r="L9" i="74"/>
  <c r="O9" i="74"/>
  <c r="C8" i="74"/>
  <c r="E8" i="74"/>
  <c r="D8" i="74"/>
  <c r="E7" i="74"/>
  <c r="D7" i="74"/>
  <c r="C7" i="74"/>
  <c r="L7" i="74"/>
  <c r="M7" i="74"/>
  <c r="O7" i="74"/>
  <c r="N7" i="74"/>
  <c r="G5" i="74"/>
  <c r="H5" i="74"/>
  <c r="J5" i="74"/>
  <c r="I5" i="74"/>
  <c r="L3" i="74"/>
  <c r="O3" i="74"/>
  <c r="N3" i="74"/>
  <c r="M3" i="74"/>
  <c r="J4" i="74"/>
  <c r="I4" i="74"/>
  <c r="H4" i="74"/>
  <c r="G4" i="74"/>
  <c r="E10" i="74"/>
  <c r="D10" i="74"/>
  <c r="C10" i="74"/>
  <c r="L11" i="74"/>
  <c r="O11" i="74"/>
  <c r="N11" i="74"/>
  <c r="M11" i="74"/>
  <c r="E11" i="74"/>
  <c r="D11" i="74"/>
  <c r="C11" i="74"/>
  <c r="E3" i="74"/>
  <c r="D3" i="74"/>
  <c r="C3" i="74"/>
  <c r="C4" i="74"/>
  <c r="E4" i="74"/>
  <c r="D4" i="74"/>
  <c r="O6" i="74"/>
  <c r="N6" i="74"/>
  <c r="L6" i="74"/>
  <c r="M6" i="74"/>
  <c r="D9" i="74"/>
  <c r="C9" i="74"/>
  <c r="E9" i="74"/>
  <c r="M4" i="74"/>
  <c r="L4" i="74"/>
  <c r="O4" i="74"/>
  <c r="N4" i="74"/>
  <c r="E2" i="74"/>
  <c r="D2" i="74"/>
  <c r="C2" i="74"/>
  <c r="D5" i="74"/>
  <c r="C5" i="74"/>
  <c r="E5" i="74"/>
  <c r="H10" i="74"/>
  <c r="G10" i="74"/>
  <c r="J10" i="74"/>
  <c r="I10" i="74"/>
  <c r="I7" i="74"/>
  <c r="H7" i="74"/>
  <c r="G7" i="74"/>
  <c r="J7" i="74"/>
  <c r="I7" i="71"/>
  <c r="H7" i="71"/>
  <c r="J7" i="71"/>
  <c r="G7" i="71"/>
  <c r="C8" i="71"/>
  <c r="E8" i="71"/>
  <c r="D8" i="71"/>
  <c r="O6" i="71"/>
  <c r="L6" i="71"/>
  <c r="N6" i="71"/>
  <c r="M6" i="71"/>
  <c r="E10" i="71"/>
  <c r="D10" i="71"/>
  <c r="C10" i="71"/>
  <c r="H6" i="71"/>
  <c r="G6" i="71"/>
  <c r="I6" i="71"/>
  <c r="J6" i="71"/>
  <c r="D5" i="71"/>
  <c r="C5" i="71"/>
  <c r="E5" i="71"/>
  <c r="M4" i="71"/>
  <c r="L4" i="71"/>
  <c r="N4" i="71"/>
  <c r="O4" i="71"/>
  <c r="G5" i="71"/>
  <c r="J5" i="71"/>
  <c r="I5" i="71"/>
  <c r="H5" i="71"/>
  <c r="J8" i="71"/>
  <c r="G8" i="71"/>
  <c r="I8" i="71"/>
  <c r="H8" i="71"/>
  <c r="L7" i="71"/>
  <c r="O7" i="71"/>
  <c r="N7" i="71"/>
  <c r="M7" i="71"/>
  <c r="C7" i="71"/>
  <c r="E7" i="71"/>
  <c r="D7" i="71"/>
  <c r="N9" i="71"/>
  <c r="M9" i="71"/>
  <c r="O9" i="71"/>
  <c r="L9" i="71"/>
  <c r="G9" i="71"/>
  <c r="J9" i="71"/>
  <c r="H9" i="71"/>
  <c r="I9" i="71"/>
  <c r="M8" i="71"/>
  <c r="L8" i="71"/>
  <c r="O8" i="71"/>
  <c r="N8" i="71"/>
  <c r="E2" i="71"/>
  <c r="D2" i="71"/>
  <c r="C2" i="71"/>
  <c r="H10" i="71"/>
  <c r="G10" i="71"/>
  <c r="I10" i="71"/>
  <c r="J10" i="71"/>
  <c r="I3" i="71"/>
  <c r="J3" i="71"/>
  <c r="H3" i="71"/>
  <c r="G3" i="71"/>
  <c r="C4" i="71"/>
  <c r="E4" i="71"/>
  <c r="D4" i="71"/>
  <c r="O2" i="71"/>
  <c r="N2" i="71"/>
  <c r="L2" i="71"/>
  <c r="M2" i="71"/>
  <c r="E6" i="71"/>
  <c r="D6" i="71"/>
  <c r="C6" i="71"/>
  <c r="I11" i="71"/>
  <c r="H11" i="71"/>
  <c r="G11" i="71"/>
  <c r="J11" i="71"/>
  <c r="D9" i="71"/>
  <c r="C9" i="71"/>
  <c r="E9" i="71"/>
  <c r="O10" i="71"/>
  <c r="N10" i="71"/>
  <c r="M10" i="71"/>
  <c r="L10" i="71"/>
  <c r="E11" i="71"/>
  <c r="D11" i="71"/>
  <c r="C11" i="71"/>
  <c r="J4" i="71"/>
  <c r="G4" i="71"/>
  <c r="I4" i="71"/>
  <c r="H4" i="71"/>
  <c r="L3" i="71"/>
  <c r="O3" i="71"/>
  <c r="N3" i="71"/>
  <c r="M3" i="71"/>
  <c r="C3" i="71"/>
  <c r="E3" i="71"/>
  <c r="D3" i="71"/>
  <c r="N5" i="71"/>
  <c r="M5" i="71"/>
  <c r="L5" i="71"/>
  <c r="O5" i="71"/>
  <c r="H2" i="71"/>
  <c r="I2" i="71"/>
  <c r="G2" i="71"/>
  <c r="J2" i="71"/>
  <c r="L11" i="71"/>
  <c r="O11" i="71"/>
  <c r="N11" i="71"/>
  <c r="M11" i="71"/>
  <c r="AD12" i="86" a="1"/>
  <c r="AD12" i="86" s="1"/>
  <c r="AF12" i="86" a="1"/>
  <c r="AF12" i="86" s="1"/>
  <c r="W12" i="86" a="1"/>
  <c r="W12" i="86" s="1"/>
  <c r="X12" i="86" a="1"/>
  <c r="X12" i="86" s="1"/>
  <c r="Q12" i="86" a="1"/>
  <c r="Q12" i="86" s="1"/>
  <c r="Y12" i="86" a="1"/>
  <c r="Y12" i="86" s="1"/>
  <c r="AG12" i="86" a="1"/>
  <c r="AG12" i="86" s="1"/>
  <c r="R12" i="86" a="1"/>
  <c r="R12" i="86" s="1"/>
  <c r="Z12" i="86" a="1"/>
  <c r="Z12" i="86" s="1"/>
  <c r="AH12" i="86" a="1"/>
  <c r="AH12" i="86" s="1"/>
  <c r="AE12" i="86" a="1"/>
  <c r="AE12" i="86" s="1"/>
  <c r="S12" i="86" a="1"/>
  <c r="S12" i="86" s="1"/>
  <c r="AA12" i="86" a="1"/>
  <c r="AA12" i="86" s="1"/>
  <c r="AI12" i="86" a="1"/>
  <c r="AI12" i="86" s="1"/>
  <c r="T12" i="86" a="1"/>
  <c r="T12" i="86" s="1"/>
  <c r="AB12" i="86" a="1"/>
  <c r="AB12" i="86" s="1"/>
  <c r="AJ12" i="86" a="1"/>
  <c r="AJ12" i="86" s="1"/>
  <c r="U12" i="86" a="1"/>
  <c r="U12" i="86" s="1"/>
  <c r="AC12" i="86" a="1"/>
  <c r="AC12" i="86" s="1"/>
  <c r="V12" i="86" a="1"/>
  <c r="V12" i="86" s="1"/>
  <c r="AJ12" i="85" a="1"/>
  <c r="AJ12" i="85" s="1"/>
  <c r="AB12" i="85" a="1"/>
  <c r="AB12" i="85" s="1"/>
  <c r="T12" i="85" a="1"/>
  <c r="T12" i="85" s="1"/>
  <c r="AE12" i="85" a="1"/>
  <c r="AE12" i="85" s="1"/>
  <c r="W12" i="85" a="1"/>
  <c r="W12" i="85" s="1"/>
  <c r="AG12" i="85" a="1"/>
  <c r="AG12" i="85" s="1"/>
  <c r="Q12" i="85" a="1"/>
  <c r="Q12" i="85" s="1"/>
  <c r="AH12" i="85" a="1"/>
  <c r="AH12" i="85" s="1"/>
  <c r="Z12" i="85" a="1"/>
  <c r="Z12" i="85" s="1"/>
  <c r="R12" i="85" a="1"/>
  <c r="R12" i="85" s="1"/>
  <c r="AC12" i="85" a="1"/>
  <c r="AC12" i="85" s="1"/>
  <c r="U12" i="85" a="1"/>
  <c r="U12" i="85" s="1"/>
  <c r="V12" i="85" a="1"/>
  <c r="V12" i="85" s="1"/>
  <c r="AF12" i="85" a="1"/>
  <c r="AF12" i="85" s="1"/>
  <c r="X12" i="85" a="1"/>
  <c r="X12" i="85" s="1"/>
  <c r="AI12" i="85" a="1"/>
  <c r="AI12" i="85" s="1"/>
  <c r="AA12" i="85" a="1"/>
  <c r="AA12" i="85" s="1"/>
  <c r="S12" i="85" a="1"/>
  <c r="S12" i="85" s="1"/>
  <c r="AD12" i="85" a="1"/>
  <c r="AD12" i="85" s="1"/>
  <c r="Y12" i="85" a="1"/>
  <c r="Y12" i="85" s="1"/>
  <c r="AJ12" i="84" a="1"/>
  <c r="AJ12" i="84" s="1"/>
  <c r="AB12" i="84" a="1"/>
  <c r="AB12" i="84" s="1"/>
  <c r="T12" i="84" a="1"/>
  <c r="T12" i="84" s="1"/>
  <c r="AE12" i="84" a="1"/>
  <c r="AE12" i="84" s="1"/>
  <c r="W12" i="84" a="1"/>
  <c r="W12" i="84" s="1"/>
  <c r="AH12" i="84" a="1"/>
  <c r="AH12" i="84" s="1"/>
  <c r="Z12" i="84" a="1"/>
  <c r="Z12" i="84" s="1"/>
  <c r="R12" i="84" a="1"/>
  <c r="R12" i="84" s="1"/>
  <c r="AC12" i="84" a="1"/>
  <c r="AC12" i="84" s="1"/>
  <c r="U12" i="84" a="1"/>
  <c r="U12" i="84" s="1"/>
  <c r="AD12" i="84" a="1"/>
  <c r="AD12" i="84" s="1"/>
  <c r="AG12" i="84" a="1"/>
  <c r="AG12" i="84" s="1"/>
  <c r="Q12" i="84" a="1"/>
  <c r="Q12" i="84" s="1"/>
  <c r="AF12" i="84" a="1"/>
  <c r="AF12" i="84" s="1"/>
  <c r="X12" i="84" a="1"/>
  <c r="X12" i="84" s="1"/>
  <c r="AI12" i="84" a="1"/>
  <c r="AI12" i="84" s="1"/>
  <c r="AA12" i="84" a="1"/>
  <c r="AA12" i="84" s="1"/>
  <c r="S12" i="84" a="1"/>
  <c r="S12" i="84" s="1"/>
  <c r="V12" i="84" a="1"/>
  <c r="V12" i="84" s="1"/>
  <c r="Y12" i="84" a="1"/>
  <c r="Y12" i="84" s="1"/>
  <c r="Y12" i="77" a="1"/>
  <c r="Y12" i="77" s="1"/>
  <c r="AJ12" i="80" a="1"/>
  <c r="AJ12" i="80" s="1"/>
  <c r="AC12" i="80" a="1"/>
  <c r="AC12" i="80" s="1"/>
  <c r="V12" i="80" a="1"/>
  <c r="V12" i="80" s="1"/>
  <c r="W12" i="80" a="1"/>
  <c r="W12" i="80" s="1"/>
  <c r="AE12" i="80" a="1"/>
  <c r="AE12" i="80" s="1"/>
  <c r="X12" i="80" a="1"/>
  <c r="X12" i="80" s="1"/>
  <c r="AF12" i="80" a="1"/>
  <c r="AF12" i="80" s="1"/>
  <c r="Q12" i="80" a="1"/>
  <c r="Q12" i="80" s="1"/>
  <c r="Y12" i="80" a="1"/>
  <c r="Y12" i="80" s="1"/>
  <c r="AG12" i="80" a="1"/>
  <c r="AG12" i="80" s="1"/>
  <c r="R12" i="80" a="1"/>
  <c r="R12" i="80" s="1"/>
  <c r="Z12" i="80" a="1"/>
  <c r="Z12" i="80" s="1"/>
  <c r="AH12" i="80" a="1"/>
  <c r="AH12" i="80" s="1"/>
  <c r="U12" i="80" a="1"/>
  <c r="U12" i="80" s="1"/>
  <c r="AD12" i="80" a="1"/>
  <c r="AD12" i="80" s="1"/>
  <c r="S12" i="80" a="1"/>
  <c r="S12" i="80" s="1"/>
  <c r="AA12" i="80" a="1"/>
  <c r="AA12" i="80" s="1"/>
  <c r="AI12" i="80" a="1"/>
  <c r="AI12" i="80" s="1"/>
  <c r="T12" i="80" a="1"/>
  <c r="T12" i="80" s="1"/>
  <c r="AB12" i="80" a="1"/>
  <c r="AB12" i="80" s="1"/>
  <c r="AF12" i="79" a="1"/>
  <c r="AF12" i="79" s="1"/>
  <c r="X12" i="79" a="1"/>
  <c r="X12" i="79" s="1"/>
  <c r="AI12" i="79" a="1"/>
  <c r="AI12" i="79" s="1"/>
  <c r="AA12" i="79" a="1"/>
  <c r="AA12" i="79" s="1"/>
  <c r="Q12" i="79" a="1"/>
  <c r="Q12" i="79" s="1"/>
  <c r="U12" i="79" a="1"/>
  <c r="U12" i="79" s="1"/>
  <c r="AD12" i="79" a="1"/>
  <c r="AD12" i="79" s="1"/>
  <c r="V12" i="79" a="1"/>
  <c r="V12" i="79" s="1"/>
  <c r="AG12" i="79" a="1"/>
  <c r="AG12" i="79" s="1"/>
  <c r="Y12" i="79" a="1"/>
  <c r="Y12" i="79" s="1"/>
  <c r="S12" i="79" a="1"/>
  <c r="S12" i="79" s="1"/>
  <c r="Z12" i="79" a="1"/>
  <c r="Z12" i="79" s="1"/>
  <c r="AC12" i="79" a="1"/>
  <c r="AC12" i="79" s="1"/>
  <c r="AJ12" i="79" a="1"/>
  <c r="AJ12" i="79" s="1"/>
  <c r="AB12" i="79" a="1"/>
  <c r="AB12" i="79" s="1"/>
  <c r="T12" i="79" a="1"/>
  <c r="T12" i="79" s="1"/>
  <c r="AE12" i="79" a="1"/>
  <c r="AE12" i="79" s="1"/>
  <c r="W12" i="79" a="1"/>
  <c r="W12" i="79" s="1"/>
  <c r="AH12" i="79" a="1"/>
  <c r="AH12" i="79" s="1"/>
  <c r="R12" i="79" a="1"/>
  <c r="R12" i="79" s="1"/>
  <c r="AJ12" i="78" a="1"/>
  <c r="AJ12" i="78" s="1"/>
  <c r="AB12" i="78" a="1"/>
  <c r="AB12" i="78" s="1"/>
  <c r="T12" i="78" a="1"/>
  <c r="T12" i="78" s="1"/>
  <c r="AE12" i="78" a="1"/>
  <c r="AE12" i="78" s="1"/>
  <c r="W12" i="78" a="1"/>
  <c r="W12" i="78" s="1"/>
  <c r="AH12" i="78" a="1"/>
  <c r="AH12" i="78" s="1"/>
  <c r="Z12" i="78" a="1"/>
  <c r="Z12" i="78" s="1"/>
  <c r="R12" i="78" a="1"/>
  <c r="R12" i="78" s="1"/>
  <c r="AC12" i="78" a="1"/>
  <c r="AC12" i="78" s="1"/>
  <c r="U12" i="78" a="1"/>
  <c r="U12" i="78" s="1"/>
  <c r="V12" i="78" a="1"/>
  <c r="V12" i="78" s="1"/>
  <c r="AG12" i="78" a="1"/>
  <c r="AG12" i="78" s="1"/>
  <c r="Q12" i="78" a="1"/>
  <c r="Q12" i="78" s="1"/>
  <c r="AF12" i="78" a="1"/>
  <c r="AF12" i="78" s="1"/>
  <c r="X12" i="78" a="1"/>
  <c r="X12" i="78" s="1"/>
  <c r="AI12" i="78" a="1"/>
  <c r="AI12" i="78" s="1"/>
  <c r="AA12" i="78" a="1"/>
  <c r="AA12" i="78" s="1"/>
  <c r="S12" i="78" a="1"/>
  <c r="S12" i="78" s="1"/>
  <c r="AD12" i="78" a="1"/>
  <c r="AD12" i="78" s="1"/>
  <c r="Y12" i="78" a="1"/>
  <c r="Y12" i="78" s="1"/>
  <c r="Q12" i="77" a="1"/>
  <c r="Q12" i="77" s="1"/>
  <c r="U12" i="77" a="1"/>
  <c r="U12" i="77" s="1"/>
  <c r="AG12" i="77" a="1"/>
  <c r="AG12" i="77" s="1"/>
  <c r="AC12" i="77" a="1"/>
  <c r="AC12" i="77" s="1"/>
  <c r="AF12" i="77" a="1"/>
  <c r="AF12" i="77" s="1"/>
  <c r="AJ12" i="76" a="1"/>
  <c r="AJ12" i="76" s="1"/>
  <c r="AE12" i="77" a="1"/>
  <c r="AE12" i="77" s="1"/>
  <c r="R12" i="77" a="1"/>
  <c r="R12" i="77" s="1"/>
  <c r="Z12" i="77" a="1"/>
  <c r="Z12" i="77" s="1"/>
  <c r="AH12" i="77" a="1"/>
  <c r="AH12" i="77" s="1"/>
  <c r="S12" i="77" a="1"/>
  <c r="S12" i="77" s="1"/>
  <c r="AI12" i="77" a="1"/>
  <c r="AI12" i="77" s="1"/>
  <c r="T12" i="77" a="1"/>
  <c r="T12" i="77" s="1"/>
  <c r="AB12" i="77" a="1"/>
  <c r="AB12" i="77" s="1"/>
  <c r="AJ12" i="77" a="1"/>
  <c r="AJ12" i="77" s="1"/>
  <c r="W12" i="77" a="1"/>
  <c r="W12" i="77" s="1"/>
  <c r="V12" i="77" a="1"/>
  <c r="V12" i="77" s="1"/>
  <c r="AD12" i="77" a="1"/>
  <c r="AD12" i="77" s="1"/>
  <c r="AA12" i="77" a="1"/>
  <c r="AA12" i="77" s="1"/>
  <c r="X12" i="77" a="1"/>
  <c r="X12" i="77" s="1"/>
  <c r="AC12" i="76" a="1"/>
  <c r="AC12" i="76" s="1"/>
  <c r="U12" i="76" a="1"/>
  <c r="U12" i="76" s="1"/>
  <c r="AF12" i="76" a="1"/>
  <c r="AF12" i="76" s="1"/>
  <c r="Q12" i="76" a="1"/>
  <c r="Q12" i="76" s="1"/>
  <c r="AG12" i="76" a="1"/>
  <c r="AG12" i="76" s="1"/>
  <c r="W12" i="76" a="1"/>
  <c r="W12" i="76" s="1"/>
  <c r="V12" i="76" a="1"/>
  <c r="V12" i="76" s="1"/>
  <c r="AD12" i="76" a="1"/>
  <c r="AD12" i="76" s="1"/>
  <c r="Y12" i="76" a="1"/>
  <c r="Y12" i="76" s="1"/>
  <c r="AA12" i="76" a="1"/>
  <c r="AA12" i="76" s="1"/>
  <c r="X12" i="76" a="1"/>
  <c r="X12" i="76" s="1"/>
  <c r="AE12" i="76" a="1"/>
  <c r="AE12" i="76" s="1"/>
  <c r="R12" i="76" a="1"/>
  <c r="R12" i="76" s="1"/>
  <c r="Z12" i="76" a="1"/>
  <c r="Z12" i="76" s="1"/>
  <c r="AH12" i="76" a="1"/>
  <c r="AH12" i="76" s="1"/>
  <c r="S12" i="76" a="1"/>
  <c r="S12" i="76" s="1"/>
  <c r="AI12" i="76" a="1"/>
  <c r="AI12" i="76" s="1"/>
  <c r="T12" i="76" a="1"/>
  <c r="T12" i="76" s="1"/>
  <c r="AB12" i="76" a="1"/>
  <c r="AB12" i="76" s="1"/>
  <c r="U12" i="74" a="1"/>
  <c r="U12" i="74" s="1"/>
  <c r="AF12" i="74" a="1"/>
  <c r="AF12" i="74" s="1"/>
  <c r="AJ12" i="74" a="1"/>
  <c r="AJ12" i="74" s="1"/>
  <c r="Q12" i="74" a="1"/>
  <c r="Q12" i="74" s="1"/>
  <c r="AE12" i="73" a="1"/>
  <c r="AE12" i="73" s="1"/>
  <c r="AC12" i="74" a="1"/>
  <c r="AC12" i="74" s="1"/>
  <c r="Y12" i="74" a="1"/>
  <c r="Y12" i="74" s="1"/>
  <c r="W12" i="74" a="1"/>
  <c r="W12" i="74" s="1"/>
  <c r="V12" i="74" a="1"/>
  <c r="V12" i="74" s="1"/>
  <c r="AD12" i="74" a="1"/>
  <c r="AD12" i="74" s="1"/>
  <c r="S12" i="74" a="1"/>
  <c r="S12" i="74" s="1"/>
  <c r="AG12" i="74" a="1"/>
  <c r="AG12" i="74" s="1"/>
  <c r="AA12" i="74" a="1"/>
  <c r="AA12" i="74" s="1"/>
  <c r="X12" i="74" a="1"/>
  <c r="X12" i="74" s="1"/>
  <c r="AE12" i="74" a="1"/>
  <c r="AE12" i="74" s="1"/>
  <c r="R12" i="74" a="1"/>
  <c r="R12" i="74" s="1"/>
  <c r="Z12" i="74" a="1"/>
  <c r="Z12" i="74" s="1"/>
  <c r="AH12" i="74" a="1"/>
  <c r="AH12" i="74" s="1"/>
  <c r="AI12" i="74" a="1"/>
  <c r="AI12" i="74" s="1"/>
  <c r="T12" i="74" a="1"/>
  <c r="T12" i="74" s="1"/>
  <c r="AB12" i="74" a="1"/>
  <c r="AB12" i="74" s="1"/>
  <c r="Q12" i="73" a="1"/>
  <c r="Q12" i="73" s="1"/>
  <c r="AF12" i="73" a="1"/>
  <c r="AF12" i="73" s="1"/>
  <c r="AC12" i="73" a="1"/>
  <c r="AC12" i="73" s="1"/>
  <c r="R12" i="73" a="1"/>
  <c r="R12" i="73" s="1"/>
  <c r="Y12" i="73" a="1"/>
  <c r="Y12" i="73" s="1"/>
  <c r="S12" i="73" a="1"/>
  <c r="S12" i="73" s="1"/>
  <c r="AI12" i="73" a="1"/>
  <c r="AI12" i="73" s="1"/>
  <c r="T12" i="73" a="1"/>
  <c r="T12" i="73" s="1"/>
  <c r="AB12" i="73" a="1"/>
  <c r="AB12" i="73" s="1"/>
  <c r="AJ12" i="73" a="1"/>
  <c r="AJ12" i="73" s="1"/>
  <c r="AH12" i="73" a="1"/>
  <c r="AH12" i="73" s="1"/>
  <c r="U12" i="73" a="1"/>
  <c r="U12" i="73" s="1"/>
  <c r="AG12" i="73" a="1"/>
  <c r="AG12" i="73" s="1"/>
  <c r="W12" i="73" a="1"/>
  <c r="W12" i="73" s="1"/>
  <c r="V12" i="73" a="1"/>
  <c r="V12" i="73" s="1"/>
  <c r="AD12" i="73" a="1"/>
  <c r="AD12" i="73" s="1"/>
  <c r="Z12" i="73" a="1"/>
  <c r="Z12" i="73" s="1"/>
  <c r="AA12" i="73" a="1"/>
  <c r="AA12" i="73" s="1"/>
  <c r="X12" i="73" a="1"/>
  <c r="X12" i="73" s="1"/>
  <c r="E5" i="73"/>
  <c r="C5" i="73"/>
  <c r="D5" i="73"/>
  <c r="L6" i="73"/>
  <c r="O6" i="73"/>
  <c r="N6" i="73"/>
  <c r="M6" i="73"/>
  <c r="J7" i="73"/>
  <c r="I7" i="73"/>
  <c r="H7" i="73"/>
  <c r="G7" i="73"/>
  <c r="D10" i="73"/>
  <c r="E10" i="73"/>
  <c r="C10" i="73"/>
  <c r="I8" i="73"/>
  <c r="J8" i="73"/>
  <c r="H8" i="73"/>
  <c r="G8" i="73"/>
  <c r="N3" i="73"/>
  <c r="L3" i="73"/>
  <c r="M3" i="73"/>
  <c r="O3" i="73"/>
  <c r="G10" i="73"/>
  <c r="I10" i="73"/>
  <c r="H10" i="73"/>
  <c r="J10" i="73"/>
  <c r="D3" i="73"/>
  <c r="C3" i="73"/>
  <c r="E3" i="73"/>
  <c r="E8" i="73"/>
  <c r="D8" i="73"/>
  <c r="C8" i="73"/>
  <c r="C2" i="73"/>
  <c r="E2" i="73"/>
  <c r="D2" i="73"/>
  <c r="H11" i="73"/>
  <c r="I11" i="73"/>
  <c r="G11" i="73"/>
  <c r="J11" i="73"/>
  <c r="O5" i="73"/>
  <c r="L5" i="73"/>
  <c r="N5" i="73"/>
  <c r="M5" i="73"/>
  <c r="H5" i="73"/>
  <c r="G5" i="73"/>
  <c r="J5" i="73"/>
  <c r="I5" i="73"/>
  <c r="M2" i="73"/>
  <c r="L2" i="73"/>
  <c r="O2" i="73"/>
  <c r="N2" i="73"/>
  <c r="E11" i="73"/>
  <c r="D11" i="73"/>
  <c r="C11" i="73"/>
  <c r="I6" i="73"/>
  <c r="H6" i="73"/>
  <c r="G6" i="73"/>
  <c r="J6" i="73"/>
  <c r="E4" i="73"/>
  <c r="D4" i="73"/>
  <c r="C4" i="73"/>
  <c r="O11" i="73"/>
  <c r="M11" i="73"/>
  <c r="L11" i="73"/>
  <c r="N11" i="73"/>
  <c r="C9" i="73"/>
  <c r="E9" i="73"/>
  <c r="D9" i="73"/>
  <c r="J9" i="73"/>
  <c r="I9" i="73"/>
  <c r="H9" i="73"/>
  <c r="G9" i="73"/>
  <c r="G3" i="73"/>
  <c r="I3" i="73"/>
  <c r="J3" i="73"/>
  <c r="H3" i="73"/>
  <c r="N10" i="73"/>
  <c r="M10" i="73"/>
  <c r="L10" i="73"/>
  <c r="O10" i="73"/>
  <c r="M7" i="73"/>
  <c r="L7" i="73"/>
  <c r="N7" i="73"/>
  <c r="O7" i="73"/>
  <c r="O4" i="73"/>
  <c r="N4" i="73"/>
  <c r="M4" i="73"/>
  <c r="L4" i="73"/>
  <c r="L8" i="73"/>
  <c r="N8" i="73"/>
  <c r="M8" i="73"/>
  <c r="O8" i="73"/>
  <c r="E6" i="73"/>
  <c r="D6" i="73"/>
  <c r="C6" i="73"/>
  <c r="M9" i="73"/>
  <c r="N9" i="73"/>
  <c r="L9" i="73"/>
  <c r="O9" i="73"/>
  <c r="J2" i="73"/>
  <c r="H2" i="73"/>
  <c r="I2" i="73"/>
  <c r="G2" i="73"/>
  <c r="C7" i="73"/>
  <c r="E7" i="73"/>
  <c r="D7" i="73"/>
  <c r="H4" i="73"/>
  <c r="J4" i="73"/>
  <c r="G4" i="73"/>
  <c r="I4" i="73"/>
  <c r="Q12" i="71" a="1"/>
  <c r="Q12" i="71" s="1"/>
  <c r="AD12" i="71" a="1"/>
  <c r="AD12" i="71" s="1"/>
  <c r="Y12" i="71" a="1"/>
  <c r="Y12" i="71" s="1"/>
  <c r="AJ12" i="71" a="1"/>
  <c r="AJ12" i="71" s="1"/>
  <c r="AE12" i="71" a="1"/>
  <c r="AE12" i="71" s="1"/>
  <c r="X12" i="71" a="1"/>
  <c r="X12" i="71" s="1"/>
  <c r="V12" i="71" a="1"/>
  <c r="V12" i="71" s="1"/>
  <c r="T12" i="71" a="1"/>
  <c r="T12" i="71" s="1"/>
  <c r="AF12" i="71" a="1"/>
  <c r="AF12" i="71" s="1"/>
  <c r="AB12" i="71" a="1"/>
  <c r="AB12" i="71" s="1"/>
  <c r="AA12" i="71" a="1"/>
  <c r="AA12" i="71" s="1"/>
  <c r="AH12" i="71" a="1"/>
  <c r="AH12" i="71" s="1"/>
  <c r="AG12" i="71" a="1"/>
  <c r="AG12" i="71" s="1"/>
  <c r="U12" i="71" a="1"/>
  <c r="U12" i="71" s="1"/>
  <c r="AI12" i="71" a="1"/>
  <c r="AI12" i="71" s="1"/>
  <c r="R12" i="71" a="1"/>
  <c r="R12" i="71" s="1"/>
  <c r="W12" i="71" a="1"/>
  <c r="W12" i="71" s="1"/>
  <c r="Z12" i="71" a="1"/>
  <c r="Z12" i="71" s="1"/>
  <c r="AC12" i="71" a="1"/>
  <c r="AC12" i="71" s="1"/>
  <c r="S12" i="71" a="1"/>
  <c r="S12" i="71" s="1"/>
  <c r="U8" i="86" l="1" a="1"/>
  <c r="U8" i="86" s="1"/>
  <c r="Z5" i="85" a="1"/>
  <c r="Z5" i="85" s="1"/>
  <c r="AE6" i="85" a="1"/>
  <c r="AE6" i="85" s="1"/>
  <c r="AB8" i="85" a="1"/>
  <c r="AB8" i="85" s="1"/>
  <c r="S2" i="86" a="1"/>
  <c r="S2" i="86" s="1"/>
  <c r="Q2" i="86" a="1"/>
  <c r="Q2" i="86" s="1"/>
  <c r="Y9" i="86" a="1"/>
  <c r="Y9" i="86" s="1"/>
  <c r="T2" i="86" a="1"/>
  <c r="T2" i="86" s="1"/>
  <c r="V2" i="86" a="1"/>
  <c r="V2" i="86" s="1"/>
  <c r="AB2" i="86" a="1"/>
  <c r="AB2" i="86" s="1"/>
  <c r="S2" i="82" a="1"/>
  <c r="S2" i="82" s="1"/>
  <c r="AB9" i="86" a="1"/>
  <c r="AB9" i="86" s="1"/>
  <c r="AG11" i="84" a="1"/>
  <c r="AG11" i="84" s="1"/>
  <c r="Q8" i="85" a="1"/>
  <c r="Q8" i="85" s="1"/>
  <c r="AH10" i="86" a="1"/>
  <c r="AH10" i="86" s="1"/>
  <c r="X9" i="84" a="1"/>
  <c r="X9" i="84" s="1"/>
  <c r="Q9" i="86" a="1"/>
  <c r="Q9" i="86" s="1"/>
  <c r="T9" i="86" a="1"/>
  <c r="T9" i="86" s="1"/>
  <c r="Y2" i="86" a="1"/>
  <c r="Y2" i="86" s="1"/>
  <c r="AE2" i="86" a="1"/>
  <c r="AE2" i="86" s="1"/>
  <c r="T11" i="84" a="1"/>
  <c r="T11" i="84" s="1"/>
  <c r="X10" i="82" a="1"/>
  <c r="X10" i="82" s="1"/>
  <c r="AH3" i="84" a="1"/>
  <c r="AH3" i="84" s="1"/>
  <c r="Q11" i="84" a="1"/>
  <c r="Q11" i="84" s="1"/>
  <c r="R11" i="84" a="1"/>
  <c r="R11" i="84" s="1"/>
  <c r="AE3" i="86" a="1"/>
  <c r="AE3" i="86" s="1"/>
  <c r="AG8" i="85" a="1"/>
  <c r="AG8" i="85" s="1"/>
  <c r="AH2" i="86" a="1"/>
  <c r="AH2" i="86" s="1"/>
  <c r="AJ7" i="84" a="1"/>
  <c r="AJ7" i="84" s="1"/>
  <c r="AJ5" i="86" a="1"/>
  <c r="AJ5" i="86" s="1"/>
  <c r="AG4" i="86" a="1"/>
  <c r="AG4" i="86" s="1"/>
  <c r="AJ9" i="86" a="1"/>
  <c r="AJ9" i="86" s="1"/>
  <c r="Y7" i="85" a="1"/>
  <c r="Y7" i="85" s="1"/>
  <c r="Y5" i="85" a="1"/>
  <c r="Y5" i="85" s="1"/>
  <c r="R2" i="86" a="1"/>
  <c r="R2" i="86" s="1"/>
  <c r="Z2" i="86" a="1"/>
  <c r="Z2" i="86" s="1"/>
  <c r="AH9" i="86" a="1"/>
  <c r="AH9" i="86" s="1"/>
  <c r="AI7" i="85" a="1"/>
  <c r="AI7" i="85" s="1"/>
  <c r="V4" i="86" a="1"/>
  <c r="V4" i="86" s="1"/>
  <c r="AE4" i="85" a="1"/>
  <c r="AE4" i="85" s="1"/>
  <c r="AE7" i="86" a="1"/>
  <c r="AE7" i="86" s="1"/>
  <c r="AF8" i="86" a="1"/>
  <c r="AF8" i="86" s="1"/>
  <c r="AA3" i="84" a="1"/>
  <c r="AA3" i="84" s="1"/>
  <c r="AD6" i="86" a="1"/>
  <c r="AD6" i="86" s="1"/>
  <c r="AJ5" i="85" a="1"/>
  <c r="AJ5" i="85" s="1"/>
  <c r="AE9" i="85" a="1"/>
  <c r="AE9" i="85" s="1"/>
  <c r="AD10" i="84" a="1"/>
  <c r="AD10" i="84" s="1"/>
  <c r="R3" i="86" a="1"/>
  <c r="R3" i="86" s="1"/>
  <c r="AF11" i="85" a="1"/>
  <c r="AF11" i="85" s="1"/>
  <c r="AG3" i="86" a="1"/>
  <c r="AG3" i="86" s="1"/>
  <c r="R6" i="82" a="1"/>
  <c r="R6" i="82" s="1"/>
  <c r="AE2" i="81" a="1"/>
  <c r="AE2" i="81" s="1"/>
  <c r="AC8" i="81" a="1"/>
  <c r="AC8" i="81" s="1"/>
  <c r="AC3" i="83" a="1"/>
  <c r="AC3" i="83" s="1"/>
  <c r="AI11" i="83" a="1"/>
  <c r="AI11" i="83" s="1"/>
  <c r="X8" i="83" a="1"/>
  <c r="X8" i="83" s="1"/>
  <c r="Y9" i="83" a="1"/>
  <c r="Y9" i="83" s="1"/>
  <c r="AF2" i="86" a="1"/>
  <c r="AF2" i="86" s="1"/>
  <c r="AG2" i="86" a="1"/>
  <c r="AG2" i="86" s="1"/>
  <c r="AJ2" i="86" a="1"/>
  <c r="AJ2" i="86" s="1"/>
  <c r="Z10" i="86" a="1"/>
  <c r="Z10" i="86" s="1"/>
  <c r="AD4" i="86" a="1"/>
  <c r="AD4" i="86" s="1"/>
  <c r="AG9" i="86" a="1"/>
  <c r="AG9" i="86" s="1"/>
  <c r="R7" i="86" a="1"/>
  <c r="R7" i="86" s="1"/>
  <c r="AE8" i="86" a="1"/>
  <c r="AE8" i="86" s="1"/>
  <c r="AE11" i="86" a="1"/>
  <c r="AE11" i="86" s="1"/>
  <c r="Q3" i="84" a="1"/>
  <c r="Q3" i="84" s="1"/>
  <c r="R3" i="84" a="1"/>
  <c r="R3" i="84" s="1"/>
  <c r="Z3" i="86" a="1"/>
  <c r="Z3" i="86" s="1"/>
  <c r="Q3" i="86" a="1"/>
  <c r="Q3" i="86" s="1"/>
  <c r="Q11" i="85" a="1"/>
  <c r="Q11" i="85" s="1"/>
  <c r="R11" i="85" a="1"/>
  <c r="R11" i="85" s="1"/>
  <c r="V8" i="84" a="1"/>
  <c r="V8" i="84" s="1"/>
  <c r="W2" i="86" a="1"/>
  <c r="W2" i="86" s="1"/>
  <c r="AF5" i="86" a="1"/>
  <c r="AF5" i="86" s="1"/>
  <c r="AF2" i="84" a="1"/>
  <c r="AF2" i="84" s="1"/>
  <c r="AI4" i="86" a="1"/>
  <c r="AI4" i="86" s="1"/>
  <c r="AF9" i="86" a="1"/>
  <c r="AF9" i="86" s="1"/>
  <c r="AG7" i="86" a="1"/>
  <c r="AG7" i="86" s="1"/>
  <c r="AH8" i="86" a="1"/>
  <c r="AH8" i="86" s="1"/>
  <c r="AI11" i="86" a="1"/>
  <c r="AI11" i="86" s="1"/>
  <c r="Z7" i="85" a="1"/>
  <c r="Z7" i="85" s="1"/>
  <c r="AG3" i="84" a="1"/>
  <c r="AG3" i="84" s="1"/>
  <c r="W6" i="86" a="1"/>
  <c r="W6" i="86" s="1"/>
  <c r="AH3" i="86" a="1"/>
  <c r="AH3" i="86" s="1"/>
  <c r="Y3" i="86" a="1"/>
  <c r="Y3" i="86" s="1"/>
  <c r="Y11" i="85" a="1"/>
  <c r="Y11" i="85" s="1"/>
  <c r="U8" i="84" a="1"/>
  <c r="U8" i="84" s="1"/>
  <c r="AE10" i="86" a="1"/>
  <c r="AE10" i="86" s="1"/>
  <c r="W10" i="86" a="1"/>
  <c r="W10" i="86" s="1"/>
  <c r="AF10" i="86" a="1"/>
  <c r="AF10" i="86" s="1"/>
  <c r="X10" i="86" a="1"/>
  <c r="X10" i="86" s="1"/>
  <c r="T10" i="86" a="1"/>
  <c r="T10" i="86" s="1"/>
  <c r="AG10" i="86" a="1"/>
  <c r="AG10" i="86" s="1"/>
  <c r="Q10" i="86" a="1"/>
  <c r="Q10" i="86" s="1"/>
  <c r="AC10" i="86" a="1"/>
  <c r="AC10" i="86" s="1"/>
  <c r="U10" i="86" a="1"/>
  <c r="U10" i="86" s="1"/>
  <c r="AD10" i="86" a="1"/>
  <c r="AD10" i="86" s="1"/>
  <c r="V10" i="86" a="1"/>
  <c r="V10" i="86" s="1"/>
  <c r="R10" i="86" a="1"/>
  <c r="R10" i="86" s="1"/>
  <c r="Y10" i="86" a="1"/>
  <c r="Y10" i="86" s="1"/>
  <c r="AI10" i="86" a="1"/>
  <c r="AI10" i="86" s="1"/>
  <c r="AA10" i="86" a="1"/>
  <c r="AA10" i="86" s="1"/>
  <c r="S10" i="86" a="1"/>
  <c r="S10" i="86" s="1"/>
  <c r="AJ10" i="86" a="1"/>
  <c r="AJ10" i="86" s="1"/>
  <c r="AB10" i="86" a="1"/>
  <c r="AB10" i="86" s="1"/>
  <c r="AC5" i="86" a="1"/>
  <c r="AC5" i="86" s="1"/>
  <c r="AD5" i="86" a="1"/>
  <c r="AD5" i="86" s="1"/>
  <c r="U4" i="86" a="1"/>
  <c r="U4" i="86" s="1"/>
  <c r="T8" i="86" a="1"/>
  <c r="T8" i="86" s="1"/>
  <c r="V11" i="86" a="1"/>
  <c r="V11" i="86" s="1"/>
  <c r="AC11" i="86" a="1"/>
  <c r="AC11" i="86" s="1"/>
  <c r="AE6" i="86" a="1"/>
  <c r="AE6" i="86" s="1"/>
  <c r="X6" i="86" a="1"/>
  <c r="X6" i="86" s="1"/>
  <c r="AI8" i="85" a="1"/>
  <c r="AI8" i="85" s="1"/>
  <c r="AJ8" i="85" a="1"/>
  <c r="AJ8" i="85" s="1"/>
  <c r="U2" i="86" a="1"/>
  <c r="U2" i="86" s="1"/>
  <c r="AA2" i="86" a="1"/>
  <c r="AA2" i="86" s="1"/>
  <c r="AI2" i="86" a="1"/>
  <c r="AI2" i="86" s="1"/>
  <c r="AD2" i="86" a="1"/>
  <c r="AD2" i="86" s="1"/>
  <c r="W5" i="86" a="1"/>
  <c r="W5" i="86" s="1"/>
  <c r="AE5" i="86" a="1"/>
  <c r="AE5" i="86" s="1"/>
  <c r="X5" i="86" a="1"/>
  <c r="X5" i="86" s="1"/>
  <c r="X4" i="86" a="1"/>
  <c r="X4" i="86" s="1"/>
  <c r="AF4" i="86" a="1"/>
  <c r="AF4" i="86" s="1"/>
  <c r="W4" i="86" a="1"/>
  <c r="W4" i="86" s="1"/>
  <c r="AE4" i="86" a="1"/>
  <c r="AE4" i="86" s="1"/>
  <c r="AA4" i="85" a="1"/>
  <c r="AA4" i="85" s="1"/>
  <c r="AF4" i="85" a="1"/>
  <c r="AF4" i="85" s="1"/>
  <c r="AB4" i="85" a="1"/>
  <c r="AB4" i="85" s="1"/>
  <c r="S9" i="86" a="1"/>
  <c r="S9" i="86" s="1"/>
  <c r="AA9" i="86" a="1"/>
  <c r="AA9" i="86" s="1"/>
  <c r="AI9" i="86" a="1"/>
  <c r="AI9" i="86" s="1"/>
  <c r="V9" i="86" a="1"/>
  <c r="V9" i="86" s="1"/>
  <c r="AD9" i="86" a="1"/>
  <c r="AD9" i="86" s="1"/>
  <c r="T7" i="86" a="1"/>
  <c r="T7" i="86" s="1"/>
  <c r="Z7" i="86" a="1"/>
  <c r="Z7" i="86" s="1"/>
  <c r="AJ7" i="86" a="1"/>
  <c r="AJ7" i="86" s="1"/>
  <c r="AA7" i="86" a="1"/>
  <c r="AA7" i="86" s="1"/>
  <c r="AI7" i="86" a="1"/>
  <c r="AI7" i="86" s="1"/>
  <c r="S8" i="86" a="1"/>
  <c r="S8" i="86" s="1"/>
  <c r="AC8" i="86" a="1"/>
  <c r="AC8" i="86" s="1"/>
  <c r="Q8" i="86" a="1"/>
  <c r="Q8" i="86" s="1"/>
  <c r="V8" i="86" a="1"/>
  <c r="V8" i="86" s="1"/>
  <c r="AD8" i="86" a="1"/>
  <c r="AD8" i="86" s="1"/>
  <c r="X11" i="86" a="1"/>
  <c r="X11" i="86" s="1"/>
  <c r="AF11" i="86" a="1"/>
  <c r="AF11" i="86" s="1"/>
  <c r="W11" i="86" a="1"/>
  <c r="W11" i="86" s="1"/>
  <c r="AE7" i="85" a="1"/>
  <c r="AE7" i="85" s="1"/>
  <c r="AB7" i="85" a="1"/>
  <c r="AB7" i="85" s="1"/>
  <c r="AA7" i="85" a="1"/>
  <c r="AA7" i="85" s="1"/>
  <c r="Q6" i="86" a="1"/>
  <c r="Q6" i="86" s="1"/>
  <c r="Y6" i="86" a="1"/>
  <c r="Y6" i="86" s="1"/>
  <c r="AG6" i="86" a="1"/>
  <c r="AG6" i="86" s="1"/>
  <c r="R6" i="86" a="1"/>
  <c r="R6" i="86" s="1"/>
  <c r="Z6" i="86" a="1"/>
  <c r="Z6" i="86" s="1"/>
  <c r="AH6" i="86" a="1"/>
  <c r="AH6" i="86" s="1"/>
  <c r="AE5" i="85" a="1"/>
  <c r="AE5" i="85" s="1"/>
  <c r="AA5" i="85" a="1"/>
  <c r="AA5" i="85" s="1"/>
  <c r="AF5" i="85" a="1"/>
  <c r="AF5" i="85" s="1"/>
  <c r="AB5" i="85" a="1"/>
  <c r="AB5" i="85" s="1"/>
  <c r="R9" i="85" a="1"/>
  <c r="R9" i="85" s="1"/>
  <c r="T3" i="86" a="1"/>
  <c r="T3" i="86" s="1"/>
  <c r="AB3" i="86" a="1"/>
  <c r="AB3" i="86" s="1"/>
  <c r="AJ3" i="86" a="1"/>
  <c r="AJ3" i="86" s="1"/>
  <c r="S3" i="86" a="1"/>
  <c r="S3" i="86" s="1"/>
  <c r="AA3" i="86" a="1"/>
  <c r="AA3" i="86" s="1"/>
  <c r="AI3" i="86" a="1"/>
  <c r="AI3" i="86" s="1"/>
  <c r="AG11" i="85" a="1"/>
  <c r="AG11" i="85" s="1"/>
  <c r="Z11" i="85" a="1"/>
  <c r="Z11" i="85" s="1"/>
  <c r="R6" i="85" a="1"/>
  <c r="R6" i="85" s="1"/>
  <c r="U5" i="86" a="1"/>
  <c r="U5" i="86" s="1"/>
  <c r="V5" i="86" a="1"/>
  <c r="V5" i="86" s="1"/>
  <c r="Z4" i="85" a="1"/>
  <c r="Z4" i="85" s="1"/>
  <c r="AJ8" i="86" a="1"/>
  <c r="AJ8" i="86" s="1"/>
  <c r="AD11" i="86" a="1"/>
  <c r="AD11" i="86" s="1"/>
  <c r="U11" i="86" a="1"/>
  <c r="U11" i="86" s="1"/>
  <c r="AF6" i="86" a="1"/>
  <c r="AF6" i="86" s="1"/>
  <c r="AG9" i="85" a="1"/>
  <c r="AG9" i="85" s="1"/>
  <c r="AG6" i="85" a="1"/>
  <c r="AG6" i="85" s="1"/>
  <c r="V8" i="85" a="1"/>
  <c r="V8" i="85" s="1"/>
  <c r="AC2" i="86" a="1"/>
  <c r="AC2" i="86" s="1"/>
  <c r="X2" i="86" a="1"/>
  <c r="X2" i="86" s="1"/>
  <c r="Q5" i="86" a="1"/>
  <c r="Q5" i="86" s="1"/>
  <c r="Y5" i="86" a="1"/>
  <c r="Y5" i="86" s="1"/>
  <c r="AG5" i="86" a="1"/>
  <c r="AG5" i="86" s="1"/>
  <c r="R5" i="86" a="1"/>
  <c r="R5" i="86" s="1"/>
  <c r="Z5" i="86" a="1"/>
  <c r="Z5" i="86" s="1"/>
  <c r="AH5" i="86" a="1"/>
  <c r="AH5" i="86" s="1"/>
  <c r="AE10" i="85" a="1"/>
  <c r="AE10" i="85" s="1"/>
  <c r="R4" i="86" a="1"/>
  <c r="R4" i="86" s="1"/>
  <c r="Z4" i="86" a="1"/>
  <c r="Z4" i="86" s="1"/>
  <c r="AH4" i="86" a="1"/>
  <c r="AH4" i="86" s="1"/>
  <c r="Q4" i="86" a="1"/>
  <c r="Q4" i="86" s="1"/>
  <c r="Y4" i="86" a="1"/>
  <c r="Y4" i="86" s="1"/>
  <c r="Q4" i="85" a="1"/>
  <c r="Q4" i="85" s="1"/>
  <c r="AG4" i="85" a="1"/>
  <c r="AG4" i="85" s="1"/>
  <c r="R4" i="85" a="1"/>
  <c r="R4" i="85" s="1"/>
  <c r="AH4" i="85" a="1"/>
  <c r="AH4" i="85" s="1"/>
  <c r="AC9" i="84" a="1"/>
  <c r="AC9" i="84" s="1"/>
  <c r="U9" i="86" a="1"/>
  <c r="U9" i="86" s="1"/>
  <c r="AC9" i="86" a="1"/>
  <c r="AC9" i="86" s="1"/>
  <c r="X9" i="86" a="1"/>
  <c r="X9" i="86" s="1"/>
  <c r="X7" i="86" a="1"/>
  <c r="X7" i="86" s="1"/>
  <c r="Q7" i="86" a="1"/>
  <c r="Q7" i="86" s="1"/>
  <c r="AD7" i="86" a="1"/>
  <c r="AD7" i="86" s="1"/>
  <c r="U7" i="86" a="1"/>
  <c r="U7" i="86" s="1"/>
  <c r="AC7" i="86" a="1"/>
  <c r="AC7" i="86" s="1"/>
  <c r="AA8" i="86" a="1"/>
  <c r="AA8" i="86" s="1"/>
  <c r="Y8" i="86" a="1"/>
  <c r="Y8" i="86" s="1"/>
  <c r="X8" i="86" a="1"/>
  <c r="X8" i="86" s="1"/>
  <c r="R11" i="86" a="1"/>
  <c r="R11" i="86" s="1"/>
  <c r="Z11" i="86" a="1"/>
  <c r="Z11" i="86" s="1"/>
  <c r="AH11" i="86" a="1"/>
  <c r="AH11" i="86" s="1"/>
  <c r="Q11" i="86" a="1"/>
  <c r="Q11" i="86" s="1"/>
  <c r="Y11" i="86" a="1"/>
  <c r="Y11" i="86" s="1"/>
  <c r="AG11" i="86" a="1"/>
  <c r="AG11" i="86" s="1"/>
  <c r="R7" i="85" a="1"/>
  <c r="R7" i="85" s="1"/>
  <c r="AH7" i="85" a="1"/>
  <c r="AH7" i="85" s="1"/>
  <c r="Q7" i="85" a="1"/>
  <c r="Q7" i="85" s="1"/>
  <c r="AG7" i="85" a="1"/>
  <c r="AG7" i="85" s="1"/>
  <c r="Z3" i="84" a="1"/>
  <c r="Z3" i="84" s="1"/>
  <c r="S6" i="86" a="1"/>
  <c r="S6" i="86" s="1"/>
  <c r="AA6" i="86" a="1"/>
  <c r="AA6" i="86" s="1"/>
  <c r="AI6" i="86" a="1"/>
  <c r="AI6" i="86" s="1"/>
  <c r="T6" i="86" a="1"/>
  <c r="T6" i="86" s="1"/>
  <c r="AB6" i="86" a="1"/>
  <c r="AB6" i="86" s="1"/>
  <c r="AJ6" i="86" a="1"/>
  <c r="AJ6" i="86" s="1"/>
  <c r="Q5" i="85" a="1"/>
  <c r="Q5" i="85" s="1"/>
  <c r="AG5" i="85" a="1"/>
  <c r="AG5" i="85" s="1"/>
  <c r="R5" i="85" a="1"/>
  <c r="R5" i="85" s="1"/>
  <c r="AH5" i="85" a="1"/>
  <c r="AH5" i="85" s="1"/>
  <c r="AH11" i="84" a="1"/>
  <c r="AH11" i="84" s="1"/>
  <c r="Z9" i="85" a="1"/>
  <c r="Z9" i="85" s="1"/>
  <c r="Q9" i="85" a="1"/>
  <c r="Q9" i="85" s="1"/>
  <c r="V10" i="84" a="1"/>
  <c r="V10" i="84" s="1"/>
  <c r="V3" i="86" a="1"/>
  <c r="V3" i="86" s="1"/>
  <c r="AD3" i="86" a="1"/>
  <c r="AD3" i="86" s="1"/>
  <c r="U3" i="86" a="1"/>
  <c r="U3" i="86" s="1"/>
  <c r="AC3" i="86" a="1"/>
  <c r="AC3" i="86" s="1"/>
  <c r="AE11" i="85" a="1"/>
  <c r="AE11" i="85" s="1"/>
  <c r="AH11" i="85" a="1"/>
  <c r="AH11" i="85" s="1"/>
  <c r="Z6" i="85" a="1"/>
  <c r="Z6" i="85" s="1"/>
  <c r="Q6" i="85" a="1"/>
  <c r="Q6" i="85" s="1"/>
  <c r="Y4" i="84" a="1"/>
  <c r="Y4" i="84" s="1"/>
  <c r="AC4" i="86" a="1"/>
  <c r="AC4" i="86" s="1"/>
  <c r="Y4" i="85" a="1"/>
  <c r="Y4" i="85" s="1"/>
  <c r="V7" i="86" a="1"/>
  <c r="V7" i="86" s="1"/>
  <c r="AH7" i="86" a="1"/>
  <c r="AH7" i="86" s="1"/>
  <c r="Y7" i="86" a="1"/>
  <c r="Y7" i="86" s="1"/>
  <c r="AB8" i="86" a="1"/>
  <c r="AB8" i="86" s="1"/>
  <c r="AA8" i="85" a="1"/>
  <c r="AA8" i="85" s="1"/>
  <c r="AC8" i="84" a="1"/>
  <c r="AC8" i="84" s="1"/>
  <c r="S5" i="86" a="1"/>
  <c r="S5" i="86" s="1"/>
  <c r="AA5" i="86" a="1"/>
  <c r="AA5" i="86" s="1"/>
  <c r="AI5" i="86" a="1"/>
  <c r="AI5" i="86" s="1"/>
  <c r="T5" i="86" a="1"/>
  <c r="T5" i="86" s="1"/>
  <c r="AB5" i="86" a="1"/>
  <c r="AB5" i="86" s="1"/>
  <c r="AC2" i="84" a="1"/>
  <c r="AC2" i="84" s="1"/>
  <c r="T4" i="86" a="1"/>
  <c r="T4" i="86" s="1"/>
  <c r="AB4" i="86" a="1"/>
  <c r="AB4" i="86" s="1"/>
  <c r="AJ4" i="86" a="1"/>
  <c r="AJ4" i="86" s="1"/>
  <c r="S4" i="86" a="1"/>
  <c r="S4" i="86" s="1"/>
  <c r="AA4" i="86" a="1"/>
  <c r="AA4" i="86" s="1"/>
  <c r="S4" i="85" a="1"/>
  <c r="S4" i="85" s="1"/>
  <c r="AI4" i="85" a="1"/>
  <c r="AI4" i="85" s="1"/>
  <c r="T4" i="85" a="1"/>
  <c r="T4" i="85" s="1"/>
  <c r="AJ4" i="85" a="1"/>
  <c r="AJ4" i="85" s="1"/>
  <c r="AI2" i="85" a="1"/>
  <c r="AI2" i="85" s="1"/>
  <c r="W9" i="86" a="1"/>
  <c r="W9" i="86" s="1"/>
  <c r="AE9" i="86" a="1"/>
  <c r="AE9" i="86" s="1"/>
  <c r="R9" i="86" a="1"/>
  <c r="R9" i="86" s="1"/>
  <c r="Z9" i="86" a="1"/>
  <c r="Z9" i="86" s="1"/>
  <c r="AC5" i="84" a="1"/>
  <c r="AC5" i="84" s="1"/>
  <c r="AB7" i="86" a="1"/>
  <c r="AB7" i="86" s="1"/>
  <c r="S7" i="86" a="1"/>
  <c r="S7" i="86" s="1"/>
  <c r="AF7" i="86" a="1"/>
  <c r="AF7" i="86" s="1"/>
  <c r="W7" i="86" a="1"/>
  <c r="W7" i="86" s="1"/>
  <c r="AI8" i="86" a="1"/>
  <c r="AI8" i="86" s="1"/>
  <c r="W8" i="86" a="1"/>
  <c r="W8" i="86" s="1"/>
  <c r="AG8" i="86" a="1"/>
  <c r="AG8" i="86" s="1"/>
  <c r="R8" i="86" a="1"/>
  <c r="R8" i="86" s="1"/>
  <c r="Z8" i="86" a="1"/>
  <c r="Z8" i="86" s="1"/>
  <c r="T11" i="86" a="1"/>
  <c r="T11" i="86" s="1"/>
  <c r="AB11" i="86" a="1"/>
  <c r="AB11" i="86" s="1"/>
  <c r="AJ11" i="86" a="1"/>
  <c r="AJ11" i="86" s="1"/>
  <c r="S11" i="86" a="1"/>
  <c r="S11" i="86" s="1"/>
  <c r="AA11" i="86" a="1"/>
  <c r="AA11" i="86" s="1"/>
  <c r="T7" i="85" a="1"/>
  <c r="T7" i="85" s="1"/>
  <c r="AJ7" i="85" a="1"/>
  <c r="AJ7" i="85" s="1"/>
  <c r="S7" i="85" a="1"/>
  <c r="S7" i="85" s="1"/>
  <c r="U6" i="86" a="1"/>
  <c r="U6" i="86" s="1"/>
  <c r="AC6" i="86" a="1"/>
  <c r="AC6" i="86" s="1"/>
  <c r="V6" i="86" a="1"/>
  <c r="V6" i="86" s="1"/>
  <c r="S5" i="85" a="1"/>
  <c r="S5" i="85" s="1"/>
  <c r="AI5" i="85" a="1"/>
  <c r="AI5" i="85" s="1"/>
  <c r="T5" i="85" a="1"/>
  <c r="T5" i="85" s="1"/>
  <c r="AC3" i="85" a="1"/>
  <c r="AC3" i="85" s="1"/>
  <c r="AH9" i="85" a="1"/>
  <c r="AH9" i="85" s="1"/>
  <c r="Y9" i="85" a="1"/>
  <c r="Y9" i="85" s="1"/>
  <c r="X3" i="86" a="1"/>
  <c r="X3" i="86" s="1"/>
  <c r="AF3" i="86" a="1"/>
  <c r="AF3" i="86" s="1"/>
  <c r="W3" i="86" a="1"/>
  <c r="W3" i="86" s="1"/>
  <c r="AH6" i="85" a="1"/>
  <c r="AH6" i="85" s="1"/>
  <c r="Y6" i="85" a="1"/>
  <c r="Y6" i="85" s="1"/>
  <c r="AH10" i="85" a="1"/>
  <c r="AH10" i="85" s="1"/>
  <c r="AG10" i="85" a="1"/>
  <c r="AG10" i="85" s="1"/>
  <c r="X2" i="85" a="1"/>
  <c r="X2" i="85" s="1"/>
  <c r="AF3" i="85" a="1"/>
  <c r="AF3" i="85" s="1"/>
  <c r="W3" i="85" a="1"/>
  <c r="W3" i="85" s="1"/>
  <c r="AH4" i="83" a="1"/>
  <c r="AH4" i="83" s="1"/>
  <c r="T8" i="85" a="1"/>
  <c r="T8" i="85" s="1"/>
  <c r="AE8" i="85" a="1"/>
  <c r="AE8" i="85" s="1"/>
  <c r="AF8" i="85" a="1"/>
  <c r="AF8" i="85" s="1"/>
  <c r="Y8" i="85" a="1"/>
  <c r="Y8" i="85" s="1"/>
  <c r="AH8" i="85" a="1"/>
  <c r="AH8" i="85" s="1"/>
  <c r="AE8" i="84" a="1"/>
  <c r="AE8" i="84" s="1"/>
  <c r="V7" i="84" a="1"/>
  <c r="V7" i="84" s="1"/>
  <c r="T2" i="84" a="1"/>
  <c r="T2" i="84" s="1"/>
  <c r="T10" i="85" a="1"/>
  <c r="T10" i="85" s="1"/>
  <c r="AB10" i="85" a="1"/>
  <c r="AB10" i="85" s="1"/>
  <c r="AJ10" i="85" a="1"/>
  <c r="AJ10" i="85" s="1"/>
  <c r="S10" i="85" a="1"/>
  <c r="S10" i="85" s="1"/>
  <c r="AA10" i="85" a="1"/>
  <c r="AA10" i="85" s="1"/>
  <c r="AI10" i="85" a="1"/>
  <c r="AI10" i="85" s="1"/>
  <c r="U4" i="85" a="1"/>
  <c r="U4" i="85" s="1"/>
  <c r="AC4" i="85" a="1"/>
  <c r="AC4" i="85" s="1"/>
  <c r="V4" i="85" a="1"/>
  <c r="V4" i="85" s="1"/>
  <c r="AD4" i="85" a="1"/>
  <c r="AD4" i="85" s="1"/>
  <c r="R2" i="85" a="1"/>
  <c r="R2" i="85" s="1"/>
  <c r="Z2" i="85" a="1"/>
  <c r="Z2" i="85" s="1"/>
  <c r="AH2" i="85" a="1"/>
  <c r="AH2" i="85" s="1"/>
  <c r="W2" i="85" a="1"/>
  <c r="W2" i="85" s="1"/>
  <c r="AE2" i="85" a="1"/>
  <c r="AE2" i="85" s="1"/>
  <c r="V7" i="85" a="1"/>
  <c r="V7" i="85" s="1"/>
  <c r="AD7" i="85" a="1"/>
  <c r="AD7" i="85" s="1"/>
  <c r="U7" i="85" a="1"/>
  <c r="U7" i="85" s="1"/>
  <c r="AC7" i="85" a="1"/>
  <c r="AC7" i="85" s="1"/>
  <c r="S3" i="84" a="1"/>
  <c r="S3" i="84" s="1"/>
  <c r="AI3" i="84" a="1"/>
  <c r="AI3" i="84" s="1"/>
  <c r="T3" i="84" a="1"/>
  <c r="T3" i="84" s="1"/>
  <c r="AJ3" i="84" a="1"/>
  <c r="AJ3" i="84" s="1"/>
  <c r="U5" i="85" a="1"/>
  <c r="U5" i="85" s="1"/>
  <c r="AC5" i="85" a="1"/>
  <c r="AC5" i="85" s="1"/>
  <c r="V5" i="85" a="1"/>
  <c r="V5" i="85" s="1"/>
  <c r="AD5" i="85" a="1"/>
  <c r="AD5" i="85" s="1"/>
  <c r="R3" i="85" a="1"/>
  <c r="R3" i="85" s="1"/>
  <c r="Z3" i="85" a="1"/>
  <c r="Z3" i="85" s="1"/>
  <c r="AH3" i="85" a="1"/>
  <c r="AH3" i="85" s="1"/>
  <c r="Q3" i="85" a="1"/>
  <c r="Q3" i="85" s="1"/>
  <c r="Y3" i="85" a="1"/>
  <c r="Y3" i="85" s="1"/>
  <c r="AG3" i="85" a="1"/>
  <c r="AG3" i="85" s="1"/>
  <c r="S11" i="84" a="1"/>
  <c r="S11" i="84" s="1"/>
  <c r="AI11" i="84" a="1"/>
  <c r="AI11" i="84" s="1"/>
  <c r="Z11" i="84" a="1"/>
  <c r="Z11" i="84" s="1"/>
  <c r="T9" i="85" a="1"/>
  <c r="T9" i="85" s="1"/>
  <c r="AB9" i="85" a="1"/>
  <c r="AB9" i="85" s="1"/>
  <c r="AJ9" i="85" a="1"/>
  <c r="AJ9" i="85" s="1"/>
  <c r="S9" i="85" a="1"/>
  <c r="S9" i="85" s="1"/>
  <c r="AA9" i="85" a="1"/>
  <c r="AA9" i="85" s="1"/>
  <c r="AI9" i="85" a="1"/>
  <c r="AI9" i="85" s="1"/>
  <c r="U10" i="84" a="1"/>
  <c r="U10" i="84" s="1"/>
  <c r="S11" i="85" a="1"/>
  <c r="S11" i="85" s="1"/>
  <c r="AA11" i="85" a="1"/>
  <c r="AA11" i="85" s="1"/>
  <c r="AI11" i="85" a="1"/>
  <c r="AI11" i="85" s="1"/>
  <c r="T11" i="85" a="1"/>
  <c r="T11" i="85" s="1"/>
  <c r="AB11" i="85" a="1"/>
  <c r="AB11" i="85" s="1"/>
  <c r="AJ11" i="85" a="1"/>
  <c r="AJ11" i="85" s="1"/>
  <c r="T6" i="85" a="1"/>
  <c r="T6" i="85" s="1"/>
  <c r="AB6" i="85" a="1"/>
  <c r="AB6" i="85" s="1"/>
  <c r="AJ6" i="85" a="1"/>
  <c r="AJ6" i="85" s="1"/>
  <c r="S6" i="85" a="1"/>
  <c r="S6" i="85" s="1"/>
  <c r="AA6" i="85" a="1"/>
  <c r="AA6" i="85" s="1"/>
  <c r="AI6" i="85" a="1"/>
  <c r="AI6" i="85" s="1"/>
  <c r="AF4" i="84" a="1"/>
  <c r="AF4" i="84" s="1"/>
  <c r="Z10" i="85" a="1"/>
  <c r="Z10" i="85" s="1"/>
  <c r="Y10" i="85" a="1"/>
  <c r="Y10" i="85" s="1"/>
  <c r="AF2" i="85" a="1"/>
  <c r="AF2" i="85" s="1"/>
  <c r="U2" i="85" a="1"/>
  <c r="U2" i="85" s="1"/>
  <c r="AC2" i="85" a="1"/>
  <c r="AC2" i="85" s="1"/>
  <c r="X3" i="85" a="1"/>
  <c r="X3" i="85" s="1"/>
  <c r="AE3" i="85" a="1"/>
  <c r="AE3" i="85" s="1"/>
  <c r="T2" i="83" a="1"/>
  <c r="T2" i="83" s="1"/>
  <c r="Z8" i="85" a="1"/>
  <c r="Z8" i="85" s="1"/>
  <c r="R8" i="85" a="1"/>
  <c r="R8" i="85" s="1"/>
  <c r="U8" i="85" a="1"/>
  <c r="U8" i="85" s="1"/>
  <c r="AC8" i="85" a="1"/>
  <c r="AC8" i="85" s="1"/>
  <c r="AD8" i="84" a="1"/>
  <c r="AD8" i="84" s="1"/>
  <c r="W2" i="84" a="1"/>
  <c r="W2" i="84" s="1"/>
  <c r="AI2" i="84" a="1"/>
  <c r="AI2" i="84" s="1"/>
  <c r="S2" i="84" a="1"/>
  <c r="S2" i="84" s="1"/>
  <c r="V10" i="85" a="1"/>
  <c r="V10" i="85" s="1"/>
  <c r="AD10" i="85" a="1"/>
  <c r="AD10" i="85" s="1"/>
  <c r="U10" i="85" a="1"/>
  <c r="U10" i="85" s="1"/>
  <c r="AC10" i="85" a="1"/>
  <c r="AC10" i="85" s="1"/>
  <c r="W4" i="85" a="1"/>
  <c r="W4" i="85" s="1"/>
  <c r="X4" i="85" a="1"/>
  <c r="X4" i="85" s="1"/>
  <c r="T2" i="85" a="1"/>
  <c r="T2" i="85" s="1"/>
  <c r="AB2" i="85" a="1"/>
  <c r="AB2" i="85" s="1"/>
  <c r="AJ2" i="85" a="1"/>
  <c r="AJ2" i="85" s="1"/>
  <c r="Y2" i="85" a="1"/>
  <c r="Y2" i="85" s="1"/>
  <c r="AG2" i="85" a="1"/>
  <c r="AG2" i="85" s="1"/>
  <c r="X7" i="85" a="1"/>
  <c r="X7" i="85" s="1"/>
  <c r="AF7" i="85" a="1"/>
  <c r="AF7" i="85" s="1"/>
  <c r="W7" i="85" a="1"/>
  <c r="W7" i="85" s="1"/>
  <c r="AE3" i="84" a="1"/>
  <c r="AE3" i="84" s="1"/>
  <c r="Y3" i="84" a="1"/>
  <c r="Y3" i="84" s="1"/>
  <c r="W5" i="85" a="1"/>
  <c r="W5" i="85" s="1"/>
  <c r="X5" i="85" a="1"/>
  <c r="X5" i="85" s="1"/>
  <c r="T3" i="85" a="1"/>
  <c r="T3" i="85" s="1"/>
  <c r="AB3" i="85" a="1"/>
  <c r="AB3" i="85" s="1"/>
  <c r="AJ3" i="85" a="1"/>
  <c r="AJ3" i="85" s="1"/>
  <c r="S3" i="85" a="1"/>
  <c r="S3" i="85" s="1"/>
  <c r="AA3" i="85" a="1"/>
  <c r="AA3" i="85" s="1"/>
  <c r="AI3" i="85" a="1"/>
  <c r="AI3" i="85" s="1"/>
  <c r="AE11" i="84" a="1"/>
  <c r="AE11" i="84" s="1"/>
  <c r="Y11" i="84" a="1"/>
  <c r="Y11" i="84" s="1"/>
  <c r="V9" i="85" a="1"/>
  <c r="V9" i="85" s="1"/>
  <c r="AD9" i="85" a="1"/>
  <c r="AD9" i="85" s="1"/>
  <c r="U9" i="85" a="1"/>
  <c r="U9" i="85" s="1"/>
  <c r="AC9" i="85" a="1"/>
  <c r="AC9" i="85" s="1"/>
  <c r="AI10" i="84" a="1"/>
  <c r="AI10" i="84" s="1"/>
  <c r="U11" i="85" a="1"/>
  <c r="U11" i="85" s="1"/>
  <c r="AC11" i="85" a="1"/>
  <c r="AC11" i="85" s="1"/>
  <c r="V11" i="85" a="1"/>
  <c r="V11" i="85" s="1"/>
  <c r="AD11" i="85" a="1"/>
  <c r="AD11" i="85" s="1"/>
  <c r="V6" i="85" a="1"/>
  <c r="V6" i="85" s="1"/>
  <c r="AD6" i="85" a="1"/>
  <c r="AD6" i="85" s="1"/>
  <c r="U6" i="85" a="1"/>
  <c r="U6" i="85" s="1"/>
  <c r="AC6" i="85" a="1"/>
  <c r="AC6" i="85" s="1"/>
  <c r="AE4" i="84" a="1"/>
  <c r="AE4" i="84" s="1"/>
  <c r="Q10" i="85" a="1"/>
  <c r="Q10" i="85" s="1"/>
  <c r="AD8" i="85" a="1"/>
  <c r="AD8" i="85" s="1"/>
  <c r="W8" i="85" a="1"/>
  <c r="W8" i="85" s="1"/>
  <c r="X8" i="85" a="1"/>
  <c r="X8" i="85" s="1"/>
  <c r="S8" i="85" a="1"/>
  <c r="S8" i="85" s="1"/>
  <c r="AJ8" i="84" a="1"/>
  <c r="AJ8" i="84" s="1"/>
  <c r="AD2" i="84" a="1"/>
  <c r="AD2" i="84" s="1"/>
  <c r="R2" i="84" a="1"/>
  <c r="R2" i="84" s="1"/>
  <c r="AG2" i="84" a="1"/>
  <c r="AG2" i="84" s="1"/>
  <c r="R10" i="85" a="1"/>
  <c r="R10" i="85" s="1"/>
  <c r="X10" i="85" a="1"/>
  <c r="X10" i="85" s="1"/>
  <c r="AF10" i="85" a="1"/>
  <c r="AF10" i="85" s="1"/>
  <c r="W10" i="85" a="1"/>
  <c r="W10" i="85" s="1"/>
  <c r="AC6" i="84" a="1"/>
  <c r="AC6" i="84" s="1"/>
  <c r="Q2" i="85" a="1"/>
  <c r="Q2" i="85" s="1"/>
  <c r="V2" i="85" a="1"/>
  <c r="V2" i="85" s="1"/>
  <c r="AD2" i="85" a="1"/>
  <c r="AD2" i="85" s="1"/>
  <c r="S2" i="85" a="1"/>
  <c r="S2" i="85" s="1"/>
  <c r="AA2" i="85" a="1"/>
  <c r="AA2" i="85" s="1"/>
  <c r="AF3" i="84" a="1"/>
  <c r="AF3" i="84" s="1"/>
  <c r="AB3" i="84" a="1"/>
  <c r="AB3" i="84" s="1"/>
  <c r="V3" i="85" a="1"/>
  <c r="V3" i="85" s="1"/>
  <c r="AD3" i="85" a="1"/>
  <c r="AD3" i="85" s="1"/>
  <c r="U3" i="85" a="1"/>
  <c r="U3" i="85" s="1"/>
  <c r="AA11" i="84" a="1"/>
  <c r="AA11" i="84" s="1"/>
  <c r="AF11" i="84" a="1"/>
  <c r="AF11" i="84" s="1"/>
  <c r="X9" i="85" a="1"/>
  <c r="X9" i="85" s="1"/>
  <c r="AF9" i="85" a="1"/>
  <c r="AF9" i="85" s="1"/>
  <c r="W9" i="85" a="1"/>
  <c r="W9" i="85" s="1"/>
  <c r="W11" i="85" a="1"/>
  <c r="W11" i="85" s="1"/>
  <c r="X11" i="85" a="1"/>
  <c r="X11" i="85" s="1"/>
  <c r="X6" i="85" a="1"/>
  <c r="X6" i="85" s="1"/>
  <c r="AF6" i="85" a="1"/>
  <c r="AF6" i="85" s="1"/>
  <c r="W6" i="85" a="1"/>
  <c r="W6" i="85" s="1"/>
  <c r="AC7" i="84" a="1"/>
  <c r="AC7" i="84" s="1"/>
  <c r="AD7" i="84" a="1"/>
  <c r="AD7" i="84" s="1"/>
  <c r="W6" i="84" a="1"/>
  <c r="W6" i="84" s="1"/>
  <c r="W5" i="84" a="1"/>
  <c r="W5" i="84" s="1"/>
  <c r="AC10" i="84" a="1"/>
  <c r="AC10" i="84" s="1"/>
  <c r="R4" i="84" a="1"/>
  <c r="R4" i="84" s="1"/>
  <c r="Y4" i="82" a="1"/>
  <c r="Y4" i="82" s="1"/>
  <c r="AG5" i="82" a="1"/>
  <c r="AG5" i="82" s="1"/>
  <c r="AG6" i="83" a="1"/>
  <c r="AG6" i="83" s="1"/>
  <c r="AH6" i="82" a="1"/>
  <c r="AH6" i="82" s="1"/>
  <c r="Y4" i="83" a="1"/>
  <c r="Y4" i="83" s="1"/>
  <c r="W8" i="84" a="1"/>
  <c r="W8" i="84" s="1"/>
  <c r="X8" i="84" a="1"/>
  <c r="X8" i="84" s="1"/>
  <c r="AF8" i="84" a="1"/>
  <c r="AF8" i="84" s="1"/>
  <c r="W7" i="84" a="1"/>
  <c r="W7" i="84" s="1"/>
  <c r="AE7" i="84" a="1"/>
  <c r="AE7" i="84" s="1"/>
  <c r="X7" i="84" a="1"/>
  <c r="X7" i="84" s="1"/>
  <c r="AF7" i="84" a="1"/>
  <c r="AF7" i="84" s="1"/>
  <c r="AH2" i="84" a="1"/>
  <c r="AH2" i="84" s="1"/>
  <c r="AJ2" i="84" a="1"/>
  <c r="AJ2" i="84" s="1"/>
  <c r="U2" i="84" a="1"/>
  <c r="U2" i="84" s="1"/>
  <c r="R6" i="84" a="1"/>
  <c r="R6" i="84" s="1"/>
  <c r="Z6" i="84" a="1"/>
  <c r="Z6" i="84" s="1"/>
  <c r="AH6" i="84" a="1"/>
  <c r="AH6" i="84" s="1"/>
  <c r="Q6" i="84" a="1"/>
  <c r="Q6" i="84" s="1"/>
  <c r="Y6" i="84" a="1"/>
  <c r="Y6" i="84" s="1"/>
  <c r="AG6" i="84" a="1"/>
  <c r="AG6" i="84" s="1"/>
  <c r="R9" i="84" a="1"/>
  <c r="R9" i="84" s="1"/>
  <c r="Z9" i="84" a="1"/>
  <c r="Z9" i="84" s="1"/>
  <c r="AH9" i="84" a="1"/>
  <c r="AH9" i="84" s="1"/>
  <c r="Q9" i="84" a="1"/>
  <c r="Q9" i="84" s="1"/>
  <c r="Y9" i="84" a="1"/>
  <c r="Y9" i="84" s="1"/>
  <c r="AG9" i="84" a="1"/>
  <c r="AG9" i="84" s="1"/>
  <c r="R5" i="84" a="1"/>
  <c r="R5" i="84" s="1"/>
  <c r="Z5" i="84" a="1"/>
  <c r="Z5" i="84" s="1"/>
  <c r="AH5" i="84" a="1"/>
  <c r="AH5" i="84" s="1"/>
  <c r="Q5" i="84" a="1"/>
  <c r="Q5" i="84" s="1"/>
  <c r="Y5" i="84" a="1"/>
  <c r="Y5" i="84" s="1"/>
  <c r="AG5" i="84" a="1"/>
  <c r="AG5" i="84" s="1"/>
  <c r="AB11" i="84" a="1"/>
  <c r="AB11" i="84" s="1"/>
  <c r="AJ11" i="84" a="1"/>
  <c r="AJ11" i="84" s="1"/>
  <c r="X10" i="84" a="1"/>
  <c r="X10" i="84" s="1"/>
  <c r="AF10" i="84" a="1"/>
  <c r="AF10" i="84" s="1"/>
  <c r="W10" i="84" a="1"/>
  <c r="W10" i="84" s="1"/>
  <c r="AE10" i="84" a="1"/>
  <c r="AE10" i="84" s="1"/>
  <c r="Q4" i="84" a="1"/>
  <c r="Q4" i="84" s="1"/>
  <c r="AA4" i="84" a="1"/>
  <c r="AA4" i="84" s="1"/>
  <c r="AI4" i="84" a="1"/>
  <c r="AI4" i="84" s="1"/>
  <c r="T4" i="84" a="1"/>
  <c r="T4" i="84" s="1"/>
  <c r="AB4" i="84" a="1"/>
  <c r="AB4" i="84" s="1"/>
  <c r="AJ4" i="84" a="1"/>
  <c r="AJ4" i="84" s="1"/>
  <c r="U7" i="84" a="1"/>
  <c r="U7" i="84" s="1"/>
  <c r="AF6" i="84" a="1"/>
  <c r="AF6" i="84" s="1"/>
  <c r="AE6" i="84" a="1"/>
  <c r="AE6" i="84" s="1"/>
  <c r="W9" i="84" a="1"/>
  <c r="W9" i="84" s="1"/>
  <c r="AF5" i="84" a="1"/>
  <c r="AF5" i="84" s="1"/>
  <c r="AE5" i="84" a="1"/>
  <c r="AE5" i="84" s="1"/>
  <c r="Y6" i="82" a="1"/>
  <c r="Y6" i="82" s="1"/>
  <c r="V4" i="83" a="1"/>
  <c r="V4" i="83" s="1"/>
  <c r="AE9" i="83" a="1"/>
  <c r="AE9" i="83" s="1"/>
  <c r="R9" i="83" a="1"/>
  <c r="R9" i="83" s="1"/>
  <c r="Q8" i="84" a="1"/>
  <c r="Q8" i="84" s="1"/>
  <c r="Y8" i="84" a="1"/>
  <c r="Y8" i="84" s="1"/>
  <c r="AG8" i="84" a="1"/>
  <c r="AG8" i="84" s="1"/>
  <c r="R8" i="84" a="1"/>
  <c r="R8" i="84" s="1"/>
  <c r="Z8" i="84" a="1"/>
  <c r="Z8" i="84" s="1"/>
  <c r="AH8" i="84" a="1"/>
  <c r="AH8" i="84" s="1"/>
  <c r="Q7" i="84" a="1"/>
  <c r="Q7" i="84" s="1"/>
  <c r="Y7" i="84" a="1"/>
  <c r="Y7" i="84" s="1"/>
  <c r="AG7" i="84" a="1"/>
  <c r="AG7" i="84" s="1"/>
  <c r="R7" i="84" a="1"/>
  <c r="R7" i="84" s="1"/>
  <c r="Z7" i="84" a="1"/>
  <c r="Z7" i="84" s="1"/>
  <c r="AH7" i="84" a="1"/>
  <c r="AH7" i="84" s="1"/>
  <c r="V2" i="84" a="1"/>
  <c r="V2" i="84" s="1"/>
  <c r="AA2" i="84" a="1"/>
  <c r="AA2" i="84" s="1"/>
  <c r="X2" i="84" a="1"/>
  <c r="X2" i="84" s="1"/>
  <c r="Y2" i="84" a="1"/>
  <c r="Y2" i="84" s="1"/>
  <c r="T6" i="84" a="1"/>
  <c r="T6" i="84" s="1"/>
  <c r="AB6" i="84" a="1"/>
  <c r="AB6" i="84" s="1"/>
  <c r="AJ6" i="84" a="1"/>
  <c r="AJ6" i="84" s="1"/>
  <c r="S6" i="84" a="1"/>
  <c r="S6" i="84" s="1"/>
  <c r="AA6" i="84" a="1"/>
  <c r="AA6" i="84" s="1"/>
  <c r="AI6" i="84" a="1"/>
  <c r="AI6" i="84" s="1"/>
  <c r="T9" i="84" a="1"/>
  <c r="T9" i="84" s="1"/>
  <c r="AB9" i="84" a="1"/>
  <c r="AB9" i="84" s="1"/>
  <c r="AJ9" i="84" a="1"/>
  <c r="AJ9" i="84" s="1"/>
  <c r="S9" i="84" a="1"/>
  <c r="S9" i="84" s="1"/>
  <c r="AA9" i="84" a="1"/>
  <c r="AA9" i="84" s="1"/>
  <c r="AI9" i="84" a="1"/>
  <c r="AI9" i="84" s="1"/>
  <c r="T5" i="84" a="1"/>
  <c r="T5" i="84" s="1"/>
  <c r="AB5" i="84" a="1"/>
  <c r="AB5" i="84" s="1"/>
  <c r="AJ5" i="84" a="1"/>
  <c r="AJ5" i="84" s="1"/>
  <c r="S5" i="84" a="1"/>
  <c r="S5" i="84" s="1"/>
  <c r="AA5" i="84" a="1"/>
  <c r="AA5" i="84" s="1"/>
  <c r="AI5" i="84" a="1"/>
  <c r="AI5" i="84" s="1"/>
  <c r="U3" i="84" a="1"/>
  <c r="U3" i="84" s="1"/>
  <c r="AC3" i="84" a="1"/>
  <c r="AC3" i="84" s="1"/>
  <c r="V3" i="84" a="1"/>
  <c r="V3" i="84" s="1"/>
  <c r="AD3" i="84" a="1"/>
  <c r="AD3" i="84" s="1"/>
  <c r="U11" i="84" a="1"/>
  <c r="U11" i="84" s="1"/>
  <c r="AC11" i="84" a="1"/>
  <c r="AC11" i="84" s="1"/>
  <c r="V11" i="84" a="1"/>
  <c r="V11" i="84" s="1"/>
  <c r="AD11" i="84" a="1"/>
  <c r="AD11" i="84" s="1"/>
  <c r="R10" i="84" a="1"/>
  <c r="R10" i="84" s="1"/>
  <c r="Z10" i="84" a="1"/>
  <c r="Z10" i="84" s="1"/>
  <c r="AH10" i="84" a="1"/>
  <c r="AH10" i="84" s="1"/>
  <c r="Q10" i="84" a="1"/>
  <c r="Q10" i="84" s="1"/>
  <c r="Y10" i="84" a="1"/>
  <c r="Y10" i="84" s="1"/>
  <c r="AG10" i="84" a="1"/>
  <c r="AG10" i="84" s="1"/>
  <c r="U4" i="84" a="1"/>
  <c r="U4" i="84" s="1"/>
  <c r="AC4" i="84" a="1"/>
  <c r="AC4" i="84" s="1"/>
  <c r="V4" i="84" a="1"/>
  <c r="V4" i="84" s="1"/>
  <c r="AD4" i="84" a="1"/>
  <c r="AD4" i="84" s="1"/>
  <c r="X6" i="84" a="1"/>
  <c r="X6" i="84" s="1"/>
  <c r="AF9" i="84" a="1"/>
  <c r="AF9" i="84" s="1"/>
  <c r="AE9" i="84" a="1"/>
  <c r="AE9" i="84" s="1"/>
  <c r="X5" i="84" a="1"/>
  <c r="X5" i="84" s="1"/>
  <c r="AG4" i="84" a="1"/>
  <c r="AG4" i="84" s="1"/>
  <c r="Z4" i="84" a="1"/>
  <c r="Z4" i="84" s="1"/>
  <c r="AH4" i="84" a="1"/>
  <c r="AH4" i="84" s="1"/>
  <c r="AG10" i="83" a="1"/>
  <c r="AG10" i="83" s="1"/>
  <c r="AG4" i="83" a="1"/>
  <c r="AG4" i="83" s="1"/>
  <c r="AI5" i="83" a="1"/>
  <c r="AI5" i="83" s="1"/>
  <c r="Y8" i="83" a="1"/>
  <c r="Y8" i="83" s="1"/>
  <c r="S8" i="84" a="1"/>
  <c r="S8" i="84" s="1"/>
  <c r="AA8" i="84" a="1"/>
  <c r="AA8" i="84" s="1"/>
  <c r="AI8" i="84" a="1"/>
  <c r="AI8" i="84" s="1"/>
  <c r="T8" i="84" a="1"/>
  <c r="T8" i="84" s="1"/>
  <c r="AB8" i="84" a="1"/>
  <c r="AB8" i="84" s="1"/>
  <c r="S7" i="84" a="1"/>
  <c r="S7" i="84" s="1"/>
  <c r="AA7" i="84" a="1"/>
  <c r="AA7" i="84" s="1"/>
  <c r="AI7" i="84" a="1"/>
  <c r="AI7" i="84" s="1"/>
  <c r="T7" i="84" a="1"/>
  <c r="T7" i="84" s="1"/>
  <c r="AB7" i="84" a="1"/>
  <c r="AB7" i="84" s="1"/>
  <c r="Z2" i="84" a="1"/>
  <c r="Z2" i="84" s="1"/>
  <c r="AE2" i="84" a="1"/>
  <c r="AE2" i="84" s="1"/>
  <c r="AB2" i="84" a="1"/>
  <c r="AB2" i="84" s="1"/>
  <c r="Q2" i="84" a="1"/>
  <c r="Q2" i="84" s="1"/>
  <c r="V6" i="84" a="1"/>
  <c r="V6" i="84" s="1"/>
  <c r="AD6" i="84" a="1"/>
  <c r="AD6" i="84" s="1"/>
  <c r="U6" i="84" a="1"/>
  <c r="U6" i="84" s="1"/>
  <c r="V9" i="84" a="1"/>
  <c r="V9" i="84" s="1"/>
  <c r="AD9" i="84" a="1"/>
  <c r="AD9" i="84" s="1"/>
  <c r="U9" i="84" a="1"/>
  <c r="U9" i="84" s="1"/>
  <c r="V5" i="84" a="1"/>
  <c r="V5" i="84" s="1"/>
  <c r="AD5" i="84" a="1"/>
  <c r="AD5" i="84" s="1"/>
  <c r="U5" i="84" a="1"/>
  <c r="U5" i="84" s="1"/>
  <c r="W3" i="84" a="1"/>
  <c r="W3" i="84" s="1"/>
  <c r="X3" i="84" a="1"/>
  <c r="X3" i="84" s="1"/>
  <c r="W11" i="84" a="1"/>
  <c r="W11" i="84" s="1"/>
  <c r="X11" i="84" a="1"/>
  <c r="X11" i="84" s="1"/>
  <c r="T10" i="84" a="1"/>
  <c r="T10" i="84" s="1"/>
  <c r="AB10" i="84" a="1"/>
  <c r="AB10" i="84" s="1"/>
  <c r="AJ10" i="84" a="1"/>
  <c r="AJ10" i="84" s="1"/>
  <c r="S10" i="84" a="1"/>
  <c r="S10" i="84" s="1"/>
  <c r="AA10" i="84" a="1"/>
  <c r="AA10" i="84" s="1"/>
  <c r="S4" i="84" a="1"/>
  <c r="S4" i="84" s="1"/>
  <c r="W4" i="84" a="1"/>
  <c r="W4" i="84" s="1"/>
  <c r="X4" i="84" a="1"/>
  <c r="X4" i="84" s="1"/>
  <c r="AI10" i="83" a="1"/>
  <c r="AI10" i="83" s="1"/>
  <c r="AI6" i="83" a="1"/>
  <c r="AI6" i="83" s="1"/>
  <c r="AA9" i="80" a="1"/>
  <c r="AA9" i="80" s="1"/>
  <c r="AF4" i="82" a="1"/>
  <c r="AF4" i="82" s="1"/>
  <c r="T10" i="83" a="1"/>
  <c r="T10" i="83" s="1"/>
  <c r="T6" i="83" a="1"/>
  <c r="T6" i="83" s="1"/>
  <c r="Z6" i="82" a="1"/>
  <c r="Z6" i="82" s="1"/>
  <c r="AG10" i="82" a="1"/>
  <c r="AG10" i="82" s="1"/>
  <c r="AE10" i="81" a="1"/>
  <c r="AE10" i="81" s="1"/>
  <c r="V11" i="83" a="1"/>
  <c r="V11" i="83" s="1"/>
  <c r="AC5" i="83" a="1"/>
  <c r="AC5" i="83" s="1"/>
  <c r="AI7" i="83" a="1"/>
  <c r="AI7" i="83" s="1"/>
  <c r="AB7" i="82" a="1"/>
  <c r="AB7" i="82" s="1"/>
  <c r="AF8" i="83" a="1"/>
  <c r="AF8" i="83" s="1"/>
  <c r="AH8" i="82" a="1"/>
  <c r="AH8" i="82" s="1"/>
  <c r="AG9" i="83" a="1"/>
  <c r="AG9" i="83" s="1"/>
  <c r="Z9" i="83" a="1"/>
  <c r="Z9" i="83" s="1"/>
  <c r="AC9" i="82" a="1"/>
  <c r="AC9" i="82" s="1"/>
  <c r="T6" i="78" a="1"/>
  <c r="T6" i="78" s="1"/>
  <c r="AE5" i="79" a="1"/>
  <c r="AE5" i="79" s="1"/>
  <c r="AB10" i="83" a="1"/>
  <c r="AB10" i="83" s="1"/>
  <c r="S10" i="83" a="1"/>
  <c r="S10" i="83" s="1"/>
  <c r="AF3" i="82" a="1"/>
  <c r="AF3" i="82" s="1"/>
  <c r="AB6" i="83" a="1"/>
  <c r="AB6" i="83" s="1"/>
  <c r="S6" i="83" a="1"/>
  <c r="S6" i="83" s="1"/>
  <c r="AD11" i="83" a="1"/>
  <c r="AD11" i="83" s="1"/>
  <c r="T3" i="81" a="1"/>
  <c r="T3" i="81" s="1"/>
  <c r="AC7" i="83" a="1"/>
  <c r="AC7" i="83" s="1"/>
  <c r="AE7" i="82" a="1"/>
  <c r="AE7" i="82" s="1"/>
  <c r="R8" i="83" a="1"/>
  <c r="R8" i="83" s="1"/>
  <c r="AD8" i="83" a="1"/>
  <c r="AD8" i="83" s="1"/>
  <c r="AH9" i="83" a="1"/>
  <c r="AH9" i="83" s="1"/>
  <c r="AJ2" i="83" a="1"/>
  <c r="AJ2" i="83" s="1"/>
  <c r="AJ10" i="83" a="1"/>
  <c r="AJ10" i="83" s="1"/>
  <c r="AA10" i="83" a="1"/>
  <c r="AA10" i="83" s="1"/>
  <c r="AJ6" i="83" a="1"/>
  <c r="AJ6" i="83" s="1"/>
  <c r="AA6" i="83" a="1"/>
  <c r="AA6" i="83" s="1"/>
  <c r="AE6" i="82" a="1"/>
  <c r="AE6" i="82" s="1"/>
  <c r="U2" i="82" a="1"/>
  <c r="U2" i="82" s="1"/>
  <c r="AC11" i="83" a="1"/>
  <c r="AC11" i="83" s="1"/>
  <c r="AF4" i="83" a="1"/>
  <c r="AF4" i="83" s="1"/>
  <c r="Q4" i="83" a="1"/>
  <c r="Q4" i="83" s="1"/>
  <c r="Z4" i="83" a="1"/>
  <c r="Z4" i="83" s="1"/>
  <c r="AD5" i="83" a="1"/>
  <c r="AD5" i="83" s="1"/>
  <c r="AE4" i="81" a="1"/>
  <c r="AE4" i="81" s="1"/>
  <c r="S8" i="83" a="1"/>
  <c r="S8" i="83" s="1"/>
  <c r="V8" i="83" a="1"/>
  <c r="V8" i="83" s="1"/>
  <c r="R8" i="82" a="1"/>
  <c r="R8" i="82" s="1"/>
  <c r="Q9" i="83" a="1"/>
  <c r="Q9" i="83" s="1"/>
  <c r="AF9" i="83" a="1"/>
  <c r="AF9" i="83" s="1"/>
  <c r="AI2" i="83" a="1"/>
  <c r="AI2" i="83" s="1"/>
  <c r="AJ5" i="79" a="1"/>
  <c r="AJ5" i="79" s="1"/>
  <c r="AC4" i="82" a="1"/>
  <c r="AC4" i="82" s="1"/>
  <c r="R4" i="82" a="1"/>
  <c r="R4" i="82" s="1"/>
  <c r="V10" i="83" a="1"/>
  <c r="V10" i="83" s="1"/>
  <c r="AD10" i="83" a="1"/>
  <c r="AD10" i="83" s="1"/>
  <c r="U10" i="83" a="1"/>
  <c r="U10" i="83" s="1"/>
  <c r="AC10" i="83" a="1"/>
  <c r="AC10" i="83" s="1"/>
  <c r="T5" i="82" a="1"/>
  <c r="T5" i="82" s="1"/>
  <c r="V6" i="83" a="1"/>
  <c r="V6" i="83" s="1"/>
  <c r="AD6" i="83" a="1"/>
  <c r="AD6" i="83" s="1"/>
  <c r="U6" i="83" a="1"/>
  <c r="U6" i="83" s="1"/>
  <c r="AC6" i="83" a="1"/>
  <c r="AC6" i="83" s="1"/>
  <c r="V6" i="82" a="1"/>
  <c r="V6" i="82" s="1"/>
  <c r="AC6" i="82" a="1"/>
  <c r="AC6" i="82" s="1"/>
  <c r="AG6" i="82" a="1"/>
  <c r="AG6" i="82" s="1"/>
  <c r="R3" i="83" a="1"/>
  <c r="R3" i="83" s="1"/>
  <c r="AH3" i="83" a="1"/>
  <c r="AH3" i="83" s="1"/>
  <c r="AB3" i="83" a="1"/>
  <c r="AB3" i="83" s="1"/>
  <c r="W3" i="83" a="1"/>
  <c r="W3" i="83" s="1"/>
  <c r="AE3" i="83" a="1"/>
  <c r="AE3" i="83" s="1"/>
  <c r="R10" i="82" a="1"/>
  <c r="R10" i="82" s="1"/>
  <c r="V10" i="82" a="1"/>
  <c r="V10" i="82" s="1"/>
  <c r="AI10" i="82" a="1"/>
  <c r="AI10" i="82" s="1"/>
  <c r="AH2" i="82" a="1"/>
  <c r="AH2" i="82" s="1"/>
  <c r="X11" i="83" a="1"/>
  <c r="X11" i="83" s="1"/>
  <c r="AF11" i="83" a="1"/>
  <c r="AF11" i="83" s="1"/>
  <c r="W11" i="83" a="1"/>
  <c r="W11" i="83" s="1"/>
  <c r="AE11" i="83" a="1"/>
  <c r="AE11" i="83" s="1"/>
  <c r="S4" i="83" a="1"/>
  <c r="S4" i="83" s="1"/>
  <c r="AA4" i="83" a="1"/>
  <c r="AA4" i="83" s="1"/>
  <c r="AI4" i="83" a="1"/>
  <c r="AI4" i="83" s="1"/>
  <c r="AB4" i="83" a="1"/>
  <c r="AB4" i="83" s="1"/>
  <c r="AJ4" i="83" a="1"/>
  <c r="AJ4" i="83" s="1"/>
  <c r="X5" i="83" a="1"/>
  <c r="X5" i="83" s="1"/>
  <c r="AF5" i="83" a="1"/>
  <c r="AF5" i="83" s="1"/>
  <c r="W5" i="83" a="1"/>
  <c r="W5" i="83" s="1"/>
  <c r="AE5" i="83" a="1"/>
  <c r="AE5" i="83" s="1"/>
  <c r="U7" i="83" a="1"/>
  <c r="U7" i="83" s="1"/>
  <c r="V7" i="83" a="1"/>
  <c r="V7" i="83" s="1"/>
  <c r="AD7" i="83" a="1"/>
  <c r="AD7" i="83" s="1"/>
  <c r="W7" i="83" a="1"/>
  <c r="W7" i="83" s="1"/>
  <c r="AE7" i="83" a="1"/>
  <c r="AE7" i="83" s="1"/>
  <c r="S7" i="82" a="1"/>
  <c r="S7" i="82" s="1"/>
  <c r="AH7" i="82" a="1"/>
  <c r="AH7" i="82" s="1"/>
  <c r="S11" i="81" a="1"/>
  <c r="S11" i="81" s="1"/>
  <c r="W8" i="83" a="1"/>
  <c r="W8" i="83" s="1"/>
  <c r="AE8" i="83" a="1"/>
  <c r="AE8" i="83" s="1"/>
  <c r="AG8" i="83" a="1"/>
  <c r="AG8" i="83" s="1"/>
  <c r="AA8" i="83" a="1"/>
  <c r="AA8" i="83" s="1"/>
  <c r="Z8" i="83" a="1"/>
  <c r="Z8" i="83" s="1"/>
  <c r="AH8" i="83" a="1"/>
  <c r="AH8" i="83" s="1"/>
  <c r="Q8" i="82" a="1"/>
  <c r="Q8" i="82" s="1"/>
  <c r="AG8" i="82" a="1"/>
  <c r="AG8" i="82" s="1"/>
  <c r="Z8" i="82" a="1"/>
  <c r="Z8" i="82" s="1"/>
  <c r="S9" i="83" a="1"/>
  <c r="S9" i="83" s="1"/>
  <c r="AA9" i="83" a="1"/>
  <c r="AA9" i="83" s="1"/>
  <c r="AI9" i="83" a="1"/>
  <c r="AI9" i="83" s="1"/>
  <c r="T9" i="83" a="1"/>
  <c r="T9" i="83" s="1"/>
  <c r="AB9" i="83" a="1"/>
  <c r="AB9" i="83" s="1"/>
  <c r="AJ9" i="83" a="1"/>
  <c r="AJ9" i="83" s="1"/>
  <c r="AD9" i="82" a="1"/>
  <c r="AD9" i="82" s="1"/>
  <c r="S2" i="83" a="1"/>
  <c r="S2" i="83" s="1"/>
  <c r="AG2" i="83" a="1"/>
  <c r="AG2" i="83" s="1"/>
  <c r="W2" i="83" a="1"/>
  <c r="W2" i="83" s="1"/>
  <c r="U2" i="83" a="1"/>
  <c r="U2" i="83" s="1"/>
  <c r="AH2" i="83" a="1"/>
  <c r="AH2" i="83" s="1"/>
  <c r="AF6" i="80" a="1"/>
  <c r="AF6" i="80" s="1"/>
  <c r="AE10" i="80" a="1"/>
  <c r="AE10" i="80" s="1"/>
  <c r="AE2" i="79" a="1"/>
  <c r="AE2" i="79" s="1"/>
  <c r="AI2" i="79" a="1"/>
  <c r="AI2" i="79" s="1"/>
  <c r="AC2" i="80" a="1"/>
  <c r="AC2" i="80" s="1"/>
  <c r="Q4" i="82" a="1"/>
  <c r="Q4" i="82" s="1"/>
  <c r="AG4" i="82" a="1"/>
  <c r="AG4" i="82" s="1"/>
  <c r="Z4" i="82" a="1"/>
  <c r="Z4" i="82" s="1"/>
  <c r="X10" i="83" a="1"/>
  <c r="X10" i="83" s="1"/>
  <c r="AF10" i="83" a="1"/>
  <c r="AF10" i="83" s="1"/>
  <c r="W10" i="83" a="1"/>
  <c r="W10" i="83" s="1"/>
  <c r="AE10" i="83" a="1"/>
  <c r="AE10" i="83" s="1"/>
  <c r="AB5" i="82" a="1"/>
  <c r="AB5" i="82" s="1"/>
  <c r="S5" i="82" a="1"/>
  <c r="S5" i="82" s="1"/>
  <c r="AD6" i="81" a="1"/>
  <c r="AD6" i="81" s="1"/>
  <c r="Z3" i="82" a="1"/>
  <c r="Z3" i="82" s="1"/>
  <c r="R7" i="81" a="1"/>
  <c r="R7" i="81" s="1"/>
  <c r="X6" i="83" a="1"/>
  <c r="X6" i="83" s="1"/>
  <c r="AF6" i="83" a="1"/>
  <c r="AF6" i="83" s="1"/>
  <c r="W6" i="83" a="1"/>
  <c r="W6" i="83" s="1"/>
  <c r="AE6" i="83" a="1"/>
  <c r="AE6" i="83" s="1"/>
  <c r="V3" i="83" a="1"/>
  <c r="V3" i="83" s="1"/>
  <c r="AF3" i="83" a="1"/>
  <c r="AF3" i="83" s="1"/>
  <c r="Q3" i="83" a="1"/>
  <c r="Q3" i="83" s="1"/>
  <c r="Y3" i="83" a="1"/>
  <c r="Y3" i="83" s="1"/>
  <c r="AG3" i="83" a="1"/>
  <c r="AG3" i="83" s="1"/>
  <c r="AH10" i="82" a="1"/>
  <c r="AH10" i="82" s="1"/>
  <c r="Z10" i="82" a="1"/>
  <c r="Z10" i="82" s="1"/>
  <c r="V2" i="82" a="1"/>
  <c r="V2" i="82" s="1"/>
  <c r="R11" i="83" a="1"/>
  <c r="R11" i="83" s="1"/>
  <c r="Z11" i="83" a="1"/>
  <c r="Z11" i="83" s="1"/>
  <c r="AH11" i="83" a="1"/>
  <c r="AH11" i="83" s="1"/>
  <c r="Q11" i="83" a="1"/>
  <c r="Q11" i="83" s="1"/>
  <c r="Y11" i="83" a="1"/>
  <c r="Y11" i="83" s="1"/>
  <c r="AG11" i="83" a="1"/>
  <c r="AG11" i="83" s="1"/>
  <c r="T4" i="83" a="1"/>
  <c r="T4" i="83" s="1"/>
  <c r="U4" i="83" a="1"/>
  <c r="U4" i="83" s="1"/>
  <c r="AC4" i="83" a="1"/>
  <c r="AC4" i="83" s="1"/>
  <c r="AD4" i="83" a="1"/>
  <c r="AD4" i="83" s="1"/>
  <c r="R5" i="83" a="1"/>
  <c r="R5" i="83" s="1"/>
  <c r="Z5" i="83" a="1"/>
  <c r="Z5" i="83" s="1"/>
  <c r="AH5" i="83" a="1"/>
  <c r="AH5" i="83" s="1"/>
  <c r="Q5" i="83" a="1"/>
  <c r="Q5" i="83" s="1"/>
  <c r="Y5" i="83" a="1"/>
  <c r="Y5" i="83" s="1"/>
  <c r="AG5" i="83" a="1"/>
  <c r="AG5" i="83" s="1"/>
  <c r="AC3" i="81" a="1"/>
  <c r="AC3" i="81" s="1"/>
  <c r="X7" i="83" a="1"/>
  <c r="X7" i="83" s="1"/>
  <c r="AF7" i="83" a="1"/>
  <c r="AF7" i="83" s="1"/>
  <c r="Y7" i="83" a="1"/>
  <c r="Y7" i="83" s="1"/>
  <c r="AG7" i="83" a="1"/>
  <c r="AG7" i="83" s="1"/>
  <c r="AA7" i="82" a="1"/>
  <c r="AA7" i="82" s="1"/>
  <c r="T7" i="82" a="1"/>
  <c r="T7" i="82" s="1"/>
  <c r="AC8" i="83" a="1"/>
  <c r="AC8" i="83" s="1"/>
  <c r="Q8" i="83" a="1"/>
  <c r="Q8" i="83" s="1"/>
  <c r="AI8" i="83" a="1"/>
  <c r="AI8" i="83" s="1"/>
  <c r="AB8" i="83" a="1"/>
  <c r="AB8" i="83" s="1"/>
  <c r="AJ8" i="83" a="1"/>
  <c r="AJ8" i="83" s="1"/>
  <c r="U8" i="82" a="1"/>
  <c r="U8" i="82" s="1"/>
  <c r="AD8" i="82" a="1"/>
  <c r="AD8" i="82" s="1"/>
  <c r="U9" i="83" a="1"/>
  <c r="U9" i="83" s="1"/>
  <c r="AC9" i="83" a="1"/>
  <c r="AC9" i="83" s="1"/>
  <c r="V9" i="83" a="1"/>
  <c r="V9" i="83" s="1"/>
  <c r="AD9" i="83" a="1"/>
  <c r="AD9" i="83" s="1"/>
  <c r="AF9" i="82" a="1"/>
  <c r="AF9" i="82" s="1"/>
  <c r="X2" i="83" a="1"/>
  <c r="X2" i="83" s="1"/>
  <c r="V2" i="83" a="1"/>
  <c r="V2" i="83" s="1"/>
  <c r="AB2" i="83" a="1"/>
  <c r="AB2" i="83" s="1"/>
  <c r="Z2" i="83" a="1"/>
  <c r="Z2" i="83" s="1"/>
  <c r="AJ2" i="79" a="1"/>
  <c r="AJ2" i="79" s="1"/>
  <c r="U4" i="82" a="1"/>
  <c r="U4" i="82" s="1"/>
  <c r="AD4" i="82" a="1"/>
  <c r="AD4" i="82" s="1"/>
  <c r="AH4" i="82" a="1"/>
  <c r="AH4" i="82" s="1"/>
  <c r="R10" i="83" a="1"/>
  <c r="R10" i="83" s="1"/>
  <c r="Z10" i="83" a="1"/>
  <c r="Z10" i="83" s="1"/>
  <c r="AH10" i="83" a="1"/>
  <c r="AH10" i="83" s="1"/>
  <c r="Q10" i="83" a="1"/>
  <c r="Q10" i="83" s="1"/>
  <c r="Y10" i="83" a="1"/>
  <c r="Y10" i="83" s="1"/>
  <c r="AJ5" i="82" a="1"/>
  <c r="AJ5" i="82" s="1"/>
  <c r="AA5" i="82" a="1"/>
  <c r="AA5" i="82" s="1"/>
  <c r="R6" i="83" a="1"/>
  <c r="R6" i="83" s="1"/>
  <c r="Z6" i="83" a="1"/>
  <c r="Z6" i="83" s="1"/>
  <c r="AH6" i="83" a="1"/>
  <c r="AH6" i="83" s="1"/>
  <c r="Q6" i="83" a="1"/>
  <c r="Q6" i="83" s="1"/>
  <c r="Y6" i="83" a="1"/>
  <c r="Y6" i="83" s="1"/>
  <c r="AD6" i="82" a="1"/>
  <c r="AD6" i="82" s="1"/>
  <c r="Q6" i="82" a="1"/>
  <c r="Q6" i="82" s="1"/>
  <c r="Z3" i="83" a="1"/>
  <c r="Z3" i="83" s="1"/>
  <c r="T3" i="83" a="1"/>
  <c r="T3" i="83" s="1"/>
  <c r="AJ3" i="83" a="1"/>
  <c r="AJ3" i="83" s="1"/>
  <c r="S3" i="83" a="1"/>
  <c r="S3" i="83" s="1"/>
  <c r="AA3" i="83" a="1"/>
  <c r="AA3" i="83" s="1"/>
  <c r="AI3" i="83" a="1"/>
  <c r="AI3" i="83" s="1"/>
  <c r="AB10" i="82" a="1"/>
  <c r="AB10" i="82" s="1"/>
  <c r="S10" i="82" a="1"/>
  <c r="S10" i="82" s="1"/>
  <c r="AE2" i="82" a="1"/>
  <c r="AE2" i="82" s="1"/>
  <c r="T11" i="83" a="1"/>
  <c r="T11" i="83" s="1"/>
  <c r="AB11" i="83" a="1"/>
  <c r="AB11" i="83" s="1"/>
  <c r="AJ11" i="83" a="1"/>
  <c r="AJ11" i="83" s="1"/>
  <c r="S11" i="83" a="1"/>
  <c r="S11" i="83" s="1"/>
  <c r="AA11" i="83" a="1"/>
  <c r="AA11" i="83" s="1"/>
  <c r="AC11" i="82" a="1"/>
  <c r="AC11" i="82" s="1"/>
  <c r="AE9" i="81" a="1"/>
  <c r="AE9" i="81" s="1"/>
  <c r="R4" i="83" a="1"/>
  <c r="R4" i="83" s="1"/>
  <c r="W4" i="83" a="1"/>
  <c r="W4" i="83" s="1"/>
  <c r="AE4" i="83" a="1"/>
  <c r="AE4" i="83" s="1"/>
  <c r="X4" i="83" a="1"/>
  <c r="X4" i="83" s="1"/>
  <c r="T5" i="83" a="1"/>
  <c r="T5" i="83" s="1"/>
  <c r="AB5" i="83" a="1"/>
  <c r="AB5" i="83" s="1"/>
  <c r="AJ5" i="83" a="1"/>
  <c r="AJ5" i="83" s="1"/>
  <c r="S5" i="83" a="1"/>
  <c r="S5" i="83" s="1"/>
  <c r="AA5" i="83" a="1"/>
  <c r="AA5" i="83" s="1"/>
  <c r="Q7" i="83" a="1"/>
  <c r="Q7" i="83" s="1"/>
  <c r="R7" i="83" a="1"/>
  <c r="R7" i="83" s="1"/>
  <c r="Z7" i="83" a="1"/>
  <c r="Z7" i="83" s="1"/>
  <c r="AH7" i="83" a="1"/>
  <c r="AH7" i="83" s="1"/>
  <c r="AA7" i="83" a="1"/>
  <c r="AA7" i="83" s="1"/>
  <c r="AI7" i="82" a="1"/>
  <c r="AI7" i="82" s="1"/>
  <c r="AF4" i="81" a="1"/>
  <c r="AF4" i="81" s="1"/>
  <c r="T8" i="83" a="1"/>
  <c r="T8" i="83" s="1"/>
  <c r="U8" i="83" a="1"/>
  <c r="U8" i="83" s="1"/>
  <c r="Y8" i="82" a="1"/>
  <c r="Y8" i="82" s="1"/>
  <c r="AF8" i="82" a="1"/>
  <c r="AF8" i="82" s="1"/>
  <c r="AE8" i="82" a="1"/>
  <c r="AE8" i="82" s="1"/>
  <c r="W9" i="83" a="1"/>
  <c r="W9" i="83" s="1"/>
  <c r="X9" i="83" a="1"/>
  <c r="X9" i="83" s="1"/>
  <c r="AA2" i="83" a="1"/>
  <c r="AA2" i="83" s="1"/>
  <c r="Y2" i="83" a="1"/>
  <c r="Y2" i="83" s="1"/>
  <c r="R2" i="83" a="1"/>
  <c r="R2" i="83" s="1"/>
  <c r="AE2" i="83" a="1"/>
  <c r="AE2" i="83" s="1"/>
  <c r="AC2" i="83" a="1"/>
  <c r="AC2" i="83" s="1"/>
  <c r="AI5" i="79" a="1"/>
  <c r="AI5" i="79" s="1"/>
  <c r="AE4" i="82" a="1"/>
  <c r="AE4" i="82" s="1"/>
  <c r="AI5" i="82" a="1"/>
  <c r="AI5" i="82" s="1"/>
  <c r="AD3" i="83" a="1"/>
  <c r="AD3" i="83" s="1"/>
  <c r="X3" i="83" a="1"/>
  <c r="X3" i="83" s="1"/>
  <c r="U3" i="83" a="1"/>
  <c r="U3" i="83" s="1"/>
  <c r="AA10" i="82" a="1"/>
  <c r="AA10" i="82" s="1"/>
  <c r="U11" i="83" a="1"/>
  <c r="U11" i="83" s="1"/>
  <c r="V5" i="83" a="1"/>
  <c r="V5" i="83" s="1"/>
  <c r="U5" i="83" a="1"/>
  <c r="U5" i="83" s="1"/>
  <c r="S7" i="83" a="1"/>
  <c r="S7" i="83" s="1"/>
  <c r="T7" i="83" a="1"/>
  <c r="T7" i="83" s="1"/>
  <c r="AB7" i="83" a="1"/>
  <c r="AB7" i="83" s="1"/>
  <c r="AJ7" i="83" a="1"/>
  <c r="AJ7" i="83" s="1"/>
  <c r="AJ7" i="82" a="1"/>
  <c r="AJ7" i="82" s="1"/>
  <c r="AC8" i="82" a="1"/>
  <c r="AC8" i="82" s="1"/>
  <c r="Q2" i="83" a="1"/>
  <c r="Q2" i="83" s="1"/>
  <c r="AF2" i="83" a="1"/>
  <c r="AF2" i="83" s="1"/>
  <c r="AD2" i="83" a="1"/>
  <c r="AD2" i="83" s="1"/>
  <c r="AC3" i="82" a="1"/>
  <c r="AC3" i="82" s="1"/>
  <c r="AH3" i="82" a="1"/>
  <c r="AH3" i="82" s="1"/>
  <c r="Y7" i="81" a="1"/>
  <c r="Y7" i="81" s="1"/>
  <c r="AB2" i="82" a="1"/>
  <c r="AB2" i="82" s="1"/>
  <c r="AB4" i="81" a="1"/>
  <c r="AB4" i="81" s="1"/>
  <c r="W9" i="82" a="1"/>
  <c r="W9" i="82" s="1"/>
  <c r="AE9" i="82" a="1"/>
  <c r="AE9" i="82" s="1"/>
  <c r="R9" i="82" a="1"/>
  <c r="R9" i="82" s="1"/>
  <c r="Z9" i="82" a="1"/>
  <c r="Z9" i="82" s="1"/>
  <c r="AH9" i="82" a="1"/>
  <c r="AH9" i="82" s="1"/>
  <c r="S4" i="82" a="1"/>
  <c r="S4" i="82" s="1"/>
  <c r="AA4" i="82" a="1"/>
  <c r="AA4" i="82" s="1"/>
  <c r="AI4" i="82" a="1"/>
  <c r="AI4" i="82" s="1"/>
  <c r="T4" i="82" a="1"/>
  <c r="T4" i="82" s="1"/>
  <c r="AB4" i="82" a="1"/>
  <c r="AB4" i="82" s="1"/>
  <c r="AJ4" i="82" a="1"/>
  <c r="AJ4" i="82" s="1"/>
  <c r="V5" i="82" a="1"/>
  <c r="V5" i="82" s="1"/>
  <c r="AD5" i="82" a="1"/>
  <c r="AD5" i="82" s="1"/>
  <c r="U5" i="82" a="1"/>
  <c r="U5" i="82" s="1"/>
  <c r="AC5" i="82" a="1"/>
  <c r="AC5" i="82" s="1"/>
  <c r="AH6" i="81" a="1"/>
  <c r="AH6" i="81" s="1"/>
  <c r="W3" i="82" a="1"/>
  <c r="W3" i="82" s="1"/>
  <c r="AE3" i="82" a="1"/>
  <c r="AE3" i="82" s="1"/>
  <c r="T3" i="82" a="1"/>
  <c r="T3" i="82" s="1"/>
  <c r="AB3" i="82" a="1"/>
  <c r="AB3" i="82" s="1"/>
  <c r="AJ3" i="82" a="1"/>
  <c r="AJ3" i="82" s="1"/>
  <c r="AE7" i="81" a="1"/>
  <c r="AE7" i="81" s="1"/>
  <c r="AG7" i="81" a="1"/>
  <c r="AG7" i="81" s="1"/>
  <c r="T6" i="82" a="1"/>
  <c r="T6" i="82" s="1"/>
  <c r="AB6" i="82" a="1"/>
  <c r="AB6" i="82" s="1"/>
  <c r="AJ6" i="82" a="1"/>
  <c r="AJ6" i="82" s="1"/>
  <c r="S6" i="82" a="1"/>
  <c r="S6" i="82" s="1"/>
  <c r="AA6" i="82" a="1"/>
  <c r="AA6" i="82" s="1"/>
  <c r="AI6" i="82" a="1"/>
  <c r="AI6" i="82" s="1"/>
  <c r="AF10" i="82" a="1"/>
  <c r="AF10" i="82" s="1"/>
  <c r="T10" i="82" a="1"/>
  <c r="T10" i="82" s="1"/>
  <c r="AD10" i="82" a="1"/>
  <c r="AD10" i="82" s="1"/>
  <c r="U10" i="82" a="1"/>
  <c r="U10" i="82" s="1"/>
  <c r="AC10" i="82" a="1"/>
  <c r="AC10" i="82" s="1"/>
  <c r="AA2" i="82" a="1"/>
  <c r="AA2" i="82" s="1"/>
  <c r="X2" i="82" a="1"/>
  <c r="X2" i="82" s="1"/>
  <c r="Y2" i="82" a="1"/>
  <c r="Y2" i="82" s="1"/>
  <c r="T2" i="82" a="1"/>
  <c r="T2" i="82" s="1"/>
  <c r="AD2" i="82" a="1"/>
  <c r="AD2" i="82" s="1"/>
  <c r="R11" i="82" a="1"/>
  <c r="R11" i="82" s="1"/>
  <c r="Z11" i="82" a="1"/>
  <c r="Z11" i="82" s="1"/>
  <c r="AH11" i="82" a="1"/>
  <c r="AH11" i="82" s="1"/>
  <c r="Q11" i="82" a="1"/>
  <c r="Q11" i="82" s="1"/>
  <c r="Y11" i="82" a="1"/>
  <c r="Y11" i="82" s="1"/>
  <c r="AG11" i="82" a="1"/>
  <c r="AG11" i="82" s="1"/>
  <c r="AI3" i="81" a="1"/>
  <c r="AI3" i="81" s="1"/>
  <c r="U7" i="82" a="1"/>
  <c r="U7" i="82" s="1"/>
  <c r="AC7" i="82" a="1"/>
  <c r="AC7" i="82" s="1"/>
  <c r="V7" i="82" a="1"/>
  <c r="V7" i="82" s="1"/>
  <c r="AD7" i="82" a="1"/>
  <c r="AD7" i="82" s="1"/>
  <c r="U4" i="81" a="1"/>
  <c r="U4" i="81" s="1"/>
  <c r="Q4" i="81" a="1"/>
  <c r="Q4" i="81" s="1"/>
  <c r="R4" i="81" a="1"/>
  <c r="R4" i="81" s="1"/>
  <c r="AH4" i="81" a="1"/>
  <c r="AH4" i="81" s="1"/>
  <c r="S8" i="82" a="1"/>
  <c r="S8" i="82" s="1"/>
  <c r="AA8" i="82" a="1"/>
  <c r="AA8" i="82" s="1"/>
  <c r="AI8" i="82" a="1"/>
  <c r="AI8" i="82" s="1"/>
  <c r="T8" i="82" a="1"/>
  <c r="T8" i="82" s="1"/>
  <c r="AB8" i="82" a="1"/>
  <c r="AB8" i="82" s="1"/>
  <c r="AJ8" i="82" a="1"/>
  <c r="AJ8" i="82" s="1"/>
  <c r="Q9" i="82" a="1"/>
  <c r="Q9" i="82" s="1"/>
  <c r="Y9" i="82" a="1"/>
  <c r="Y9" i="82" s="1"/>
  <c r="AG9" i="82" a="1"/>
  <c r="AG9" i="82" s="1"/>
  <c r="T9" i="82" a="1"/>
  <c r="T9" i="82" s="1"/>
  <c r="AB9" i="82" a="1"/>
  <c r="AB9" i="82" s="1"/>
  <c r="AJ9" i="82" a="1"/>
  <c r="AJ9" i="82" s="1"/>
  <c r="AJ5" i="81" a="1"/>
  <c r="AJ5" i="81" s="1"/>
  <c r="R3" i="82" a="1"/>
  <c r="R3" i="82" s="1"/>
  <c r="AH7" i="81" a="1"/>
  <c r="AH7" i="81" s="1"/>
  <c r="AJ2" i="82" a="1"/>
  <c r="AJ2" i="82" s="1"/>
  <c r="X11" i="82" a="1"/>
  <c r="X11" i="82" s="1"/>
  <c r="W11" i="82" a="1"/>
  <c r="W11" i="82" s="1"/>
  <c r="V4" i="82" a="1"/>
  <c r="V4" i="82" s="1"/>
  <c r="X5" i="82" a="1"/>
  <c r="X5" i="82" s="1"/>
  <c r="AF5" i="82" a="1"/>
  <c r="AF5" i="82" s="1"/>
  <c r="W5" i="82" a="1"/>
  <c r="W5" i="82" s="1"/>
  <c r="AE5" i="82" a="1"/>
  <c r="AE5" i="82" s="1"/>
  <c r="U6" i="81" a="1"/>
  <c r="U6" i="81" s="1"/>
  <c r="AJ6" i="81" a="1"/>
  <c r="AJ6" i="81" s="1"/>
  <c r="Q3" i="82" a="1"/>
  <c r="Q3" i="82" s="1"/>
  <c r="Y3" i="82" a="1"/>
  <c r="Y3" i="82" s="1"/>
  <c r="AG3" i="82" a="1"/>
  <c r="AG3" i="82" s="1"/>
  <c r="V3" i="82" a="1"/>
  <c r="V3" i="82" s="1"/>
  <c r="AD3" i="82" a="1"/>
  <c r="AD3" i="82" s="1"/>
  <c r="U6" i="82" a="1"/>
  <c r="U6" i="82" s="1"/>
  <c r="AI2" i="81" a="1"/>
  <c r="AI2" i="81" s="1"/>
  <c r="W10" i="82" a="1"/>
  <c r="W10" i="82" s="1"/>
  <c r="AE10" i="82" a="1"/>
  <c r="AE10" i="82" s="1"/>
  <c r="AJ10" i="82" a="1"/>
  <c r="AJ10" i="82" s="1"/>
  <c r="AD10" i="81" a="1"/>
  <c r="AD10" i="81" s="1"/>
  <c r="AC2" i="82" a="1"/>
  <c r="AC2" i="82" s="1"/>
  <c r="W2" i="82" a="1"/>
  <c r="W2" i="82" s="1"/>
  <c r="AF2" i="82" a="1"/>
  <c r="AF2" i="82" s="1"/>
  <c r="T11" i="82" a="1"/>
  <c r="T11" i="82" s="1"/>
  <c r="AB11" i="82" a="1"/>
  <c r="AB11" i="82" s="1"/>
  <c r="AJ11" i="82" a="1"/>
  <c r="AJ11" i="82" s="1"/>
  <c r="S11" i="82" a="1"/>
  <c r="S11" i="82" s="1"/>
  <c r="AA11" i="82" a="1"/>
  <c r="AA11" i="82" s="1"/>
  <c r="AI11" i="82" a="1"/>
  <c r="AI11" i="82" s="1"/>
  <c r="AD9" i="81" a="1"/>
  <c r="AD9" i="81" s="1"/>
  <c r="R3" i="81" a="1"/>
  <c r="R3" i="81" s="1"/>
  <c r="W7" i="82" a="1"/>
  <c r="W7" i="82" s="1"/>
  <c r="X7" i="82" a="1"/>
  <c r="X7" i="82" s="1"/>
  <c r="AF7" i="82" a="1"/>
  <c r="AF7" i="82" s="1"/>
  <c r="AC4" i="81" a="1"/>
  <c r="AC4" i="81" s="1"/>
  <c r="S4" i="81" a="1"/>
  <c r="S4" i="81" s="1"/>
  <c r="T4" i="81" a="1"/>
  <c r="T4" i="81" s="1"/>
  <c r="AJ4" i="81" a="1"/>
  <c r="AJ4" i="81" s="1"/>
  <c r="AD11" i="81" a="1"/>
  <c r="AD11" i="81" s="1"/>
  <c r="V8" i="82" a="1"/>
  <c r="V8" i="82" s="1"/>
  <c r="S9" i="82" a="1"/>
  <c r="S9" i="82" s="1"/>
  <c r="AA9" i="82" a="1"/>
  <c r="AA9" i="82" s="1"/>
  <c r="AI9" i="82" a="1"/>
  <c r="AI9" i="82" s="1"/>
  <c r="V9" i="82" a="1"/>
  <c r="V9" i="82" s="1"/>
  <c r="Q5" i="81" a="1"/>
  <c r="Q5" i="81" s="1"/>
  <c r="U3" i="82" a="1"/>
  <c r="U3" i="82" s="1"/>
  <c r="AF11" i="82" a="1"/>
  <c r="AF11" i="82" s="1"/>
  <c r="AE11" i="82" a="1"/>
  <c r="AE11" i="82" s="1"/>
  <c r="T5" i="79" a="1"/>
  <c r="T5" i="79" s="1"/>
  <c r="S5" i="79" a="1"/>
  <c r="S5" i="79" s="1"/>
  <c r="T2" i="79" a="1"/>
  <c r="T2" i="79" s="1"/>
  <c r="S2" i="79" a="1"/>
  <c r="S2" i="79" s="1"/>
  <c r="W4" i="82" a="1"/>
  <c r="W4" i="82" s="1"/>
  <c r="X4" i="82" a="1"/>
  <c r="X4" i="82" s="1"/>
  <c r="R5" i="82" a="1"/>
  <c r="R5" i="82" s="1"/>
  <c r="Z5" i="82" a="1"/>
  <c r="Z5" i="82" s="1"/>
  <c r="AH5" i="82" a="1"/>
  <c r="AH5" i="82" s="1"/>
  <c r="Q5" i="82" a="1"/>
  <c r="Q5" i="82" s="1"/>
  <c r="Y5" i="82" a="1"/>
  <c r="Y5" i="82" s="1"/>
  <c r="AC6" i="81" a="1"/>
  <c r="AC6" i="81" s="1"/>
  <c r="S3" i="82" a="1"/>
  <c r="S3" i="82" s="1"/>
  <c r="AA3" i="82" a="1"/>
  <c r="AA3" i="82" s="1"/>
  <c r="AI3" i="82" a="1"/>
  <c r="AI3" i="82" s="1"/>
  <c r="X3" i="82" a="1"/>
  <c r="X3" i="82" s="1"/>
  <c r="Z7" i="81" a="1"/>
  <c r="Z7" i="81" s="1"/>
  <c r="Q7" i="81" a="1"/>
  <c r="Q7" i="81" s="1"/>
  <c r="X6" i="82" a="1"/>
  <c r="X6" i="82" s="1"/>
  <c r="AF6" i="82" a="1"/>
  <c r="AF6" i="82" s="1"/>
  <c r="W6" i="82" a="1"/>
  <c r="W6" i="82" s="1"/>
  <c r="AC2" i="81" a="1"/>
  <c r="AC2" i="81" s="1"/>
  <c r="Q10" i="82" a="1"/>
  <c r="Q10" i="82" s="1"/>
  <c r="Y10" i="82" a="1"/>
  <c r="Y10" i="82" s="1"/>
  <c r="R2" i="82" a="1"/>
  <c r="R2" i="82" s="1"/>
  <c r="AI2" i="82" a="1"/>
  <c r="AI2" i="82" s="1"/>
  <c r="Q2" i="82" a="1"/>
  <c r="Q2" i="82" s="1"/>
  <c r="AG2" i="82" a="1"/>
  <c r="AG2" i="82" s="1"/>
  <c r="Z2" i="82" a="1"/>
  <c r="Z2" i="82" s="1"/>
  <c r="V11" i="82" a="1"/>
  <c r="V11" i="82" s="1"/>
  <c r="AD11" i="82" a="1"/>
  <c r="AD11" i="82" s="1"/>
  <c r="U11" i="82" a="1"/>
  <c r="U11" i="82" s="1"/>
  <c r="Q7" i="82" a="1"/>
  <c r="Q7" i="82" s="1"/>
  <c r="Y7" i="82" a="1"/>
  <c r="Y7" i="82" s="1"/>
  <c r="AG7" i="82" a="1"/>
  <c r="AG7" i="82" s="1"/>
  <c r="R7" i="82" a="1"/>
  <c r="R7" i="82" s="1"/>
  <c r="Z7" i="82" a="1"/>
  <c r="Z7" i="82" s="1"/>
  <c r="AG4" i="81" a="1"/>
  <c r="AG4" i="81" s="1"/>
  <c r="AA4" i="81" a="1"/>
  <c r="AA4" i="81" s="1"/>
  <c r="Z4" i="81" a="1"/>
  <c r="Z4" i="81" s="1"/>
  <c r="AI11" i="81" a="1"/>
  <c r="AI11" i="81" s="1"/>
  <c r="W8" i="82" a="1"/>
  <c r="W8" i="82" s="1"/>
  <c r="X8" i="82" a="1"/>
  <c r="X8" i="82" s="1"/>
  <c r="U9" i="82" a="1"/>
  <c r="U9" i="82" s="1"/>
  <c r="X9" i="82" a="1"/>
  <c r="X9" i="82" s="1"/>
  <c r="AG5" i="81" a="1"/>
  <c r="AG5" i="81" s="1"/>
  <c r="V6" i="81" a="1"/>
  <c r="V6" i="81" s="1"/>
  <c r="W2" i="81" a="1"/>
  <c r="W2" i="81" s="1"/>
  <c r="T2" i="81" a="1"/>
  <c r="T2" i="81" s="1"/>
  <c r="AF2" i="81" a="1"/>
  <c r="AF2" i="81" s="1"/>
  <c r="X8" i="81" a="1"/>
  <c r="X8" i="81" s="1"/>
  <c r="AF8" i="81" a="1"/>
  <c r="AF8" i="81" s="1"/>
  <c r="W8" i="81" a="1"/>
  <c r="W8" i="81" s="1"/>
  <c r="AE8" i="81" a="1"/>
  <c r="AE8" i="81" s="1"/>
  <c r="W10" i="81" a="1"/>
  <c r="W10" i="81" s="1"/>
  <c r="X10" i="81" a="1"/>
  <c r="X10" i="81" s="1"/>
  <c r="AF10" i="81" a="1"/>
  <c r="AF10" i="81" s="1"/>
  <c r="W9" i="81" a="1"/>
  <c r="W9" i="81" s="1"/>
  <c r="X9" i="81" a="1"/>
  <c r="X9" i="81" s="1"/>
  <c r="AF9" i="81" a="1"/>
  <c r="AF9" i="81" s="1"/>
  <c r="AJ3" i="81" a="1"/>
  <c r="AJ3" i="81" s="1"/>
  <c r="U3" i="81" a="1"/>
  <c r="U3" i="81" s="1"/>
  <c r="V11" i="81" a="1"/>
  <c r="V11" i="81" s="1"/>
  <c r="U11" i="81" a="1"/>
  <c r="U11" i="81" s="1"/>
  <c r="AC11" i="81" a="1"/>
  <c r="AC11" i="81" s="1"/>
  <c r="S5" i="81" a="1"/>
  <c r="S5" i="81" s="1"/>
  <c r="AA5" i="81" a="1"/>
  <c r="AA5" i="81" s="1"/>
  <c r="AI5" i="81" a="1"/>
  <c r="AI5" i="81" s="1"/>
  <c r="V5" i="81" a="1"/>
  <c r="V5" i="81" s="1"/>
  <c r="AD5" i="81" a="1"/>
  <c r="AD5" i="81" s="1"/>
  <c r="T6" i="80" a="1"/>
  <c r="T6" i="80" s="1"/>
  <c r="AD10" i="79" a="1"/>
  <c r="AD10" i="79" s="1"/>
  <c r="V9" i="80" a="1"/>
  <c r="V9" i="80" s="1"/>
  <c r="W6" i="81" a="1"/>
  <c r="W6" i="81" s="1"/>
  <c r="AE6" i="81" a="1"/>
  <c r="AE6" i="81" s="1"/>
  <c r="X6" i="81" a="1"/>
  <c r="X6" i="81" s="1"/>
  <c r="AF6" i="81" a="1"/>
  <c r="AF6" i="81" s="1"/>
  <c r="T7" i="81" a="1"/>
  <c r="T7" i="81" s="1"/>
  <c r="AB7" i="81" a="1"/>
  <c r="AB7" i="81" s="1"/>
  <c r="AJ7" i="81" a="1"/>
  <c r="AJ7" i="81" s="1"/>
  <c r="S7" i="81" a="1"/>
  <c r="S7" i="81" s="1"/>
  <c r="AA7" i="81" a="1"/>
  <c r="AA7" i="81" s="1"/>
  <c r="AI7" i="81" a="1"/>
  <c r="AI7" i="81" s="1"/>
  <c r="Q2" i="81" a="1"/>
  <c r="Q2" i="81" s="1"/>
  <c r="Y2" i="81" a="1"/>
  <c r="Y2" i="81" s="1"/>
  <c r="AB2" i="81" a="1"/>
  <c r="AB2" i="81" s="1"/>
  <c r="V2" i="81" a="1"/>
  <c r="V2" i="81" s="1"/>
  <c r="AJ2" i="81" a="1"/>
  <c r="AJ2" i="81" s="1"/>
  <c r="AG2" i="81" a="1"/>
  <c r="AG2" i="81" s="1"/>
  <c r="R8" i="81" a="1"/>
  <c r="R8" i="81" s="1"/>
  <c r="Z8" i="81" a="1"/>
  <c r="Z8" i="81" s="1"/>
  <c r="AH8" i="81" a="1"/>
  <c r="AH8" i="81" s="1"/>
  <c r="Q8" i="81" a="1"/>
  <c r="Q8" i="81" s="1"/>
  <c r="Y8" i="81" a="1"/>
  <c r="Y8" i="81" s="1"/>
  <c r="AG8" i="81" a="1"/>
  <c r="AG8" i="81" s="1"/>
  <c r="Q10" i="81" a="1"/>
  <c r="Q10" i="81" s="1"/>
  <c r="Y10" i="81" a="1"/>
  <c r="Y10" i="81" s="1"/>
  <c r="AG10" i="81" a="1"/>
  <c r="AG10" i="81" s="1"/>
  <c r="R10" i="81" a="1"/>
  <c r="R10" i="81" s="1"/>
  <c r="Z10" i="81" a="1"/>
  <c r="Z10" i="81" s="1"/>
  <c r="AH10" i="81" a="1"/>
  <c r="AH10" i="81" s="1"/>
  <c r="Q9" i="81" a="1"/>
  <c r="Q9" i="81" s="1"/>
  <c r="Y9" i="81" a="1"/>
  <c r="Y9" i="81" s="1"/>
  <c r="AG9" i="81" a="1"/>
  <c r="AG9" i="81" s="1"/>
  <c r="R9" i="81" a="1"/>
  <c r="R9" i="81" s="1"/>
  <c r="Z9" i="81" a="1"/>
  <c r="Z9" i="81" s="1"/>
  <c r="AH9" i="81" a="1"/>
  <c r="AH9" i="81" s="1"/>
  <c r="X3" i="81" a="1"/>
  <c r="X3" i="81" s="1"/>
  <c r="V3" i="81" a="1"/>
  <c r="V3" i="81" s="1"/>
  <c r="AD3" i="81" a="1"/>
  <c r="AD3" i="81" s="1"/>
  <c r="W3" i="81" a="1"/>
  <c r="W3" i="81" s="1"/>
  <c r="AE3" i="81" a="1"/>
  <c r="AE3" i="81" s="1"/>
  <c r="Y4" i="81" a="1"/>
  <c r="Y4" i="81" s="1"/>
  <c r="AI4" i="81" a="1"/>
  <c r="AI4" i="81" s="1"/>
  <c r="V4" i="81" a="1"/>
  <c r="V4" i="81" s="1"/>
  <c r="AD4" i="81" a="1"/>
  <c r="AD4" i="81" s="1"/>
  <c r="X11" i="81" a="1"/>
  <c r="X11" i="81" s="1"/>
  <c r="AF11" i="81" a="1"/>
  <c r="AF11" i="81" s="1"/>
  <c r="W11" i="81" a="1"/>
  <c r="W11" i="81" s="1"/>
  <c r="AE11" i="81" a="1"/>
  <c r="AE11" i="81" s="1"/>
  <c r="U5" i="81" a="1"/>
  <c r="U5" i="81" s="1"/>
  <c r="AC5" i="81" a="1"/>
  <c r="AC5" i="81" s="1"/>
  <c r="X5" i="81" a="1"/>
  <c r="X5" i="81" s="1"/>
  <c r="AF5" i="81" a="1"/>
  <c r="AF5" i="81" s="1"/>
  <c r="AD6" i="80" a="1"/>
  <c r="AD6" i="80" s="1"/>
  <c r="Z3" i="78" a="1"/>
  <c r="Z3" i="78" s="1"/>
  <c r="AJ3" i="80" a="1"/>
  <c r="AJ3" i="80" s="1"/>
  <c r="Q6" i="81" a="1"/>
  <c r="Q6" i="81" s="1"/>
  <c r="Y6" i="81" a="1"/>
  <c r="Y6" i="81" s="1"/>
  <c r="AG6" i="81" a="1"/>
  <c r="AG6" i="81" s="1"/>
  <c r="R6" i="81" a="1"/>
  <c r="R6" i="81" s="1"/>
  <c r="Z6" i="81" a="1"/>
  <c r="Z6" i="81" s="1"/>
  <c r="V7" i="81" a="1"/>
  <c r="V7" i="81" s="1"/>
  <c r="AD7" i="81" a="1"/>
  <c r="AD7" i="81" s="1"/>
  <c r="U7" i="81" a="1"/>
  <c r="U7" i="81" s="1"/>
  <c r="AC7" i="81" a="1"/>
  <c r="AC7" i="81" s="1"/>
  <c r="S2" i="81" a="1"/>
  <c r="S2" i="81" s="1"/>
  <c r="AD2" i="81" a="1"/>
  <c r="AD2" i="81" s="1"/>
  <c r="X2" i="81" a="1"/>
  <c r="X2" i="81" s="1"/>
  <c r="AA2" i="81" a="1"/>
  <c r="AA2" i="81" s="1"/>
  <c r="T8" i="81" a="1"/>
  <c r="T8" i="81" s="1"/>
  <c r="AB8" i="81" a="1"/>
  <c r="AB8" i="81" s="1"/>
  <c r="AJ8" i="81" a="1"/>
  <c r="AJ8" i="81" s="1"/>
  <c r="S8" i="81" a="1"/>
  <c r="S8" i="81" s="1"/>
  <c r="AA8" i="81" a="1"/>
  <c r="AA8" i="81" s="1"/>
  <c r="AI8" i="81" a="1"/>
  <c r="AI8" i="81" s="1"/>
  <c r="S10" i="81" a="1"/>
  <c r="S10" i="81" s="1"/>
  <c r="AA10" i="81" a="1"/>
  <c r="AA10" i="81" s="1"/>
  <c r="AI10" i="81" a="1"/>
  <c r="AI10" i="81" s="1"/>
  <c r="T10" i="81" a="1"/>
  <c r="T10" i="81" s="1"/>
  <c r="AB10" i="81" a="1"/>
  <c r="AB10" i="81" s="1"/>
  <c r="AJ10" i="81" a="1"/>
  <c r="AJ10" i="81" s="1"/>
  <c r="S9" i="81" a="1"/>
  <c r="S9" i="81" s="1"/>
  <c r="AA9" i="81" a="1"/>
  <c r="AA9" i="81" s="1"/>
  <c r="AI9" i="81" a="1"/>
  <c r="AI9" i="81" s="1"/>
  <c r="T9" i="81" a="1"/>
  <c r="T9" i="81" s="1"/>
  <c r="AB9" i="81" a="1"/>
  <c r="AB9" i="81" s="1"/>
  <c r="AJ9" i="81" a="1"/>
  <c r="AJ9" i="81" s="1"/>
  <c r="AB3" i="81" a="1"/>
  <c r="AB3" i="81" s="1"/>
  <c r="Z3" i="81" a="1"/>
  <c r="Z3" i="81" s="1"/>
  <c r="AF3" i="81" a="1"/>
  <c r="AF3" i="81" s="1"/>
  <c r="Q3" i="81" a="1"/>
  <c r="Q3" i="81" s="1"/>
  <c r="Y3" i="81" a="1"/>
  <c r="Y3" i="81" s="1"/>
  <c r="AG3" i="81" a="1"/>
  <c r="AG3" i="81" s="1"/>
  <c r="W4" i="81" a="1"/>
  <c r="W4" i="81" s="1"/>
  <c r="X4" i="81" a="1"/>
  <c r="X4" i="81" s="1"/>
  <c r="R11" i="81" a="1"/>
  <c r="R11" i="81" s="1"/>
  <c r="Z11" i="81" a="1"/>
  <c r="Z11" i="81" s="1"/>
  <c r="AH11" i="81" a="1"/>
  <c r="AH11" i="81" s="1"/>
  <c r="Q11" i="81" a="1"/>
  <c r="Q11" i="81" s="1"/>
  <c r="Y11" i="81" a="1"/>
  <c r="Y11" i="81" s="1"/>
  <c r="AG11" i="81" a="1"/>
  <c r="AG11" i="81" s="1"/>
  <c r="W5" i="81" a="1"/>
  <c r="W5" i="81" s="1"/>
  <c r="AE5" i="81" a="1"/>
  <c r="AE5" i="81" s="1"/>
  <c r="R5" i="81" a="1"/>
  <c r="R5" i="81" s="1"/>
  <c r="Z5" i="81" a="1"/>
  <c r="Z5" i="81" s="1"/>
  <c r="AH5" i="81" a="1"/>
  <c r="AH5" i="81" s="1"/>
  <c r="AA10" i="78" a="1"/>
  <c r="AA10" i="78" s="1"/>
  <c r="AE7" i="79" a="1"/>
  <c r="AE7" i="79" s="1"/>
  <c r="AC5" i="80" a="1"/>
  <c r="AC5" i="80" s="1"/>
  <c r="AF8" i="80" a="1"/>
  <c r="AF8" i="80" s="1"/>
  <c r="S3" i="80" a="1"/>
  <c r="S3" i="80" s="1"/>
  <c r="S6" i="81" a="1"/>
  <c r="S6" i="81" s="1"/>
  <c r="AA6" i="81" a="1"/>
  <c r="AA6" i="81" s="1"/>
  <c r="AI6" i="81" a="1"/>
  <c r="AI6" i="81" s="1"/>
  <c r="T6" i="81" a="1"/>
  <c r="T6" i="81" s="1"/>
  <c r="AB6" i="81" a="1"/>
  <c r="AB6" i="81" s="1"/>
  <c r="X7" i="81" a="1"/>
  <c r="X7" i="81" s="1"/>
  <c r="AF7" i="81" a="1"/>
  <c r="AF7" i="81" s="1"/>
  <c r="W7" i="81" a="1"/>
  <c r="W7" i="81" s="1"/>
  <c r="U2" i="81" a="1"/>
  <c r="U2" i="81" s="1"/>
  <c r="AH2" i="81" a="1"/>
  <c r="AH2" i="81" s="1"/>
  <c r="R2" i="81" a="1"/>
  <c r="R2" i="81" s="1"/>
  <c r="Z2" i="81" a="1"/>
  <c r="Z2" i="81" s="1"/>
  <c r="V8" i="81" a="1"/>
  <c r="V8" i="81" s="1"/>
  <c r="AD8" i="81" a="1"/>
  <c r="AD8" i="81" s="1"/>
  <c r="U8" i="81" a="1"/>
  <c r="U8" i="81" s="1"/>
  <c r="U10" i="81" a="1"/>
  <c r="U10" i="81" s="1"/>
  <c r="AC10" i="81" a="1"/>
  <c r="AC10" i="81" s="1"/>
  <c r="V10" i="81" a="1"/>
  <c r="V10" i="81" s="1"/>
  <c r="U9" i="81" a="1"/>
  <c r="U9" i="81" s="1"/>
  <c r="AC9" i="81" a="1"/>
  <c r="AC9" i="81" s="1"/>
  <c r="V9" i="81" a="1"/>
  <c r="V9" i="81" s="1"/>
  <c r="AH3" i="81" a="1"/>
  <c r="AH3" i="81" s="1"/>
  <c r="S3" i="81" a="1"/>
  <c r="S3" i="81" s="1"/>
  <c r="AA3" i="81" a="1"/>
  <c r="AA3" i="81" s="1"/>
  <c r="T11" i="81" a="1"/>
  <c r="T11" i="81" s="1"/>
  <c r="AB11" i="81" a="1"/>
  <c r="AB11" i="81" s="1"/>
  <c r="AJ11" i="81" a="1"/>
  <c r="AJ11" i="81" s="1"/>
  <c r="AA11" i="81" a="1"/>
  <c r="AA11" i="81" s="1"/>
  <c r="Y5" i="81" a="1"/>
  <c r="Y5" i="81" s="1"/>
  <c r="T5" i="81" a="1"/>
  <c r="T5" i="81" s="1"/>
  <c r="AB5" i="81" a="1"/>
  <c r="AB5" i="81" s="1"/>
  <c r="X7" i="80" a="1"/>
  <c r="X7" i="80" s="1"/>
  <c r="AF4" i="80" a="1"/>
  <c r="AF4" i="80" s="1"/>
  <c r="AG11" i="80" a="1"/>
  <c r="AG11" i="80" s="1"/>
  <c r="AH3" i="79" a="1"/>
  <c r="AH3" i="79" s="1"/>
  <c r="T9" i="79" a="1"/>
  <c r="T9" i="79" s="1"/>
  <c r="AG9" i="80" a="1"/>
  <c r="AG9" i="80" s="1"/>
  <c r="AJ9" i="80" a="1"/>
  <c r="AJ9" i="80" s="1"/>
  <c r="T4" i="78" a="1"/>
  <c r="T4" i="78" s="1"/>
  <c r="AH8" i="80" a="1"/>
  <c r="AH8" i="80" s="1"/>
  <c r="AA3" i="80" a="1"/>
  <c r="AA3" i="80" s="1"/>
  <c r="T3" i="80" a="1"/>
  <c r="T3" i="80" s="1"/>
  <c r="AI3" i="80" a="1"/>
  <c r="AI3" i="80" s="1"/>
  <c r="AB3" i="80" a="1"/>
  <c r="AB3" i="80" s="1"/>
  <c r="AI11" i="78" a="1"/>
  <c r="AI11" i="78" s="1"/>
  <c r="Y7" i="80" a="1"/>
  <c r="Y7" i="80" s="1"/>
  <c r="T10" i="79" a="1"/>
  <c r="T10" i="79" s="1"/>
  <c r="X2" i="80" a="1"/>
  <c r="X2" i="80" s="1"/>
  <c r="X5" i="80" a="1"/>
  <c r="X5" i="80" s="1"/>
  <c r="AC8" i="79" a="1"/>
  <c r="AC8" i="79" s="1"/>
  <c r="S3" i="79" a="1"/>
  <c r="S3" i="79" s="1"/>
  <c r="X9" i="80" a="1"/>
  <c r="X9" i="80" s="1"/>
  <c r="Z9" i="80" a="1"/>
  <c r="Z9" i="80" s="1"/>
  <c r="AC8" i="80" a="1"/>
  <c r="AC8" i="80" s="1"/>
  <c r="AE3" i="80" a="1"/>
  <c r="AE3" i="80" s="1"/>
  <c r="AC6" i="80" a="1"/>
  <c r="AC6" i="80" s="1"/>
  <c r="AE6" i="80" a="1"/>
  <c r="AE6" i="80" s="1"/>
  <c r="V7" i="80" a="1"/>
  <c r="V7" i="80" s="1"/>
  <c r="U4" i="80" a="1"/>
  <c r="U4" i="80" s="1"/>
  <c r="AJ6" i="78" a="1"/>
  <c r="AJ6" i="78" s="1"/>
  <c r="AJ11" i="80" a="1"/>
  <c r="AJ11" i="80" s="1"/>
  <c r="Q9" i="80" a="1"/>
  <c r="Q9" i="80" s="1"/>
  <c r="AH3" i="80" a="1"/>
  <c r="AH3" i="80" s="1"/>
  <c r="W6" i="80" a="1"/>
  <c r="W6" i="80" s="1"/>
  <c r="AF10" i="80" a="1"/>
  <c r="AF10" i="80" s="1"/>
  <c r="AG10" i="80" a="1"/>
  <c r="AG10" i="80" s="1"/>
  <c r="AF2" i="80" a="1"/>
  <c r="AF2" i="80" s="1"/>
  <c r="W2" i="80" a="1"/>
  <c r="W2" i="80" s="1"/>
  <c r="AE2" i="80" a="1"/>
  <c r="AE2" i="80" s="1"/>
  <c r="W8" i="80" a="1"/>
  <c r="W8" i="80" s="1"/>
  <c r="R8" i="80" a="1"/>
  <c r="R8" i="80" s="1"/>
  <c r="AD4" i="79" a="1"/>
  <c r="AD4" i="79" s="1"/>
  <c r="T11" i="78" a="1"/>
  <c r="T11" i="78" s="1"/>
  <c r="AB6" i="80" a="1"/>
  <c r="AB6" i="80" s="1"/>
  <c r="X6" i="80" a="1"/>
  <c r="X6" i="80" s="1"/>
  <c r="AH6" i="80" a="1"/>
  <c r="AH6" i="80" s="1"/>
  <c r="Q6" i="80" a="1"/>
  <c r="Q6" i="80" s="1"/>
  <c r="Y6" i="80" a="1"/>
  <c r="Y6" i="80" s="1"/>
  <c r="AG6" i="80" a="1"/>
  <c r="AG6" i="80" s="1"/>
  <c r="T10" i="78" a="1"/>
  <c r="T10" i="78" s="1"/>
  <c r="Z7" i="80" a="1"/>
  <c r="Z7" i="80" s="1"/>
  <c r="Q7" i="80" a="1"/>
  <c r="Q7" i="80" s="1"/>
  <c r="AI7" i="80" a="1"/>
  <c r="AI7" i="80" s="1"/>
  <c r="AB7" i="80" a="1"/>
  <c r="AB7" i="80" s="1"/>
  <c r="R7" i="80" a="1"/>
  <c r="R7" i="80" s="1"/>
  <c r="AG7" i="80" a="1"/>
  <c r="AG7" i="80" s="1"/>
  <c r="AE10" i="79" a="1"/>
  <c r="AE10" i="79" s="1"/>
  <c r="W6" i="79" a="1"/>
  <c r="W6" i="79" s="1"/>
  <c r="AC9" i="78" a="1"/>
  <c r="AC9" i="78" s="1"/>
  <c r="Y4" i="80" a="1"/>
  <c r="Y4" i="80" s="1"/>
  <c r="R4" i="80" a="1"/>
  <c r="R4" i="80" s="1"/>
  <c r="AH4" i="80" a="1"/>
  <c r="AH4" i="80" s="1"/>
  <c r="AA4" i="80" a="1"/>
  <c r="AA4" i="80" s="1"/>
  <c r="X4" i="80" a="1"/>
  <c r="X4" i="80" s="1"/>
  <c r="AJ4" i="80" a="1"/>
  <c r="AJ4" i="80" s="1"/>
  <c r="R10" i="80" a="1"/>
  <c r="R10" i="80" s="1"/>
  <c r="Z10" i="80" a="1"/>
  <c r="Z10" i="80" s="1"/>
  <c r="AH10" i="80" a="1"/>
  <c r="AH10" i="80" s="1"/>
  <c r="S10" i="80" a="1"/>
  <c r="S10" i="80" s="1"/>
  <c r="AA10" i="80" a="1"/>
  <c r="AA10" i="80" s="1"/>
  <c r="AI10" i="80" a="1"/>
  <c r="AI10" i="80" s="1"/>
  <c r="Z5" i="79" a="1"/>
  <c r="Z5" i="79" s="1"/>
  <c r="Y5" i="79" a="1"/>
  <c r="Y5" i="79" s="1"/>
  <c r="Z2" i="79" a="1"/>
  <c r="Z2" i="79" s="1"/>
  <c r="Y2" i="79" a="1"/>
  <c r="Y2" i="79" s="1"/>
  <c r="R2" i="80" a="1"/>
  <c r="R2" i="80" s="1"/>
  <c r="Z2" i="80" a="1"/>
  <c r="Z2" i="80" s="1"/>
  <c r="AH2" i="80" a="1"/>
  <c r="AH2" i="80" s="1"/>
  <c r="Q2" i="80" a="1"/>
  <c r="Q2" i="80" s="1"/>
  <c r="Y2" i="80" a="1"/>
  <c r="Y2" i="80" s="1"/>
  <c r="AG2" i="80" a="1"/>
  <c r="AG2" i="80" s="1"/>
  <c r="U7" i="79" a="1"/>
  <c r="U7" i="79" s="1"/>
  <c r="R5" i="80" a="1"/>
  <c r="R5" i="80" s="1"/>
  <c r="Z5" i="80" a="1"/>
  <c r="Z5" i="80" s="1"/>
  <c r="AH5" i="80" a="1"/>
  <c r="AH5" i="80" s="1"/>
  <c r="Q5" i="80" a="1"/>
  <c r="Q5" i="80" s="1"/>
  <c r="Y5" i="80" a="1"/>
  <c r="Y5" i="80" s="1"/>
  <c r="AG5" i="80" a="1"/>
  <c r="AG5" i="80" s="1"/>
  <c r="X8" i="79" a="1"/>
  <c r="X8" i="79" s="1"/>
  <c r="Q11" i="80" a="1"/>
  <c r="Q11" i="80" s="1"/>
  <c r="R11" i="80" a="1"/>
  <c r="R11" i="80" s="1"/>
  <c r="S11" i="80" a="1"/>
  <c r="S11" i="80" s="1"/>
  <c r="U11" i="80" a="1"/>
  <c r="U11" i="80" s="1"/>
  <c r="AC11" i="80" a="1"/>
  <c r="AC11" i="80" s="1"/>
  <c r="AA3" i="79" a="1"/>
  <c r="AA3" i="79" s="1"/>
  <c r="T3" i="79" a="1"/>
  <c r="T3" i="79" s="1"/>
  <c r="AE9" i="79" a="1"/>
  <c r="AE9" i="79" s="1"/>
  <c r="Q9" i="79" a="1"/>
  <c r="Q9" i="79" s="1"/>
  <c r="AE9" i="80" a="1"/>
  <c r="AE9" i="80" s="1"/>
  <c r="AB9" i="80" a="1"/>
  <c r="AB9" i="80" s="1"/>
  <c r="U9" i="80" a="1"/>
  <c r="U9" i="80" s="1"/>
  <c r="AD9" i="80" a="1"/>
  <c r="AD9" i="80" s="1"/>
  <c r="S4" i="78" a="1"/>
  <c r="S4" i="78" s="1"/>
  <c r="Q8" i="80" a="1"/>
  <c r="Q8" i="80" s="1"/>
  <c r="Y8" i="80" a="1"/>
  <c r="Y8" i="80" s="1"/>
  <c r="AG8" i="80" a="1"/>
  <c r="AG8" i="80" s="1"/>
  <c r="T8" i="80" a="1"/>
  <c r="T8" i="80" s="1"/>
  <c r="AB8" i="80" a="1"/>
  <c r="AB8" i="80" s="1"/>
  <c r="AJ8" i="80" a="1"/>
  <c r="AJ8" i="80" s="1"/>
  <c r="AD11" i="79" a="1"/>
  <c r="AD11" i="79" s="1"/>
  <c r="U3" i="80" a="1"/>
  <c r="U3" i="80" s="1"/>
  <c r="AC3" i="80" a="1"/>
  <c r="AC3" i="80" s="1"/>
  <c r="V3" i="80" a="1"/>
  <c r="V3" i="80" s="1"/>
  <c r="AD3" i="80" a="1"/>
  <c r="AD3" i="80" s="1"/>
  <c r="AE7" i="80" a="1"/>
  <c r="AE7" i="80" s="1"/>
  <c r="AC7" i="80" a="1"/>
  <c r="AC7" i="80" s="1"/>
  <c r="AD4" i="80" a="1"/>
  <c r="AD4" i="80" s="1"/>
  <c r="T4" i="80" a="1"/>
  <c r="T4" i="80" s="1"/>
  <c r="Q10" i="80" a="1"/>
  <c r="Q10" i="80" s="1"/>
  <c r="AA11" i="80" a="1"/>
  <c r="AA11" i="80" s="1"/>
  <c r="AI11" i="80" a="1"/>
  <c r="AI11" i="80" s="1"/>
  <c r="Z8" i="80" a="1"/>
  <c r="Z8" i="80" s="1"/>
  <c r="AB11" i="78" a="1"/>
  <c r="AB11" i="78" s="1"/>
  <c r="R6" i="80" a="1"/>
  <c r="R6" i="80" s="1"/>
  <c r="AJ6" i="80" a="1"/>
  <c r="AJ6" i="80" s="1"/>
  <c r="S6" i="80" a="1"/>
  <c r="S6" i="80" s="1"/>
  <c r="AA6" i="80" a="1"/>
  <c r="AA6" i="80" s="1"/>
  <c r="AI6" i="80" a="1"/>
  <c r="AI6" i="80" s="1"/>
  <c r="AD7" i="80" a="1"/>
  <c r="AD7" i="80" s="1"/>
  <c r="W7" i="80" a="1"/>
  <c r="W7" i="80" s="1"/>
  <c r="AF7" i="80" a="1"/>
  <c r="AF7" i="80" s="1"/>
  <c r="U7" i="80" a="1"/>
  <c r="U7" i="80" s="1"/>
  <c r="AC4" i="80" a="1"/>
  <c r="AC4" i="80" s="1"/>
  <c r="V4" i="80" a="1"/>
  <c r="V4" i="80" s="1"/>
  <c r="AE4" i="80" a="1"/>
  <c r="AE4" i="80" s="1"/>
  <c r="AB4" i="80" a="1"/>
  <c r="AB4" i="80" s="1"/>
  <c r="T10" i="80" a="1"/>
  <c r="T10" i="80" s="1"/>
  <c r="AB10" i="80" a="1"/>
  <c r="AB10" i="80" s="1"/>
  <c r="AJ10" i="80" a="1"/>
  <c r="AJ10" i="80" s="1"/>
  <c r="U10" i="80" a="1"/>
  <c r="U10" i="80" s="1"/>
  <c r="AC10" i="80" a="1"/>
  <c r="AC10" i="80" s="1"/>
  <c r="AB5" i="79" a="1"/>
  <c r="AB5" i="79" s="1"/>
  <c r="AA5" i="79" a="1"/>
  <c r="AA5" i="79" s="1"/>
  <c r="AB2" i="79" a="1"/>
  <c r="AB2" i="79" s="1"/>
  <c r="AA2" i="79" a="1"/>
  <c r="AA2" i="79" s="1"/>
  <c r="T2" i="80" a="1"/>
  <c r="T2" i="80" s="1"/>
  <c r="AB2" i="80" a="1"/>
  <c r="AB2" i="80" s="1"/>
  <c r="AJ2" i="80" a="1"/>
  <c r="AJ2" i="80" s="1"/>
  <c r="S2" i="80" a="1"/>
  <c r="S2" i="80" s="1"/>
  <c r="AA2" i="80" a="1"/>
  <c r="AA2" i="80" s="1"/>
  <c r="AI2" i="80" a="1"/>
  <c r="AI2" i="80" s="1"/>
  <c r="V7" i="79" a="1"/>
  <c r="V7" i="79" s="1"/>
  <c r="T5" i="80" a="1"/>
  <c r="T5" i="80" s="1"/>
  <c r="AB5" i="80" a="1"/>
  <c r="AB5" i="80" s="1"/>
  <c r="AJ5" i="80" a="1"/>
  <c r="AJ5" i="80" s="1"/>
  <c r="S5" i="80" a="1"/>
  <c r="S5" i="80" s="1"/>
  <c r="AA5" i="80" a="1"/>
  <c r="AA5" i="80" s="1"/>
  <c r="AI5" i="80" a="1"/>
  <c r="AI5" i="80" s="1"/>
  <c r="T11" i="80" a="1"/>
  <c r="T11" i="80" s="1"/>
  <c r="V11" i="80" a="1"/>
  <c r="V11" i="80" s="1"/>
  <c r="X11" i="80" a="1"/>
  <c r="X11" i="80" s="1"/>
  <c r="Z11" i="80" a="1"/>
  <c r="Z11" i="80" s="1"/>
  <c r="W11" i="80" a="1"/>
  <c r="W11" i="80" s="1"/>
  <c r="AE11" i="80" a="1"/>
  <c r="AE11" i="80" s="1"/>
  <c r="R3" i="79" a="1"/>
  <c r="R3" i="79" s="1"/>
  <c r="AI3" i="79" a="1"/>
  <c r="AI3" i="79" s="1"/>
  <c r="AB3" i="79" a="1"/>
  <c r="AB3" i="79" s="1"/>
  <c r="R9" i="79" a="1"/>
  <c r="R9" i="79" s="1"/>
  <c r="S9" i="80" a="1"/>
  <c r="S9" i="80" s="1"/>
  <c r="AI9" i="80" a="1"/>
  <c r="AI9" i="80" s="1"/>
  <c r="AF9" i="80" a="1"/>
  <c r="AF9" i="80" s="1"/>
  <c r="Y9" i="80" a="1"/>
  <c r="Y9" i="80" s="1"/>
  <c r="R9" i="80" a="1"/>
  <c r="R9" i="80" s="1"/>
  <c r="AH9" i="80" a="1"/>
  <c r="AH9" i="80" s="1"/>
  <c r="S8" i="80" a="1"/>
  <c r="S8" i="80" s="1"/>
  <c r="AA8" i="80" a="1"/>
  <c r="AA8" i="80" s="1"/>
  <c r="AI8" i="80" a="1"/>
  <c r="AI8" i="80" s="1"/>
  <c r="V8" i="80" a="1"/>
  <c r="V8" i="80" s="1"/>
  <c r="AD8" i="80" a="1"/>
  <c r="AD8" i="80" s="1"/>
  <c r="W3" i="80" a="1"/>
  <c r="W3" i="80" s="1"/>
  <c r="X3" i="80" a="1"/>
  <c r="X3" i="80" s="1"/>
  <c r="AF3" i="80" a="1"/>
  <c r="AF3" i="80" s="1"/>
  <c r="W4" i="80" a="1"/>
  <c r="W4" i="80" s="1"/>
  <c r="X10" i="80" a="1"/>
  <c r="X10" i="80" s="1"/>
  <c r="Y10" i="80" a="1"/>
  <c r="Y10" i="80" s="1"/>
  <c r="AF5" i="80" a="1"/>
  <c r="AF5" i="80" s="1"/>
  <c r="W5" i="80" a="1"/>
  <c r="W5" i="80" s="1"/>
  <c r="AE5" i="80" a="1"/>
  <c r="AE5" i="80" s="1"/>
  <c r="AE8" i="80" a="1"/>
  <c r="AE8" i="80" s="1"/>
  <c r="AI4" i="79" a="1"/>
  <c r="AI4" i="79" s="1"/>
  <c r="V6" i="80" a="1"/>
  <c r="V6" i="80" s="1"/>
  <c r="Z6" i="80" a="1"/>
  <c r="Z6" i="80" s="1"/>
  <c r="U6" i="80" a="1"/>
  <c r="U6" i="80" s="1"/>
  <c r="S10" i="78" a="1"/>
  <c r="S10" i="78" s="1"/>
  <c r="S7" i="80" a="1"/>
  <c r="S7" i="80" s="1"/>
  <c r="AH7" i="80" a="1"/>
  <c r="AH7" i="80" s="1"/>
  <c r="AA7" i="80" a="1"/>
  <c r="AA7" i="80" s="1"/>
  <c r="T7" i="80" a="1"/>
  <c r="T7" i="80" s="1"/>
  <c r="AJ7" i="80" a="1"/>
  <c r="AJ7" i="80" s="1"/>
  <c r="AD6" i="79" a="1"/>
  <c r="AD6" i="79" s="1"/>
  <c r="Q4" i="80" a="1"/>
  <c r="Q4" i="80" s="1"/>
  <c r="AG4" i="80" a="1"/>
  <c r="AG4" i="80" s="1"/>
  <c r="Z4" i="80" a="1"/>
  <c r="Z4" i="80" s="1"/>
  <c r="S4" i="80" a="1"/>
  <c r="S4" i="80" s="1"/>
  <c r="AI4" i="80" a="1"/>
  <c r="AI4" i="80" s="1"/>
  <c r="AA6" i="78" a="1"/>
  <c r="AA6" i="78" s="1"/>
  <c r="V10" i="80" a="1"/>
  <c r="V10" i="80" s="1"/>
  <c r="AD10" i="80" a="1"/>
  <c r="AD10" i="80" s="1"/>
  <c r="W10" i="80" a="1"/>
  <c r="W10" i="80" s="1"/>
  <c r="R5" i="79" a="1"/>
  <c r="R5" i="79" s="1"/>
  <c r="AH5" i="79" a="1"/>
  <c r="AH5" i="79" s="1"/>
  <c r="Q5" i="79" a="1"/>
  <c r="Q5" i="79" s="1"/>
  <c r="AG5" i="79" a="1"/>
  <c r="AG5" i="79" s="1"/>
  <c r="R2" i="79" a="1"/>
  <c r="R2" i="79" s="1"/>
  <c r="AH2" i="79" a="1"/>
  <c r="AH2" i="79" s="1"/>
  <c r="Q2" i="79" a="1"/>
  <c r="Q2" i="79" s="1"/>
  <c r="AG2" i="79" a="1"/>
  <c r="AG2" i="79" s="1"/>
  <c r="V2" i="80" a="1"/>
  <c r="V2" i="80" s="1"/>
  <c r="AD2" i="80" a="1"/>
  <c r="AD2" i="80" s="1"/>
  <c r="U2" i="80" a="1"/>
  <c r="U2" i="80" s="1"/>
  <c r="AJ7" i="79" a="1"/>
  <c r="AJ7" i="79" s="1"/>
  <c r="V5" i="80" a="1"/>
  <c r="V5" i="80" s="1"/>
  <c r="AD5" i="80" a="1"/>
  <c r="AD5" i="80" s="1"/>
  <c r="U5" i="80" a="1"/>
  <c r="U5" i="80" s="1"/>
  <c r="AB11" i="80" a="1"/>
  <c r="AB11" i="80" s="1"/>
  <c r="AD11" i="80" a="1"/>
  <c r="AD11" i="80" s="1"/>
  <c r="AF11" i="80" a="1"/>
  <c r="AF11" i="80" s="1"/>
  <c r="AH11" i="80" a="1"/>
  <c r="AH11" i="80" s="1"/>
  <c r="Y11" i="80" a="1"/>
  <c r="Y11" i="80" s="1"/>
  <c r="AJ3" i="79" a="1"/>
  <c r="AJ3" i="79" s="1"/>
  <c r="W9" i="80" a="1"/>
  <c r="W9" i="80" s="1"/>
  <c r="T9" i="80" a="1"/>
  <c r="T9" i="80" s="1"/>
  <c r="AC9" i="80" a="1"/>
  <c r="AC9" i="80" s="1"/>
  <c r="U8" i="80" a="1"/>
  <c r="U8" i="80" s="1"/>
  <c r="X8" i="80" a="1"/>
  <c r="X8" i="80" s="1"/>
  <c r="W11" i="79" a="1"/>
  <c r="W11" i="79" s="1"/>
  <c r="Q3" i="80" a="1"/>
  <c r="Q3" i="80" s="1"/>
  <c r="Y3" i="80" a="1"/>
  <c r="Y3" i="80" s="1"/>
  <c r="AG3" i="80" a="1"/>
  <c r="AG3" i="80" s="1"/>
  <c r="R3" i="80" a="1"/>
  <c r="R3" i="80" s="1"/>
  <c r="Z3" i="80" a="1"/>
  <c r="Z3" i="80" s="1"/>
  <c r="AD8" i="78" a="1"/>
  <c r="AD8" i="78" s="1"/>
  <c r="AE7" i="78" a="1"/>
  <c r="AE7" i="78" s="1"/>
  <c r="Y10" i="79" a="1"/>
  <c r="Y10" i="79" s="1"/>
  <c r="AE6" i="79" a="1"/>
  <c r="AE6" i="79" s="1"/>
  <c r="X6" i="79" a="1"/>
  <c r="X6" i="79" s="1"/>
  <c r="W8" i="79" a="1"/>
  <c r="W8" i="79" s="1"/>
  <c r="AG9" i="79" a="1"/>
  <c r="AG9" i="79" s="1"/>
  <c r="X11" i="79" a="1"/>
  <c r="X11" i="79" s="1"/>
  <c r="Q4" i="79" a="1"/>
  <c r="Q4" i="79" s="1"/>
  <c r="Y4" i="79" a="1"/>
  <c r="Y4" i="79" s="1"/>
  <c r="T4" i="79" a="1"/>
  <c r="T4" i="79" s="1"/>
  <c r="AB4" i="79" a="1"/>
  <c r="AB4" i="79" s="1"/>
  <c r="AG4" i="79" a="1"/>
  <c r="AG4" i="79" s="1"/>
  <c r="AE11" i="78" a="1"/>
  <c r="AE11" i="78" s="1"/>
  <c r="AJ11" i="78" a="1"/>
  <c r="AJ11" i="78" s="1"/>
  <c r="AC2" i="78" a="1"/>
  <c r="AC2" i="78" s="1"/>
  <c r="AB10" i="78" a="1"/>
  <c r="AB10" i="78" s="1"/>
  <c r="AI5" i="78" a="1"/>
  <c r="AI5" i="78" s="1"/>
  <c r="AB10" i="79" a="1"/>
  <c r="AB10" i="79" s="1"/>
  <c r="Q10" i="79" a="1"/>
  <c r="Q10" i="79" s="1"/>
  <c r="R10" i="79" a="1"/>
  <c r="R10" i="79" s="1"/>
  <c r="S10" i="79" a="1"/>
  <c r="S10" i="79" s="1"/>
  <c r="AA10" i="79" a="1"/>
  <c r="AA10" i="79" s="1"/>
  <c r="AI10" i="79" a="1"/>
  <c r="AI10" i="79" s="1"/>
  <c r="Q6" i="79" a="1"/>
  <c r="Q6" i="79" s="1"/>
  <c r="Y6" i="79" a="1"/>
  <c r="Y6" i="79" s="1"/>
  <c r="AG6" i="79" a="1"/>
  <c r="AG6" i="79" s="1"/>
  <c r="R6" i="79" a="1"/>
  <c r="R6" i="79" s="1"/>
  <c r="Z6" i="79" a="1"/>
  <c r="Z6" i="79" s="1"/>
  <c r="AH6" i="79" a="1"/>
  <c r="AH6" i="79" s="1"/>
  <c r="AF9" i="78" a="1"/>
  <c r="AF9" i="78" s="1"/>
  <c r="AB6" i="78" a="1"/>
  <c r="AB6" i="78" s="1"/>
  <c r="S6" i="78" a="1"/>
  <c r="S6" i="78" s="1"/>
  <c r="W7" i="79" a="1"/>
  <c r="W7" i="79" s="1"/>
  <c r="X7" i="79" a="1"/>
  <c r="X7" i="79" s="1"/>
  <c r="AF7" i="79" a="1"/>
  <c r="AF7" i="79" s="1"/>
  <c r="R8" i="79" a="1"/>
  <c r="R8" i="79" s="1"/>
  <c r="Z8" i="79" a="1"/>
  <c r="Z8" i="79" s="1"/>
  <c r="AH8" i="79" a="1"/>
  <c r="AH8" i="79" s="1"/>
  <c r="Q8" i="79" a="1"/>
  <c r="Q8" i="79" s="1"/>
  <c r="Y8" i="79" a="1"/>
  <c r="Y8" i="79" s="1"/>
  <c r="AG8" i="79" a="1"/>
  <c r="AG8" i="79" s="1"/>
  <c r="U3" i="79" a="1"/>
  <c r="U3" i="79" s="1"/>
  <c r="AC3" i="79" a="1"/>
  <c r="AC3" i="79" s="1"/>
  <c r="V3" i="79" a="1"/>
  <c r="V3" i="79" s="1"/>
  <c r="AD3" i="79" a="1"/>
  <c r="AD3" i="79" s="1"/>
  <c r="V9" i="79" a="1"/>
  <c r="V9" i="79" s="1"/>
  <c r="S9" i="79" a="1"/>
  <c r="S9" i="79" s="1"/>
  <c r="X9" i="79" a="1"/>
  <c r="X9" i="79" s="1"/>
  <c r="AF9" i="79" a="1"/>
  <c r="AF9" i="79" s="1"/>
  <c r="AA9" i="79" a="1"/>
  <c r="AA9" i="79" s="1"/>
  <c r="AI9" i="79" a="1"/>
  <c r="AI9" i="79" s="1"/>
  <c r="X4" i="78" a="1"/>
  <c r="X4" i="78" s="1"/>
  <c r="AG4" i="78" a="1"/>
  <c r="AG4" i="78" s="1"/>
  <c r="AE3" i="78" a="1"/>
  <c r="AE3" i="78" s="1"/>
  <c r="AD3" i="78" a="1"/>
  <c r="AD3" i="78" s="1"/>
  <c r="Q3" i="78" a="1"/>
  <c r="Q3" i="78" s="1"/>
  <c r="Q11" i="79" a="1"/>
  <c r="Q11" i="79" s="1"/>
  <c r="Y11" i="79" a="1"/>
  <c r="Y11" i="79" s="1"/>
  <c r="AG11" i="79" a="1"/>
  <c r="AG11" i="79" s="1"/>
  <c r="R11" i="79" a="1"/>
  <c r="R11" i="79" s="1"/>
  <c r="Z11" i="79" a="1"/>
  <c r="Z11" i="79" s="1"/>
  <c r="AH11" i="79" a="1"/>
  <c r="AH11" i="79" s="1"/>
  <c r="AH7" i="78" a="1"/>
  <c r="AH7" i="78" s="1"/>
  <c r="AD7" i="79" a="1"/>
  <c r="AD7" i="79" s="1"/>
  <c r="AD9" i="79" a="1"/>
  <c r="AD9" i="79" s="1"/>
  <c r="AE4" i="78" a="1"/>
  <c r="AE4" i="78" s="1"/>
  <c r="AE11" i="79" a="1"/>
  <c r="AE11" i="79" s="1"/>
  <c r="AG7" i="78" a="1"/>
  <c r="AG7" i="78" s="1"/>
  <c r="Z7" i="78" a="1"/>
  <c r="Z7" i="78" s="1"/>
  <c r="S4" i="79" a="1"/>
  <c r="S4" i="79" s="1"/>
  <c r="AA4" i="79" a="1"/>
  <c r="AA4" i="79" s="1"/>
  <c r="AE4" i="79" a="1"/>
  <c r="AE4" i="79" s="1"/>
  <c r="V4" i="79" a="1"/>
  <c r="V4" i="79" s="1"/>
  <c r="AF4" i="79" a="1"/>
  <c r="AF4" i="79" s="1"/>
  <c r="AJ4" i="79" a="1"/>
  <c r="AJ4" i="79" s="1"/>
  <c r="S11" i="78" a="1"/>
  <c r="S11" i="78" s="1"/>
  <c r="AH11" i="78" a="1"/>
  <c r="AH11" i="78" s="1"/>
  <c r="AJ10" i="78" a="1"/>
  <c r="AJ10" i="78" s="1"/>
  <c r="T5" i="78" a="1"/>
  <c r="T5" i="78" s="1"/>
  <c r="AJ10" i="79" a="1"/>
  <c r="AJ10" i="79" s="1"/>
  <c r="X10" i="79" a="1"/>
  <c r="X10" i="79" s="1"/>
  <c r="Z10" i="79" a="1"/>
  <c r="Z10" i="79" s="1"/>
  <c r="U10" i="79" a="1"/>
  <c r="U10" i="79" s="1"/>
  <c r="AC10" i="79" a="1"/>
  <c r="AC10" i="79" s="1"/>
  <c r="S6" i="79" a="1"/>
  <c r="S6" i="79" s="1"/>
  <c r="AA6" i="79" a="1"/>
  <c r="AA6" i="79" s="1"/>
  <c r="AI6" i="79" a="1"/>
  <c r="AI6" i="79" s="1"/>
  <c r="T6" i="79" a="1"/>
  <c r="T6" i="79" s="1"/>
  <c r="AB6" i="79" a="1"/>
  <c r="AB6" i="79" s="1"/>
  <c r="AJ6" i="79" a="1"/>
  <c r="AJ6" i="79" s="1"/>
  <c r="V5" i="79" a="1"/>
  <c r="V5" i="79" s="1"/>
  <c r="AD5" i="79" a="1"/>
  <c r="AD5" i="79" s="1"/>
  <c r="U5" i="79" a="1"/>
  <c r="U5" i="79" s="1"/>
  <c r="AC5" i="79" a="1"/>
  <c r="AC5" i="79" s="1"/>
  <c r="V2" i="79" a="1"/>
  <c r="V2" i="79" s="1"/>
  <c r="AD2" i="79" a="1"/>
  <c r="AD2" i="79" s="1"/>
  <c r="U2" i="79" a="1"/>
  <c r="U2" i="79" s="1"/>
  <c r="AC2" i="79" a="1"/>
  <c r="AC2" i="79" s="1"/>
  <c r="Q7" i="79" a="1"/>
  <c r="Q7" i="79" s="1"/>
  <c r="Y7" i="79" a="1"/>
  <c r="Y7" i="79" s="1"/>
  <c r="AG7" i="79" a="1"/>
  <c r="AG7" i="79" s="1"/>
  <c r="R7" i="79" a="1"/>
  <c r="R7" i="79" s="1"/>
  <c r="Z7" i="79" a="1"/>
  <c r="Z7" i="79" s="1"/>
  <c r="AH7" i="79" a="1"/>
  <c r="AH7" i="79" s="1"/>
  <c r="T8" i="79" a="1"/>
  <c r="T8" i="79" s="1"/>
  <c r="AB8" i="79" a="1"/>
  <c r="AB8" i="79" s="1"/>
  <c r="AJ8" i="79" a="1"/>
  <c r="AJ8" i="79" s="1"/>
  <c r="S8" i="79" a="1"/>
  <c r="S8" i="79" s="1"/>
  <c r="AA8" i="79" a="1"/>
  <c r="AA8" i="79" s="1"/>
  <c r="AI8" i="79" a="1"/>
  <c r="AI8" i="79" s="1"/>
  <c r="W3" i="79" a="1"/>
  <c r="W3" i="79" s="1"/>
  <c r="AE3" i="79" a="1"/>
  <c r="AE3" i="79" s="1"/>
  <c r="X3" i="79" a="1"/>
  <c r="X3" i="79" s="1"/>
  <c r="AF3" i="79" a="1"/>
  <c r="AF3" i="79" s="1"/>
  <c r="U9" i="79" a="1"/>
  <c r="U9" i="79" s="1"/>
  <c r="Z9" i="79" a="1"/>
  <c r="Z9" i="79" s="1"/>
  <c r="AH9" i="79" a="1"/>
  <c r="AH9" i="79" s="1"/>
  <c r="AC9" i="79" a="1"/>
  <c r="AC9" i="79" s="1"/>
  <c r="AF4" i="78" a="1"/>
  <c r="AF4" i="78" s="1"/>
  <c r="AI4" i="78" a="1"/>
  <c r="AI4" i="78" s="1"/>
  <c r="R3" i="78" a="1"/>
  <c r="R3" i="78" s="1"/>
  <c r="AH3" i="78" a="1"/>
  <c r="AH3" i="78" s="1"/>
  <c r="Y3" i="78" a="1"/>
  <c r="Y3" i="78" s="1"/>
  <c r="S11" i="79" a="1"/>
  <c r="S11" i="79" s="1"/>
  <c r="AA11" i="79" a="1"/>
  <c r="AA11" i="79" s="1"/>
  <c r="AI11" i="79" a="1"/>
  <c r="AI11" i="79" s="1"/>
  <c r="T11" i="79" a="1"/>
  <c r="T11" i="79" s="1"/>
  <c r="AB11" i="79" a="1"/>
  <c r="AB11" i="79" s="1"/>
  <c r="AJ11" i="79" a="1"/>
  <c r="AJ11" i="79" s="1"/>
  <c r="AE8" i="78" a="1"/>
  <c r="AE8" i="78" s="1"/>
  <c r="Q7" i="78" a="1"/>
  <c r="Q7" i="78" s="1"/>
  <c r="AF7" i="78" a="1"/>
  <c r="AF7" i="78" s="1"/>
  <c r="W4" i="79" a="1"/>
  <c r="W4" i="79" s="1"/>
  <c r="AH4" i="79" a="1"/>
  <c r="AH4" i="79" s="1"/>
  <c r="R4" i="79" a="1"/>
  <c r="R4" i="79" s="1"/>
  <c r="Z4" i="79" a="1"/>
  <c r="Z4" i="79" s="1"/>
  <c r="AC4" i="79" a="1"/>
  <c r="AC4" i="79" s="1"/>
  <c r="AG10" i="79" a="1"/>
  <c r="AG10" i="79" s="1"/>
  <c r="AF6" i="79" a="1"/>
  <c r="AF6" i="79" s="1"/>
  <c r="AC7" i="79" a="1"/>
  <c r="AC7" i="79" s="1"/>
  <c r="AF8" i="79" a="1"/>
  <c r="AF8" i="79" s="1"/>
  <c r="AE8" i="79" a="1"/>
  <c r="AE8" i="79" s="1"/>
  <c r="Y9" i="79" a="1"/>
  <c r="Y9" i="79" s="1"/>
  <c r="AF11" i="79" a="1"/>
  <c r="AF11" i="79" s="1"/>
  <c r="X5" i="77" a="1"/>
  <c r="X5" i="77" s="1"/>
  <c r="AI3" i="77" a="1"/>
  <c r="AI3" i="77" s="1"/>
  <c r="U4" i="79" a="1"/>
  <c r="U4" i="79" s="1"/>
  <c r="X4" i="79" a="1"/>
  <c r="X4" i="79" s="1"/>
  <c r="AA11" i="78" a="1"/>
  <c r="AA11" i="78" s="1"/>
  <c r="AG10" i="78" a="1"/>
  <c r="AG10" i="78" s="1"/>
  <c r="AI10" i="78" a="1"/>
  <c r="AI10" i="78" s="1"/>
  <c r="AJ5" i="78" a="1"/>
  <c r="AJ5" i="78" s="1"/>
  <c r="V10" i="79" a="1"/>
  <c r="V10" i="79" s="1"/>
  <c r="AF10" i="79" a="1"/>
  <c r="AF10" i="79" s="1"/>
  <c r="AH10" i="79" a="1"/>
  <c r="AH10" i="79" s="1"/>
  <c r="W10" i="79" a="1"/>
  <c r="W10" i="79" s="1"/>
  <c r="U6" i="79" a="1"/>
  <c r="U6" i="79" s="1"/>
  <c r="AC6" i="79" a="1"/>
  <c r="AC6" i="79" s="1"/>
  <c r="V6" i="79" a="1"/>
  <c r="V6" i="79" s="1"/>
  <c r="AG6" i="78" a="1"/>
  <c r="AG6" i="78" s="1"/>
  <c r="AI6" i="78" a="1"/>
  <c r="AI6" i="78" s="1"/>
  <c r="X5" i="79" a="1"/>
  <c r="X5" i="79" s="1"/>
  <c r="AF5" i="79" a="1"/>
  <c r="AF5" i="79" s="1"/>
  <c r="W5" i="79" a="1"/>
  <c r="W5" i="79" s="1"/>
  <c r="X2" i="79" a="1"/>
  <c r="X2" i="79" s="1"/>
  <c r="AF2" i="79" a="1"/>
  <c r="AF2" i="79" s="1"/>
  <c r="W2" i="79" a="1"/>
  <c r="W2" i="79" s="1"/>
  <c r="S7" i="79" a="1"/>
  <c r="S7" i="79" s="1"/>
  <c r="AA7" i="79" a="1"/>
  <c r="AA7" i="79" s="1"/>
  <c r="AI7" i="79" a="1"/>
  <c r="AI7" i="79" s="1"/>
  <c r="T7" i="79" a="1"/>
  <c r="T7" i="79" s="1"/>
  <c r="AB7" i="79" a="1"/>
  <c r="AB7" i="79" s="1"/>
  <c r="V8" i="79" a="1"/>
  <c r="V8" i="79" s="1"/>
  <c r="AD8" i="79" a="1"/>
  <c r="AD8" i="79" s="1"/>
  <c r="U8" i="79" a="1"/>
  <c r="U8" i="79" s="1"/>
  <c r="Q3" i="79" a="1"/>
  <c r="Q3" i="79" s="1"/>
  <c r="Y3" i="79" a="1"/>
  <c r="Y3" i="79" s="1"/>
  <c r="AG3" i="79" a="1"/>
  <c r="AG3" i="79" s="1"/>
  <c r="Z3" i="79" a="1"/>
  <c r="Z3" i="79" s="1"/>
  <c r="W9" i="79" a="1"/>
  <c r="W9" i="79" s="1"/>
  <c r="AB9" i="79" a="1"/>
  <c r="AB9" i="79" s="1"/>
  <c r="AJ9" i="79" a="1"/>
  <c r="AJ9" i="79" s="1"/>
  <c r="V4" i="78" a="1"/>
  <c r="V4" i="78" s="1"/>
  <c r="AD4" i="78" a="1"/>
  <c r="AD4" i="78" s="1"/>
  <c r="V3" i="78" a="1"/>
  <c r="V3" i="78" s="1"/>
  <c r="AC3" i="78" a="1"/>
  <c r="AC3" i="78" s="1"/>
  <c r="AG3" i="78" a="1"/>
  <c r="AG3" i="78" s="1"/>
  <c r="U11" i="79" a="1"/>
  <c r="U11" i="79" s="1"/>
  <c r="AC11" i="79" a="1"/>
  <c r="AC11" i="79" s="1"/>
  <c r="V11" i="79" a="1"/>
  <c r="V11" i="79" s="1"/>
  <c r="Y7" i="78" a="1"/>
  <c r="Y7" i="78" s="1"/>
  <c r="R7" i="78" a="1"/>
  <c r="R7" i="78" s="1"/>
  <c r="AF2" i="78" a="1"/>
  <c r="AF2" i="78" s="1"/>
  <c r="W2" i="78" a="1"/>
  <c r="W2" i="78" s="1"/>
  <c r="AB5" i="78" a="1"/>
  <c r="AB5" i="78" s="1"/>
  <c r="U5" i="78" a="1"/>
  <c r="U5" i="78" s="1"/>
  <c r="AE9" i="78" a="1"/>
  <c r="AE9" i="78" s="1"/>
  <c r="W8" i="78" a="1"/>
  <c r="W8" i="78" s="1"/>
  <c r="X8" i="78" a="1"/>
  <c r="X8" i="78" s="1"/>
  <c r="AF8" i="78" a="1"/>
  <c r="AF8" i="78" s="1"/>
  <c r="U8" i="76" a="1"/>
  <c r="U8" i="76" s="1"/>
  <c r="U9" i="77" a="1"/>
  <c r="U9" i="77" s="1"/>
  <c r="AH7" i="77" a="1"/>
  <c r="AH7" i="77" s="1"/>
  <c r="U11" i="78" a="1"/>
  <c r="U11" i="78" s="1"/>
  <c r="AC11" i="78" a="1"/>
  <c r="AC11" i="78" s="1"/>
  <c r="V11" i="78" a="1"/>
  <c r="V11" i="78" s="1"/>
  <c r="AD11" i="78" a="1"/>
  <c r="AD11" i="78" s="1"/>
  <c r="R2" i="78" a="1"/>
  <c r="R2" i="78" s="1"/>
  <c r="Z2" i="78" a="1"/>
  <c r="Z2" i="78" s="1"/>
  <c r="AH2" i="78" a="1"/>
  <c r="AH2" i="78" s="1"/>
  <c r="Q2" i="78" a="1"/>
  <c r="Q2" i="78" s="1"/>
  <c r="Y2" i="78" a="1"/>
  <c r="Y2" i="78" s="1"/>
  <c r="AG2" i="78" a="1"/>
  <c r="AG2" i="78" s="1"/>
  <c r="V10" i="78" a="1"/>
  <c r="V10" i="78" s="1"/>
  <c r="AD10" i="78" a="1"/>
  <c r="AD10" i="78" s="1"/>
  <c r="U10" i="78" a="1"/>
  <c r="U10" i="78" s="1"/>
  <c r="AC10" i="78" a="1"/>
  <c r="AC10" i="78" s="1"/>
  <c r="V5" i="78" a="1"/>
  <c r="V5" i="78" s="1"/>
  <c r="AD5" i="78" a="1"/>
  <c r="AD5" i="78" s="1"/>
  <c r="W5" i="78" a="1"/>
  <c r="W5" i="78" s="1"/>
  <c r="AE5" i="78" a="1"/>
  <c r="AE5" i="78" s="1"/>
  <c r="R9" i="78" a="1"/>
  <c r="R9" i="78" s="1"/>
  <c r="Z9" i="78" a="1"/>
  <c r="Z9" i="78" s="1"/>
  <c r="AH9" i="78" a="1"/>
  <c r="AH9" i="78" s="1"/>
  <c r="Q9" i="78" a="1"/>
  <c r="Q9" i="78" s="1"/>
  <c r="Y9" i="78" a="1"/>
  <c r="Y9" i="78" s="1"/>
  <c r="AG9" i="78" a="1"/>
  <c r="AG9" i="78" s="1"/>
  <c r="V6" i="78" a="1"/>
  <c r="V6" i="78" s="1"/>
  <c r="AD6" i="78" a="1"/>
  <c r="AD6" i="78" s="1"/>
  <c r="U6" i="78" a="1"/>
  <c r="U6" i="78" s="1"/>
  <c r="AC6" i="78" a="1"/>
  <c r="AC6" i="78" s="1"/>
  <c r="AJ4" i="78" a="1"/>
  <c r="AJ4" i="78" s="1"/>
  <c r="U4" i="78" a="1"/>
  <c r="U4" i="78" s="1"/>
  <c r="AH4" i="78" a="1"/>
  <c r="AH4" i="78" s="1"/>
  <c r="W4" i="78" a="1"/>
  <c r="W4" i="78" s="1"/>
  <c r="T3" i="78" a="1"/>
  <c r="T3" i="78" s="1"/>
  <c r="AB3" i="78" a="1"/>
  <c r="AB3" i="78" s="1"/>
  <c r="AJ3" i="78" a="1"/>
  <c r="AJ3" i="78" s="1"/>
  <c r="S3" i="78" a="1"/>
  <c r="S3" i="78" s="1"/>
  <c r="AA3" i="78" a="1"/>
  <c r="AA3" i="78" s="1"/>
  <c r="AI3" i="78" a="1"/>
  <c r="AI3" i="78" s="1"/>
  <c r="Q8" i="78" a="1"/>
  <c r="Q8" i="78" s="1"/>
  <c r="Y8" i="78" a="1"/>
  <c r="Y8" i="78" s="1"/>
  <c r="AG8" i="78" a="1"/>
  <c r="AG8" i="78" s="1"/>
  <c r="R8" i="78" a="1"/>
  <c r="R8" i="78" s="1"/>
  <c r="Z8" i="78" a="1"/>
  <c r="Z8" i="78" s="1"/>
  <c r="AH8" i="78" a="1"/>
  <c r="AH8" i="78" s="1"/>
  <c r="S7" i="78" a="1"/>
  <c r="S7" i="78" s="1"/>
  <c r="AA7" i="78" a="1"/>
  <c r="AA7" i="78" s="1"/>
  <c r="AI7" i="78" a="1"/>
  <c r="AI7" i="78" s="1"/>
  <c r="T7" i="78" a="1"/>
  <c r="T7" i="78" s="1"/>
  <c r="AB7" i="78" a="1"/>
  <c r="AB7" i="78" s="1"/>
  <c r="AJ7" i="78" a="1"/>
  <c r="AJ7" i="78" s="1"/>
  <c r="AC5" i="78" a="1"/>
  <c r="AC5" i="78" s="1"/>
  <c r="S7" i="77" a="1"/>
  <c r="S7" i="77" s="1"/>
  <c r="W11" i="78" a="1"/>
  <c r="W11" i="78" s="1"/>
  <c r="X11" i="78" a="1"/>
  <c r="X11" i="78" s="1"/>
  <c r="AF11" i="78" a="1"/>
  <c r="AF11" i="78" s="1"/>
  <c r="T2" i="78" a="1"/>
  <c r="T2" i="78" s="1"/>
  <c r="AB2" i="78" a="1"/>
  <c r="AB2" i="78" s="1"/>
  <c r="AJ2" i="78" a="1"/>
  <c r="AJ2" i="78" s="1"/>
  <c r="S2" i="78" a="1"/>
  <c r="S2" i="78" s="1"/>
  <c r="AA2" i="78" a="1"/>
  <c r="AA2" i="78" s="1"/>
  <c r="AI2" i="78" a="1"/>
  <c r="AI2" i="78" s="1"/>
  <c r="X10" i="78" a="1"/>
  <c r="X10" i="78" s="1"/>
  <c r="AF10" i="78" a="1"/>
  <c r="AF10" i="78" s="1"/>
  <c r="W10" i="78" a="1"/>
  <c r="W10" i="78" s="1"/>
  <c r="AE10" i="78" a="1"/>
  <c r="AE10" i="78" s="1"/>
  <c r="X5" i="78" a="1"/>
  <c r="X5" i="78" s="1"/>
  <c r="AF5" i="78" a="1"/>
  <c r="AF5" i="78" s="1"/>
  <c r="Q5" i="78" a="1"/>
  <c r="Q5" i="78" s="1"/>
  <c r="Y5" i="78" a="1"/>
  <c r="Y5" i="78" s="1"/>
  <c r="AG5" i="78" a="1"/>
  <c r="AG5" i="78" s="1"/>
  <c r="T9" i="78" a="1"/>
  <c r="T9" i="78" s="1"/>
  <c r="AB9" i="78" a="1"/>
  <c r="AB9" i="78" s="1"/>
  <c r="AJ9" i="78" a="1"/>
  <c r="AJ9" i="78" s="1"/>
  <c r="S9" i="78" a="1"/>
  <c r="S9" i="78" s="1"/>
  <c r="AA9" i="78" a="1"/>
  <c r="AA9" i="78" s="1"/>
  <c r="AI9" i="78" a="1"/>
  <c r="AI9" i="78" s="1"/>
  <c r="X6" i="78" a="1"/>
  <c r="X6" i="78" s="1"/>
  <c r="AF6" i="78" a="1"/>
  <c r="AF6" i="78" s="1"/>
  <c r="W6" i="78" a="1"/>
  <c r="W6" i="78" s="1"/>
  <c r="AE6" i="78" a="1"/>
  <c r="AE6" i="78" s="1"/>
  <c r="Y4" i="78" a="1"/>
  <c r="Y4" i="78" s="1"/>
  <c r="AA4" i="78" a="1"/>
  <c r="AA4" i="78" s="1"/>
  <c r="U3" i="78" a="1"/>
  <c r="U3" i="78" s="1"/>
  <c r="S8" i="78" a="1"/>
  <c r="S8" i="78" s="1"/>
  <c r="AA8" i="78" a="1"/>
  <c r="AA8" i="78" s="1"/>
  <c r="AI8" i="78" a="1"/>
  <c r="AI8" i="78" s="1"/>
  <c r="T8" i="78" a="1"/>
  <c r="T8" i="78" s="1"/>
  <c r="AB8" i="78" a="1"/>
  <c r="AB8" i="78" s="1"/>
  <c r="AJ8" i="78" a="1"/>
  <c r="AJ8" i="78" s="1"/>
  <c r="U7" i="78" a="1"/>
  <c r="U7" i="78" s="1"/>
  <c r="AC7" i="78" a="1"/>
  <c r="AC7" i="78" s="1"/>
  <c r="V7" i="78" a="1"/>
  <c r="V7" i="78" s="1"/>
  <c r="AD7" i="78" a="1"/>
  <c r="AD7" i="78" s="1"/>
  <c r="X2" i="78" a="1"/>
  <c r="X2" i="78" s="1"/>
  <c r="AE2" i="78" a="1"/>
  <c r="AE2" i="78" s="1"/>
  <c r="X9" i="78" a="1"/>
  <c r="X9" i="78" s="1"/>
  <c r="W9" i="78" a="1"/>
  <c r="W9" i="78" s="1"/>
  <c r="Q11" i="78" a="1"/>
  <c r="Q11" i="78" s="1"/>
  <c r="Y11" i="78" a="1"/>
  <c r="Y11" i="78" s="1"/>
  <c r="AG11" i="78" a="1"/>
  <c r="AG11" i="78" s="1"/>
  <c r="R11" i="78" a="1"/>
  <c r="R11" i="78" s="1"/>
  <c r="Z11" i="78" a="1"/>
  <c r="Z11" i="78" s="1"/>
  <c r="V2" i="78" a="1"/>
  <c r="V2" i="78" s="1"/>
  <c r="AD2" i="78" a="1"/>
  <c r="AD2" i="78" s="1"/>
  <c r="U2" i="78" a="1"/>
  <c r="U2" i="78" s="1"/>
  <c r="R10" i="78" a="1"/>
  <c r="R10" i="78" s="1"/>
  <c r="Z10" i="78" a="1"/>
  <c r="Z10" i="78" s="1"/>
  <c r="AH10" i="78" a="1"/>
  <c r="AH10" i="78" s="1"/>
  <c r="Q10" i="78" a="1"/>
  <c r="Q10" i="78" s="1"/>
  <c r="Y10" i="78" a="1"/>
  <c r="Y10" i="78" s="1"/>
  <c r="R5" i="78" a="1"/>
  <c r="R5" i="78" s="1"/>
  <c r="Z5" i="78" a="1"/>
  <c r="Z5" i="78" s="1"/>
  <c r="AH5" i="78" a="1"/>
  <c r="AH5" i="78" s="1"/>
  <c r="S5" i="78" a="1"/>
  <c r="S5" i="78" s="1"/>
  <c r="AA5" i="78" a="1"/>
  <c r="AA5" i="78" s="1"/>
  <c r="V9" i="78" a="1"/>
  <c r="V9" i="78" s="1"/>
  <c r="AD9" i="78" a="1"/>
  <c r="AD9" i="78" s="1"/>
  <c r="U9" i="78" a="1"/>
  <c r="U9" i="78" s="1"/>
  <c r="R6" i="78" a="1"/>
  <c r="R6" i="78" s="1"/>
  <c r="Z6" i="78" a="1"/>
  <c r="Z6" i="78" s="1"/>
  <c r="AH6" i="78" a="1"/>
  <c r="AH6" i="78" s="1"/>
  <c r="Q6" i="78" a="1"/>
  <c r="Q6" i="78" s="1"/>
  <c r="Y6" i="78" a="1"/>
  <c r="Y6" i="78" s="1"/>
  <c r="AB4" i="78" a="1"/>
  <c r="AB4" i="78" s="1"/>
  <c r="Q4" i="78" a="1"/>
  <c r="Q4" i="78" s="1"/>
  <c r="AC4" i="78" a="1"/>
  <c r="AC4" i="78" s="1"/>
  <c r="Z4" i="78" a="1"/>
  <c r="Z4" i="78" s="1"/>
  <c r="R4" i="78" a="1"/>
  <c r="R4" i="78" s="1"/>
  <c r="X3" i="78" a="1"/>
  <c r="X3" i="78" s="1"/>
  <c r="AF3" i="78" a="1"/>
  <c r="AF3" i="78" s="1"/>
  <c r="W3" i="78" a="1"/>
  <c r="W3" i="78" s="1"/>
  <c r="U8" i="78" a="1"/>
  <c r="U8" i="78" s="1"/>
  <c r="AC8" i="78" a="1"/>
  <c r="AC8" i="78" s="1"/>
  <c r="V8" i="78" a="1"/>
  <c r="V8" i="78" s="1"/>
  <c r="W7" i="78" a="1"/>
  <c r="W7" i="78" s="1"/>
  <c r="X7" i="78" a="1"/>
  <c r="X7" i="78" s="1"/>
  <c r="AE9" i="77" a="1"/>
  <c r="AE9" i="77" s="1"/>
  <c r="AI4" i="77" a="1"/>
  <c r="AI4" i="77" s="1"/>
  <c r="AF3" i="77" a="1"/>
  <c r="AF3" i="77" s="1"/>
  <c r="AG11" i="77" a="1"/>
  <c r="AG11" i="77" s="1"/>
  <c r="AE10" i="77" a="1"/>
  <c r="AE10" i="77" s="1"/>
  <c r="AI6" i="77" a="1"/>
  <c r="AI6" i="77" s="1"/>
  <c r="Z4" i="77" a="1"/>
  <c r="Z4" i="77" s="1"/>
  <c r="AH3" i="77" a="1"/>
  <c r="AH3" i="77" s="1"/>
  <c r="AB7" i="77" a="1"/>
  <c r="AB7" i="77" s="1"/>
  <c r="S6" i="75" a="1"/>
  <c r="S6" i="75" s="1"/>
  <c r="AE2" i="77" a="1"/>
  <c r="AE2" i="77" s="1"/>
  <c r="R4" i="77" a="1"/>
  <c r="R4" i="77" s="1"/>
  <c r="U3" i="76" a="1"/>
  <c r="U3" i="76" s="1"/>
  <c r="R6" i="77" a="1"/>
  <c r="R6" i="77" s="1"/>
  <c r="AJ8" i="77" a="1"/>
  <c r="AJ8" i="77" s="1"/>
  <c r="S4" i="77" a="1"/>
  <c r="S4" i="77" s="1"/>
  <c r="R3" i="77" a="1"/>
  <c r="R3" i="77" s="1"/>
  <c r="AC7" i="77" a="1"/>
  <c r="AC7" i="77" s="1"/>
  <c r="U7" i="77" a="1"/>
  <c r="U7" i="77" s="1"/>
  <c r="V10" i="77" a="1"/>
  <c r="V10" i="77" s="1"/>
  <c r="T10" i="77" a="1"/>
  <c r="T10" i="77" s="1"/>
  <c r="S10" i="77" a="1"/>
  <c r="S10" i="77" s="1"/>
  <c r="AD7" i="76" a="1"/>
  <c r="AD7" i="76" s="1"/>
  <c r="AH9" i="76" a="1"/>
  <c r="AH9" i="76" s="1"/>
  <c r="W8" i="76" a="1"/>
  <c r="W8" i="76" s="1"/>
  <c r="AJ9" i="77" a="1"/>
  <c r="AJ9" i="77" s="1"/>
  <c r="AH6" i="77" a="1"/>
  <c r="AH6" i="77" s="1"/>
  <c r="AI5" i="77" a="1"/>
  <c r="AI5" i="77" s="1"/>
  <c r="U4" i="77" a="1"/>
  <c r="U4" i="77" s="1"/>
  <c r="W4" i="77" a="1"/>
  <c r="W4" i="77" s="1"/>
  <c r="AH4" i="77" a="1"/>
  <c r="AH4" i="77" s="1"/>
  <c r="U3" i="77" a="1"/>
  <c r="U3" i="77" s="1"/>
  <c r="X2" i="77" a="1"/>
  <c r="X2" i="77" s="1"/>
  <c r="W7" i="77" a="1"/>
  <c r="W7" i="77" s="1"/>
  <c r="AE7" i="77" a="1"/>
  <c r="AE7" i="77" s="1"/>
  <c r="AG7" i="77" a="1"/>
  <c r="AG7" i="77" s="1"/>
  <c r="AB11" i="77" a="1"/>
  <c r="AB11" i="77" s="1"/>
  <c r="R10" i="77" a="1"/>
  <c r="R10" i="77" s="1"/>
  <c r="AB10" i="77" a="1"/>
  <c r="AB10" i="77" s="1"/>
  <c r="Y5" i="76" a="1"/>
  <c r="Y5" i="76" s="1"/>
  <c r="AH9" i="77" a="1"/>
  <c r="AH9" i="77" s="1"/>
  <c r="AC6" i="77" a="1"/>
  <c r="AC6" i="77" s="1"/>
  <c r="Z5" i="77" a="1"/>
  <c r="Z5" i="77" s="1"/>
  <c r="AH8" i="77" a="1"/>
  <c r="AH8" i="77" s="1"/>
  <c r="AF4" i="77" a="1"/>
  <c r="AF4" i="77" s="1"/>
  <c r="AD3" i="77" a="1"/>
  <c r="AD3" i="77" s="1"/>
  <c r="AC3" i="77" a="1"/>
  <c r="AC3" i="77" s="1"/>
  <c r="AG2" i="77" a="1"/>
  <c r="AG2" i="77" s="1"/>
  <c r="Z7" i="77" a="1"/>
  <c r="Z7" i="77" s="1"/>
  <c r="V7" i="77" a="1"/>
  <c r="V7" i="77" s="1"/>
  <c r="AA7" i="77" a="1"/>
  <c r="AA7" i="77" s="1"/>
  <c r="X11" i="77" a="1"/>
  <c r="X11" i="77" s="1"/>
  <c r="AH10" i="77" a="1"/>
  <c r="AH10" i="77" s="1"/>
  <c r="AJ10" i="77" a="1"/>
  <c r="AJ10" i="77" s="1"/>
  <c r="S5" i="76" a="1"/>
  <c r="S5" i="76" s="1"/>
  <c r="S9" i="77" a="1"/>
  <c r="S9" i="77" s="1"/>
  <c r="Q9" i="77" a="1"/>
  <c r="Q9" i="77" s="1"/>
  <c r="AG9" i="77" a="1"/>
  <c r="AG9" i="77" s="1"/>
  <c r="V9" i="77" a="1"/>
  <c r="V9" i="77" s="1"/>
  <c r="AD9" i="77" a="1"/>
  <c r="AD9" i="77" s="1"/>
  <c r="X6" i="77" a="1"/>
  <c r="X6" i="77" s="1"/>
  <c r="V6" i="77" a="1"/>
  <c r="V6" i="77" s="1"/>
  <c r="T6" i="77" a="1"/>
  <c r="T6" i="77" s="1"/>
  <c r="W6" i="77" a="1"/>
  <c r="W6" i="77" s="1"/>
  <c r="AE6" i="77" a="1"/>
  <c r="AE6" i="77" s="1"/>
  <c r="T5" i="77" a="1"/>
  <c r="T5" i="77" s="1"/>
  <c r="AD5" i="77" a="1"/>
  <c r="AD5" i="77" s="1"/>
  <c r="Q5" i="77" a="1"/>
  <c r="Q5" i="77" s="1"/>
  <c r="AF5" i="77" a="1"/>
  <c r="AF5" i="77" s="1"/>
  <c r="AC5" i="77" a="1"/>
  <c r="AC5" i="77" s="1"/>
  <c r="AE8" i="77" a="1"/>
  <c r="AE8" i="77" s="1"/>
  <c r="AI8" i="77" a="1"/>
  <c r="AI8" i="77" s="1"/>
  <c r="AG8" i="77" a="1"/>
  <c r="AG8" i="77" s="1"/>
  <c r="V8" i="77" a="1"/>
  <c r="V8" i="77" s="1"/>
  <c r="AD8" i="77" a="1"/>
  <c r="AD8" i="77" s="1"/>
  <c r="Y4" i="77" a="1"/>
  <c r="Y4" i="77" s="1"/>
  <c r="AC4" i="77" a="1"/>
  <c r="AC4" i="77" s="1"/>
  <c r="T4" i="77" a="1"/>
  <c r="T4" i="77" s="1"/>
  <c r="AB4" i="77" a="1"/>
  <c r="AB4" i="77" s="1"/>
  <c r="AJ4" i="77" a="1"/>
  <c r="AJ4" i="77" s="1"/>
  <c r="T3" i="77" a="1"/>
  <c r="T3" i="77" s="1"/>
  <c r="Z3" i="77" a="1"/>
  <c r="Z3" i="77" s="1"/>
  <c r="W3" i="77" a="1"/>
  <c r="W3" i="77" s="1"/>
  <c r="AE3" i="77" a="1"/>
  <c r="AE3" i="77" s="1"/>
  <c r="AJ3" i="77" a="1"/>
  <c r="AJ3" i="77" s="1"/>
  <c r="AB2" i="77" a="1"/>
  <c r="AB2" i="77" s="1"/>
  <c r="AD2" i="77" a="1"/>
  <c r="AD2" i="77" s="1"/>
  <c r="S2" i="77" a="1"/>
  <c r="S2" i="77" s="1"/>
  <c r="AA2" i="77" a="1"/>
  <c r="AA2" i="77" s="1"/>
  <c r="AI2" i="77" a="1"/>
  <c r="AI2" i="77" s="1"/>
  <c r="X7" i="77" a="1"/>
  <c r="X7" i="77" s="1"/>
  <c r="AF7" i="77" a="1"/>
  <c r="AF7" i="77" s="1"/>
  <c r="AD7" i="77" a="1"/>
  <c r="AD7" i="77" s="1"/>
  <c r="T7" i="77" a="1"/>
  <c r="T7" i="77" s="1"/>
  <c r="AJ7" i="77" a="1"/>
  <c r="AJ7" i="77" s="1"/>
  <c r="AJ11" i="77" a="1"/>
  <c r="AJ11" i="77" s="1"/>
  <c r="R11" i="77" a="1"/>
  <c r="R11" i="77" s="1"/>
  <c r="AH11" i="77" a="1"/>
  <c r="AH11" i="77" s="1"/>
  <c r="S11" i="77" a="1"/>
  <c r="S11" i="77" s="1"/>
  <c r="AA11" i="77" a="1"/>
  <c r="AA11" i="77" s="1"/>
  <c r="AI11" i="77" a="1"/>
  <c r="AI11" i="77" s="1"/>
  <c r="AD10" i="77" a="1"/>
  <c r="AD10" i="77" s="1"/>
  <c r="AF10" i="77" a="1"/>
  <c r="AF10" i="77" s="1"/>
  <c r="Q10" i="77" a="1"/>
  <c r="Q10" i="77" s="1"/>
  <c r="Y10" i="77" a="1"/>
  <c r="Y10" i="77" s="1"/>
  <c r="AG10" i="77" a="1"/>
  <c r="AG10" i="77" s="1"/>
  <c r="X3" i="76" a="1"/>
  <c r="X3" i="76" s="1"/>
  <c r="AA9" i="77" a="1"/>
  <c r="AA9" i="77" s="1"/>
  <c r="X9" i="77" a="1"/>
  <c r="X9" i="77" s="1"/>
  <c r="AF9" i="77" a="1"/>
  <c r="AF9" i="77" s="1"/>
  <c r="AF6" i="77" a="1"/>
  <c r="AF6" i="77" s="1"/>
  <c r="Z6" i="77" a="1"/>
  <c r="Z6" i="77" s="1"/>
  <c r="AB6" i="77" a="1"/>
  <c r="AB6" i="77" s="1"/>
  <c r="Q6" i="77" a="1"/>
  <c r="Q6" i="77" s="1"/>
  <c r="Y6" i="77" a="1"/>
  <c r="Y6" i="77" s="1"/>
  <c r="AG6" i="77" a="1"/>
  <c r="AG6" i="77" s="1"/>
  <c r="AH5" i="77" a="1"/>
  <c r="AH5" i="77" s="1"/>
  <c r="W5" i="77" a="1"/>
  <c r="W5" i="77" s="1"/>
  <c r="V5" i="77" a="1"/>
  <c r="V5" i="77" s="1"/>
  <c r="AJ5" i="77" a="1"/>
  <c r="AJ5" i="77" s="1"/>
  <c r="AE5" i="77" a="1"/>
  <c r="AE5" i="77" s="1"/>
  <c r="U8" i="77" a="1"/>
  <c r="U8" i="77" s="1"/>
  <c r="AC8" i="77" a="1"/>
  <c r="AC8" i="77" s="1"/>
  <c r="X8" i="77" a="1"/>
  <c r="X8" i="77" s="1"/>
  <c r="AF8" i="77" a="1"/>
  <c r="AF8" i="77" s="1"/>
  <c r="AA4" i="77" a="1"/>
  <c r="AA4" i="77" s="1"/>
  <c r="AG4" i="77" a="1"/>
  <c r="AG4" i="77" s="1"/>
  <c r="V4" i="77" a="1"/>
  <c r="V4" i="77" s="1"/>
  <c r="AD4" i="77" a="1"/>
  <c r="AD4" i="77" s="1"/>
  <c r="AB3" i="77" a="1"/>
  <c r="AB3" i="77" s="1"/>
  <c r="Q3" i="77" a="1"/>
  <c r="Q3" i="77" s="1"/>
  <c r="Y3" i="77" a="1"/>
  <c r="Y3" i="77" s="1"/>
  <c r="AG3" i="77" a="1"/>
  <c r="AG3" i="77" s="1"/>
  <c r="AF2" i="77" a="1"/>
  <c r="AF2" i="77" s="1"/>
  <c r="R2" i="77" a="1"/>
  <c r="R2" i="77" s="1"/>
  <c r="AH2" i="77" a="1"/>
  <c r="AH2" i="77" s="1"/>
  <c r="U2" i="77" a="1"/>
  <c r="U2" i="77" s="1"/>
  <c r="AC2" i="77" a="1"/>
  <c r="AC2" i="77" s="1"/>
  <c r="AI7" i="77" a="1"/>
  <c r="AI7" i="77" s="1"/>
  <c r="Y7" i="77" a="1"/>
  <c r="Y7" i="77" s="1"/>
  <c r="V11" i="77" a="1"/>
  <c r="V11" i="77" s="1"/>
  <c r="U11" i="77" a="1"/>
  <c r="U11" i="77" s="1"/>
  <c r="AC11" i="77" a="1"/>
  <c r="AC11" i="77" s="1"/>
  <c r="AA10" i="77" a="1"/>
  <c r="AA10" i="77" s="1"/>
  <c r="AI10" i="77" a="1"/>
  <c r="AI10" i="77" s="1"/>
  <c r="AH10" i="76" a="1"/>
  <c r="AH10" i="76" s="1"/>
  <c r="W9" i="77" a="1"/>
  <c r="W9" i="77" s="1"/>
  <c r="AI9" i="77" a="1"/>
  <c r="AI9" i="77" s="1"/>
  <c r="Y9" i="77" a="1"/>
  <c r="Y9" i="77" s="1"/>
  <c r="R9" i="77" a="1"/>
  <c r="R9" i="77" s="1"/>
  <c r="Z9" i="77" a="1"/>
  <c r="Z9" i="77" s="1"/>
  <c r="AD6" i="77" a="1"/>
  <c r="AD6" i="77" s="1"/>
  <c r="AJ6" i="77" a="1"/>
  <c r="AJ6" i="77" s="1"/>
  <c r="S6" i="77" a="1"/>
  <c r="S6" i="77" s="1"/>
  <c r="AA6" i="77" a="1"/>
  <c r="AA6" i="77" s="1"/>
  <c r="U5" i="77" a="1"/>
  <c r="U5" i="77" s="1"/>
  <c r="S5" i="77" a="1"/>
  <c r="S5" i="77" s="1"/>
  <c r="R5" i="77" a="1"/>
  <c r="R5" i="77" s="1"/>
  <c r="Y5" i="77" a="1"/>
  <c r="Y5" i="77" s="1"/>
  <c r="AG5" i="77" a="1"/>
  <c r="AG5" i="77" s="1"/>
  <c r="W8" i="77" a="1"/>
  <c r="W8" i="77" s="1"/>
  <c r="S8" i="77" a="1"/>
  <c r="S8" i="77" s="1"/>
  <c r="Q8" i="77" a="1"/>
  <c r="Q8" i="77" s="1"/>
  <c r="R8" i="77" a="1"/>
  <c r="R8" i="77" s="1"/>
  <c r="Z8" i="77" a="1"/>
  <c r="Z8" i="77" s="1"/>
  <c r="Q4" i="77" a="1"/>
  <c r="Q4" i="77" s="1"/>
  <c r="AE4" i="77" a="1"/>
  <c r="AE4" i="77" s="1"/>
  <c r="X4" i="77" a="1"/>
  <c r="X4" i="77" s="1"/>
  <c r="V3" i="77" a="1"/>
  <c r="V3" i="77" s="1"/>
  <c r="X3" i="77" a="1"/>
  <c r="X3" i="77" s="1"/>
  <c r="S3" i="77" a="1"/>
  <c r="S3" i="77" s="1"/>
  <c r="AA3" i="77" a="1"/>
  <c r="AA3" i="77" s="1"/>
  <c r="T2" i="77" a="1"/>
  <c r="T2" i="77" s="1"/>
  <c r="AJ2" i="77" a="1"/>
  <c r="AJ2" i="77" s="1"/>
  <c r="V2" i="77" a="1"/>
  <c r="V2" i="77" s="1"/>
  <c r="W2" i="77" a="1"/>
  <c r="W2" i="77" s="1"/>
  <c r="Q7" i="77" a="1"/>
  <c r="Q7" i="77" s="1"/>
  <c r="T11" i="77" a="1"/>
  <c r="T11" i="77" s="1"/>
  <c r="AF11" i="77" a="1"/>
  <c r="AF11" i="77" s="1"/>
  <c r="Z11" i="77" a="1"/>
  <c r="Z11" i="77" s="1"/>
  <c r="W11" i="77" a="1"/>
  <c r="W11" i="77" s="1"/>
  <c r="AE11" i="77" a="1"/>
  <c r="AE11" i="77" s="1"/>
  <c r="Z10" i="77" a="1"/>
  <c r="Z10" i="77" s="1"/>
  <c r="X10" i="77" a="1"/>
  <c r="X10" i="77" s="1"/>
  <c r="U10" i="77" a="1"/>
  <c r="U10" i="77" s="1"/>
  <c r="AC10" i="77" a="1"/>
  <c r="AC10" i="77" s="1"/>
  <c r="AC9" i="77" a="1"/>
  <c r="AC9" i="77" s="1"/>
  <c r="T9" i="77" a="1"/>
  <c r="T9" i="77" s="1"/>
  <c r="AB9" i="77" a="1"/>
  <c r="AB9" i="77" s="1"/>
  <c r="U6" i="77" a="1"/>
  <c r="U6" i="77" s="1"/>
  <c r="AB5" i="77" a="1"/>
  <c r="AB5" i="77" s="1"/>
  <c r="AA5" i="77" a="1"/>
  <c r="AA5" i="77" s="1"/>
  <c r="AA8" i="77" a="1"/>
  <c r="AA8" i="77" s="1"/>
  <c r="Y8" i="77" a="1"/>
  <c r="Y8" i="77" s="1"/>
  <c r="T8" i="77" a="1"/>
  <c r="T8" i="77" s="1"/>
  <c r="AB8" i="77" a="1"/>
  <c r="AB8" i="77" s="1"/>
  <c r="Z2" i="77" a="1"/>
  <c r="Z2" i="77" s="1"/>
  <c r="Q2" i="77" a="1"/>
  <c r="Q2" i="77" s="1"/>
  <c r="Y2" i="77" a="1"/>
  <c r="Y2" i="77" s="1"/>
  <c r="R7" i="77" a="1"/>
  <c r="R7" i="77" s="1"/>
  <c r="AD11" i="77" a="1"/>
  <c r="AD11" i="77" s="1"/>
  <c r="Q11" i="77" a="1"/>
  <c r="Q11" i="77" s="1"/>
  <c r="Y11" i="77" a="1"/>
  <c r="Y11" i="77" s="1"/>
  <c r="W10" i="77" a="1"/>
  <c r="W10" i="77" s="1"/>
  <c r="AG2" i="76" a="1"/>
  <c r="AG2" i="76" s="1"/>
  <c r="AJ4" i="76" a="1"/>
  <c r="AJ4" i="76" s="1"/>
  <c r="AG8" i="76" a="1"/>
  <c r="AG8" i="76" s="1"/>
  <c r="AH4" i="76" a="1"/>
  <c r="AH4" i="76" s="1"/>
  <c r="AF5" i="76" a="1"/>
  <c r="AF5" i="76" s="1"/>
  <c r="AE11" i="76" a="1"/>
  <c r="AE11" i="76" s="1"/>
  <c r="T7" i="76" a="1"/>
  <c r="T7" i="76" s="1"/>
  <c r="S8" i="76" a="1"/>
  <c r="S8" i="76" s="1"/>
  <c r="V7" i="76" a="1"/>
  <c r="V7" i="76" s="1"/>
  <c r="R10" i="76" a="1"/>
  <c r="R10" i="76" s="1"/>
  <c r="AE5" i="76" a="1"/>
  <c r="AE5" i="76" s="1"/>
  <c r="R5" i="76" a="1"/>
  <c r="R5" i="76" s="1"/>
  <c r="AC6" i="76" a="1"/>
  <c r="AC6" i="76" s="1"/>
  <c r="AE2" i="75" a="1"/>
  <c r="AE2" i="75" s="1"/>
  <c r="R2" i="76" a="1"/>
  <c r="R2" i="76" s="1"/>
  <c r="S2" i="76" a="1"/>
  <c r="S2" i="76" s="1"/>
  <c r="AE4" i="76" a="1"/>
  <c r="AE4" i="76" s="1"/>
  <c r="AI5" i="76" a="1"/>
  <c r="AI5" i="76" s="1"/>
  <c r="U5" i="76" a="1"/>
  <c r="U5" i="76" s="1"/>
  <c r="Z5" i="76" a="1"/>
  <c r="Z5" i="76" s="1"/>
  <c r="AD3" i="76" a="1"/>
  <c r="AD3" i="76" s="1"/>
  <c r="Z3" i="76" a="1"/>
  <c r="Z3" i="76" s="1"/>
  <c r="Q3" i="76" a="1"/>
  <c r="Q3" i="76" s="1"/>
  <c r="AC3" i="76" a="1"/>
  <c r="AC3" i="76" s="1"/>
  <c r="AC7" i="76" a="1"/>
  <c r="AC7" i="76" s="1"/>
  <c r="Q7" i="76" a="1"/>
  <c r="Q7" i="76" s="1"/>
  <c r="AE7" i="76" a="1"/>
  <c r="AE7" i="76" s="1"/>
  <c r="U9" i="76" a="1"/>
  <c r="U9" i="76" s="1"/>
  <c r="Q8" i="76" a="1"/>
  <c r="Q8" i="76" s="1"/>
  <c r="AI10" i="76" a="1"/>
  <c r="AI10" i="76" s="1"/>
  <c r="Z2" i="76" a="1"/>
  <c r="Z2" i="76" s="1"/>
  <c r="AA2" i="76" a="1"/>
  <c r="AA2" i="76" s="1"/>
  <c r="Q4" i="76" a="1"/>
  <c r="Q4" i="76" s="1"/>
  <c r="AD5" i="76" a="1"/>
  <c r="AD5" i="76" s="1"/>
  <c r="AH5" i="76" a="1"/>
  <c r="AH5" i="76" s="1"/>
  <c r="AA3" i="76" a="1"/>
  <c r="AA3" i="76" s="1"/>
  <c r="R3" i="76" a="1"/>
  <c r="R3" i="76" s="1"/>
  <c r="Y3" i="76" a="1"/>
  <c r="Y3" i="76" s="1"/>
  <c r="AB7" i="76" a="1"/>
  <c r="AB7" i="76" s="1"/>
  <c r="W9" i="76" a="1"/>
  <c r="W9" i="76" s="1"/>
  <c r="T8" i="76" a="1"/>
  <c r="T8" i="76" s="1"/>
  <c r="AJ8" i="76" a="1"/>
  <c r="AJ8" i="76" s="1"/>
  <c r="V10" i="76" a="1"/>
  <c r="V10" i="76" s="1"/>
  <c r="AE2" i="76" a="1"/>
  <c r="AE2" i="76" s="1"/>
  <c r="AH2" i="76" a="1"/>
  <c r="AH2" i="76" s="1"/>
  <c r="AI2" i="76" a="1"/>
  <c r="AI2" i="76" s="1"/>
  <c r="S4" i="76" a="1"/>
  <c r="S4" i="76" s="1"/>
  <c r="AD4" i="76" a="1"/>
  <c r="AD4" i="76" s="1"/>
  <c r="AG5" i="76" a="1"/>
  <c r="AG5" i="76" s="1"/>
  <c r="AI3" i="76" a="1"/>
  <c r="AI3" i="76" s="1"/>
  <c r="AH3" i="76" a="1"/>
  <c r="AH3" i="76" s="1"/>
  <c r="AG3" i="76" a="1"/>
  <c r="AG3" i="76" s="1"/>
  <c r="T11" i="76" a="1"/>
  <c r="T11" i="76" s="1"/>
  <c r="AJ9" i="76" a="1"/>
  <c r="AJ9" i="76" s="1"/>
  <c r="AI4" i="76" a="1"/>
  <c r="AI4" i="76" s="1"/>
  <c r="V4" i="76" a="1"/>
  <c r="V4" i="76" s="1"/>
  <c r="AD6" i="76" a="1"/>
  <c r="AD6" i="76" s="1"/>
  <c r="AB6" i="76" a="1"/>
  <c r="AB6" i="76" s="1"/>
  <c r="W6" i="76" a="1"/>
  <c r="W6" i="76" s="1"/>
  <c r="AE6" i="76" a="1"/>
  <c r="AE6" i="76" s="1"/>
  <c r="AD11" i="76" a="1"/>
  <c r="AD11" i="76" s="1"/>
  <c r="Q11" i="76" a="1"/>
  <c r="Q11" i="76" s="1"/>
  <c r="Y11" i="76" a="1"/>
  <c r="Y11" i="76" s="1"/>
  <c r="AG11" i="76" a="1"/>
  <c r="AG11" i="76" s="1"/>
  <c r="AC9" i="76" a="1"/>
  <c r="AC9" i="76" s="1"/>
  <c r="T9" i="76" a="1"/>
  <c r="T9" i="76" s="1"/>
  <c r="AB9" i="76" a="1"/>
  <c r="AB9" i="76" s="1"/>
  <c r="V8" i="76" a="1"/>
  <c r="V8" i="76" s="1"/>
  <c r="AD8" i="76" a="1"/>
  <c r="AD8" i="76" s="1"/>
  <c r="X10" i="76" a="1"/>
  <c r="X10" i="76" s="1"/>
  <c r="U10" i="76" a="1"/>
  <c r="U10" i="76" s="1"/>
  <c r="AC10" i="76" a="1"/>
  <c r="AC10" i="76" s="1"/>
  <c r="T2" i="76" a="1"/>
  <c r="T2" i="76" s="1"/>
  <c r="AB2" i="76" a="1"/>
  <c r="AB2" i="76" s="1"/>
  <c r="AJ2" i="76" a="1"/>
  <c r="AJ2" i="76" s="1"/>
  <c r="U2" i="76" a="1"/>
  <c r="U2" i="76" s="1"/>
  <c r="AC2" i="76" a="1"/>
  <c r="AC2" i="76" s="1"/>
  <c r="W4" i="76" a="1"/>
  <c r="W4" i="76" s="1"/>
  <c r="Y4" i="76" a="1"/>
  <c r="Y4" i="76" s="1"/>
  <c r="U4" i="76" a="1"/>
  <c r="U4" i="76" s="1"/>
  <c r="X4" i="76" a="1"/>
  <c r="X4" i="76" s="1"/>
  <c r="AF4" i="76" a="1"/>
  <c r="AF4" i="76" s="1"/>
  <c r="AA5" i="76" a="1"/>
  <c r="AA5" i="76" s="1"/>
  <c r="Q5" i="76" a="1"/>
  <c r="Q5" i="76" s="1"/>
  <c r="AC5" i="76" a="1"/>
  <c r="AC5" i="76" s="1"/>
  <c r="T5" i="76" a="1"/>
  <c r="T5" i="76" s="1"/>
  <c r="AB5" i="76" a="1"/>
  <c r="AB5" i="76" s="1"/>
  <c r="AJ5" i="76" a="1"/>
  <c r="AJ5" i="76" s="1"/>
  <c r="V3" i="76" a="1"/>
  <c r="V3" i="76" s="1"/>
  <c r="W3" i="76" a="1"/>
  <c r="W3" i="76" s="1"/>
  <c r="T3" i="76" a="1"/>
  <c r="T3" i="76" s="1"/>
  <c r="AJ3" i="76" a="1"/>
  <c r="AJ3" i="76" s="1"/>
  <c r="AF3" i="76" a="1"/>
  <c r="AF3" i="76" s="1"/>
  <c r="R6" i="76" a="1"/>
  <c r="R6" i="76" s="1"/>
  <c r="AH6" i="76" a="1"/>
  <c r="AH6" i="76" s="1"/>
  <c r="AF6" i="76" a="1"/>
  <c r="AF6" i="76" s="1"/>
  <c r="Q6" i="76" a="1"/>
  <c r="Q6" i="76" s="1"/>
  <c r="Y6" i="76" a="1"/>
  <c r="Y6" i="76" s="1"/>
  <c r="AG6" i="76" a="1"/>
  <c r="AG6" i="76" s="1"/>
  <c r="AB11" i="76" a="1"/>
  <c r="AB11" i="76" s="1"/>
  <c r="R11" i="76" a="1"/>
  <c r="R11" i="76" s="1"/>
  <c r="AH11" i="76" a="1"/>
  <c r="AH11" i="76" s="1"/>
  <c r="S11" i="76" a="1"/>
  <c r="S11" i="76" s="1"/>
  <c r="AA11" i="76" a="1"/>
  <c r="AA11" i="76" s="1"/>
  <c r="AI11" i="76" a="1"/>
  <c r="AI11" i="76" s="1"/>
  <c r="AH7" i="76" a="1"/>
  <c r="AH7" i="76" s="1"/>
  <c r="S7" i="76" a="1"/>
  <c r="S7" i="76" s="1"/>
  <c r="AF7" i="76" a="1"/>
  <c r="AF7" i="76" s="1"/>
  <c r="Y7" i="76" a="1"/>
  <c r="Y7" i="76" s="1"/>
  <c r="AG7" i="76" a="1"/>
  <c r="AG7" i="76" s="1"/>
  <c r="AA9" i="76" a="1"/>
  <c r="AA9" i="76" s="1"/>
  <c r="Q9" i="76" a="1"/>
  <c r="Q9" i="76" s="1"/>
  <c r="AG9" i="76" a="1"/>
  <c r="AG9" i="76" s="1"/>
  <c r="V9" i="76" a="1"/>
  <c r="V9" i="76" s="1"/>
  <c r="AD9" i="76" a="1"/>
  <c r="AD9" i="76" s="1"/>
  <c r="AC8" i="76" a="1"/>
  <c r="AC8" i="76" s="1"/>
  <c r="AA8" i="76" a="1"/>
  <c r="AA8" i="76" s="1"/>
  <c r="X8" i="76" a="1"/>
  <c r="X8" i="76" s="1"/>
  <c r="AF8" i="76" a="1"/>
  <c r="AF8" i="76" s="1"/>
  <c r="Z10" i="76" a="1"/>
  <c r="Z10" i="76" s="1"/>
  <c r="AD10" i="76" a="1"/>
  <c r="AD10" i="76" s="1"/>
  <c r="AB10" i="76" a="1"/>
  <c r="AB10" i="76" s="1"/>
  <c r="W10" i="76" a="1"/>
  <c r="W10" i="76" s="1"/>
  <c r="AE10" i="76" a="1"/>
  <c r="AE10" i="76" s="1"/>
  <c r="V2" i="76" a="1"/>
  <c r="V2" i="76" s="1"/>
  <c r="AD2" i="76" a="1"/>
  <c r="AD2" i="76" s="1"/>
  <c r="W2" i="76" a="1"/>
  <c r="W2" i="76" s="1"/>
  <c r="AC4" i="76" a="1"/>
  <c r="AC4" i="76" s="1"/>
  <c r="AA4" i="76" a="1"/>
  <c r="AA4" i="76" s="1"/>
  <c r="R4" i="76" a="1"/>
  <c r="R4" i="76" s="1"/>
  <c r="Z4" i="76" a="1"/>
  <c r="Z4" i="76" s="1"/>
  <c r="V5" i="76" a="1"/>
  <c r="V5" i="76" s="1"/>
  <c r="V6" i="76" a="1"/>
  <c r="V6" i="76" s="1"/>
  <c r="T6" i="76" a="1"/>
  <c r="T6" i="76" s="1"/>
  <c r="AJ6" i="76" a="1"/>
  <c r="AJ6" i="76" s="1"/>
  <c r="S6" i="76" a="1"/>
  <c r="S6" i="76" s="1"/>
  <c r="AA6" i="76" a="1"/>
  <c r="AA6" i="76" s="1"/>
  <c r="AI6" i="76" a="1"/>
  <c r="AI6" i="76" s="1"/>
  <c r="AJ11" i="76" a="1"/>
  <c r="AJ11" i="76" s="1"/>
  <c r="V11" i="76" a="1"/>
  <c r="V11" i="76" s="1"/>
  <c r="U11" i="76" a="1"/>
  <c r="U11" i="76" s="1"/>
  <c r="AC11" i="76" a="1"/>
  <c r="AC11" i="76" s="1"/>
  <c r="W7" i="76" a="1"/>
  <c r="W7" i="76" s="1"/>
  <c r="U7" i="76" a="1"/>
  <c r="U7" i="76" s="1"/>
  <c r="AJ7" i="76" a="1"/>
  <c r="AJ7" i="76" s="1"/>
  <c r="AA7" i="76" a="1"/>
  <c r="AA7" i="76" s="1"/>
  <c r="AI7" i="76" a="1"/>
  <c r="AI7" i="76" s="1"/>
  <c r="S9" i="76" a="1"/>
  <c r="S9" i="76" s="1"/>
  <c r="X9" i="76" a="1"/>
  <c r="X9" i="76" s="1"/>
  <c r="AF9" i="76" a="1"/>
  <c r="AF9" i="76" s="1"/>
  <c r="AE8" i="76" a="1"/>
  <c r="AE8" i="76" s="1"/>
  <c r="R8" i="76" a="1"/>
  <c r="R8" i="76" s="1"/>
  <c r="Z8" i="76" a="1"/>
  <c r="Z8" i="76" s="1"/>
  <c r="AH8" i="76" a="1"/>
  <c r="AH8" i="76" s="1"/>
  <c r="AF10" i="76" a="1"/>
  <c r="AF10" i="76" s="1"/>
  <c r="Q10" i="76" a="1"/>
  <c r="Q10" i="76" s="1"/>
  <c r="Y10" i="76" a="1"/>
  <c r="Y10" i="76" s="1"/>
  <c r="AG10" i="76" a="1"/>
  <c r="AG10" i="76" s="1"/>
  <c r="X2" i="76" a="1"/>
  <c r="X2" i="76" s="1"/>
  <c r="AF2" i="76" a="1"/>
  <c r="AF2" i="76" s="1"/>
  <c r="Q2" i="76" a="1"/>
  <c r="Q2" i="76" s="1"/>
  <c r="Y2" i="76" a="1"/>
  <c r="Y2" i="76" s="1"/>
  <c r="AG4" i="76" a="1"/>
  <c r="AG4" i="76" s="1"/>
  <c r="T4" i="76" a="1"/>
  <c r="T4" i="76" s="1"/>
  <c r="AB4" i="76" a="1"/>
  <c r="AB4" i="76" s="1"/>
  <c r="W5" i="76" a="1"/>
  <c r="W5" i="76" s="1"/>
  <c r="X5" i="76" a="1"/>
  <c r="X5" i="76" s="1"/>
  <c r="S3" i="76" a="1"/>
  <c r="S3" i="76" s="1"/>
  <c r="AE3" i="76" a="1"/>
  <c r="AE3" i="76" s="1"/>
  <c r="AB3" i="76" a="1"/>
  <c r="AB3" i="76" s="1"/>
  <c r="Z6" i="76" a="1"/>
  <c r="Z6" i="76" s="1"/>
  <c r="X6" i="76" a="1"/>
  <c r="X6" i="76" s="1"/>
  <c r="U6" i="76" a="1"/>
  <c r="U6" i="76" s="1"/>
  <c r="X11" i="76" a="1"/>
  <c r="X11" i="76" s="1"/>
  <c r="AF11" i="76" a="1"/>
  <c r="AF11" i="76" s="1"/>
  <c r="Z11" i="76" a="1"/>
  <c r="Z11" i="76" s="1"/>
  <c r="W11" i="76" a="1"/>
  <c r="W11" i="76" s="1"/>
  <c r="Z7" i="76" a="1"/>
  <c r="Z7" i="76" s="1"/>
  <c r="R7" i="76" a="1"/>
  <c r="R7" i="76" s="1"/>
  <c r="X7" i="76" a="1"/>
  <c r="X7" i="76" s="1"/>
  <c r="AE9" i="76" a="1"/>
  <c r="AE9" i="76" s="1"/>
  <c r="AI9" i="76" a="1"/>
  <c r="AI9" i="76" s="1"/>
  <c r="Y9" i="76" a="1"/>
  <c r="Y9" i="76" s="1"/>
  <c r="R9" i="76" a="1"/>
  <c r="R9" i="76" s="1"/>
  <c r="Z9" i="76" a="1"/>
  <c r="Z9" i="76" s="1"/>
  <c r="Y8" i="76" a="1"/>
  <c r="Y8" i="76" s="1"/>
  <c r="AI8" i="76" a="1"/>
  <c r="AI8" i="76" s="1"/>
  <c r="AB8" i="76" a="1"/>
  <c r="AB8" i="76" s="1"/>
  <c r="T10" i="76" a="1"/>
  <c r="T10" i="76" s="1"/>
  <c r="AJ10" i="76" a="1"/>
  <c r="AJ10" i="76" s="1"/>
  <c r="S10" i="76" a="1"/>
  <c r="S10" i="76" s="1"/>
  <c r="AA10" i="76" a="1"/>
  <c r="AA10" i="76" s="1"/>
  <c r="AF6" i="75" a="1"/>
  <c r="AF6" i="75" s="1"/>
  <c r="S9" i="75" a="1"/>
  <c r="S9" i="75" s="1"/>
  <c r="T7" i="75" a="1"/>
  <c r="T7" i="75" s="1"/>
  <c r="X2" i="75" a="1"/>
  <c r="X2" i="75" s="1"/>
  <c r="Q2" i="75" a="1"/>
  <c r="Q2" i="75" s="1"/>
  <c r="U3" i="75" a="1"/>
  <c r="U3" i="75" s="1"/>
  <c r="U7" i="75" a="1"/>
  <c r="U7" i="75" s="1"/>
  <c r="AC4" i="75" a="1"/>
  <c r="AC4" i="75" s="1"/>
  <c r="AI11" i="75" a="1"/>
  <c r="AI11" i="75" s="1"/>
  <c r="AJ2" i="75" a="1"/>
  <c r="AJ2" i="75" s="1"/>
  <c r="Y2" i="75" a="1"/>
  <c r="Y2" i="75" s="1"/>
  <c r="AC8" i="75" a="1"/>
  <c r="AC8" i="75" s="1"/>
  <c r="AF9" i="75" a="1"/>
  <c r="AF9" i="75" s="1"/>
  <c r="AB11" i="75" a="1"/>
  <c r="AB11" i="75" s="1"/>
  <c r="AG10" i="75" a="1"/>
  <c r="AG10" i="75" s="1"/>
  <c r="AI6" i="75" a="1"/>
  <c r="AI6" i="75" s="1"/>
  <c r="R6" i="75" a="1"/>
  <c r="R6" i="75" s="1"/>
  <c r="AG2" i="75" a="1"/>
  <c r="AG2" i="75" s="1"/>
  <c r="U9" i="75" a="1"/>
  <c r="U9" i="75" s="1"/>
  <c r="R9" i="75" a="1"/>
  <c r="R9" i="75" s="1"/>
  <c r="AD8" i="75" a="1"/>
  <c r="AD8" i="75" s="1"/>
  <c r="AI7" i="75" a="1"/>
  <c r="AI7" i="75" s="1"/>
  <c r="T4" i="75" a="1"/>
  <c r="T4" i="75" s="1"/>
  <c r="AH4" i="75" a="1"/>
  <c r="AH4" i="75" s="1"/>
  <c r="AD4" i="75" a="1"/>
  <c r="AD4" i="75" s="1"/>
  <c r="AD5" i="75" a="1"/>
  <c r="AD5" i="75" s="1"/>
  <c r="AG11" i="75" a="1"/>
  <c r="AG11" i="75" s="1"/>
  <c r="U11" i="75" a="1"/>
  <c r="U11" i="75" s="1"/>
  <c r="Z6" i="75" a="1"/>
  <c r="Z6" i="75" s="1"/>
  <c r="V2" i="75" a="1"/>
  <c r="V2" i="75" s="1"/>
  <c r="W9" i="75" a="1"/>
  <c r="W9" i="75" s="1"/>
  <c r="Z9" i="75" a="1"/>
  <c r="Z9" i="75" s="1"/>
  <c r="AA8" i="75" a="1"/>
  <c r="AA8" i="75" s="1"/>
  <c r="R7" i="75" a="1"/>
  <c r="R7" i="75" s="1"/>
  <c r="W4" i="75" a="1"/>
  <c r="W4" i="75" s="1"/>
  <c r="AI4" i="75" a="1"/>
  <c r="AI4" i="75" s="1"/>
  <c r="AE4" i="75" a="1"/>
  <c r="AE4" i="75" s="1"/>
  <c r="V11" i="75" a="1"/>
  <c r="V11" i="75" s="1"/>
  <c r="AC11" i="75" a="1"/>
  <c r="AC11" i="75" s="1"/>
  <c r="U6" i="75" a="1"/>
  <c r="U6" i="75" s="1"/>
  <c r="Y6" i="75" a="1"/>
  <c r="Y6" i="75" s="1"/>
  <c r="AH6" i="75" a="1"/>
  <c r="AH6" i="75" s="1"/>
  <c r="Y9" i="75" a="1"/>
  <c r="Y9" i="75" s="1"/>
  <c r="AH9" i="75" a="1"/>
  <c r="AH9" i="75" s="1"/>
  <c r="AJ3" i="75" a="1"/>
  <c r="AJ3" i="75" s="1"/>
  <c r="AH3" i="75" a="1"/>
  <c r="AH3" i="75" s="1"/>
  <c r="S4" i="75" a="1"/>
  <c r="S4" i="75" s="1"/>
  <c r="V4" i="75" a="1"/>
  <c r="V4" i="75" s="1"/>
  <c r="T5" i="75" a="1"/>
  <c r="T5" i="75" s="1"/>
  <c r="AF8" i="75" a="1"/>
  <c r="AF8" i="75" s="1"/>
  <c r="AC3" i="75" a="1"/>
  <c r="AC3" i="75" s="1"/>
  <c r="V3" i="75" a="1"/>
  <c r="V3" i="75" s="1"/>
  <c r="AD3" i="75" a="1"/>
  <c r="AD3" i="75" s="1"/>
  <c r="U5" i="75" a="1"/>
  <c r="U5" i="75" s="1"/>
  <c r="AF5" i="75" a="1"/>
  <c r="AF5" i="75" s="1"/>
  <c r="X11" i="75" a="1"/>
  <c r="X11" i="75" s="1"/>
  <c r="AJ11" i="75" a="1"/>
  <c r="AJ11" i="75" s="1"/>
  <c r="Z11" i="75" a="1"/>
  <c r="Z11" i="75" s="1"/>
  <c r="W11" i="75" a="1"/>
  <c r="W11" i="75" s="1"/>
  <c r="AE11" i="75" a="1"/>
  <c r="AE11" i="75" s="1"/>
  <c r="R10" i="75" a="1"/>
  <c r="R10" i="75" s="1"/>
  <c r="V10" i="75" a="1"/>
  <c r="V10" i="75" s="1"/>
  <c r="X10" i="75" a="1"/>
  <c r="X10" i="75" s="1"/>
  <c r="U10" i="75" a="1"/>
  <c r="U10" i="75" s="1"/>
  <c r="AC10" i="75" a="1"/>
  <c r="AC10" i="75" s="1"/>
  <c r="W6" i="75" a="1"/>
  <c r="W6" i="75" s="1"/>
  <c r="AC6" i="75" a="1"/>
  <c r="AC6" i="75" s="1"/>
  <c r="T6" i="75" a="1"/>
  <c r="T6" i="75" s="1"/>
  <c r="AB6" i="75" a="1"/>
  <c r="AB6" i="75" s="1"/>
  <c r="AJ6" i="75" a="1"/>
  <c r="AJ6" i="75" s="1"/>
  <c r="AF2" i="75" a="1"/>
  <c r="AF2" i="75" s="1"/>
  <c r="R2" i="75" a="1"/>
  <c r="R2" i="75" s="1"/>
  <c r="AD2" i="75" a="1"/>
  <c r="AD2" i="75" s="1"/>
  <c r="S2" i="75" a="1"/>
  <c r="S2" i="75" s="1"/>
  <c r="AA2" i="75" a="1"/>
  <c r="AA2" i="75" s="1"/>
  <c r="AI2" i="75" a="1"/>
  <c r="AI2" i="75" s="1"/>
  <c r="AA9" i="75" a="1"/>
  <c r="AA9" i="75" s="1"/>
  <c r="AE9" i="75" a="1"/>
  <c r="AE9" i="75" s="1"/>
  <c r="AC9" i="75" a="1"/>
  <c r="AC9" i="75" s="1"/>
  <c r="T9" i="75" a="1"/>
  <c r="T9" i="75" s="1"/>
  <c r="AB9" i="75" a="1"/>
  <c r="AB9" i="75" s="1"/>
  <c r="AJ9" i="75" a="1"/>
  <c r="AJ9" i="75" s="1"/>
  <c r="Q8" i="75" a="1"/>
  <c r="Q8" i="75" s="1"/>
  <c r="AE8" i="75" a="1"/>
  <c r="AE8" i="75" s="1"/>
  <c r="R8" i="75" a="1"/>
  <c r="R8" i="75" s="1"/>
  <c r="Z8" i="75" a="1"/>
  <c r="Z8" i="75" s="1"/>
  <c r="AH8" i="75" a="1"/>
  <c r="AH8" i="75" s="1"/>
  <c r="W3" i="75" a="1"/>
  <c r="W3" i="75" s="1"/>
  <c r="AE3" i="75" a="1"/>
  <c r="AE3" i="75" s="1"/>
  <c r="X3" i="75" a="1"/>
  <c r="X3" i="75" s="1"/>
  <c r="AF3" i="75" a="1"/>
  <c r="AF3" i="75" s="1"/>
  <c r="V7" i="75" a="1"/>
  <c r="V7" i="75" s="1"/>
  <c r="X7" i="75" a="1"/>
  <c r="X7" i="75" s="1"/>
  <c r="W7" i="75" a="1"/>
  <c r="W7" i="75" s="1"/>
  <c r="AE7" i="75" a="1"/>
  <c r="AE7" i="75" s="1"/>
  <c r="U4" i="75" a="1"/>
  <c r="U4" i="75" s="1"/>
  <c r="AB4" i="75" a="1"/>
  <c r="AB4" i="75" s="1"/>
  <c r="X4" i="75" a="1"/>
  <c r="X4" i="75" s="1"/>
  <c r="Y4" i="75" a="1"/>
  <c r="Y4" i="75" s="1"/>
  <c r="AG4" i="75" a="1"/>
  <c r="AG4" i="75" s="1"/>
  <c r="AA5" i="75" a="1"/>
  <c r="AA5" i="75" s="1"/>
  <c r="AI5" i="75" a="1"/>
  <c r="AI5" i="75" s="1"/>
  <c r="Y5" i="75" a="1"/>
  <c r="Y5" i="75" s="1"/>
  <c r="S5" i="75" a="1"/>
  <c r="S5" i="75" s="1"/>
  <c r="Z5" i="75" a="1"/>
  <c r="Z5" i="75" s="1"/>
  <c r="AH5" i="75" a="1"/>
  <c r="AH5" i="75" s="1"/>
  <c r="T10" i="75" a="1"/>
  <c r="T10" i="75" s="1"/>
  <c r="S10" i="75" a="1"/>
  <c r="S10" i="75" s="1"/>
  <c r="AI10" i="75" a="1"/>
  <c r="AI10" i="75" s="1"/>
  <c r="AJ7" i="75" a="1"/>
  <c r="AJ7" i="75" s="1"/>
  <c r="AC7" i="75" a="1"/>
  <c r="AC7" i="75" s="1"/>
  <c r="X5" i="75" a="1"/>
  <c r="X5" i="75" s="1"/>
  <c r="U6" i="74" a="1"/>
  <c r="U6" i="74" s="1"/>
  <c r="AF11" i="75" a="1"/>
  <c r="AF11" i="75" s="1"/>
  <c r="AD11" i="75" a="1"/>
  <c r="AD11" i="75" s="1"/>
  <c r="Q11" i="75" a="1"/>
  <c r="Q11" i="75" s="1"/>
  <c r="Y11" i="75" a="1"/>
  <c r="Y11" i="75" s="1"/>
  <c r="Z10" i="75" a="1"/>
  <c r="Z10" i="75" s="1"/>
  <c r="AD10" i="75" a="1"/>
  <c r="AD10" i="75" s="1"/>
  <c r="AB10" i="75" a="1"/>
  <c r="AB10" i="75" s="1"/>
  <c r="W10" i="75" a="1"/>
  <c r="W10" i="75" s="1"/>
  <c r="AE10" i="75" a="1"/>
  <c r="AE10" i="75" s="1"/>
  <c r="AA6" i="75" a="1"/>
  <c r="AA6" i="75" s="1"/>
  <c r="Q6" i="75" a="1"/>
  <c r="Q6" i="75" s="1"/>
  <c r="AG6" i="75" a="1"/>
  <c r="AG6" i="75" s="1"/>
  <c r="V6" i="75" a="1"/>
  <c r="V6" i="75" s="1"/>
  <c r="AD6" i="75" a="1"/>
  <c r="AD6" i="75" s="1"/>
  <c r="Z2" i="75" a="1"/>
  <c r="Z2" i="75" s="1"/>
  <c r="T2" i="75" a="1"/>
  <c r="T2" i="75" s="1"/>
  <c r="U2" i="75" a="1"/>
  <c r="U2" i="75" s="1"/>
  <c r="AC2" i="75" a="1"/>
  <c r="AC2" i="75" s="1"/>
  <c r="AI9" i="75" a="1"/>
  <c r="AI9" i="75" s="1"/>
  <c r="Q9" i="75" a="1"/>
  <c r="Q9" i="75" s="1"/>
  <c r="AG9" i="75" a="1"/>
  <c r="AG9" i="75" s="1"/>
  <c r="V9" i="75" a="1"/>
  <c r="V9" i="75" s="1"/>
  <c r="AD9" i="75" a="1"/>
  <c r="AD9" i="75" s="1"/>
  <c r="Y8" i="75" a="1"/>
  <c r="Y8" i="75" s="1"/>
  <c r="S8" i="75" a="1"/>
  <c r="S8" i="75" s="1"/>
  <c r="AI8" i="75" a="1"/>
  <c r="AI8" i="75" s="1"/>
  <c r="T8" i="75" a="1"/>
  <c r="T8" i="75" s="1"/>
  <c r="AB8" i="75" a="1"/>
  <c r="AB8" i="75" s="1"/>
  <c r="AJ8" i="75" a="1"/>
  <c r="AJ8" i="75" s="1"/>
  <c r="Q3" i="75" a="1"/>
  <c r="Q3" i="75" s="1"/>
  <c r="Y3" i="75" a="1"/>
  <c r="Y3" i="75" s="1"/>
  <c r="AG3" i="75" a="1"/>
  <c r="AG3" i="75" s="1"/>
  <c r="R3" i="75" a="1"/>
  <c r="R3" i="75" s="1"/>
  <c r="Z3" i="75" a="1"/>
  <c r="Z3" i="75" s="1"/>
  <c r="AD7" i="75" a="1"/>
  <c r="AD7" i="75" s="1"/>
  <c r="Z7" i="75" a="1"/>
  <c r="Z7" i="75" s="1"/>
  <c r="AB7" i="75" a="1"/>
  <c r="AB7" i="75" s="1"/>
  <c r="Q7" i="75" a="1"/>
  <c r="Q7" i="75" s="1"/>
  <c r="Y7" i="75" a="1"/>
  <c r="Y7" i="75" s="1"/>
  <c r="AG7" i="75" a="1"/>
  <c r="AG7" i="75" s="1"/>
  <c r="Q4" i="75" a="1"/>
  <c r="Q4" i="75" s="1"/>
  <c r="R4" i="75" a="1"/>
  <c r="R4" i="75" s="1"/>
  <c r="AF4" i="75" a="1"/>
  <c r="AF4" i="75" s="1"/>
  <c r="AA4" i="75" a="1"/>
  <c r="AA4" i="75" s="1"/>
  <c r="Q5" i="75" a="1"/>
  <c r="Q5" i="75" s="1"/>
  <c r="AC5" i="75" a="1"/>
  <c r="AC5" i="75" s="1"/>
  <c r="AB5" i="75" a="1"/>
  <c r="AB5" i="75" s="1"/>
  <c r="AJ5" i="75" a="1"/>
  <c r="AJ5" i="75" s="1"/>
  <c r="AJ10" i="75" a="1"/>
  <c r="AJ10" i="75" s="1"/>
  <c r="AA10" i="75" a="1"/>
  <c r="AA10" i="75" s="1"/>
  <c r="X8" i="75" a="1"/>
  <c r="X8" i="75" s="1"/>
  <c r="T11" i="75" a="1"/>
  <c r="T11" i="75" s="1"/>
  <c r="R11" i="75" a="1"/>
  <c r="R11" i="75" s="1"/>
  <c r="AH11" i="75" a="1"/>
  <c r="AH11" i="75" s="1"/>
  <c r="S11" i="75" a="1"/>
  <c r="S11" i="75" s="1"/>
  <c r="AA11" i="75" a="1"/>
  <c r="AA11" i="75" s="1"/>
  <c r="AH10" i="75" a="1"/>
  <c r="AH10" i="75" s="1"/>
  <c r="AF10" i="75" a="1"/>
  <c r="AF10" i="75" s="1"/>
  <c r="Q10" i="75" a="1"/>
  <c r="Q10" i="75" s="1"/>
  <c r="Y10" i="75" a="1"/>
  <c r="Y10" i="75" s="1"/>
  <c r="AE6" i="75" a="1"/>
  <c r="AE6" i="75" s="1"/>
  <c r="X6" i="75" a="1"/>
  <c r="X6" i="75" s="1"/>
  <c r="AH2" i="75" a="1"/>
  <c r="AH2" i="75" s="1"/>
  <c r="AB2" i="75" a="1"/>
  <c r="AB2" i="75" s="1"/>
  <c r="W2" i="75" a="1"/>
  <c r="W2" i="75" s="1"/>
  <c r="X9" i="75" a="1"/>
  <c r="X9" i="75" s="1"/>
  <c r="U8" i="75" a="1"/>
  <c r="U8" i="75" s="1"/>
  <c r="AG8" i="75" a="1"/>
  <c r="AG8" i="75" s="1"/>
  <c r="W8" i="75" a="1"/>
  <c r="W8" i="75" s="1"/>
  <c r="V8" i="75" a="1"/>
  <c r="V8" i="75" s="1"/>
  <c r="S3" i="75" a="1"/>
  <c r="S3" i="75" s="1"/>
  <c r="AA3" i="75" a="1"/>
  <c r="AA3" i="75" s="1"/>
  <c r="AI3" i="75" a="1"/>
  <c r="AI3" i="75" s="1"/>
  <c r="T3" i="75" a="1"/>
  <c r="T3" i="75" s="1"/>
  <c r="AB3" i="75" a="1"/>
  <c r="AB3" i="75" s="1"/>
  <c r="AH7" i="75" a="1"/>
  <c r="AH7" i="75" s="1"/>
  <c r="AF7" i="75" a="1"/>
  <c r="AF7" i="75" s="1"/>
  <c r="S7" i="75" a="1"/>
  <c r="S7" i="75" s="1"/>
  <c r="AA7" i="75" a="1"/>
  <c r="AA7" i="75" s="1"/>
  <c r="AJ4" i="75" a="1"/>
  <c r="AJ4" i="75" s="1"/>
  <c r="Z4" i="75" a="1"/>
  <c r="Z4" i="75" s="1"/>
  <c r="W5" i="75" a="1"/>
  <c r="W5" i="75" s="1"/>
  <c r="AE5" i="75" a="1"/>
  <c r="AE5" i="75" s="1"/>
  <c r="R5" i="75" a="1"/>
  <c r="R5" i="75" s="1"/>
  <c r="AG5" i="75" a="1"/>
  <c r="AG5" i="75" s="1"/>
  <c r="V5" i="75" a="1"/>
  <c r="V5" i="75" s="1"/>
  <c r="AH11" i="74" a="1"/>
  <c r="AH11" i="74" s="1"/>
  <c r="Y4" i="74" a="1"/>
  <c r="Y4" i="74" s="1"/>
  <c r="AI6" i="74" a="1"/>
  <c r="AI6" i="74" s="1"/>
  <c r="AI11" i="74" a="1"/>
  <c r="AI11" i="74" s="1"/>
  <c r="AH5" i="74" a="1"/>
  <c r="AH5" i="74" s="1"/>
  <c r="S6" i="73" a="1"/>
  <c r="S6" i="73" s="1"/>
  <c r="T11" i="74" a="1"/>
  <c r="T11" i="74" s="1"/>
  <c r="AF4" i="74" a="1"/>
  <c r="AF4" i="74" s="1"/>
  <c r="Q8" i="74" a="1"/>
  <c r="Q8" i="74" s="1"/>
  <c r="Z9" i="74" a="1"/>
  <c r="Z9" i="74" s="1"/>
  <c r="AA11" i="74" a="1"/>
  <c r="AA11" i="74" s="1"/>
  <c r="S6" i="74" a="1"/>
  <c r="S6" i="74" s="1"/>
  <c r="R2" i="74" a="1"/>
  <c r="R2" i="74" s="1"/>
  <c r="AD4" i="74" a="1"/>
  <c r="AD4" i="74" s="1"/>
  <c r="U6" i="73" a="1"/>
  <c r="U6" i="73" s="1"/>
  <c r="AF6" i="74" a="1"/>
  <c r="AF6" i="74" s="1"/>
  <c r="AH6" i="74" a="1"/>
  <c r="AH6" i="74" s="1"/>
  <c r="AH8" i="74" a="1"/>
  <c r="AH8" i="74" s="1"/>
  <c r="AH9" i="74" a="1"/>
  <c r="AH9" i="74" s="1"/>
  <c r="AC3" i="74" a="1"/>
  <c r="AC3" i="74" s="1"/>
  <c r="W9" i="74" a="1"/>
  <c r="W9" i="74" s="1"/>
  <c r="V8" i="74" a="1"/>
  <c r="V8" i="74" s="1"/>
  <c r="Y9" i="74" a="1"/>
  <c r="Y9" i="74" s="1"/>
  <c r="AA9" i="74" a="1"/>
  <c r="AA9" i="74" s="1"/>
  <c r="AE11" i="74" a="1"/>
  <c r="AE11" i="74" s="1"/>
  <c r="AF11" i="74" a="1"/>
  <c r="AF11" i="74" s="1"/>
  <c r="Q11" i="74" a="1"/>
  <c r="Q11" i="74" s="1"/>
  <c r="AG11" i="74" a="1"/>
  <c r="AG11" i="74" s="1"/>
  <c r="V3" i="74" a="1"/>
  <c r="V3" i="74" s="1"/>
  <c r="AB3" i="74" a="1"/>
  <c r="AB3" i="74" s="1"/>
  <c r="AE3" i="74" a="1"/>
  <c r="AE3" i="74" s="1"/>
  <c r="X6" i="74" a="1"/>
  <c r="X6" i="74" s="1"/>
  <c r="Y2" i="74" a="1"/>
  <c r="Y2" i="74" s="1"/>
  <c r="X3" i="74" a="1"/>
  <c r="X3" i="74" s="1"/>
  <c r="AG3" i="74" a="1"/>
  <c r="AG3" i="74" s="1"/>
  <c r="S8" i="73" a="1"/>
  <c r="S8" i="73" s="1"/>
  <c r="X4" i="73" a="1"/>
  <c r="X4" i="73" s="1"/>
  <c r="X3" i="73" a="1"/>
  <c r="X3" i="73" s="1"/>
  <c r="AC8" i="74" a="1"/>
  <c r="AC8" i="74" s="1"/>
  <c r="AF8" i="74" a="1"/>
  <c r="AF8" i="74" s="1"/>
  <c r="Y10" i="74" a="1"/>
  <c r="Y10" i="74" s="1"/>
  <c r="U9" i="74" a="1"/>
  <c r="U9" i="74" s="1"/>
  <c r="AG9" i="74" a="1"/>
  <c r="AG9" i="74" s="1"/>
  <c r="AF9" i="74" a="1"/>
  <c r="AF9" i="74" s="1"/>
  <c r="Z11" i="74" a="1"/>
  <c r="Z11" i="74" s="1"/>
  <c r="V11" i="74" a="1"/>
  <c r="V11" i="74" s="1"/>
  <c r="AJ11" i="74" a="1"/>
  <c r="AJ11" i="74" s="1"/>
  <c r="S11" i="74" a="1"/>
  <c r="S11" i="74" s="1"/>
  <c r="AD3" i="74" a="1"/>
  <c r="AD3" i="74" s="1"/>
  <c r="R3" i="74" a="1"/>
  <c r="R3" i="74" s="1"/>
  <c r="Q3" i="74" a="1"/>
  <c r="Q3" i="74" s="1"/>
  <c r="AB6" i="74" a="1"/>
  <c r="AB6" i="74" s="1"/>
  <c r="AI5" i="74" a="1"/>
  <c r="AI5" i="74" s="1"/>
  <c r="AF5" i="74" a="1"/>
  <c r="AF5" i="74" s="1"/>
  <c r="AI7" i="74" a="1"/>
  <c r="AI7" i="74" s="1"/>
  <c r="AE4" i="74" a="1"/>
  <c r="AE4" i="74" s="1"/>
  <c r="AI4" i="74" a="1"/>
  <c r="AI4" i="74" s="1"/>
  <c r="AC6" i="73" a="1"/>
  <c r="AC6" i="73" s="1"/>
  <c r="AA8" i="74" a="1"/>
  <c r="AA8" i="74" s="1"/>
  <c r="AC9" i="74" a="1"/>
  <c r="AC9" i="74" s="1"/>
  <c r="R9" i="74" a="1"/>
  <c r="R9" i="74" s="1"/>
  <c r="R11" i="74" a="1"/>
  <c r="R11" i="74" s="1"/>
  <c r="AD11" i="74" a="1"/>
  <c r="AD11" i="74" s="1"/>
  <c r="Y11" i="74" a="1"/>
  <c r="Y11" i="74" s="1"/>
  <c r="Z3" i="74" a="1"/>
  <c r="Z3" i="74" s="1"/>
  <c r="Y3" i="74" a="1"/>
  <c r="Y3" i="74" s="1"/>
  <c r="Z6" i="74" a="1"/>
  <c r="Z6" i="74" s="1"/>
  <c r="Q6" i="74" a="1"/>
  <c r="Q6" i="74" s="1"/>
  <c r="AB2" i="74" a="1"/>
  <c r="AB2" i="74" s="1"/>
  <c r="AG7" i="74" a="1"/>
  <c r="AG7" i="74" s="1"/>
  <c r="V4" i="74" a="1"/>
  <c r="V4" i="74" s="1"/>
  <c r="T4" i="74" a="1"/>
  <c r="T4" i="74" s="1"/>
  <c r="AG8" i="74" a="1"/>
  <c r="AG8" i="74" s="1"/>
  <c r="X8" i="74" a="1"/>
  <c r="X8" i="74" s="1"/>
  <c r="AD10" i="74" a="1"/>
  <c r="AD10" i="74" s="1"/>
  <c r="T10" i="74" a="1"/>
  <c r="T10" i="74" s="1"/>
  <c r="AJ10" i="74" a="1"/>
  <c r="AJ10" i="74" s="1"/>
  <c r="S10" i="74" a="1"/>
  <c r="S10" i="74" s="1"/>
  <c r="AA10" i="74" a="1"/>
  <c r="AA10" i="74" s="1"/>
  <c r="AI10" i="74" a="1"/>
  <c r="AI10" i="74" s="1"/>
  <c r="AE9" i="74" a="1"/>
  <c r="AE9" i="74" s="1"/>
  <c r="T9" i="74" a="1"/>
  <c r="T9" i="74" s="1"/>
  <c r="AB9" i="74" a="1"/>
  <c r="AB9" i="74" s="1"/>
  <c r="AJ9" i="74" a="1"/>
  <c r="AJ9" i="74" s="1"/>
  <c r="X11" i="74" a="1"/>
  <c r="X11" i="74" s="1"/>
  <c r="U11" i="74" a="1"/>
  <c r="U11" i="74" s="1"/>
  <c r="AC11" i="74" a="1"/>
  <c r="AC11" i="74" s="1"/>
  <c r="AF3" i="74" a="1"/>
  <c r="AF3" i="74" s="1"/>
  <c r="AH3" i="74" a="1"/>
  <c r="AH3" i="74" s="1"/>
  <c r="S3" i="74" a="1"/>
  <c r="S3" i="74" s="1"/>
  <c r="AA3" i="74" a="1"/>
  <c r="AA3" i="74" s="1"/>
  <c r="AI3" i="74" a="1"/>
  <c r="AI3" i="74" s="1"/>
  <c r="AG6" i="74" a="1"/>
  <c r="AG6" i="74" s="1"/>
  <c r="R6" i="74" a="1"/>
  <c r="R6" i="74" s="1"/>
  <c r="V6" i="74" a="1"/>
  <c r="V6" i="74" s="1"/>
  <c r="AJ6" i="74" a="1"/>
  <c r="AJ6" i="74" s="1"/>
  <c r="AC2" i="74" a="1"/>
  <c r="AC2" i="74" s="1"/>
  <c r="S2" i="74" a="1"/>
  <c r="S2" i="74" s="1"/>
  <c r="AI2" i="74" a="1"/>
  <c r="AI2" i="74" s="1"/>
  <c r="Z2" i="74" a="1"/>
  <c r="Z2" i="74" s="1"/>
  <c r="AJ2" i="74" a="1"/>
  <c r="AJ2" i="74" s="1"/>
  <c r="AA5" i="74" a="1"/>
  <c r="AA5" i="74" s="1"/>
  <c r="Q5" i="74" a="1"/>
  <c r="Q5" i="74" s="1"/>
  <c r="W5" i="74" a="1"/>
  <c r="W5" i="74" s="1"/>
  <c r="T5" i="74" a="1"/>
  <c r="T5" i="74" s="1"/>
  <c r="AB5" i="74" a="1"/>
  <c r="AB5" i="74" s="1"/>
  <c r="AJ5" i="74" a="1"/>
  <c r="AJ5" i="74" s="1"/>
  <c r="T7" i="74" a="1"/>
  <c r="T7" i="74" s="1"/>
  <c r="V7" i="74" a="1"/>
  <c r="V7" i="74" s="1"/>
  <c r="AB7" i="74" a="1"/>
  <c r="AB7" i="74" s="1"/>
  <c r="S7" i="74" a="1"/>
  <c r="S7" i="74" s="1"/>
  <c r="AH7" i="74" a="1"/>
  <c r="AH7" i="74" s="1"/>
  <c r="AC7" i="74" a="1"/>
  <c r="AC7" i="74" s="1"/>
  <c r="X4" i="74" a="1"/>
  <c r="X4" i="74" s="1"/>
  <c r="S4" i="74" a="1"/>
  <c r="S4" i="74" s="1"/>
  <c r="AB4" i="74" a="1"/>
  <c r="AB4" i="74" s="1"/>
  <c r="Z4" i="74" a="1"/>
  <c r="Z4" i="74" s="1"/>
  <c r="W8" i="74" a="1"/>
  <c r="W8" i="74" s="1"/>
  <c r="AD8" i="74" a="1"/>
  <c r="AD8" i="74" s="1"/>
  <c r="AH10" i="74" a="1"/>
  <c r="AH10" i="74" s="1"/>
  <c r="Q10" i="74" a="1"/>
  <c r="Q10" i="74" s="1"/>
  <c r="AG10" i="74" a="1"/>
  <c r="AG10" i="74" s="1"/>
  <c r="AD5" i="73" a="1"/>
  <c r="AD5" i="73" s="1"/>
  <c r="Y8" i="74" a="1"/>
  <c r="Y8" i="74" s="1"/>
  <c r="AE8" i="74" a="1"/>
  <c r="AE8" i="74" s="1"/>
  <c r="R8" i="74" a="1"/>
  <c r="R8" i="74" s="1"/>
  <c r="Z8" i="74" a="1"/>
  <c r="Z8" i="74" s="1"/>
  <c r="V10" i="74" a="1"/>
  <c r="V10" i="74" s="1"/>
  <c r="R10" i="74" a="1"/>
  <c r="R10" i="74" s="1"/>
  <c r="X10" i="74" a="1"/>
  <c r="X10" i="74" s="1"/>
  <c r="U10" i="74" a="1"/>
  <c r="U10" i="74" s="1"/>
  <c r="AC10" i="74" a="1"/>
  <c r="AC10" i="74" s="1"/>
  <c r="Q9" i="74" a="1"/>
  <c r="Q9" i="74" s="1"/>
  <c r="S9" i="74" a="1"/>
  <c r="S9" i="74" s="1"/>
  <c r="AI9" i="74" a="1"/>
  <c r="AI9" i="74" s="1"/>
  <c r="V9" i="74" a="1"/>
  <c r="V9" i="74" s="1"/>
  <c r="AD9" i="74" a="1"/>
  <c r="AD9" i="74" s="1"/>
  <c r="AB11" i="74" a="1"/>
  <c r="AB11" i="74" s="1"/>
  <c r="W11" i="74" a="1"/>
  <c r="W11" i="74" s="1"/>
  <c r="T3" i="74" a="1"/>
  <c r="T3" i="74" s="1"/>
  <c r="AJ3" i="74" a="1"/>
  <c r="AJ3" i="74" s="1"/>
  <c r="U3" i="74" a="1"/>
  <c r="U3" i="74" s="1"/>
  <c r="AA6" i="74" a="1"/>
  <c r="AA6" i="74" s="1"/>
  <c r="AC6" i="74" a="1"/>
  <c r="AC6" i="74" s="1"/>
  <c r="Y6" i="74" a="1"/>
  <c r="Y6" i="74" s="1"/>
  <c r="T6" i="74" a="1"/>
  <c r="T6" i="74" s="1"/>
  <c r="AD6" i="74" a="1"/>
  <c r="AD6" i="74" s="1"/>
  <c r="Q2" i="74" a="1"/>
  <c r="Q2" i="74" s="1"/>
  <c r="AG2" i="74" a="1"/>
  <c r="AG2" i="74" s="1"/>
  <c r="W2" i="74" a="1"/>
  <c r="W2" i="74" s="1"/>
  <c r="AD2" i="74" a="1"/>
  <c r="AD2" i="74" s="1"/>
  <c r="AC5" i="74" a="1"/>
  <c r="AC5" i="74" s="1"/>
  <c r="Y5" i="74" a="1"/>
  <c r="Y5" i="74" s="1"/>
  <c r="AE5" i="74" a="1"/>
  <c r="AE5" i="74" s="1"/>
  <c r="V5" i="74" a="1"/>
  <c r="V5" i="74" s="1"/>
  <c r="AD5" i="74" a="1"/>
  <c r="AD5" i="74" s="1"/>
  <c r="AF7" i="74" a="1"/>
  <c r="AF7" i="74" s="1"/>
  <c r="AA7" i="74" a="1"/>
  <c r="AA7" i="74" s="1"/>
  <c r="AJ7" i="74" a="1"/>
  <c r="AJ7" i="74" s="1"/>
  <c r="U7" i="74" a="1"/>
  <c r="U7" i="74" s="1"/>
  <c r="AE7" i="74" a="1"/>
  <c r="AE7" i="74" s="1"/>
  <c r="R4" i="74" a="1"/>
  <c r="R4" i="74" s="1"/>
  <c r="AA4" i="74" a="1"/>
  <c r="AA4" i="74" s="1"/>
  <c r="AC4" i="74" a="1"/>
  <c r="AC4" i="74" s="1"/>
  <c r="U4" i="74" a="1"/>
  <c r="U4" i="74" s="1"/>
  <c r="AG4" i="74" a="1"/>
  <c r="AG4" i="74" s="1"/>
  <c r="AE11" i="73" a="1"/>
  <c r="AE11" i="73" s="1"/>
  <c r="U8" i="74" a="1"/>
  <c r="U8" i="74" s="1"/>
  <c r="S8" i="74" a="1"/>
  <c r="S8" i="74" s="1"/>
  <c r="AI8" i="74" a="1"/>
  <c r="AI8" i="74" s="1"/>
  <c r="T8" i="74" a="1"/>
  <c r="T8" i="74" s="1"/>
  <c r="AB8" i="74" a="1"/>
  <c r="AB8" i="74" s="1"/>
  <c r="AJ8" i="74" a="1"/>
  <c r="AJ8" i="74" s="1"/>
  <c r="Z10" i="74" a="1"/>
  <c r="Z10" i="74" s="1"/>
  <c r="AB10" i="74" a="1"/>
  <c r="AB10" i="74" s="1"/>
  <c r="W10" i="74" a="1"/>
  <c r="W10" i="74" s="1"/>
  <c r="AE10" i="74" a="1"/>
  <c r="AE10" i="74" s="1"/>
  <c r="X9" i="74" a="1"/>
  <c r="X9" i="74" s="1"/>
  <c r="W3" i="74" a="1"/>
  <c r="W3" i="74" s="1"/>
  <c r="AE6" i="74" a="1"/>
  <c r="AE6" i="74" s="1"/>
  <c r="W6" i="74" a="1"/>
  <c r="W6" i="74" s="1"/>
  <c r="U2" i="74" a="1"/>
  <c r="U2" i="74" s="1"/>
  <c r="AA2" i="74" a="1"/>
  <c r="AA2" i="74" s="1"/>
  <c r="T2" i="74" a="1"/>
  <c r="T2" i="74" s="1"/>
  <c r="AF2" i="74" a="1"/>
  <c r="AF2" i="74" s="1"/>
  <c r="X2" i="74" a="1"/>
  <c r="X2" i="74" s="1"/>
  <c r="S5" i="74" a="1"/>
  <c r="S5" i="74" s="1"/>
  <c r="U5" i="74" a="1"/>
  <c r="U5" i="74" s="1"/>
  <c r="AG5" i="74" a="1"/>
  <c r="AG5" i="74" s="1"/>
  <c r="X5" i="74" a="1"/>
  <c r="X5" i="74" s="1"/>
  <c r="Y7" i="74" a="1"/>
  <c r="Y7" i="74" s="1"/>
  <c r="X7" i="74" a="1"/>
  <c r="X7" i="74" s="1"/>
  <c r="W7" i="74" a="1"/>
  <c r="W7" i="74" s="1"/>
  <c r="W4" i="74" a="1"/>
  <c r="W4" i="74" s="1"/>
  <c r="AJ4" i="74" a="1"/>
  <c r="AJ4" i="74" s="1"/>
  <c r="AH4" i="74" a="1"/>
  <c r="AH4" i="74" s="1"/>
  <c r="AF10" i="74" a="1"/>
  <c r="AF10" i="74" s="1"/>
  <c r="AE2" i="74" a="1"/>
  <c r="AE2" i="74" s="1"/>
  <c r="V2" i="74" a="1"/>
  <c r="V2" i="74" s="1"/>
  <c r="AH2" i="74" a="1"/>
  <c r="AH2" i="74" s="1"/>
  <c r="R5" i="74" a="1"/>
  <c r="R5" i="74" s="1"/>
  <c r="Z5" i="74" a="1"/>
  <c r="Z5" i="74" s="1"/>
  <c r="R7" i="74" a="1"/>
  <c r="R7" i="74" s="1"/>
  <c r="Q7" i="74" a="1"/>
  <c r="Q7" i="74" s="1"/>
  <c r="AD7" i="74" a="1"/>
  <c r="AD7" i="74" s="1"/>
  <c r="Z7" i="74" a="1"/>
  <c r="Z7" i="74" s="1"/>
  <c r="Q4" i="74" a="1"/>
  <c r="Q4" i="74" s="1"/>
  <c r="V8" i="73" a="1"/>
  <c r="V8" i="73" s="1"/>
  <c r="AC5" i="73" a="1"/>
  <c r="AC5" i="73" s="1"/>
  <c r="AE8" i="73" a="1"/>
  <c r="AE8" i="73" s="1"/>
  <c r="AF4" i="73" a="1"/>
  <c r="AF4" i="73" s="1"/>
  <c r="AH7" i="73" a="1"/>
  <c r="AH7" i="73" s="1"/>
  <c r="AJ6" i="73" a="1"/>
  <c r="AJ6" i="73" s="1"/>
  <c r="AJ9" i="73" a="1"/>
  <c r="AJ9" i="73" s="1"/>
  <c r="T5" i="73" a="1"/>
  <c r="T5" i="73" s="1"/>
  <c r="AD8" i="73" a="1"/>
  <c r="AD8" i="73" s="1"/>
  <c r="AC4" i="73" a="1"/>
  <c r="AC4" i="73" s="1"/>
  <c r="Q6" i="73" a="1"/>
  <c r="Q6" i="73" s="1"/>
  <c r="T6" i="73" a="1"/>
  <c r="T6" i="73" s="1"/>
  <c r="V4" i="73" a="1"/>
  <c r="V4" i="73" s="1"/>
  <c r="AJ4" i="73" a="1"/>
  <c r="AJ4" i="73" s="1"/>
  <c r="Q4" i="73" a="1"/>
  <c r="Q4" i="73" s="1"/>
  <c r="AG4" i="73" a="1"/>
  <c r="AG4" i="73" s="1"/>
  <c r="Q7" i="73" a="1"/>
  <c r="Q7" i="73" s="1"/>
  <c r="AF11" i="73" a="1"/>
  <c r="AF11" i="73" s="1"/>
  <c r="V11" i="73" a="1"/>
  <c r="V11" i="73" s="1"/>
  <c r="AD2" i="73" a="1"/>
  <c r="AD2" i="73" s="1"/>
  <c r="R5" i="73" a="1"/>
  <c r="R5" i="73" s="1"/>
  <c r="X5" i="73" a="1"/>
  <c r="X5" i="73" s="1"/>
  <c r="AJ3" i="73" a="1"/>
  <c r="AJ3" i="73" s="1"/>
  <c r="AE6" i="73" a="1"/>
  <c r="AE6" i="73" s="1"/>
  <c r="AI6" i="73" a="1"/>
  <c r="AI6" i="73" s="1"/>
  <c r="AB6" i="73" a="1"/>
  <c r="AB6" i="73" s="1"/>
  <c r="AA2" i="73" a="1"/>
  <c r="AA2" i="73" s="1"/>
  <c r="U8" i="73" a="1"/>
  <c r="U8" i="73" s="1"/>
  <c r="W8" i="73" a="1"/>
  <c r="W8" i="73" s="1"/>
  <c r="AJ8" i="73" a="1"/>
  <c r="AJ8" i="73" s="1"/>
  <c r="Z4" i="73" a="1"/>
  <c r="Z4" i="73" s="1"/>
  <c r="U4" i="73" a="1"/>
  <c r="U4" i="73" s="1"/>
  <c r="U10" i="73" a="1"/>
  <c r="U10" i="73" s="1"/>
  <c r="AG11" i="73" a="1"/>
  <c r="AG11" i="73" s="1"/>
  <c r="Y2" i="73" a="1"/>
  <c r="Y2" i="73" s="1"/>
  <c r="AJ2" i="73" a="1"/>
  <c r="AJ2" i="73" s="1"/>
  <c r="AF5" i="73" a="1"/>
  <c r="AF5" i="73" s="1"/>
  <c r="AI5" i="73" a="1"/>
  <c r="AI5" i="73" s="1"/>
  <c r="AE3" i="73" a="1"/>
  <c r="AE3" i="73" s="1"/>
  <c r="AH9" i="73" a="1"/>
  <c r="AH9" i="73" s="1"/>
  <c r="AC8" i="73" a="1"/>
  <c r="AC8" i="73" s="1"/>
  <c r="Y8" i="73" a="1"/>
  <c r="Y8" i="73" s="1"/>
  <c r="AI4" i="73" a="1"/>
  <c r="AI4" i="73" s="1"/>
  <c r="AH4" i="73" a="1"/>
  <c r="AH4" i="73" s="1"/>
  <c r="Y4" i="73" a="1"/>
  <c r="Y4" i="73" s="1"/>
  <c r="S7" i="73" a="1"/>
  <c r="S7" i="73" s="1"/>
  <c r="X7" i="73" a="1"/>
  <c r="X7" i="73" s="1"/>
  <c r="AI10" i="73" a="1"/>
  <c r="AI10" i="73" s="1"/>
  <c r="X11" i="73" a="1"/>
  <c r="X11" i="73" s="1"/>
  <c r="AC2" i="73" a="1"/>
  <c r="AC2" i="73" s="1"/>
  <c r="V2" i="73" a="1"/>
  <c r="V2" i="73" s="1"/>
  <c r="S5" i="73" a="1"/>
  <c r="S5" i="73" s="1"/>
  <c r="AH6" i="73" a="1"/>
  <c r="AH6" i="73" s="1"/>
  <c r="AD9" i="73" a="1"/>
  <c r="AD9" i="73" s="1"/>
  <c r="AB7" i="73" a="1"/>
  <c r="AB7" i="73" s="1"/>
  <c r="AD10" i="73" a="1"/>
  <c r="AD10" i="73" s="1"/>
  <c r="AC10" i="73" a="1"/>
  <c r="AC10" i="73" s="1"/>
  <c r="Y11" i="73" a="1"/>
  <c r="Y11" i="73" s="1"/>
  <c r="Q3" i="73" a="1"/>
  <c r="Q3" i="73" s="1"/>
  <c r="AG3" i="73" a="1"/>
  <c r="AG3" i="73" s="1"/>
  <c r="AC9" i="73" a="1"/>
  <c r="AC9" i="73" s="1"/>
  <c r="U9" i="73" a="1"/>
  <c r="U9" i="73" s="1"/>
  <c r="X9" i="73" a="1"/>
  <c r="X9" i="73" s="1"/>
  <c r="Q9" i="73" a="1"/>
  <c r="Q9" i="73" s="1"/>
  <c r="AG9" i="73" a="1"/>
  <c r="AG9" i="73" s="1"/>
  <c r="AB9" i="73" a="1"/>
  <c r="AB9" i="73" s="1"/>
  <c r="AA8" i="73" a="1"/>
  <c r="AA8" i="73" s="1"/>
  <c r="AI8" i="73" a="1"/>
  <c r="AI8" i="73" s="1"/>
  <c r="AG8" i="73" a="1"/>
  <c r="AG8" i="73" s="1"/>
  <c r="X8" i="73" a="1"/>
  <c r="X8" i="73" s="1"/>
  <c r="AF8" i="73" a="1"/>
  <c r="AF8" i="73" s="1"/>
  <c r="R4" i="73" a="1"/>
  <c r="R4" i="73" s="1"/>
  <c r="T4" i="73" a="1"/>
  <c r="T4" i="73" s="1"/>
  <c r="W4" i="73" a="1"/>
  <c r="W4" i="73" s="1"/>
  <c r="AB4" i="73" a="1"/>
  <c r="AB4" i="73" s="1"/>
  <c r="AE4" i="73" a="1"/>
  <c r="AE4" i="73" s="1"/>
  <c r="AC7" i="73" a="1"/>
  <c r="AC7" i="73" s="1"/>
  <c r="U7" i="73" a="1"/>
  <c r="U7" i="73" s="1"/>
  <c r="AD7" i="73" a="1"/>
  <c r="AD7" i="73" s="1"/>
  <c r="R7" i="73" a="1"/>
  <c r="R7" i="73" s="1"/>
  <c r="AG7" i="73" a="1"/>
  <c r="AG7" i="73" s="1"/>
  <c r="Z7" i="73" a="1"/>
  <c r="Z7" i="73" s="1"/>
  <c r="AF10" i="73" a="1"/>
  <c r="AF10" i="73" s="1"/>
  <c r="X10" i="73" a="1"/>
  <c r="X10" i="73" s="1"/>
  <c r="W10" i="73" a="1"/>
  <c r="W10" i="73" s="1"/>
  <c r="AE10" i="73" a="1"/>
  <c r="AE10" i="73" s="1"/>
  <c r="U11" i="73" a="1"/>
  <c r="U11" i="73" s="1"/>
  <c r="Z11" i="73" a="1"/>
  <c r="Z11" i="73" s="1"/>
  <c r="Q11" i="73" a="1"/>
  <c r="Q11" i="73" s="1"/>
  <c r="AA11" i="73" a="1"/>
  <c r="AA11" i="73" s="1"/>
  <c r="AI11" i="73" a="1"/>
  <c r="AI11" i="73" s="1"/>
  <c r="Q2" i="73" a="1"/>
  <c r="Q2" i="73" s="1"/>
  <c r="S2" i="73" a="1"/>
  <c r="S2" i="73" s="1"/>
  <c r="X2" i="73" a="1"/>
  <c r="X2" i="73" s="1"/>
  <c r="AF2" i="73" a="1"/>
  <c r="AF2" i="73" s="1"/>
  <c r="Q5" i="73" a="1"/>
  <c r="Q5" i="73" s="1"/>
  <c r="U5" i="73" a="1"/>
  <c r="U5" i="73" s="1"/>
  <c r="AJ5" i="73" a="1"/>
  <c r="AJ5" i="73" s="1"/>
  <c r="V5" i="73" a="1"/>
  <c r="V5" i="73" s="1"/>
  <c r="AE5" i="73" a="1"/>
  <c r="AE5" i="73" s="1"/>
  <c r="AB3" i="73" a="1"/>
  <c r="AB3" i="73" s="1"/>
  <c r="AF3" i="73" a="1"/>
  <c r="AF3" i="73" s="1"/>
  <c r="S3" i="73" a="1"/>
  <c r="S3" i="73" s="1"/>
  <c r="AA3" i="73" a="1"/>
  <c r="AA3" i="73" s="1"/>
  <c r="AI3" i="73" a="1"/>
  <c r="AI3" i="73" s="1"/>
  <c r="Y6" i="73" a="1"/>
  <c r="Y6" i="73" s="1"/>
  <c r="W6" i="73" a="1"/>
  <c r="W6" i="73" s="1"/>
  <c r="V6" i="73" a="1"/>
  <c r="V6" i="73" s="1"/>
  <c r="AD6" i="73" a="1"/>
  <c r="AD6" i="73" s="1"/>
  <c r="AJ10" i="73" a="1"/>
  <c r="AJ10" i="73" s="1"/>
  <c r="Z3" i="73" a="1"/>
  <c r="Z3" i="73" s="1"/>
  <c r="Y3" i="73" a="1"/>
  <c r="Y3" i="73" s="1"/>
  <c r="S9" i="73" a="1"/>
  <c r="S9" i="73" s="1"/>
  <c r="Z9" i="73" a="1"/>
  <c r="Z9" i="73" s="1"/>
  <c r="AA9" i="73" a="1"/>
  <c r="AA9" i="73" s="1"/>
  <c r="V9" i="73" a="1"/>
  <c r="V9" i="73" s="1"/>
  <c r="AE9" i="73" a="1"/>
  <c r="AE9" i="73" s="1"/>
  <c r="R8" i="73" a="1"/>
  <c r="R8" i="73" s="1"/>
  <c r="Z8" i="73" a="1"/>
  <c r="Z8" i="73" s="1"/>
  <c r="AH8" i="73" a="1"/>
  <c r="AH8" i="73" s="1"/>
  <c r="AF7" i="73" a="1"/>
  <c r="AF7" i="73" s="1"/>
  <c r="V7" i="73" a="1"/>
  <c r="V7" i="73" s="1"/>
  <c r="T7" i="73" a="1"/>
  <c r="T7" i="73" s="1"/>
  <c r="AJ7" i="73" a="1"/>
  <c r="AJ7" i="73" s="1"/>
  <c r="AE7" i="73" a="1"/>
  <c r="AE7" i="73" s="1"/>
  <c r="R10" i="73" a="1"/>
  <c r="R10" i="73" s="1"/>
  <c r="T10" i="73" a="1"/>
  <c r="T10" i="73" s="1"/>
  <c r="Q10" i="73" a="1"/>
  <c r="Q10" i="73" s="1"/>
  <c r="Y10" i="73" a="1"/>
  <c r="Y10" i="73" s="1"/>
  <c r="AG10" i="73" a="1"/>
  <c r="AG10" i="73" s="1"/>
  <c r="AB11" i="73" a="1"/>
  <c r="AB11" i="73" s="1"/>
  <c r="AD11" i="73" a="1"/>
  <c r="AD11" i="73" s="1"/>
  <c r="T11" i="73" a="1"/>
  <c r="T11" i="73" s="1"/>
  <c r="AC11" i="73" a="1"/>
  <c r="AC11" i="73" s="1"/>
  <c r="AG2" i="73" a="1"/>
  <c r="AG2" i="73" s="1"/>
  <c r="AI2" i="73" a="1"/>
  <c r="AI2" i="73" s="1"/>
  <c r="W2" i="73" a="1"/>
  <c r="W2" i="73" s="1"/>
  <c r="R2" i="73" a="1"/>
  <c r="R2" i="73" s="1"/>
  <c r="Z2" i="73" a="1"/>
  <c r="Z2" i="73" s="1"/>
  <c r="AH2" i="73" a="1"/>
  <c r="AH2" i="73" s="1"/>
  <c r="Z5" i="73" a="1"/>
  <c r="Z5" i="73" s="1"/>
  <c r="W5" i="73" a="1"/>
  <c r="W5" i="73" s="1"/>
  <c r="Y5" i="73" a="1"/>
  <c r="Y5" i="73" s="1"/>
  <c r="AG5" i="73" a="1"/>
  <c r="AG5" i="73" s="1"/>
  <c r="AD3" i="73" a="1"/>
  <c r="AD3" i="73" s="1"/>
  <c r="R3" i="73" a="1"/>
  <c r="R3" i="73" s="1"/>
  <c r="U3" i="73" a="1"/>
  <c r="U3" i="73" s="1"/>
  <c r="AC3" i="73" a="1"/>
  <c r="AC3" i="73" s="1"/>
  <c r="AG6" i="73" a="1"/>
  <c r="AG6" i="73" s="1"/>
  <c r="AA6" i="73" a="1"/>
  <c r="AA6" i="73" s="1"/>
  <c r="X6" i="73" a="1"/>
  <c r="X6" i="73" s="1"/>
  <c r="AF6" i="73" a="1"/>
  <c r="AF6" i="73" s="1"/>
  <c r="W9" i="73" a="1"/>
  <c r="W9" i="73" s="1"/>
  <c r="W7" i="73" a="1"/>
  <c r="W7" i="73" s="1"/>
  <c r="Z10" i="73" a="1"/>
  <c r="Z10" i="73" s="1"/>
  <c r="AI9" i="73" a="1"/>
  <c r="AI9" i="73" s="1"/>
  <c r="R9" i="73" a="1"/>
  <c r="R9" i="73" s="1"/>
  <c r="AF9" i="73" a="1"/>
  <c r="AF9" i="73" s="1"/>
  <c r="Y9" i="73" a="1"/>
  <c r="Y9" i="73" s="1"/>
  <c r="T9" i="73" a="1"/>
  <c r="T9" i="73" s="1"/>
  <c r="Q8" i="73" a="1"/>
  <c r="Q8" i="73" s="1"/>
  <c r="T8" i="73" a="1"/>
  <c r="T8" i="73" s="1"/>
  <c r="AB8" i="73" a="1"/>
  <c r="AB8" i="73" s="1"/>
  <c r="S4" i="73" a="1"/>
  <c r="S4" i="73" s="1"/>
  <c r="AA4" i="73" a="1"/>
  <c r="AA4" i="73" s="1"/>
  <c r="AD4" i="73" a="1"/>
  <c r="AD4" i="73" s="1"/>
  <c r="AI7" i="73" a="1"/>
  <c r="AI7" i="73" s="1"/>
  <c r="AA7" i="73" a="1"/>
  <c r="AA7" i="73" s="1"/>
  <c r="Y7" i="73" a="1"/>
  <c r="Y7" i="73" s="1"/>
  <c r="AH10" i="73" a="1"/>
  <c r="AH10" i="73" s="1"/>
  <c r="V10" i="73" a="1"/>
  <c r="V10" i="73" s="1"/>
  <c r="AB10" i="73" a="1"/>
  <c r="AB10" i="73" s="1"/>
  <c r="S10" i="73" a="1"/>
  <c r="S10" i="73" s="1"/>
  <c r="AA10" i="73" a="1"/>
  <c r="AA10" i="73" s="1"/>
  <c r="R11" i="73" a="1"/>
  <c r="R11" i="73" s="1"/>
  <c r="AJ11" i="73" a="1"/>
  <c r="AJ11" i="73" s="1"/>
  <c r="S11" i="73" a="1"/>
  <c r="S11" i="73" s="1"/>
  <c r="AH11" i="73" a="1"/>
  <c r="AH11" i="73" s="1"/>
  <c r="W11" i="73" a="1"/>
  <c r="W11" i="73" s="1"/>
  <c r="U2" i="73" a="1"/>
  <c r="U2" i="73" s="1"/>
  <c r="AE2" i="73" a="1"/>
  <c r="AE2" i="73" s="1"/>
  <c r="T2" i="73" a="1"/>
  <c r="T2" i="73" s="1"/>
  <c r="AB2" i="73" a="1"/>
  <c r="AB2" i="73" s="1"/>
  <c r="AH5" i="73" a="1"/>
  <c r="AH5" i="73" s="1"/>
  <c r="AB5" i="73" a="1"/>
  <c r="AB5" i="73" s="1"/>
  <c r="AA5" i="73" a="1"/>
  <c r="AA5" i="73" s="1"/>
  <c r="T3" i="73" a="1"/>
  <c r="T3" i="73" s="1"/>
  <c r="AH3" i="73" a="1"/>
  <c r="AH3" i="73" s="1"/>
  <c r="V3" i="73" a="1"/>
  <c r="V3" i="73" s="1"/>
  <c r="W3" i="73" a="1"/>
  <c r="W3" i="73" s="1"/>
  <c r="R6" i="73" a="1"/>
  <c r="R6" i="73" s="1"/>
  <c r="Z6" i="73" a="1"/>
  <c r="Z6" i="73" s="1"/>
  <c r="U2" i="71" a="1"/>
  <c r="U2" i="71" s="1"/>
  <c r="AG6" i="71" a="1"/>
  <c r="AG6" i="71" s="1"/>
  <c r="AB5" i="71" a="1"/>
  <c r="AB5" i="71" s="1"/>
  <c r="R10" i="71" a="1"/>
  <c r="R10" i="71" s="1"/>
  <c r="U9" i="71" a="1"/>
  <c r="U9" i="71" s="1"/>
  <c r="AD7" i="71" a="1"/>
  <c r="AD7" i="71" s="1"/>
  <c r="R11" i="71" a="1"/>
  <c r="R11" i="71" s="1"/>
  <c r="Z3" i="71" a="1"/>
  <c r="Z3" i="71" s="1"/>
  <c r="AE4" i="71" a="1"/>
  <c r="AE4" i="71" s="1"/>
  <c r="S8" i="71" a="1"/>
  <c r="S8" i="71" s="1"/>
  <c r="AA2" i="71" a="1"/>
  <c r="AA2" i="71" s="1"/>
  <c r="T6" i="71" a="1"/>
  <c r="T6" i="71" s="1"/>
  <c r="X5" i="71" a="1"/>
  <c r="X5" i="71" s="1"/>
  <c r="Q10" i="71" a="1"/>
  <c r="Q10" i="71" s="1"/>
  <c r="AE9" i="71" a="1"/>
  <c r="AE9" i="71" s="1"/>
  <c r="S7" i="71" a="1"/>
  <c r="S7" i="71" s="1"/>
  <c r="T11" i="71" a="1"/>
  <c r="T11" i="71" s="1"/>
  <c r="AE3" i="71" a="1"/>
  <c r="AE3" i="71" s="1"/>
  <c r="Q4" i="71" a="1"/>
  <c r="Q4" i="71" s="1"/>
  <c r="T8" i="71" a="1"/>
  <c r="T8" i="71" s="1"/>
  <c r="W10" i="71" a="1"/>
  <c r="W10" i="71" s="1"/>
  <c r="Z10" i="71" a="1"/>
  <c r="Z10" i="71" s="1"/>
  <c r="AJ9" i="71" a="1"/>
  <c r="AJ9" i="71" s="1"/>
  <c r="X9" i="71" a="1"/>
  <c r="X9" i="71" s="1"/>
  <c r="AG7" i="71" a="1"/>
  <c r="AG7" i="71" s="1"/>
  <c r="AA6" i="71" a="1"/>
  <c r="AA6" i="71" s="1"/>
  <c r="AJ6" i="71" a="1"/>
  <c r="AJ6" i="71" s="1"/>
  <c r="V6" i="71" a="1"/>
  <c r="V6" i="71" s="1"/>
  <c r="Z5" i="71" a="1"/>
  <c r="Z5" i="71" s="1"/>
  <c r="S11" i="71" a="1"/>
  <c r="S11" i="71" s="1"/>
  <c r="AB11" i="71" a="1"/>
  <c r="AB11" i="71" s="1"/>
  <c r="AE2" i="71" a="1"/>
  <c r="AE2" i="71" s="1"/>
  <c r="AH2" i="71" a="1"/>
  <c r="AH2" i="71" s="1"/>
  <c r="S2" i="71" a="1"/>
  <c r="S2" i="71" s="1"/>
  <c r="AC3" i="71" a="1"/>
  <c r="AC3" i="71" s="1"/>
  <c r="Y4" i="71" a="1"/>
  <c r="Y4" i="71" s="1"/>
  <c r="S4" i="71" a="1"/>
  <c r="S4" i="71" s="1"/>
  <c r="AB4" i="71" a="1"/>
  <c r="AB4" i="71" s="1"/>
  <c r="Z8" i="71" a="1"/>
  <c r="Z8" i="71" s="1"/>
  <c r="AJ8" i="71" a="1"/>
  <c r="AJ8" i="71" s="1"/>
  <c r="V8" i="71" a="1"/>
  <c r="V8" i="71" s="1"/>
  <c r="X8" i="71" a="1"/>
  <c r="X8" i="71" s="1"/>
  <c r="AB10" i="71" a="1"/>
  <c r="AB10" i="71" s="1"/>
  <c r="AG10" i="71" a="1"/>
  <c r="AG10" i="71" s="1"/>
  <c r="AI10" i="71" a="1"/>
  <c r="AI10" i="71" s="1"/>
  <c r="S10" i="71" a="1"/>
  <c r="S10" i="71" s="1"/>
  <c r="U10" i="71" a="1"/>
  <c r="U10" i="71" s="1"/>
  <c r="AH9" i="71" a="1"/>
  <c r="AH9" i="71" s="1"/>
  <c r="AG9" i="71" a="1"/>
  <c r="AG9" i="71" s="1"/>
  <c r="AI9" i="71" a="1"/>
  <c r="AI9" i="71" s="1"/>
  <c r="S9" i="71" a="1"/>
  <c r="S9" i="71" s="1"/>
  <c r="AC7" i="71" a="1"/>
  <c r="AC7" i="71" s="1"/>
  <c r="W7" i="71" a="1"/>
  <c r="W7" i="71" s="1"/>
  <c r="AB7" i="71" a="1"/>
  <c r="AB7" i="71" s="1"/>
  <c r="AI6" i="71" a="1"/>
  <c r="AI6" i="71" s="1"/>
  <c r="Z6" i="71" a="1"/>
  <c r="Z6" i="71" s="1"/>
  <c r="AE6" i="71" a="1"/>
  <c r="AE6" i="71" s="1"/>
  <c r="AD5" i="71" a="1"/>
  <c r="AD5" i="71" s="1"/>
  <c r="V5" i="71" a="1"/>
  <c r="V5" i="71" s="1"/>
  <c r="U5" i="71" a="1"/>
  <c r="U5" i="71" s="1"/>
  <c r="W5" i="71" a="1"/>
  <c r="W5" i="71" s="1"/>
  <c r="U11" i="71" a="1"/>
  <c r="U11" i="71" s="1"/>
  <c r="AC11" i="71" a="1"/>
  <c r="AC11" i="71" s="1"/>
  <c r="W11" i="71" a="1"/>
  <c r="W11" i="71" s="1"/>
  <c r="Z11" i="71" a="1"/>
  <c r="Z11" i="71" s="1"/>
  <c r="AJ2" i="71" a="1"/>
  <c r="AJ2" i="71" s="1"/>
  <c r="V2" i="71" a="1"/>
  <c r="V2" i="71" s="1"/>
  <c r="AB2" i="71" a="1"/>
  <c r="AB2" i="71" s="1"/>
  <c r="Y2" i="71" a="1"/>
  <c r="Y2" i="71" s="1"/>
  <c r="T2" i="71" a="1"/>
  <c r="T2" i="71" s="1"/>
  <c r="Y3" i="71" a="1"/>
  <c r="Y3" i="71" s="1"/>
  <c r="AB3" i="71" a="1"/>
  <c r="AB3" i="71" s="1"/>
  <c r="V3" i="71" a="1"/>
  <c r="V3" i="71" s="1"/>
  <c r="X3" i="71" a="1"/>
  <c r="X3" i="71" s="1"/>
  <c r="AG4" i="71" a="1"/>
  <c r="AG4" i="71" s="1"/>
  <c r="AF4" i="71" a="1"/>
  <c r="AF4" i="71" s="1"/>
  <c r="AH4" i="71" a="1"/>
  <c r="AH4" i="71" s="1"/>
  <c r="R4" i="71" a="1"/>
  <c r="R4" i="71" s="1"/>
  <c r="W4" i="71" a="1"/>
  <c r="W4" i="71" s="1"/>
  <c r="U8" i="71" a="1"/>
  <c r="U8" i="71" s="1"/>
  <c r="AE8" i="71" a="1"/>
  <c r="AE8" i="71" s="1"/>
  <c r="AG8" i="71" a="1"/>
  <c r="AG8" i="71" s="1"/>
  <c r="AI8" i="71" a="1"/>
  <c r="AI8" i="71" s="1"/>
  <c r="V10" i="71" a="1"/>
  <c r="V10" i="71" s="1"/>
  <c r="Z9" i="71" a="1"/>
  <c r="Z9" i="71" s="1"/>
  <c r="T9" i="71" a="1"/>
  <c r="T9" i="71" s="1"/>
  <c r="U7" i="71" a="1"/>
  <c r="U7" i="71" s="1"/>
  <c r="AI7" i="71" a="1"/>
  <c r="AI7" i="71" s="1"/>
  <c r="AC6" i="71" a="1"/>
  <c r="AC6" i="71" s="1"/>
  <c r="AI5" i="71" a="1"/>
  <c r="AI5" i="71" s="1"/>
  <c r="AG5" i="71" a="1"/>
  <c r="AG5" i="71" s="1"/>
  <c r="AE11" i="71" a="1"/>
  <c r="AE11" i="71" s="1"/>
  <c r="Z2" i="71" a="1"/>
  <c r="Z2" i="71" s="1"/>
  <c r="T3" i="71" a="1"/>
  <c r="T3" i="71" s="1"/>
  <c r="AA3" i="71" a="1"/>
  <c r="AA3" i="71" s="1"/>
  <c r="AI4" i="71" a="1"/>
  <c r="AI4" i="71" s="1"/>
  <c r="U4" i="71" a="1"/>
  <c r="U4" i="71" s="1"/>
  <c r="Q6" i="71" a="1"/>
  <c r="Q6" i="71" s="1"/>
  <c r="Q5" i="71" a="1"/>
  <c r="Q5" i="71" s="1"/>
  <c r="Q9" i="71" a="1"/>
  <c r="Q9" i="71" s="1"/>
  <c r="Q7" i="71" a="1"/>
  <c r="Q7" i="71" s="1"/>
  <c r="Q11" i="71" a="1"/>
  <c r="Q11" i="71" s="1"/>
  <c r="Q3" i="71" a="1"/>
  <c r="Q3" i="71" s="1"/>
  <c r="Q8" i="71" a="1"/>
  <c r="Q8" i="71" s="1"/>
  <c r="AE10" i="71" a="1"/>
  <c r="AE10" i="71" s="1"/>
  <c r="AD10" i="71" a="1"/>
  <c r="AD10" i="71" s="1"/>
  <c r="AF10" i="71" a="1"/>
  <c r="AF10" i="71" s="1"/>
  <c r="AH10" i="71" a="1"/>
  <c r="AH10" i="71" s="1"/>
  <c r="W9" i="71" a="1"/>
  <c r="W9" i="71" s="1"/>
  <c r="AB9" i="71" a="1"/>
  <c r="AB9" i="71" s="1"/>
  <c r="AD9" i="71" a="1"/>
  <c r="AD9" i="71" s="1"/>
  <c r="AF9" i="71" a="1"/>
  <c r="AF9" i="71" s="1"/>
  <c r="X7" i="71" a="1"/>
  <c r="X7" i="71" s="1"/>
  <c r="AH7" i="71" a="1"/>
  <c r="AH7" i="71" s="1"/>
  <c r="R7" i="71" a="1"/>
  <c r="R7" i="71" s="1"/>
  <c r="Y7" i="71" a="1"/>
  <c r="Y7" i="71" s="1"/>
  <c r="AA7" i="71" a="1"/>
  <c r="AA7" i="71" s="1"/>
  <c r="S6" i="71" a="1"/>
  <c r="S6" i="71" s="1"/>
  <c r="X6" i="71" a="1"/>
  <c r="X6" i="71" s="1"/>
  <c r="U6" i="71" a="1"/>
  <c r="U6" i="71" s="1"/>
  <c r="AB6" i="71" a="1"/>
  <c r="AB6" i="71" s="1"/>
  <c r="AD6" i="71" a="1"/>
  <c r="AD6" i="71" s="1"/>
  <c r="S5" i="71" a="1"/>
  <c r="S5" i="71" s="1"/>
  <c r="AF5" i="71" a="1"/>
  <c r="AF5" i="71" s="1"/>
  <c r="AH5" i="71" a="1"/>
  <c r="AH5" i="71" s="1"/>
  <c r="R5" i="71" a="1"/>
  <c r="R5" i="71" s="1"/>
  <c r="Y5" i="71" a="1"/>
  <c r="Y5" i="71" s="1"/>
  <c r="AI11" i="71" a="1"/>
  <c r="AI11" i="71" s="1"/>
  <c r="AG11" i="71" a="1"/>
  <c r="AG11" i="71" s="1"/>
  <c r="AJ11" i="71" a="1"/>
  <c r="AJ11" i="71" s="1"/>
  <c r="X11" i="71" a="1"/>
  <c r="X11" i="71" s="1"/>
  <c r="AH11" i="71" a="1"/>
  <c r="AH11" i="71" s="1"/>
  <c r="AG2" i="71" a="1"/>
  <c r="AG2" i="71" s="1"/>
  <c r="AI2" i="71" a="1"/>
  <c r="AI2" i="71" s="1"/>
  <c r="X2" i="71" a="1"/>
  <c r="X2" i="71" s="1"/>
  <c r="W2" i="71" a="1"/>
  <c r="W2" i="71" s="1"/>
  <c r="R2" i="71" a="1"/>
  <c r="R2" i="71" s="1"/>
  <c r="AG3" i="71" a="1"/>
  <c r="AG3" i="71" s="1"/>
  <c r="AI3" i="71" a="1"/>
  <c r="AI3" i="71" s="1"/>
  <c r="S3" i="71" a="1"/>
  <c r="S3" i="71" s="1"/>
  <c r="U3" i="71" a="1"/>
  <c r="U3" i="71" s="1"/>
  <c r="W3" i="71" a="1"/>
  <c r="W3" i="71" s="1"/>
  <c r="V4" i="71" a="1"/>
  <c r="V4" i="71" s="1"/>
  <c r="AA4" i="71" a="1"/>
  <c r="AA4" i="71" s="1"/>
  <c r="AC4" i="71" a="1"/>
  <c r="AC4" i="71" s="1"/>
  <c r="AJ4" i="71" a="1"/>
  <c r="AJ4" i="71" s="1"/>
  <c r="T4" i="71" a="1"/>
  <c r="T4" i="71" s="1"/>
  <c r="AC8" i="71" a="1"/>
  <c r="AC8" i="71" s="1"/>
  <c r="AB8" i="71" a="1"/>
  <c r="AB8" i="71" s="1"/>
  <c r="AD8" i="71" a="1"/>
  <c r="AD8" i="71" s="1"/>
  <c r="AF8" i="71" a="1"/>
  <c r="AF8" i="71" s="1"/>
  <c r="T10" i="71" a="1"/>
  <c r="T10" i="71" s="1"/>
  <c r="X10" i="71" a="1"/>
  <c r="X10" i="71" s="1"/>
  <c r="V9" i="71" a="1"/>
  <c r="V9" i="71" s="1"/>
  <c r="Z7" i="71" a="1"/>
  <c r="Z7" i="71" s="1"/>
  <c r="AJ10" i="71" a="1"/>
  <c r="AJ10" i="71" s="1"/>
  <c r="Y10" i="71" a="1"/>
  <c r="Y10" i="71" s="1"/>
  <c r="AA10" i="71" a="1"/>
  <c r="AA10" i="71" s="1"/>
  <c r="AC10" i="71" a="1"/>
  <c r="AC10" i="71" s="1"/>
  <c r="R9" i="71" a="1"/>
  <c r="R9" i="71" s="1"/>
  <c r="Y9" i="71" a="1"/>
  <c r="Y9" i="71" s="1"/>
  <c r="AA9" i="71" a="1"/>
  <c r="AA9" i="71" s="1"/>
  <c r="AC9" i="71" a="1"/>
  <c r="AC9" i="71" s="1"/>
  <c r="AF7" i="71" a="1"/>
  <c r="AF7" i="71" s="1"/>
  <c r="AE7" i="71" a="1"/>
  <c r="AE7" i="71" s="1"/>
  <c r="AJ7" i="71" a="1"/>
  <c r="AJ7" i="71" s="1"/>
  <c r="T7" i="71" a="1"/>
  <c r="T7" i="71" s="1"/>
  <c r="V7" i="71" a="1"/>
  <c r="V7" i="71" s="1"/>
  <c r="AF6" i="71" a="1"/>
  <c r="AF6" i="71" s="1"/>
  <c r="AH6" i="71" a="1"/>
  <c r="AH6" i="71" s="1"/>
  <c r="R6" i="71" a="1"/>
  <c r="R6" i="71" s="1"/>
  <c r="W6" i="71" a="1"/>
  <c r="W6" i="71" s="1"/>
  <c r="Y6" i="71" a="1"/>
  <c r="Y6" i="71" s="1"/>
  <c r="AA5" i="71" a="1"/>
  <c r="AA5" i="71" s="1"/>
  <c r="AC5" i="71" a="1"/>
  <c r="AC5" i="71" s="1"/>
  <c r="AE5" i="71" a="1"/>
  <c r="AE5" i="71" s="1"/>
  <c r="AJ5" i="71" a="1"/>
  <c r="AJ5" i="71" s="1"/>
  <c r="T5" i="71" a="1"/>
  <c r="T5" i="71" s="1"/>
  <c r="AA11" i="71" a="1"/>
  <c r="AA11" i="71" s="1"/>
  <c r="Y11" i="71" a="1"/>
  <c r="Y11" i="71" s="1"/>
  <c r="AF11" i="71" a="1"/>
  <c r="AF11" i="71" s="1"/>
  <c r="V11" i="71" a="1"/>
  <c r="V11" i="71" s="1"/>
  <c r="AD11" i="71" a="1"/>
  <c r="AD11" i="71" s="1"/>
  <c r="AD2" i="71" a="1"/>
  <c r="AD2" i="71" s="1"/>
  <c r="AF2" i="71" a="1"/>
  <c r="AF2" i="71" s="1"/>
  <c r="AC2" i="71" a="1"/>
  <c r="AC2" i="71" s="1"/>
  <c r="AJ3" i="71" a="1"/>
  <c r="AJ3" i="71" s="1"/>
  <c r="AD3" i="71" a="1"/>
  <c r="AD3" i="71" s="1"/>
  <c r="AF3" i="71" a="1"/>
  <c r="AF3" i="71" s="1"/>
  <c r="AH3" i="71" a="1"/>
  <c r="AH3" i="71" s="1"/>
  <c r="R3" i="71" a="1"/>
  <c r="R3" i="71" s="1"/>
  <c r="AD4" i="71" a="1"/>
  <c r="AD4" i="71" s="1"/>
  <c r="X4" i="71" a="1"/>
  <c r="X4" i="71" s="1"/>
  <c r="Z4" i="71" a="1"/>
  <c r="Z4" i="71" s="1"/>
  <c r="AH8" i="71" a="1"/>
  <c r="AH8" i="71" s="1"/>
  <c r="R8" i="71" a="1"/>
  <c r="R8" i="71" s="1"/>
  <c r="W8" i="71" a="1"/>
  <c r="W8" i="71" s="1"/>
  <c r="Y8" i="71" a="1"/>
  <c r="Y8" i="71" s="1"/>
  <c r="AA8" i="71" a="1"/>
  <c r="AA8" i="71" s="1"/>
  <c r="Q2" i="71" a="1"/>
  <c r="Q2" i="7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<sst xmlns="http://schemas.openxmlformats.org/spreadsheetml/2006/main" count="1817" uniqueCount="170">
  <si>
    <t>HOIpTP Health Outcome Incidence per Ton Pollutant</t>
  </si>
  <si>
    <t>Source:</t>
  </si>
  <si>
    <t>U.S. Environmental Protection Agency</t>
  </si>
  <si>
    <t>Technical Support Document: Estimating the Benefit per Ton of Reducing PM2.5 Precursors from 17 Sectors</t>
  </si>
  <si>
    <t>https://www.epa.gov/sites/production/files/2018-02/documents/sourceapportionmentbpttsd_2018.pdf</t>
  </si>
  <si>
    <t>Appendix, Even-Numbered Tables 2 through 136</t>
  </si>
  <si>
    <t>Notes</t>
  </si>
  <si>
    <t>This variable contains data on the number of health-related incidents</t>
  </si>
  <si>
    <t>of various types (premature mortality, hospital ER visits, etc.) that occur</t>
  </si>
  <si>
    <t>or are avoided when emissions of any of three pollutants (PM2.5, Nox, SOx)</t>
  </si>
  <si>
    <t>from any particular sector are increased or decreased by one metric ton.</t>
  </si>
  <si>
    <t>Population Exposure Multiplier</t>
  </si>
  <si>
    <t>If you are modeling a non-U.S. region but wish to keep U.S. data for</t>
  </si>
  <si>
    <t>this variable, you may adjust the following population exposure multiplier</t>
  </si>
  <si>
    <t>to reflect differences in population exposure between the modeled</t>
  </si>
  <si>
    <t>region and the U.S.  Regions with lower population also tend to have</t>
  </si>
  <si>
    <t>less land area in which emissions and people are concentrated, so simply</t>
  </si>
  <si>
    <r>
      <t xml:space="preserve">having a smaller population </t>
    </r>
    <r>
      <rPr>
        <b/>
        <sz val="11"/>
        <color theme="1"/>
        <rFont val="Calibri"/>
        <family val="2"/>
        <scheme val="minor"/>
      </rPr>
      <t>does not imply</t>
    </r>
    <r>
      <rPr>
        <sz val="11"/>
        <color theme="1"/>
        <rFont val="Calibri"/>
        <family val="2"/>
        <scheme val="minor"/>
      </rPr>
      <t xml:space="preserve"> the population exposure</t>
    </r>
  </si>
  <si>
    <t>to each ton of emissions is lower than the U.S. average.</t>
  </si>
  <si>
    <t>A value above 1 tends to indicate more co-location (clustering) of people and</t>
  </si>
  <si>
    <t>emissions sources, while a value lower than 1 tends to indicate less clustering</t>
  </si>
  <si>
    <t>of people and emissions sources.</t>
  </si>
  <si>
    <t>If you are uncertain what to put here, you may leave it at 1.</t>
  </si>
  <si>
    <t>ratio of modeled region's population exposure to U.S. population exposure per ton of pollutant</t>
  </si>
  <si>
    <t>Other Notes</t>
  </si>
  <si>
    <t>This variable is designed to look up data from any of 68 tables from the EPA source.</t>
  </si>
  <si>
    <t>The blue tabs' names determine which data (sector and pollutant) to retrieve.</t>
  </si>
  <si>
    <t>All blue tabs are identical except for the tab name (i.e. identical formulas in every cell).</t>
  </si>
  <si>
    <t>If you wish to change which EPA source corresponds to which sector, update this</t>
  </si>
  <si>
    <t>on the "Mappings" tab.  Do not change the blue tabs directly.</t>
  </si>
  <si>
    <t>Note that the "electricity" sector incidence rates are also used for the</t>
  </si>
  <si>
    <t>"district heat and hydrogen" sector, the "industry" rates are also used</t>
  </si>
  <si>
    <t>for the "geoengineering" sector, and the "buildings" rates are used</t>
  </si>
  <si>
    <t>for both "residential buildings" and "commercial buildings" sectors</t>
  </si>
  <si>
    <t>in the EPS.</t>
  </si>
  <si>
    <t>Do not reduce the number of significant figures used in the blue tabs of this file.</t>
  </si>
  <si>
    <t>The incidence calculations are rounded in the EPS.</t>
  </si>
  <si>
    <t>For Mexico</t>
  </si>
  <si>
    <t>US population density is 34 hab/km2, whereas Mexico is 64 hab/km2.</t>
  </si>
  <si>
    <t xml:space="preserve">This means Mexico is 1.88 more populated than the US. </t>
  </si>
  <si>
    <t xml:space="preserve">However, this doesn't necessarily imply that the exposure to contaminants is more. </t>
  </si>
  <si>
    <t xml:space="preserve">The US is the 5th GEI emitter worldwide, whereas Mexico is the 15th. </t>
  </si>
  <si>
    <t>Key to Table Numbers</t>
  </si>
  <si>
    <t>Sector</t>
  </si>
  <si>
    <t>cement kilns</t>
  </si>
  <si>
    <t>pulp and paper facilities</t>
  </si>
  <si>
    <t>refineries</t>
  </si>
  <si>
    <t>coke ovens</t>
  </si>
  <si>
    <t>iron and steel facilities</t>
  </si>
  <si>
    <t>integrated iron and steel facilities</t>
  </si>
  <si>
    <t>electric arc furnaces</t>
  </si>
  <si>
    <t>taconite mines</t>
  </si>
  <si>
    <t>ferroalloy facilities</t>
  </si>
  <si>
    <t>residential wood combustion</t>
  </si>
  <si>
    <t>area sources</t>
  </si>
  <si>
    <t>industrial point sources</t>
  </si>
  <si>
    <t>aircraft, locomotives and marine vessels</t>
  </si>
  <si>
    <t>non-road mobile sources</t>
  </si>
  <si>
    <t>on-road mobile sources</t>
  </si>
  <si>
    <t>electricity generating units</t>
  </si>
  <si>
    <t>ocean-going vessels</t>
  </si>
  <si>
    <t>Sheet Name Sector Assignments Map</t>
  </si>
  <si>
    <t>transport</t>
  </si>
  <si>
    <t>electricity</t>
  </si>
  <si>
    <t>buildings</t>
  </si>
  <si>
    <t>industry</t>
  </si>
  <si>
    <t>LULUCF</t>
  </si>
  <si>
    <t>Pollutant Column Map</t>
  </si>
  <si>
    <t>NOx</t>
  </si>
  <si>
    <t>B</t>
  </si>
  <si>
    <t>PM25</t>
  </si>
  <si>
    <t>D</t>
  </si>
  <si>
    <t>SO2</t>
  </si>
  <si>
    <t>C</t>
  </si>
  <si>
    <t>Unit: incidents / ton pollutant</t>
  </si>
  <si>
    <t>Premature mortality</t>
  </si>
  <si>
    <t>Respiratory emergency room visits</t>
  </si>
  <si>
    <t>Acute bronchitis</t>
  </si>
  <si>
    <t>Lower respiratory symptoms</t>
  </si>
  <si>
    <t>Upper respiratory symptoms</t>
  </si>
  <si>
    <t>Minor restricted activity days</t>
  </si>
  <si>
    <t>Work loss days</t>
  </si>
  <si>
    <t>Asthma exacerbation</t>
  </si>
  <si>
    <t>Cardiovascular hospital admissions</t>
  </si>
  <si>
    <t>Respiratory hospital admissions</t>
  </si>
  <si>
    <t>Non-fatal heart attacks</t>
  </si>
  <si>
    <t>Data for lookup functions (based on sheet name)</t>
  </si>
  <si>
    <t>sheet name</t>
  </si>
  <si>
    <t>remove prefix</t>
  </si>
  <si>
    <t>sector</t>
  </si>
  <si>
    <t>EPA source category</t>
  </si>
  <si>
    <t>table number</t>
  </si>
  <si>
    <t>pollutant</t>
  </si>
  <si>
    <t>pollutant column number</t>
  </si>
  <si>
    <t>Table 2: Incidence of avoided mortalities and morbidities per ton of directly emitted PM2.5 and PM2.5 precursors reduced in 2016 from the cement kilns sector</t>
  </si>
  <si>
    <t>Pollutant emitted</t>
  </si>
  <si>
    <t>Health Endpoint</t>
  </si>
  <si>
    <r>
      <rPr>
        <i/>
        <sz val="11"/>
        <rFont val="Calibri"/>
        <family val="2"/>
        <scheme val="minor"/>
      </rPr>
      <t>Directly emitted PM2.5</t>
    </r>
  </si>
  <si>
    <t>Krewski et al. (2009)</t>
  </si>
  <si>
    <t>Lepeule et al. (2012)</t>
  </si>
  <si>
    <t>Morbidity</t>
  </si>
  <si>
    <t>Non-fatal heart attacks (Peters)</t>
  </si>
  <si>
    <t>Non-fatal heart attacks (All others)</t>
  </si>
  <si>
    <t>Table 4: Incidence of avoided mortalities and morbidities per ton of directly emitted PM2.5 and PM2.5 precursors reduced in 2016 from the pulp and paper facilities sector</t>
  </si>
  <si>
    <t>Table 6: Incidence of avoided mortalities and morbidities per ton of directly emitted PM2.5 and PM2.5 precursors reduced in 2016 from the refineries sector</t>
  </si>
  <si>
    <t>Table 8: Incidence of avoided mortalities and morbidities per ton of directly emitted PM2.5 and PM2.5 precursors reduced in 2016 from the coke ovens sector</t>
  </si>
  <si>
    <t>Table 10: Incidence of avoided mortalities and morbidities per ton of directly emitted PM2.5 and PM2.5 precursors reduced in 2016 from the iron and steel facilities sector</t>
  </si>
  <si>
    <t>Table 12: Incidence of avoided mortalities and morbidities per ton of directly emitted PM2.5 and PM2.5 precursors reduced in 2016 from the integrated iron and steel facilities sector</t>
  </si>
  <si>
    <t>Table 14: Incidence of avoided mortalities and morbidities per ton of directly emitted PM2.5 and PM2.5 precursors reduced in 2016 from the electric arc furnaces sector</t>
  </si>
  <si>
    <t>Table 16: Incidence of avoided mortalities and morbidities per ton of directly emitted PM2.5 and PM2.5 precursors reduced in 2016 from the taconite mines sector</t>
  </si>
  <si>
    <t>Table 18: Incidence of avoided mortalities and morbidities per ton of directly emitted PM2.5 and PM2.5 precursors reduced in 2016 from the ferroalloy facilities sector</t>
  </si>
  <si>
    <t>Table 20: Incidence of avoided mortalities and morbidities per ton of directly emitted PM2.5 and PM2.5 precursors reduced in 2016 from the residential wood combustion sector</t>
  </si>
  <si>
    <t>Table 22: Incidence of avoided mortalities and morbidities per ton of directly emitted PM2.5 and PM2.5 precursors reduced in 2016 from the area sources sector</t>
  </si>
  <si>
    <t>Table 24: Incidence of avoided mortalities and morbidities per ton of directly emitted PM2.5 and PM2.5 precursors reduced in 2016 from the industrial point sources sector</t>
  </si>
  <si>
    <t>Table 26: Incidence of avoided mortalities and morbidities per ton of directly emitted PM2.5 and PM2.5 precursors reduced in 2016 from the aircraft, locomotives and marine vessels sector</t>
  </si>
  <si>
    <t>Table 28: Incidence of avoided mortalities and morbidities per ton of directly emitted PM2.5 and PM2.5 precursors reduced in 2016 from the non-road mobile sources sector</t>
  </si>
  <si>
    <t>Table 30: Incidence of avoided mortalities and morbidities per ton of directly emitted PM2.5 and PM2.5 precursors reduced in 2016 from the on-road mobile sources sector</t>
  </si>
  <si>
    <t>Table 32: Incidence of avoided mortalities and morbidities per ton of directly emitted PM2.5 and PM2.5 precursors reduced in 2016 from the electricity generating units sector</t>
  </si>
  <si>
    <t>Table 34: Incidence of avoided mortalities and morbidities per ton of directly emitted PM2.5 and PM2.5 precursors reduced in 2016 from the ocean-going vessels sector</t>
  </si>
  <si>
    <t>Table 36: Incidence of avoided mortalities and morbidities per ton of directly emitted PM2.5 and PM2.5 precursors reduced in 2020 from the cement kilns sector</t>
  </si>
  <si>
    <t>Table 38: Incidence of avoided mortalities and morbidities per ton of directly emitted PM2.5 and PM2.5 precursors reduced in 2020 from the pulp and paper facilities sector</t>
  </si>
  <si>
    <t>Table 40: Incidence of avoided mortalities and morbidities per ton of directly emitted PM2.5 and PM2.5 precursors reduced in 2020 from the refineries sector</t>
  </si>
  <si>
    <t>Table 42: Incidence of avoided mortalities and morbidities per ton of directly emitted PM2.5 and PM2.5 precursors reduced in 2020 from the coke ovens sector</t>
  </si>
  <si>
    <t>Table 44: Incidence of avoided mortalities and morbidities per ton of directly emitted PM2.5 and PM2.5 precursors reduced in 2020 from the iron and steel facilities sector</t>
  </si>
  <si>
    <t>Table 46: Incidence of avoided mortalities and morbidities per ton of directly emitted PM2.5 and PM2.5 precursors reduced in 2020 from the integrated iron and steel facilities sector</t>
  </si>
  <si>
    <t>Table 48: Incidence of avoided mortalities and morbidities per ton of directly emitted PM2.5 and PM2.5 precursors reduced in 2020 from the electric arc furnaces sector</t>
  </si>
  <si>
    <t>Table 50: Incidence of avoided mortalities and morbidities per ton of directly emitted PM2.5 and PM2.5 precursors reduced in 2020 from the taconite mines sector</t>
  </si>
  <si>
    <t>Table 52: Incidence of avoided mortalities and morbidities per ton of directly emitted PM2.5 and PM2.5 precursors reduced in 2020 from the ferroalloy facilities sector</t>
  </si>
  <si>
    <t>Table 54: Incidence of avoided mortalities and morbidities per ton of directly emitted PM2.5 and PM2.5 precursors reduced in 2020 from the residential wood combustion sector</t>
  </si>
  <si>
    <t>Table 56: Incidence of avoided mortalities and morbidities per ton of directly emitted PM2.5 and PM2.5 precursors reduced in 2020 from the area sources sector</t>
  </si>
  <si>
    <t>Table 58: Incidence of avoided mortalities and morbidities per ton of directly emitted PM2.5 and PM2.5 precursors reduced in 2020 from the industrial point sources sector</t>
  </si>
  <si>
    <t>Table 60: Incidence of avoided mortalities and morbidities per ton of directly emitted PM2.5 and PM2.5 precursors reduced in 2020 from the aircraft, locomotives and marine vessels sector</t>
  </si>
  <si>
    <t>Table 62: Incidence of avoided mortalities and morbidities per ton of directly emitted PM2.5 and PM2.5 precursors reduced in 2020 from the non-road mobile sources sector</t>
  </si>
  <si>
    <t>Table 64: Incidence of avoided mortalities and morbidities per ton of directly emitted PM2.5 and PM2.5 precursors reduced in 2020 from the on-road mobile sources sector</t>
  </si>
  <si>
    <t>Table 66: Incidence of avoided mortalities and morbidities per ton of directly emitted PM2.5 and PM2.5 precursors reduced in 2020 from the electricity generating units sector</t>
  </si>
  <si>
    <t>Table 68: Incidence of avoided mortalities and morbidities per ton of directly emitted PM2.5 and PM2.5 precursors reduced in 2020 from the ocean-going vessels sector</t>
  </si>
  <si>
    <t>Table 70: Incidence of avoided mortalities and morbidities per ton of directly emitted PM2.5 and PM2.5 precursors reduced in 2025 from the cement kilns sector</t>
  </si>
  <si>
    <t>Table 72: Incidence of avoided mortalities and morbidities per ton of directly emitted PM2.5 and PM2.5 precursors reduced in 2025 from the pulp and paper facilities sector</t>
  </si>
  <si>
    <t>Table 74: Incidence of avoided mortalities and morbidities per ton of directly emitted PM2.5 and PM2.5 precursors reduced in 2025 from the refineries sector</t>
  </si>
  <si>
    <t>Table 76: Incidence of avoided mortalities and morbidities per ton of directly emitted PM2.5 and PM2.5 precursors reduced in 2025 from the coke ovens sector</t>
  </si>
  <si>
    <t>Table 78: Incidence of avoided mortalities and morbidities per ton of directly emitted PM2.5 and PM2.5 precursors reduced in 2025 from the iron and steel facilities sector</t>
  </si>
  <si>
    <t>Table 80: Incidence of avoided mortalities and morbidities per ton of directly emitted PM2.5 and PM2.5 precursors reduced in 2025 from the integrated iron and steel facilities sector</t>
  </si>
  <si>
    <t>Table 82: Incidence of avoided mortalities and morbidities per ton of directly emitted PM2.5 and PM2.5 precursors reduced in 2025 from the electric arc furnaces sector</t>
  </si>
  <si>
    <t>Table 84: Incidence of avoided mortalities and morbidities per ton of directly emitted PM2.5 and PM2.5 precursors reduced in 2025 from the taconite mines sector</t>
  </si>
  <si>
    <t>Table 86: Incidence of avoided mortalities and morbidities per ton of directly emitted PM2.5 and PM2.5 precursors reduced in 2025 from the ferroalloy facilities sector</t>
  </si>
  <si>
    <t>Table 88: Incidence of avoided mortalities and morbidities per ton of directly emitted PM2.5 and PM2.5 precursors reduced in 2025 from the residential wood combustion sector</t>
  </si>
  <si>
    <t>Table 90: Incidence of avoided mortalities and morbidities per ton of directly emitted PM2.5 and PM2.5 precursors reduced in 2025 from the area sources sector</t>
  </si>
  <si>
    <t>Table 92: Incidence of avoided mortalities and morbidities per ton of directly emitted PM2.5 and PM2.5 precursors reduced in 2025 from the industrial point sources sector</t>
  </si>
  <si>
    <t>Table 94: Incidence of avoided mortalities and morbidities per ton of directly emitted PM2.5 and PM2.5 precursors reduced in 2025 from the aircraft, locomotives and marine vessels sector</t>
  </si>
  <si>
    <t>Table 96: Incidence of avoided mortalities and morbidities per ton of directly emitted PM2.5 and PM2.5 precursors reduced in 2025 from the non-road mobile sources sector</t>
  </si>
  <si>
    <t>Table 98: Incidence of avoided mortalities and morbidities per ton of directly emitted PM2.5 and PM2.5 precursors reduced in 2025 from the on-road mobile sources sector</t>
  </si>
  <si>
    <t>Table 100: Incidence of avoided mortalities and morbidities per ton of directly emitted PM2.5 and PM2.5 precursors reduced in 2025 from the electricity generating units sector</t>
  </si>
  <si>
    <t>Table 102: Incidence of avoided mortalities and morbidities per ton of directly emitted PM2.5 and PM2.5 precursors reduced in 2025 from the ocean-going vessels sector</t>
  </si>
  <si>
    <t>Table 104: Incidence of avoided mortalities and morbidities per ton of directly emitted PM2.5 and PM2.5 precursors reduced in 2030 from the cement kilns sector</t>
  </si>
  <si>
    <t>Table 106: Incidence of avoided mortalities and morbidities per ton of directly emitted PM2.5 and PM2.5 precursors reduced in 2030 from the pulp and paper facilities sector</t>
  </si>
  <si>
    <t>Table 108: Incidence of avoided mortalities and morbidities per ton of directly emitted PM2.5 and PM2.5 precursors reduced in 2030 from the refineries sector</t>
  </si>
  <si>
    <t>Table 110: Incidence of avoided mortalities and morbidities per ton of directly emitted PM2.5 and PM2.5 precursors reduced in 2030 from the coke ovens sector</t>
  </si>
  <si>
    <t>Table 112: Incidence of avoided mortalities and morbidities per ton of directly emitted PM2.5 and PM2.5 precursors reduced in 2030 from the iron and steel facilities sector</t>
  </si>
  <si>
    <t>Table 114: Incidence of avoided mortalities and morbidities per ton of directly emitted PM2.5 and PM2.5 precursors reduced in 2030 from the integrated iron and steel facilities sector</t>
  </si>
  <si>
    <t>Table 116: Incidence of avoided mortalities and morbidities per ton of directly emitted PM2.5 and PM2.5 precursors reduced in 2030 from the electric arc furnaces sector</t>
  </si>
  <si>
    <t>Table 118: Incidence of avoided mortalities and morbidities per ton of directly emitted PM2.5 and PM2.5 precursors reduced in 2030 from the taconite mines sector</t>
  </si>
  <si>
    <t>Table 120: Incidence of avoided mortalities and morbidities per ton of directly emitted PM2.5 and PM2.5 precursors reduced in 2030 from the ferroalloy facilities sector</t>
  </si>
  <si>
    <t>Table 122: Incidence of avoided mortalities and morbidities per ton of directly emitted PM2.5 and PM2.5 precursors reduced in 2030 from the residential wood combustion sector</t>
  </si>
  <si>
    <t>Table 124: Incidence of avoided mortalities and morbidities per ton of directly emitted PM2.5 and PM2.5 precursors reduced in 2030 from the area sources sector</t>
  </si>
  <si>
    <t>Table 126: Incidence of avoided mortalities and morbidities per ton of directly emitted PM2.5 and PM2.5 precursors reduced in 2030 from the industrial point sources sector</t>
  </si>
  <si>
    <t>Table 128: Incidence of avoided mortalities and morbidities per ton of directly emitted PM2.5 and PM2.5 precursors reduced in 2030 from the aircraft, locomotives and marine vessels sector</t>
  </si>
  <si>
    <t>Table 130: Incidence of avoided mortalities and morbidities per ton of directly emitted PM2.5 and PM2.5 precursors reduced in 2030 from the non-road mobile sources sector</t>
  </si>
  <si>
    <t>Table 132: Incidence of avoided mortalities and morbidities per ton of directly emitted PM2.5 and PM2.5 precursors reduced in 2030 from the on-road mobile sources sector</t>
  </si>
  <si>
    <t>Table 134: Incidence of avoided mortalities and morbidities per ton of directly emitted PM2.5 and PM2.5 precursors reduced in 2030 from the electricity generating units sector</t>
  </si>
  <si>
    <t>Table 136: Incidence of avoided mortalities and morbidities per ton of directly emitted PM2.5 and PM2.5 precursors reduced in 2030 from the ocean-going vessels sector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</si>
</sst>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Times New Roman"/>
      <family val="1"/>
    </font>
    <font>
      <b/>
      <sz val="1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i/>
      <sz val="11"/>
      <name val="Calibri"/>
      <family val="2"/>
      <scheme val="minor"/>
    </font>
    <font>
      <sz val="1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3" fillId="0" borderId="0"/>
  </cellStyleXfs>
  <cellXfs count="43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5" fillId="0" borderId="0" xfId="2" applyFont="1" applyAlignment="1">
      <alignment horizontal="left" vertical="top"/>
    </xf>
    <xf numFmtId="0" fontId="6" fillId="0" borderId="1" xfId="2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7" fillId="0" borderId="2" xfId="2" applyFont="1" applyBorder="1" applyAlignment="1">
      <alignment horizontal="left" vertical="top" wrapText="1"/>
    </xf>
    <xf numFmtId="0" fontId="5" fillId="0" borderId="2" xfId="2" applyFont="1" applyBorder="1" applyAlignment="1">
      <alignment horizontal="left" wrapText="1"/>
    </xf>
    <xf numFmtId="0" fontId="8" fillId="0" borderId="0" xfId="2" applyFont="1" applyAlignment="1">
      <alignment horizontal="left" vertical="top" wrapText="1" indent="4"/>
    </xf>
    <xf numFmtId="164" fontId="5" fillId="0" borderId="0" xfId="2" applyNumberFormat="1" applyFont="1" applyAlignment="1">
      <alignment horizontal="center" vertical="top" shrinkToFit="1"/>
    </xf>
    <xf numFmtId="0" fontId="7" fillId="0" borderId="0" xfId="2" applyFont="1" applyAlignment="1">
      <alignment horizontal="left" vertical="top" wrapText="1"/>
    </xf>
    <xf numFmtId="0" fontId="5" fillId="0" borderId="0" xfId="2" applyFont="1" applyAlignment="1">
      <alignment horizontal="left" wrapText="1"/>
    </xf>
    <xf numFmtId="164" fontId="5" fillId="0" borderId="1" xfId="2" applyNumberFormat="1" applyFont="1" applyBorder="1" applyAlignment="1">
      <alignment horizontal="center" vertical="top" shrinkToFit="1"/>
    </xf>
    <xf numFmtId="164" fontId="5" fillId="0" borderId="0" xfId="2" applyNumberFormat="1" applyFont="1" applyAlignment="1">
      <alignment horizontal="left" vertical="top" indent="4" shrinkToFit="1"/>
    </xf>
    <xf numFmtId="164" fontId="5" fillId="0" borderId="0" xfId="2" applyNumberFormat="1" applyFont="1" applyAlignment="1">
      <alignment horizontal="left" vertical="top" indent="3" shrinkToFit="1"/>
    </xf>
    <xf numFmtId="0" fontId="8" fillId="0" borderId="1" xfId="2" applyFont="1" applyBorder="1" applyAlignment="1">
      <alignment horizontal="left" vertical="top" wrapText="1" indent="4"/>
    </xf>
    <xf numFmtId="0" fontId="5" fillId="0" borderId="1" xfId="2" applyFont="1" applyBorder="1" applyAlignment="1">
      <alignment horizontal="center" vertical="top" wrapText="1"/>
    </xf>
    <xf numFmtId="164" fontId="5" fillId="0" borderId="0" xfId="2" applyNumberFormat="1" applyFont="1" applyAlignment="1">
      <alignment horizontal="left" vertical="top" indent="2" shrinkToFit="1"/>
    </xf>
    <xf numFmtId="0" fontId="6" fillId="0" borderId="0" xfId="2" applyFont="1" applyAlignment="1">
      <alignment horizontal="left" vertical="top" wrapText="1"/>
    </xf>
    <xf numFmtId="0" fontId="1" fillId="2" borderId="0" xfId="0" applyFont="1" applyFill="1"/>
    <xf numFmtId="0" fontId="0" fillId="2" borderId="0" xfId="0" applyFill="1"/>
    <xf numFmtId="0" fontId="10" fillId="0" borderId="0" xfId="0" applyFont="1" applyAlignment="1">
      <alignment wrapText="1"/>
    </xf>
    <xf numFmtId="0" fontId="0" fillId="0" borderId="3" xfId="0" applyBorder="1"/>
    <xf numFmtId="0" fontId="1" fillId="0" borderId="4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6" xfId="0" applyFont="1" applyBorder="1"/>
    <xf numFmtId="0" fontId="0" fillId="0" borderId="7" xfId="0" applyBorder="1" applyAlignment="1">
      <alignment horizontal="left"/>
    </xf>
    <xf numFmtId="0" fontId="1" fillId="0" borderId="8" xfId="0" applyFont="1" applyBorder="1"/>
    <xf numFmtId="0" fontId="0" fillId="0" borderId="9" xfId="0" applyBorder="1"/>
    <xf numFmtId="0" fontId="0" fillId="0" borderId="10" xfId="0" applyBorder="1"/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3" borderId="11" xfId="0" applyFont="1" applyFill="1" applyBorder="1"/>
    <xf numFmtId="0" fontId="1" fillId="7" borderId="0" xfId="0" applyFont="1" applyFill="1"/>
    <xf numFmtId="0" fontId="0" fillId="7" borderId="0" xfId="0" applyFill="1"/>
    <xf numFmtId="0" fontId="1" fillId="8" borderId="0" xfId="0" applyFont="1" applyFill="1"/>
    <xf numFmtId="0" fontId="0" fillId="8" borderId="0" xfId="0" applyFill="1"/>
    <xf numFmtId="0" fontId="1" fillId="3" borderId="0" xfId="0" applyFont="1" applyFill="1"/>
    <xf numFmtId="0" fontId="6" fillId="0" borderId="0" xfId="2" applyFont="1" applyAlignment="1">
      <alignment horizontal="center" vertical="top" wrapText="1"/>
    </xf>
    <xf numFmtId="0" fontId="9" fillId="0" borderId="0" xfId="2" applyFont="1" applyAlignment="1">
      <alignment horizontal="left" vertical="top" wrapText="1"/>
    </xf>
    <xf numFmtId="0" fontId="4" fillId="0" borderId="0" xfId="2" applyFont="1" applyAlignment="1">
      <alignment horizontal="left" vertical="top" wrapText="1"/>
    </xf>
  </cellXfs>
  <cellStyles count="3">
    <cellStyle name="Hyperlink" xfId="1" builtinId="8"/>
    <cellStyle name="Normal" xfId="0" builtinId="0"/>
    <cellStyle name="Normal 2" xfId="2" xr:uid="{32707323-51DD-4CCA-BD7B-89D77C8460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sheetMetadata" Target="metadata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calcChain" Target="calcChain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sharedStrings" Target="sharedStrings.xml"/><Relationship Id="rId91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styles" Target="style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pa.gov/sites/production/files/2018-02/documents/sourceapportionmentbpttsd_2018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A12EE-0370-46D8-B25C-90C403A4CDFD}">
  <dimension ref="A1:D49"/>
  <sheetViews>
    <sheetView topLeftCell="A11" zoomScale="85" zoomScaleNormal="85" workbookViewId="0">
      <selection activeCell="I29" sqref="I29"/>
    </sheetView>
  </sheetViews>
  <sheetFormatPr defaultColWidth="8.7109375" defaultRowHeight="14.45"/>
  <sheetData>
    <row r="1" spans="1:4">
      <c r="A1" s="1" t="s">
        <v>0</v>
      </c>
    </row>
    <row r="3" spans="1:4">
      <c r="A3" s="1" t="s">
        <v>1</v>
      </c>
      <c r="B3" t="s">
        <v>2</v>
      </c>
    </row>
    <row r="4" spans="1:4">
      <c r="B4" s="2">
        <v>2018</v>
      </c>
    </row>
    <row r="5" spans="1:4">
      <c r="B5" t="s">
        <v>3</v>
      </c>
    </row>
    <row r="6" spans="1:4">
      <c r="B6" s="3" t="s">
        <v>4</v>
      </c>
    </row>
    <row r="7" spans="1:4">
      <c r="B7" t="s">
        <v>5</v>
      </c>
    </row>
    <row r="9" spans="1:4">
      <c r="A9" s="1" t="s">
        <v>6</v>
      </c>
    </row>
    <row r="10" spans="1:4">
      <c r="A10" t="s">
        <v>7</v>
      </c>
    </row>
    <row r="11" spans="1:4">
      <c r="A11" t="s">
        <v>8</v>
      </c>
    </row>
    <row r="12" spans="1:4">
      <c r="A12" t="s">
        <v>9</v>
      </c>
    </row>
    <row r="13" spans="1:4">
      <c r="A13" t="s">
        <v>10</v>
      </c>
    </row>
    <row r="15" spans="1:4">
      <c r="A15" s="35" t="s">
        <v>11</v>
      </c>
      <c r="B15" s="36"/>
      <c r="C15" s="36"/>
      <c r="D15" s="36"/>
    </row>
    <row r="16" spans="1:4">
      <c r="A16" t="s">
        <v>12</v>
      </c>
    </row>
    <row r="17" spans="1:2">
      <c r="A17" t="s">
        <v>13</v>
      </c>
    </row>
    <row r="18" spans="1:2">
      <c r="A18" t="s">
        <v>14</v>
      </c>
    </row>
    <row r="19" spans="1:2">
      <c r="A19" t="s">
        <v>15</v>
      </c>
    </row>
    <row r="20" spans="1:2">
      <c r="A20" t="s">
        <v>16</v>
      </c>
    </row>
    <row r="21" spans="1:2">
      <c r="A21" t="s">
        <v>17</v>
      </c>
    </row>
    <row r="22" spans="1:2">
      <c r="A22" t="s">
        <v>18</v>
      </c>
    </row>
    <row r="23" spans="1:2">
      <c r="A23" t="s">
        <v>19</v>
      </c>
    </row>
    <row r="24" spans="1:2">
      <c r="A24" t="s">
        <v>20</v>
      </c>
    </row>
    <row r="25" spans="1:2">
      <c r="A25" t="s">
        <v>21</v>
      </c>
    </row>
    <row r="26" spans="1:2" ht="15" thickBot="1">
      <c r="A26" t="s">
        <v>22</v>
      </c>
    </row>
    <row r="27" spans="1:2" ht="15" thickBot="1">
      <c r="A27" s="34">
        <v>1.44</v>
      </c>
      <c r="B27" t="s">
        <v>23</v>
      </c>
    </row>
    <row r="29" spans="1:2">
      <c r="A29" s="37" t="s">
        <v>24</v>
      </c>
      <c r="B29" s="38"/>
    </row>
    <row r="30" spans="1:2">
      <c r="A30" t="s">
        <v>25</v>
      </c>
    </row>
    <row r="31" spans="1:2">
      <c r="A31" t="s">
        <v>26</v>
      </c>
    </row>
    <row r="32" spans="1:2">
      <c r="A32" t="s">
        <v>27</v>
      </c>
    </row>
    <row r="33" spans="1:2">
      <c r="A33" s="1" t="s">
        <v>28</v>
      </c>
    </row>
    <row r="34" spans="1:2">
      <c r="A34" s="1" t="s">
        <v>29</v>
      </c>
    </row>
    <row r="36" spans="1:2">
      <c r="A36" t="s">
        <v>30</v>
      </c>
    </row>
    <row r="37" spans="1:2">
      <c r="A37" t="s">
        <v>31</v>
      </c>
    </row>
    <row r="38" spans="1:2">
      <c r="A38" t="s">
        <v>32</v>
      </c>
    </row>
    <row r="39" spans="1:2">
      <c r="A39" t="s">
        <v>33</v>
      </c>
    </row>
    <row r="40" spans="1:2">
      <c r="A40" t="s">
        <v>34</v>
      </c>
    </row>
    <row r="42" spans="1:2">
      <c r="A42" s="1" t="s">
        <v>35</v>
      </c>
    </row>
    <row r="43" spans="1:2">
      <c r="A43" t="s">
        <v>36</v>
      </c>
    </row>
    <row r="45" spans="1:2">
      <c r="A45" s="39" t="s">
        <v>37</v>
      </c>
    </row>
    <row r="46" spans="1:2">
      <c r="A46" t="s">
        <v>38</v>
      </c>
    </row>
    <row r="47" spans="1:2">
      <c r="A47">
        <f>64/34</f>
        <v>1.8823529411764706</v>
      </c>
      <c r="B47" t="s">
        <v>39</v>
      </c>
    </row>
    <row r="48" spans="1:2">
      <c r="A48" t="s">
        <v>40</v>
      </c>
    </row>
    <row r="49" spans="1:1">
      <c r="A49" t="s">
        <v>41</v>
      </c>
    </row>
  </sheetData>
  <hyperlinks>
    <hyperlink ref="B6" r:id="rId1" xr:uid="{CEFE1835-A0BF-43D4-BBCD-8BA6A95E4DB2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8235D-C6D3-4764-ACAC-6B7FC3173A61}">
  <sheetPr>
    <tabColor rgb="FF92D050"/>
  </sheetPr>
  <dimension ref="A1:E31"/>
  <sheetViews>
    <sheetView workbookViewId="0"/>
  </sheetViews>
  <sheetFormatPr defaultColWidth="8.7109375" defaultRowHeight="14.45"/>
  <cols>
    <col min="1" max="1" width="39.7109375" customWidth="1"/>
  </cols>
  <sheetData>
    <row r="1" spans="1:5">
      <c r="A1" s="20" t="s">
        <v>42</v>
      </c>
      <c r="B1" s="21"/>
      <c r="C1" s="21"/>
      <c r="D1" s="21"/>
      <c r="E1" s="21"/>
    </row>
    <row r="2" spans="1:5">
      <c r="A2" s="1" t="s">
        <v>43</v>
      </c>
      <c r="B2" s="1">
        <v>2016</v>
      </c>
      <c r="C2" s="1">
        <v>2020</v>
      </c>
      <c r="D2" s="1">
        <v>2025</v>
      </c>
      <c r="E2" s="1">
        <v>2030</v>
      </c>
    </row>
    <row r="3" spans="1:5">
      <c r="A3" t="s">
        <v>44</v>
      </c>
      <c r="B3">
        <v>1</v>
      </c>
      <c r="C3">
        <v>18</v>
      </c>
      <c r="D3">
        <v>35</v>
      </c>
      <c r="E3">
        <v>52</v>
      </c>
    </row>
    <row r="4" spans="1:5">
      <c r="A4" t="s">
        <v>45</v>
      </c>
      <c r="B4">
        <v>2</v>
      </c>
      <c r="C4">
        <v>19</v>
      </c>
      <c r="D4">
        <v>36</v>
      </c>
      <c r="E4">
        <v>53</v>
      </c>
    </row>
    <row r="5" spans="1:5">
      <c r="A5" t="s">
        <v>46</v>
      </c>
      <c r="B5">
        <v>3</v>
      </c>
      <c r="C5">
        <v>20</v>
      </c>
      <c r="D5">
        <v>37</v>
      </c>
      <c r="E5">
        <v>54</v>
      </c>
    </row>
    <row r="6" spans="1:5">
      <c r="A6" t="s">
        <v>47</v>
      </c>
      <c r="B6">
        <v>4</v>
      </c>
      <c r="C6">
        <v>21</v>
      </c>
      <c r="D6">
        <v>38</v>
      </c>
      <c r="E6">
        <v>55</v>
      </c>
    </row>
    <row r="7" spans="1:5">
      <c r="A7" t="s">
        <v>48</v>
      </c>
      <c r="B7">
        <v>5</v>
      </c>
      <c r="C7">
        <v>22</v>
      </c>
      <c r="D7">
        <v>39</v>
      </c>
      <c r="E7">
        <v>56</v>
      </c>
    </row>
    <row r="8" spans="1:5">
      <c r="A8" t="s">
        <v>49</v>
      </c>
      <c r="B8">
        <v>6</v>
      </c>
      <c r="C8">
        <v>23</v>
      </c>
      <c r="D8">
        <v>40</v>
      </c>
      <c r="E8">
        <v>57</v>
      </c>
    </row>
    <row r="9" spans="1:5">
      <c r="A9" t="s">
        <v>50</v>
      </c>
      <c r="B9">
        <v>7</v>
      </c>
      <c r="C9">
        <v>24</v>
      </c>
      <c r="D9">
        <v>41</v>
      </c>
      <c r="E9">
        <v>58</v>
      </c>
    </row>
    <row r="10" spans="1:5">
      <c r="A10" t="s">
        <v>51</v>
      </c>
      <c r="B10">
        <v>8</v>
      </c>
      <c r="C10">
        <v>25</v>
      </c>
      <c r="D10">
        <v>42</v>
      </c>
      <c r="E10">
        <v>59</v>
      </c>
    </row>
    <row r="11" spans="1:5">
      <c r="A11" t="s">
        <v>52</v>
      </c>
      <c r="B11">
        <v>9</v>
      </c>
      <c r="C11">
        <v>26</v>
      </c>
      <c r="D11">
        <v>43</v>
      </c>
      <c r="E11">
        <v>60</v>
      </c>
    </row>
    <row r="12" spans="1:5">
      <c r="A12" t="s">
        <v>53</v>
      </c>
      <c r="B12">
        <v>10</v>
      </c>
      <c r="C12">
        <v>27</v>
      </c>
      <c r="D12">
        <v>44</v>
      </c>
      <c r="E12">
        <v>61</v>
      </c>
    </row>
    <row r="13" spans="1:5">
      <c r="A13" t="s">
        <v>54</v>
      </c>
      <c r="B13">
        <v>11</v>
      </c>
      <c r="C13">
        <v>28</v>
      </c>
      <c r="D13">
        <v>45</v>
      </c>
      <c r="E13">
        <v>62</v>
      </c>
    </row>
    <row r="14" spans="1:5">
      <c r="A14" t="s">
        <v>55</v>
      </c>
      <c r="B14">
        <v>12</v>
      </c>
      <c r="C14">
        <v>29</v>
      </c>
      <c r="D14">
        <v>46</v>
      </c>
      <c r="E14">
        <v>63</v>
      </c>
    </row>
    <row r="15" spans="1:5">
      <c r="A15" t="s">
        <v>56</v>
      </c>
      <c r="B15">
        <v>13</v>
      </c>
      <c r="C15">
        <v>30</v>
      </c>
      <c r="D15">
        <v>47</v>
      </c>
      <c r="E15">
        <v>64</v>
      </c>
    </row>
    <row r="16" spans="1:5">
      <c r="A16" t="s">
        <v>57</v>
      </c>
      <c r="B16">
        <v>14</v>
      </c>
      <c r="C16">
        <v>31</v>
      </c>
      <c r="D16">
        <v>48</v>
      </c>
      <c r="E16">
        <v>65</v>
      </c>
    </row>
    <row r="17" spans="1:5">
      <c r="A17" t="s">
        <v>58</v>
      </c>
      <c r="B17">
        <v>15</v>
      </c>
      <c r="C17">
        <v>32</v>
      </c>
      <c r="D17">
        <v>49</v>
      </c>
      <c r="E17">
        <v>66</v>
      </c>
    </row>
    <row r="18" spans="1:5">
      <c r="A18" t="s">
        <v>59</v>
      </c>
      <c r="B18">
        <v>16</v>
      </c>
      <c r="C18">
        <v>33</v>
      </c>
      <c r="D18">
        <v>50</v>
      </c>
      <c r="E18">
        <v>67</v>
      </c>
    </row>
    <row r="19" spans="1:5">
      <c r="A19" t="s">
        <v>60</v>
      </c>
      <c r="B19">
        <v>17</v>
      </c>
      <c r="C19">
        <v>34</v>
      </c>
      <c r="D19">
        <v>51</v>
      </c>
      <c r="E19">
        <v>68</v>
      </c>
    </row>
    <row r="21" spans="1:5">
      <c r="A21" s="20" t="s">
        <v>61</v>
      </c>
      <c r="B21" s="21"/>
      <c r="C21" s="21"/>
      <c r="D21" s="21"/>
    </row>
    <row r="22" spans="1:5">
      <c r="A22" t="s">
        <v>62</v>
      </c>
      <c r="B22" t="str">
        <f>A17</f>
        <v>on-road mobile sources</v>
      </c>
    </row>
    <row r="23" spans="1:5">
      <c r="A23" t="s">
        <v>63</v>
      </c>
      <c r="B23" t="str">
        <f>A18</f>
        <v>electricity generating units</v>
      </c>
    </row>
    <row r="24" spans="1:5">
      <c r="A24" t="s">
        <v>64</v>
      </c>
      <c r="B24" t="str">
        <f>A13</f>
        <v>area sources</v>
      </c>
    </row>
    <row r="25" spans="1:5">
      <c r="A25" t="s">
        <v>65</v>
      </c>
      <c r="B25" t="str">
        <f>A14</f>
        <v>industrial point sources</v>
      </c>
    </row>
    <row r="26" spans="1:5">
      <c r="A26" t="s">
        <v>66</v>
      </c>
      <c r="B26" t="str">
        <f>A17</f>
        <v>on-road mobile sources</v>
      </c>
    </row>
    <row r="28" spans="1:5">
      <c r="A28" s="20" t="s">
        <v>67</v>
      </c>
      <c r="B28" s="20"/>
    </row>
    <row r="29" spans="1:5">
      <c r="A29" t="s">
        <v>68</v>
      </c>
      <c r="B29" t="s">
        <v>69</v>
      </c>
    </row>
    <row r="30" spans="1:5">
      <c r="A30" t="s">
        <v>70</v>
      </c>
      <c r="B30" t="s">
        <v>71</v>
      </c>
    </row>
    <row r="31" spans="1:5">
      <c r="A31" t="s">
        <v>72</v>
      </c>
      <c r="B31" t="s">
        <v>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433AA-19F3-48C9-9C5F-C33EEAB460AC}">
  <sheetPr>
    <tabColor theme="4" tint="-0.249977111117893"/>
  </sheetPr>
  <dimension ref="A1:AJ25"/>
  <sheetViews>
    <sheetView tabSelected="1" workbookViewId="0"/>
  </sheetViews>
  <sheetFormatPr defaultColWidth="8.7109375" defaultRowHeight="14.45"/>
  <cols>
    <col min="1" max="1" width="33.7109375" customWidth="1"/>
  </cols>
  <sheetData>
    <row r="1" spans="1:36" s="1" customFormat="1">
      <c r="A1" s="22" t="s">
        <v>74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>
      <c r="A2" t="s">
        <v>75</v>
      </c>
      <c r="B2" s="31" t="e" cm="1">
        <f t="array" aca="1" ref="B2" ca="1">INDIRECT(CONCATENATE("'",HLOOKUP(B$1,$B$21:$E$23,3,FALSE),"'!",$B$25,ROW($A2)+3))*About!$A$27</f>
        <v>#VALUE!</v>
      </c>
      <c r="C2" t="e">
        <f ca="1">$B2+($F2-$B2)*(C$1-$B$1)/($F$1-$B$1)</f>
        <v>#VALUE!</v>
      </c>
      <c r="D2" t="e">
        <f t="shared" ref="D2:E12" ca="1" si="0">$B2+($F2-$B2)*(D$1-$B$1)/($F$1-$B$1)</f>
        <v>#VALUE!</v>
      </c>
      <c r="E2" t="e">
        <f t="shared" ca="1" si="0"/>
        <v>#VALUE!</v>
      </c>
      <c r="F2" s="31" t="e" cm="1">
        <f t="array" aca="1" ref="F2" ca="1">INDIRECT(CONCATENATE("'",HLOOKUP(F$1,$B$21:$E$23,3,FALSE),"'!",$B$25,ROW($A2)+3))*About!$A$27</f>
        <v>#VALUE!</v>
      </c>
      <c r="G2" t="e">
        <f ca="1">$F2+($K2-$F2)*(G$1-$F$1)/($K$1-$F$1)</f>
        <v>#VALUE!</v>
      </c>
      <c r="H2" t="e">
        <f t="shared" ref="H2:J12" ca="1" si="1">$F2+($K2-$F2)*(H$1-$F$1)/($K$1-$F$1)</f>
        <v>#VALUE!</v>
      </c>
      <c r="I2" t="e">
        <f t="shared" ca="1" si="1"/>
        <v>#VALUE!</v>
      </c>
      <c r="J2" t="e">
        <f t="shared" ca="1" si="1"/>
        <v>#VALUE!</v>
      </c>
      <c r="K2" s="31" t="e" cm="1">
        <f t="array" aca="1" ref="K2" ca="1">INDIRECT(CONCATENATE("'",HLOOKUP(K$1,$B$21:$E$23,3,FALSE),"'!",$B$25,ROW($A2)+3))*About!$A$27</f>
        <v>#VALUE!</v>
      </c>
      <c r="L2" t="e">
        <f ca="1">$K2+($P2-$K2)*(L$1-$K$1)/($P$1-$K$1)</f>
        <v>#VALUE!</v>
      </c>
      <c r="M2" t="e">
        <f t="shared" ref="M2:O12" ca="1" si="2">$K2+($P2-$K2)*(M$1-$K$1)/($P$1-$K$1)</f>
        <v>#VALUE!</v>
      </c>
      <c r="N2" t="e">
        <f t="shared" ca="1" si="2"/>
        <v>#VALUE!</v>
      </c>
      <c r="O2" t="e">
        <f t="shared" ca="1" si="2"/>
        <v>#VALUE!</v>
      </c>
      <c r="P2" s="31" t="e" cm="1">
        <f t="array" aca="1" ref="P2" ca="1">INDIRECT(CONCATENATE("'",HLOOKUP(P$1,$B$21:$E$23,3,FALSE),"'!",$B$25,ROW($A2)+3))*About!$A$27</f>
        <v>#VALUE!</v>
      </c>
      <c r="Q2" t="e" cm="1">
        <f t="array" aca="1" ref="Q2" ca="1">TREND($K2:$P2,$K$1:$P$1,Q$1)</f>
        <v>#VALUE!</v>
      </c>
      <c r="R2" t="e" cm="1">
        <f t="array" aca="1" ref="R2" ca="1">TREND($K2:$P2,$K$1:$P$1,R$1)</f>
        <v>#VALUE!</v>
      </c>
      <c r="S2" t="e" cm="1">
        <f t="array" aca="1" ref="S2" ca="1">TREND($K2:$P2,$K$1:$P$1,S$1)</f>
        <v>#VALUE!</v>
      </c>
      <c r="T2" t="e" cm="1">
        <f t="array" aca="1" ref="T2" ca="1">TREND($K2:$P2,$K$1:$P$1,T$1)</f>
        <v>#VALUE!</v>
      </c>
      <c r="U2" t="e" cm="1">
        <f t="array" aca="1" ref="U2" ca="1">TREND($K2:$P2,$K$1:$P$1,U$1)</f>
        <v>#VALUE!</v>
      </c>
      <c r="V2" t="e" cm="1">
        <f t="array" aca="1" ref="V2" ca="1">TREND($K2:$P2,$K$1:$P$1,V$1)</f>
        <v>#VALUE!</v>
      </c>
      <c r="W2" t="e" cm="1">
        <f t="array" aca="1" ref="W2" ca="1">TREND($K2:$P2,$K$1:$P$1,W$1)</f>
        <v>#VALUE!</v>
      </c>
      <c r="X2" t="e" cm="1">
        <f t="array" aca="1" ref="X2" ca="1">TREND($K2:$P2,$K$1:$P$1,X$1)</f>
        <v>#VALUE!</v>
      </c>
      <c r="Y2" t="e" cm="1">
        <f t="array" aca="1" ref="Y2" ca="1">TREND($K2:$P2,$K$1:$P$1,Y$1)</f>
        <v>#VALUE!</v>
      </c>
      <c r="Z2" t="e" cm="1">
        <f t="array" aca="1" ref="Z2" ca="1">TREND($K2:$P2,$K$1:$P$1,Z$1)</f>
        <v>#VALUE!</v>
      </c>
      <c r="AA2" t="e" cm="1">
        <f t="array" aca="1" ref="AA2" ca="1">TREND($K2:$P2,$K$1:$P$1,AA$1)</f>
        <v>#VALUE!</v>
      </c>
      <c r="AB2" t="e" cm="1">
        <f t="array" aca="1" ref="AB2" ca="1">TREND($K2:$P2,$K$1:$P$1,AB$1)</f>
        <v>#VALUE!</v>
      </c>
      <c r="AC2" t="e" cm="1">
        <f t="array" aca="1" ref="AC2" ca="1">TREND($K2:$P2,$K$1:$P$1,AC$1)</f>
        <v>#VALUE!</v>
      </c>
      <c r="AD2" t="e" cm="1">
        <f t="array" aca="1" ref="AD2" ca="1">TREND($K2:$P2,$K$1:$P$1,AD$1)</f>
        <v>#VALUE!</v>
      </c>
      <c r="AE2" t="e" cm="1">
        <f t="array" aca="1" ref="AE2" ca="1">TREND($K2:$P2,$K$1:$P$1,AE$1)</f>
        <v>#VALUE!</v>
      </c>
      <c r="AF2" t="e" cm="1">
        <f t="array" aca="1" ref="AF2" ca="1">TREND($K2:$P2,$K$1:$P$1,AF$1)</f>
        <v>#VALUE!</v>
      </c>
      <c r="AG2" t="e" cm="1">
        <f t="array" aca="1" ref="AG2" ca="1">TREND($K2:$P2,$K$1:$P$1,AG$1)</f>
        <v>#VALUE!</v>
      </c>
      <c r="AH2" t="e" cm="1">
        <f t="array" aca="1" ref="AH2" ca="1">TREND($K2:$P2,$K$1:$P$1,AH$1)</f>
        <v>#VALUE!</v>
      </c>
      <c r="AI2" t="e" cm="1">
        <f t="array" aca="1" ref="AI2" ca="1">TREND($K2:$P2,$K$1:$P$1,AI$1)</f>
        <v>#VALUE!</v>
      </c>
      <c r="AJ2" t="e" cm="1">
        <f t="array" aca="1" ref="AJ2" ca="1">TREND($K2:$P2,$K$1:$P$1,AJ$1)</f>
        <v>#VALUE!</v>
      </c>
    </row>
    <row r="3" spans="1:36">
      <c r="A3" t="s">
        <v>76</v>
      </c>
      <c r="B3" s="32" t="e" cm="1">
        <f t="array" aca="1" ref="B3" ca="1">INDIRECT(CONCATENATE("'",HLOOKUP(B$1,$B$21:$E$23,3,FALSE),"'!",$B$25,ROW($A3)+5))*About!$A$27</f>
        <v>#VALUE!</v>
      </c>
      <c r="C3" t="e">
        <f t="shared" ref="C3:C12" ca="1" si="3">$B3+($F3-$B3)*(C$1-$B$1)/($F$1-$B$1)</f>
        <v>#VALUE!</v>
      </c>
      <c r="D3" t="e">
        <f t="shared" ca="1" si="0"/>
        <v>#VALUE!</v>
      </c>
      <c r="E3" t="e">
        <f t="shared" ca="1" si="0"/>
        <v>#VALUE!</v>
      </c>
      <c r="F3" s="32" t="e" cm="1">
        <f t="array" aca="1" ref="F3" ca="1">INDIRECT(CONCATENATE("'",HLOOKUP(F$1,$B$21:$E$23,3,FALSE),"'!",$B$25,ROW($A3)+5))*About!$A$27</f>
        <v>#VALUE!</v>
      </c>
      <c r="G3" t="e">
        <f t="shared" ref="G3:G12" ca="1" si="4">$F3+($K3-$F3)*(G$1-$F$1)/($K$1-$F$1)</f>
        <v>#VALUE!</v>
      </c>
      <c r="H3" t="e">
        <f t="shared" ca="1" si="1"/>
        <v>#VALUE!</v>
      </c>
      <c r="I3" t="e">
        <f t="shared" ca="1" si="1"/>
        <v>#VALUE!</v>
      </c>
      <c r="J3" t="e">
        <f t="shared" ca="1" si="1"/>
        <v>#VALUE!</v>
      </c>
      <c r="K3" s="32" t="e" cm="1">
        <f t="array" aca="1" ref="K3" ca="1">INDIRECT(CONCATENATE("'",HLOOKUP(K$1,$B$21:$E$23,3,FALSE),"'!",$B$25,ROW($A3)+5))*About!$A$27</f>
        <v>#VALUE!</v>
      </c>
      <c r="L3" t="e">
        <f t="shared" ref="L3:L12" ca="1" si="5">$K3+($P3-$K3)*(L$1-$K$1)/($P$1-$K$1)</f>
        <v>#VALUE!</v>
      </c>
      <c r="M3" t="e">
        <f t="shared" ca="1" si="2"/>
        <v>#VALUE!</v>
      </c>
      <c r="N3" t="e">
        <f t="shared" ca="1" si="2"/>
        <v>#VALUE!</v>
      </c>
      <c r="O3" t="e">
        <f t="shared" ca="1" si="2"/>
        <v>#VALUE!</v>
      </c>
      <c r="P3" s="32" t="e" cm="1">
        <f t="array" aca="1" ref="P3" ca="1">INDIRECT(CONCATENATE("'",HLOOKUP(P$1,$B$21:$E$23,3,FALSE),"'!",$B$25,ROW($A3)+5))*About!$A$27</f>
        <v>#VALUE!</v>
      </c>
      <c r="Q3" t="e" cm="1">
        <f t="array" aca="1" ref="Q3" ca="1">TREND($K3:$P3,$K$1:$P$1,Q$1)</f>
        <v>#VALUE!</v>
      </c>
      <c r="R3" t="e" cm="1">
        <f t="array" aca="1" ref="R3" ca="1">TREND($K3:$P3,$K$1:$P$1,R$1)</f>
        <v>#VALUE!</v>
      </c>
      <c r="S3" t="e" cm="1">
        <f t="array" aca="1" ref="S3" ca="1">TREND($K3:$P3,$K$1:$P$1,S$1)</f>
        <v>#VALUE!</v>
      </c>
      <c r="T3" t="e" cm="1">
        <f t="array" aca="1" ref="T3" ca="1">TREND($K3:$P3,$K$1:$P$1,T$1)</f>
        <v>#VALUE!</v>
      </c>
      <c r="U3" t="e" cm="1">
        <f t="array" aca="1" ref="U3" ca="1">TREND($K3:$P3,$K$1:$P$1,U$1)</f>
        <v>#VALUE!</v>
      </c>
      <c r="V3" t="e" cm="1">
        <f t="array" aca="1" ref="V3" ca="1">TREND($K3:$P3,$K$1:$P$1,V$1)</f>
        <v>#VALUE!</v>
      </c>
      <c r="W3" t="e" cm="1">
        <f t="array" aca="1" ref="W3" ca="1">TREND($K3:$P3,$K$1:$P$1,W$1)</f>
        <v>#VALUE!</v>
      </c>
      <c r="X3" t="e" cm="1">
        <f t="array" aca="1" ref="X3" ca="1">TREND($K3:$P3,$K$1:$P$1,X$1)</f>
        <v>#VALUE!</v>
      </c>
      <c r="Y3" t="e" cm="1">
        <f t="array" aca="1" ref="Y3" ca="1">TREND($K3:$P3,$K$1:$P$1,Y$1)</f>
        <v>#VALUE!</v>
      </c>
      <c r="Z3" t="e" cm="1">
        <f t="array" aca="1" ref="Z3" ca="1">TREND($K3:$P3,$K$1:$P$1,Z$1)</f>
        <v>#VALUE!</v>
      </c>
      <c r="AA3" t="e" cm="1">
        <f t="array" aca="1" ref="AA3" ca="1">TREND($K3:$P3,$K$1:$P$1,AA$1)</f>
        <v>#VALUE!</v>
      </c>
      <c r="AB3" t="e" cm="1">
        <f t="array" aca="1" ref="AB3" ca="1">TREND($K3:$P3,$K$1:$P$1,AB$1)</f>
        <v>#VALUE!</v>
      </c>
      <c r="AC3" t="e" cm="1">
        <f t="array" aca="1" ref="AC3" ca="1">TREND($K3:$P3,$K$1:$P$1,AC$1)</f>
        <v>#VALUE!</v>
      </c>
      <c r="AD3" t="e" cm="1">
        <f t="array" aca="1" ref="AD3" ca="1">TREND($K3:$P3,$K$1:$P$1,AD$1)</f>
        <v>#VALUE!</v>
      </c>
      <c r="AE3" t="e" cm="1">
        <f t="array" aca="1" ref="AE3" ca="1">TREND($K3:$P3,$K$1:$P$1,AE$1)</f>
        <v>#VALUE!</v>
      </c>
      <c r="AF3" t="e" cm="1">
        <f t="array" aca="1" ref="AF3" ca="1">TREND($K3:$P3,$K$1:$P$1,AF$1)</f>
        <v>#VALUE!</v>
      </c>
      <c r="AG3" t="e" cm="1">
        <f t="array" aca="1" ref="AG3" ca="1">TREND($K3:$P3,$K$1:$P$1,AG$1)</f>
        <v>#VALUE!</v>
      </c>
      <c r="AH3" t="e" cm="1">
        <f t="array" aca="1" ref="AH3" ca="1">TREND($K3:$P3,$K$1:$P$1,AH$1)</f>
        <v>#VALUE!</v>
      </c>
      <c r="AI3" t="e" cm="1">
        <f t="array" aca="1" ref="AI3" ca="1">TREND($K3:$P3,$K$1:$P$1,AI$1)</f>
        <v>#VALUE!</v>
      </c>
      <c r="AJ3" t="e" cm="1">
        <f t="array" aca="1" ref="AJ3" ca="1">TREND($K3:$P3,$K$1:$P$1,AJ$1)</f>
        <v>#VALUE!</v>
      </c>
    </row>
    <row r="4" spans="1:36">
      <c r="A4" t="s">
        <v>77</v>
      </c>
      <c r="B4" s="32" t="e" cm="1">
        <f t="array" aca="1" ref="B4" ca="1">INDIRECT(CONCATENATE("'",HLOOKUP(B$1,$B$21:$E$23,3,FALSE),"'!",$B$25,ROW($A4)+5))*About!$A$27</f>
        <v>#VALUE!</v>
      </c>
      <c r="C4" t="e">
        <f t="shared" ca="1" si="3"/>
        <v>#VALUE!</v>
      </c>
      <c r="D4" t="e">
        <f t="shared" ca="1" si="0"/>
        <v>#VALUE!</v>
      </c>
      <c r="E4" t="e">
        <f t="shared" ca="1" si="0"/>
        <v>#VALUE!</v>
      </c>
      <c r="F4" s="32" t="e" cm="1">
        <f t="array" aca="1" ref="F4" ca="1">INDIRECT(CONCATENATE("'",HLOOKUP(F$1,$B$21:$E$23,3,FALSE),"'!",$B$25,ROW($A4)+5))*About!$A$27</f>
        <v>#VALUE!</v>
      </c>
      <c r="G4" t="e">
        <f t="shared" ca="1" si="4"/>
        <v>#VALUE!</v>
      </c>
      <c r="H4" t="e">
        <f t="shared" ca="1" si="1"/>
        <v>#VALUE!</v>
      </c>
      <c r="I4" t="e">
        <f t="shared" ca="1" si="1"/>
        <v>#VALUE!</v>
      </c>
      <c r="J4" t="e">
        <f t="shared" ca="1" si="1"/>
        <v>#VALUE!</v>
      </c>
      <c r="K4" s="32" t="e" cm="1">
        <f t="array" aca="1" ref="K4" ca="1">INDIRECT(CONCATENATE("'",HLOOKUP(K$1,$B$21:$E$23,3,FALSE),"'!",$B$25,ROW($A4)+5))*About!$A$27</f>
        <v>#VALUE!</v>
      </c>
      <c r="L4" t="e">
        <f t="shared" ca="1" si="5"/>
        <v>#VALUE!</v>
      </c>
      <c r="M4" t="e">
        <f t="shared" ca="1" si="2"/>
        <v>#VALUE!</v>
      </c>
      <c r="N4" t="e">
        <f t="shared" ca="1" si="2"/>
        <v>#VALUE!</v>
      </c>
      <c r="O4" t="e">
        <f t="shared" ca="1" si="2"/>
        <v>#VALUE!</v>
      </c>
      <c r="P4" s="32" t="e" cm="1">
        <f t="array" aca="1" ref="P4" ca="1">INDIRECT(CONCATENATE("'",HLOOKUP(P$1,$B$21:$E$23,3,FALSE),"'!",$B$25,ROW($A4)+5))*About!$A$27</f>
        <v>#VALUE!</v>
      </c>
      <c r="Q4" t="e" cm="1">
        <f t="array" aca="1" ref="Q4" ca="1">TREND($K4:$P4,$K$1:$P$1,Q$1)</f>
        <v>#VALUE!</v>
      </c>
      <c r="R4" t="e" cm="1">
        <f t="array" aca="1" ref="R4" ca="1">TREND($K4:$P4,$K$1:$P$1,R$1)</f>
        <v>#VALUE!</v>
      </c>
      <c r="S4" t="e" cm="1">
        <f t="array" aca="1" ref="S4" ca="1">TREND($K4:$P4,$K$1:$P$1,S$1)</f>
        <v>#VALUE!</v>
      </c>
      <c r="T4" t="e" cm="1">
        <f t="array" aca="1" ref="T4" ca="1">TREND($K4:$P4,$K$1:$P$1,T$1)</f>
        <v>#VALUE!</v>
      </c>
      <c r="U4" t="e" cm="1">
        <f t="array" aca="1" ref="U4" ca="1">TREND($K4:$P4,$K$1:$P$1,U$1)</f>
        <v>#VALUE!</v>
      </c>
      <c r="V4" t="e" cm="1">
        <f t="array" aca="1" ref="V4" ca="1">TREND($K4:$P4,$K$1:$P$1,V$1)</f>
        <v>#VALUE!</v>
      </c>
      <c r="W4" t="e" cm="1">
        <f t="array" aca="1" ref="W4" ca="1">TREND($K4:$P4,$K$1:$P$1,W$1)</f>
        <v>#VALUE!</v>
      </c>
      <c r="X4" t="e" cm="1">
        <f t="array" aca="1" ref="X4" ca="1">TREND($K4:$P4,$K$1:$P$1,X$1)</f>
        <v>#VALUE!</v>
      </c>
      <c r="Y4" t="e" cm="1">
        <f t="array" aca="1" ref="Y4" ca="1">TREND($K4:$P4,$K$1:$P$1,Y$1)</f>
        <v>#VALUE!</v>
      </c>
      <c r="Z4" t="e" cm="1">
        <f t="array" aca="1" ref="Z4" ca="1">TREND($K4:$P4,$K$1:$P$1,Z$1)</f>
        <v>#VALUE!</v>
      </c>
      <c r="AA4" t="e" cm="1">
        <f t="array" aca="1" ref="AA4" ca="1">TREND($K4:$P4,$K$1:$P$1,AA$1)</f>
        <v>#VALUE!</v>
      </c>
      <c r="AB4" t="e" cm="1">
        <f t="array" aca="1" ref="AB4" ca="1">TREND($K4:$P4,$K$1:$P$1,AB$1)</f>
        <v>#VALUE!</v>
      </c>
      <c r="AC4" t="e" cm="1">
        <f t="array" aca="1" ref="AC4" ca="1">TREND($K4:$P4,$K$1:$P$1,AC$1)</f>
        <v>#VALUE!</v>
      </c>
      <c r="AD4" t="e" cm="1">
        <f t="array" aca="1" ref="AD4" ca="1">TREND($K4:$P4,$K$1:$P$1,AD$1)</f>
        <v>#VALUE!</v>
      </c>
      <c r="AE4" t="e" cm="1">
        <f t="array" aca="1" ref="AE4" ca="1">TREND($K4:$P4,$K$1:$P$1,AE$1)</f>
        <v>#VALUE!</v>
      </c>
      <c r="AF4" t="e" cm="1">
        <f t="array" aca="1" ref="AF4" ca="1">TREND($K4:$P4,$K$1:$P$1,AF$1)</f>
        <v>#VALUE!</v>
      </c>
      <c r="AG4" t="e" cm="1">
        <f t="array" aca="1" ref="AG4" ca="1">TREND($K4:$P4,$K$1:$P$1,AG$1)</f>
        <v>#VALUE!</v>
      </c>
      <c r="AH4" t="e" cm="1">
        <f t="array" aca="1" ref="AH4" ca="1">TREND($K4:$P4,$K$1:$P$1,AH$1)</f>
        <v>#VALUE!</v>
      </c>
      <c r="AI4" t="e" cm="1">
        <f t="array" aca="1" ref="AI4" ca="1">TREND($K4:$P4,$K$1:$P$1,AI$1)</f>
        <v>#VALUE!</v>
      </c>
      <c r="AJ4" t="e" cm="1">
        <f t="array" aca="1" ref="AJ4" ca="1">TREND($K4:$P4,$K$1:$P$1,AJ$1)</f>
        <v>#VALUE!</v>
      </c>
    </row>
    <row r="5" spans="1:36">
      <c r="A5" t="s">
        <v>78</v>
      </c>
      <c r="B5" s="32" t="e" cm="1">
        <f t="array" aca="1" ref="B5" ca="1">INDIRECT(CONCATENATE("'",HLOOKUP(B$1,$B$21:$E$23,3,FALSE),"'!",$B$25,ROW($A5)+5))*About!$A$27</f>
        <v>#VALUE!</v>
      </c>
      <c r="C5" t="e">
        <f t="shared" ca="1" si="3"/>
        <v>#VALUE!</v>
      </c>
      <c r="D5" t="e">
        <f t="shared" ca="1" si="0"/>
        <v>#VALUE!</v>
      </c>
      <c r="E5" t="e">
        <f t="shared" ca="1" si="0"/>
        <v>#VALUE!</v>
      </c>
      <c r="F5" s="32" t="e" cm="1">
        <f t="array" aca="1" ref="F5" ca="1">INDIRECT(CONCATENATE("'",HLOOKUP(F$1,$B$21:$E$23,3,FALSE),"'!",$B$25,ROW($A5)+5))*About!$A$27</f>
        <v>#VALUE!</v>
      </c>
      <c r="G5" t="e">
        <f t="shared" ca="1" si="4"/>
        <v>#VALUE!</v>
      </c>
      <c r="H5" t="e">
        <f t="shared" ca="1" si="1"/>
        <v>#VALUE!</v>
      </c>
      <c r="I5" t="e">
        <f t="shared" ca="1" si="1"/>
        <v>#VALUE!</v>
      </c>
      <c r="J5" t="e">
        <f t="shared" ca="1" si="1"/>
        <v>#VALUE!</v>
      </c>
      <c r="K5" s="32" t="e" cm="1">
        <f t="array" aca="1" ref="K5" ca="1">INDIRECT(CONCATENATE("'",HLOOKUP(K$1,$B$21:$E$23,3,FALSE),"'!",$B$25,ROW($A5)+5))*About!$A$27</f>
        <v>#VALUE!</v>
      </c>
      <c r="L5" t="e">
        <f t="shared" ca="1" si="5"/>
        <v>#VALUE!</v>
      </c>
      <c r="M5" t="e">
        <f t="shared" ca="1" si="2"/>
        <v>#VALUE!</v>
      </c>
      <c r="N5" t="e">
        <f t="shared" ca="1" si="2"/>
        <v>#VALUE!</v>
      </c>
      <c r="O5" t="e">
        <f t="shared" ca="1" si="2"/>
        <v>#VALUE!</v>
      </c>
      <c r="P5" s="32" t="e" cm="1">
        <f t="array" aca="1" ref="P5" ca="1">INDIRECT(CONCATENATE("'",HLOOKUP(P$1,$B$21:$E$23,3,FALSE),"'!",$B$25,ROW($A5)+5))*About!$A$27</f>
        <v>#VALUE!</v>
      </c>
      <c r="Q5" t="e" cm="1">
        <f t="array" aca="1" ref="Q5" ca="1">TREND($K5:$P5,$K$1:$P$1,Q$1)</f>
        <v>#VALUE!</v>
      </c>
      <c r="R5" t="e" cm="1">
        <f t="array" aca="1" ref="R5" ca="1">TREND($K5:$P5,$K$1:$P$1,R$1)</f>
        <v>#VALUE!</v>
      </c>
      <c r="S5" t="e" cm="1">
        <f t="array" aca="1" ref="S5" ca="1">TREND($K5:$P5,$K$1:$P$1,S$1)</f>
        <v>#VALUE!</v>
      </c>
      <c r="T5" t="e" cm="1">
        <f t="array" aca="1" ref="T5" ca="1">TREND($K5:$P5,$K$1:$P$1,T$1)</f>
        <v>#VALUE!</v>
      </c>
      <c r="U5" t="e" cm="1">
        <f t="array" aca="1" ref="U5" ca="1">TREND($K5:$P5,$K$1:$P$1,U$1)</f>
        <v>#VALUE!</v>
      </c>
      <c r="V5" t="e" cm="1">
        <f t="array" aca="1" ref="V5" ca="1">TREND($K5:$P5,$K$1:$P$1,V$1)</f>
        <v>#VALUE!</v>
      </c>
      <c r="W5" t="e" cm="1">
        <f t="array" aca="1" ref="W5" ca="1">TREND($K5:$P5,$K$1:$P$1,W$1)</f>
        <v>#VALUE!</v>
      </c>
      <c r="X5" t="e" cm="1">
        <f t="array" aca="1" ref="X5" ca="1">TREND($K5:$P5,$K$1:$P$1,X$1)</f>
        <v>#VALUE!</v>
      </c>
      <c r="Y5" t="e" cm="1">
        <f t="array" aca="1" ref="Y5" ca="1">TREND($K5:$P5,$K$1:$P$1,Y$1)</f>
        <v>#VALUE!</v>
      </c>
      <c r="Z5" t="e" cm="1">
        <f t="array" aca="1" ref="Z5" ca="1">TREND($K5:$P5,$K$1:$P$1,Z$1)</f>
        <v>#VALUE!</v>
      </c>
      <c r="AA5" t="e" cm="1">
        <f t="array" aca="1" ref="AA5" ca="1">TREND($K5:$P5,$K$1:$P$1,AA$1)</f>
        <v>#VALUE!</v>
      </c>
      <c r="AB5" t="e" cm="1">
        <f t="array" aca="1" ref="AB5" ca="1">TREND($K5:$P5,$K$1:$P$1,AB$1)</f>
        <v>#VALUE!</v>
      </c>
      <c r="AC5" t="e" cm="1">
        <f t="array" aca="1" ref="AC5" ca="1">TREND($K5:$P5,$K$1:$P$1,AC$1)</f>
        <v>#VALUE!</v>
      </c>
      <c r="AD5" t="e" cm="1">
        <f t="array" aca="1" ref="AD5" ca="1">TREND($K5:$P5,$K$1:$P$1,AD$1)</f>
        <v>#VALUE!</v>
      </c>
      <c r="AE5" t="e" cm="1">
        <f t="array" aca="1" ref="AE5" ca="1">TREND($K5:$P5,$K$1:$P$1,AE$1)</f>
        <v>#VALUE!</v>
      </c>
      <c r="AF5" t="e" cm="1">
        <f t="array" aca="1" ref="AF5" ca="1">TREND($K5:$P5,$K$1:$P$1,AF$1)</f>
        <v>#VALUE!</v>
      </c>
      <c r="AG5" t="e" cm="1">
        <f t="array" aca="1" ref="AG5" ca="1">TREND($K5:$P5,$K$1:$P$1,AG$1)</f>
        <v>#VALUE!</v>
      </c>
      <c r="AH5" t="e" cm="1">
        <f t="array" aca="1" ref="AH5" ca="1">TREND($K5:$P5,$K$1:$P$1,AH$1)</f>
        <v>#VALUE!</v>
      </c>
      <c r="AI5" t="e" cm="1">
        <f t="array" aca="1" ref="AI5" ca="1">TREND($K5:$P5,$K$1:$P$1,AI$1)</f>
        <v>#VALUE!</v>
      </c>
      <c r="AJ5" t="e" cm="1">
        <f t="array" aca="1" ref="AJ5" ca="1">TREND($K5:$P5,$K$1:$P$1,AJ$1)</f>
        <v>#VALUE!</v>
      </c>
    </row>
    <row r="6" spans="1:36">
      <c r="A6" t="s">
        <v>79</v>
      </c>
      <c r="B6" s="32" t="e" cm="1">
        <f t="array" aca="1" ref="B6" ca="1">INDIRECT(CONCATENATE("'",HLOOKUP(B$1,$B$21:$E$23,3,FALSE),"'!",$B$25,ROW($A6)+5))*About!$A$27</f>
        <v>#VALUE!</v>
      </c>
      <c r="C6" t="e">
        <f t="shared" ca="1" si="3"/>
        <v>#VALUE!</v>
      </c>
      <c r="D6" t="e">
        <f t="shared" ca="1" si="0"/>
        <v>#VALUE!</v>
      </c>
      <c r="E6" t="e">
        <f t="shared" ca="1" si="0"/>
        <v>#VALUE!</v>
      </c>
      <c r="F6" s="32" t="e" cm="1">
        <f t="array" aca="1" ref="F6" ca="1">INDIRECT(CONCATENATE("'",HLOOKUP(F$1,$B$21:$E$23,3,FALSE),"'!",$B$25,ROW($A6)+5))*About!$A$27</f>
        <v>#VALUE!</v>
      </c>
      <c r="G6" t="e">
        <f t="shared" ca="1" si="4"/>
        <v>#VALUE!</v>
      </c>
      <c r="H6" t="e">
        <f t="shared" ca="1" si="1"/>
        <v>#VALUE!</v>
      </c>
      <c r="I6" t="e">
        <f t="shared" ca="1" si="1"/>
        <v>#VALUE!</v>
      </c>
      <c r="J6" t="e">
        <f t="shared" ca="1" si="1"/>
        <v>#VALUE!</v>
      </c>
      <c r="K6" s="32" t="e" cm="1">
        <f t="array" aca="1" ref="K6" ca="1">INDIRECT(CONCATENATE("'",HLOOKUP(K$1,$B$21:$E$23,3,FALSE),"'!",$B$25,ROW($A6)+5))*About!$A$27</f>
        <v>#VALUE!</v>
      </c>
      <c r="L6" t="e">
        <f t="shared" ca="1" si="5"/>
        <v>#VALUE!</v>
      </c>
      <c r="M6" t="e">
        <f t="shared" ca="1" si="2"/>
        <v>#VALUE!</v>
      </c>
      <c r="N6" t="e">
        <f t="shared" ca="1" si="2"/>
        <v>#VALUE!</v>
      </c>
      <c r="O6" t="e">
        <f t="shared" ca="1" si="2"/>
        <v>#VALUE!</v>
      </c>
      <c r="P6" s="32" t="e" cm="1">
        <f t="array" aca="1" ref="P6" ca="1">INDIRECT(CONCATENATE("'",HLOOKUP(P$1,$B$21:$E$23,3,FALSE),"'!",$B$25,ROW($A6)+5))*About!$A$27</f>
        <v>#VALUE!</v>
      </c>
      <c r="Q6" t="e" cm="1">
        <f t="array" aca="1" ref="Q6" ca="1">TREND($K6:$P6,$K$1:$P$1,Q$1)</f>
        <v>#VALUE!</v>
      </c>
      <c r="R6" t="e" cm="1">
        <f t="array" aca="1" ref="R6" ca="1">TREND($K6:$P6,$K$1:$P$1,R$1)</f>
        <v>#VALUE!</v>
      </c>
      <c r="S6" t="e" cm="1">
        <f t="array" aca="1" ref="S6" ca="1">TREND($K6:$P6,$K$1:$P$1,S$1)</f>
        <v>#VALUE!</v>
      </c>
      <c r="T6" t="e" cm="1">
        <f t="array" aca="1" ref="T6" ca="1">TREND($K6:$P6,$K$1:$P$1,T$1)</f>
        <v>#VALUE!</v>
      </c>
      <c r="U6" t="e" cm="1">
        <f t="array" aca="1" ref="U6" ca="1">TREND($K6:$P6,$K$1:$P$1,U$1)</f>
        <v>#VALUE!</v>
      </c>
      <c r="V6" t="e" cm="1">
        <f t="array" aca="1" ref="V6" ca="1">TREND($K6:$P6,$K$1:$P$1,V$1)</f>
        <v>#VALUE!</v>
      </c>
      <c r="W6" t="e" cm="1">
        <f t="array" aca="1" ref="W6" ca="1">TREND($K6:$P6,$K$1:$P$1,W$1)</f>
        <v>#VALUE!</v>
      </c>
      <c r="X6" t="e" cm="1">
        <f t="array" aca="1" ref="X6" ca="1">TREND($K6:$P6,$K$1:$P$1,X$1)</f>
        <v>#VALUE!</v>
      </c>
      <c r="Y6" t="e" cm="1">
        <f t="array" aca="1" ref="Y6" ca="1">TREND($K6:$P6,$K$1:$P$1,Y$1)</f>
        <v>#VALUE!</v>
      </c>
      <c r="Z6" t="e" cm="1">
        <f t="array" aca="1" ref="Z6" ca="1">TREND($K6:$P6,$K$1:$P$1,Z$1)</f>
        <v>#VALUE!</v>
      </c>
      <c r="AA6" t="e" cm="1">
        <f t="array" aca="1" ref="AA6" ca="1">TREND($K6:$P6,$K$1:$P$1,AA$1)</f>
        <v>#VALUE!</v>
      </c>
      <c r="AB6" t="e" cm="1">
        <f t="array" aca="1" ref="AB6" ca="1">TREND($K6:$P6,$K$1:$P$1,AB$1)</f>
        <v>#VALUE!</v>
      </c>
      <c r="AC6" t="e" cm="1">
        <f t="array" aca="1" ref="AC6" ca="1">TREND($K6:$P6,$K$1:$P$1,AC$1)</f>
        <v>#VALUE!</v>
      </c>
      <c r="AD6" t="e" cm="1">
        <f t="array" aca="1" ref="AD6" ca="1">TREND($K6:$P6,$K$1:$P$1,AD$1)</f>
        <v>#VALUE!</v>
      </c>
      <c r="AE6" t="e" cm="1">
        <f t="array" aca="1" ref="AE6" ca="1">TREND($K6:$P6,$K$1:$P$1,AE$1)</f>
        <v>#VALUE!</v>
      </c>
      <c r="AF6" t="e" cm="1">
        <f t="array" aca="1" ref="AF6" ca="1">TREND($K6:$P6,$K$1:$P$1,AF$1)</f>
        <v>#VALUE!</v>
      </c>
      <c r="AG6" t="e" cm="1">
        <f t="array" aca="1" ref="AG6" ca="1">TREND($K6:$P6,$K$1:$P$1,AG$1)</f>
        <v>#VALUE!</v>
      </c>
      <c r="AH6" t="e" cm="1">
        <f t="array" aca="1" ref="AH6" ca="1">TREND($K6:$P6,$K$1:$P$1,AH$1)</f>
        <v>#VALUE!</v>
      </c>
      <c r="AI6" t="e" cm="1">
        <f t="array" aca="1" ref="AI6" ca="1">TREND($K6:$P6,$K$1:$P$1,AI$1)</f>
        <v>#VALUE!</v>
      </c>
      <c r="AJ6" t="e" cm="1">
        <f t="array" aca="1" ref="AJ6" ca="1">TREND($K6:$P6,$K$1:$P$1,AJ$1)</f>
        <v>#VALUE!</v>
      </c>
    </row>
    <row r="7" spans="1:36">
      <c r="A7" t="s">
        <v>80</v>
      </c>
      <c r="B7" s="32" t="e" cm="1">
        <f t="array" aca="1" ref="B7" ca="1">INDIRECT(CONCATENATE("'",HLOOKUP(B$1,$B$21:$E$23,3,FALSE),"'!",$B$25,ROW($A7)+5))*About!$A$27</f>
        <v>#VALUE!</v>
      </c>
      <c r="C7" t="e">
        <f t="shared" ca="1" si="3"/>
        <v>#VALUE!</v>
      </c>
      <c r="D7" t="e">
        <f t="shared" ca="1" si="0"/>
        <v>#VALUE!</v>
      </c>
      <c r="E7" t="e">
        <f t="shared" ca="1" si="0"/>
        <v>#VALUE!</v>
      </c>
      <c r="F7" s="32" t="e" cm="1">
        <f t="array" aca="1" ref="F7" ca="1">INDIRECT(CONCATENATE("'",HLOOKUP(F$1,$B$21:$E$23,3,FALSE),"'!",$B$25,ROW($A7)+5))*About!$A$27</f>
        <v>#VALUE!</v>
      </c>
      <c r="G7" t="e">
        <f t="shared" ca="1" si="4"/>
        <v>#VALUE!</v>
      </c>
      <c r="H7" t="e">
        <f t="shared" ca="1" si="1"/>
        <v>#VALUE!</v>
      </c>
      <c r="I7" t="e">
        <f t="shared" ca="1" si="1"/>
        <v>#VALUE!</v>
      </c>
      <c r="J7" t="e">
        <f t="shared" ca="1" si="1"/>
        <v>#VALUE!</v>
      </c>
      <c r="K7" s="32" t="e" cm="1">
        <f t="array" aca="1" ref="K7" ca="1">INDIRECT(CONCATENATE("'",HLOOKUP(K$1,$B$21:$E$23,3,FALSE),"'!",$B$25,ROW($A7)+5))*About!$A$27</f>
        <v>#VALUE!</v>
      </c>
      <c r="L7" t="e">
        <f t="shared" ca="1" si="5"/>
        <v>#VALUE!</v>
      </c>
      <c r="M7" t="e">
        <f t="shared" ca="1" si="2"/>
        <v>#VALUE!</v>
      </c>
      <c r="N7" t="e">
        <f t="shared" ca="1" si="2"/>
        <v>#VALUE!</v>
      </c>
      <c r="O7" t="e">
        <f t="shared" ca="1" si="2"/>
        <v>#VALUE!</v>
      </c>
      <c r="P7" s="32" t="e" cm="1">
        <f t="array" aca="1" ref="P7" ca="1">INDIRECT(CONCATENATE("'",HLOOKUP(P$1,$B$21:$E$23,3,FALSE),"'!",$B$25,ROW($A7)+5))*About!$A$27</f>
        <v>#VALUE!</v>
      </c>
      <c r="Q7" t="e" cm="1">
        <f t="array" aca="1" ref="Q7" ca="1">TREND($K7:$P7,$K$1:$P$1,Q$1)</f>
        <v>#VALUE!</v>
      </c>
      <c r="R7" t="e" cm="1">
        <f t="array" aca="1" ref="R7" ca="1">TREND($K7:$P7,$K$1:$P$1,R$1)</f>
        <v>#VALUE!</v>
      </c>
      <c r="S7" t="e" cm="1">
        <f t="array" aca="1" ref="S7" ca="1">TREND($K7:$P7,$K$1:$P$1,S$1)</f>
        <v>#VALUE!</v>
      </c>
      <c r="T7" t="e" cm="1">
        <f t="array" aca="1" ref="T7" ca="1">TREND($K7:$P7,$K$1:$P$1,T$1)</f>
        <v>#VALUE!</v>
      </c>
      <c r="U7" t="e" cm="1">
        <f t="array" aca="1" ref="U7" ca="1">TREND($K7:$P7,$K$1:$P$1,U$1)</f>
        <v>#VALUE!</v>
      </c>
      <c r="V7" t="e" cm="1">
        <f t="array" aca="1" ref="V7" ca="1">TREND($K7:$P7,$K$1:$P$1,V$1)</f>
        <v>#VALUE!</v>
      </c>
      <c r="W7" t="e" cm="1">
        <f t="array" aca="1" ref="W7" ca="1">TREND($K7:$P7,$K$1:$P$1,W$1)</f>
        <v>#VALUE!</v>
      </c>
      <c r="X7" t="e" cm="1">
        <f t="array" aca="1" ref="X7" ca="1">TREND($K7:$P7,$K$1:$P$1,X$1)</f>
        <v>#VALUE!</v>
      </c>
      <c r="Y7" t="e" cm="1">
        <f t="array" aca="1" ref="Y7" ca="1">TREND($K7:$P7,$K$1:$P$1,Y$1)</f>
        <v>#VALUE!</v>
      </c>
      <c r="Z7" t="e" cm="1">
        <f t="array" aca="1" ref="Z7" ca="1">TREND($K7:$P7,$K$1:$P$1,Z$1)</f>
        <v>#VALUE!</v>
      </c>
      <c r="AA7" t="e" cm="1">
        <f t="array" aca="1" ref="AA7" ca="1">TREND($K7:$P7,$K$1:$P$1,AA$1)</f>
        <v>#VALUE!</v>
      </c>
      <c r="AB7" t="e" cm="1">
        <f t="array" aca="1" ref="AB7" ca="1">TREND($K7:$P7,$K$1:$P$1,AB$1)</f>
        <v>#VALUE!</v>
      </c>
      <c r="AC7" t="e" cm="1">
        <f t="array" aca="1" ref="AC7" ca="1">TREND($K7:$P7,$K$1:$P$1,AC$1)</f>
        <v>#VALUE!</v>
      </c>
      <c r="AD7" t="e" cm="1">
        <f t="array" aca="1" ref="AD7" ca="1">TREND($K7:$P7,$K$1:$P$1,AD$1)</f>
        <v>#VALUE!</v>
      </c>
      <c r="AE7" t="e" cm="1">
        <f t="array" aca="1" ref="AE7" ca="1">TREND($K7:$P7,$K$1:$P$1,AE$1)</f>
        <v>#VALUE!</v>
      </c>
      <c r="AF7" t="e" cm="1">
        <f t="array" aca="1" ref="AF7" ca="1">TREND($K7:$P7,$K$1:$P$1,AF$1)</f>
        <v>#VALUE!</v>
      </c>
      <c r="AG7" t="e" cm="1">
        <f t="array" aca="1" ref="AG7" ca="1">TREND($K7:$P7,$K$1:$P$1,AG$1)</f>
        <v>#VALUE!</v>
      </c>
      <c r="AH7" t="e" cm="1">
        <f t="array" aca="1" ref="AH7" ca="1">TREND($K7:$P7,$K$1:$P$1,AH$1)</f>
        <v>#VALUE!</v>
      </c>
      <c r="AI7" t="e" cm="1">
        <f t="array" aca="1" ref="AI7" ca="1">TREND($K7:$P7,$K$1:$P$1,AI$1)</f>
        <v>#VALUE!</v>
      </c>
      <c r="AJ7" t="e" cm="1">
        <f t="array" aca="1" ref="AJ7" ca="1">TREND($K7:$P7,$K$1:$P$1,AJ$1)</f>
        <v>#VALUE!</v>
      </c>
    </row>
    <row r="8" spans="1:36">
      <c r="A8" t="s">
        <v>81</v>
      </c>
      <c r="B8" s="32" t="e" cm="1">
        <f t="array" aca="1" ref="B8" ca="1">INDIRECT(CONCATENATE("'",HLOOKUP(B$1,$B$21:$E$23,3,FALSE),"'!",$B$25,ROW($A8)+5))*About!$A$27</f>
        <v>#VALUE!</v>
      </c>
      <c r="C8" t="e">
        <f t="shared" ca="1" si="3"/>
        <v>#VALUE!</v>
      </c>
      <c r="D8" t="e">
        <f t="shared" ca="1" si="0"/>
        <v>#VALUE!</v>
      </c>
      <c r="E8" t="e">
        <f t="shared" ca="1" si="0"/>
        <v>#VALUE!</v>
      </c>
      <c r="F8" s="32" t="e" cm="1">
        <f t="array" aca="1" ref="F8" ca="1">INDIRECT(CONCATENATE("'",HLOOKUP(F$1,$B$21:$E$23,3,FALSE),"'!",$B$25,ROW($A8)+5))*About!$A$27</f>
        <v>#VALUE!</v>
      </c>
      <c r="G8" t="e">
        <f t="shared" ca="1" si="4"/>
        <v>#VALUE!</v>
      </c>
      <c r="H8" t="e">
        <f t="shared" ca="1" si="1"/>
        <v>#VALUE!</v>
      </c>
      <c r="I8" t="e">
        <f t="shared" ca="1" si="1"/>
        <v>#VALUE!</v>
      </c>
      <c r="J8" t="e">
        <f t="shared" ca="1" si="1"/>
        <v>#VALUE!</v>
      </c>
      <c r="K8" s="32" t="e" cm="1">
        <f t="array" aca="1" ref="K8" ca="1">INDIRECT(CONCATENATE("'",HLOOKUP(K$1,$B$21:$E$23,3,FALSE),"'!",$B$25,ROW($A8)+5))*About!$A$27</f>
        <v>#VALUE!</v>
      </c>
      <c r="L8" t="e">
        <f t="shared" ca="1" si="5"/>
        <v>#VALUE!</v>
      </c>
      <c r="M8" t="e">
        <f t="shared" ca="1" si="2"/>
        <v>#VALUE!</v>
      </c>
      <c r="N8" t="e">
        <f t="shared" ca="1" si="2"/>
        <v>#VALUE!</v>
      </c>
      <c r="O8" t="e">
        <f t="shared" ca="1" si="2"/>
        <v>#VALUE!</v>
      </c>
      <c r="P8" s="32" t="e" cm="1">
        <f t="array" aca="1" ref="P8" ca="1">INDIRECT(CONCATENATE("'",HLOOKUP(P$1,$B$21:$E$23,3,FALSE),"'!",$B$25,ROW($A8)+5))*About!$A$27</f>
        <v>#VALUE!</v>
      </c>
      <c r="Q8" t="e" cm="1">
        <f t="array" aca="1" ref="Q8" ca="1">TREND($K8:$P8,$K$1:$P$1,Q$1)</f>
        <v>#VALUE!</v>
      </c>
      <c r="R8" t="e" cm="1">
        <f t="array" aca="1" ref="R8" ca="1">TREND($K8:$P8,$K$1:$P$1,R$1)</f>
        <v>#VALUE!</v>
      </c>
      <c r="S8" t="e" cm="1">
        <f t="array" aca="1" ref="S8" ca="1">TREND($K8:$P8,$K$1:$P$1,S$1)</f>
        <v>#VALUE!</v>
      </c>
      <c r="T8" t="e" cm="1">
        <f t="array" aca="1" ref="T8" ca="1">TREND($K8:$P8,$K$1:$P$1,T$1)</f>
        <v>#VALUE!</v>
      </c>
      <c r="U8" t="e" cm="1">
        <f t="array" aca="1" ref="U8" ca="1">TREND($K8:$P8,$K$1:$P$1,U$1)</f>
        <v>#VALUE!</v>
      </c>
      <c r="V8" t="e" cm="1">
        <f t="array" aca="1" ref="V8" ca="1">TREND($K8:$P8,$K$1:$P$1,V$1)</f>
        <v>#VALUE!</v>
      </c>
      <c r="W8" t="e" cm="1">
        <f t="array" aca="1" ref="W8" ca="1">TREND($K8:$P8,$K$1:$P$1,W$1)</f>
        <v>#VALUE!</v>
      </c>
      <c r="X8" t="e" cm="1">
        <f t="array" aca="1" ref="X8" ca="1">TREND($K8:$P8,$K$1:$P$1,X$1)</f>
        <v>#VALUE!</v>
      </c>
      <c r="Y8" t="e" cm="1">
        <f t="array" aca="1" ref="Y8" ca="1">TREND($K8:$P8,$K$1:$P$1,Y$1)</f>
        <v>#VALUE!</v>
      </c>
      <c r="Z8" t="e" cm="1">
        <f t="array" aca="1" ref="Z8" ca="1">TREND($K8:$P8,$K$1:$P$1,Z$1)</f>
        <v>#VALUE!</v>
      </c>
      <c r="AA8" t="e" cm="1">
        <f t="array" aca="1" ref="AA8" ca="1">TREND($K8:$P8,$K$1:$P$1,AA$1)</f>
        <v>#VALUE!</v>
      </c>
      <c r="AB8" t="e" cm="1">
        <f t="array" aca="1" ref="AB8" ca="1">TREND($K8:$P8,$K$1:$P$1,AB$1)</f>
        <v>#VALUE!</v>
      </c>
      <c r="AC8" t="e" cm="1">
        <f t="array" aca="1" ref="AC8" ca="1">TREND($K8:$P8,$K$1:$P$1,AC$1)</f>
        <v>#VALUE!</v>
      </c>
      <c r="AD8" t="e" cm="1">
        <f t="array" aca="1" ref="AD8" ca="1">TREND($K8:$P8,$K$1:$P$1,AD$1)</f>
        <v>#VALUE!</v>
      </c>
      <c r="AE8" t="e" cm="1">
        <f t="array" aca="1" ref="AE8" ca="1">TREND($K8:$P8,$K$1:$P$1,AE$1)</f>
        <v>#VALUE!</v>
      </c>
      <c r="AF8" t="e" cm="1">
        <f t="array" aca="1" ref="AF8" ca="1">TREND($K8:$P8,$K$1:$P$1,AF$1)</f>
        <v>#VALUE!</v>
      </c>
      <c r="AG8" t="e" cm="1">
        <f t="array" aca="1" ref="AG8" ca="1">TREND($K8:$P8,$K$1:$P$1,AG$1)</f>
        <v>#VALUE!</v>
      </c>
      <c r="AH8" t="e" cm="1">
        <f t="array" aca="1" ref="AH8" ca="1">TREND($K8:$P8,$K$1:$P$1,AH$1)</f>
        <v>#VALUE!</v>
      </c>
      <c r="AI8" t="e" cm="1">
        <f t="array" aca="1" ref="AI8" ca="1">TREND($K8:$P8,$K$1:$P$1,AI$1)</f>
        <v>#VALUE!</v>
      </c>
      <c r="AJ8" t="e" cm="1">
        <f t="array" aca="1" ref="AJ8" ca="1">TREND($K8:$P8,$K$1:$P$1,AJ$1)</f>
        <v>#VALUE!</v>
      </c>
    </row>
    <row r="9" spans="1:36">
      <c r="A9" t="s">
        <v>82</v>
      </c>
      <c r="B9" s="32" t="e" cm="1">
        <f t="array" aca="1" ref="B9" ca="1">INDIRECT(CONCATENATE("'",HLOOKUP(B$1,$B$21:$E$23,3,FALSE),"'!",$B$25,ROW($A9)+5))*About!$A$27</f>
        <v>#VALUE!</v>
      </c>
      <c r="C9" t="e">
        <f t="shared" ca="1" si="3"/>
        <v>#VALUE!</v>
      </c>
      <c r="D9" t="e">
        <f t="shared" ca="1" si="0"/>
        <v>#VALUE!</v>
      </c>
      <c r="E9" t="e">
        <f t="shared" ca="1" si="0"/>
        <v>#VALUE!</v>
      </c>
      <c r="F9" s="32" t="e" cm="1">
        <f t="array" aca="1" ref="F9" ca="1">INDIRECT(CONCATENATE("'",HLOOKUP(F$1,$B$21:$E$23,3,FALSE),"'!",$B$25,ROW($A9)+5))*About!$A$27</f>
        <v>#VALUE!</v>
      </c>
      <c r="G9" t="e">
        <f t="shared" ca="1" si="4"/>
        <v>#VALUE!</v>
      </c>
      <c r="H9" t="e">
        <f t="shared" ca="1" si="1"/>
        <v>#VALUE!</v>
      </c>
      <c r="I9" t="e">
        <f t="shared" ca="1" si="1"/>
        <v>#VALUE!</v>
      </c>
      <c r="J9" t="e">
        <f t="shared" ca="1" si="1"/>
        <v>#VALUE!</v>
      </c>
      <c r="K9" s="32" t="e" cm="1">
        <f t="array" aca="1" ref="K9" ca="1">INDIRECT(CONCATENATE("'",HLOOKUP(K$1,$B$21:$E$23,3,FALSE),"'!",$B$25,ROW($A9)+5))*About!$A$27</f>
        <v>#VALUE!</v>
      </c>
      <c r="L9" t="e">
        <f t="shared" ca="1" si="5"/>
        <v>#VALUE!</v>
      </c>
      <c r="M9" t="e">
        <f t="shared" ca="1" si="2"/>
        <v>#VALUE!</v>
      </c>
      <c r="N9" t="e">
        <f t="shared" ca="1" si="2"/>
        <v>#VALUE!</v>
      </c>
      <c r="O9" t="e">
        <f t="shared" ca="1" si="2"/>
        <v>#VALUE!</v>
      </c>
      <c r="P9" s="32" t="e" cm="1">
        <f t="array" aca="1" ref="P9" ca="1">INDIRECT(CONCATENATE("'",HLOOKUP(P$1,$B$21:$E$23,3,FALSE),"'!",$B$25,ROW($A9)+5))*About!$A$27</f>
        <v>#VALUE!</v>
      </c>
      <c r="Q9" t="e" cm="1">
        <f t="array" aca="1" ref="Q9" ca="1">TREND($K9:$P9,$K$1:$P$1,Q$1)</f>
        <v>#VALUE!</v>
      </c>
      <c r="R9" t="e" cm="1">
        <f t="array" aca="1" ref="R9" ca="1">TREND($K9:$P9,$K$1:$P$1,R$1)</f>
        <v>#VALUE!</v>
      </c>
      <c r="S9" t="e" cm="1">
        <f t="array" aca="1" ref="S9" ca="1">TREND($K9:$P9,$K$1:$P$1,S$1)</f>
        <v>#VALUE!</v>
      </c>
      <c r="T9" t="e" cm="1">
        <f t="array" aca="1" ref="T9" ca="1">TREND($K9:$P9,$K$1:$P$1,T$1)</f>
        <v>#VALUE!</v>
      </c>
      <c r="U9" t="e" cm="1">
        <f t="array" aca="1" ref="U9" ca="1">TREND($K9:$P9,$K$1:$P$1,U$1)</f>
        <v>#VALUE!</v>
      </c>
      <c r="V9" t="e" cm="1">
        <f t="array" aca="1" ref="V9" ca="1">TREND($K9:$P9,$K$1:$P$1,V$1)</f>
        <v>#VALUE!</v>
      </c>
      <c r="W9" t="e" cm="1">
        <f t="array" aca="1" ref="W9" ca="1">TREND($K9:$P9,$K$1:$P$1,W$1)</f>
        <v>#VALUE!</v>
      </c>
      <c r="X9" t="e" cm="1">
        <f t="array" aca="1" ref="X9" ca="1">TREND($K9:$P9,$K$1:$P$1,X$1)</f>
        <v>#VALUE!</v>
      </c>
      <c r="Y9" t="e" cm="1">
        <f t="array" aca="1" ref="Y9" ca="1">TREND($K9:$P9,$K$1:$P$1,Y$1)</f>
        <v>#VALUE!</v>
      </c>
      <c r="Z9" t="e" cm="1">
        <f t="array" aca="1" ref="Z9" ca="1">TREND($K9:$P9,$K$1:$P$1,Z$1)</f>
        <v>#VALUE!</v>
      </c>
      <c r="AA9" t="e" cm="1">
        <f t="array" aca="1" ref="AA9" ca="1">TREND($K9:$P9,$K$1:$P$1,AA$1)</f>
        <v>#VALUE!</v>
      </c>
      <c r="AB9" t="e" cm="1">
        <f t="array" aca="1" ref="AB9" ca="1">TREND($K9:$P9,$K$1:$P$1,AB$1)</f>
        <v>#VALUE!</v>
      </c>
      <c r="AC9" t="e" cm="1">
        <f t="array" aca="1" ref="AC9" ca="1">TREND($K9:$P9,$K$1:$P$1,AC$1)</f>
        <v>#VALUE!</v>
      </c>
      <c r="AD9" t="e" cm="1">
        <f t="array" aca="1" ref="AD9" ca="1">TREND($K9:$P9,$K$1:$P$1,AD$1)</f>
        <v>#VALUE!</v>
      </c>
      <c r="AE9" t="e" cm="1">
        <f t="array" aca="1" ref="AE9" ca="1">TREND($K9:$P9,$K$1:$P$1,AE$1)</f>
        <v>#VALUE!</v>
      </c>
      <c r="AF9" t="e" cm="1">
        <f t="array" aca="1" ref="AF9" ca="1">TREND($K9:$P9,$K$1:$P$1,AF$1)</f>
        <v>#VALUE!</v>
      </c>
      <c r="AG9" t="e" cm="1">
        <f t="array" aca="1" ref="AG9" ca="1">TREND($K9:$P9,$K$1:$P$1,AG$1)</f>
        <v>#VALUE!</v>
      </c>
      <c r="AH9" t="e" cm="1">
        <f t="array" aca="1" ref="AH9" ca="1">TREND($K9:$P9,$K$1:$P$1,AH$1)</f>
        <v>#VALUE!</v>
      </c>
      <c r="AI9" t="e" cm="1">
        <f t="array" aca="1" ref="AI9" ca="1">TREND($K9:$P9,$K$1:$P$1,AI$1)</f>
        <v>#VALUE!</v>
      </c>
      <c r="AJ9" t="e" cm="1">
        <f t="array" aca="1" ref="AJ9" ca="1">TREND($K9:$P9,$K$1:$P$1,AJ$1)</f>
        <v>#VALUE!</v>
      </c>
    </row>
    <row r="10" spans="1:36">
      <c r="A10" t="s">
        <v>83</v>
      </c>
      <c r="B10" s="32" t="e" cm="1">
        <f t="array" aca="1" ref="B10" ca="1">INDIRECT(CONCATENATE("'",HLOOKUP(B$1,$B$21:$E$23,3,FALSE),"'!",$B$25,ROW($A10)+5))*About!$A$27</f>
        <v>#VALUE!</v>
      </c>
      <c r="C10" t="e">
        <f t="shared" ca="1" si="3"/>
        <v>#VALUE!</v>
      </c>
      <c r="D10" t="e">
        <f t="shared" ca="1" si="0"/>
        <v>#VALUE!</v>
      </c>
      <c r="E10" t="e">
        <f t="shared" ca="1" si="0"/>
        <v>#VALUE!</v>
      </c>
      <c r="F10" s="32" t="e" cm="1">
        <f t="array" aca="1" ref="F10" ca="1">INDIRECT(CONCATENATE("'",HLOOKUP(F$1,$B$21:$E$23,3,FALSE),"'!",$B$25,ROW($A10)+5))*About!$A$27</f>
        <v>#VALUE!</v>
      </c>
      <c r="G10" t="e">
        <f t="shared" ca="1" si="4"/>
        <v>#VALUE!</v>
      </c>
      <c r="H10" t="e">
        <f t="shared" ca="1" si="1"/>
        <v>#VALUE!</v>
      </c>
      <c r="I10" t="e">
        <f t="shared" ca="1" si="1"/>
        <v>#VALUE!</v>
      </c>
      <c r="J10" t="e">
        <f t="shared" ca="1" si="1"/>
        <v>#VALUE!</v>
      </c>
      <c r="K10" s="32" t="e" cm="1">
        <f t="array" aca="1" ref="K10" ca="1">INDIRECT(CONCATENATE("'",HLOOKUP(K$1,$B$21:$E$23,3,FALSE),"'!",$B$25,ROW($A10)+5))*About!$A$27</f>
        <v>#VALUE!</v>
      </c>
      <c r="L10" t="e">
        <f t="shared" ca="1" si="5"/>
        <v>#VALUE!</v>
      </c>
      <c r="M10" t="e">
        <f t="shared" ca="1" si="2"/>
        <v>#VALUE!</v>
      </c>
      <c r="N10" t="e">
        <f t="shared" ca="1" si="2"/>
        <v>#VALUE!</v>
      </c>
      <c r="O10" t="e">
        <f t="shared" ca="1" si="2"/>
        <v>#VALUE!</v>
      </c>
      <c r="P10" s="32" t="e" cm="1">
        <f t="array" aca="1" ref="P10" ca="1">INDIRECT(CONCATENATE("'",HLOOKUP(P$1,$B$21:$E$23,3,FALSE),"'!",$B$25,ROW($A10)+5))*About!$A$27</f>
        <v>#VALUE!</v>
      </c>
      <c r="Q10" t="e" cm="1">
        <f t="array" aca="1" ref="Q10" ca="1">TREND($K10:$P10,$K$1:$P$1,Q$1)</f>
        <v>#VALUE!</v>
      </c>
      <c r="R10" t="e" cm="1">
        <f t="array" aca="1" ref="R10" ca="1">TREND($K10:$P10,$K$1:$P$1,R$1)</f>
        <v>#VALUE!</v>
      </c>
      <c r="S10" t="e" cm="1">
        <f t="array" aca="1" ref="S10" ca="1">TREND($K10:$P10,$K$1:$P$1,S$1)</f>
        <v>#VALUE!</v>
      </c>
      <c r="T10" t="e" cm="1">
        <f t="array" aca="1" ref="T10" ca="1">TREND($K10:$P10,$K$1:$P$1,T$1)</f>
        <v>#VALUE!</v>
      </c>
      <c r="U10" t="e" cm="1">
        <f t="array" aca="1" ref="U10" ca="1">TREND($K10:$P10,$K$1:$P$1,U$1)</f>
        <v>#VALUE!</v>
      </c>
      <c r="V10" t="e" cm="1">
        <f t="array" aca="1" ref="V10" ca="1">TREND($K10:$P10,$K$1:$P$1,V$1)</f>
        <v>#VALUE!</v>
      </c>
      <c r="W10" t="e" cm="1">
        <f t="array" aca="1" ref="W10" ca="1">TREND($K10:$P10,$K$1:$P$1,W$1)</f>
        <v>#VALUE!</v>
      </c>
      <c r="X10" t="e" cm="1">
        <f t="array" aca="1" ref="X10" ca="1">TREND($K10:$P10,$K$1:$P$1,X$1)</f>
        <v>#VALUE!</v>
      </c>
      <c r="Y10" t="e" cm="1">
        <f t="array" aca="1" ref="Y10" ca="1">TREND($K10:$P10,$K$1:$P$1,Y$1)</f>
        <v>#VALUE!</v>
      </c>
      <c r="Z10" t="e" cm="1">
        <f t="array" aca="1" ref="Z10" ca="1">TREND($K10:$P10,$K$1:$P$1,Z$1)</f>
        <v>#VALUE!</v>
      </c>
      <c r="AA10" t="e" cm="1">
        <f t="array" aca="1" ref="AA10" ca="1">TREND($K10:$P10,$K$1:$P$1,AA$1)</f>
        <v>#VALUE!</v>
      </c>
      <c r="AB10" t="e" cm="1">
        <f t="array" aca="1" ref="AB10" ca="1">TREND($K10:$P10,$K$1:$P$1,AB$1)</f>
        <v>#VALUE!</v>
      </c>
      <c r="AC10" t="e" cm="1">
        <f t="array" aca="1" ref="AC10" ca="1">TREND($K10:$P10,$K$1:$P$1,AC$1)</f>
        <v>#VALUE!</v>
      </c>
      <c r="AD10" t="e" cm="1">
        <f t="array" aca="1" ref="AD10" ca="1">TREND($K10:$P10,$K$1:$P$1,AD$1)</f>
        <v>#VALUE!</v>
      </c>
      <c r="AE10" t="e" cm="1">
        <f t="array" aca="1" ref="AE10" ca="1">TREND($K10:$P10,$K$1:$P$1,AE$1)</f>
        <v>#VALUE!</v>
      </c>
      <c r="AF10" t="e" cm="1">
        <f t="array" aca="1" ref="AF10" ca="1">TREND($K10:$P10,$K$1:$P$1,AF$1)</f>
        <v>#VALUE!</v>
      </c>
      <c r="AG10" t="e" cm="1">
        <f t="array" aca="1" ref="AG10" ca="1">TREND($K10:$P10,$K$1:$P$1,AG$1)</f>
        <v>#VALUE!</v>
      </c>
      <c r="AH10" t="e" cm="1">
        <f t="array" aca="1" ref="AH10" ca="1">TREND($K10:$P10,$K$1:$P$1,AH$1)</f>
        <v>#VALUE!</v>
      </c>
      <c r="AI10" t="e" cm="1">
        <f t="array" aca="1" ref="AI10" ca="1">TREND($K10:$P10,$K$1:$P$1,AI$1)</f>
        <v>#VALUE!</v>
      </c>
      <c r="AJ10" t="e" cm="1">
        <f t="array" aca="1" ref="AJ10" ca="1">TREND($K10:$P10,$K$1:$P$1,AJ$1)</f>
        <v>#VALUE!</v>
      </c>
    </row>
    <row r="11" spans="1:36">
      <c r="A11" t="s">
        <v>84</v>
      </c>
      <c r="B11" s="32" t="e" cm="1">
        <f t="array" aca="1" ref="B11" ca="1">INDIRECT(CONCATENATE("'",HLOOKUP(B$1,$B$21:$E$23,3,FALSE),"'!",$B$25,ROW($A11)+5))*About!$A$27</f>
        <v>#VALUE!</v>
      </c>
      <c r="C11" t="e">
        <f t="shared" ca="1" si="3"/>
        <v>#VALUE!</v>
      </c>
      <c r="D11" t="e">
        <f t="shared" ca="1" si="0"/>
        <v>#VALUE!</v>
      </c>
      <c r="E11" t="e">
        <f t="shared" ca="1" si="0"/>
        <v>#VALUE!</v>
      </c>
      <c r="F11" s="32" t="e" cm="1">
        <f t="array" aca="1" ref="F11" ca="1">INDIRECT(CONCATENATE("'",HLOOKUP(F$1,$B$21:$E$23,3,FALSE),"'!",$B$25,ROW($A11)+5))*About!$A$27</f>
        <v>#VALUE!</v>
      </c>
      <c r="G11" t="e">
        <f t="shared" ca="1" si="4"/>
        <v>#VALUE!</v>
      </c>
      <c r="H11" t="e">
        <f t="shared" ca="1" si="1"/>
        <v>#VALUE!</v>
      </c>
      <c r="I11" t="e">
        <f t="shared" ca="1" si="1"/>
        <v>#VALUE!</v>
      </c>
      <c r="J11" t="e">
        <f t="shared" ca="1" si="1"/>
        <v>#VALUE!</v>
      </c>
      <c r="K11" s="32" t="e" cm="1">
        <f t="array" aca="1" ref="K11" ca="1">INDIRECT(CONCATENATE("'",HLOOKUP(K$1,$B$21:$E$23,3,FALSE),"'!",$B$25,ROW($A11)+5))*About!$A$27</f>
        <v>#VALUE!</v>
      </c>
      <c r="L11" t="e">
        <f t="shared" ca="1" si="5"/>
        <v>#VALUE!</v>
      </c>
      <c r="M11" t="e">
        <f t="shared" ca="1" si="2"/>
        <v>#VALUE!</v>
      </c>
      <c r="N11" t="e">
        <f t="shared" ca="1" si="2"/>
        <v>#VALUE!</v>
      </c>
      <c r="O11" t="e">
        <f t="shared" ca="1" si="2"/>
        <v>#VALUE!</v>
      </c>
      <c r="P11" s="32" t="e" cm="1">
        <f t="array" aca="1" ref="P11" ca="1">INDIRECT(CONCATENATE("'",HLOOKUP(P$1,$B$21:$E$23,3,FALSE),"'!",$B$25,ROW($A11)+5))*About!$A$27</f>
        <v>#VALUE!</v>
      </c>
      <c r="Q11" t="e" cm="1">
        <f t="array" aca="1" ref="Q11" ca="1">TREND($K11:$P11,$K$1:$P$1,Q$1)</f>
        <v>#VALUE!</v>
      </c>
      <c r="R11" t="e" cm="1">
        <f t="array" aca="1" ref="R11" ca="1">TREND($K11:$P11,$K$1:$P$1,R$1)</f>
        <v>#VALUE!</v>
      </c>
      <c r="S11" t="e" cm="1">
        <f t="array" aca="1" ref="S11" ca="1">TREND($K11:$P11,$K$1:$P$1,S$1)</f>
        <v>#VALUE!</v>
      </c>
      <c r="T11" t="e" cm="1">
        <f t="array" aca="1" ref="T11" ca="1">TREND($K11:$P11,$K$1:$P$1,T$1)</f>
        <v>#VALUE!</v>
      </c>
      <c r="U11" t="e" cm="1">
        <f t="array" aca="1" ref="U11" ca="1">TREND($K11:$P11,$K$1:$P$1,U$1)</f>
        <v>#VALUE!</v>
      </c>
      <c r="V11" t="e" cm="1">
        <f t="array" aca="1" ref="V11" ca="1">TREND($K11:$P11,$K$1:$P$1,V$1)</f>
        <v>#VALUE!</v>
      </c>
      <c r="W11" t="e" cm="1">
        <f t="array" aca="1" ref="W11" ca="1">TREND($K11:$P11,$K$1:$P$1,W$1)</f>
        <v>#VALUE!</v>
      </c>
      <c r="X11" t="e" cm="1">
        <f t="array" aca="1" ref="X11" ca="1">TREND($K11:$P11,$K$1:$P$1,X$1)</f>
        <v>#VALUE!</v>
      </c>
      <c r="Y11" t="e" cm="1">
        <f t="array" aca="1" ref="Y11" ca="1">TREND($K11:$P11,$K$1:$P$1,Y$1)</f>
        <v>#VALUE!</v>
      </c>
      <c r="Z11" t="e" cm="1">
        <f t="array" aca="1" ref="Z11" ca="1">TREND($K11:$P11,$K$1:$P$1,Z$1)</f>
        <v>#VALUE!</v>
      </c>
      <c r="AA11" t="e" cm="1">
        <f t="array" aca="1" ref="AA11" ca="1">TREND($K11:$P11,$K$1:$P$1,AA$1)</f>
        <v>#VALUE!</v>
      </c>
      <c r="AB11" t="e" cm="1">
        <f t="array" aca="1" ref="AB11" ca="1">TREND($K11:$P11,$K$1:$P$1,AB$1)</f>
        <v>#VALUE!</v>
      </c>
      <c r="AC11" t="e" cm="1">
        <f t="array" aca="1" ref="AC11" ca="1">TREND($K11:$P11,$K$1:$P$1,AC$1)</f>
        <v>#VALUE!</v>
      </c>
      <c r="AD11" t="e" cm="1">
        <f t="array" aca="1" ref="AD11" ca="1">TREND($K11:$P11,$K$1:$P$1,AD$1)</f>
        <v>#VALUE!</v>
      </c>
      <c r="AE11" t="e" cm="1">
        <f t="array" aca="1" ref="AE11" ca="1">TREND($K11:$P11,$K$1:$P$1,AE$1)</f>
        <v>#VALUE!</v>
      </c>
      <c r="AF11" t="e" cm="1">
        <f t="array" aca="1" ref="AF11" ca="1">TREND($K11:$P11,$K$1:$P$1,AF$1)</f>
        <v>#VALUE!</v>
      </c>
      <c r="AG11" t="e" cm="1">
        <f t="array" aca="1" ref="AG11" ca="1">TREND($K11:$P11,$K$1:$P$1,AG$1)</f>
        <v>#VALUE!</v>
      </c>
      <c r="AH11" t="e" cm="1">
        <f t="array" aca="1" ref="AH11" ca="1">TREND($K11:$P11,$K$1:$P$1,AH$1)</f>
        <v>#VALUE!</v>
      </c>
      <c r="AI11" t="e" cm="1">
        <f t="array" aca="1" ref="AI11" ca="1">TREND($K11:$P11,$K$1:$P$1,AI$1)</f>
        <v>#VALUE!</v>
      </c>
      <c r="AJ11" t="e" cm="1">
        <f t="array" aca="1" ref="AJ11" ca="1">TREND($K11:$P11,$K$1:$P$1,AJ$1)</f>
        <v>#VALUE!</v>
      </c>
    </row>
    <row r="12" spans="1:36">
      <c r="A12" t="s">
        <v>85</v>
      </c>
      <c r="B12" s="33" t="e">
        <f ca="1">SUM(INDIRECT(CONCATENATE("'",HLOOKUP(B$1,$B$21:$E$23,3,FALSE),"'!",$B$25,ROW($A12)+5,":",$B$25,ROW($A12)+6)))*About!$A$27</f>
        <v>#VALUE!</v>
      </c>
      <c r="C12" t="e">
        <f t="shared" ca="1" si="3"/>
        <v>#VALUE!</v>
      </c>
      <c r="D12" t="e">
        <f t="shared" ca="1" si="0"/>
        <v>#VALUE!</v>
      </c>
      <c r="E12" t="e">
        <f t="shared" ca="1" si="0"/>
        <v>#VALUE!</v>
      </c>
      <c r="F12" s="33" t="e">
        <f ca="1">SUM(INDIRECT(CONCATENATE("'",HLOOKUP(F$1,$B$21:$E$23,3,FALSE),"'!",$B$25,ROW($A12)+5,":",$B$25,ROW($A12)+6)))*About!$A$27</f>
        <v>#VALUE!</v>
      </c>
      <c r="G12" t="e">
        <f t="shared" ca="1" si="4"/>
        <v>#VALUE!</v>
      </c>
      <c r="H12" t="e">
        <f t="shared" ca="1" si="1"/>
        <v>#VALUE!</v>
      </c>
      <c r="I12" t="e">
        <f t="shared" ca="1" si="1"/>
        <v>#VALUE!</v>
      </c>
      <c r="J12" t="e">
        <f t="shared" ca="1" si="1"/>
        <v>#VALUE!</v>
      </c>
      <c r="K12" s="33" t="e">
        <f ca="1">SUM(INDIRECT(CONCATENATE("'",HLOOKUP(K$1,$B$21:$E$23,3,FALSE),"'!",$B$25,ROW($A12)+5,":",$B$25,ROW($A12)+6)))*About!$A$27</f>
        <v>#VALUE!</v>
      </c>
      <c r="L12" t="e">
        <f t="shared" ca="1" si="5"/>
        <v>#VALUE!</v>
      </c>
      <c r="M12" t="e">
        <f t="shared" ca="1" si="2"/>
        <v>#VALUE!</v>
      </c>
      <c r="N12" t="e">
        <f t="shared" ca="1" si="2"/>
        <v>#VALUE!</v>
      </c>
      <c r="O12" t="e">
        <f t="shared" ca="1" si="2"/>
        <v>#VALUE!</v>
      </c>
      <c r="P12" s="33" t="e">
        <f ca="1">SUM(INDIRECT(CONCATENATE("'",HLOOKUP(P$1,$B$21:$E$23,3,FALSE),"'!",$B$25,ROW($A12)+5,":",$B$25,ROW($A12)+6)))*About!$A$27</f>
        <v>#VALUE!</v>
      </c>
      <c r="Q12" t="e" cm="1">
        <f t="array" aca="1" ref="Q12" ca="1">TREND($K12:$P12,$K$1:$P$1,Q$1)</f>
        <v>#VALUE!</v>
      </c>
      <c r="R12" t="e" cm="1">
        <f t="array" aca="1" ref="R12" ca="1">TREND($K12:$P12,$K$1:$P$1,R$1)</f>
        <v>#VALUE!</v>
      </c>
      <c r="S12" t="e" cm="1">
        <f t="array" aca="1" ref="S12" ca="1">TREND($K12:$P12,$K$1:$P$1,S$1)</f>
        <v>#VALUE!</v>
      </c>
      <c r="T12" t="e" cm="1">
        <f t="array" aca="1" ref="T12" ca="1">TREND($K12:$P12,$K$1:$P$1,T$1)</f>
        <v>#VALUE!</v>
      </c>
      <c r="U12" t="e" cm="1">
        <f t="array" aca="1" ref="U12" ca="1">TREND($K12:$P12,$K$1:$P$1,U$1)</f>
        <v>#VALUE!</v>
      </c>
      <c r="V12" t="e" cm="1">
        <f t="array" aca="1" ref="V12" ca="1">TREND($K12:$P12,$K$1:$P$1,V$1)</f>
        <v>#VALUE!</v>
      </c>
      <c r="W12" t="e" cm="1">
        <f t="array" aca="1" ref="W12" ca="1">TREND($K12:$P12,$K$1:$P$1,W$1)</f>
        <v>#VALUE!</v>
      </c>
      <c r="X12" t="e" cm="1">
        <f t="array" aca="1" ref="X12" ca="1">TREND($K12:$P12,$K$1:$P$1,X$1)</f>
        <v>#VALUE!</v>
      </c>
      <c r="Y12" t="e" cm="1">
        <f t="array" aca="1" ref="Y12" ca="1">TREND($K12:$P12,$K$1:$P$1,Y$1)</f>
        <v>#VALUE!</v>
      </c>
      <c r="Z12" t="e" cm="1">
        <f t="array" aca="1" ref="Z12" ca="1">TREND($K12:$P12,$K$1:$P$1,Z$1)</f>
        <v>#VALUE!</v>
      </c>
      <c r="AA12" t="e" cm="1">
        <f t="array" aca="1" ref="AA12" ca="1">TREND($K12:$P12,$K$1:$P$1,AA$1)</f>
        <v>#VALUE!</v>
      </c>
      <c r="AB12" t="e" cm="1">
        <f t="array" aca="1" ref="AB12" ca="1">TREND($K12:$P12,$K$1:$P$1,AB$1)</f>
        <v>#VALUE!</v>
      </c>
      <c r="AC12" t="e" cm="1">
        <f t="array" aca="1" ref="AC12" ca="1">TREND($K12:$P12,$K$1:$P$1,AC$1)</f>
        <v>#VALUE!</v>
      </c>
      <c r="AD12" t="e" cm="1">
        <f t="array" aca="1" ref="AD12" ca="1">TREND($K12:$P12,$K$1:$P$1,AD$1)</f>
        <v>#VALUE!</v>
      </c>
      <c r="AE12" t="e" cm="1">
        <f t="array" aca="1" ref="AE12" ca="1">TREND($K12:$P12,$K$1:$P$1,AE$1)</f>
        <v>#VALUE!</v>
      </c>
      <c r="AF12" t="e" cm="1">
        <f t="array" aca="1" ref="AF12" ca="1">TREND($K12:$P12,$K$1:$P$1,AF$1)</f>
        <v>#VALUE!</v>
      </c>
      <c r="AG12" t="e" cm="1">
        <f t="array" aca="1" ref="AG12" ca="1">TREND($K12:$P12,$K$1:$P$1,AG$1)</f>
        <v>#VALUE!</v>
      </c>
      <c r="AH12" t="e" cm="1">
        <f t="array" aca="1" ref="AH12" ca="1">TREND($K12:$P12,$K$1:$P$1,AH$1)</f>
        <v>#VALUE!</v>
      </c>
      <c r="AI12" t="e" cm="1">
        <f t="array" aca="1" ref="AI12" ca="1">TREND($K12:$P12,$K$1:$P$1,AI$1)</f>
        <v>#VALUE!</v>
      </c>
      <c r="AJ12" t="e" cm="1">
        <f t="array" aca="1" ref="AJ12" ca="1">TREND($K12:$P12,$K$1:$P$1,AJ$1)</f>
        <v>#VALUE!</v>
      </c>
    </row>
    <row r="16" spans="1:36">
      <c r="A16" s="20" t="s">
        <v>86</v>
      </c>
      <c r="B16" s="21"/>
      <c r="C16" s="21"/>
      <c r="D16" s="21"/>
    </row>
    <row r="17" spans="1:5">
      <c r="A17" t="s">
        <v>87</v>
      </c>
      <c r="B17" t="e" cm="1">
        <f t="array" aca="1" ref="B17" ca="1">MID(CELL("filename",A17),FIND("]",CELL("filename",A17))+1,255)</f>
        <v>#VALUE!</v>
      </c>
    </row>
    <row r="18" spans="1:5">
      <c r="A18" t="s">
        <v>88</v>
      </c>
      <c r="B18" t="e">
        <f ca="1">RIGHT(B17,LEN(B17)-7)</f>
        <v>#VALUE!</v>
      </c>
    </row>
    <row r="19" spans="1:5">
      <c r="A19" t="s">
        <v>89</v>
      </c>
      <c r="B19" t="e">
        <f ca="1">LEFT(B18,FIND("-",B18)-1)</f>
        <v>#VALUE!</v>
      </c>
    </row>
    <row r="20" spans="1:5">
      <c r="A20" t="s">
        <v>90</v>
      </c>
      <c r="B20" t="e">
        <f ca="1">VLOOKUP($B$19,Mappings!$A$22:$B$26,COLUMN(Mappings!$B$21),FALSE)</f>
        <v>#VALUE!</v>
      </c>
    </row>
    <row r="21" spans="1:5">
      <c r="A21" s="23"/>
      <c r="B21" s="24">
        <v>2016</v>
      </c>
      <c r="C21" s="24">
        <v>2020</v>
      </c>
      <c r="D21" s="24">
        <v>2025</v>
      </c>
      <c r="E21" s="25">
        <v>2030</v>
      </c>
    </row>
    <row r="22" spans="1:5">
      <c r="A22" s="26" t="s">
        <v>91</v>
      </c>
      <c r="B22" s="2" t="e">
        <f ca="1">VLOOKUP($B$20,Mappings!$A$3:$E$19,COLUMN(Mappings!B$2),FALSE)</f>
        <v>#VALUE!</v>
      </c>
      <c r="C22" s="2" t="e">
        <f ca="1">VLOOKUP($B$20,Mappings!$A$3:$E$19,COLUMN(Mappings!C$2),FALSE)</f>
        <v>#VALUE!</v>
      </c>
      <c r="D22" s="2" t="e">
        <f ca="1">VLOOKUP($B$20,Mappings!$A$3:$E$19,COLUMN(Mappings!D$2),FALSE)</f>
        <v>#VALUE!</v>
      </c>
      <c r="E22" s="27" t="e">
        <f ca="1">VLOOKUP($B$20,Mappings!$A$3:$E$19,COLUMN(Mappings!E$2),FALSE)</f>
        <v>#VALUE!</v>
      </c>
    </row>
    <row r="23" spans="1:5">
      <c r="A23" s="28" t="s">
        <v>87</v>
      </c>
      <c r="B23" s="29" t="e">
        <f ca="1">CONCATENATE("Table ",B22)</f>
        <v>#VALUE!</v>
      </c>
      <c r="C23" s="29" t="e">
        <f ca="1">CONCATENATE("Table ",C22)</f>
        <v>#VALUE!</v>
      </c>
      <c r="D23" s="29" t="e">
        <f ca="1">CONCATENATE("Table ",D22)</f>
        <v>#VALUE!</v>
      </c>
      <c r="E23" s="30" t="e">
        <f ca="1">CONCATENATE("Table ",E22)</f>
        <v>#VALUE!</v>
      </c>
    </row>
    <row r="24" spans="1:5">
      <c r="A24" t="s">
        <v>92</v>
      </c>
      <c r="B24" t="e">
        <f ca="1">REPLACE(B18,1,FIND("-",B18),"")</f>
        <v>#VALUE!</v>
      </c>
    </row>
    <row r="25" spans="1:5">
      <c r="A25" t="s">
        <v>93</v>
      </c>
      <c r="B25" s="2" t="e">
        <f ca="1">VLOOKUP($B$24,Mappings!$A$29:$B$31,COLUMN(Mappings!$B$29),FALSE)</f>
        <v>#VALUE!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7D52-2153-4372-8003-C9721898629A}">
  <sheetPr>
    <tabColor theme="4" tint="-0.249977111117893"/>
  </sheetPr>
  <dimension ref="A1:AJ25"/>
  <sheetViews>
    <sheetView workbookViewId="0"/>
  </sheetViews>
  <sheetFormatPr defaultColWidth="8.7109375" defaultRowHeight="14.45"/>
  <cols>
    <col min="1" max="1" width="33.7109375" customWidth="1"/>
  </cols>
  <sheetData>
    <row r="1" spans="1:36" s="1" customFormat="1">
      <c r="A1" s="22" t="s">
        <v>74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>
      <c r="A2" t="s">
        <v>75</v>
      </c>
      <c r="B2" s="31" t="e" cm="1">
        <f t="array" aca="1" ref="B2" ca="1">INDIRECT(CONCATENATE("'",HLOOKUP(B$1,$B$21:$E$23,3,FALSE),"'!",$B$25,ROW($A2)+3))*About!$A$27</f>
        <v>#VALUE!</v>
      </c>
      <c r="C2" t="e">
        <f ca="1">$B2+($F2-$B2)*(C$1-$B$1)/($F$1-$B$1)</f>
        <v>#VALUE!</v>
      </c>
      <c r="D2" t="e">
        <f t="shared" ref="D2:E12" ca="1" si="0">$B2+($F2-$B2)*(D$1-$B$1)/($F$1-$B$1)</f>
        <v>#VALUE!</v>
      </c>
      <c r="E2" t="e">
        <f t="shared" ca="1" si="0"/>
        <v>#VALUE!</v>
      </c>
      <c r="F2" s="31" t="e" cm="1">
        <f t="array" aca="1" ref="F2" ca="1">INDIRECT(CONCATENATE("'",HLOOKUP(F$1,$B$21:$E$23,3,FALSE),"'!",$B$25,ROW($A2)+3))*About!$A$27</f>
        <v>#VALUE!</v>
      </c>
      <c r="G2" t="e">
        <f ca="1">$F2+($K2-$F2)*(G$1-$F$1)/($K$1-$F$1)</f>
        <v>#VALUE!</v>
      </c>
      <c r="H2" t="e">
        <f t="shared" ref="H2:J12" ca="1" si="1">$F2+($K2-$F2)*(H$1-$F$1)/($K$1-$F$1)</f>
        <v>#VALUE!</v>
      </c>
      <c r="I2" t="e">
        <f t="shared" ca="1" si="1"/>
        <v>#VALUE!</v>
      </c>
      <c r="J2" t="e">
        <f t="shared" ca="1" si="1"/>
        <v>#VALUE!</v>
      </c>
      <c r="K2" s="31" t="e" cm="1">
        <f t="array" aca="1" ref="K2" ca="1">INDIRECT(CONCATENATE("'",HLOOKUP(K$1,$B$21:$E$23,3,FALSE),"'!",$B$25,ROW($A2)+3))*About!$A$27</f>
        <v>#VALUE!</v>
      </c>
      <c r="L2" t="e">
        <f ca="1">$K2+($P2-$K2)*(L$1-$K$1)/($P$1-$K$1)</f>
        <v>#VALUE!</v>
      </c>
      <c r="M2" t="e">
        <f t="shared" ref="M2:O12" ca="1" si="2">$K2+($P2-$K2)*(M$1-$K$1)/($P$1-$K$1)</f>
        <v>#VALUE!</v>
      </c>
      <c r="N2" t="e">
        <f t="shared" ca="1" si="2"/>
        <v>#VALUE!</v>
      </c>
      <c r="O2" t="e">
        <f t="shared" ca="1" si="2"/>
        <v>#VALUE!</v>
      </c>
      <c r="P2" s="31" t="e" cm="1">
        <f t="array" aca="1" ref="P2" ca="1">INDIRECT(CONCATENATE("'",HLOOKUP(P$1,$B$21:$E$23,3,FALSE),"'!",$B$25,ROW($A2)+3))*About!$A$27</f>
        <v>#VALUE!</v>
      </c>
      <c r="Q2" t="e" cm="1">
        <f t="array" aca="1" ref="Q2" ca="1">TREND($K2:$P2,$K$1:$P$1,Q$1)</f>
        <v>#VALUE!</v>
      </c>
      <c r="R2" t="e" cm="1">
        <f t="array" aca="1" ref="R2" ca="1">TREND($K2:$P2,$K$1:$P$1,R$1)</f>
        <v>#VALUE!</v>
      </c>
      <c r="S2" t="e" cm="1">
        <f t="array" aca="1" ref="S2" ca="1">TREND($K2:$P2,$K$1:$P$1,S$1)</f>
        <v>#VALUE!</v>
      </c>
      <c r="T2" t="e" cm="1">
        <f t="array" aca="1" ref="T2" ca="1">TREND($K2:$P2,$K$1:$P$1,T$1)</f>
        <v>#VALUE!</v>
      </c>
      <c r="U2" t="e" cm="1">
        <f t="array" aca="1" ref="U2" ca="1">TREND($K2:$P2,$K$1:$P$1,U$1)</f>
        <v>#VALUE!</v>
      </c>
      <c r="V2" t="e" cm="1">
        <f t="array" aca="1" ref="V2" ca="1">TREND($K2:$P2,$K$1:$P$1,V$1)</f>
        <v>#VALUE!</v>
      </c>
      <c r="W2" t="e" cm="1">
        <f t="array" aca="1" ref="W2" ca="1">TREND($K2:$P2,$K$1:$P$1,W$1)</f>
        <v>#VALUE!</v>
      </c>
      <c r="X2" t="e" cm="1">
        <f t="array" aca="1" ref="X2" ca="1">TREND($K2:$P2,$K$1:$P$1,X$1)</f>
        <v>#VALUE!</v>
      </c>
      <c r="Y2" t="e" cm="1">
        <f t="array" aca="1" ref="Y2" ca="1">TREND($K2:$P2,$K$1:$P$1,Y$1)</f>
        <v>#VALUE!</v>
      </c>
      <c r="Z2" t="e" cm="1">
        <f t="array" aca="1" ref="Z2" ca="1">TREND($K2:$P2,$K$1:$P$1,Z$1)</f>
        <v>#VALUE!</v>
      </c>
      <c r="AA2" t="e" cm="1">
        <f t="array" aca="1" ref="AA2" ca="1">TREND($K2:$P2,$K$1:$P$1,AA$1)</f>
        <v>#VALUE!</v>
      </c>
      <c r="AB2" t="e" cm="1">
        <f t="array" aca="1" ref="AB2" ca="1">TREND($K2:$P2,$K$1:$P$1,AB$1)</f>
        <v>#VALUE!</v>
      </c>
      <c r="AC2" t="e" cm="1">
        <f t="array" aca="1" ref="AC2" ca="1">TREND($K2:$P2,$K$1:$P$1,AC$1)</f>
        <v>#VALUE!</v>
      </c>
      <c r="AD2" t="e" cm="1">
        <f t="array" aca="1" ref="AD2" ca="1">TREND($K2:$P2,$K$1:$P$1,AD$1)</f>
        <v>#VALUE!</v>
      </c>
      <c r="AE2" t="e" cm="1">
        <f t="array" aca="1" ref="AE2" ca="1">TREND($K2:$P2,$K$1:$P$1,AE$1)</f>
        <v>#VALUE!</v>
      </c>
      <c r="AF2" t="e" cm="1">
        <f t="array" aca="1" ref="AF2" ca="1">TREND($K2:$P2,$K$1:$P$1,AF$1)</f>
        <v>#VALUE!</v>
      </c>
      <c r="AG2" t="e" cm="1">
        <f t="array" aca="1" ref="AG2" ca="1">TREND($K2:$P2,$K$1:$P$1,AG$1)</f>
        <v>#VALUE!</v>
      </c>
      <c r="AH2" t="e" cm="1">
        <f t="array" aca="1" ref="AH2" ca="1">TREND($K2:$P2,$K$1:$P$1,AH$1)</f>
        <v>#VALUE!</v>
      </c>
      <c r="AI2" t="e" cm="1">
        <f t="array" aca="1" ref="AI2" ca="1">TREND($K2:$P2,$K$1:$P$1,AI$1)</f>
        <v>#VALUE!</v>
      </c>
      <c r="AJ2" t="e" cm="1">
        <f t="array" aca="1" ref="AJ2" ca="1">TREND($K2:$P2,$K$1:$P$1,AJ$1)</f>
        <v>#VALUE!</v>
      </c>
    </row>
    <row r="3" spans="1:36">
      <c r="A3" t="s">
        <v>76</v>
      </c>
      <c r="B3" s="32" t="e" cm="1">
        <f t="array" aca="1" ref="B3" ca="1">INDIRECT(CONCATENATE("'",HLOOKUP(B$1,$B$21:$E$23,3,FALSE),"'!",$B$25,ROW($A3)+5))*About!$A$27</f>
        <v>#VALUE!</v>
      </c>
      <c r="C3" t="e">
        <f t="shared" ref="C3:C12" ca="1" si="3">$B3+($F3-$B3)*(C$1-$B$1)/($F$1-$B$1)</f>
        <v>#VALUE!</v>
      </c>
      <c r="D3" t="e">
        <f t="shared" ca="1" si="0"/>
        <v>#VALUE!</v>
      </c>
      <c r="E3" t="e">
        <f t="shared" ca="1" si="0"/>
        <v>#VALUE!</v>
      </c>
      <c r="F3" s="32" t="e" cm="1">
        <f t="array" aca="1" ref="F3" ca="1">INDIRECT(CONCATENATE("'",HLOOKUP(F$1,$B$21:$E$23,3,FALSE),"'!",$B$25,ROW($A3)+5))*About!$A$27</f>
        <v>#VALUE!</v>
      </c>
      <c r="G3" t="e">
        <f t="shared" ref="G3:G12" ca="1" si="4">$F3+($K3-$F3)*(G$1-$F$1)/($K$1-$F$1)</f>
        <v>#VALUE!</v>
      </c>
      <c r="H3" t="e">
        <f t="shared" ca="1" si="1"/>
        <v>#VALUE!</v>
      </c>
      <c r="I3" t="e">
        <f t="shared" ca="1" si="1"/>
        <v>#VALUE!</v>
      </c>
      <c r="J3" t="e">
        <f t="shared" ca="1" si="1"/>
        <v>#VALUE!</v>
      </c>
      <c r="K3" s="32" t="e" cm="1">
        <f t="array" aca="1" ref="K3" ca="1">INDIRECT(CONCATENATE("'",HLOOKUP(K$1,$B$21:$E$23,3,FALSE),"'!",$B$25,ROW($A3)+5))*About!$A$27</f>
        <v>#VALUE!</v>
      </c>
      <c r="L3" t="e">
        <f t="shared" ref="L3:L12" ca="1" si="5">$K3+($P3-$K3)*(L$1-$K$1)/($P$1-$K$1)</f>
        <v>#VALUE!</v>
      </c>
      <c r="M3" t="e">
        <f t="shared" ca="1" si="2"/>
        <v>#VALUE!</v>
      </c>
      <c r="N3" t="e">
        <f t="shared" ca="1" si="2"/>
        <v>#VALUE!</v>
      </c>
      <c r="O3" t="e">
        <f t="shared" ca="1" si="2"/>
        <v>#VALUE!</v>
      </c>
      <c r="P3" s="32" t="e" cm="1">
        <f t="array" aca="1" ref="P3" ca="1">INDIRECT(CONCATENATE("'",HLOOKUP(P$1,$B$21:$E$23,3,FALSE),"'!",$B$25,ROW($A3)+5))*About!$A$27</f>
        <v>#VALUE!</v>
      </c>
      <c r="Q3" t="e" cm="1">
        <f t="array" aca="1" ref="Q3" ca="1">TREND($K3:$P3,$K$1:$P$1,Q$1)</f>
        <v>#VALUE!</v>
      </c>
      <c r="R3" t="e" cm="1">
        <f t="array" aca="1" ref="R3" ca="1">TREND($K3:$P3,$K$1:$P$1,R$1)</f>
        <v>#VALUE!</v>
      </c>
      <c r="S3" t="e" cm="1">
        <f t="array" aca="1" ref="S3" ca="1">TREND($K3:$P3,$K$1:$P$1,S$1)</f>
        <v>#VALUE!</v>
      </c>
      <c r="T3" t="e" cm="1">
        <f t="array" aca="1" ref="T3" ca="1">TREND($K3:$P3,$K$1:$P$1,T$1)</f>
        <v>#VALUE!</v>
      </c>
      <c r="U3" t="e" cm="1">
        <f t="array" aca="1" ref="U3" ca="1">TREND($K3:$P3,$K$1:$P$1,U$1)</f>
        <v>#VALUE!</v>
      </c>
      <c r="V3" t="e" cm="1">
        <f t="array" aca="1" ref="V3" ca="1">TREND($K3:$P3,$K$1:$P$1,V$1)</f>
        <v>#VALUE!</v>
      </c>
      <c r="W3" t="e" cm="1">
        <f t="array" aca="1" ref="W3" ca="1">TREND($K3:$P3,$K$1:$P$1,W$1)</f>
        <v>#VALUE!</v>
      </c>
      <c r="X3" t="e" cm="1">
        <f t="array" aca="1" ref="X3" ca="1">TREND($K3:$P3,$K$1:$P$1,X$1)</f>
        <v>#VALUE!</v>
      </c>
      <c r="Y3" t="e" cm="1">
        <f t="array" aca="1" ref="Y3" ca="1">TREND($K3:$P3,$K$1:$P$1,Y$1)</f>
        <v>#VALUE!</v>
      </c>
      <c r="Z3" t="e" cm="1">
        <f t="array" aca="1" ref="Z3" ca="1">TREND($K3:$P3,$K$1:$P$1,Z$1)</f>
        <v>#VALUE!</v>
      </c>
      <c r="AA3" t="e" cm="1">
        <f t="array" aca="1" ref="AA3" ca="1">TREND($K3:$P3,$K$1:$P$1,AA$1)</f>
        <v>#VALUE!</v>
      </c>
      <c r="AB3" t="e" cm="1">
        <f t="array" aca="1" ref="AB3" ca="1">TREND($K3:$P3,$K$1:$P$1,AB$1)</f>
        <v>#VALUE!</v>
      </c>
      <c r="AC3" t="e" cm="1">
        <f t="array" aca="1" ref="AC3" ca="1">TREND($K3:$P3,$K$1:$P$1,AC$1)</f>
        <v>#VALUE!</v>
      </c>
      <c r="AD3" t="e" cm="1">
        <f t="array" aca="1" ref="AD3" ca="1">TREND($K3:$P3,$K$1:$P$1,AD$1)</f>
        <v>#VALUE!</v>
      </c>
      <c r="AE3" t="e" cm="1">
        <f t="array" aca="1" ref="AE3" ca="1">TREND($K3:$P3,$K$1:$P$1,AE$1)</f>
        <v>#VALUE!</v>
      </c>
      <c r="AF3" t="e" cm="1">
        <f t="array" aca="1" ref="AF3" ca="1">TREND($K3:$P3,$K$1:$P$1,AF$1)</f>
        <v>#VALUE!</v>
      </c>
      <c r="AG3" t="e" cm="1">
        <f t="array" aca="1" ref="AG3" ca="1">TREND($K3:$P3,$K$1:$P$1,AG$1)</f>
        <v>#VALUE!</v>
      </c>
      <c r="AH3" t="e" cm="1">
        <f t="array" aca="1" ref="AH3" ca="1">TREND($K3:$P3,$K$1:$P$1,AH$1)</f>
        <v>#VALUE!</v>
      </c>
      <c r="AI3" t="e" cm="1">
        <f t="array" aca="1" ref="AI3" ca="1">TREND($K3:$P3,$K$1:$P$1,AI$1)</f>
        <v>#VALUE!</v>
      </c>
      <c r="AJ3" t="e" cm="1">
        <f t="array" aca="1" ref="AJ3" ca="1">TREND($K3:$P3,$K$1:$P$1,AJ$1)</f>
        <v>#VALUE!</v>
      </c>
    </row>
    <row r="4" spans="1:36">
      <c r="A4" t="s">
        <v>77</v>
      </c>
      <c r="B4" s="32" t="e" cm="1">
        <f t="array" aca="1" ref="B4" ca="1">INDIRECT(CONCATENATE("'",HLOOKUP(B$1,$B$21:$E$23,3,FALSE),"'!",$B$25,ROW($A4)+5))*About!$A$27</f>
        <v>#VALUE!</v>
      </c>
      <c r="C4" t="e">
        <f t="shared" ca="1" si="3"/>
        <v>#VALUE!</v>
      </c>
      <c r="D4" t="e">
        <f t="shared" ca="1" si="0"/>
        <v>#VALUE!</v>
      </c>
      <c r="E4" t="e">
        <f t="shared" ca="1" si="0"/>
        <v>#VALUE!</v>
      </c>
      <c r="F4" s="32" t="e" cm="1">
        <f t="array" aca="1" ref="F4" ca="1">INDIRECT(CONCATENATE("'",HLOOKUP(F$1,$B$21:$E$23,3,FALSE),"'!",$B$25,ROW($A4)+5))*About!$A$27</f>
        <v>#VALUE!</v>
      </c>
      <c r="G4" t="e">
        <f t="shared" ca="1" si="4"/>
        <v>#VALUE!</v>
      </c>
      <c r="H4" t="e">
        <f t="shared" ca="1" si="1"/>
        <v>#VALUE!</v>
      </c>
      <c r="I4" t="e">
        <f t="shared" ca="1" si="1"/>
        <v>#VALUE!</v>
      </c>
      <c r="J4" t="e">
        <f t="shared" ca="1" si="1"/>
        <v>#VALUE!</v>
      </c>
      <c r="K4" s="32" t="e" cm="1">
        <f t="array" aca="1" ref="K4" ca="1">INDIRECT(CONCATENATE("'",HLOOKUP(K$1,$B$21:$E$23,3,FALSE),"'!",$B$25,ROW($A4)+5))*About!$A$27</f>
        <v>#VALUE!</v>
      </c>
      <c r="L4" t="e">
        <f t="shared" ca="1" si="5"/>
        <v>#VALUE!</v>
      </c>
      <c r="M4" t="e">
        <f t="shared" ca="1" si="2"/>
        <v>#VALUE!</v>
      </c>
      <c r="N4" t="e">
        <f t="shared" ca="1" si="2"/>
        <v>#VALUE!</v>
      </c>
      <c r="O4" t="e">
        <f t="shared" ca="1" si="2"/>
        <v>#VALUE!</v>
      </c>
      <c r="P4" s="32" t="e" cm="1">
        <f t="array" aca="1" ref="P4" ca="1">INDIRECT(CONCATENATE("'",HLOOKUP(P$1,$B$21:$E$23,3,FALSE),"'!",$B$25,ROW($A4)+5))*About!$A$27</f>
        <v>#VALUE!</v>
      </c>
      <c r="Q4" t="e" cm="1">
        <f t="array" aca="1" ref="Q4" ca="1">TREND($K4:$P4,$K$1:$P$1,Q$1)</f>
        <v>#VALUE!</v>
      </c>
      <c r="R4" t="e" cm="1">
        <f t="array" aca="1" ref="R4" ca="1">TREND($K4:$P4,$K$1:$P$1,R$1)</f>
        <v>#VALUE!</v>
      </c>
      <c r="S4" t="e" cm="1">
        <f t="array" aca="1" ref="S4" ca="1">TREND($K4:$P4,$K$1:$P$1,S$1)</f>
        <v>#VALUE!</v>
      </c>
      <c r="T4" t="e" cm="1">
        <f t="array" aca="1" ref="T4" ca="1">TREND($K4:$P4,$K$1:$P$1,T$1)</f>
        <v>#VALUE!</v>
      </c>
      <c r="U4" t="e" cm="1">
        <f t="array" aca="1" ref="U4" ca="1">TREND($K4:$P4,$K$1:$P$1,U$1)</f>
        <v>#VALUE!</v>
      </c>
      <c r="V4" t="e" cm="1">
        <f t="array" aca="1" ref="V4" ca="1">TREND($K4:$P4,$K$1:$P$1,V$1)</f>
        <v>#VALUE!</v>
      </c>
      <c r="W4" t="e" cm="1">
        <f t="array" aca="1" ref="W4" ca="1">TREND($K4:$P4,$K$1:$P$1,W$1)</f>
        <v>#VALUE!</v>
      </c>
      <c r="X4" t="e" cm="1">
        <f t="array" aca="1" ref="X4" ca="1">TREND($K4:$P4,$K$1:$P$1,X$1)</f>
        <v>#VALUE!</v>
      </c>
      <c r="Y4" t="e" cm="1">
        <f t="array" aca="1" ref="Y4" ca="1">TREND($K4:$P4,$K$1:$P$1,Y$1)</f>
        <v>#VALUE!</v>
      </c>
      <c r="Z4" t="e" cm="1">
        <f t="array" aca="1" ref="Z4" ca="1">TREND($K4:$P4,$K$1:$P$1,Z$1)</f>
        <v>#VALUE!</v>
      </c>
      <c r="AA4" t="e" cm="1">
        <f t="array" aca="1" ref="AA4" ca="1">TREND($K4:$P4,$K$1:$P$1,AA$1)</f>
        <v>#VALUE!</v>
      </c>
      <c r="AB4" t="e" cm="1">
        <f t="array" aca="1" ref="AB4" ca="1">TREND($K4:$P4,$K$1:$P$1,AB$1)</f>
        <v>#VALUE!</v>
      </c>
      <c r="AC4" t="e" cm="1">
        <f t="array" aca="1" ref="AC4" ca="1">TREND($K4:$P4,$K$1:$P$1,AC$1)</f>
        <v>#VALUE!</v>
      </c>
      <c r="AD4" t="e" cm="1">
        <f t="array" aca="1" ref="AD4" ca="1">TREND($K4:$P4,$K$1:$P$1,AD$1)</f>
        <v>#VALUE!</v>
      </c>
      <c r="AE4" t="e" cm="1">
        <f t="array" aca="1" ref="AE4" ca="1">TREND($K4:$P4,$K$1:$P$1,AE$1)</f>
        <v>#VALUE!</v>
      </c>
      <c r="AF4" t="e" cm="1">
        <f t="array" aca="1" ref="AF4" ca="1">TREND($K4:$P4,$K$1:$P$1,AF$1)</f>
        <v>#VALUE!</v>
      </c>
      <c r="AG4" t="e" cm="1">
        <f t="array" aca="1" ref="AG4" ca="1">TREND($K4:$P4,$K$1:$P$1,AG$1)</f>
        <v>#VALUE!</v>
      </c>
      <c r="AH4" t="e" cm="1">
        <f t="array" aca="1" ref="AH4" ca="1">TREND($K4:$P4,$K$1:$P$1,AH$1)</f>
        <v>#VALUE!</v>
      </c>
      <c r="AI4" t="e" cm="1">
        <f t="array" aca="1" ref="AI4" ca="1">TREND($K4:$P4,$K$1:$P$1,AI$1)</f>
        <v>#VALUE!</v>
      </c>
      <c r="AJ4" t="e" cm="1">
        <f t="array" aca="1" ref="AJ4" ca="1">TREND($K4:$P4,$K$1:$P$1,AJ$1)</f>
        <v>#VALUE!</v>
      </c>
    </row>
    <row r="5" spans="1:36">
      <c r="A5" t="s">
        <v>78</v>
      </c>
      <c r="B5" s="32" t="e" cm="1">
        <f t="array" aca="1" ref="B5" ca="1">INDIRECT(CONCATENATE("'",HLOOKUP(B$1,$B$21:$E$23,3,FALSE),"'!",$B$25,ROW($A5)+5))*About!$A$27</f>
        <v>#VALUE!</v>
      </c>
      <c r="C5" t="e">
        <f t="shared" ca="1" si="3"/>
        <v>#VALUE!</v>
      </c>
      <c r="D5" t="e">
        <f t="shared" ca="1" si="0"/>
        <v>#VALUE!</v>
      </c>
      <c r="E5" t="e">
        <f t="shared" ca="1" si="0"/>
        <v>#VALUE!</v>
      </c>
      <c r="F5" s="32" t="e" cm="1">
        <f t="array" aca="1" ref="F5" ca="1">INDIRECT(CONCATENATE("'",HLOOKUP(F$1,$B$21:$E$23,3,FALSE),"'!",$B$25,ROW($A5)+5))*About!$A$27</f>
        <v>#VALUE!</v>
      </c>
      <c r="G5" t="e">
        <f t="shared" ca="1" si="4"/>
        <v>#VALUE!</v>
      </c>
      <c r="H5" t="e">
        <f t="shared" ca="1" si="1"/>
        <v>#VALUE!</v>
      </c>
      <c r="I5" t="e">
        <f t="shared" ca="1" si="1"/>
        <v>#VALUE!</v>
      </c>
      <c r="J5" t="e">
        <f t="shared" ca="1" si="1"/>
        <v>#VALUE!</v>
      </c>
      <c r="K5" s="32" t="e" cm="1">
        <f t="array" aca="1" ref="K5" ca="1">INDIRECT(CONCATENATE("'",HLOOKUP(K$1,$B$21:$E$23,3,FALSE),"'!",$B$25,ROW($A5)+5))*About!$A$27</f>
        <v>#VALUE!</v>
      </c>
      <c r="L5" t="e">
        <f t="shared" ca="1" si="5"/>
        <v>#VALUE!</v>
      </c>
      <c r="M5" t="e">
        <f t="shared" ca="1" si="2"/>
        <v>#VALUE!</v>
      </c>
      <c r="N5" t="e">
        <f t="shared" ca="1" si="2"/>
        <v>#VALUE!</v>
      </c>
      <c r="O5" t="e">
        <f t="shared" ca="1" si="2"/>
        <v>#VALUE!</v>
      </c>
      <c r="P5" s="32" t="e" cm="1">
        <f t="array" aca="1" ref="P5" ca="1">INDIRECT(CONCATENATE("'",HLOOKUP(P$1,$B$21:$E$23,3,FALSE),"'!",$B$25,ROW($A5)+5))*About!$A$27</f>
        <v>#VALUE!</v>
      </c>
      <c r="Q5" t="e" cm="1">
        <f t="array" aca="1" ref="Q5" ca="1">TREND($K5:$P5,$K$1:$P$1,Q$1)</f>
        <v>#VALUE!</v>
      </c>
      <c r="R5" t="e" cm="1">
        <f t="array" aca="1" ref="R5" ca="1">TREND($K5:$P5,$K$1:$P$1,R$1)</f>
        <v>#VALUE!</v>
      </c>
      <c r="S5" t="e" cm="1">
        <f t="array" aca="1" ref="S5" ca="1">TREND($K5:$P5,$K$1:$P$1,S$1)</f>
        <v>#VALUE!</v>
      </c>
      <c r="T5" t="e" cm="1">
        <f t="array" aca="1" ref="T5" ca="1">TREND($K5:$P5,$K$1:$P$1,T$1)</f>
        <v>#VALUE!</v>
      </c>
      <c r="U5" t="e" cm="1">
        <f t="array" aca="1" ref="U5" ca="1">TREND($K5:$P5,$K$1:$P$1,U$1)</f>
        <v>#VALUE!</v>
      </c>
      <c r="V5" t="e" cm="1">
        <f t="array" aca="1" ref="V5" ca="1">TREND($K5:$P5,$K$1:$P$1,V$1)</f>
        <v>#VALUE!</v>
      </c>
      <c r="W5" t="e" cm="1">
        <f t="array" aca="1" ref="W5" ca="1">TREND($K5:$P5,$K$1:$P$1,W$1)</f>
        <v>#VALUE!</v>
      </c>
      <c r="X5" t="e" cm="1">
        <f t="array" aca="1" ref="X5" ca="1">TREND($K5:$P5,$K$1:$P$1,X$1)</f>
        <v>#VALUE!</v>
      </c>
      <c r="Y5" t="e" cm="1">
        <f t="array" aca="1" ref="Y5" ca="1">TREND($K5:$P5,$K$1:$P$1,Y$1)</f>
        <v>#VALUE!</v>
      </c>
      <c r="Z5" t="e" cm="1">
        <f t="array" aca="1" ref="Z5" ca="1">TREND($K5:$P5,$K$1:$P$1,Z$1)</f>
        <v>#VALUE!</v>
      </c>
      <c r="AA5" t="e" cm="1">
        <f t="array" aca="1" ref="AA5" ca="1">TREND($K5:$P5,$K$1:$P$1,AA$1)</f>
        <v>#VALUE!</v>
      </c>
      <c r="AB5" t="e" cm="1">
        <f t="array" aca="1" ref="AB5" ca="1">TREND($K5:$P5,$K$1:$P$1,AB$1)</f>
        <v>#VALUE!</v>
      </c>
      <c r="AC5" t="e" cm="1">
        <f t="array" aca="1" ref="AC5" ca="1">TREND($K5:$P5,$K$1:$P$1,AC$1)</f>
        <v>#VALUE!</v>
      </c>
      <c r="AD5" t="e" cm="1">
        <f t="array" aca="1" ref="AD5" ca="1">TREND($K5:$P5,$K$1:$P$1,AD$1)</f>
        <v>#VALUE!</v>
      </c>
      <c r="AE5" t="e" cm="1">
        <f t="array" aca="1" ref="AE5" ca="1">TREND($K5:$P5,$K$1:$P$1,AE$1)</f>
        <v>#VALUE!</v>
      </c>
      <c r="AF5" t="e" cm="1">
        <f t="array" aca="1" ref="AF5" ca="1">TREND($K5:$P5,$K$1:$P$1,AF$1)</f>
        <v>#VALUE!</v>
      </c>
      <c r="AG5" t="e" cm="1">
        <f t="array" aca="1" ref="AG5" ca="1">TREND($K5:$P5,$K$1:$P$1,AG$1)</f>
        <v>#VALUE!</v>
      </c>
      <c r="AH5" t="e" cm="1">
        <f t="array" aca="1" ref="AH5" ca="1">TREND($K5:$P5,$K$1:$P$1,AH$1)</f>
        <v>#VALUE!</v>
      </c>
      <c r="AI5" t="e" cm="1">
        <f t="array" aca="1" ref="AI5" ca="1">TREND($K5:$P5,$K$1:$P$1,AI$1)</f>
        <v>#VALUE!</v>
      </c>
      <c r="AJ5" t="e" cm="1">
        <f t="array" aca="1" ref="AJ5" ca="1">TREND($K5:$P5,$K$1:$P$1,AJ$1)</f>
        <v>#VALUE!</v>
      </c>
    </row>
    <row r="6" spans="1:36">
      <c r="A6" t="s">
        <v>79</v>
      </c>
      <c r="B6" s="32" t="e" cm="1">
        <f t="array" aca="1" ref="B6" ca="1">INDIRECT(CONCATENATE("'",HLOOKUP(B$1,$B$21:$E$23,3,FALSE),"'!",$B$25,ROW($A6)+5))*About!$A$27</f>
        <v>#VALUE!</v>
      </c>
      <c r="C6" t="e">
        <f t="shared" ca="1" si="3"/>
        <v>#VALUE!</v>
      </c>
      <c r="D6" t="e">
        <f t="shared" ca="1" si="0"/>
        <v>#VALUE!</v>
      </c>
      <c r="E6" t="e">
        <f t="shared" ca="1" si="0"/>
        <v>#VALUE!</v>
      </c>
      <c r="F6" s="32" t="e" cm="1">
        <f t="array" aca="1" ref="F6" ca="1">INDIRECT(CONCATENATE("'",HLOOKUP(F$1,$B$21:$E$23,3,FALSE),"'!",$B$25,ROW($A6)+5))*About!$A$27</f>
        <v>#VALUE!</v>
      </c>
      <c r="G6" t="e">
        <f t="shared" ca="1" si="4"/>
        <v>#VALUE!</v>
      </c>
      <c r="H6" t="e">
        <f t="shared" ca="1" si="1"/>
        <v>#VALUE!</v>
      </c>
      <c r="I6" t="e">
        <f t="shared" ca="1" si="1"/>
        <v>#VALUE!</v>
      </c>
      <c r="J6" t="e">
        <f t="shared" ca="1" si="1"/>
        <v>#VALUE!</v>
      </c>
      <c r="K6" s="32" t="e" cm="1">
        <f t="array" aca="1" ref="K6" ca="1">INDIRECT(CONCATENATE("'",HLOOKUP(K$1,$B$21:$E$23,3,FALSE),"'!",$B$25,ROW($A6)+5))*About!$A$27</f>
        <v>#VALUE!</v>
      </c>
      <c r="L6" t="e">
        <f t="shared" ca="1" si="5"/>
        <v>#VALUE!</v>
      </c>
      <c r="M6" t="e">
        <f t="shared" ca="1" si="2"/>
        <v>#VALUE!</v>
      </c>
      <c r="N6" t="e">
        <f t="shared" ca="1" si="2"/>
        <v>#VALUE!</v>
      </c>
      <c r="O6" t="e">
        <f t="shared" ca="1" si="2"/>
        <v>#VALUE!</v>
      </c>
      <c r="P6" s="32" t="e" cm="1">
        <f t="array" aca="1" ref="P6" ca="1">INDIRECT(CONCATENATE("'",HLOOKUP(P$1,$B$21:$E$23,3,FALSE),"'!",$B$25,ROW($A6)+5))*About!$A$27</f>
        <v>#VALUE!</v>
      </c>
      <c r="Q6" t="e" cm="1">
        <f t="array" aca="1" ref="Q6" ca="1">TREND($K6:$P6,$K$1:$P$1,Q$1)</f>
        <v>#VALUE!</v>
      </c>
      <c r="R6" t="e" cm="1">
        <f t="array" aca="1" ref="R6" ca="1">TREND($K6:$P6,$K$1:$P$1,R$1)</f>
        <v>#VALUE!</v>
      </c>
      <c r="S6" t="e" cm="1">
        <f t="array" aca="1" ref="S6" ca="1">TREND($K6:$P6,$K$1:$P$1,S$1)</f>
        <v>#VALUE!</v>
      </c>
      <c r="T6" t="e" cm="1">
        <f t="array" aca="1" ref="T6" ca="1">TREND($K6:$P6,$K$1:$P$1,T$1)</f>
        <v>#VALUE!</v>
      </c>
      <c r="U6" t="e" cm="1">
        <f t="array" aca="1" ref="U6" ca="1">TREND($K6:$P6,$K$1:$P$1,U$1)</f>
        <v>#VALUE!</v>
      </c>
      <c r="V6" t="e" cm="1">
        <f t="array" aca="1" ref="V6" ca="1">TREND($K6:$P6,$K$1:$P$1,V$1)</f>
        <v>#VALUE!</v>
      </c>
      <c r="W6" t="e" cm="1">
        <f t="array" aca="1" ref="W6" ca="1">TREND($K6:$P6,$K$1:$P$1,W$1)</f>
        <v>#VALUE!</v>
      </c>
      <c r="X6" t="e" cm="1">
        <f t="array" aca="1" ref="X6" ca="1">TREND($K6:$P6,$K$1:$P$1,X$1)</f>
        <v>#VALUE!</v>
      </c>
      <c r="Y6" t="e" cm="1">
        <f t="array" aca="1" ref="Y6" ca="1">TREND($K6:$P6,$K$1:$P$1,Y$1)</f>
        <v>#VALUE!</v>
      </c>
      <c r="Z6" t="e" cm="1">
        <f t="array" aca="1" ref="Z6" ca="1">TREND($K6:$P6,$K$1:$P$1,Z$1)</f>
        <v>#VALUE!</v>
      </c>
      <c r="AA6" t="e" cm="1">
        <f t="array" aca="1" ref="AA6" ca="1">TREND($K6:$P6,$K$1:$P$1,AA$1)</f>
        <v>#VALUE!</v>
      </c>
      <c r="AB6" t="e" cm="1">
        <f t="array" aca="1" ref="AB6" ca="1">TREND($K6:$P6,$K$1:$P$1,AB$1)</f>
        <v>#VALUE!</v>
      </c>
      <c r="AC6" t="e" cm="1">
        <f t="array" aca="1" ref="AC6" ca="1">TREND($K6:$P6,$K$1:$P$1,AC$1)</f>
        <v>#VALUE!</v>
      </c>
      <c r="AD6" t="e" cm="1">
        <f t="array" aca="1" ref="AD6" ca="1">TREND($K6:$P6,$K$1:$P$1,AD$1)</f>
        <v>#VALUE!</v>
      </c>
      <c r="AE6" t="e" cm="1">
        <f t="array" aca="1" ref="AE6" ca="1">TREND($K6:$P6,$K$1:$P$1,AE$1)</f>
        <v>#VALUE!</v>
      </c>
      <c r="AF6" t="e" cm="1">
        <f t="array" aca="1" ref="AF6" ca="1">TREND($K6:$P6,$K$1:$P$1,AF$1)</f>
        <v>#VALUE!</v>
      </c>
      <c r="AG6" t="e" cm="1">
        <f t="array" aca="1" ref="AG6" ca="1">TREND($K6:$P6,$K$1:$P$1,AG$1)</f>
        <v>#VALUE!</v>
      </c>
      <c r="AH6" t="e" cm="1">
        <f t="array" aca="1" ref="AH6" ca="1">TREND($K6:$P6,$K$1:$P$1,AH$1)</f>
        <v>#VALUE!</v>
      </c>
      <c r="AI6" t="e" cm="1">
        <f t="array" aca="1" ref="AI6" ca="1">TREND($K6:$P6,$K$1:$P$1,AI$1)</f>
        <v>#VALUE!</v>
      </c>
      <c r="AJ6" t="e" cm="1">
        <f t="array" aca="1" ref="AJ6" ca="1">TREND($K6:$P6,$K$1:$P$1,AJ$1)</f>
        <v>#VALUE!</v>
      </c>
    </row>
    <row r="7" spans="1:36">
      <c r="A7" t="s">
        <v>80</v>
      </c>
      <c r="B7" s="32" t="e" cm="1">
        <f t="array" aca="1" ref="B7" ca="1">INDIRECT(CONCATENATE("'",HLOOKUP(B$1,$B$21:$E$23,3,FALSE),"'!",$B$25,ROW($A7)+5))*About!$A$27</f>
        <v>#VALUE!</v>
      </c>
      <c r="C7" t="e">
        <f t="shared" ca="1" si="3"/>
        <v>#VALUE!</v>
      </c>
      <c r="D7" t="e">
        <f t="shared" ca="1" si="0"/>
        <v>#VALUE!</v>
      </c>
      <c r="E7" t="e">
        <f t="shared" ca="1" si="0"/>
        <v>#VALUE!</v>
      </c>
      <c r="F7" s="32" t="e" cm="1">
        <f t="array" aca="1" ref="F7" ca="1">INDIRECT(CONCATENATE("'",HLOOKUP(F$1,$B$21:$E$23,3,FALSE),"'!",$B$25,ROW($A7)+5))*About!$A$27</f>
        <v>#VALUE!</v>
      </c>
      <c r="G7" t="e">
        <f t="shared" ca="1" si="4"/>
        <v>#VALUE!</v>
      </c>
      <c r="H7" t="e">
        <f t="shared" ca="1" si="1"/>
        <v>#VALUE!</v>
      </c>
      <c r="I7" t="e">
        <f t="shared" ca="1" si="1"/>
        <v>#VALUE!</v>
      </c>
      <c r="J7" t="e">
        <f t="shared" ca="1" si="1"/>
        <v>#VALUE!</v>
      </c>
      <c r="K7" s="32" t="e" cm="1">
        <f t="array" aca="1" ref="K7" ca="1">INDIRECT(CONCATENATE("'",HLOOKUP(K$1,$B$21:$E$23,3,FALSE),"'!",$B$25,ROW($A7)+5))*About!$A$27</f>
        <v>#VALUE!</v>
      </c>
      <c r="L7" t="e">
        <f t="shared" ca="1" si="5"/>
        <v>#VALUE!</v>
      </c>
      <c r="M7" t="e">
        <f t="shared" ca="1" si="2"/>
        <v>#VALUE!</v>
      </c>
      <c r="N7" t="e">
        <f t="shared" ca="1" si="2"/>
        <v>#VALUE!</v>
      </c>
      <c r="O7" t="e">
        <f t="shared" ca="1" si="2"/>
        <v>#VALUE!</v>
      </c>
      <c r="P7" s="32" t="e" cm="1">
        <f t="array" aca="1" ref="P7" ca="1">INDIRECT(CONCATENATE("'",HLOOKUP(P$1,$B$21:$E$23,3,FALSE),"'!",$B$25,ROW($A7)+5))*About!$A$27</f>
        <v>#VALUE!</v>
      </c>
      <c r="Q7" t="e" cm="1">
        <f t="array" aca="1" ref="Q7" ca="1">TREND($K7:$P7,$K$1:$P$1,Q$1)</f>
        <v>#VALUE!</v>
      </c>
      <c r="R7" t="e" cm="1">
        <f t="array" aca="1" ref="R7" ca="1">TREND($K7:$P7,$K$1:$P$1,R$1)</f>
        <v>#VALUE!</v>
      </c>
      <c r="S7" t="e" cm="1">
        <f t="array" aca="1" ref="S7" ca="1">TREND($K7:$P7,$K$1:$P$1,S$1)</f>
        <v>#VALUE!</v>
      </c>
      <c r="T7" t="e" cm="1">
        <f t="array" aca="1" ref="T7" ca="1">TREND($K7:$P7,$K$1:$P$1,T$1)</f>
        <v>#VALUE!</v>
      </c>
      <c r="U7" t="e" cm="1">
        <f t="array" aca="1" ref="U7" ca="1">TREND($K7:$P7,$K$1:$P$1,U$1)</f>
        <v>#VALUE!</v>
      </c>
      <c r="V7" t="e" cm="1">
        <f t="array" aca="1" ref="V7" ca="1">TREND($K7:$P7,$K$1:$P$1,V$1)</f>
        <v>#VALUE!</v>
      </c>
      <c r="W7" t="e" cm="1">
        <f t="array" aca="1" ref="W7" ca="1">TREND($K7:$P7,$K$1:$P$1,W$1)</f>
        <v>#VALUE!</v>
      </c>
      <c r="X7" t="e" cm="1">
        <f t="array" aca="1" ref="X7" ca="1">TREND($K7:$P7,$K$1:$P$1,X$1)</f>
        <v>#VALUE!</v>
      </c>
      <c r="Y7" t="e" cm="1">
        <f t="array" aca="1" ref="Y7" ca="1">TREND($K7:$P7,$K$1:$P$1,Y$1)</f>
        <v>#VALUE!</v>
      </c>
      <c r="Z7" t="e" cm="1">
        <f t="array" aca="1" ref="Z7" ca="1">TREND($K7:$P7,$K$1:$P$1,Z$1)</f>
        <v>#VALUE!</v>
      </c>
      <c r="AA7" t="e" cm="1">
        <f t="array" aca="1" ref="AA7" ca="1">TREND($K7:$P7,$K$1:$P$1,AA$1)</f>
        <v>#VALUE!</v>
      </c>
      <c r="AB7" t="e" cm="1">
        <f t="array" aca="1" ref="AB7" ca="1">TREND($K7:$P7,$K$1:$P$1,AB$1)</f>
        <v>#VALUE!</v>
      </c>
      <c r="AC7" t="e" cm="1">
        <f t="array" aca="1" ref="AC7" ca="1">TREND($K7:$P7,$K$1:$P$1,AC$1)</f>
        <v>#VALUE!</v>
      </c>
      <c r="AD7" t="e" cm="1">
        <f t="array" aca="1" ref="AD7" ca="1">TREND($K7:$P7,$K$1:$P$1,AD$1)</f>
        <v>#VALUE!</v>
      </c>
      <c r="AE7" t="e" cm="1">
        <f t="array" aca="1" ref="AE7" ca="1">TREND($K7:$P7,$K$1:$P$1,AE$1)</f>
        <v>#VALUE!</v>
      </c>
      <c r="AF7" t="e" cm="1">
        <f t="array" aca="1" ref="AF7" ca="1">TREND($K7:$P7,$K$1:$P$1,AF$1)</f>
        <v>#VALUE!</v>
      </c>
      <c r="AG7" t="e" cm="1">
        <f t="array" aca="1" ref="AG7" ca="1">TREND($K7:$P7,$K$1:$P$1,AG$1)</f>
        <v>#VALUE!</v>
      </c>
      <c r="AH7" t="e" cm="1">
        <f t="array" aca="1" ref="AH7" ca="1">TREND($K7:$P7,$K$1:$P$1,AH$1)</f>
        <v>#VALUE!</v>
      </c>
      <c r="AI7" t="e" cm="1">
        <f t="array" aca="1" ref="AI7" ca="1">TREND($K7:$P7,$K$1:$P$1,AI$1)</f>
        <v>#VALUE!</v>
      </c>
      <c r="AJ7" t="e" cm="1">
        <f t="array" aca="1" ref="AJ7" ca="1">TREND($K7:$P7,$K$1:$P$1,AJ$1)</f>
        <v>#VALUE!</v>
      </c>
    </row>
    <row r="8" spans="1:36">
      <c r="A8" t="s">
        <v>81</v>
      </c>
      <c r="B8" s="32" t="e" cm="1">
        <f t="array" aca="1" ref="B8" ca="1">INDIRECT(CONCATENATE("'",HLOOKUP(B$1,$B$21:$E$23,3,FALSE),"'!",$B$25,ROW($A8)+5))*About!$A$27</f>
        <v>#VALUE!</v>
      </c>
      <c r="C8" t="e">
        <f t="shared" ca="1" si="3"/>
        <v>#VALUE!</v>
      </c>
      <c r="D8" t="e">
        <f t="shared" ca="1" si="0"/>
        <v>#VALUE!</v>
      </c>
      <c r="E8" t="e">
        <f t="shared" ca="1" si="0"/>
        <v>#VALUE!</v>
      </c>
      <c r="F8" s="32" t="e" cm="1">
        <f t="array" aca="1" ref="F8" ca="1">INDIRECT(CONCATENATE("'",HLOOKUP(F$1,$B$21:$E$23,3,FALSE),"'!",$B$25,ROW($A8)+5))*About!$A$27</f>
        <v>#VALUE!</v>
      </c>
      <c r="G8" t="e">
        <f t="shared" ca="1" si="4"/>
        <v>#VALUE!</v>
      </c>
      <c r="H8" t="e">
        <f t="shared" ca="1" si="1"/>
        <v>#VALUE!</v>
      </c>
      <c r="I8" t="e">
        <f t="shared" ca="1" si="1"/>
        <v>#VALUE!</v>
      </c>
      <c r="J8" t="e">
        <f t="shared" ca="1" si="1"/>
        <v>#VALUE!</v>
      </c>
      <c r="K8" s="32" t="e" cm="1">
        <f t="array" aca="1" ref="K8" ca="1">INDIRECT(CONCATENATE("'",HLOOKUP(K$1,$B$21:$E$23,3,FALSE),"'!",$B$25,ROW($A8)+5))*About!$A$27</f>
        <v>#VALUE!</v>
      </c>
      <c r="L8" t="e">
        <f t="shared" ca="1" si="5"/>
        <v>#VALUE!</v>
      </c>
      <c r="M8" t="e">
        <f t="shared" ca="1" si="2"/>
        <v>#VALUE!</v>
      </c>
      <c r="N8" t="e">
        <f t="shared" ca="1" si="2"/>
        <v>#VALUE!</v>
      </c>
      <c r="O8" t="e">
        <f t="shared" ca="1" si="2"/>
        <v>#VALUE!</v>
      </c>
      <c r="P8" s="32" t="e" cm="1">
        <f t="array" aca="1" ref="P8" ca="1">INDIRECT(CONCATENATE("'",HLOOKUP(P$1,$B$21:$E$23,3,FALSE),"'!",$B$25,ROW($A8)+5))*About!$A$27</f>
        <v>#VALUE!</v>
      </c>
      <c r="Q8" t="e" cm="1">
        <f t="array" aca="1" ref="Q8" ca="1">TREND($K8:$P8,$K$1:$P$1,Q$1)</f>
        <v>#VALUE!</v>
      </c>
      <c r="R8" t="e" cm="1">
        <f t="array" aca="1" ref="R8" ca="1">TREND($K8:$P8,$K$1:$P$1,R$1)</f>
        <v>#VALUE!</v>
      </c>
      <c r="S8" t="e" cm="1">
        <f t="array" aca="1" ref="S8" ca="1">TREND($K8:$P8,$K$1:$P$1,S$1)</f>
        <v>#VALUE!</v>
      </c>
      <c r="T8" t="e" cm="1">
        <f t="array" aca="1" ref="T8" ca="1">TREND($K8:$P8,$K$1:$P$1,T$1)</f>
        <v>#VALUE!</v>
      </c>
      <c r="U8" t="e" cm="1">
        <f t="array" aca="1" ref="U8" ca="1">TREND($K8:$P8,$K$1:$P$1,U$1)</f>
        <v>#VALUE!</v>
      </c>
      <c r="V8" t="e" cm="1">
        <f t="array" aca="1" ref="V8" ca="1">TREND($K8:$P8,$K$1:$P$1,V$1)</f>
        <v>#VALUE!</v>
      </c>
      <c r="W8" t="e" cm="1">
        <f t="array" aca="1" ref="W8" ca="1">TREND($K8:$P8,$K$1:$P$1,W$1)</f>
        <v>#VALUE!</v>
      </c>
      <c r="X8" t="e" cm="1">
        <f t="array" aca="1" ref="X8" ca="1">TREND($K8:$P8,$K$1:$P$1,X$1)</f>
        <v>#VALUE!</v>
      </c>
      <c r="Y8" t="e" cm="1">
        <f t="array" aca="1" ref="Y8" ca="1">TREND($K8:$P8,$K$1:$P$1,Y$1)</f>
        <v>#VALUE!</v>
      </c>
      <c r="Z8" t="e" cm="1">
        <f t="array" aca="1" ref="Z8" ca="1">TREND($K8:$P8,$K$1:$P$1,Z$1)</f>
        <v>#VALUE!</v>
      </c>
      <c r="AA8" t="e" cm="1">
        <f t="array" aca="1" ref="AA8" ca="1">TREND($K8:$P8,$K$1:$P$1,AA$1)</f>
        <v>#VALUE!</v>
      </c>
      <c r="AB8" t="e" cm="1">
        <f t="array" aca="1" ref="AB8" ca="1">TREND($K8:$P8,$K$1:$P$1,AB$1)</f>
        <v>#VALUE!</v>
      </c>
      <c r="AC8" t="e" cm="1">
        <f t="array" aca="1" ref="AC8" ca="1">TREND($K8:$P8,$K$1:$P$1,AC$1)</f>
        <v>#VALUE!</v>
      </c>
      <c r="AD8" t="e" cm="1">
        <f t="array" aca="1" ref="AD8" ca="1">TREND($K8:$P8,$K$1:$P$1,AD$1)</f>
        <v>#VALUE!</v>
      </c>
      <c r="AE8" t="e" cm="1">
        <f t="array" aca="1" ref="AE8" ca="1">TREND($K8:$P8,$K$1:$P$1,AE$1)</f>
        <v>#VALUE!</v>
      </c>
      <c r="AF8" t="e" cm="1">
        <f t="array" aca="1" ref="AF8" ca="1">TREND($K8:$P8,$K$1:$P$1,AF$1)</f>
        <v>#VALUE!</v>
      </c>
      <c r="AG8" t="e" cm="1">
        <f t="array" aca="1" ref="AG8" ca="1">TREND($K8:$P8,$K$1:$P$1,AG$1)</f>
        <v>#VALUE!</v>
      </c>
      <c r="AH8" t="e" cm="1">
        <f t="array" aca="1" ref="AH8" ca="1">TREND($K8:$P8,$K$1:$P$1,AH$1)</f>
        <v>#VALUE!</v>
      </c>
      <c r="AI8" t="e" cm="1">
        <f t="array" aca="1" ref="AI8" ca="1">TREND($K8:$P8,$K$1:$P$1,AI$1)</f>
        <v>#VALUE!</v>
      </c>
      <c r="AJ8" t="e" cm="1">
        <f t="array" aca="1" ref="AJ8" ca="1">TREND($K8:$P8,$K$1:$P$1,AJ$1)</f>
        <v>#VALUE!</v>
      </c>
    </row>
    <row r="9" spans="1:36">
      <c r="A9" t="s">
        <v>82</v>
      </c>
      <c r="B9" s="32" t="e" cm="1">
        <f t="array" aca="1" ref="B9" ca="1">INDIRECT(CONCATENATE("'",HLOOKUP(B$1,$B$21:$E$23,3,FALSE),"'!",$B$25,ROW($A9)+5))*About!$A$27</f>
        <v>#VALUE!</v>
      </c>
      <c r="C9" t="e">
        <f t="shared" ca="1" si="3"/>
        <v>#VALUE!</v>
      </c>
      <c r="D9" t="e">
        <f t="shared" ca="1" si="0"/>
        <v>#VALUE!</v>
      </c>
      <c r="E9" t="e">
        <f t="shared" ca="1" si="0"/>
        <v>#VALUE!</v>
      </c>
      <c r="F9" s="32" t="e" cm="1">
        <f t="array" aca="1" ref="F9" ca="1">INDIRECT(CONCATENATE("'",HLOOKUP(F$1,$B$21:$E$23,3,FALSE),"'!",$B$25,ROW($A9)+5))*About!$A$27</f>
        <v>#VALUE!</v>
      </c>
      <c r="G9" t="e">
        <f t="shared" ca="1" si="4"/>
        <v>#VALUE!</v>
      </c>
      <c r="H9" t="e">
        <f t="shared" ca="1" si="1"/>
        <v>#VALUE!</v>
      </c>
      <c r="I9" t="e">
        <f t="shared" ca="1" si="1"/>
        <v>#VALUE!</v>
      </c>
      <c r="J9" t="e">
        <f t="shared" ca="1" si="1"/>
        <v>#VALUE!</v>
      </c>
      <c r="K9" s="32" t="e" cm="1">
        <f t="array" aca="1" ref="K9" ca="1">INDIRECT(CONCATENATE("'",HLOOKUP(K$1,$B$21:$E$23,3,FALSE),"'!",$B$25,ROW($A9)+5))*About!$A$27</f>
        <v>#VALUE!</v>
      </c>
      <c r="L9" t="e">
        <f t="shared" ca="1" si="5"/>
        <v>#VALUE!</v>
      </c>
      <c r="M9" t="e">
        <f t="shared" ca="1" si="2"/>
        <v>#VALUE!</v>
      </c>
      <c r="N9" t="e">
        <f t="shared" ca="1" si="2"/>
        <v>#VALUE!</v>
      </c>
      <c r="O9" t="e">
        <f t="shared" ca="1" si="2"/>
        <v>#VALUE!</v>
      </c>
      <c r="P9" s="32" t="e" cm="1">
        <f t="array" aca="1" ref="P9" ca="1">INDIRECT(CONCATENATE("'",HLOOKUP(P$1,$B$21:$E$23,3,FALSE),"'!",$B$25,ROW($A9)+5))*About!$A$27</f>
        <v>#VALUE!</v>
      </c>
      <c r="Q9" t="e" cm="1">
        <f t="array" aca="1" ref="Q9" ca="1">TREND($K9:$P9,$K$1:$P$1,Q$1)</f>
        <v>#VALUE!</v>
      </c>
      <c r="R9" t="e" cm="1">
        <f t="array" aca="1" ref="R9" ca="1">TREND($K9:$P9,$K$1:$P$1,R$1)</f>
        <v>#VALUE!</v>
      </c>
      <c r="S9" t="e" cm="1">
        <f t="array" aca="1" ref="S9" ca="1">TREND($K9:$P9,$K$1:$P$1,S$1)</f>
        <v>#VALUE!</v>
      </c>
      <c r="T9" t="e" cm="1">
        <f t="array" aca="1" ref="T9" ca="1">TREND($K9:$P9,$K$1:$P$1,T$1)</f>
        <v>#VALUE!</v>
      </c>
      <c r="U9" t="e" cm="1">
        <f t="array" aca="1" ref="U9" ca="1">TREND($K9:$P9,$K$1:$P$1,U$1)</f>
        <v>#VALUE!</v>
      </c>
      <c r="V9" t="e" cm="1">
        <f t="array" aca="1" ref="V9" ca="1">TREND($K9:$P9,$K$1:$P$1,V$1)</f>
        <v>#VALUE!</v>
      </c>
      <c r="W9" t="e" cm="1">
        <f t="array" aca="1" ref="W9" ca="1">TREND($K9:$P9,$K$1:$P$1,W$1)</f>
        <v>#VALUE!</v>
      </c>
      <c r="X9" t="e" cm="1">
        <f t="array" aca="1" ref="X9" ca="1">TREND($K9:$P9,$K$1:$P$1,X$1)</f>
        <v>#VALUE!</v>
      </c>
      <c r="Y9" t="e" cm="1">
        <f t="array" aca="1" ref="Y9" ca="1">TREND($K9:$P9,$K$1:$P$1,Y$1)</f>
        <v>#VALUE!</v>
      </c>
      <c r="Z9" t="e" cm="1">
        <f t="array" aca="1" ref="Z9" ca="1">TREND($K9:$P9,$K$1:$P$1,Z$1)</f>
        <v>#VALUE!</v>
      </c>
      <c r="AA9" t="e" cm="1">
        <f t="array" aca="1" ref="AA9" ca="1">TREND($K9:$P9,$K$1:$P$1,AA$1)</f>
        <v>#VALUE!</v>
      </c>
      <c r="AB9" t="e" cm="1">
        <f t="array" aca="1" ref="AB9" ca="1">TREND($K9:$P9,$K$1:$P$1,AB$1)</f>
        <v>#VALUE!</v>
      </c>
      <c r="AC9" t="e" cm="1">
        <f t="array" aca="1" ref="AC9" ca="1">TREND($K9:$P9,$K$1:$P$1,AC$1)</f>
        <v>#VALUE!</v>
      </c>
      <c r="AD9" t="e" cm="1">
        <f t="array" aca="1" ref="AD9" ca="1">TREND($K9:$P9,$K$1:$P$1,AD$1)</f>
        <v>#VALUE!</v>
      </c>
      <c r="AE9" t="e" cm="1">
        <f t="array" aca="1" ref="AE9" ca="1">TREND($K9:$P9,$K$1:$P$1,AE$1)</f>
        <v>#VALUE!</v>
      </c>
      <c r="AF9" t="e" cm="1">
        <f t="array" aca="1" ref="AF9" ca="1">TREND($K9:$P9,$K$1:$P$1,AF$1)</f>
        <v>#VALUE!</v>
      </c>
      <c r="AG9" t="e" cm="1">
        <f t="array" aca="1" ref="AG9" ca="1">TREND($K9:$P9,$K$1:$P$1,AG$1)</f>
        <v>#VALUE!</v>
      </c>
      <c r="AH9" t="e" cm="1">
        <f t="array" aca="1" ref="AH9" ca="1">TREND($K9:$P9,$K$1:$P$1,AH$1)</f>
        <v>#VALUE!</v>
      </c>
      <c r="AI9" t="e" cm="1">
        <f t="array" aca="1" ref="AI9" ca="1">TREND($K9:$P9,$K$1:$P$1,AI$1)</f>
        <v>#VALUE!</v>
      </c>
      <c r="AJ9" t="e" cm="1">
        <f t="array" aca="1" ref="AJ9" ca="1">TREND($K9:$P9,$K$1:$P$1,AJ$1)</f>
        <v>#VALUE!</v>
      </c>
    </row>
    <row r="10" spans="1:36">
      <c r="A10" t="s">
        <v>83</v>
      </c>
      <c r="B10" s="32" t="e" cm="1">
        <f t="array" aca="1" ref="B10" ca="1">INDIRECT(CONCATENATE("'",HLOOKUP(B$1,$B$21:$E$23,3,FALSE),"'!",$B$25,ROW($A10)+5))*About!$A$27</f>
        <v>#VALUE!</v>
      </c>
      <c r="C10" t="e">
        <f t="shared" ca="1" si="3"/>
        <v>#VALUE!</v>
      </c>
      <c r="D10" t="e">
        <f t="shared" ca="1" si="0"/>
        <v>#VALUE!</v>
      </c>
      <c r="E10" t="e">
        <f t="shared" ca="1" si="0"/>
        <v>#VALUE!</v>
      </c>
      <c r="F10" s="32" t="e" cm="1">
        <f t="array" aca="1" ref="F10" ca="1">INDIRECT(CONCATENATE("'",HLOOKUP(F$1,$B$21:$E$23,3,FALSE),"'!",$B$25,ROW($A10)+5))*About!$A$27</f>
        <v>#VALUE!</v>
      </c>
      <c r="G10" t="e">
        <f t="shared" ca="1" si="4"/>
        <v>#VALUE!</v>
      </c>
      <c r="H10" t="e">
        <f t="shared" ca="1" si="1"/>
        <v>#VALUE!</v>
      </c>
      <c r="I10" t="e">
        <f t="shared" ca="1" si="1"/>
        <v>#VALUE!</v>
      </c>
      <c r="J10" t="e">
        <f t="shared" ca="1" si="1"/>
        <v>#VALUE!</v>
      </c>
      <c r="K10" s="32" t="e" cm="1">
        <f t="array" aca="1" ref="K10" ca="1">INDIRECT(CONCATENATE("'",HLOOKUP(K$1,$B$21:$E$23,3,FALSE),"'!",$B$25,ROW($A10)+5))*About!$A$27</f>
        <v>#VALUE!</v>
      </c>
      <c r="L10" t="e">
        <f t="shared" ca="1" si="5"/>
        <v>#VALUE!</v>
      </c>
      <c r="M10" t="e">
        <f t="shared" ca="1" si="2"/>
        <v>#VALUE!</v>
      </c>
      <c r="N10" t="e">
        <f t="shared" ca="1" si="2"/>
        <v>#VALUE!</v>
      </c>
      <c r="O10" t="e">
        <f t="shared" ca="1" si="2"/>
        <v>#VALUE!</v>
      </c>
      <c r="P10" s="32" t="e" cm="1">
        <f t="array" aca="1" ref="P10" ca="1">INDIRECT(CONCATENATE("'",HLOOKUP(P$1,$B$21:$E$23,3,FALSE),"'!",$B$25,ROW($A10)+5))*About!$A$27</f>
        <v>#VALUE!</v>
      </c>
      <c r="Q10" t="e" cm="1">
        <f t="array" aca="1" ref="Q10" ca="1">TREND($K10:$P10,$K$1:$P$1,Q$1)</f>
        <v>#VALUE!</v>
      </c>
      <c r="R10" t="e" cm="1">
        <f t="array" aca="1" ref="R10" ca="1">TREND($K10:$P10,$K$1:$P$1,R$1)</f>
        <v>#VALUE!</v>
      </c>
      <c r="S10" t="e" cm="1">
        <f t="array" aca="1" ref="S10" ca="1">TREND($K10:$P10,$K$1:$P$1,S$1)</f>
        <v>#VALUE!</v>
      </c>
      <c r="T10" t="e" cm="1">
        <f t="array" aca="1" ref="T10" ca="1">TREND($K10:$P10,$K$1:$P$1,T$1)</f>
        <v>#VALUE!</v>
      </c>
      <c r="U10" t="e" cm="1">
        <f t="array" aca="1" ref="U10" ca="1">TREND($K10:$P10,$K$1:$P$1,U$1)</f>
        <v>#VALUE!</v>
      </c>
      <c r="V10" t="e" cm="1">
        <f t="array" aca="1" ref="V10" ca="1">TREND($K10:$P10,$K$1:$P$1,V$1)</f>
        <v>#VALUE!</v>
      </c>
      <c r="W10" t="e" cm="1">
        <f t="array" aca="1" ref="W10" ca="1">TREND($K10:$P10,$K$1:$P$1,W$1)</f>
        <v>#VALUE!</v>
      </c>
      <c r="X10" t="e" cm="1">
        <f t="array" aca="1" ref="X10" ca="1">TREND($K10:$P10,$K$1:$P$1,X$1)</f>
        <v>#VALUE!</v>
      </c>
      <c r="Y10" t="e" cm="1">
        <f t="array" aca="1" ref="Y10" ca="1">TREND($K10:$P10,$K$1:$P$1,Y$1)</f>
        <v>#VALUE!</v>
      </c>
      <c r="Z10" t="e" cm="1">
        <f t="array" aca="1" ref="Z10" ca="1">TREND($K10:$P10,$K$1:$P$1,Z$1)</f>
        <v>#VALUE!</v>
      </c>
      <c r="AA10" t="e" cm="1">
        <f t="array" aca="1" ref="AA10" ca="1">TREND($K10:$P10,$K$1:$P$1,AA$1)</f>
        <v>#VALUE!</v>
      </c>
      <c r="AB10" t="e" cm="1">
        <f t="array" aca="1" ref="AB10" ca="1">TREND($K10:$P10,$K$1:$P$1,AB$1)</f>
        <v>#VALUE!</v>
      </c>
      <c r="AC10" t="e" cm="1">
        <f t="array" aca="1" ref="AC10" ca="1">TREND($K10:$P10,$K$1:$P$1,AC$1)</f>
        <v>#VALUE!</v>
      </c>
      <c r="AD10" t="e" cm="1">
        <f t="array" aca="1" ref="AD10" ca="1">TREND($K10:$P10,$K$1:$P$1,AD$1)</f>
        <v>#VALUE!</v>
      </c>
      <c r="AE10" t="e" cm="1">
        <f t="array" aca="1" ref="AE10" ca="1">TREND($K10:$P10,$K$1:$P$1,AE$1)</f>
        <v>#VALUE!</v>
      </c>
      <c r="AF10" t="e" cm="1">
        <f t="array" aca="1" ref="AF10" ca="1">TREND($K10:$P10,$K$1:$P$1,AF$1)</f>
        <v>#VALUE!</v>
      </c>
      <c r="AG10" t="e" cm="1">
        <f t="array" aca="1" ref="AG10" ca="1">TREND($K10:$P10,$K$1:$P$1,AG$1)</f>
        <v>#VALUE!</v>
      </c>
      <c r="AH10" t="e" cm="1">
        <f t="array" aca="1" ref="AH10" ca="1">TREND($K10:$P10,$K$1:$P$1,AH$1)</f>
        <v>#VALUE!</v>
      </c>
      <c r="AI10" t="e" cm="1">
        <f t="array" aca="1" ref="AI10" ca="1">TREND($K10:$P10,$K$1:$P$1,AI$1)</f>
        <v>#VALUE!</v>
      </c>
      <c r="AJ10" t="e" cm="1">
        <f t="array" aca="1" ref="AJ10" ca="1">TREND($K10:$P10,$K$1:$P$1,AJ$1)</f>
        <v>#VALUE!</v>
      </c>
    </row>
    <row r="11" spans="1:36">
      <c r="A11" t="s">
        <v>84</v>
      </c>
      <c r="B11" s="32" t="e" cm="1">
        <f t="array" aca="1" ref="B11" ca="1">INDIRECT(CONCATENATE("'",HLOOKUP(B$1,$B$21:$E$23,3,FALSE),"'!",$B$25,ROW($A11)+5))*About!$A$27</f>
        <v>#VALUE!</v>
      </c>
      <c r="C11" t="e">
        <f t="shared" ca="1" si="3"/>
        <v>#VALUE!</v>
      </c>
      <c r="D11" t="e">
        <f t="shared" ca="1" si="0"/>
        <v>#VALUE!</v>
      </c>
      <c r="E11" t="e">
        <f t="shared" ca="1" si="0"/>
        <v>#VALUE!</v>
      </c>
      <c r="F11" s="32" t="e" cm="1">
        <f t="array" aca="1" ref="F11" ca="1">INDIRECT(CONCATENATE("'",HLOOKUP(F$1,$B$21:$E$23,3,FALSE),"'!",$B$25,ROW($A11)+5))*About!$A$27</f>
        <v>#VALUE!</v>
      </c>
      <c r="G11" t="e">
        <f t="shared" ca="1" si="4"/>
        <v>#VALUE!</v>
      </c>
      <c r="H11" t="e">
        <f t="shared" ca="1" si="1"/>
        <v>#VALUE!</v>
      </c>
      <c r="I11" t="e">
        <f t="shared" ca="1" si="1"/>
        <v>#VALUE!</v>
      </c>
      <c r="J11" t="e">
        <f t="shared" ca="1" si="1"/>
        <v>#VALUE!</v>
      </c>
      <c r="K11" s="32" t="e" cm="1">
        <f t="array" aca="1" ref="K11" ca="1">INDIRECT(CONCATENATE("'",HLOOKUP(K$1,$B$21:$E$23,3,FALSE),"'!",$B$25,ROW($A11)+5))*About!$A$27</f>
        <v>#VALUE!</v>
      </c>
      <c r="L11" t="e">
        <f t="shared" ca="1" si="5"/>
        <v>#VALUE!</v>
      </c>
      <c r="M11" t="e">
        <f t="shared" ca="1" si="2"/>
        <v>#VALUE!</v>
      </c>
      <c r="N11" t="e">
        <f t="shared" ca="1" si="2"/>
        <v>#VALUE!</v>
      </c>
      <c r="O11" t="e">
        <f t="shared" ca="1" si="2"/>
        <v>#VALUE!</v>
      </c>
      <c r="P11" s="32" t="e" cm="1">
        <f t="array" aca="1" ref="P11" ca="1">INDIRECT(CONCATENATE("'",HLOOKUP(P$1,$B$21:$E$23,3,FALSE),"'!",$B$25,ROW($A11)+5))*About!$A$27</f>
        <v>#VALUE!</v>
      </c>
      <c r="Q11" t="e" cm="1">
        <f t="array" aca="1" ref="Q11" ca="1">TREND($K11:$P11,$K$1:$P$1,Q$1)</f>
        <v>#VALUE!</v>
      </c>
      <c r="R11" t="e" cm="1">
        <f t="array" aca="1" ref="R11" ca="1">TREND($K11:$P11,$K$1:$P$1,R$1)</f>
        <v>#VALUE!</v>
      </c>
      <c r="S11" t="e" cm="1">
        <f t="array" aca="1" ref="S11" ca="1">TREND($K11:$P11,$K$1:$P$1,S$1)</f>
        <v>#VALUE!</v>
      </c>
      <c r="T11" t="e" cm="1">
        <f t="array" aca="1" ref="T11" ca="1">TREND($K11:$P11,$K$1:$P$1,T$1)</f>
        <v>#VALUE!</v>
      </c>
      <c r="U11" t="e" cm="1">
        <f t="array" aca="1" ref="U11" ca="1">TREND($K11:$P11,$K$1:$P$1,U$1)</f>
        <v>#VALUE!</v>
      </c>
      <c r="V11" t="e" cm="1">
        <f t="array" aca="1" ref="V11" ca="1">TREND($K11:$P11,$K$1:$P$1,V$1)</f>
        <v>#VALUE!</v>
      </c>
      <c r="W11" t="e" cm="1">
        <f t="array" aca="1" ref="W11" ca="1">TREND($K11:$P11,$K$1:$P$1,W$1)</f>
        <v>#VALUE!</v>
      </c>
      <c r="X11" t="e" cm="1">
        <f t="array" aca="1" ref="X11" ca="1">TREND($K11:$P11,$K$1:$P$1,X$1)</f>
        <v>#VALUE!</v>
      </c>
      <c r="Y11" t="e" cm="1">
        <f t="array" aca="1" ref="Y11" ca="1">TREND($K11:$P11,$K$1:$P$1,Y$1)</f>
        <v>#VALUE!</v>
      </c>
      <c r="Z11" t="e" cm="1">
        <f t="array" aca="1" ref="Z11" ca="1">TREND($K11:$P11,$K$1:$P$1,Z$1)</f>
        <v>#VALUE!</v>
      </c>
      <c r="AA11" t="e" cm="1">
        <f t="array" aca="1" ref="AA11" ca="1">TREND($K11:$P11,$K$1:$P$1,AA$1)</f>
        <v>#VALUE!</v>
      </c>
      <c r="AB11" t="e" cm="1">
        <f t="array" aca="1" ref="AB11" ca="1">TREND($K11:$P11,$K$1:$P$1,AB$1)</f>
        <v>#VALUE!</v>
      </c>
      <c r="AC11" t="e" cm="1">
        <f t="array" aca="1" ref="AC11" ca="1">TREND($K11:$P11,$K$1:$P$1,AC$1)</f>
        <v>#VALUE!</v>
      </c>
      <c r="AD11" t="e" cm="1">
        <f t="array" aca="1" ref="AD11" ca="1">TREND($K11:$P11,$K$1:$P$1,AD$1)</f>
        <v>#VALUE!</v>
      </c>
      <c r="AE11" t="e" cm="1">
        <f t="array" aca="1" ref="AE11" ca="1">TREND($K11:$P11,$K$1:$P$1,AE$1)</f>
        <v>#VALUE!</v>
      </c>
      <c r="AF11" t="e" cm="1">
        <f t="array" aca="1" ref="AF11" ca="1">TREND($K11:$P11,$K$1:$P$1,AF$1)</f>
        <v>#VALUE!</v>
      </c>
      <c r="AG11" t="e" cm="1">
        <f t="array" aca="1" ref="AG11" ca="1">TREND($K11:$P11,$K$1:$P$1,AG$1)</f>
        <v>#VALUE!</v>
      </c>
      <c r="AH11" t="e" cm="1">
        <f t="array" aca="1" ref="AH11" ca="1">TREND($K11:$P11,$K$1:$P$1,AH$1)</f>
        <v>#VALUE!</v>
      </c>
      <c r="AI11" t="e" cm="1">
        <f t="array" aca="1" ref="AI11" ca="1">TREND($K11:$P11,$K$1:$P$1,AI$1)</f>
        <v>#VALUE!</v>
      </c>
      <c r="AJ11" t="e" cm="1">
        <f t="array" aca="1" ref="AJ11" ca="1">TREND($K11:$P11,$K$1:$P$1,AJ$1)</f>
        <v>#VALUE!</v>
      </c>
    </row>
    <row r="12" spans="1:36">
      <c r="A12" t="s">
        <v>85</v>
      </c>
      <c r="B12" s="33" t="e">
        <f ca="1">SUM(INDIRECT(CONCATENATE("'",HLOOKUP(B$1,$B$21:$E$23,3,FALSE),"'!",$B$25,ROW($A12)+5,":",$B$25,ROW($A12)+6)))*About!$A$27</f>
        <v>#VALUE!</v>
      </c>
      <c r="C12" t="e">
        <f t="shared" ca="1" si="3"/>
        <v>#VALUE!</v>
      </c>
      <c r="D12" t="e">
        <f t="shared" ca="1" si="0"/>
        <v>#VALUE!</v>
      </c>
      <c r="E12" t="e">
        <f t="shared" ca="1" si="0"/>
        <v>#VALUE!</v>
      </c>
      <c r="F12" s="33" t="e">
        <f ca="1">SUM(INDIRECT(CONCATENATE("'",HLOOKUP(F$1,$B$21:$E$23,3,FALSE),"'!",$B$25,ROW($A12)+5,":",$B$25,ROW($A12)+6)))*About!$A$27</f>
        <v>#VALUE!</v>
      </c>
      <c r="G12" t="e">
        <f t="shared" ca="1" si="4"/>
        <v>#VALUE!</v>
      </c>
      <c r="H12" t="e">
        <f t="shared" ca="1" si="1"/>
        <v>#VALUE!</v>
      </c>
      <c r="I12" t="e">
        <f t="shared" ca="1" si="1"/>
        <v>#VALUE!</v>
      </c>
      <c r="J12" t="e">
        <f t="shared" ca="1" si="1"/>
        <v>#VALUE!</v>
      </c>
      <c r="K12" s="33" t="e">
        <f ca="1">SUM(INDIRECT(CONCATENATE("'",HLOOKUP(K$1,$B$21:$E$23,3,FALSE),"'!",$B$25,ROW($A12)+5,":",$B$25,ROW($A12)+6)))*About!$A$27</f>
        <v>#VALUE!</v>
      </c>
      <c r="L12" t="e">
        <f t="shared" ca="1" si="5"/>
        <v>#VALUE!</v>
      </c>
      <c r="M12" t="e">
        <f t="shared" ca="1" si="2"/>
        <v>#VALUE!</v>
      </c>
      <c r="N12" t="e">
        <f t="shared" ca="1" si="2"/>
        <v>#VALUE!</v>
      </c>
      <c r="O12" t="e">
        <f t="shared" ca="1" si="2"/>
        <v>#VALUE!</v>
      </c>
      <c r="P12" s="33" t="e">
        <f ca="1">SUM(INDIRECT(CONCATENATE("'",HLOOKUP(P$1,$B$21:$E$23,3,FALSE),"'!",$B$25,ROW($A12)+5,":",$B$25,ROW($A12)+6)))*About!$A$27</f>
        <v>#VALUE!</v>
      </c>
      <c r="Q12" t="e" cm="1">
        <f t="array" aca="1" ref="Q12" ca="1">TREND($K12:$P12,$K$1:$P$1,Q$1)</f>
        <v>#VALUE!</v>
      </c>
      <c r="R12" t="e" cm="1">
        <f t="array" aca="1" ref="R12" ca="1">TREND($K12:$P12,$K$1:$P$1,R$1)</f>
        <v>#VALUE!</v>
      </c>
      <c r="S12" t="e" cm="1">
        <f t="array" aca="1" ref="S12" ca="1">TREND($K12:$P12,$K$1:$P$1,S$1)</f>
        <v>#VALUE!</v>
      </c>
      <c r="T12" t="e" cm="1">
        <f t="array" aca="1" ref="T12" ca="1">TREND($K12:$P12,$K$1:$P$1,T$1)</f>
        <v>#VALUE!</v>
      </c>
      <c r="U12" t="e" cm="1">
        <f t="array" aca="1" ref="U12" ca="1">TREND($K12:$P12,$K$1:$P$1,U$1)</f>
        <v>#VALUE!</v>
      </c>
      <c r="V12" t="e" cm="1">
        <f t="array" aca="1" ref="V12" ca="1">TREND($K12:$P12,$K$1:$P$1,V$1)</f>
        <v>#VALUE!</v>
      </c>
      <c r="W12" t="e" cm="1">
        <f t="array" aca="1" ref="W12" ca="1">TREND($K12:$P12,$K$1:$P$1,W$1)</f>
        <v>#VALUE!</v>
      </c>
      <c r="X12" t="e" cm="1">
        <f t="array" aca="1" ref="X12" ca="1">TREND($K12:$P12,$K$1:$P$1,X$1)</f>
        <v>#VALUE!</v>
      </c>
      <c r="Y12" t="e" cm="1">
        <f t="array" aca="1" ref="Y12" ca="1">TREND($K12:$P12,$K$1:$P$1,Y$1)</f>
        <v>#VALUE!</v>
      </c>
      <c r="Z12" t="e" cm="1">
        <f t="array" aca="1" ref="Z12" ca="1">TREND($K12:$P12,$K$1:$P$1,Z$1)</f>
        <v>#VALUE!</v>
      </c>
      <c r="AA12" t="e" cm="1">
        <f t="array" aca="1" ref="AA12" ca="1">TREND($K12:$P12,$K$1:$P$1,AA$1)</f>
        <v>#VALUE!</v>
      </c>
      <c r="AB12" t="e" cm="1">
        <f t="array" aca="1" ref="AB12" ca="1">TREND($K12:$P12,$K$1:$P$1,AB$1)</f>
        <v>#VALUE!</v>
      </c>
      <c r="AC12" t="e" cm="1">
        <f t="array" aca="1" ref="AC12" ca="1">TREND($K12:$P12,$K$1:$P$1,AC$1)</f>
        <v>#VALUE!</v>
      </c>
      <c r="AD12" t="e" cm="1">
        <f t="array" aca="1" ref="AD12" ca="1">TREND($K12:$P12,$K$1:$P$1,AD$1)</f>
        <v>#VALUE!</v>
      </c>
      <c r="AE12" t="e" cm="1">
        <f t="array" aca="1" ref="AE12" ca="1">TREND($K12:$P12,$K$1:$P$1,AE$1)</f>
        <v>#VALUE!</v>
      </c>
      <c r="AF12" t="e" cm="1">
        <f t="array" aca="1" ref="AF12" ca="1">TREND($K12:$P12,$K$1:$P$1,AF$1)</f>
        <v>#VALUE!</v>
      </c>
      <c r="AG12" t="e" cm="1">
        <f t="array" aca="1" ref="AG12" ca="1">TREND($K12:$P12,$K$1:$P$1,AG$1)</f>
        <v>#VALUE!</v>
      </c>
      <c r="AH12" t="e" cm="1">
        <f t="array" aca="1" ref="AH12" ca="1">TREND($K12:$P12,$K$1:$P$1,AH$1)</f>
        <v>#VALUE!</v>
      </c>
      <c r="AI12" t="e" cm="1">
        <f t="array" aca="1" ref="AI12" ca="1">TREND($K12:$P12,$K$1:$P$1,AI$1)</f>
        <v>#VALUE!</v>
      </c>
      <c r="AJ12" t="e" cm="1">
        <f t="array" aca="1" ref="AJ12" ca="1">TREND($K12:$P12,$K$1:$P$1,AJ$1)</f>
        <v>#VALUE!</v>
      </c>
    </row>
    <row r="16" spans="1:36">
      <c r="A16" s="20" t="s">
        <v>86</v>
      </c>
      <c r="B16" s="21"/>
      <c r="C16" s="21"/>
      <c r="D16" s="21"/>
    </row>
    <row r="17" spans="1:5">
      <c r="A17" t="s">
        <v>87</v>
      </c>
      <c r="B17" t="e" cm="1">
        <f t="array" aca="1" ref="B17" ca="1">MID(CELL("filename",A17),FIND("]",CELL("filename",A17))+1,255)</f>
        <v>#VALUE!</v>
      </c>
    </row>
    <row r="18" spans="1:5">
      <c r="A18" t="s">
        <v>88</v>
      </c>
      <c r="B18" t="e">
        <f ca="1">RIGHT(B17,LEN(B17)-7)</f>
        <v>#VALUE!</v>
      </c>
    </row>
    <row r="19" spans="1:5">
      <c r="A19" t="s">
        <v>89</v>
      </c>
      <c r="B19" t="e">
        <f ca="1">LEFT(B18,FIND("-",B18)-1)</f>
        <v>#VALUE!</v>
      </c>
    </row>
    <row r="20" spans="1:5">
      <c r="A20" t="s">
        <v>90</v>
      </c>
      <c r="B20" t="e">
        <f ca="1">VLOOKUP($B$19,Mappings!$A$22:$B$26,COLUMN(Mappings!$B$21),FALSE)</f>
        <v>#VALUE!</v>
      </c>
    </row>
    <row r="21" spans="1:5">
      <c r="A21" s="23"/>
      <c r="B21" s="24">
        <v>2016</v>
      </c>
      <c r="C21" s="24">
        <v>2020</v>
      </c>
      <c r="D21" s="24">
        <v>2025</v>
      </c>
      <c r="E21" s="25">
        <v>2030</v>
      </c>
    </row>
    <row r="22" spans="1:5">
      <c r="A22" s="26" t="s">
        <v>91</v>
      </c>
      <c r="B22" s="2" t="e">
        <f ca="1">VLOOKUP($B$20,Mappings!$A$3:$E$19,COLUMN(Mappings!B$2),FALSE)</f>
        <v>#VALUE!</v>
      </c>
      <c r="C22" s="2" t="e">
        <f ca="1">VLOOKUP($B$20,Mappings!$A$3:$E$19,COLUMN(Mappings!C$2),FALSE)</f>
        <v>#VALUE!</v>
      </c>
      <c r="D22" s="2" t="e">
        <f ca="1">VLOOKUP($B$20,Mappings!$A$3:$E$19,COLUMN(Mappings!D$2),FALSE)</f>
        <v>#VALUE!</v>
      </c>
      <c r="E22" s="27" t="e">
        <f ca="1">VLOOKUP($B$20,Mappings!$A$3:$E$19,COLUMN(Mappings!E$2),FALSE)</f>
        <v>#VALUE!</v>
      </c>
    </row>
    <row r="23" spans="1:5">
      <c r="A23" s="28" t="s">
        <v>87</v>
      </c>
      <c r="B23" s="29" t="e">
        <f ca="1">CONCATENATE("Table ",B22)</f>
        <v>#VALUE!</v>
      </c>
      <c r="C23" s="29" t="e">
        <f ca="1">CONCATENATE("Table ",C22)</f>
        <v>#VALUE!</v>
      </c>
      <c r="D23" s="29" t="e">
        <f ca="1">CONCATENATE("Table ",D22)</f>
        <v>#VALUE!</v>
      </c>
      <c r="E23" s="30" t="e">
        <f ca="1">CONCATENATE("Table ",E22)</f>
        <v>#VALUE!</v>
      </c>
    </row>
    <row r="24" spans="1:5">
      <c r="A24" t="s">
        <v>92</v>
      </c>
      <c r="B24" t="e">
        <f ca="1">REPLACE(B18,1,FIND("-",B18),"")</f>
        <v>#VALUE!</v>
      </c>
    </row>
    <row r="25" spans="1:5">
      <c r="A25" t="s">
        <v>93</v>
      </c>
      <c r="B25" s="2" t="e">
        <f ca="1">VLOOKUP($B$24,Mappings!$A$29:$B$31,COLUMN(Mappings!$B$29),FALSE)</f>
        <v>#VALUE!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FD8E0-51AA-4FAD-925B-2D32F70CFAFD}">
  <sheetPr>
    <tabColor theme="4" tint="-0.249977111117893"/>
  </sheetPr>
  <dimension ref="A1:AJ25"/>
  <sheetViews>
    <sheetView workbookViewId="0"/>
  </sheetViews>
  <sheetFormatPr defaultColWidth="8.7109375" defaultRowHeight="14.45"/>
  <cols>
    <col min="1" max="1" width="33.7109375" customWidth="1"/>
  </cols>
  <sheetData>
    <row r="1" spans="1:36" s="1" customFormat="1">
      <c r="A1" s="22" t="s">
        <v>74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>
      <c r="A2" t="s">
        <v>75</v>
      </c>
      <c r="B2" s="31" t="e" cm="1">
        <f t="array" aca="1" ref="B2" ca="1">INDIRECT(CONCATENATE("'",HLOOKUP(B$1,$B$21:$E$23,3,FALSE),"'!",$B$25,ROW($A2)+3))*About!$A$27</f>
        <v>#VALUE!</v>
      </c>
      <c r="C2" t="e">
        <f ca="1">$B2+($F2-$B2)*(C$1-$B$1)/($F$1-$B$1)</f>
        <v>#VALUE!</v>
      </c>
      <c r="D2" t="e">
        <f t="shared" ref="D2:E12" ca="1" si="0">$B2+($F2-$B2)*(D$1-$B$1)/($F$1-$B$1)</f>
        <v>#VALUE!</v>
      </c>
      <c r="E2" t="e">
        <f t="shared" ca="1" si="0"/>
        <v>#VALUE!</v>
      </c>
      <c r="F2" s="31" t="e" cm="1">
        <f t="array" aca="1" ref="F2" ca="1">INDIRECT(CONCATENATE("'",HLOOKUP(F$1,$B$21:$E$23,3,FALSE),"'!",$B$25,ROW($A2)+3))*About!$A$27</f>
        <v>#VALUE!</v>
      </c>
      <c r="G2" t="e">
        <f ca="1">$F2+($K2-$F2)*(G$1-$F$1)/($K$1-$F$1)</f>
        <v>#VALUE!</v>
      </c>
      <c r="H2" t="e">
        <f t="shared" ref="H2:J12" ca="1" si="1">$F2+($K2-$F2)*(H$1-$F$1)/($K$1-$F$1)</f>
        <v>#VALUE!</v>
      </c>
      <c r="I2" t="e">
        <f t="shared" ca="1" si="1"/>
        <v>#VALUE!</v>
      </c>
      <c r="J2" t="e">
        <f t="shared" ca="1" si="1"/>
        <v>#VALUE!</v>
      </c>
      <c r="K2" s="31" t="e" cm="1">
        <f t="array" aca="1" ref="K2" ca="1">INDIRECT(CONCATENATE("'",HLOOKUP(K$1,$B$21:$E$23,3,FALSE),"'!",$B$25,ROW($A2)+3))*About!$A$27</f>
        <v>#VALUE!</v>
      </c>
      <c r="L2" t="e">
        <f ca="1">$K2+($P2-$K2)*(L$1-$K$1)/($P$1-$K$1)</f>
        <v>#VALUE!</v>
      </c>
      <c r="M2" t="e">
        <f t="shared" ref="M2:O12" ca="1" si="2">$K2+($P2-$K2)*(M$1-$K$1)/($P$1-$K$1)</f>
        <v>#VALUE!</v>
      </c>
      <c r="N2" t="e">
        <f t="shared" ca="1" si="2"/>
        <v>#VALUE!</v>
      </c>
      <c r="O2" t="e">
        <f t="shared" ca="1" si="2"/>
        <v>#VALUE!</v>
      </c>
      <c r="P2" s="31" t="e" cm="1">
        <f t="array" aca="1" ref="P2" ca="1">INDIRECT(CONCATENATE("'",HLOOKUP(P$1,$B$21:$E$23,3,FALSE),"'!",$B$25,ROW($A2)+3))*About!$A$27</f>
        <v>#VALUE!</v>
      </c>
      <c r="Q2" t="e" cm="1">
        <f t="array" aca="1" ref="Q2" ca="1">TREND($K2:$P2,$K$1:$P$1,Q$1)</f>
        <v>#VALUE!</v>
      </c>
      <c r="R2" t="e" cm="1">
        <f t="array" aca="1" ref="R2" ca="1">TREND($K2:$P2,$K$1:$P$1,R$1)</f>
        <v>#VALUE!</v>
      </c>
      <c r="S2" t="e" cm="1">
        <f t="array" aca="1" ref="S2" ca="1">TREND($K2:$P2,$K$1:$P$1,S$1)</f>
        <v>#VALUE!</v>
      </c>
      <c r="T2" t="e" cm="1">
        <f t="array" aca="1" ref="T2" ca="1">TREND($K2:$P2,$K$1:$P$1,T$1)</f>
        <v>#VALUE!</v>
      </c>
      <c r="U2" t="e" cm="1">
        <f t="array" aca="1" ref="U2" ca="1">TREND($K2:$P2,$K$1:$P$1,U$1)</f>
        <v>#VALUE!</v>
      </c>
      <c r="V2" t="e" cm="1">
        <f t="array" aca="1" ref="V2" ca="1">TREND($K2:$P2,$K$1:$P$1,V$1)</f>
        <v>#VALUE!</v>
      </c>
      <c r="W2" t="e" cm="1">
        <f t="array" aca="1" ref="W2" ca="1">TREND($K2:$P2,$K$1:$P$1,W$1)</f>
        <v>#VALUE!</v>
      </c>
      <c r="X2" t="e" cm="1">
        <f t="array" aca="1" ref="X2" ca="1">TREND($K2:$P2,$K$1:$P$1,X$1)</f>
        <v>#VALUE!</v>
      </c>
      <c r="Y2" t="e" cm="1">
        <f t="array" aca="1" ref="Y2" ca="1">TREND($K2:$P2,$K$1:$P$1,Y$1)</f>
        <v>#VALUE!</v>
      </c>
      <c r="Z2" t="e" cm="1">
        <f t="array" aca="1" ref="Z2" ca="1">TREND($K2:$P2,$K$1:$P$1,Z$1)</f>
        <v>#VALUE!</v>
      </c>
      <c r="AA2" t="e" cm="1">
        <f t="array" aca="1" ref="AA2" ca="1">TREND($K2:$P2,$K$1:$P$1,AA$1)</f>
        <v>#VALUE!</v>
      </c>
      <c r="AB2" t="e" cm="1">
        <f t="array" aca="1" ref="AB2" ca="1">TREND($K2:$P2,$K$1:$P$1,AB$1)</f>
        <v>#VALUE!</v>
      </c>
      <c r="AC2" t="e" cm="1">
        <f t="array" aca="1" ref="AC2" ca="1">TREND($K2:$P2,$K$1:$P$1,AC$1)</f>
        <v>#VALUE!</v>
      </c>
      <c r="AD2" t="e" cm="1">
        <f t="array" aca="1" ref="AD2" ca="1">TREND($K2:$P2,$K$1:$P$1,AD$1)</f>
        <v>#VALUE!</v>
      </c>
      <c r="AE2" t="e" cm="1">
        <f t="array" aca="1" ref="AE2" ca="1">TREND($K2:$P2,$K$1:$P$1,AE$1)</f>
        <v>#VALUE!</v>
      </c>
      <c r="AF2" t="e" cm="1">
        <f t="array" aca="1" ref="AF2" ca="1">TREND($K2:$P2,$K$1:$P$1,AF$1)</f>
        <v>#VALUE!</v>
      </c>
      <c r="AG2" t="e" cm="1">
        <f t="array" aca="1" ref="AG2" ca="1">TREND($K2:$P2,$K$1:$P$1,AG$1)</f>
        <v>#VALUE!</v>
      </c>
      <c r="AH2" t="e" cm="1">
        <f t="array" aca="1" ref="AH2" ca="1">TREND($K2:$P2,$K$1:$P$1,AH$1)</f>
        <v>#VALUE!</v>
      </c>
      <c r="AI2" t="e" cm="1">
        <f t="array" aca="1" ref="AI2" ca="1">TREND($K2:$P2,$K$1:$P$1,AI$1)</f>
        <v>#VALUE!</v>
      </c>
      <c r="AJ2" t="e" cm="1">
        <f t="array" aca="1" ref="AJ2" ca="1">TREND($K2:$P2,$K$1:$P$1,AJ$1)</f>
        <v>#VALUE!</v>
      </c>
    </row>
    <row r="3" spans="1:36">
      <c r="A3" t="s">
        <v>76</v>
      </c>
      <c r="B3" s="32" t="e" cm="1">
        <f t="array" aca="1" ref="B3" ca="1">INDIRECT(CONCATENATE("'",HLOOKUP(B$1,$B$21:$E$23,3,FALSE),"'!",$B$25,ROW($A3)+5))*About!$A$27</f>
        <v>#VALUE!</v>
      </c>
      <c r="C3" t="e">
        <f t="shared" ref="C3:C12" ca="1" si="3">$B3+($F3-$B3)*(C$1-$B$1)/($F$1-$B$1)</f>
        <v>#VALUE!</v>
      </c>
      <c r="D3" t="e">
        <f t="shared" ca="1" si="0"/>
        <v>#VALUE!</v>
      </c>
      <c r="E3" t="e">
        <f t="shared" ca="1" si="0"/>
        <v>#VALUE!</v>
      </c>
      <c r="F3" s="32" t="e" cm="1">
        <f t="array" aca="1" ref="F3" ca="1">INDIRECT(CONCATENATE("'",HLOOKUP(F$1,$B$21:$E$23,3,FALSE),"'!",$B$25,ROW($A3)+5))*About!$A$27</f>
        <v>#VALUE!</v>
      </c>
      <c r="G3" t="e">
        <f t="shared" ref="G3:G12" ca="1" si="4">$F3+($K3-$F3)*(G$1-$F$1)/($K$1-$F$1)</f>
        <v>#VALUE!</v>
      </c>
      <c r="H3" t="e">
        <f t="shared" ca="1" si="1"/>
        <v>#VALUE!</v>
      </c>
      <c r="I3" t="e">
        <f t="shared" ca="1" si="1"/>
        <v>#VALUE!</v>
      </c>
      <c r="J3" t="e">
        <f t="shared" ca="1" si="1"/>
        <v>#VALUE!</v>
      </c>
      <c r="K3" s="32" t="e" cm="1">
        <f t="array" aca="1" ref="K3" ca="1">INDIRECT(CONCATENATE("'",HLOOKUP(K$1,$B$21:$E$23,3,FALSE),"'!",$B$25,ROW($A3)+5))*About!$A$27</f>
        <v>#VALUE!</v>
      </c>
      <c r="L3" t="e">
        <f t="shared" ref="L3:L12" ca="1" si="5">$K3+($P3-$K3)*(L$1-$K$1)/($P$1-$K$1)</f>
        <v>#VALUE!</v>
      </c>
      <c r="M3" t="e">
        <f t="shared" ca="1" si="2"/>
        <v>#VALUE!</v>
      </c>
      <c r="N3" t="e">
        <f t="shared" ca="1" si="2"/>
        <v>#VALUE!</v>
      </c>
      <c r="O3" t="e">
        <f t="shared" ca="1" si="2"/>
        <v>#VALUE!</v>
      </c>
      <c r="P3" s="32" t="e" cm="1">
        <f t="array" aca="1" ref="P3" ca="1">INDIRECT(CONCATENATE("'",HLOOKUP(P$1,$B$21:$E$23,3,FALSE),"'!",$B$25,ROW($A3)+5))*About!$A$27</f>
        <v>#VALUE!</v>
      </c>
      <c r="Q3" t="e" cm="1">
        <f t="array" aca="1" ref="Q3" ca="1">TREND($K3:$P3,$K$1:$P$1,Q$1)</f>
        <v>#VALUE!</v>
      </c>
      <c r="R3" t="e" cm="1">
        <f t="array" aca="1" ref="R3" ca="1">TREND($K3:$P3,$K$1:$P$1,R$1)</f>
        <v>#VALUE!</v>
      </c>
      <c r="S3" t="e" cm="1">
        <f t="array" aca="1" ref="S3" ca="1">TREND($K3:$P3,$K$1:$P$1,S$1)</f>
        <v>#VALUE!</v>
      </c>
      <c r="T3" t="e" cm="1">
        <f t="array" aca="1" ref="T3" ca="1">TREND($K3:$P3,$K$1:$P$1,T$1)</f>
        <v>#VALUE!</v>
      </c>
      <c r="U3" t="e" cm="1">
        <f t="array" aca="1" ref="U3" ca="1">TREND($K3:$P3,$K$1:$P$1,U$1)</f>
        <v>#VALUE!</v>
      </c>
      <c r="V3" t="e" cm="1">
        <f t="array" aca="1" ref="V3" ca="1">TREND($K3:$P3,$K$1:$P$1,V$1)</f>
        <v>#VALUE!</v>
      </c>
      <c r="W3" t="e" cm="1">
        <f t="array" aca="1" ref="W3" ca="1">TREND($K3:$P3,$K$1:$P$1,W$1)</f>
        <v>#VALUE!</v>
      </c>
      <c r="X3" t="e" cm="1">
        <f t="array" aca="1" ref="X3" ca="1">TREND($K3:$P3,$K$1:$P$1,X$1)</f>
        <v>#VALUE!</v>
      </c>
      <c r="Y3" t="e" cm="1">
        <f t="array" aca="1" ref="Y3" ca="1">TREND($K3:$P3,$K$1:$P$1,Y$1)</f>
        <v>#VALUE!</v>
      </c>
      <c r="Z3" t="e" cm="1">
        <f t="array" aca="1" ref="Z3" ca="1">TREND($K3:$P3,$K$1:$P$1,Z$1)</f>
        <v>#VALUE!</v>
      </c>
      <c r="AA3" t="e" cm="1">
        <f t="array" aca="1" ref="AA3" ca="1">TREND($K3:$P3,$K$1:$P$1,AA$1)</f>
        <v>#VALUE!</v>
      </c>
      <c r="AB3" t="e" cm="1">
        <f t="array" aca="1" ref="AB3" ca="1">TREND($K3:$P3,$K$1:$P$1,AB$1)</f>
        <v>#VALUE!</v>
      </c>
      <c r="AC3" t="e" cm="1">
        <f t="array" aca="1" ref="AC3" ca="1">TREND($K3:$P3,$K$1:$P$1,AC$1)</f>
        <v>#VALUE!</v>
      </c>
      <c r="AD3" t="e" cm="1">
        <f t="array" aca="1" ref="AD3" ca="1">TREND($K3:$P3,$K$1:$P$1,AD$1)</f>
        <v>#VALUE!</v>
      </c>
      <c r="AE3" t="e" cm="1">
        <f t="array" aca="1" ref="AE3" ca="1">TREND($K3:$P3,$K$1:$P$1,AE$1)</f>
        <v>#VALUE!</v>
      </c>
      <c r="AF3" t="e" cm="1">
        <f t="array" aca="1" ref="AF3" ca="1">TREND($K3:$P3,$K$1:$P$1,AF$1)</f>
        <v>#VALUE!</v>
      </c>
      <c r="AG3" t="e" cm="1">
        <f t="array" aca="1" ref="AG3" ca="1">TREND($K3:$P3,$K$1:$P$1,AG$1)</f>
        <v>#VALUE!</v>
      </c>
      <c r="AH3" t="e" cm="1">
        <f t="array" aca="1" ref="AH3" ca="1">TREND($K3:$P3,$K$1:$P$1,AH$1)</f>
        <v>#VALUE!</v>
      </c>
      <c r="AI3" t="e" cm="1">
        <f t="array" aca="1" ref="AI3" ca="1">TREND($K3:$P3,$K$1:$P$1,AI$1)</f>
        <v>#VALUE!</v>
      </c>
      <c r="AJ3" t="e" cm="1">
        <f t="array" aca="1" ref="AJ3" ca="1">TREND($K3:$P3,$K$1:$P$1,AJ$1)</f>
        <v>#VALUE!</v>
      </c>
    </row>
    <row r="4" spans="1:36">
      <c r="A4" t="s">
        <v>77</v>
      </c>
      <c r="B4" s="32" t="e" cm="1">
        <f t="array" aca="1" ref="B4" ca="1">INDIRECT(CONCATENATE("'",HLOOKUP(B$1,$B$21:$E$23,3,FALSE),"'!",$B$25,ROW($A4)+5))*About!$A$27</f>
        <v>#VALUE!</v>
      </c>
      <c r="C4" t="e">
        <f t="shared" ca="1" si="3"/>
        <v>#VALUE!</v>
      </c>
      <c r="D4" t="e">
        <f t="shared" ca="1" si="0"/>
        <v>#VALUE!</v>
      </c>
      <c r="E4" t="e">
        <f t="shared" ca="1" si="0"/>
        <v>#VALUE!</v>
      </c>
      <c r="F4" s="32" t="e" cm="1">
        <f t="array" aca="1" ref="F4" ca="1">INDIRECT(CONCATENATE("'",HLOOKUP(F$1,$B$21:$E$23,3,FALSE),"'!",$B$25,ROW($A4)+5))*About!$A$27</f>
        <v>#VALUE!</v>
      </c>
      <c r="G4" t="e">
        <f t="shared" ca="1" si="4"/>
        <v>#VALUE!</v>
      </c>
      <c r="H4" t="e">
        <f t="shared" ca="1" si="1"/>
        <v>#VALUE!</v>
      </c>
      <c r="I4" t="e">
        <f t="shared" ca="1" si="1"/>
        <v>#VALUE!</v>
      </c>
      <c r="J4" t="e">
        <f t="shared" ca="1" si="1"/>
        <v>#VALUE!</v>
      </c>
      <c r="K4" s="32" t="e" cm="1">
        <f t="array" aca="1" ref="K4" ca="1">INDIRECT(CONCATENATE("'",HLOOKUP(K$1,$B$21:$E$23,3,FALSE),"'!",$B$25,ROW($A4)+5))*About!$A$27</f>
        <v>#VALUE!</v>
      </c>
      <c r="L4" t="e">
        <f t="shared" ca="1" si="5"/>
        <v>#VALUE!</v>
      </c>
      <c r="M4" t="e">
        <f t="shared" ca="1" si="2"/>
        <v>#VALUE!</v>
      </c>
      <c r="N4" t="e">
        <f t="shared" ca="1" si="2"/>
        <v>#VALUE!</v>
      </c>
      <c r="O4" t="e">
        <f t="shared" ca="1" si="2"/>
        <v>#VALUE!</v>
      </c>
      <c r="P4" s="32" t="e" cm="1">
        <f t="array" aca="1" ref="P4" ca="1">INDIRECT(CONCATENATE("'",HLOOKUP(P$1,$B$21:$E$23,3,FALSE),"'!",$B$25,ROW($A4)+5))*About!$A$27</f>
        <v>#VALUE!</v>
      </c>
      <c r="Q4" t="e" cm="1">
        <f t="array" aca="1" ref="Q4" ca="1">TREND($K4:$P4,$K$1:$P$1,Q$1)</f>
        <v>#VALUE!</v>
      </c>
      <c r="R4" t="e" cm="1">
        <f t="array" aca="1" ref="R4" ca="1">TREND($K4:$P4,$K$1:$P$1,R$1)</f>
        <v>#VALUE!</v>
      </c>
      <c r="S4" t="e" cm="1">
        <f t="array" aca="1" ref="S4" ca="1">TREND($K4:$P4,$K$1:$P$1,S$1)</f>
        <v>#VALUE!</v>
      </c>
      <c r="T4" t="e" cm="1">
        <f t="array" aca="1" ref="T4" ca="1">TREND($K4:$P4,$K$1:$P$1,T$1)</f>
        <v>#VALUE!</v>
      </c>
      <c r="U4" t="e" cm="1">
        <f t="array" aca="1" ref="U4" ca="1">TREND($K4:$P4,$K$1:$P$1,U$1)</f>
        <v>#VALUE!</v>
      </c>
      <c r="V4" t="e" cm="1">
        <f t="array" aca="1" ref="V4" ca="1">TREND($K4:$P4,$K$1:$P$1,V$1)</f>
        <v>#VALUE!</v>
      </c>
      <c r="W4" t="e" cm="1">
        <f t="array" aca="1" ref="W4" ca="1">TREND($K4:$P4,$K$1:$P$1,W$1)</f>
        <v>#VALUE!</v>
      </c>
      <c r="X4" t="e" cm="1">
        <f t="array" aca="1" ref="X4" ca="1">TREND($K4:$P4,$K$1:$P$1,X$1)</f>
        <v>#VALUE!</v>
      </c>
      <c r="Y4" t="e" cm="1">
        <f t="array" aca="1" ref="Y4" ca="1">TREND($K4:$P4,$K$1:$P$1,Y$1)</f>
        <v>#VALUE!</v>
      </c>
      <c r="Z4" t="e" cm="1">
        <f t="array" aca="1" ref="Z4" ca="1">TREND($K4:$P4,$K$1:$P$1,Z$1)</f>
        <v>#VALUE!</v>
      </c>
      <c r="AA4" t="e" cm="1">
        <f t="array" aca="1" ref="AA4" ca="1">TREND($K4:$P4,$K$1:$P$1,AA$1)</f>
        <v>#VALUE!</v>
      </c>
      <c r="AB4" t="e" cm="1">
        <f t="array" aca="1" ref="AB4" ca="1">TREND($K4:$P4,$K$1:$P$1,AB$1)</f>
        <v>#VALUE!</v>
      </c>
      <c r="AC4" t="e" cm="1">
        <f t="array" aca="1" ref="AC4" ca="1">TREND($K4:$P4,$K$1:$P$1,AC$1)</f>
        <v>#VALUE!</v>
      </c>
      <c r="AD4" t="e" cm="1">
        <f t="array" aca="1" ref="AD4" ca="1">TREND($K4:$P4,$K$1:$P$1,AD$1)</f>
        <v>#VALUE!</v>
      </c>
      <c r="AE4" t="e" cm="1">
        <f t="array" aca="1" ref="AE4" ca="1">TREND($K4:$P4,$K$1:$P$1,AE$1)</f>
        <v>#VALUE!</v>
      </c>
      <c r="AF4" t="e" cm="1">
        <f t="array" aca="1" ref="AF4" ca="1">TREND($K4:$P4,$K$1:$P$1,AF$1)</f>
        <v>#VALUE!</v>
      </c>
      <c r="AG4" t="e" cm="1">
        <f t="array" aca="1" ref="AG4" ca="1">TREND($K4:$P4,$K$1:$P$1,AG$1)</f>
        <v>#VALUE!</v>
      </c>
      <c r="AH4" t="e" cm="1">
        <f t="array" aca="1" ref="AH4" ca="1">TREND($K4:$P4,$K$1:$P$1,AH$1)</f>
        <v>#VALUE!</v>
      </c>
      <c r="AI4" t="e" cm="1">
        <f t="array" aca="1" ref="AI4" ca="1">TREND($K4:$P4,$K$1:$P$1,AI$1)</f>
        <v>#VALUE!</v>
      </c>
      <c r="AJ4" t="e" cm="1">
        <f t="array" aca="1" ref="AJ4" ca="1">TREND($K4:$P4,$K$1:$P$1,AJ$1)</f>
        <v>#VALUE!</v>
      </c>
    </row>
    <row r="5" spans="1:36">
      <c r="A5" t="s">
        <v>78</v>
      </c>
      <c r="B5" s="32" t="e" cm="1">
        <f t="array" aca="1" ref="B5" ca="1">INDIRECT(CONCATENATE("'",HLOOKUP(B$1,$B$21:$E$23,3,FALSE),"'!",$B$25,ROW($A5)+5))*About!$A$27</f>
        <v>#VALUE!</v>
      </c>
      <c r="C5" t="e">
        <f t="shared" ca="1" si="3"/>
        <v>#VALUE!</v>
      </c>
      <c r="D5" t="e">
        <f t="shared" ca="1" si="0"/>
        <v>#VALUE!</v>
      </c>
      <c r="E5" t="e">
        <f t="shared" ca="1" si="0"/>
        <v>#VALUE!</v>
      </c>
      <c r="F5" s="32" t="e" cm="1">
        <f t="array" aca="1" ref="F5" ca="1">INDIRECT(CONCATENATE("'",HLOOKUP(F$1,$B$21:$E$23,3,FALSE),"'!",$B$25,ROW($A5)+5))*About!$A$27</f>
        <v>#VALUE!</v>
      </c>
      <c r="G5" t="e">
        <f t="shared" ca="1" si="4"/>
        <v>#VALUE!</v>
      </c>
      <c r="H5" t="e">
        <f t="shared" ca="1" si="1"/>
        <v>#VALUE!</v>
      </c>
      <c r="I5" t="e">
        <f t="shared" ca="1" si="1"/>
        <v>#VALUE!</v>
      </c>
      <c r="J5" t="e">
        <f t="shared" ca="1" si="1"/>
        <v>#VALUE!</v>
      </c>
      <c r="K5" s="32" t="e" cm="1">
        <f t="array" aca="1" ref="K5" ca="1">INDIRECT(CONCATENATE("'",HLOOKUP(K$1,$B$21:$E$23,3,FALSE),"'!",$B$25,ROW($A5)+5))*About!$A$27</f>
        <v>#VALUE!</v>
      </c>
      <c r="L5" t="e">
        <f t="shared" ca="1" si="5"/>
        <v>#VALUE!</v>
      </c>
      <c r="M5" t="e">
        <f t="shared" ca="1" si="2"/>
        <v>#VALUE!</v>
      </c>
      <c r="N5" t="e">
        <f t="shared" ca="1" si="2"/>
        <v>#VALUE!</v>
      </c>
      <c r="O5" t="e">
        <f t="shared" ca="1" si="2"/>
        <v>#VALUE!</v>
      </c>
      <c r="P5" s="32" t="e" cm="1">
        <f t="array" aca="1" ref="P5" ca="1">INDIRECT(CONCATENATE("'",HLOOKUP(P$1,$B$21:$E$23,3,FALSE),"'!",$B$25,ROW($A5)+5))*About!$A$27</f>
        <v>#VALUE!</v>
      </c>
      <c r="Q5" t="e" cm="1">
        <f t="array" aca="1" ref="Q5" ca="1">TREND($K5:$P5,$K$1:$P$1,Q$1)</f>
        <v>#VALUE!</v>
      </c>
      <c r="R5" t="e" cm="1">
        <f t="array" aca="1" ref="R5" ca="1">TREND($K5:$P5,$K$1:$P$1,R$1)</f>
        <v>#VALUE!</v>
      </c>
      <c r="S5" t="e" cm="1">
        <f t="array" aca="1" ref="S5" ca="1">TREND($K5:$P5,$K$1:$P$1,S$1)</f>
        <v>#VALUE!</v>
      </c>
      <c r="T5" t="e" cm="1">
        <f t="array" aca="1" ref="T5" ca="1">TREND($K5:$P5,$K$1:$P$1,T$1)</f>
        <v>#VALUE!</v>
      </c>
      <c r="U5" t="e" cm="1">
        <f t="array" aca="1" ref="U5" ca="1">TREND($K5:$P5,$K$1:$P$1,U$1)</f>
        <v>#VALUE!</v>
      </c>
      <c r="V5" t="e" cm="1">
        <f t="array" aca="1" ref="V5" ca="1">TREND($K5:$P5,$K$1:$P$1,V$1)</f>
        <v>#VALUE!</v>
      </c>
      <c r="W5" t="e" cm="1">
        <f t="array" aca="1" ref="W5" ca="1">TREND($K5:$P5,$K$1:$P$1,W$1)</f>
        <v>#VALUE!</v>
      </c>
      <c r="X5" t="e" cm="1">
        <f t="array" aca="1" ref="X5" ca="1">TREND($K5:$P5,$K$1:$P$1,X$1)</f>
        <v>#VALUE!</v>
      </c>
      <c r="Y5" t="e" cm="1">
        <f t="array" aca="1" ref="Y5" ca="1">TREND($K5:$P5,$K$1:$P$1,Y$1)</f>
        <v>#VALUE!</v>
      </c>
      <c r="Z5" t="e" cm="1">
        <f t="array" aca="1" ref="Z5" ca="1">TREND($K5:$P5,$K$1:$P$1,Z$1)</f>
        <v>#VALUE!</v>
      </c>
      <c r="AA5" t="e" cm="1">
        <f t="array" aca="1" ref="AA5" ca="1">TREND($K5:$P5,$K$1:$P$1,AA$1)</f>
        <v>#VALUE!</v>
      </c>
      <c r="AB5" t="e" cm="1">
        <f t="array" aca="1" ref="AB5" ca="1">TREND($K5:$P5,$K$1:$P$1,AB$1)</f>
        <v>#VALUE!</v>
      </c>
      <c r="AC5" t="e" cm="1">
        <f t="array" aca="1" ref="AC5" ca="1">TREND($K5:$P5,$K$1:$P$1,AC$1)</f>
        <v>#VALUE!</v>
      </c>
      <c r="AD5" t="e" cm="1">
        <f t="array" aca="1" ref="AD5" ca="1">TREND($K5:$P5,$K$1:$P$1,AD$1)</f>
        <v>#VALUE!</v>
      </c>
      <c r="AE5" t="e" cm="1">
        <f t="array" aca="1" ref="AE5" ca="1">TREND($K5:$P5,$K$1:$P$1,AE$1)</f>
        <v>#VALUE!</v>
      </c>
      <c r="AF5" t="e" cm="1">
        <f t="array" aca="1" ref="AF5" ca="1">TREND($K5:$P5,$K$1:$P$1,AF$1)</f>
        <v>#VALUE!</v>
      </c>
      <c r="AG5" t="e" cm="1">
        <f t="array" aca="1" ref="AG5" ca="1">TREND($K5:$P5,$K$1:$P$1,AG$1)</f>
        <v>#VALUE!</v>
      </c>
      <c r="AH5" t="e" cm="1">
        <f t="array" aca="1" ref="AH5" ca="1">TREND($K5:$P5,$K$1:$P$1,AH$1)</f>
        <v>#VALUE!</v>
      </c>
      <c r="AI5" t="e" cm="1">
        <f t="array" aca="1" ref="AI5" ca="1">TREND($K5:$P5,$K$1:$P$1,AI$1)</f>
        <v>#VALUE!</v>
      </c>
      <c r="AJ5" t="e" cm="1">
        <f t="array" aca="1" ref="AJ5" ca="1">TREND($K5:$P5,$K$1:$P$1,AJ$1)</f>
        <v>#VALUE!</v>
      </c>
    </row>
    <row r="6" spans="1:36">
      <c r="A6" t="s">
        <v>79</v>
      </c>
      <c r="B6" s="32" t="e" cm="1">
        <f t="array" aca="1" ref="B6" ca="1">INDIRECT(CONCATENATE("'",HLOOKUP(B$1,$B$21:$E$23,3,FALSE),"'!",$B$25,ROW($A6)+5))*About!$A$27</f>
        <v>#VALUE!</v>
      </c>
      <c r="C6" t="e">
        <f t="shared" ca="1" si="3"/>
        <v>#VALUE!</v>
      </c>
      <c r="D6" t="e">
        <f t="shared" ca="1" si="0"/>
        <v>#VALUE!</v>
      </c>
      <c r="E6" t="e">
        <f t="shared" ca="1" si="0"/>
        <v>#VALUE!</v>
      </c>
      <c r="F6" s="32" t="e" cm="1">
        <f t="array" aca="1" ref="F6" ca="1">INDIRECT(CONCATENATE("'",HLOOKUP(F$1,$B$21:$E$23,3,FALSE),"'!",$B$25,ROW($A6)+5))*About!$A$27</f>
        <v>#VALUE!</v>
      </c>
      <c r="G6" t="e">
        <f t="shared" ca="1" si="4"/>
        <v>#VALUE!</v>
      </c>
      <c r="H6" t="e">
        <f t="shared" ca="1" si="1"/>
        <v>#VALUE!</v>
      </c>
      <c r="I6" t="e">
        <f t="shared" ca="1" si="1"/>
        <v>#VALUE!</v>
      </c>
      <c r="J6" t="e">
        <f t="shared" ca="1" si="1"/>
        <v>#VALUE!</v>
      </c>
      <c r="K6" s="32" t="e" cm="1">
        <f t="array" aca="1" ref="K6" ca="1">INDIRECT(CONCATENATE("'",HLOOKUP(K$1,$B$21:$E$23,3,FALSE),"'!",$B$25,ROW($A6)+5))*About!$A$27</f>
        <v>#VALUE!</v>
      </c>
      <c r="L6" t="e">
        <f t="shared" ca="1" si="5"/>
        <v>#VALUE!</v>
      </c>
      <c r="M6" t="e">
        <f t="shared" ca="1" si="2"/>
        <v>#VALUE!</v>
      </c>
      <c r="N6" t="e">
        <f t="shared" ca="1" si="2"/>
        <v>#VALUE!</v>
      </c>
      <c r="O6" t="e">
        <f t="shared" ca="1" si="2"/>
        <v>#VALUE!</v>
      </c>
      <c r="P6" s="32" t="e" cm="1">
        <f t="array" aca="1" ref="P6" ca="1">INDIRECT(CONCATENATE("'",HLOOKUP(P$1,$B$21:$E$23,3,FALSE),"'!",$B$25,ROW($A6)+5))*About!$A$27</f>
        <v>#VALUE!</v>
      </c>
      <c r="Q6" t="e" cm="1">
        <f t="array" aca="1" ref="Q6" ca="1">TREND($K6:$P6,$K$1:$P$1,Q$1)</f>
        <v>#VALUE!</v>
      </c>
      <c r="R6" t="e" cm="1">
        <f t="array" aca="1" ref="R6" ca="1">TREND($K6:$P6,$K$1:$P$1,R$1)</f>
        <v>#VALUE!</v>
      </c>
      <c r="S6" t="e" cm="1">
        <f t="array" aca="1" ref="S6" ca="1">TREND($K6:$P6,$K$1:$P$1,S$1)</f>
        <v>#VALUE!</v>
      </c>
      <c r="T6" t="e" cm="1">
        <f t="array" aca="1" ref="T6" ca="1">TREND($K6:$P6,$K$1:$P$1,T$1)</f>
        <v>#VALUE!</v>
      </c>
      <c r="U6" t="e" cm="1">
        <f t="array" aca="1" ref="U6" ca="1">TREND($K6:$P6,$K$1:$P$1,U$1)</f>
        <v>#VALUE!</v>
      </c>
      <c r="V6" t="e" cm="1">
        <f t="array" aca="1" ref="V6" ca="1">TREND($K6:$P6,$K$1:$P$1,V$1)</f>
        <v>#VALUE!</v>
      </c>
      <c r="W6" t="e" cm="1">
        <f t="array" aca="1" ref="W6" ca="1">TREND($K6:$P6,$K$1:$P$1,W$1)</f>
        <v>#VALUE!</v>
      </c>
      <c r="X6" t="e" cm="1">
        <f t="array" aca="1" ref="X6" ca="1">TREND($K6:$P6,$K$1:$P$1,X$1)</f>
        <v>#VALUE!</v>
      </c>
      <c r="Y6" t="e" cm="1">
        <f t="array" aca="1" ref="Y6" ca="1">TREND($K6:$P6,$K$1:$P$1,Y$1)</f>
        <v>#VALUE!</v>
      </c>
      <c r="Z6" t="e" cm="1">
        <f t="array" aca="1" ref="Z6" ca="1">TREND($K6:$P6,$K$1:$P$1,Z$1)</f>
        <v>#VALUE!</v>
      </c>
      <c r="AA6" t="e" cm="1">
        <f t="array" aca="1" ref="AA6" ca="1">TREND($K6:$P6,$K$1:$P$1,AA$1)</f>
        <v>#VALUE!</v>
      </c>
      <c r="AB6" t="e" cm="1">
        <f t="array" aca="1" ref="AB6" ca="1">TREND($K6:$P6,$K$1:$P$1,AB$1)</f>
        <v>#VALUE!</v>
      </c>
      <c r="AC6" t="e" cm="1">
        <f t="array" aca="1" ref="AC6" ca="1">TREND($K6:$P6,$K$1:$P$1,AC$1)</f>
        <v>#VALUE!</v>
      </c>
      <c r="AD6" t="e" cm="1">
        <f t="array" aca="1" ref="AD6" ca="1">TREND($K6:$P6,$K$1:$P$1,AD$1)</f>
        <v>#VALUE!</v>
      </c>
      <c r="AE6" t="e" cm="1">
        <f t="array" aca="1" ref="AE6" ca="1">TREND($K6:$P6,$K$1:$P$1,AE$1)</f>
        <v>#VALUE!</v>
      </c>
      <c r="AF6" t="e" cm="1">
        <f t="array" aca="1" ref="AF6" ca="1">TREND($K6:$P6,$K$1:$P$1,AF$1)</f>
        <v>#VALUE!</v>
      </c>
      <c r="AG6" t="e" cm="1">
        <f t="array" aca="1" ref="AG6" ca="1">TREND($K6:$P6,$K$1:$P$1,AG$1)</f>
        <v>#VALUE!</v>
      </c>
      <c r="AH6" t="e" cm="1">
        <f t="array" aca="1" ref="AH6" ca="1">TREND($K6:$P6,$K$1:$P$1,AH$1)</f>
        <v>#VALUE!</v>
      </c>
      <c r="AI6" t="e" cm="1">
        <f t="array" aca="1" ref="AI6" ca="1">TREND($K6:$P6,$K$1:$P$1,AI$1)</f>
        <v>#VALUE!</v>
      </c>
      <c r="AJ6" t="e" cm="1">
        <f t="array" aca="1" ref="AJ6" ca="1">TREND($K6:$P6,$K$1:$P$1,AJ$1)</f>
        <v>#VALUE!</v>
      </c>
    </row>
    <row r="7" spans="1:36">
      <c r="A7" t="s">
        <v>80</v>
      </c>
      <c r="B7" s="32" t="e" cm="1">
        <f t="array" aca="1" ref="B7" ca="1">INDIRECT(CONCATENATE("'",HLOOKUP(B$1,$B$21:$E$23,3,FALSE),"'!",$B$25,ROW($A7)+5))*About!$A$27</f>
        <v>#VALUE!</v>
      </c>
      <c r="C7" t="e">
        <f t="shared" ca="1" si="3"/>
        <v>#VALUE!</v>
      </c>
      <c r="D7" t="e">
        <f t="shared" ca="1" si="0"/>
        <v>#VALUE!</v>
      </c>
      <c r="E7" t="e">
        <f t="shared" ca="1" si="0"/>
        <v>#VALUE!</v>
      </c>
      <c r="F7" s="32" t="e" cm="1">
        <f t="array" aca="1" ref="F7" ca="1">INDIRECT(CONCATENATE("'",HLOOKUP(F$1,$B$21:$E$23,3,FALSE),"'!",$B$25,ROW($A7)+5))*About!$A$27</f>
        <v>#VALUE!</v>
      </c>
      <c r="G7" t="e">
        <f t="shared" ca="1" si="4"/>
        <v>#VALUE!</v>
      </c>
      <c r="H7" t="e">
        <f t="shared" ca="1" si="1"/>
        <v>#VALUE!</v>
      </c>
      <c r="I7" t="e">
        <f t="shared" ca="1" si="1"/>
        <v>#VALUE!</v>
      </c>
      <c r="J7" t="e">
        <f t="shared" ca="1" si="1"/>
        <v>#VALUE!</v>
      </c>
      <c r="K7" s="32" t="e" cm="1">
        <f t="array" aca="1" ref="K7" ca="1">INDIRECT(CONCATENATE("'",HLOOKUP(K$1,$B$21:$E$23,3,FALSE),"'!",$B$25,ROW($A7)+5))*About!$A$27</f>
        <v>#VALUE!</v>
      </c>
      <c r="L7" t="e">
        <f t="shared" ca="1" si="5"/>
        <v>#VALUE!</v>
      </c>
      <c r="M7" t="e">
        <f t="shared" ca="1" si="2"/>
        <v>#VALUE!</v>
      </c>
      <c r="N7" t="e">
        <f t="shared" ca="1" si="2"/>
        <v>#VALUE!</v>
      </c>
      <c r="O7" t="e">
        <f t="shared" ca="1" si="2"/>
        <v>#VALUE!</v>
      </c>
      <c r="P7" s="32" t="e" cm="1">
        <f t="array" aca="1" ref="P7" ca="1">INDIRECT(CONCATENATE("'",HLOOKUP(P$1,$B$21:$E$23,3,FALSE),"'!",$B$25,ROW($A7)+5))*About!$A$27</f>
        <v>#VALUE!</v>
      </c>
      <c r="Q7" t="e" cm="1">
        <f t="array" aca="1" ref="Q7" ca="1">TREND($K7:$P7,$K$1:$P$1,Q$1)</f>
        <v>#VALUE!</v>
      </c>
      <c r="R7" t="e" cm="1">
        <f t="array" aca="1" ref="R7" ca="1">TREND($K7:$P7,$K$1:$P$1,R$1)</f>
        <v>#VALUE!</v>
      </c>
      <c r="S7" t="e" cm="1">
        <f t="array" aca="1" ref="S7" ca="1">TREND($K7:$P7,$K$1:$P$1,S$1)</f>
        <v>#VALUE!</v>
      </c>
      <c r="T7" t="e" cm="1">
        <f t="array" aca="1" ref="T7" ca="1">TREND($K7:$P7,$K$1:$P$1,T$1)</f>
        <v>#VALUE!</v>
      </c>
      <c r="U7" t="e" cm="1">
        <f t="array" aca="1" ref="U7" ca="1">TREND($K7:$P7,$K$1:$P$1,U$1)</f>
        <v>#VALUE!</v>
      </c>
      <c r="V7" t="e" cm="1">
        <f t="array" aca="1" ref="V7" ca="1">TREND($K7:$P7,$K$1:$P$1,V$1)</f>
        <v>#VALUE!</v>
      </c>
      <c r="W7" t="e" cm="1">
        <f t="array" aca="1" ref="W7" ca="1">TREND($K7:$P7,$K$1:$P$1,W$1)</f>
        <v>#VALUE!</v>
      </c>
      <c r="X7" t="e" cm="1">
        <f t="array" aca="1" ref="X7" ca="1">TREND($K7:$P7,$K$1:$P$1,X$1)</f>
        <v>#VALUE!</v>
      </c>
      <c r="Y7" t="e" cm="1">
        <f t="array" aca="1" ref="Y7" ca="1">TREND($K7:$P7,$K$1:$P$1,Y$1)</f>
        <v>#VALUE!</v>
      </c>
      <c r="Z7" t="e" cm="1">
        <f t="array" aca="1" ref="Z7" ca="1">TREND($K7:$P7,$K$1:$P$1,Z$1)</f>
        <v>#VALUE!</v>
      </c>
      <c r="AA7" t="e" cm="1">
        <f t="array" aca="1" ref="AA7" ca="1">TREND($K7:$P7,$K$1:$P$1,AA$1)</f>
        <v>#VALUE!</v>
      </c>
      <c r="AB7" t="e" cm="1">
        <f t="array" aca="1" ref="AB7" ca="1">TREND($K7:$P7,$K$1:$P$1,AB$1)</f>
        <v>#VALUE!</v>
      </c>
      <c r="AC7" t="e" cm="1">
        <f t="array" aca="1" ref="AC7" ca="1">TREND($K7:$P7,$K$1:$P$1,AC$1)</f>
        <v>#VALUE!</v>
      </c>
      <c r="AD7" t="e" cm="1">
        <f t="array" aca="1" ref="AD7" ca="1">TREND($K7:$P7,$K$1:$P$1,AD$1)</f>
        <v>#VALUE!</v>
      </c>
      <c r="AE7" t="e" cm="1">
        <f t="array" aca="1" ref="AE7" ca="1">TREND($K7:$P7,$K$1:$P$1,AE$1)</f>
        <v>#VALUE!</v>
      </c>
      <c r="AF7" t="e" cm="1">
        <f t="array" aca="1" ref="AF7" ca="1">TREND($K7:$P7,$K$1:$P$1,AF$1)</f>
        <v>#VALUE!</v>
      </c>
      <c r="AG7" t="e" cm="1">
        <f t="array" aca="1" ref="AG7" ca="1">TREND($K7:$P7,$K$1:$P$1,AG$1)</f>
        <v>#VALUE!</v>
      </c>
      <c r="AH7" t="e" cm="1">
        <f t="array" aca="1" ref="AH7" ca="1">TREND($K7:$P7,$K$1:$P$1,AH$1)</f>
        <v>#VALUE!</v>
      </c>
      <c r="AI7" t="e" cm="1">
        <f t="array" aca="1" ref="AI7" ca="1">TREND($K7:$P7,$K$1:$P$1,AI$1)</f>
        <v>#VALUE!</v>
      </c>
      <c r="AJ7" t="e" cm="1">
        <f t="array" aca="1" ref="AJ7" ca="1">TREND($K7:$P7,$K$1:$P$1,AJ$1)</f>
        <v>#VALUE!</v>
      </c>
    </row>
    <row r="8" spans="1:36">
      <c r="A8" t="s">
        <v>81</v>
      </c>
      <c r="B8" s="32" t="e" cm="1">
        <f t="array" aca="1" ref="B8" ca="1">INDIRECT(CONCATENATE("'",HLOOKUP(B$1,$B$21:$E$23,3,FALSE),"'!",$B$25,ROW($A8)+5))*About!$A$27</f>
        <v>#VALUE!</v>
      </c>
      <c r="C8" t="e">
        <f t="shared" ca="1" si="3"/>
        <v>#VALUE!</v>
      </c>
      <c r="D8" t="e">
        <f t="shared" ca="1" si="0"/>
        <v>#VALUE!</v>
      </c>
      <c r="E8" t="e">
        <f t="shared" ca="1" si="0"/>
        <v>#VALUE!</v>
      </c>
      <c r="F8" s="32" t="e" cm="1">
        <f t="array" aca="1" ref="F8" ca="1">INDIRECT(CONCATENATE("'",HLOOKUP(F$1,$B$21:$E$23,3,FALSE),"'!",$B$25,ROW($A8)+5))*About!$A$27</f>
        <v>#VALUE!</v>
      </c>
      <c r="G8" t="e">
        <f t="shared" ca="1" si="4"/>
        <v>#VALUE!</v>
      </c>
      <c r="H8" t="e">
        <f t="shared" ca="1" si="1"/>
        <v>#VALUE!</v>
      </c>
      <c r="I8" t="e">
        <f t="shared" ca="1" si="1"/>
        <v>#VALUE!</v>
      </c>
      <c r="J8" t="e">
        <f t="shared" ca="1" si="1"/>
        <v>#VALUE!</v>
      </c>
      <c r="K8" s="32" t="e" cm="1">
        <f t="array" aca="1" ref="K8" ca="1">INDIRECT(CONCATENATE("'",HLOOKUP(K$1,$B$21:$E$23,3,FALSE),"'!",$B$25,ROW($A8)+5))*About!$A$27</f>
        <v>#VALUE!</v>
      </c>
      <c r="L8" t="e">
        <f t="shared" ca="1" si="5"/>
        <v>#VALUE!</v>
      </c>
      <c r="M8" t="e">
        <f t="shared" ca="1" si="2"/>
        <v>#VALUE!</v>
      </c>
      <c r="N8" t="e">
        <f t="shared" ca="1" si="2"/>
        <v>#VALUE!</v>
      </c>
      <c r="O8" t="e">
        <f t="shared" ca="1" si="2"/>
        <v>#VALUE!</v>
      </c>
      <c r="P8" s="32" t="e" cm="1">
        <f t="array" aca="1" ref="P8" ca="1">INDIRECT(CONCATENATE("'",HLOOKUP(P$1,$B$21:$E$23,3,FALSE),"'!",$B$25,ROW($A8)+5))*About!$A$27</f>
        <v>#VALUE!</v>
      </c>
      <c r="Q8" t="e" cm="1">
        <f t="array" aca="1" ref="Q8" ca="1">TREND($K8:$P8,$K$1:$P$1,Q$1)</f>
        <v>#VALUE!</v>
      </c>
      <c r="R8" t="e" cm="1">
        <f t="array" aca="1" ref="R8" ca="1">TREND($K8:$P8,$K$1:$P$1,R$1)</f>
        <v>#VALUE!</v>
      </c>
      <c r="S8" t="e" cm="1">
        <f t="array" aca="1" ref="S8" ca="1">TREND($K8:$P8,$K$1:$P$1,S$1)</f>
        <v>#VALUE!</v>
      </c>
      <c r="T8" t="e" cm="1">
        <f t="array" aca="1" ref="T8" ca="1">TREND($K8:$P8,$K$1:$P$1,T$1)</f>
        <v>#VALUE!</v>
      </c>
      <c r="U8" t="e" cm="1">
        <f t="array" aca="1" ref="U8" ca="1">TREND($K8:$P8,$K$1:$P$1,U$1)</f>
        <v>#VALUE!</v>
      </c>
      <c r="V8" t="e" cm="1">
        <f t="array" aca="1" ref="V8" ca="1">TREND($K8:$P8,$K$1:$P$1,V$1)</f>
        <v>#VALUE!</v>
      </c>
      <c r="W8" t="e" cm="1">
        <f t="array" aca="1" ref="W8" ca="1">TREND($K8:$P8,$K$1:$P$1,W$1)</f>
        <v>#VALUE!</v>
      </c>
      <c r="X8" t="e" cm="1">
        <f t="array" aca="1" ref="X8" ca="1">TREND($K8:$P8,$K$1:$P$1,X$1)</f>
        <v>#VALUE!</v>
      </c>
      <c r="Y8" t="e" cm="1">
        <f t="array" aca="1" ref="Y8" ca="1">TREND($K8:$P8,$K$1:$P$1,Y$1)</f>
        <v>#VALUE!</v>
      </c>
      <c r="Z8" t="e" cm="1">
        <f t="array" aca="1" ref="Z8" ca="1">TREND($K8:$P8,$K$1:$P$1,Z$1)</f>
        <v>#VALUE!</v>
      </c>
      <c r="AA8" t="e" cm="1">
        <f t="array" aca="1" ref="AA8" ca="1">TREND($K8:$P8,$K$1:$P$1,AA$1)</f>
        <v>#VALUE!</v>
      </c>
      <c r="AB8" t="e" cm="1">
        <f t="array" aca="1" ref="AB8" ca="1">TREND($K8:$P8,$K$1:$P$1,AB$1)</f>
        <v>#VALUE!</v>
      </c>
      <c r="AC8" t="e" cm="1">
        <f t="array" aca="1" ref="AC8" ca="1">TREND($K8:$P8,$K$1:$P$1,AC$1)</f>
        <v>#VALUE!</v>
      </c>
      <c r="AD8" t="e" cm="1">
        <f t="array" aca="1" ref="AD8" ca="1">TREND($K8:$P8,$K$1:$P$1,AD$1)</f>
        <v>#VALUE!</v>
      </c>
      <c r="AE8" t="e" cm="1">
        <f t="array" aca="1" ref="AE8" ca="1">TREND($K8:$P8,$K$1:$P$1,AE$1)</f>
        <v>#VALUE!</v>
      </c>
      <c r="AF8" t="e" cm="1">
        <f t="array" aca="1" ref="AF8" ca="1">TREND($K8:$P8,$K$1:$P$1,AF$1)</f>
        <v>#VALUE!</v>
      </c>
      <c r="AG8" t="e" cm="1">
        <f t="array" aca="1" ref="AG8" ca="1">TREND($K8:$P8,$K$1:$P$1,AG$1)</f>
        <v>#VALUE!</v>
      </c>
      <c r="AH8" t="e" cm="1">
        <f t="array" aca="1" ref="AH8" ca="1">TREND($K8:$P8,$K$1:$P$1,AH$1)</f>
        <v>#VALUE!</v>
      </c>
      <c r="AI8" t="e" cm="1">
        <f t="array" aca="1" ref="AI8" ca="1">TREND($K8:$P8,$K$1:$P$1,AI$1)</f>
        <v>#VALUE!</v>
      </c>
      <c r="AJ8" t="e" cm="1">
        <f t="array" aca="1" ref="AJ8" ca="1">TREND($K8:$P8,$K$1:$P$1,AJ$1)</f>
        <v>#VALUE!</v>
      </c>
    </row>
    <row r="9" spans="1:36">
      <c r="A9" t="s">
        <v>82</v>
      </c>
      <c r="B9" s="32" t="e" cm="1">
        <f t="array" aca="1" ref="B9" ca="1">INDIRECT(CONCATENATE("'",HLOOKUP(B$1,$B$21:$E$23,3,FALSE),"'!",$B$25,ROW($A9)+5))*About!$A$27</f>
        <v>#VALUE!</v>
      </c>
      <c r="C9" t="e">
        <f t="shared" ca="1" si="3"/>
        <v>#VALUE!</v>
      </c>
      <c r="D9" t="e">
        <f t="shared" ca="1" si="0"/>
        <v>#VALUE!</v>
      </c>
      <c r="E9" t="e">
        <f t="shared" ca="1" si="0"/>
        <v>#VALUE!</v>
      </c>
      <c r="F9" s="32" t="e" cm="1">
        <f t="array" aca="1" ref="F9" ca="1">INDIRECT(CONCATENATE("'",HLOOKUP(F$1,$B$21:$E$23,3,FALSE),"'!",$B$25,ROW($A9)+5))*About!$A$27</f>
        <v>#VALUE!</v>
      </c>
      <c r="G9" t="e">
        <f t="shared" ca="1" si="4"/>
        <v>#VALUE!</v>
      </c>
      <c r="H9" t="e">
        <f t="shared" ca="1" si="1"/>
        <v>#VALUE!</v>
      </c>
      <c r="I9" t="e">
        <f t="shared" ca="1" si="1"/>
        <v>#VALUE!</v>
      </c>
      <c r="J9" t="e">
        <f t="shared" ca="1" si="1"/>
        <v>#VALUE!</v>
      </c>
      <c r="K9" s="32" t="e" cm="1">
        <f t="array" aca="1" ref="K9" ca="1">INDIRECT(CONCATENATE("'",HLOOKUP(K$1,$B$21:$E$23,3,FALSE),"'!",$B$25,ROW($A9)+5))*About!$A$27</f>
        <v>#VALUE!</v>
      </c>
      <c r="L9" t="e">
        <f t="shared" ca="1" si="5"/>
        <v>#VALUE!</v>
      </c>
      <c r="M9" t="e">
        <f t="shared" ca="1" si="2"/>
        <v>#VALUE!</v>
      </c>
      <c r="N9" t="e">
        <f t="shared" ca="1" si="2"/>
        <v>#VALUE!</v>
      </c>
      <c r="O9" t="e">
        <f t="shared" ca="1" si="2"/>
        <v>#VALUE!</v>
      </c>
      <c r="P9" s="32" t="e" cm="1">
        <f t="array" aca="1" ref="P9" ca="1">INDIRECT(CONCATENATE("'",HLOOKUP(P$1,$B$21:$E$23,3,FALSE),"'!",$B$25,ROW($A9)+5))*About!$A$27</f>
        <v>#VALUE!</v>
      </c>
      <c r="Q9" t="e" cm="1">
        <f t="array" aca="1" ref="Q9" ca="1">TREND($K9:$P9,$K$1:$P$1,Q$1)</f>
        <v>#VALUE!</v>
      </c>
      <c r="R9" t="e" cm="1">
        <f t="array" aca="1" ref="R9" ca="1">TREND($K9:$P9,$K$1:$P$1,R$1)</f>
        <v>#VALUE!</v>
      </c>
      <c r="S9" t="e" cm="1">
        <f t="array" aca="1" ref="S9" ca="1">TREND($K9:$P9,$K$1:$P$1,S$1)</f>
        <v>#VALUE!</v>
      </c>
      <c r="T9" t="e" cm="1">
        <f t="array" aca="1" ref="T9" ca="1">TREND($K9:$P9,$K$1:$P$1,T$1)</f>
        <v>#VALUE!</v>
      </c>
      <c r="U9" t="e" cm="1">
        <f t="array" aca="1" ref="U9" ca="1">TREND($K9:$P9,$K$1:$P$1,U$1)</f>
        <v>#VALUE!</v>
      </c>
      <c r="V9" t="e" cm="1">
        <f t="array" aca="1" ref="V9" ca="1">TREND($K9:$P9,$K$1:$P$1,V$1)</f>
        <v>#VALUE!</v>
      </c>
      <c r="W9" t="e" cm="1">
        <f t="array" aca="1" ref="W9" ca="1">TREND($K9:$P9,$K$1:$P$1,W$1)</f>
        <v>#VALUE!</v>
      </c>
      <c r="X9" t="e" cm="1">
        <f t="array" aca="1" ref="X9" ca="1">TREND($K9:$P9,$K$1:$P$1,X$1)</f>
        <v>#VALUE!</v>
      </c>
      <c r="Y9" t="e" cm="1">
        <f t="array" aca="1" ref="Y9" ca="1">TREND($K9:$P9,$K$1:$P$1,Y$1)</f>
        <v>#VALUE!</v>
      </c>
      <c r="Z9" t="e" cm="1">
        <f t="array" aca="1" ref="Z9" ca="1">TREND($K9:$P9,$K$1:$P$1,Z$1)</f>
        <v>#VALUE!</v>
      </c>
      <c r="AA9" t="e" cm="1">
        <f t="array" aca="1" ref="AA9" ca="1">TREND($K9:$P9,$K$1:$P$1,AA$1)</f>
        <v>#VALUE!</v>
      </c>
      <c r="AB9" t="e" cm="1">
        <f t="array" aca="1" ref="AB9" ca="1">TREND($K9:$P9,$K$1:$P$1,AB$1)</f>
        <v>#VALUE!</v>
      </c>
      <c r="AC9" t="e" cm="1">
        <f t="array" aca="1" ref="AC9" ca="1">TREND($K9:$P9,$K$1:$P$1,AC$1)</f>
        <v>#VALUE!</v>
      </c>
      <c r="AD9" t="e" cm="1">
        <f t="array" aca="1" ref="AD9" ca="1">TREND($K9:$P9,$K$1:$P$1,AD$1)</f>
        <v>#VALUE!</v>
      </c>
      <c r="AE9" t="e" cm="1">
        <f t="array" aca="1" ref="AE9" ca="1">TREND($K9:$P9,$K$1:$P$1,AE$1)</f>
        <v>#VALUE!</v>
      </c>
      <c r="AF9" t="e" cm="1">
        <f t="array" aca="1" ref="AF9" ca="1">TREND($K9:$P9,$K$1:$P$1,AF$1)</f>
        <v>#VALUE!</v>
      </c>
      <c r="AG9" t="e" cm="1">
        <f t="array" aca="1" ref="AG9" ca="1">TREND($K9:$P9,$K$1:$P$1,AG$1)</f>
        <v>#VALUE!</v>
      </c>
      <c r="AH9" t="e" cm="1">
        <f t="array" aca="1" ref="AH9" ca="1">TREND($K9:$P9,$K$1:$P$1,AH$1)</f>
        <v>#VALUE!</v>
      </c>
      <c r="AI9" t="e" cm="1">
        <f t="array" aca="1" ref="AI9" ca="1">TREND($K9:$P9,$K$1:$P$1,AI$1)</f>
        <v>#VALUE!</v>
      </c>
      <c r="AJ9" t="e" cm="1">
        <f t="array" aca="1" ref="AJ9" ca="1">TREND($K9:$P9,$K$1:$P$1,AJ$1)</f>
        <v>#VALUE!</v>
      </c>
    </row>
    <row r="10" spans="1:36">
      <c r="A10" t="s">
        <v>83</v>
      </c>
      <c r="B10" s="32" t="e" cm="1">
        <f t="array" aca="1" ref="B10" ca="1">INDIRECT(CONCATENATE("'",HLOOKUP(B$1,$B$21:$E$23,3,FALSE),"'!",$B$25,ROW($A10)+5))*About!$A$27</f>
        <v>#VALUE!</v>
      </c>
      <c r="C10" t="e">
        <f t="shared" ca="1" si="3"/>
        <v>#VALUE!</v>
      </c>
      <c r="D10" t="e">
        <f t="shared" ca="1" si="0"/>
        <v>#VALUE!</v>
      </c>
      <c r="E10" t="e">
        <f t="shared" ca="1" si="0"/>
        <v>#VALUE!</v>
      </c>
      <c r="F10" s="32" t="e" cm="1">
        <f t="array" aca="1" ref="F10" ca="1">INDIRECT(CONCATENATE("'",HLOOKUP(F$1,$B$21:$E$23,3,FALSE),"'!",$B$25,ROW($A10)+5))*About!$A$27</f>
        <v>#VALUE!</v>
      </c>
      <c r="G10" t="e">
        <f t="shared" ca="1" si="4"/>
        <v>#VALUE!</v>
      </c>
      <c r="H10" t="e">
        <f t="shared" ca="1" si="1"/>
        <v>#VALUE!</v>
      </c>
      <c r="I10" t="e">
        <f t="shared" ca="1" si="1"/>
        <v>#VALUE!</v>
      </c>
      <c r="J10" t="e">
        <f t="shared" ca="1" si="1"/>
        <v>#VALUE!</v>
      </c>
      <c r="K10" s="32" t="e" cm="1">
        <f t="array" aca="1" ref="K10" ca="1">INDIRECT(CONCATENATE("'",HLOOKUP(K$1,$B$21:$E$23,3,FALSE),"'!",$B$25,ROW($A10)+5))*About!$A$27</f>
        <v>#VALUE!</v>
      </c>
      <c r="L10" t="e">
        <f t="shared" ca="1" si="5"/>
        <v>#VALUE!</v>
      </c>
      <c r="M10" t="e">
        <f t="shared" ca="1" si="2"/>
        <v>#VALUE!</v>
      </c>
      <c r="N10" t="e">
        <f t="shared" ca="1" si="2"/>
        <v>#VALUE!</v>
      </c>
      <c r="O10" t="e">
        <f t="shared" ca="1" si="2"/>
        <v>#VALUE!</v>
      </c>
      <c r="P10" s="32" t="e" cm="1">
        <f t="array" aca="1" ref="P10" ca="1">INDIRECT(CONCATENATE("'",HLOOKUP(P$1,$B$21:$E$23,3,FALSE),"'!",$B$25,ROW($A10)+5))*About!$A$27</f>
        <v>#VALUE!</v>
      </c>
      <c r="Q10" t="e" cm="1">
        <f t="array" aca="1" ref="Q10" ca="1">TREND($K10:$P10,$K$1:$P$1,Q$1)</f>
        <v>#VALUE!</v>
      </c>
      <c r="R10" t="e" cm="1">
        <f t="array" aca="1" ref="R10" ca="1">TREND($K10:$P10,$K$1:$P$1,R$1)</f>
        <v>#VALUE!</v>
      </c>
      <c r="S10" t="e" cm="1">
        <f t="array" aca="1" ref="S10" ca="1">TREND($K10:$P10,$K$1:$P$1,S$1)</f>
        <v>#VALUE!</v>
      </c>
      <c r="T10" t="e" cm="1">
        <f t="array" aca="1" ref="T10" ca="1">TREND($K10:$P10,$K$1:$P$1,T$1)</f>
        <v>#VALUE!</v>
      </c>
      <c r="U10" t="e" cm="1">
        <f t="array" aca="1" ref="U10" ca="1">TREND($K10:$P10,$K$1:$P$1,U$1)</f>
        <v>#VALUE!</v>
      </c>
      <c r="V10" t="e" cm="1">
        <f t="array" aca="1" ref="V10" ca="1">TREND($K10:$P10,$K$1:$P$1,V$1)</f>
        <v>#VALUE!</v>
      </c>
      <c r="W10" t="e" cm="1">
        <f t="array" aca="1" ref="W10" ca="1">TREND($K10:$P10,$K$1:$P$1,W$1)</f>
        <v>#VALUE!</v>
      </c>
      <c r="X10" t="e" cm="1">
        <f t="array" aca="1" ref="X10" ca="1">TREND($K10:$P10,$K$1:$P$1,X$1)</f>
        <v>#VALUE!</v>
      </c>
      <c r="Y10" t="e" cm="1">
        <f t="array" aca="1" ref="Y10" ca="1">TREND($K10:$P10,$K$1:$P$1,Y$1)</f>
        <v>#VALUE!</v>
      </c>
      <c r="Z10" t="e" cm="1">
        <f t="array" aca="1" ref="Z10" ca="1">TREND($K10:$P10,$K$1:$P$1,Z$1)</f>
        <v>#VALUE!</v>
      </c>
      <c r="AA10" t="e" cm="1">
        <f t="array" aca="1" ref="AA10" ca="1">TREND($K10:$P10,$K$1:$P$1,AA$1)</f>
        <v>#VALUE!</v>
      </c>
      <c r="AB10" t="e" cm="1">
        <f t="array" aca="1" ref="AB10" ca="1">TREND($K10:$P10,$K$1:$P$1,AB$1)</f>
        <v>#VALUE!</v>
      </c>
      <c r="AC10" t="e" cm="1">
        <f t="array" aca="1" ref="AC10" ca="1">TREND($K10:$P10,$K$1:$P$1,AC$1)</f>
        <v>#VALUE!</v>
      </c>
      <c r="AD10" t="e" cm="1">
        <f t="array" aca="1" ref="AD10" ca="1">TREND($K10:$P10,$K$1:$P$1,AD$1)</f>
        <v>#VALUE!</v>
      </c>
      <c r="AE10" t="e" cm="1">
        <f t="array" aca="1" ref="AE10" ca="1">TREND($K10:$P10,$K$1:$P$1,AE$1)</f>
        <v>#VALUE!</v>
      </c>
      <c r="AF10" t="e" cm="1">
        <f t="array" aca="1" ref="AF10" ca="1">TREND($K10:$P10,$K$1:$P$1,AF$1)</f>
        <v>#VALUE!</v>
      </c>
      <c r="AG10" t="e" cm="1">
        <f t="array" aca="1" ref="AG10" ca="1">TREND($K10:$P10,$K$1:$P$1,AG$1)</f>
        <v>#VALUE!</v>
      </c>
      <c r="AH10" t="e" cm="1">
        <f t="array" aca="1" ref="AH10" ca="1">TREND($K10:$P10,$K$1:$P$1,AH$1)</f>
        <v>#VALUE!</v>
      </c>
      <c r="AI10" t="e" cm="1">
        <f t="array" aca="1" ref="AI10" ca="1">TREND($K10:$P10,$K$1:$P$1,AI$1)</f>
        <v>#VALUE!</v>
      </c>
      <c r="AJ10" t="e" cm="1">
        <f t="array" aca="1" ref="AJ10" ca="1">TREND($K10:$P10,$K$1:$P$1,AJ$1)</f>
        <v>#VALUE!</v>
      </c>
    </row>
    <row r="11" spans="1:36">
      <c r="A11" t="s">
        <v>84</v>
      </c>
      <c r="B11" s="32" t="e" cm="1">
        <f t="array" aca="1" ref="B11" ca="1">INDIRECT(CONCATENATE("'",HLOOKUP(B$1,$B$21:$E$23,3,FALSE),"'!",$B$25,ROW($A11)+5))*About!$A$27</f>
        <v>#VALUE!</v>
      </c>
      <c r="C11" t="e">
        <f t="shared" ca="1" si="3"/>
        <v>#VALUE!</v>
      </c>
      <c r="D11" t="e">
        <f t="shared" ca="1" si="0"/>
        <v>#VALUE!</v>
      </c>
      <c r="E11" t="e">
        <f t="shared" ca="1" si="0"/>
        <v>#VALUE!</v>
      </c>
      <c r="F11" s="32" t="e" cm="1">
        <f t="array" aca="1" ref="F11" ca="1">INDIRECT(CONCATENATE("'",HLOOKUP(F$1,$B$21:$E$23,3,FALSE),"'!",$B$25,ROW($A11)+5))*About!$A$27</f>
        <v>#VALUE!</v>
      </c>
      <c r="G11" t="e">
        <f t="shared" ca="1" si="4"/>
        <v>#VALUE!</v>
      </c>
      <c r="H11" t="e">
        <f t="shared" ca="1" si="1"/>
        <v>#VALUE!</v>
      </c>
      <c r="I11" t="e">
        <f t="shared" ca="1" si="1"/>
        <v>#VALUE!</v>
      </c>
      <c r="J11" t="e">
        <f t="shared" ca="1" si="1"/>
        <v>#VALUE!</v>
      </c>
      <c r="K11" s="32" t="e" cm="1">
        <f t="array" aca="1" ref="K11" ca="1">INDIRECT(CONCATENATE("'",HLOOKUP(K$1,$B$21:$E$23,3,FALSE),"'!",$B$25,ROW($A11)+5))*About!$A$27</f>
        <v>#VALUE!</v>
      </c>
      <c r="L11" t="e">
        <f t="shared" ca="1" si="5"/>
        <v>#VALUE!</v>
      </c>
      <c r="M11" t="e">
        <f t="shared" ca="1" si="2"/>
        <v>#VALUE!</v>
      </c>
      <c r="N11" t="e">
        <f t="shared" ca="1" si="2"/>
        <v>#VALUE!</v>
      </c>
      <c r="O11" t="e">
        <f t="shared" ca="1" si="2"/>
        <v>#VALUE!</v>
      </c>
      <c r="P11" s="32" t="e" cm="1">
        <f t="array" aca="1" ref="P11" ca="1">INDIRECT(CONCATENATE("'",HLOOKUP(P$1,$B$21:$E$23,3,FALSE),"'!",$B$25,ROW($A11)+5))*About!$A$27</f>
        <v>#VALUE!</v>
      </c>
      <c r="Q11" t="e" cm="1">
        <f t="array" aca="1" ref="Q11" ca="1">TREND($K11:$P11,$K$1:$P$1,Q$1)</f>
        <v>#VALUE!</v>
      </c>
      <c r="R11" t="e" cm="1">
        <f t="array" aca="1" ref="R11" ca="1">TREND($K11:$P11,$K$1:$P$1,R$1)</f>
        <v>#VALUE!</v>
      </c>
      <c r="S11" t="e" cm="1">
        <f t="array" aca="1" ref="S11" ca="1">TREND($K11:$P11,$K$1:$P$1,S$1)</f>
        <v>#VALUE!</v>
      </c>
      <c r="T11" t="e" cm="1">
        <f t="array" aca="1" ref="T11" ca="1">TREND($K11:$P11,$K$1:$P$1,T$1)</f>
        <v>#VALUE!</v>
      </c>
      <c r="U11" t="e" cm="1">
        <f t="array" aca="1" ref="U11" ca="1">TREND($K11:$P11,$K$1:$P$1,U$1)</f>
        <v>#VALUE!</v>
      </c>
      <c r="V11" t="e" cm="1">
        <f t="array" aca="1" ref="V11" ca="1">TREND($K11:$P11,$K$1:$P$1,V$1)</f>
        <v>#VALUE!</v>
      </c>
      <c r="W11" t="e" cm="1">
        <f t="array" aca="1" ref="W11" ca="1">TREND($K11:$P11,$K$1:$P$1,W$1)</f>
        <v>#VALUE!</v>
      </c>
      <c r="X11" t="e" cm="1">
        <f t="array" aca="1" ref="X11" ca="1">TREND($K11:$P11,$K$1:$P$1,X$1)</f>
        <v>#VALUE!</v>
      </c>
      <c r="Y11" t="e" cm="1">
        <f t="array" aca="1" ref="Y11" ca="1">TREND($K11:$P11,$K$1:$P$1,Y$1)</f>
        <v>#VALUE!</v>
      </c>
      <c r="Z11" t="e" cm="1">
        <f t="array" aca="1" ref="Z11" ca="1">TREND($K11:$P11,$K$1:$P$1,Z$1)</f>
        <v>#VALUE!</v>
      </c>
      <c r="AA11" t="e" cm="1">
        <f t="array" aca="1" ref="AA11" ca="1">TREND($K11:$P11,$K$1:$P$1,AA$1)</f>
        <v>#VALUE!</v>
      </c>
      <c r="AB11" t="e" cm="1">
        <f t="array" aca="1" ref="AB11" ca="1">TREND($K11:$P11,$K$1:$P$1,AB$1)</f>
        <v>#VALUE!</v>
      </c>
      <c r="AC11" t="e" cm="1">
        <f t="array" aca="1" ref="AC11" ca="1">TREND($K11:$P11,$K$1:$P$1,AC$1)</f>
        <v>#VALUE!</v>
      </c>
      <c r="AD11" t="e" cm="1">
        <f t="array" aca="1" ref="AD11" ca="1">TREND($K11:$P11,$K$1:$P$1,AD$1)</f>
        <v>#VALUE!</v>
      </c>
      <c r="AE11" t="e" cm="1">
        <f t="array" aca="1" ref="AE11" ca="1">TREND($K11:$P11,$K$1:$P$1,AE$1)</f>
        <v>#VALUE!</v>
      </c>
      <c r="AF11" t="e" cm="1">
        <f t="array" aca="1" ref="AF11" ca="1">TREND($K11:$P11,$K$1:$P$1,AF$1)</f>
        <v>#VALUE!</v>
      </c>
      <c r="AG11" t="e" cm="1">
        <f t="array" aca="1" ref="AG11" ca="1">TREND($K11:$P11,$K$1:$P$1,AG$1)</f>
        <v>#VALUE!</v>
      </c>
      <c r="AH11" t="e" cm="1">
        <f t="array" aca="1" ref="AH11" ca="1">TREND($K11:$P11,$K$1:$P$1,AH$1)</f>
        <v>#VALUE!</v>
      </c>
      <c r="AI11" t="e" cm="1">
        <f t="array" aca="1" ref="AI11" ca="1">TREND($K11:$P11,$K$1:$P$1,AI$1)</f>
        <v>#VALUE!</v>
      </c>
      <c r="AJ11" t="e" cm="1">
        <f t="array" aca="1" ref="AJ11" ca="1">TREND($K11:$P11,$K$1:$P$1,AJ$1)</f>
        <v>#VALUE!</v>
      </c>
    </row>
    <row r="12" spans="1:36">
      <c r="A12" t="s">
        <v>85</v>
      </c>
      <c r="B12" s="33" t="e">
        <f ca="1">SUM(INDIRECT(CONCATENATE("'",HLOOKUP(B$1,$B$21:$E$23,3,FALSE),"'!",$B$25,ROW($A12)+5,":",$B$25,ROW($A12)+6)))*About!$A$27</f>
        <v>#VALUE!</v>
      </c>
      <c r="C12" t="e">
        <f t="shared" ca="1" si="3"/>
        <v>#VALUE!</v>
      </c>
      <c r="D12" t="e">
        <f t="shared" ca="1" si="0"/>
        <v>#VALUE!</v>
      </c>
      <c r="E12" t="e">
        <f t="shared" ca="1" si="0"/>
        <v>#VALUE!</v>
      </c>
      <c r="F12" s="33" t="e">
        <f ca="1">SUM(INDIRECT(CONCATENATE("'",HLOOKUP(F$1,$B$21:$E$23,3,FALSE),"'!",$B$25,ROW($A12)+5,":",$B$25,ROW($A12)+6)))*About!$A$27</f>
        <v>#VALUE!</v>
      </c>
      <c r="G12" t="e">
        <f t="shared" ca="1" si="4"/>
        <v>#VALUE!</v>
      </c>
      <c r="H12" t="e">
        <f t="shared" ca="1" si="1"/>
        <v>#VALUE!</v>
      </c>
      <c r="I12" t="e">
        <f t="shared" ca="1" si="1"/>
        <v>#VALUE!</v>
      </c>
      <c r="J12" t="e">
        <f t="shared" ca="1" si="1"/>
        <v>#VALUE!</v>
      </c>
      <c r="K12" s="33" t="e">
        <f ca="1">SUM(INDIRECT(CONCATENATE("'",HLOOKUP(K$1,$B$21:$E$23,3,FALSE),"'!",$B$25,ROW($A12)+5,":",$B$25,ROW($A12)+6)))*About!$A$27</f>
        <v>#VALUE!</v>
      </c>
      <c r="L12" t="e">
        <f t="shared" ca="1" si="5"/>
        <v>#VALUE!</v>
      </c>
      <c r="M12" t="e">
        <f t="shared" ca="1" si="2"/>
        <v>#VALUE!</v>
      </c>
      <c r="N12" t="e">
        <f t="shared" ca="1" si="2"/>
        <v>#VALUE!</v>
      </c>
      <c r="O12" t="e">
        <f t="shared" ca="1" si="2"/>
        <v>#VALUE!</v>
      </c>
      <c r="P12" s="33" t="e">
        <f ca="1">SUM(INDIRECT(CONCATENATE("'",HLOOKUP(P$1,$B$21:$E$23,3,FALSE),"'!",$B$25,ROW($A12)+5,":",$B$25,ROW($A12)+6)))*About!$A$27</f>
        <v>#VALUE!</v>
      </c>
      <c r="Q12" t="e" cm="1">
        <f t="array" aca="1" ref="Q12" ca="1">TREND($K12:$P12,$K$1:$P$1,Q$1)</f>
        <v>#VALUE!</v>
      </c>
      <c r="R12" t="e" cm="1">
        <f t="array" aca="1" ref="R12" ca="1">TREND($K12:$P12,$K$1:$P$1,R$1)</f>
        <v>#VALUE!</v>
      </c>
      <c r="S12" t="e" cm="1">
        <f t="array" aca="1" ref="S12" ca="1">TREND($K12:$P12,$K$1:$P$1,S$1)</f>
        <v>#VALUE!</v>
      </c>
      <c r="T12" t="e" cm="1">
        <f t="array" aca="1" ref="T12" ca="1">TREND($K12:$P12,$K$1:$P$1,T$1)</f>
        <v>#VALUE!</v>
      </c>
      <c r="U12" t="e" cm="1">
        <f t="array" aca="1" ref="U12" ca="1">TREND($K12:$P12,$K$1:$P$1,U$1)</f>
        <v>#VALUE!</v>
      </c>
      <c r="V12" t="e" cm="1">
        <f t="array" aca="1" ref="V12" ca="1">TREND($K12:$P12,$K$1:$P$1,V$1)</f>
        <v>#VALUE!</v>
      </c>
      <c r="W12" t="e" cm="1">
        <f t="array" aca="1" ref="W12" ca="1">TREND($K12:$P12,$K$1:$P$1,W$1)</f>
        <v>#VALUE!</v>
      </c>
      <c r="X12" t="e" cm="1">
        <f t="array" aca="1" ref="X12" ca="1">TREND($K12:$P12,$K$1:$P$1,X$1)</f>
        <v>#VALUE!</v>
      </c>
      <c r="Y12" t="e" cm="1">
        <f t="array" aca="1" ref="Y12" ca="1">TREND($K12:$P12,$K$1:$P$1,Y$1)</f>
        <v>#VALUE!</v>
      </c>
      <c r="Z12" t="e" cm="1">
        <f t="array" aca="1" ref="Z12" ca="1">TREND($K12:$P12,$K$1:$P$1,Z$1)</f>
        <v>#VALUE!</v>
      </c>
      <c r="AA12" t="e" cm="1">
        <f t="array" aca="1" ref="AA12" ca="1">TREND($K12:$P12,$K$1:$P$1,AA$1)</f>
        <v>#VALUE!</v>
      </c>
      <c r="AB12" t="e" cm="1">
        <f t="array" aca="1" ref="AB12" ca="1">TREND($K12:$P12,$K$1:$P$1,AB$1)</f>
        <v>#VALUE!</v>
      </c>
      <c r="AC12" t="e" cm="1">
        <f t="array" aca="1" ref="AC12" ca="1">TREND($K12:$P12,$K$1:$P$1,AC$1)</f>
        <v>#VALUE!</v>
      </c>
      <c r="AD12" t="e" cm="1">
        <f t="array" aca="1" ref="AD12" ca="1">TREND($K12:$P12,$K$1:$P$1,AD$1)</f>
        <v>#VALUE!</v>
      </c>
      <c r="AE12" t="e" cm="1">
        <f t="array" aca="1" ref="AE12" ca="1">TREND($K12:$P12,$K$1:$P$1,AE$1)</f>
        <v>#VALUE!</v>
      </c>
      <c r="AF12" t="e" cm="1">
        <f t="array" aca="1" ref="AF12" ca="1">TREND($K12:$P12,$K$1:$P$1,AF$1)</f>
        <v>#VALUE!</v>
      </c>
      <c r="AG12" t="e" cm="1">
        <f t="array" aca="1" ref="AG12" ca="1">TREND($K12:$P12,$K$1:$P$1,AG$1)</f>
        <v>#VALUE!</v>
      </c>
      <c r="AH12" t="e" cm="1">
        <f t="array" aca="1" ref="AH12" ca="1">TREND($K12:$P12,$K$1:$P$1,AH$1)</f>
        <v>#VALUE!</v>
      </c>
      <c r="AI12" t="e" cm="1">
        <f t="array" aca="1" ref="AI12" ca="1">TREND($K12:$P12,$K$1:$P$1,AI$1)</f>
        <v>#VALUE!</v>
      </c>
      <c r="AJ12" t="e" cm="1">
        <f t="array" aca="1" ref="AJ12" ca="1">TREND($K12:$P12,$K$1:$P$1,AJ$1)</f>
        <v>#VALUE!</v>
      </c>
    </row>
    <row r="16" spans="1:36">
      <c r="A16" s="20" t="s">
        <v>86</v>
      </c>
      <c r="B16" s="21"/>
      <c r="C16" s="21"/>
      <c r="D16" s="21"/>
    </row>
    <row r="17" spans="1:5">
      <c r="A17" t="s">
        <v>87</v>
      </c>
      <c r="B17" t="e" cm="1">
        <f t="array" aca="1" ref="B17" ca="1">MID(CELL("filename",A17),FIND("]",CELL("filename",A17))+1,255)</f>
        <v>#VALUE!</v>
      </c>
    </row>
    <row r="18" spans="1:5">
      <c r="A18" t="s">
        <v>88</v>
      </c>
      <c r="B18" t="e">
        <f ca="1">RIGHT(B17,LEN(B17)-7)</f>
        <v>#VALUE!</v>
      </c>
    </row>
    <row r="19" spans="1:5">
      <c r="A19" t="s">
        <v>89</v>
      </c>
      <c r="B19" t="e">
        <f ca="1">LEFT(B18,FIND("-",B18)-1)</f>
        <v>#VALUE!</v>
      </c>
    </row>
    <row r="20" spans="1:5">
      <c r="A20" t="s">
        <v>90</v>
      </c>
      <c r="B20" t="e">
        <f ca="1">VLOOKUP($B$19,Mappings!$A$22:$B$26,COLUMN(Mappings!$B$21),FALSE)</f>
        <v>#VALUE!</v>
      </c>
    </row>
    <row r="21" spans="1:5">
      <c r="A21" s="23"/>
      <c r="B21" s="24">
        <v>2016</v>
      </c>
      <c r="C21" s="24">
        <v>2020</v>
      </c>
      <c r="D21" s="24">
        <v>2025</v>
      </c>
      <c r="E21" s="25">
        <v>2030</v>
      </c>
    </row>
    <row r="22" spans="1:5">
      <c r="A22" s="26" t="s">
        <v>91</v>
      </c>
      <c r="B22" s="2" t="e">
        <f ca="1">VLOOKUP($B$20,Mappings!$A$3:$E$19,COLUMN(Mappings!B$2),FALSE)</f>
        <v>#VALUE!</v>
      </c>
      <c r="C22" s="2" t="e">
        <f ca="1">VLOOKUP($B$20,Mappings!$A$3:$E$19,COLUMN(Mappings!C$2),FALSE)</f>
        <v>#VALUE!</v>
      </c>
      <c r="D22" s="2" t="e">
        <f ca="1">VLOOKUP($B$20,Mappings!$A$3:$E$19,COLUMN(Mappings!D$2),FALSE)</f>
        <v>#VALUE!</v>
      </c>
      <c r="E22" s="27" t="e">
        <f ca="1">VLOOKUP($B$20,Mappings!$A$3:$E$19,COLUMN(Mappings!E$2),FALSE)</f>
        <v>#VALUE!</v>
      </c>
    </row>
    <row r="23" spans="1:5">
      <c r="A23" s="28" t="s">
        <v>87</v>
      </c>
      <c r="B23" s="29" t="e">
        <f ca="1">CONCATENATE("Table ",B22)</f>
        <v>#VALUE!</v>
      </c>
      <c r="C23" s="29" t="e">
        <f ca="1">CONCATENATE("Table ",C22)</f>
        <v>#VALUE!</v>
      </c>
      <c r="D23" s="29" t="e">
        <f ca="1">CONCATENATE("Table ",D22)</f>
        <v>#VALUE!</v>
      </c>
      <c r="E23" s="30" t="e">
        <f ca="1">CONCATENATE("Table ",E22)</f>
        <v>#VALUE!</v>
      </c>
    </row>
    <row r="24" spans="1:5">
      <c r="A24" t="s">
        <v>92</v>
      </c>
      <c r="B24" t="e">
        <f ca="1">REPLACE(B18,1,FIND("-",B18),"")</f>
        <v>#VALUE!</v>
      </c>
    </row>
    <row r="25" spans="1:5">
      <c r="A25" t="s">
        <v>93</v>
      </c>
      <c r="B25" s="2" t="e">
        <f ca="1">VLOOKUP($B$24,Mappings!$A$29:$B$31,COLUMN(Mappings!$B$29),FALSE)</f>
        <v>#VALUE!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96196-FC48-4EB3-ACE6-FCE83DB52743}">
  <sheetPr>
    <tabColor theme="4" tint="-0.249977111117893"/>
  </sheetPr>
  <dimension ref="A1:AJ25"/>
  <sheetViews>
    <sheetView workbookViewId="0"/>
  </sheetViews>
  <sheetFormatPr defaultColWidth="8.7109375" defaultRowHeight="14.45"/>
  <cols>
    <col min="1" max="1" width="33.7109375" customWidth="1"/>
  </cols>
  <sheetData>
    <row r="1" spans="1:36" s="1" customFormat="1">
      <c r="A1" s="22" t="s">
        <v>74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>
      <c r="A2" t="s">
        <v>75</v>
      </c>
      <c r="B2" s="31" t="e" cm="1">
        <f t="array" aca="1" ref="B2" ca="1">INDIRECT(CONCATENATE("'",HLOOKUP(B$1,$B$21:$E$23,3,FALSE),"'!",$B$25,ROW($A2)+3))*About!$A$27</f>
        <v>#VALUE!</v>
      </c>
      <c r="C2" t="e">
        <f ca="1">$B2+($F2-$B2)*(C$1-$B$1)/($F$1-$B$1)</f>
        <v>#VALUE!</v>
      </c>
      <c r="D2" t="e">
        <f t="shared" ref="D2:E12" ca="1" si="0">$B2+($F2-$B2)*(D$1-$B$1)/($F$1-$B$1)</f>
        <v>#VALUE!</v>
      </c>
      <c r="E2" t="e">
        <f t="shared" ca="1" si="0"/>
        <v>#VALUE!</v>
      </c>
      <c r="F2" s="31" t="e" cm="1">
        <f t="array" aca="1" ref="F2" ca="1">INDIRECT(CONCATENATE("'",HLOOKUP(F$1,$B$21:$E$23,3,FALSE),"'!",$B$25,ROW($A2)+3))*About!$A$27</f>
        <v>#VALUE!</v>
      </c>
      <c r="G2" t="e">
        <f ca="1">$F2+($K2-$F2)*(G$1-$F$1)/($K$1-$F$1)</f>
        <v>#VALUE!</v>
      </c>
      <c r="H2" t="e">
        <f t="shared" ref="H2:J12" ca="1" si="1">$F2+($K2-$F2)*(H$1-$F$1)/($K$1-$F$1)</f>
        <v>#VALUE!</v>
      </c>
      <c r="I2" t="e">
        <f t="shared" ca="1" si="1"/>
        <v>#VALUE!</v>
      </c>
      <c r="J2" t="e">
        <f t="shared" ca="1" si="1"/>
        <v>#VALUE!</v>
      </c>
      <c r="K2" s="31" t="e" cm="1">
        <f t="array" aca="1" ref="K2" ca="1">INDIRECT(CONCATENATE("'",HLOOKUP(K$1,$B$21:$E$23,3,FALSE),"'!",$B$25,ROW($A2)+3))*About!$A$27</f>
        <v>#VALUE!</v>
      </c>
      <c r="L2" t="e">
        <f ca="1">$K2+($P2-$K2)*(L$1-$K$1)/($P$1-$K$1)</f>
        <v>#VALUE!</v>
      </c>
      <c r="M2" t="e">
        <f t="shared" ref="M2:O12" ca="1" si="2">$K2+($P2-$K2)*(M$1-$K$1)/($P$1-$K$1)</f>
        <v>#VALUE!</v>
      </c>
      <c r="N2" t="e">
        <f t="shared" ca="1" si="2"/>
        <v>#VALUE!</v>
      </c>
      <c r="O2" t="e">
        <f t="shared" ca="1" si="2"/>
        <v>#VALUE!</v>
      </c>
      <c r="P2" s="31" t="e" cm="1">
        <f t="array" aca="1" ref="P2" ca="1">INDIRECT(CONCATENATE("'",HLOOKUP(P$1,$B$21:$E$23,3,FALSE),"'!",$B$25,ROW($A2)+3))*About!$A$27</f>
        <v>#VALUE!</v>
      </c>
      <c r="Q2" t="e" cm="1">
        <f t="array" aca="1" ref="Q2" ca="1">TREND($K2:$P2,$K$1:$P$1,Q$1)</f>
        <v>#VALUE!</v>
      </c>
      <c r="R2" t="e" cm="1">
        <f t="array" aca="1" ref="R2" ca="1">TREND($K2:$P2,$K$1:$P$1,R$1)</f>
        <v>#VALUE!</v>
      </c>
      <c r="S2" t="e" cm="1">
        <f t="array" aca="1" ref="S2" ca="1">TREND($K2:$P2,$K$1:$P$1,S$1)</f>
        <v>#VALUE!</v>
      </c>
      <c r="T2" t="e" cm="1">
        <f t="array" aca="1" ref="T2" ca="1">TREND($K2:$P2,$K$1:$P$1,T$1)</f>
        <v>#VALUE!</v>
      </c>
      <c r="U2" t="e" cm="1">
        <f t="array" aca="1" ref="U2" ca="1">TREND($K2:$P2,$K$1:$P$1,U$1)</f>
        <v>#VALUE!</v>
      </c>
      <c r="V2" t="e" cm="1">
        <f t="array" aca="1" ref="V2" ca="1">TREND($K2:$P2,$K$1:$P$1,V$1)</f>
        <v>#VALUE!</v>
      </c>
      <c r="W2" t="e" cm="1">
        <f t="array" aca="1" ref="W2" ca="1">TREND($K2:$P2,$K$1:$P$1,W$1)</f>
        <v>#VALUE!</v>
      </c>
      <c r="X2" t="e" cm="1">
        <f t="array" aca="1" ref="X2" ca="1">TREND($K2:$P2,$K$1:$P$1,X$1)</f>
        <v>#VALUE!</v>
      </c>
      <c r="Y2" t="e" cm="1">
        <f t="array" aca="1" ref="Y2" ca="1">TREND($K2:$P2,$K$1:$P$1,Y$1)</f>
        <v>#VALUE!</v>
      </c>
      <c r="Z2" t="e" cm="1">
        <f t="array" aca="1" ref="Z2" ca="1">TREND($K2:$P2,$K$1:$P$1,Z$1)</f>
        <v>#VALUE!</v>
      </c>
      <c r="AA2" t="e" cm="1">
        <f t="array" aca="1" ref="AA2" ca="1">TREND($K2:$P2,$K$1:$P$1,AA$1)</f>
        <v>#VALUE!</v>
      </c>
      <c r="AB2" t="e" cm="1">
        <f t="array" aca="1" ref="AB2" ca="1">TREND($K2:$P2,$K$1:$P$1,AB$1)</f>
        <v>#VALUE!</v>
      </c>
      <c r="AC2" t="e" cm="1">
        <f t="array" aca="1" ref="AC2" ca="1">TREND($K2:$P2,$K$1:$P$1,AC$1)</f>
        <v>#VALUE!</v>
      </c>
      <c r="AD2" t="e" cm="1">
        <f t="array" aca="1" ref="AD2" ca="1">TREND($K2:$P2,$K$1:$P$1,AD$1)</f>
        <v>#VALUE!</v>
      </c>
      <c r="AE2" t="e" cm="1">
        <f t="array" aca="1" ref="AE2" ca="1">TREND($K2:$P2,$K$1:$P$1,AE$1)</f>
        <v>#VALUE!</v>
      </c>
      <c r="AF2" t="e" cm="1">
        <f t="array" aca="1" ref="AF2" ca="1">TREND($K2:$P2,$K$1:$P$1,AF$1)</f>
        <v>#VALUE!</v>
      </c>
      <c r="AG2" t="e" cm="1">
        <f t="array" aca="1" ref="AG2" ca="1">TREND($K2:$P2,$K$1:$P$1,AG$1)</f>
        <v>#VALUE!</v>
      </c>
      <c r="AH2" t="e" cm="1">
        <f t="array" aca="1" ref="AH2" ca="1">TREND($K2:$P2,$K$1:$P$1,AH$1)</f>
        <v>#VALUE!</v>
      </c>
      <c r="AI2" t="e" cm="1">
        <f t="array" aca="1" ref="AI2" ca="1">TREND($K2:$P2,$K$1:$P$1,AI$1)</f>
        <v>#VALUE!</v>
      </c>
      <c r="AJ2" t="e" cm="1">
        <f t="array" aca="1" ref="AJ2" ca="1">TREND($K2:$P2,$K$1:$P$1,AJ$1)</f>
        <v>#VALUE!</v>
      </c>
    </row>
    <row r="3" spans="1:36">
      <c r="A3" t="s">
        <v>76</v>
      </c>
      <c r="B3" s="32" t="e" cm="1">
        <f t="array" aca="1" ref="B3" ca="1">INDIRECT(CONCATENATE("'",HLOOKUP(B$1,$B$21:$E$23,3,FALSE),"'!",$B$25,ROW($A3)+5))*About!$A$27</f>
        <v>#VALUE!</v>
      </c>
      <c r="C3" t="e">
        <f t="shared" ref="C3:C12" ca="1" si="3">$B3+($F3-$B3)*(C$1-$B$1)/($F$1-$B$1)</f>
        <v>#VALUE!</v>
      </c>
      <c r="D3" t="e">
        <f t="shared" ca="1" si="0"/>
        <v>#VALUE!</v>
      </c>
      <c r="E3" t="e">
        <f t="shared" ca="1" si="0"/>
        <v>#VALUE!</v>
      </c>
      <c r="F3" s="32" t="e" cm="1">
        <f t="array" aca="1" ref="F3" ca="1">INDIRECT(CONCATENATE("'",HLOOKUP(F$1,$B$21:$E$23,3,FALSE),"'!",$B$25,ROW($A3)+5))*About!$A$27</f>
        <v>#VALUE!</v>
      </c>
      <c r="G3" t="e">
        <f t="shared" ref="G3:G12" ca="1" si="4">$F3+($K3-$F3)*(G$1-$F$1)/($K$1-$F$1)</f>
        <v>#VALUE!</v>
      </c>
      <c r="H3" t="e">
        <f t="shared" ca="1" si="1"/>
        <v>#VALUE!</v>
      </c>
      <c r="I3" t="e">
        <f t="shared" ca="1" si="1"/>
        <v>#VALUE!</v>
      </c>
      <c r="J3" t="e">
        <f t="shared" ca="1" si="1"/>
        <v>#VALUE!</v>
      </c>
      <c r="K3" s="32" t="e" cm="1">
        <f t="array" aca="1" ref="K3" ca="1">INDIRECT(CONCATENATE("'",HLOOKUP(K$1,$B$21:$E$23,3,FALSE),"'!",$B$25,ROW($A3)+5))*About!$A$27</f>
        <v>#VALUE!</v>
      </c>
      <c r="L3" t="e">
        <f t="shared" ref="L3:L12" ca="1" si="5">$K3+($P3-$K3)*(L$1-$K$1)/($P$1-$K$1)</f>
        <v>#VALUE!</v>
      </c>
      <c r="M3" t="e">
        <f t="shared" ca="1" si="2"/>
        <v>#VALUE!</v>
      </c>
      <c r="N3" t="e">
        <f t="shared" ca="1" si="2"/>
        <v>#VALUE!</v>
      </c>
      <c r="O3" t="e">
        <f t="shared" ca="1" si="2"/>
        <v>#VALUE!</v>
      </c>
      <c r="P3" s="32" t="e" cm="1">
        <f t="array" aca="1" ref="P3" ca="1">INDIRECT(CONCATENATE("'",HLOOKUP(P$1,$B$21:$E$23,3,FALSE),"'!",$B$25,ROW($A3)+5))*About!$A$27</f>
        <v>#VALUE!</v>
      </c>
      <c r="Q3" t="e" cm="1">
        <f t="array" aca="1" ref="Q3" ca="1">TREND($K3:$P3,$K$1:$P$1,Q$1)</f>
        <v>#VALUE!</v>
      </c>
      <c r="R3" t="e" cm="1">
        <f t="array" aca="1" ref="R3" ca="1">TREND($K3:$P3,$K$1:$P$1,R$1)</f>
        <v>#VALUE!</v>
      </c>
      <c r="S3" t="e" cm="1">
        <f t="array" aca="1" ref="S3" ca="1">TREND($K3:$P3,$K$1:$P$1,S$1)</f>
        <v>#VALUE!</v>
      </c>
      <c r="T3" t="e" cm="1">
        <f t="array" aca="1" ref="T3" ca="1">TREND($K3:$P3,$K$1:$P$1,T$1)</f>
        <v>#VALUE!</v>
      </c>
      <c r="U3" t="e" cm="1">
        <f t="array" aca="1" ref="U3" ca="1">TREND($K3:$P3,$K$1:$P$1,U$1)</f>
        <v>#VALUE!</v>
      </c>
      <c r="V3" t="e" cm="1">
        <f t="array" aca="1" ref="V3" ca="1">TREND($K3:$P3,$K$1:$P$1,V$1)</f>
        <v>#VALUE!</v>
      </c>
      <c r="W3" t="e" cm="1">
        <f t="array" aca="1" ref="W3" ca="1">TREND($K3:$P3,$K$1:$P$1,W$1)</f>
        <v>#VALUE!</v>
      </c>
      <c r="X3" t="e" cm="1">
        <f t="array" aca="1" ref="X3" ca="1">TREND($K3:$P3,$K$1:$P$1,X$1)</f>
        <v>#VALUE!</v>
      </c>
      <c r="Y3" t="e" cm="1">
        <f t="array" aca="1" ref="Y3" ca="1">TREND($K3:$P3,$K$1:$P$1,Y$1)</f>
        <v>#VALUE!</v>
      </c>
      <c r="Z3" t="e" cm="1">
        <f t="array" aca="1" ref="Z3" ca="1">TREND($K3:$P3,$K$1:$P$1,Z$1)</f>
        <v>#VALUE!</v>
      </c>
      <c r="AA3" t="e" cm="1">
        <f t="array" aca="1" ref="AA3" ca="1">TREND($K3:$P3,$K$1:$P$1,AA$1)</f>
        <v>#VALUE!</v>
      </c>
      <c r="AB3" t="e" cm="1">
        <f t="array" aca="1" ref="AB3" ca="1">TREND($K3:$P3,$K$1:$P$1,AB$1)</f>
        <v>#VALUE!</v>
      </c>
      <c r="AC3" t="e" cm="1">
        <f t="array" aca="1" ref="AC3" ca="1">TREND($K3:$P3,$K$1:$P$1,AC$1)</f>
        <v>#VALUE!</v>
      </c>
      <c r="AD3" t="e" cm="1">
        <f t="array" aca="1" ref="AD3" ca="1">TREND($K3:$P3,$K$1:$P$1,AD$1)</f>
        <v>#VALUE!</v>
      </c>
      <c r="AE3" t="e" cm="1">
        <f t="array" aca="1" ref="AE3" ca="1">TREND($K3:$P3,$K$1:$P$1,AE$1)</f>
        <v>#VALUE!</v>
      </c>
      <c r="AF3" t="e" cm="1">
        <f t="array" aca="1" ref="AF3" ca="1">TREND($K3:$P3,$K$1:$P$1,AF$1)</f>
        <v>#VALUE!</v>
      </c>
      <c r="AG3" t="e" cm="1">
        <f t="array" aca="1" ref="AG3" ca="1">TREND($K3:$P3,$K$1:$P$1,AG$1)</f>
        <v>#VALUE!</v>
      </c>
      <c r="AH3" t="e" cm="1">
        <f t="array" aca="1" ref="AH3" ca="1">TREND($K3:$P3,$K$1:$P$1,AH$1)</f>
        <v>#VALUE!</v>
      </c>
      <c r="AI3" t="e" cm="1">
        <f t="array" aca="1" ref="AI3" ca="1">TREND($K3:$P3,$K$1:$P$1,AI$1)</f>
        <v>#VALUE!</v>
      </c>
      <c r="AJ3" t="e" cm="1">
        <f t="array" aca="1" ref="AJ3" ca="1">TREND($K3:$P3,$K$1:$P$1,AJ$1)</f>
        <v>#VALUE!</v>
      </c>
    </row>
    <row r="4" spans="1:36">
      <c r="A4" t="s">
        <v>77</v>
      </c>
      <c r="B4" s="32" t="e" cm="1">
        <f t="array" aca="1" ref="B4" ca="1">INDIRECT(CONCATENATE("'",HLOOKUP(B$1,$B$21:$E$23,3,FALSE),"'!",$B$25,ROW($A4)+5))*About!$A$27</f>
        <v>#VALUE!</v>
      </c>
      <c r="C4" t="e">
        <f t="shared" ca="1" si="3"/>
        <v>#VALUE!</v>
      </c>
      <c r="D4" t="e">
        <f t="shared" ca="1" si="0"/>
        <v>#VALUE!</v>
      </c>
      <c r="E4" t="e">
        <f t="shared" ca="1" si="0"/>
        <v>#VALUE!</v>
      </c>
      <c r="F4" s="32" t="e" cm="1">
        <f t="array" aca="1" ref="F4" ca="1">INDIRECT(CONCATENATE("'",HLOOKUP(F$1,$B$21:$E$23,3,FALSE),"'!",$B$25,ROW($A4)+5))*About!$A$27</f>
        <v>#VALUE!</v>
      </c>
      <c r="G4" t="e">
        <f t="shared" ca="1" si="4"/>
        <v>#VALUE!</v>
      </c>
      <c r="H4" t="e">
        <f t="shared" ca="1" si="1"/>
        <v>#VALUE!</v>
      </c>
      <c r="I4" t="e">
        <f t="shared" ca="1" si="1"/>
        <v>#VALUE!</v>
      </c>
      <c r="J4" t="e">
        <f t="shared" ca="1" si="1"/>
        <v>#VALUE!</v>
      </c>
      <c r="K4" s="32" t="e" cm="1">
        <f t="array" aca="1" ref="K4" ca="1">INDIRECT(CONCATENATE("'",HLOOKUP(K$1,$B$21:$E$23,3,FALSE),"'!",$B$25,ROW($A4)+5))*About!$A$27</f>
        <v>#VALUE!</v>
      </c>
      <c r="L4" t="e">
        <f t="shared" ca="1" si="5"/>
        <v>#VALUE!</v>
      </c>
      <c r="M4" t="e">
        <f t="shared" ca="1" si="2"/>
        <v>#VALUE!</v>
      </c>
      <c r="N4" t="e">
        <f t="shared" ca="1" si="2"/>
        <v>#VALUE!</v>
      </c>
      <c r="O4" t="e">
        <f t="shared" ca="1" si="2"/>
        <v>#VALUE!</v>
      </c>
      <c r="P4" s="32" t="e" cm="1">
        <f t="array" aca="1" ref="P4" ca="1">INDIRECT(CONCATENATE("'",HLOOKUP(P$1,$B$21:$E$23,3,FALSE),"'!",$B$25,ROW($A4)+5))*About!$A$27</f>
        <v>#VALUE!</v>
      </c>
      <c r="Q4" t="e" cm="1">
        <f t="array" aca="1" ref="Q4" ca="1">TREND($K4:$P4,$K$1:$P$1,Q$1)</f>
        <v>#VALUE!</v>
      </c>
      <c r="R4" t="e" cm="1">
        <f t="array" aca="1" ref="R4" ca="1">TREND($K4:$P4,$K$1:$P$1,R$1)</f>
        <v>#VALUE!</v>
      </c>
      <c r="S4" t="e" cm="1">
        <f t="array" aca="1" ref="S4" ca="1">TREND($K4:$P4,$K$1:$P$1,S$1)</f>
        <v>#VALUE!</v>
      </c>
      <c r="T4" t="e" cm="1">
        <f t="array" aca="1" ref="T4" ca="1">TREND($K4:$P4,$K$1:$P$1,T$1)</f>
        <v>#VALUE!</v>
      </c>
      <c r="U4" t="e" cm="1">
        <f t="array" aca="1" ref="U4" ca="1">TREND($K4:$P4,$K$1:$P$1,U$1)</f>
        <v>#VALUE!</v>
      </c>
      <c r="V4" t="e" cm="1">
        <f t="array" aca="1" ref="V4" ca="1">TREND($K4:$P4,$K$1:$P$1,V$1)</f>
        <v>#VALUE!</v>
      </c>
      <c r="W4" t="e" cm="1">
        <f t="array" aca="1" ref="W4" ca="1">TREND($K4:$P4,$K$1:$P$1,W$1)</f>
        <v>#VALUE!</v>
      </c>
      <c r="X4" t="e" cm="1">
        <f t="array" aca="1" ref="X4" ca="1">TREND($K4:$P4,$K$1:$P$1,X$1)</f>
        <v>#VALUE!</v>
      </c>
      <c r="Y4" t="e" cm="1">
        <f t="array" aca="1" ref="Y4" ca="1">TREND($K4:$P4,$K$1:$P$1,Y$1)</f>
        <v>#VALUE!</v>
      </c>
      <c r="Z4" t="e" cm="1">
        <f t="array" aca="1" ref="Z4" ca="1">TREND($K4:$P4,$K$1:$P$1,Z$1)</f>
        <v>#VALUE!</v>
      </c>
      <c r="AA4" t="e" cm="1">
        <f t="array" aca="1" ref="AA4" ca="1">TREND($K4:$P4,$K$1:$P$1,AA$1)</f>
        <v>#VALUE!</v>
      </c>
      <c r="AB4" t="e" cm="1">
        <f t="array" aca="1" ref="AB4" ca="1">TREND($K4:$P4,$K$1:$P$1,AB$1)</f>
        <v>#VALUE!</v>
      </c>
      <c r="AC4" t="e" cm="1">
        <f t="array" aca="1" ref="AC4" ca="1">TREND($K4:$P4,$K$1:$P$1,AC$1)</f>
        <v>#VALUE!</v>
      </c>
      <c r="AD4" t="e" cm="1">
        <f t="array" aca="1" ref="AD4" ca="1">TREND($K4:$P4,$K$1:$P$1,AD$1)</f>
        <v>#VALUE!</v>
      </c>
      <c r="AE4" t="e" cm="1">
        <f t="array" aca="1" ref="AE4" ca="1">TREND($K4:$P4,$K$1:$P$1,AE$1)</f>
        <v>#VALUE!</v>
      </c>
      <c r="AF4" t="e" cm="1">
        <f t="array" aca="1" ref="AF4" ca="1">TREND($K4:$P4,$K$1:$P$1,AF$1)</f>
        <v>#VALUE!</v>
      </c>
      <c r="AG4" t="e" cm="1">
        <f t="array" aca="1" ref="AG4" ca="1">TREND($K4:$P4,$K$1:$P$1,AG$1)</f>
        <v>#VALUE!</v>
      </c>
      <c r="AH4" t="e" cm="1">
        <f t="array" aca="1" ref="AH4" ca="1">TREND($K4:$P4,$K$1:$P$1,AH$1)</f>
        <v>#VALUE!</v>
      </c>
      <c r="AI4" t="e" cm="1">
        <f t="array" aca="1" ref="AI4" ca="1">TREND($K4:$P4,$K$1:$P$1,AI$1)</f>
        <v>#VALUE!</v>
      </c>
      <c r="AJ4" t="e" cm="1">
        <f t="array" aca="1" ref="AJ4" ca="1">TREND($K4:$P4,$K$1:$P$1,AJ$1)</f>
        <v>#VALUE!</v>
      </c>
    </row>
    <row r="5" spans="1:36">
      <c r="A5" t="s">
        <v>78</v>
      </c>
      <c r="B5" s="32" t="e" cm="1">
        <f t="array" aca="1" ref="B5" ca="1">INDIRECT(CONCATENATE("'",HLOOKUP(B$1,$B$21:$E$23,3,FALSE),"'!",$B$25,ROW($A5)+5))*About!$A$27</f>
        <v>#VALUE!</v>
      </c>
      <c r="C5" t="e">
        <f t="shared" ca="1" si="3"/>
        <v>#VALUE!</v>
      </c>
      <c r="D5" t="e">
        <f t="shared" ca="1" si="0"/>
        <v>#VALUE!</v>
      </c>
      <c r="E5" t="e">
        <f t="shared" ca="1" si="0"/>
        <v>#VALUE!</v>
      </c>
      <c r="F5" s="32" t="e" cm="1">
        <f t="array" aca="1" ref="F5" ca="1">INDIRECT(CONCATENATE("'",HLOOKUP(F$1,$B$21:$E$23,3,FALSE),"'!",$B$25,ROW($A5)+5))*About!$A$27</f>
        <v>#VALUE!</v>
      </c>
      <c r="G5" t="e">
        <f t="shared" ca="1" si="4"/>
        <v>#VALUE!</v>
      </c>
      <c r="H5" t="e">
        <f t="shared" ca="1" si="1"/>
        <v>#VALUE!</v>
      </c>
      <c r="I5" t="e">
        <f t="shared" ca="1" si="1"/>
        <v>#VALUE!</v>
      </c>
      <c r="J5" t="e">
        <f t="shared" ca="1" si="1"/>
        <v>#VALUE!</v>
      </c>
      <c r="K5" s="32" t="e" cm="1">
        <f t="array" aca="1" ref="K5" ca="1">INDIRECT(CONCATENATE("'",HLOOKUP(K$1,$B$21:$E$23,3,FALSE),"'!",$B$25,ROW($A5)+5))*About!$A$27</f>
        <v>#VALUE!</v>
      </c>
      <c r="L5" t="e">
        <f t="shared" ca="1" si="5"/>
        <v>#VALUE!</v>
      </c>
      <c r="M5" t="e">
        <f t="shared" ca="1" si="2"/>
        <v>#VALUE!</v>
      </c>
      <c r="N5" t="e">
        <f t="shared" ca="1" si="2"/>
        <v>#VALUE!</v>
      </c>
      <c r="O5" t="e">
        <f t="shared" ca="1" si="2"/>
        <v>#VALUE!</v>
      </c>
      <c r="P5" s="32" t="e" cm="1">
        <f t="array" aca="1" ref="P5" ca="1">INDIRECT(CONCATENATE("'",HLOOKUP(P$1,$B$21:$E$23,3,FALSE),"'!",$B$25,ROW($A5)+5))*About!$A$27</f>
        <v>#VALUE!</v>
      </c>
      <c r="Q5" t="e" cm="1">
        <f t="array" aca="1" ref="Q5" ca="1">TREND($K5:$P5,$K$1:$P$1,Q$1)</f>
        <v>#VALUE!</v>
      </c>
      <c r="R5" t="e" cm="1">
        <f t="array" aca="1" ref="R5" ca="1">TREND($K5:$P5,$K$1:$P$1,R$1)</f>
        <v>#VALUE!</v>
      </c>
      <c r="S5" t="e" cm="1">
        <f t="array" aca="1" ref="S5" ca="1">TREND($K5:$P5,$K$1:$P$1,S$1)</f>
        <v>#VALUE!</v>
      </c>
      <c r="T5" t="e" cm="1">
        <f t="array" aca="1" ref="T5" ca="1">TREND($K5:$P5,$K$1:$P$1,T$1)</f>
        <v>#VALUE!</v>
      </c>
      <c r="U5" t="e" cm="1">
        <f t="array" aca="1" ref="U5" ca="1">TREND($K5:$P5,$K$1:$P$1,U$1)</f>
        <v>#VALUE!</v>
      </c>
      <c r="V5" t="e" cm="1">
        <f t="array" aca="1" ref="V5" ca="1">TREND($K5:$P5,$K$1:$P$1,V$1)</f>
        <v>#VALUE!</v>
      </c>
      <c r="W5" t="e" cm="1">
        <f t="array" aca="1" ref="W5" ca="1">TREND($K5:$P5,$K$1:$P$1,W$1)</f>
        <v>#VALUE!</v>
      </c>
      <c r="X5" t="e" cm="1">
        <f t="array" aca="1" ref="X5" ca="1">TREND($K5:$P5,$K$1:$P$1,X$1)</f>
        <v>#VALUE!</v>
      </c>
      <c r="Y5" t="e" cm="1">
        <f t="array" aca="1" ref="Y5" ca="1">TREND($K5:$P5,$K$1:$P$1,Y$1)</f>
        <v>#VALUE!</v>
      </c>
      <c r="Z5" t="e" cm="1">
        <f t="array" aca="1" ref="Z5" ca="1">TREND($K5:$P5,$K$1:$P$1,Z$1)</f>
        <v>#VALUE!</v>
      </c>
      <c r="AA5" t="e" cm="1">
        <f t="array" aca="1" ref="AA5" ca="1">TREND($K5:$P5,$K$1:$P$1,AA$1)</f>
        <v>#VALUE!</v>
      </c>
      <c r="AB5" t="e" cm="1">
        <f t="array" aca="1" ref="AB5" ca="1">TREND($K5:$P5,$K$1:$P$1,AB$1)</f>
        <v>#VALUE!</v>
      </c>
      <c r="AC5" t="e" cm="1">
        <f t="array" aca="1" ref="AC5" ca="1">TREND($K5:$P5,$K$1:$P$1,AC$1)</f>
        <v>#VALUE!</v>
      </c>
      <c r="AD5" t="e" cm="1">
        <f t="array" aca="1" ref="AD5" ca="1">TREND($K5:$P5,$K$1:$P$1,AD$1)</f>
        <v>#VALUE!</v>
      </c>
      <c r="AE5" t="e" cm="1">
        <f t="array" aca="1" ref="AE5" ca="1">TREND($K5:$P5,$K$1:$P$1,AE$1)</f>
        <v>#VALUE!</v>
      </c>
      <c r="AF5" t="e" cm="1">
        <f t="array" aca="1" ref="AF5" ca="1">TREND($K5:$P5,$K$1:$P$1,AF$1)</f>
        <v>#VALUE!</v>
      </c>
      <c r="AG5" t="e" cm="1">
        <f t="array" aca="1" ref="AG5" ca="1">TREND($K5:$P5,$K$1:$P$1,AG$1)</f>
        <v>#VALUE!</v>
      </c>
      <c r="AH5" t="e" cm="1">
        <f t="array" aca="1" ref="AH5" ca="1">TREND($K5:$P5,$K$1:$P$1,AH$1)</f>
        <v>#VALUE!</v>
      </c>
      <c r="AI5" t="e" cm="1">
        <f t="array" aca="1" ref="AI5" ca="1">TREND($K5:$P5,$K$1:$P$1,AI$1)</f>
        <v>#VALUE!</v>
      </c>
      <c r="AJ5" t="e" cm="1">
        <f t="array" aca="1" ref="AJ5" ca="1">TREND($K5:$P5,$K$1:$P$1,AJ$1)</f>
        <v>#VALUE!</v>
      </c>
    </row>
    <row r="6" spans="1:36">
      <c r="A6" t="s">
        <v>79</v>
      </c>
      <c r="B6" s="32" t="e" cm="1">
        <f t="array" aca="1" ref="B6" ca="1">INDIRECT(CONCATENATE("'",HLOOKUP(B$1,$B$21:$E$23,3,FALSE),"'!",$B$25,ROW($A6)+5))*About!$A$27</f>
        <v>#VALUE!</v>
      </c>
      <c r="C6" t="e">
        <f t="shared" ca="1" si="3"/>
        <v>#VALUE!</v>
      </c>
      <c r="D6" t="e">
        <f t="shared" ca="1" si="0"/>
        <v>#VALUE!</v>
      </c>
      <c r="E6" t="e">
        <f t="shared" ca="1" si="0"/>
        <v>#VALUE!</v>
      </c>
      <c r="F6" s="32" t="e" cm="1">
        <f t="array" aca="1" ref="F6" ca="1">INDIRECT(CONCATENATE("'",HLOOKUP(F$1,$B$21:$E$23,3,FALSE),"'!",$B$25,ROW($A6)+5))*About!$A$27</f>
        <v>#VALUE!</v>
      </c>
      <c r="G6" t="e">
        <f t="shared" ca="1" si="4"/>
        <v>#VALUE!</v>
      </c>
      <c r="H6" t="e">
        <f t="shared" ca="1" si="1"/>
        <v>#VALUE!</v>
      </c>
      <c r="I6" t="e">
        <f t="shared" ca="1" si="1"/>
        <v>#VALUE!</v>
      </c>
      <c r="J6" t="e">
        <f t="shared" ca="1" si="1"/>
        <v>#VALUE!</v>
      </c>
      <c r="K6" s="32" t="e" cm="1">
        <f t="array" aca="1" ref="K6" ca="1">INDIRECT(CONCATENATE("'",HLOOKUP(K$1,$B$21:$E$23,3,FALSE),"'!",$B$25,ROW($A6)+5))*About!$A$27</f>
        <v>#VALUE!</v>
      </c>
      <c r="L6" t="e">
        <f t="shared" ca="1" si="5"/>
        <v>#VALUE!</v>
      </c>
      <c r="M6" t="e">
        <f t="shared" ca="1" si="2"/>
        <v>#VALUE!</v>
      </c>
      <c r="N6" t="e">
        <f t="shared" ca="1" si="2"/>
        <v>#VALUE!</v>
      </c>
      <c r="O6" t="e">
        <f t="shared" ca="1" si="2"/>
        <v>#VALUE!</v>
      </c>
      <c r="P6" s="32" t="e" cm="1">
        <f t="array" aca="1" ref="P6" ca="1">INDIRECT(CONCATENATE("'",HLOOKUP(P$1,$B$21:$E$23,3,FALSE),"'!",$B$25,ROW($A6)+5))*About!$A$27</f>
        <v>#VALUE!</v>
      </c>
      <c r="Q6" t="e" cm="1">
        <f t="array" aca="1" ref="Q6" ca="1">TREND($K6:$P6,$K$1:$P$1,Q$1)</f>
        <v>#VALUE!</v>
      </c>
      <c r="R6" t="e" cm="1">
        <f t="array" aca="1" ref="R6" ca="1">TREND($K6:$P6,$K$1:$P$1,R$1)</f>
        <v>#VALUE!</v>
      </c>
      <c r="S6" t="e" cm="1">
        <f t="array" aca="1" ref="S6" ca="1">TREND($K6:$P6,$K$1:$P$1,S$1)</f>
        <v>#VALUE!</v>
      </c>
      <c r="T6" t="e" cm="1">
        <f t="array" aca="1" ref="T6" ca="1">TREND($K6:$P6,$K$1:$P$1,T$1)</f>
        <v>#VALUE!</v>
      </c>
      <c r="U6" t="e" cm="1">
        <f t="array" aca="1" ref="U6" ca="1">TREND($K6:$P6,$K$1:$P$1,U$1)</f>
        <v>#VALUE!</v>
      </c>
      <c r="V6" t="e" cm="1">
        <f t="array" aca="1" ref="V6" ca="1">TREND($K6:$P6,$K$1:$P$1,V$1)</f>
        <v>#VALUE!</v>
      </c>
      <c r="W6" t="e" cm="1">
        <f t="array" aca="1" ref="W6" ca="1">TREND($K6:$P6,$K$1:$P$1,W$1)</f>
        <v>#VALUE!</v>
      </c>
      <c r="X6" t="e" cm="1">
        <f t="array" aca="1" ref="X6" ca="1">TREND($K6:$P6,$K$1:$P$1,X$1)</f>
        <v>#VALUE!</v>
      </c>
      <c r="Y6" t="e" cm="1">
        <f t="array" aca="1" ref="Y6" ca="1">TREND($K6:$P6,$K$1:$P$1,Y$1)</f>
        <v>#VALUE!</v>
      </c>
      <c r="Z6" t="e" cm="1">
        <f t="array" aca="1" ref="Z6" ca="1">TREND($K6:$P6,$K$1:$P$1,Z$1)</f>
        <v>#VALUE!</v>
      </c>
      <c r="AA6" t="e" cm="1">
        <f t="array" aca="1" ref="AA6" ca="1">TREND($K6:$P6,$K$1:$P$1,AA$1)</f>
        <v>#VALUE!</v>
      </c>
      <c r="AB6" t="e" cm="1">
        <f t="array" aca="1" ref="AB6" ca="1">TREND($K6:$P6,$K$1:$P$1,AB$1)</f>
        <v>#VALUE!</v>
      </c>
      <c r="AC6" t="e" cm="1">
        <f t="array" aca="1" ref="AC6" ca="1">TREND($K6:$P6,$K$1:$P$1,AC$1)</f>
        <v>#VALUE!</v>
      </c>
      <c r="AD6" t="e" cm="1">
        <f t="array" aca="1" ref="AD6" ca="1">TREND($K6:$P6,$K$1:$P$1,AD$1)</f>
        <v>#VALUE!</v>
      </c>
      <c r="AE6" t="e" cm="1">
        <f t="array" aca="1" ref="AE6" ca="1">TREND($K6:$P6,$K$1:$P$1,AE$1)</f>
        <v>#VALUE!</v>
      </c>
      <c r="AF6" t="e" cm="1">
        <f t="array" aca="1" ref="AF6" ca="1">TREND($K6:$P6,$K$1:$P$1,AF$1)</f>
        <v>#VALUE!</v>
      </c>
      <c r="AG6" t="e" cm="1">
        <f t="array" aca="1" ref="AG6" ca="1">TREND($K6:$P6,$K$1:$P$1,AG$1)</f>
        <v>#VALUE!</v>
      </c>
      <c r="AH6" t="e" cm="1">
        <f t="array" aca="1" ref="AH6" ca="1">TREND($K6:$P6,$K$1:$P$1,AH$1)</f>
        <v>#VALUE!</v>
      </c>
      <c r="AI6" t="e" cm="1">
        <f t="array" aca="1" ref="AI6" ca="1">TREND($K6:$P6,$K$1:$P$1,AI$1)</f>
        <v>#VALUE!</v>
      </c>
      <c r="AJ6" t="e" cm="1">
        <f t="array" aca="1" ref="AJ6" ca="1">TREND($K6:$P6,$K$1:$P$1,AJ$1)</f>
        <v>#VALUE!</v>
      </c>
    </row>
    <row r="7" spans="1:36">
      <c r="A7" t="s">
        <v>80</v>
      </c>
      <c r="B7" s="32" t="e" cm="1">
        <f t="array" aca="1" ref="B7" ca="1">INDIRECT(CONCATENATE("'",HLOOKUP(B$1,$B$21:$E$23,3,FALSE),"'!",$B$25,ROW($A7)+5))*About!$A$27</f>
        <v>#VALUE!</v>
      </c>
      <c r="C7" t="e">
        <f t="shared" ca="1" si="3"/>
        <v>#VALUE!</v>
      </c>
      <c r="D7" t="e">
        <f t="shared" ca="1" si="0"/>
        <v>#VALUE!</v>
      </c>
      <c r="E7" t="e">
        <f t="shared" ca="1" si="0"/>
        <v>#VALUE!</v>
      </c>
      <c r="F7" s="32" t="e" cm="1">
        <f t="array" aca="1" ref="F7" ca="1">INDIRECT(CONCATENATE("'",HLOOKUP(F$1,$B$21:$E$23,3,FALSE),"'!",$B$25,ROW($A7)+5))*About!$A$27</f>
        <v>#VALUE!</v>
      </c>
      <c r="G7" t="e">
        <f t="shared" ca="1" si="4"/>
        <v>#VALUE!</v>
      </c>
      <c r="H7" t="e">
        <f t="shared" ca="1" si="1"/>
        <v>#VALUE!</v>
      </c>
      <c r="I7" t="e">
        <f t="shared" ca="1" si="1"/>
        <v>#VALUE!</v>
      </c>
      <c r="J7" t="e">
        <f t="shared" ca="1" si="1"/>
        <v>#VALUE!</v>
      </c>
      <c r="K7" s="32" t="e" cm="1">
        <f t="array" aca="1" ref="K7" ca="1">INDIRECT(CONCATENATE("'",HLOOKUP(K$1,$B$21:$E$23,3,FALSE),"'!",$B$25,ROW($A7)+5))*About!$A$27</f>
        <v>#VALUE!</v>
      </c>
      <c r="L7" t="e">
        <f t="shared" ca="1" si="5"/>
        <v>#VALUE!</v>
      </c>
      <c r="M7" t="e">
        <f t="shared" ca="1" si="2"/>
        <v>#VALUE!</v>
      </c>
      <c r="N7" t="e">
        <f t="shared" ca="1" si="2"/>
        <v>#VALUE!</v>
      </c>
      <c r="O7" t="e">
        <f t="shared" ca="1" si="2"/>
        <v>#VALUE!</v>
      </c>
      <c r="P7" s="32" t="e" cm="1">
        <f t="array" aca="1" ref="P7" ca="1">INDIRECT(CONCATENATE("'",HLOOKUP(P$1,$B$21:$E$23,3,FALSE),"'!",$B$25,ROW($A7)+5))*About!$A$27</f>
        <v>#VALUE!</v>
      </c>
      <c r="Q7" t="e" cm="1">
        <f t="array" aca="1" ref="Q7" ca="1">TREND($K7:$P7,$K$1:$P$1,Q$1)</f>
        <v>#VALUE!</v>
      </c>
      <c r="R7" t="e" cm="1">
        <f t="array" aca="1" ref="R7" ca="1">TREND($K7:$P7,$K$1:$P$1,R$1)</f>
        <v>#VALUE!</v>
      </c>
      <c r="S7" t="e" cm="1">
        <f t="array" aca="1" ref="S7" ca="1">TREND($K7:$P7,$K$1:$P$1,S$1)</f>
        <v>#VALUE!</v>
      </c>
      <c r="T7" t="e" cm="1">
        <f t="array" aca="1" ref="T7" ca="1">TREND($K7:$P7,$K$1:$P$1,T$1)</f>
        <v>#VALUE!</v>
      </c>
      <c r="U7" t="e" cm="1">
        <f t="array" aca="1" ref="U7" ca="1">TREND($K7:$P7,$K$1:$P$1,U$1)</f>
        <v>#VALUE!</v>
      </c>
      <c r="V7" t="e" cm="1">
        <f t="array" aca="1" ref="V7" ca="1">TREND($K7:$P7,$K$1:$P$1,V$1)</f>
        <v>#VALUE!</v>
      </c>
      <c r="W7" t="e" cm="1">
        <f t="array" aca="1" ref="W7" ca="1">TREND($K7:$P7,$K$1:$P$1,W$1)</f>
        <v>#VALUE!</v>
      </c>
      <c r="X7" t="e" cm="1">
        <f t="array" aca="1" ref="X7" ca="1">TREND($K7:$P7,$K$1:$P$1,X$1)</f>
        <v>#VALUE!</v>
      </c>
      <c r="Y7" t="e" cm="1">
        <f t="array" aca="1" ref="Y7" ca="1">TREND($K7:$P7,$K$1:$P$1,Y$1)</f>
        <v>#VALUE!</v>
      </c>
      <c r="Z7" t="e" cm="1">
        <f t="array" aca="1" ref="Z7" ca="1">TREND($K7:$P7,$K$1:$P$1,Z$1)</f>
        <v>#VALUE!</v>
      </c>
      <c r="AA7" t="e" cm="1">
        <f t="array" aca="1" ref="AA7" ca="1">TREND($K7:$P7,$K$1:$P$1,AA$1)</f>
        <v>#VALUE!</v>
      </c>
      <c r="AB7" t="e" cm="1">
        <f t="array" aca="1" ref="AB7" ca="1">TREND($K7:$P7,$K$1:$P$1,AB$1)</f>
        <v>#VALUE!</v>
      </c>
      <c r="AC7" t="e" cm="1">
        <f t="array" aca="1" ref="AC7" ca="1">TREND($K7:$P7,$K$1:$P$1,AC$1)</f>
        <v>#VALUE!</v>
      </c>
      <c r="AD7" t="e" cm="1">
        <f t="array" aca="1" ref="AD7" ca="1">TREND($K7:$P7,$K$1:$P$1,AD$1)</f>
        <v>#VALUE!</v>
      </c>
      <c r="AE7" t="e" cm="1">
        <f t="array" aca="1" ref="AE7" ca="1">TREND($K7:$P7,$K$1:$P$1,AE$1)</f>
        <v>#VALUE!</v>
      </c>
      <c r="AF7" t="e" cm="1">
        <f t="array" aca="1" ref="AF7" ca="1">TREND($K7:$P7,$K$1:$P$1,AF$1)</f>
        <v>#VALUE!</v>
      </c>
      <c r="AG7" t="e" cm="1">
        <f t="array" aca="1" ref="AG7" ca="1">TREND($K7:$P7,$K$1:$P$1,AG$1)</f>
        <v>#VALUE!</v>
      </c>
      <c r="AH7" t="e" cm="1">
        <f t="array" aca="1" ref="AH7" ca="1">TREND($K7:$P7,$K$1:$P$1,AH$1)</f>
        <v>#VALUE!</v>
      </c>
      <c r="AI7" t="e" cm="1">
        <f t="array" aca="1" ref="AI7" ca="1">TREND($K7:$P7,$K$1:$P$1,AI$1)</f>
        <v>#VALUE!</v>
      </c>
      <c r="AJ7" t="e" cm="1">
        <f t="array" aca="1" ref="AJ7" ca="1">TREND($K7:$P7,$K$1:$P$1,AJ$1)</f>
        <v>#VALUE!</v>
      </c>
    </row>
    <row r="8" spans="1:36">
      <c r="A8" t="s">
        <v>81</v>
      </c>
      <c r="B8" s="32" t="e" cm="1">
        <f t="array" aca="1" ref="B8" ca="1">INDIRECT(CONCATENATE("'",HLOOKUP(B$1,$B$21:$E$23,3,FALSE),"'!",$B$25,ROW($A8)+5))*About!$A$27</f>
        <v>#VALUE!</v>
      </c>
      <c r="C8" t="e">
        <f t="shared" ca="1" si="3"/>
        <v>#VALUE!</v>
      </c>
      <c r="D8" t="e">
        <f t="shared" ca="1" si="0"/>
        <v>#VALUE!</v>
      </c>
      <c r="E8" t="e">
        <f t="shared" ca="1" si="0"/>
        <v>#VALUE!</v>
      </c>
      <c r="F8" s="32" t="e" cm="1">
        <f t="array" aca="1" ref="F8" ca="1">INDIRECT(CONCATENATE("'",HLOOKUP(F$1,$B$21:$E$23,3,FALSE),"'!",$B$25,ROW($A8)+5))*About!$A$27</f>
        <v>#VALUE!</v>
      </c>
      <c r="G8" t="e">
        <f t="shared" ca="1" si="4"/>
        <v>#VALUE!</v>
      </c>
      <c r="H8" t="e">
        <f t="shared" ca="1" si="1"/>
        <v>#VALUE!</v>
      </c>
      <c r="I8" t="e">
        <f t="shared" ca="1" si="1"/>
        <v>#VALUE!</v>
      </c>
      <c r="J8" t="e">
        <f t="shared" ca="1" si="1"/>
        <v>#VALUE!</v>
      </c>
      <c r="K8" s="32" t="e" cm="1">
        <f t="array" aca="1" ref="K8" ca="1">INDIRECT(CONCATENATE("'",HLOOKUP(K$1,$B$21:$E$23,3,FALSE),"'!",$B$25,ROW($A8)+5))*About!$A$27</f>
        <v>#VALUE!</v>
      </c>
      <c r="L8" t="e">
        <f t="shared" ca="1" si="5"/>
        <v>#VALUE!</v>
      </c>
      <c r="M8" t="e">
        <f t="shared" ca="1" si="2"/>
        <v>#VALUE!</v>
      </c>
      <c r="N8" t="e">
        <f t="shared" ca="1" si="2"/>
        <v>#VALUE!</v>
      </c>
      <c r="O8" t="e">
        <f t="shared" ca="1" si="2"/>
        <v>#VALUE!</v>
      </c>
      <c r="P8" s="32" t="e" cm="1">
        <f t="array" aca="1" ref="P8" ca="1">INDIRECT(CONCATENATE("'",HLOOKUP(P$1,$B$21:$E$23,3,FALSE),"'!",$B$25,ROW($A8)+5))*About!$A$27</f>
        <v>#VALUE!</v>
      </c>
      <c r="Q8" t="e" cm="1">
        <f t="array" aca="1" ref="Q8" ca="1">TREND($K8:$P8,$K$1:$P$1,Q$1)</f>
        <v>#VALUE!</v>
      </c>
      <c r="R8" t="e" cm="1">
        <f t="array" aca="1" ref="R8" ca="1">TREND($K8:$P8,$K$1:$P$1,R$1)</f>
        <v>#VALUE!</v>
      </c>
      <c r="S8" t="e" cm="1">
        <f t="array" aca="1" ref="S8" ca="1">TREND($K8:$P8,$K$1:$P$1,S$1)</f>
        <v>#VALUE!</v>
      </c>
      <c r="T8" t="e" cm="1">
        <f t="array" aca="1" ref="T8" ca="1">TREND($K8:$P8,$K$1:$P$1,T$1)</f>
        <v>#VALUE!</v>
      </c>
      <c r="U8" t="e" cm="1">
        <f t="array" aca="1" ref="U8" ca="1">TREND($K8:$P8,$K$1:$P$1,U$1)</f>
        <v>#VALUE!</v>
      </c>
      <c r="V8" t="e" cm="1">
        <f t="array" aca="1" ref="V8" ca="1">TREND($K8:$P8,$K$1:$P$1,V$1)</f>
        <v>#VALUE!</v>
      </c>
      <c r="W8" t="e" cm="1">
        <f t="array" aca="1" ref="W8" ca="1">TREND($K8:$P8,$K$1:$P$1,W$1)</f>
        <v>#VALUE!</v>
      </c>
      <c r="X8" t="e" cm="1">
        <f t="array" aca="1" ref="X8" ca="1">TREND($K8:$P8,$K$1:$P$1,X$1)</f>
        <v>#VALUE!</v>
      </c>
      <c r="Y8" t="e" cm="1">
        <f t="array" aca="1" ref="Y8" ca="1">TREND($K8:$P8,$K$1:$P$1,Y$1)</f>
        <v>#VALUE!</v>
      </c>
      <c r="Z8" t="e" cm="1">
        <f t="array" aca="1" ref="Z8" ca="1">TREND($K8:$P8,$K$1:$P$1,Z$1)</f>
        <v>#VALUE!</v>
      </c>
      <c r="AA8" t="e" cm="1">
        <f t="array" aca="1" ref="AA8" ca="1">TREND($K8:$P8,$K$1:$P$1,AA$1)</f>
        <v>#VALUE!</v>
      </c>
      <c r="AB8" t="e" cm="1">
        <f t="array" aca="1" ref="AB8" ca="1">TREND($K8:$P8,$K$1:$P$1,AB$1)</f>
        <v>#VALUE!</v>
      </c>
      <c r="AC8" t="e" cm="1">
        <f t="array" aca="1" ref="AC8" ca="1">TREND($K8:$P8,$K$1:$P$1,AC$1)</f>
        <v>#VALUE!</v>
      </c>
      <c r="AD8" t="e" cm="1">
        <f t="array" aca="1" ref="AD8" ca="1">TREND($K8:$P8,$K$1:$P$1,AD$1)</f>
        <v>#VALUE!</v>
      </c>
      <c r="AE8" t="e" cm="1">
        <f t="array" aca="1" ref="AE8" ca="1">TREND($K8:$P8,$K$1:$P$1,AE$1)</f>
        <v>#VALUE!</v>
      </c>
      <c r="AF8" t="e" cm="1">
        <f t="array" aca="1" ref="AF8" ca="1">TREND($K8:$P8,$K$1:$P$1,AF$1)</f>
        <v>#VALUE!</v>
      </c>
      <c r="AG8" t="e" cm="1">
        <f t="array" aca="1" ref="AG8" ca="1">TREND($K8:$P8,$K$1:$P$1,AG$1)</f>
        <v>#VALUE!</v>
      </c>
      <c r="AH8" t="e" cm="1">
        <f t="array" aca="1" ref="AH8" ca="1">TREND($K8:$P8,$K$1:$P$1,AH$1)</f>
        <v>#VALUE!</v>
      </c>
      <c r="AI8" t="e" cm="1">
        <f t="array" aca="1" ref="AI8" ca="1">TREND($K8:$P8,$K$1:$P$1,AI$1)</f>
        <v>#VALUE!</v>
      </c>
      <c r="AJ8" t="e" cm="1">
        <f t="array" aca="1" ref="AJ8" ca="1">TREND($K8:$P8,$K$1:$P$1,AJ$1)</f>
        <v>#VALUE!</v>
      </c>
    </row>
    <row r="9" spans="1:36">
      <c r="A9" t="s">
        <v>82</v>
      </c>
      <c r="B9" s="32" t="e" cm="1">
        <f t="array" aca="1" ref="B9" ca="1">INDIRECT(CONCATENATE("'",HLOOKUP(B$1,$B$21:$E$23,3,FALSE),"'!",$B$25,ROW($A9)+5))*About!$A$27</f>
        <v>#VALUE!</v>
      </c>
      <c r="C9" t="e">
        <f t="shared" ca="1" si="3"/>
        <v>#VALUE!</v>
      </c>
      <c r="D9" t="e">
        <f t="shared" ca="1" si="0"/>
        <v>#VALUE!</v>
      </c>
      <c r="E9" t="e">
        <f t="shared" ca="1" si="0"/>
        <v>#VALUE!</v>
      </c>
      <c r="F9" s="32" t="e" cm="1">
        <f t="array" aca="1" ref="F9" ca="1">INDIRECT(CONCATENATE("'",HLOOKUP(F$1,$B$21:$E$23,3,FALSE),"'!",$B$25,ROW($A9)+5))*About!$A$27</f>
        <v>#VALUE!</v>
      </c>
      <c r="G9" t="e">
        <f t="shared" ca="1" si="4"/>
        <v>#VALUE!</v>
      </c>
      <c r="H9" t="e">
        <f t="shared" ca="1" si="1"/>
        <v>#VALUE!</v>
      </c>
      <c r="I9" t="e">
        <f t="shared" ca="1" si="1"/>
        <v>#VALUE!</v>
      </c>
      <c r="J9" t="e">
        <f t="shared" ca="1" si="1"/>
        <v>#VALUE!</v>
      </c>
      <c r="K9" s="32" t="e" cm="1">
        <f t="array" aca="1" ref="K9" ca="1">INDIRECT(CONCATENATE("'",HLOOKUP(K$1,$B$21:$E$23,3,FALSE),"'!",$B$25,ROW($A9)+5))*About!$A$27</f>
        <v>#VALUE!</v>
      </c>
      <c r="L9" t="e">
        <f t="shared" ca="1" si="5"/>
        <v>#VALUE!</v>
      </c>
      <c r="M9" t="e">
        <f t="shared" ca="1" si="2"/>
        <v>#VALUE!</v>
      </c>
      <c r="N9" t="e">
        <f t="shared" ca="1" si="2"/>
        <v>#VALUE!</v>
      </c>
      <c r="O9" t="e">
        <f t="shared" ca="1" si="2"/>
        <v>#VALUE!</v>
      </c>
      <c r="P9" s="32" t="e" cm="1">
        <f t="array" aca="1" ref="P9" ca="1">INDIRECT(CONCATENATE("'",HLOOKUP(P$1,$B$21:$E$23,3,FALSE),"'!",$B$25,ROW($A9)+5))*About!$A$27</f>
        <v>#VALUE!</v>
      </c>
      <c r="Q9" t="e" cm="1">
        <f t="array" aca="1" ref="Q9" ca="1">TREND($K9:$P9,$K$1:$P$1,Q$1)</f>
        <v>#VALUE!</v>
      </c>
      <c r="R9" t="e" cm="1">
        <f t="array" aca="1" ref="R9" ca="1">TREND($K9:$P9,$K$1:$P$1,R$1)</f>
        <v>#VALUE!</v>
      </c>
      <c r="S9" t="e" cm="1">
        <f t="array" aca="1" ref="S9" ca="1">TREND($K9:$P9,$K$1:$P$1,S$1)</f>
        <v>#VALUE!</v>
      </c>
      <c r="T9" t="e" cm="1">
        <f t="array" aca="1" ref="T9" ca="1">TREND($K9:$P9,$K$1:$P$1,T$1)</f>
        <v>#VALUE!</v>
      </c>
      <c r="U9" t="e" cm="1">
        <f t="array" aca="1" ref="U9" ca="1">TREND($K9:$P9,$K$1:$P$1,U$1)</f>
        <v>#VALUE!</v>
      </c>
      <c r="V9" t="e" cm="1">
        <f t="array" aca="1" ref="V9" ca="1">TREND($K9:$P9,$K$1:$P$1,V$1)</f>
        <v>#VALUE!</v>
      </c>
      <c r="W9" t="e" cm="1">
        <f t="array" aca="1" ref="W9" ca="1">TREND($K9:$P9,$K$1:$P$1,W$1)</f>
        <v>#VALUE!</v>
      </c>
      <c r="X9" t="e" cm="1">
        <f t="array" aca="1" ref="X9" ca="1">TREND($K9:$P9,$K$1:$P$1,X$1)</f>
        <v>#VALUE!</v>
      </c>
      <c r="Y9" t="e" cm="1">
        <f t="array" aca="1" ref="Y9" ca="1">TREND($K9:$P9,$K$1:$P$1,Y$1)</f>
        <v>#VALUE!</v>
      </c>
      <c r="Z9" t="e" cm="1">
        <f t="array" aca="1" ref="Z9" ca="1">TREND($K9:$P9,$K$1:$P$1,Z$1)</f>
        <v>#VALUE!</v>
      </c>
      <c r="AA9" t="e" cm="1">
        <f t="array" aca="1" ref="AA9" ca="1">TREND($K9:$P9,$K$1:$P$1,AA$1)</f>
        <v>#VALUE!</v>
      </c>
      <c r="AB9" t="e" cm="1">
        <f t="array" aca="1" ref="AB9" ca="1">TREND($K9:$P9,$K$1:$P$1,AB$1)</f>
        <v>#VALUE!</v>
      </c>
      <c r="AC9" t="e" cm="1">
        <f t="array" aca="1" ref="AC9" ca="1">TREND($K9:$P9,$K$1:$P$1,AC$1)</f>
        <v>#VALUE!</v>
      </c>
      <c r="AD9" t="e" cm="1">
        <f t="array" aca="1" ref="AD9" ca="1">TREND($K9:$P9,$K$1:$P$1,AD$1)</f>
        <v>#VALUE!</v>
      </c>
      <c r="AE9" t="e" cm="1">
        <f t="array" aca="1" ref="AE9" ca="1">TREND($K9:$P9,$K$1:$P$1,AE$1)</f>
        <v>#VALUE!</v>
      </c>
      <c r="AF9" t="e" cm="1">
        <f t="array" aca="1" ref="AF9" ca="1">TREND($K9:$P9,$K$1:$P$1,AF$1)</f>
        <v>#VALUE!</v>
      </c>
      <c r="AG9" t="e" cm="1">
        <f t="array" aca="1" ref="AG9" ca="1">TREND($K9:$P9,$K$1:$P$1,AG$1)</f>
        <v>#VALUE!</v>
      </c>
      <c r="AH9" t="e" cm="1">
        <f t="array" aca="1" ref="AH9" ca="1">TREND($K9:$P9,$K$1:$P$1,AH$1)</f>
        <v>#VALUE!</v>
      </c>
      <c r="AI9" t="e" cm="1">
        <f t="array" aca="1" ref="AI9" ca="1">TREND($K9:$P9,$K$1:$P$1,AI$1)</f>
        <v>#VALUE!</v>
      </c>
      <c r="AJ9" t="e" cm="1">
        <f t="array" aca="1" ref="AJ9" ca="1">TREND($K9:$P9,$K$1:$P$1,AJ$1)</f>
        <v>#VALUE!</v>
      </c>
    </row>
    <row r="10" spans="1:36">
      <c r="A10" t="s">
        <v>83</v>
      </c>
      <c r="B10" s="32" t="e" cm="1">
        <f t="array" aca="1" ref="B10" ca="1">INDIRECT(CONCATENATE("'",HLOOKUP(B$1,$B$21:$E$23,3,FALSE),"'!",$B$25,ROW($A10)+5))*About!$A$27</f>
        <v>#VALUE!</v>
      </c>
      <c r="C10" t="e">
        <f t="shared" ca="1" si="3"/>
        <v>#VALUE!</v>
      </c>
      <c r="D10" t="e">
        <f t="shared" ca="1" si="0"/>
        <v>#VALUE!</v>
      </c>
      <c r="E10" t="e">
        <f t="shared" ca="1" si="0"/>
        <v>#VALUE!</v>
      </c>
      <c r="F10" s="32" t="e" cm="1">
        <f t="array" aca="1" ref="F10" ca="1">INDIRECT(CONCATENATE("'",HLOOKUP(F$1,$B$21:$E$23,3,FALSE),"'!",$B$25,ROW($A10)+5))*About!$A$27</f>
        <v>#VALUE!</v>
      </c>
      <c r="G10" t="e">
        <f t="shared" ca="1" si="4"/>
        <v>#VALUE!</v>
      </c>
      <c r="H10" t="e">
        <f t="shared" ca="1" si="1"/>
        <v>#VALUE!</v>
      </c>
      <c r="I10" t="e">
        <f t="shared" ca="1" si="1"/>
        <v>#VALUE!</v>
      </c>
      <c r="J10" t="e">
        <f t="shared" ca="1" si="1"/>
        <v>#VALUE!</v>
      </c>
      <c r="K10" s="32" t="e" cm="1">
        <f t="array" aca="1" ref="K10" ca="1">INDIRECT(CONCATENATE("'",HLOOKUP(K$1,$B$21:$E$23,3,FALSE),"'!",$B$25,ROW($A10)+5))*About!$A$27</f>
        <v>#VALUE!</v>
      </c>
      <c r="L10" t="e">
        <f t="shared" ca="1" si="5"/>
        <v>#VALUE!</v>
      </c>
      <c r="M10" t="e">
        <f t="shared" ca="1" si="2"/>
        <v>#VALUE!</v>
      </c>
      <c r="N10" t="e">
        <f t="shared" ca="1" si="2"/>
        <v>#VALUE!</v>
      </c>
      <c r="O10" t="e">
        <f t="shared" ca="1" si="2"/>
        <v>#VALUE!</v>
      </c>
      <c r="P10" s="32" t="e" cm="1">
        <f t="array" aca="1" ref="P10" ca="1">INDIRECT(CONCATENATE("'",HLOOKUP(P$1,$B$21:$E$23,3,FALSE),"'!",$B$25,ROW($A10)+5))*About!$A$27</f>
        <v>#VALUE!</v>
      </c>
      <c r="Q10" t="e" cm="1">
        <f t="array" aca="1" ref="Q10" ca="1">TREND($K10:$P10,$K$1:$P$1,Q$1)</f>
        <v>#VALUE!</v>
      </c>
      <c r="R10" t="e" cm="1">
        <f t="array" aca="1" ref="R10" ca="1">TREND($K10:$P10,$K$1:$P$1,R$1)</f>
        <v>#VALUE!</v>
      </c>
      <c r="S10" t="e" cm="1">
        <f t="array" aca="1" ref="S10" ca="1">TREND($K10:$P10,$K$1:$P$1,S$1)</f>
        <v>#VALUE!</v>
      </c>
      <c r="T10" t="e" cm="1">
        <f t="array" aca="1" ref="T10" ca="1">TREND($K10:$P10,$K$1:$P$1,T$1)</f>
        <v>#VALUE!</v>
      </c>
      <c r="U10" t="e" cm="1">
        <f t="array" aca="1" ref="U10" ca="1">TREND($K10:$P10,$K$1:$P$1,U$1)</f>
        <v>#VALUE!</v>
      </c>
      <c r="V10" t="e" cm="1">
        <f t="array" aca="1" ref="V10" ca="1">TREND($K10:$P10,$K$1:$P$1,V$1)</f>
        <v>#VALUE!</v>
      </c>
      <c r="W10" t="e" cm="1">
        <f t="array" aca="1" ref="W10" ca="1">TREND($K10:$P10,$K$1:$P$1,W$1)</f>
        <v>#VALUE!</v>
      </c>
      <c r="X10" t="e" cm="1">
        <f t="array" aca="1" ref="X10" ca="1">TREND($K10:$P10,$K$1:$P$1,X$1)</f>
        <v>#VALUE!</v>
      </c>
      <c r="Y10" t="e" cm="1">
        <f t="array" aca="1" ref="Y10" ca="1">TREND($K10:$P10,$K$1:$P$1,Y$1)</f>
        <v>#VALUE!</v>
      </c>
      <c r="Z10" t="e" cm="1">
        <f t="array" aca="1" ref="Z10" ca="1">TREND($K10:$P10,$K$1:$P$1,Z$1)</f>
        <v>#VALUE!</v>
      </c>
      <c r="AA10" t="e" cm="1">
        <f t="array" aca="1" ref="AA10" ca="1">TREND($K10:$P10,$K$1:$P$1,AA$1)</f>
        <v>#VALUE!</v>
      </c>
      <c r="AB10" t="e" cm="1">
        <f t="array" aca="1" ref="AB10" ca="1">TREND($K10:$P10,$K$1:$P$1,AB$1)</f>
        <v>#VALUE!</v>
      </c>
      <c r="AC10" t="e" cm="1">
        <f t="array" aca="1" ref="AC10" ca="1">TREND($K10:$P10,$K$1:$P$1,AC$1)</f>
        <v>#VALUE!</v>
      </c>
      <c r="AD10" t="e" cm="1">
        <f t="array" aca="1" ref="AD10" ca="1">TREND($K10:$P10,$K$1:$P$1,AD$1)</f>
        <v>#VALUE!</v>
      </c>
      <c r="AE10" t="e" cm="1">
        <f t="array" aca="1" ref="AE10" ca="1">TREND($K10:$P10,$K$1:$P$1,AE$1)</f>
        <v>#VALUE!</v>
      </c>
      <c r="AF10" t="e" cm="1">
        <f t="array" aca="1" ref="AF10" ca="1">TREND($K10:$P10,$K$1:$P$1,AF$1)</f>
        <v>#VALUE!</v>
      </c>
      <c r="AG10" t="e" cm="1">
        <f t="array" aca="1" ref="AG10" ca="1">TREND($K10:$P10,$K$1:$P$1,AG$1)</f>
        <v>#VALUE!</v>
      </c>
      <c r="AH10" t="e" cm="1">
        <f t="array" aca="1" ref="AH10" ca="1">TREND($K10:$P10,$K$1:$P$1,AH$1)</f>
        <v>#VALUE!</v>
      </c>
      <c r="AI10" t="e" cm="1">
        <f t="array" aca="1" ref="AI10" ca="1">TREND($K10:$P10,$K$1:$P$1,AI$1)</f>
        <v>#VALUE!</v>
      </c>
      <c r="AJ10" t="e" cm="1">
        <f t="array" aca="1" ref="AJ10" ca="1">TREND($K10:$P10,$K$1:$P$1,AJ$1)</f>
        <v>#VALUE!</v>
      </c>
    </row>
    <row r="11" spans="1:36">
      <c r="A11" t="s">
        <v>84</v>
      </c>
      <c r="B11" s="32" t="e" cm="1">
        <f t="array" aca="1" ref="B11" ca="1">INDIRECT(CONCATENATE("'",HLOOKUP(B$1,$B$21:$E$23,3,FALSE),"'!",$B$25,ROW($A11)+5))*About!$A$27</f>
        <v>#VALUE!</v>
      </c>
      <c r="C11" t="e">
        <f t="shared" ca="1" si="3"/>
        <v>#VALUE!</v>
      </c>
      <c r="D11" t="e">
        <f t="shared" ca="1" si="0"/>
        <v>#VALUE!</v>
      </c>
      <c r="E11" t="e">
        <f t="shared" ca="1" si="0"/>
        <v>#VALUE!</v>
      </c>
      <c r="F11" s="32" t="e" cm="1">
        <f t="array" aca="1" ref="F11" ca="1">INDIRECT(CONCATENATE("'",HLOOKUP(F$1,$B$21:$E$23,3,FALSE),"'!",$B$25,ROW($A11)+5))*About!$A$27</f>
        <v>#VALUE!</v>
      </c>
      <c r="G11" t="e">
        <f t="shared" ca="1" si="4"/>
        <v>#VALUE!</v>
      </c>
      <c r="H11" t="e">
        <f t="shared" ca="1" si="1"/>
        <v>#VALUE!</v>
      </c>
      <c r="I11" t="e">
        <f t="shared" ca="1" si="1"/>
        <v>#VALUE!</v>
      </c>
      <c r="J11" t="e">
        <f t="shared" ca="1" si="1"/>
        <v>#VALUE!</v>
      </c>
      <c r="K11" s="32" t="e" cm="1">
        <f t="array" aca="1" ref="K11" ca="1">INDIRECT(CONCATENATE("'",HLOOKUP(K$1,$B$21:$E$23,3,FALSE),"'!",$B$25,ROW($A11)+5))*About!$A$27</f>
        <v>#VALUE!</v>
      </c>
      <c r="L11" t="e">
        <f t="shared" ca="1" si="5"/>
        <v>#VALUE!</v>
      </c>
      <c r="M11" t="e">
        <f t="shared" ca="1" si="2"/>
        <v>#VALUE!</v>
      </c>
      <c r="N11" t="e">
        <f t="shared" ca="1" si="2"/>
        <v>#VALUE!</v>
      </c>
      <c r="O11" t="e">
        <f t="shared" ca="1" si="2"/>
        <v>#VALUE!</v>
      </c>
      <c r="P11" s="32" t="e" cm="1">
        <f t="array" aca="1" ref="P11" ca="1">INDIRECT(CONCATENATE("'",HLOOKUP(P$1,$B$21:$E$23,3,FALSE),"'!",$B$25,ROW($A11)+5))*About!$A$27</f>
        <v>#VALUE!</v>
      </c>
      <c r="Q11" t="e" cm="1">
        <f t="array" aca="1" ref="Q11" ca="1">TREND($K11:$P11,$K$1:$P$1,Q$1)</f>
        <v>#VALUE!</v>
      </c>
      <c r="R11" t="e" cm="1">
        <f t="array" aca="1" ref="R11" ca="1">TREND($K11:$P11,$K$1:$P$1,R$1)</f>
        <v>#VALUE!</v>
      </c>
      <c r="S11" t="e" cm="1">
        <f t="array" aca="1" ref="S11" ca="1">TREND($K11:$P11,$K$1:$P$1,S$1)</f>
        <v>#VALUE!</v>
      </c>
      <c r="T11" t="e" cm="1">
        <f t="array" aca="1" ref="T11" ca="1">TREND($K11:$P11,$K$1:$P$1,T$1)</f>
        <v>#VALUE!</v>
      </c>
      <c r="U11" t="e" cm="1">
        <f t="array" aca="1" ref="U11" ca="1">TREND($K11:$P11,$K$1:$P$1,U$1)</f>
        <v>#VALUE!</v>
      </c>
      <c r="V11" t="e" cm="1">
        <f t="array" aca="1" ref="V11" ca="1">TREND($K11:$P11,$K$1:$P$1,V$1)</f>
        <v>#VALUE!</v>
      </c>
      <c r="W11" t="e" cm="1">
        <f t="array" aca="1" ref="W11" ca="1">TREND($K11:$P11,$K$1:$P$1,W$1)</f>
        <v>#VALUE!</v>
      </c>
      <c r="X11" t="e" cm="1">
        <f t="array" aca="1" ref="X11" ca="1">TREND($K11:$P11,$K$1:$P$1,X$1)</f>
        <v>#VALUE!</v>
      </c>
      <c r="Y11" t="e" cm="1">
        <f t="array" aca="1" ref="Y11" ca="1">TREND($K11:$P11,$K$1:$P$1,Y$1)</f>
        <v>#VALUE!</v>
      </c>
      <c r="Z11" t="e" cm="1">
        <f t="array" aca="1" ref="Z11" ca="1">TREND($K11:$P11,$K$1:$P$1,Z$1)</f>
        <v>#VALUE!</v>
      </c>
      <c r="AA11" t="e" cm="1">
        <f t="array" aca="1" ref="AA11" ca="1">TREND($K11:$P11,$K$1:$P$1,AA$1)</f>
        <v>#VALUE!</v>
      </c>
      <c r="AB11" t="e" cm="1">
        <f t="array" aca="1" ref="AB11" ca="1">TREND($K11:$P11,$K$1:$P$1,AB$1)</f>
        <v>#VALUE!</v>
      </c>
      <c r="AC11" t="e" cm="1">
        <f t="array" aca="1" ref="AC11" ca="1">TREND($K11:$P11,$K$1:$P$1,AC$1)</f>
        <v>#VALUE!</v>
      </c>
      <c r="AD11" t="e" cm="1">
        <f t="array" aca="1" ref="AD11" ca="1">TREND($K11:$P11,$K$1:$P$1,AD$1)</f>
        <v>#VALUE!</v>
      </c>
      <c r="AE11" t="e" cm="1">
        <f t="array" aca="1" ref="AE11" ca="1">TREND($K11:$P11,$K$1:$P$1,AE$1)</f>
        <v>#VALUE!</v>
      </c>
      <c r="AF11" t="e" cm="1">
        <f t="array" aca="1" ref="AF11" ca="1">TREND($K11:$P11,$K$1:$P$1,AF$1)</f>
        <v>#VALUE!</v>
      </c>
      <c r="AG11" t="e" cm="1">
        <f t="array" aca="1" ref="AG11" ca="1">TREND($K11:$P11,$K$1:$P$1,AG$1)</f>
        <v>#VALUE!</v>
      </c>
      <c r="AH11" t="e" cm="1">
        <f t="array" aca="1" ref="AH11" ca="1">TREND($K11:$P11,$K$1:$P$1,AH$1)</f>
        <v>#VALUE!</v>
      </c>
      <c r="AI11" t="e" cm="1">
        <f t="array" aca="1" ref="AI11" ca="1">TREND($K11:$P11,$K$1:$P$1,AI$1)</f>
        <v>#VALUE!</v>
      </c>
      <c r="AJ11" t="e" cm="1">
        <f t="array" aca="1" ref="AJ11" ca="1">TREND($K11:$P11,$K$1:$P$1,AJ$1)</f>
        <v>#VALUE!</v>
      </c>
    </row>
    <row r="12" spans="1:36">
      <c r="A12" t="s">
        <v>85</v>
      </c>
      <c r="B12" s="33" t="e">
        <f ca="1">SUM(INDIRECT(CONCATENATE("'",HLOOKUP(B$1,$B$21:$E$23,3,FALSE),"'!",$B$25,ROW($A12)+5,":",$B$25,ROW($A12)+6)))*About!$A$27</f>
        <v>#VALUE!</v>
      </c>
      <c r="C12" t="e">
        <f t="shared" ca="1" si="3"/>
        <v>#VALUE!</v>
      </c>
      <c r="D12" t="e">
        <f t="shared" ca="1" si="0"/>
        <v>#VALUE!</v>
      </c>
      <c r="E12" t="e">
        <f t="shared" ca="1" si="0"/>
        <v>#VALUE!</v>
      </c>
      <c r="F12" s="33" t="e">
        <f ca="1">SUM(INDIRECT(CONCATENATE("'",HLOOKUP(F$1,$B$21:$E$23,3,FALSE),"'!",$B$25,ROW($A12)+5,":",$B$25,ROW($A12)+6)))*About!$A$27</f>
        <v>#VALUE!</v>
      </c>
      <c r="G12" t="e">
        <f t="shared" ca="1" si="4"/>
        <v>#VALUE!</v>
      </c>
      <c r="H12" t="e">
        <f t="shared" ca="1" si="1"/>
        <v>#VALUE!</v>
      </c>
      <c r="I12" t="e">
        <f t="shared" ca="1" si="1"/>
        <v>#VALUE!</v>
      </c>
      <c r="J12" t="e">
        <f t="shared" ca="1" si="1"/>
        <v>#VALUE!</v>
      </c>
      <c r="K12" s="33" t="e">
        <f ca="1">SUM(INDIRECT(CONCATENATE("'",HLOOKUP(K$1,$B$21:$E$23,3,FALSE),"'!",$B$25,ROW($A12)+5,":",$B$25,ROW($A12)+6)))*About!$A$27</f>
        <v>#VALUE!</v>
      </c>
      <c r="L12" t="e">
        <f t="shared" ca="1" si="5"/>
        <v>#VALUE!</v>
      </c>
      <c r="M12" t="e">
        <f t="shared" ca="1" si="2"/>
        <v>#VALUE!</v>
      </c>
      <c r="N12" t="e">
        <f t="shared" ca="1" si="2"/>
        <v>#VALUE!</v>
      </c>
      <c r="O12" t="e">
        <f t="shared" ca="1" si="2"/>
        <v>#VALUE!</v>
      </c>
      <c r="P12" s="33" t="e">
        <f ca="1">SUM(INDIRECT(CONCATENATE("'",HLOOKUP(P$1,$B$21:$E$23,3,FALSE),"'!",$B$25,ROW($A12)+5,":",$B$25,ROW($A12)+6)))*About!$A$27</f>
        <v>#VALUE!</v>
      </c>
      <c r="Q12" t="e" cm="1">
        <f t="array" aca="1" ref="Q12" ca="1">TREND($K12:$P12,$K$1:$P$1,Q$1)</f>
        <v>#VALUE!</v>
      </c>
      <c r="R12" t="e" cm="1">
        <f t="array" aca="1" ref="R12" ca="1">TREND($K12:$P12,$K$1:$P$1,R$1)</f>
        <v>#VALUE!</v>
      </c>
      <c r="S12" t="e" cm="1">
        <f t="array" aca="1" ref="S12" ca="1">TREND($K12:$P12,$K$1:$P$1,S$1)</f>
        <v>#VALUE!</v>
      </c>
      <c r="T12" t="e" cm="1">
        <f t="array" aca="1" ref="T12" ca="1">TREND($K12:$P12,$K$1:$P$1,T$1)</f>
        <v>#VALUE!</v>
      </c>
      <c r="U12" t="e" cm="1">
        <f t="array" aca="1" ref="U12" ca="1">TREND($K12:$P12,$K$1:$P$1,U$1)</f>
        <v>#VALUE!</v>
      </c>
      <c r="V12" t="e" cm="1">
        <f t="array" aca="1" ref="V12" ca="1">TREND($K12:$P12,$K$1:$P$1,V$1)</f>
        <v>#VALUE!</v>
      </c>
      <c r="W12" t="e" cm="1">
        <f t="array" aca="1" ref="W12" ca="1">TREND($K12:$P12,$K$1:$P$1,W$1)</f>
        <v>#VALUE!</v>
      </c>
      <c r="X12" t="e" cm="1">
        <f t="array" aca="1" ref="X12" ca="1">TREND($K12:$P12,$K$1:$P$1,X$1)</f>
        <v>#VALUE!</v>
      </c>
      <c r="Y12" t="e" cm="1">
        <f t="array" aca="1" ref="Y12" ca="1">TREND($K12:$P12,$K$1:$P$1,Y$1)</f>
        <v>#VALUE!</v>
      </c>
      <c r="Z12" t="e" cm="1">
        <f t="array" aca="1" ref="Z12" ca="1">TREND($K12:$P12,$K$1:$P$1,Z$1)</f>
        <v>#VALUE!</v>
      </c>
      <c r="AA12" t="e" cm="1">
        <f t="array" aca="1" ref="AA12" ca="1">TREND($K12:$P12,$K$1:$P$1,AA$1)</f>
        <v>#VALUE!</v>
      </c>
      <c r="AB12" t="e" cm="1">
        <f t="array" aca="1" ref="AB12" ca="1">TREND($K12:$P12,$K$1:$P$1,AB$1)</f>
        <v>#VALUE!</v>
      </c>
      <c r="AC12" t="e" cm="1">
        <f t="array" aca="1" ref="AC12" ca="1">TREND($K12:$P12,$K$1:$P$1,AC$1)</f>
        <v>#VALUE!</v>
      </c>
      <c r="AD12" t="e" cm="1">
        <f t="array" aca="1" ref="AD12" ca="1">TREND($K12:$P12,$K$1:$P$1,AD$1)</f>
        <v>#VALUE!</v>
      </c>
      <c r="AE12" t="e" cm="1">
        <f t="array" aca="1" ref="AE12" ca="1">TREND($K12:$P12,$K$1:$P$1,AE$1)</f>
        <v>#VALUE!</v>
      </c>
      <c r="AF12" t="e" cm="1">
        <f t="array" aca="1" ref="AF12" ca="1">TREND($K12:$P12,$K$1:$P$1,AF$1)</f>
        <v>#VALUE!</v>
      </c>
      <c r="AG12" t="e" cm="1">
        <f t="array" aca="1" ref="AG12" ca="1">TREND($K12:$P12,$K$1:$P$1,AG$1)</f>
        <v>#VALUE!</v>
      </c>
      <c r="AH12" t="e" cm="1">
        <f t="array" aca="1" ref="AH12" ca="1">TREND($K12:$P12,$K$1:$P$1,AH$1)</f>
        <v>#VALUE!</v>
      </c>
      <c r="AI12" t="e" cm="1">
        <f t="array" aca="1" ref="AI12" ca="1">TREND($K12:$P12,$K$1:$P$1,AI$1)</f>
        <v>#VALUE!</v>
      </c>
      <c r="AJ12" t="e" cm="1">
        <f t="array" aca="1" ref="AJ12" ca="1">TREND($K12:$P12,$K$1:$P$1,AJ$1)</f>
        <v>#VALUE!</v>
      </c>
    </row>
    <row r="16" spans="1:36">
      <c r="A16" s="20" t="s">
        <v>86</v>
      </c>
      <c r="B16" s="21"/>
      <c r="C16" s="21"/>
      <c r="D16" s="21"/>
    </row>
    <row r="17" spans="1:5">
      <c r="A17" t="s">
        <v>87</v>
      </c>
      <c r="B17" t="e" cm="1">
        <f t="array" aca="1" ref="B17" ca="1">MID(CELL("filename",A17),FIND("]",CELL("filename",A17))+1,255)</f>
        <v>#VALUE!</v>
      </c>
    </row>
    <row r="18" spans="1:5">
      <c r="A18" t="s">
        <v>88</v>
      </c>
      <c r="B18" t="e">
        <f ca="1">RIGHT(B17,LEN(B17)-7)</f>
        <v>#VALUE!</v>
      </c>
    </row>
    <row r="19" spans="1:5">
      <c r="A19" t="s">
        <v>89</v>
      </c>
      <c r="B19" t="e">
        <f ca="1">LEFT(B18,FIND("-",B18)-1)</f>
        <v>#VALUE!</v>
      </c>
    </row>
    <row r="20" spans="1:5">
      <c r="A20" t="s">
        <v>90</v>
      </c>
      <c r="B20" t="e">
        <f ca="1">VLOOKUP($B$19,Mappings!$A$22:$B$26,COLUMN(Mappings!$B$21),FALSE)</f>
        <v>#VALUE!</v>
      </c>
    </row>
    <row r="21" spans="1:5">
      <c r="A21" s="23"/>
      <c r="B21" s="24">
        <v>2016</v>
      </c>
      <c r="C21" s="24">
        <v>2020</v>
      </c>
      <c r="D21" s="24">
        <v>2025</v>
      </c>
      <c r="E21" s="25">
        <v>2030</v>
      </c>
    </row>
    <row r="22" spans="1:5">
      <c r="A22" s="26" t="s">
        <v>91</v>
      </c>
      <c r="B22" s="2" t="e">
        <f ca="1">VLOOKUP($B$20,Mappings!$A$3:$E$19,COLUMN(Mappings!B$2),FALSE)</f>
        <v>#VALUE!</v>
      </c>
      <c r="C22" s="2" t="e">
        <f ca="1">VLOOKUP($B$20,Mappings!$A$3:$E$19,COLUMN(Mappings!C$2),FALSE)</f>
        <v>#VALUE!</v>
      </c>
      <c r="D22" s="2" t="e">
        <f ca="1">VLOOKUP($B$20,Mappings!$A$3:$E$19,COLUMN(Mappings!D$2),FALSE)</f>
        <v>#VALUE!</v>
      </c>
      <c r="E22" s="27" t="e">
        <f ca="1">VLOOKUP($B$20,Mappings!$A$3:$E$19,COLUMN(Mappings!E$2),FALSE)</f>
        <v>#VALUE!</v>
      </c>
    </row>
    <row r="23" spans="1:5">
      <c r="A23" s="28" t="s">
        <v>87</v>
      </c>
      <c r="B23" s="29" t="e">
        <f ca="1">CONCATENATE("Table ",B22)</f>
        <v>#VALUE!</v>
      </c>
      <c r="C23" s="29" t="e">
        <f ca="1">CONCATENATE("Table ",C22)</f>
        <v>#VALUE!</v>
      </c>
      <c r="D23" s="29" t="e">
        <f ca="1">CONCATENATE("Table ",D22)</f>
        <v>#VALUE!</v>
      </c>
      <c r="E23" s="30" t="e">
        <f ca="1">CONCATENATE("Table ",E22)</f>
        <v>#VALUE!</v>
      </c>
    </row>
    <row r="24" spans="1:5">
      <c r="A24" t="s">
        <v>92</v>
      </c>
      <c r="B24" t="e">
        <f ca="1">REPLACE(B18,1,FIND("-",B18),"")</f>
        <v>#VALUE!</v>
      </c>
    </row>
    <row r="25" spans="1:5">
      <c r="A25" t="s">
        <v>93</v>
      </c>
      <c r="B25" s="2" t="e">
        <f ca="1">VLOOKUP($B$24,Mappings!$A$29:$B$31,COLUMN(Mappings!$B$29),FALSE)</f>
        <v>#VALUE!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9D416-F1C2-4865-9B2C-C9DD91B44AE4}">
  <sheetPr>
    <tabColor theme="4" tint="-0.249977111117893"/>
  </sheetPr>
  <dimension ref="A1:AJ25"/>
  <sheetViews>
    <sheetView workbookViewId="0"/>
  </sheetViews>
  <sheetFormatPr defaultColWidth="8.7109375" defaultRowHeight="14.45"/>
  <cols>
    <col min="1" max="1" width="33.7109375" customWidth="1"/>
  </cols>
  <sheetData>
    <row r="1" spans="1:36" s="1" customFormat="1">
      <c r="A1" s="22" t="s">
        <v>74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>
      <c r="A2" t="s">
        <v>75</v>
      </c>
      <c r="B2" s="31" t="e" cm="1">
        <f t="array" aca="1" ref="B2" ca="1">INDIRECT(CONCATENATE("'",HLOOKUP(B$1,$B$21:$E$23,3,FALSE),"'!",$B$25,ROW($A2)+3))*About!$A$27</f>
        <v>#VALUE!</v>
      </c>
      <c r="C2" t="e">
        <f ca="1">$B2+($F2-$B2)*(C$1-$B$1)/($F$1-$B$1)</f>
        <v>#VALUE!</v>
      </c>
      <c r="D2" t="e">
        <f t="shared" ref="D2:E12" ca="1" si="0">$B2+($F2-$B2)*(D$1-$B$1)/($F$1-$B$1)</f>
        <v>#VALUE!</v>
      </c>
      <c r="E2" t="e">
        <f t="shared" ca="1" si="0"/>
        <v>#VALUE!</v>
      </c>
      <c r="F2" s="31" t="e" cm="1">
        <f t="array" aca="1" ref="F2" ca="1">INDIRECT(CONCATENATE("'",HLOOKUP(F$1,$B$21:$E$23,3,FALSE),"'!",$B$25,ROW($A2)+3))*About!$A$27</f>
        <v>#VALUE!</v>
      </c>
      <c r="G2" t="e">
        <f ca="1">$F2+($K2-$F2)*(G$1-$F$1)/($K$1-$F$1)</f>
        <v>#VALUE!</v>
      </c>
      <c r="H2" t="e">
        <f t="shared" ref="H2:J12" ca="1" si="1">$F2+($K2-$F2)*(H$1-$F$1)/($K$1-$F$1)</f>
        <v>#VALUE!</v>
      </c>
      <c r="I2" t="e">
        <f t="shared" ca="1" si="1"/>
        <v>#VALUE!</v>
      </c>
      <c r="J2" t="e">
        <f t="shared" ca="1" si="1"/>
        <v>#VALUE!</v>
      </c>
      <c r="K2" s="31" t="e" cm="1">
        <f t="array" aca="1" ref="K2" ca="1">INDIRECT(CONCATENATE("'",HLOOKUP(K$1,$B$21:$E$23,3,FALSE),"'!",$B$25,ROW($A2)+3))*About!$A$27</f>
        <v>#VALUE!</v>
      </c>
      <c r="L2" t="e">
        <f ca="1">$K2+($P2-$K2)*(L$1-$K$1)/($P$1-$K$1)</f>
        <v>#VALUE!</v>
      </c>
      <c r="M2" t="e">
        <f t="shared" ref="M2:O12" ca="1" si="2">$K2+($P2-$K2)*(M$1-$K$1)/($P$1-$K$1)</f>
        <v>#VALUE!</v>
      </c>
      <c r="N2" t="e">
        <f t="shared" ca="1" si="2"/>
        <v>#VALUE!</v>
      </c>
      <c r="O2" t="e">
        <f t="shared" ca="1" si="2"/>
        <v>#VALUE!</v>
      </c>
      <c r="P2" s="31" t="e" cm="1">
        <f t="array" aca="1" ref="P2" ca="1">INDIRECT(CONCATENATE("'",HLOOKUP(P$1,$B$21:$E$23,3,FALSE),"'!",$B$25,ROW($A2)+3))*About!$A$27</f>
        <v>#VALUE!</v>
      </c>
      <c r="Q2" t="e" cm="1">
        <f t="array" aca="1" ref="Q2" ca="1">TREND($K2:$P2,$K$1:$P$1,Q$1)</f>
        <v>#VALUE!</v>
      </c>
      <c r="R2" t="e" cm="1">
        <f t="array" aca="1" ref="R2" ca="1">TREND($K2:$P2,$K$1:$P$1,R$1)</f>
        <v>#VALUE!</v>
      </c>
      <c r="S2" t="e" cm="1">
        <f t="array" aca="1" ref="S2" ca="1">TREND($K2:$P2,$K$1:$P$1,S$1)</f>
        <v>#VALUE!</v>
      </c>
      <c r="T2" t="e" cm="1">
        <f t="array" aca="1" ref="T2" ca="1">TREND($K2:$P2,$K$1:$P$1,T$1)</f>
        <v>#VALUE!</v>
      </c>
      <c r="U2" t="e" cm="1">
        <f t="array" aca="1" ref="U2" ca="1">TREND($K2:$P2,$K$1:$P$1,U$1)</f>
        <v>#VALUE!</v>
      </c>
      <c r="V2" t="e" cm="1">
        <f t="array" aca="1" ref="V2" ca="1">TREND($K2:$P2,$K$1:$P$1,V$1)</f>
        <v>#VALUE!</v>
      </c>
      <c r="W2" t="e" cm="1">
        <f t="array" aca="1" ref="W2" ca="1">TREND($K2:$P2,$K$1:$P$1,W$1)</f>
        <v>#VALUE!</v>
      </c>
      <c r="X2" t="e" cm="1">
        <f t="array" aca="1" ref="X2" ca="1">TREND($K2:$P2,$K$1:$P$1,X$1)</f>
        <v>#VALUE!</v>
      </c>
      <c r="Y2" t="e" cm="1">
        <f t="array" aca="1" ref="Y2" ca="1">TREND($K2:$P2,$K$1:$P$1,Y$1)</f>
        <v>#VALUE!</v>
      </c>
      <c r="Z2" t="e" cm="1">
        <f t="array" aca="1" ref="Z2" ca="1">TREND($K2:$P2,$K$1:$P$1,Z$1)</f>
        <v>#VALUE!</v>
      </c>
      <c r="AA2" t="e" cm="1">
        <f t="array" aca="1" ref="AA2" ca="1">TREND($K2:$P2,$K$1:$P$1,AA$1)</f>
        <v>#VALUE!</v>
      </c>
      <c r="AB2" t="e" cm="1">
        <f t="array" aca="1" ref="AB2" ca="1">TREND($K2:$P2,$K$1:$P$1,AB$1)</f>
        <v>#VALUE!</v>
      </c>
      <c r="AC2" t="e" cm="1">
        <f t="array" aca="1" ref="AC2" ca="1">TREND($K2:$P2,$K$1:$P$1,AC$1)</f>
        <v>#VALUE!</v>
      </c>
      <c r="AD2" t="e" cm="1">
        <f t="array" aca="1" ref="AD2" ca="1">TREND($K2:$P2,$K$1:$P$1,AD$1)</f>
        <v>#VALUE!</v>
      </c>
      <c r="AE2" t="e" cm="1">
        <f t="array" aca="1" ref="AE2" ca="1">TREND($K2:$P2,$K$1:$P$1,AE$1)</f>
        <v>#VALUE!</v>
      </c>
      <c r="AF2" t="e" cm="1">
        <f t="array" aca="1" ref="AF2" ca="1">TREND($K2:$P2,$K$1:$P$1,AF$1)</f>
        <v>#VALUE!</v>
      </c>
      <c r="AG2" t="e" cm="1">
        <f t="array" aca="1" ref="AG2" ca="1">TREND($K2:$P2,$K$1:$P$1,AG$1)</f>
        <v>#VALUE!</v>
      </c>
      <c r="AH2" t="e" cm="1">
        <f t="array" aca="1" ref="AH2" ca="1">TREND($K2:$P2,$K$1:$P$1,AH$1)</f>
        <v>#VALUE!</v>
      </c>
      <c r="AI2" t="e" cm="1">
        <f t="array" aca="1" ref="AI2" ca="1">TREND($K2:$P2,$K$1:$P$1,AI$1)</f>
        <v>#VALUE!</v>
      </c>
      <c r="AJ2" t="e" cm="1">
        <f t="array" aca="1" ref="AJ2" ca="1">TREND($K2:$P2,$K$1:$P$1,AJ$1)</f>
        <v>#VALUE!</v>
      </c>
    </row>
    <row r="3" spans="1:36">
      <c r="A3" t="s">
        <v>76</v>
      </c>
      <c r="B3" s="32" t="e" cm="1">
        <f t="array" aca="1" ref="B3" ca="1">INDIRECT(CONCATENATE("'",HLOOKUP(B$1,$B$21:$E$23,3,FALSE),"'!",$B$25,ROW($A3)+5))*About!$A$27</f>
        <v>#VALUE!</v>
      </c>
      <c r="C3" t="e">
        <f t="shared" ref="C3:C12" ca="1" si="3">$B3+($F3-$B3)*(C$1-$B$1)/($F$1-$B$1)</f>
        <v>#VALUE!</v>
      </c>
      <c r="D3" t="e">
        <f t="shared" ca="1" si="0"/>
        <v>#VALUE!</v>
      </c>
      <c r="E3" t="e">
        <f t="shared" ca="1" si="0"/>
        <v>#VALUE!</v>
      </c>
      <c r="F3" s="32" t="e" cm="1">
        <f t="array" aca="1" ref="F3" ca="1">INDIRECT(CONCATENATE("'",HLOOKUP(F$1,$B$21:$E$23,3,FALSE),"'!",$B$25,ROW($A3)+5))*About!$A$27</f>
        <v>#VALUE!</v>
      </c>
      <c r="G3" t="e">
        <f t="shared" ref="G3:G12" ca="1" si="4">$F3+($K3-$F3)*(G$1-$F$1)/($K$1-$F$1)</f>
        <v>#VALUE!</v>
      </c>
      <c r="H3" t="e">
        <f t="shared" ca="1" si="1"/>
        <v>#VALUE!</v>
      </c>
      <c r="I3" t="e">
        <f t="shared" ca="1" si="1"/>
        <v>#VALUE!</v>
      </c>
      <c r="J3" t="e">
        <f t="shared" ca="1" si="1"/>
        <v>#VALUE!</v>
      </c>
      <c r="K3" s="32" t="e" cm="1">
        <f t="array" aca="1" ref="K3" ca="1">INDIRECT(CONCATENATE("'",HLOOKUP(K$1,$B$21:$E$23,3,FALSE),"'!",$B$25,ROW($A3)+5))*About!$A$27</f>
        <v>#VALUE!</v>
      </c>
      <c r="L3" t="e">
        <f t="shared" ref="L3:L12" ca="1" si="5">$K3+($P3-$K3)*(L$1-$K$1)/($P$1-$K$1)</f>
        <v>#VALUE!</v>
      </c>
      <c r="M3" t="e">
        <f t="shared" ca="1" si="2"/>
        <v>#VALUE!</v>
      </c>
      <c r="N3" t="e">
        <f t="shared" ca="1" si="2"/>
        <v>#VALUE!</v>
      </c>
      <c r="O3" t="e">
        <f t="shared" ca="1" si="2"/>
        <v>#VALUE!</v>
      </c>
      <c r="P3" s="32" t="e" cm="1">
        <f t="array" aca="1" ref="P3" ca="1">INDIRECT(CONCATENATE("'",HLOOKUP(P$1,$B$21:$E$23,3,FALSE),"'!",$B$25,ROW($A3)+5))*About!$A$27</f>
        <v>#VALUE!</v>
      </c>
      <c r="Q3" t="e" cm="1">
        <f t="array" aca="1" ref="Q3" ca="1">TREND($K3:$P3,$K$1:$P$1,Q$1)</f>
        <v>#VALUE!</v>
      </c>
      <c r="R3" t="e" cm="1">
        <f t="array" aca="1" ref="R3" ca="1">TREND($K3:$P3,$K$1:$P$1,R$1)</f>
        <v>#VALUE!</v>
      </c>
      <c r="S3" t="e" cm="1">
        <f t="array" aca="1" ref="S3" ca="1">TREND($K3:$P3,$K$1:$P$1,S$1)</f>
        <v>#VALUE!</v>
      </c>
      <c r="T3" t="e" cm="1">
        <f t="array" aca="1" ref="T3" ca="1">TREND($K3:$P3,$K$1:$P$1,T$1)</f>
        <v>#VALUE!</v>
      </c>
      <c r="U3" t="e" cm="1">
        <f t="array" aca="1" ref="U3" ca="1">TREND($K3:$P3,$K$1:$P$1,U$1)</f>
        <v>#VALUE!</v>
      </c>
      <c r="V3" t="e" cm="1">
        <f t="array" aca="1" ref="V3" ca="1">TREND($K3:$P3,$K$1:$P$1,V$1)</f>
        <v>#VALUE!</v>
      </c>
      <c r="W3" t="e" cm="1">
        <f t="array" aca="1" ref="W3" ca="1">TREND($K3:$P3,$K$1:$P$1,W$1)</f>
        <v>#VALUE!</v>
      </c>
      <c r="X3" t="e" cm="1">
        <f t="array" aca="1" ref="X3" ca="1">TREND($K3:$P3,$K$1:$P$1,X$1)</f>
        <v>#VALUE!</v>
      </c>
      <c r="Y3" t="e" cm="1">
        <f t="array" aca="1" ref="Y3" ca="1">TREND($K3:$P3,$K$1:$P$1,Y$1)</f>
        <v>#VALUE!</v>
      </c>
      <c r="Z3" t="e" cm="1">
        <f t="array" aca="1" ref="Z3" ca="1">TREND($K3:$P3,$K$1:$P$1,Z$1)</f>
        <v>#VALUE!</v>
      </c>
      <c r="AA3" t="e" cm="1">
        <f t="array" aca="1" ref="AA3" ca="1">TREND($K3:$P3,$K$1:$P$1,AA$1)</f>
        <v>#VALUE!</v>
      </c>
      <c r="AB3" t="e" cm="1">
        <f t="array" aca="1" ref="AB3" ca="1">TREND($K3:$P3,$K$1:$P$1,AB$1)</f>
        <v>#VALUE!</v>
      </c>
      <c r="AC3" t="e" cm="1">
        <f t="array" aca="1" ref="AC3" ca="1">TREND($K3:$P3,$K$1:$P$1,AC$1)</f>
        <v>#VALUE!</v>
      </c>
      <c r="AD3" t="e" cm="1">
        <f t="array" aca="1" ref="AD3" ca="1">TREND($K3:$P3,$K$1:$P$1,AD$1)</f>
        <v>#VALUE!</v>
      </c>
      <c r="AE3" t="e" cm="1">
        <f t="array" aca="1" ref="AE3" ca="1">TREND($K3:$P3,$K$1:$P$1,AE$1)</f>
        <v>#VALUE!</v>
      </c>
      <c r="AF3" t="e" cm="1">
        <f t="array" aca="1" ref="AF3" ca="1">TREND($K3:$P3,$K$1:$P$1,AF$1)</f>
        <v>#VALUE!</v>
      </c>
      <c r="AG3" t="e" cm="1">
        <f t="array" aca="1" ref="AG3" ca="1">TREND($K3:$P3,$K$1:$P$1,AG$1)</f>
        <v>#VALUE!</v>
      </c>
      <c r="AH3" t="e" cm="1">
        <f t="array" aca="1" ref="AH3" ca="1">TREND($K3:$P3,$K$1:$P$1,AH$1)</f>
        <v>#VALUE!</v>
      </c>
      <c r="AI3" t="e" cm="1">
        <f t="array" aca="1" ref="AI3" ca="1">TREND($K3:$P3,$K$1:$P$1,AI$1)</f>
        <v>#VALUE!</v>
      </c>
      <c r="AJ3" t="e" cm="1">
        <f t="array" aca="1" ref="AJ3" ca="1">TREND($K3:$P3,$K$1:$P$1,AJ$1)</f>
        <v>#VALUE!</v>
      </c>
    </row>
    <row r="4" spans="1:36">
      <c r="A4" t="s">
        <v>77</v>
      </c>
      <c r="B4" s="32" t="e" cm="1">
        <f t="array" aca="1" ref="B4" ca="1">INDIRECT(CONCATENATE("'",HLOOKUP(B$1,$B$21:$E$23,3,FALSE),"'!",$B$25,ROW($A4)+5))*About!$A$27</f>
        <v>#VALUE!</v>
      </c>
      <c r="C4" t="e">
        <f t="shared" ca="1" si="3"/>
        <v>#VALUE!</v>
      </c>
      <c r="D4" t="e">
        <f t="shared" ca="1" si="0"/>
        <v>#VALUE!</v>
      </c>
      <c r="E4" t="e">
        <f t="shared" ca="1" si="0"/>
        <v>#VALUE!</v>
      </c>
      <c r="F4" s="32" t="e" cm="1">
        <f t="array" aca="1" ref="F4" ca="1">INDIRECT(CONCATENATE("'",HLOOKUP(F$1,$B$21:$E$23,3,FALSE),"'!",$B$25,ROW($A4)+5))*About!$A$27</f>
        <v>#VALUE!</v>
      </c>
      <c r="G4" t="e">
        <f t="shared" ca="1" si="4"/>
        <v>#VALUE!</v>
      </c>
      <c r="H4" t="e">
        <f t="shared" ca="1" si="1"/>
        <v>#VALUE!</v>
      </c>
      <c r="I4" t="e">
        <f t="shared" ca="1" si="1"/>
        <v>#VALUE!</v>
      </c>
      <c r="J4" t="e">
        <f t="shared" ca="1" si="1"/>
        <v>#VALUE!</v>
      </c>
      <c r="K4" s="32" t="e" cm="1">
        <f t="array" aca="1" ref="K4" ca="1">INDIRECT(CONCATENATE("'",HLOOKUP(K$1,$B$21:$E$23,3,FALSE),"'!",$B$25,ROW($A4)+5))*About!$A$27</f>
        <v>#VALUE!</v>
      </c>
      <c r="L4" t="e">
        <f t="shared" ca="1" si="5"/>
        <v>#VALUE!</v>
      </c>
      <c r="M4" t="e">
        <f t="shared" ca="1" si="2"/>
        <v>#VALUE!</v>
      </c>
      <c r="N4" t="e">
        <f t="shared" ca="1" si="2"/>
        <v>#VALUE!</v>
      </c>
      <c r="O4" t="e">
        <f t="shared" ca="1" si="2"/>
        <v>#VALUE!</v>
      </c>
      <c r="P4" s="32" t="e" cm="1">
        <f t="array" aca="1" ref="P4" ca="1">INDIRECT(CONCATENATE("'",HLOOKUP(P$1,$B$21:$E$23,3,FALSE),"'!",$B$25,ROW($A4)+5))*About!$A$27</f>
        <v>#VALUE!</v>
      </c>
      <c r="Q4" t="e" cm="1">
        <f t="array" aca="1" ref="Q4" ca="1">TREND($K4:$P4,$K$1:$P$1,Q$1)</f>
        <v>#VALUE!</v>
      </c>
      <c r="R4" t="e" cm="1">
        <f t="array" aca="1" ref="R4" ca="1">TREND($K4:$P4,$K$1:$P$1,R$1)</f>
        <v>#VALUE!</v>
      </c>
      <c r="S4" t="e" cm="1">
        <f t="array" aca="1" ref="S4" ca="1">TREND($K4:$P4,$K$1:$P$1,S$1)</f>
        <v>#VALUE!</v>
      </c>
      <c r="T4" t="e" cm="1">
        <f t="array" aca="1" ref="T4" ca="1">TREND($K4:$P4,$K$1:$P$1,T$1)</f>
        <v>#VALUE!</v>
      </c>
      <c r="U4" t="e" cm="1">
        <f t="array" aca="1" ref="U4" ca="1">TREND($K4:$P4,$K$1:$P$1,U$1)</f>
        <v>#VALUE!</v>
      </c>
      <c r="V4" t="e" cm="1">
        <f t="array" aca="1" ref="V4" ca="1">TREND($K4:$P4,$K$1:$P$1,V$1)</f>
        <v>#VALUE!</v>
      </c>
      <c r="W4" t="e" cm="1">
        <f t="array" aca="1" ref="W4" ca="1">TREND($K4:$P4,$K$1:$P$1,W$1)</f>
        <v>#VALUE!</v>
      </c>
      <c r="X4" t="e" cm="1">
        <f t="array" aca="1" ref="X4" ca="1">TREND($K4:$P4,$K$1:$P$1,X$1)</f>
        <v>#VALUE!</v>
      </c>
      <c r="Y4" t="e" cm="1">
        <f t="array" aca="1" ref="Y4" ca="1">TREND($K4:$P4,$K$1:$P$1,Y$1)</f>
        <v>#VALUE!</v>
      </c>
      <c r="Z4" t="e" cm="1">
        <f t="array" aca="1" ref="Z4" ca="1">TREND($K4:$P4,$K$1:$P$1,Z$1)</f>
        <v>#VALUE!</v>
      </c>
      <c r="AA4" t="e" cm="1">
        <f t="array" aca="1" ref="AA4" ca="1">TREND($K4:$P4,$K$1:$P$1,AA$1)</f>
        <v>#VALUE!</v>
      </c>
      <c r="AB4" t="e" cm="1">
        <f t="array" aca="1" ref="AB4" ca="1">TREND($K4:$P4,$K$1:$P$1,AB$1)</f>
        <v>#VALUE!</v>
      </c>
      <c r="AC4" t="e" cm="1">
        <f t="array" aca="1" ref="AC4" ca="1">TREND($K4:$P4,$K$1:$P$1,AC$1)</f>
        <v>#VALUE!</v>
      </c>
      <c r="AD4" t="e" cm="1">
        <f t="array" aca="1" ref="AD4" ca="1">TREND($K4:$P4,$K$1:$P$1,AD$1)</f>
        <v>#VALUE!</v>
      </c>
      <c r="AE4" t="e" cm="1">
        <f t="array" aca="1" ref="AE4" ca="1">TREND($K4:$P4,$K$1:$P$1,AE$1)</f>
        <v>#VALUE!</v>
      </c>
      <c r="AF4" t="e" cm="1">
        <f t="array" aca="1" ref="AF4" ca="1">TREND($K4:$P4,$K$1:$P$1,AF$1)</f>
        <v>#VALUE!</v>
      </c>
      <c r="AG4" t="e" cm="1">
        <f t="array" aca="1" ref="AG4" ca="1">TREND($K4:$P4,$K$1:$P$1,AG$1)</f>
        <v>#VALUE!</v>
      </c>
      <c r="AH4" t="e" cm="1">
        <f t="array" aca="1" ref="AH4" ca="1">TREND($K4:$P4,$K$1:$P$1,AH$1)</f>
        <v>#VALUE!</v>
      </c>
      <c r="AI4" t="e" cm="1">
        <f t="array" aca="1" ref="AI4" ca="1">TREND($K4:$P4,$K$1:$P$1,AI$1)</f>
        <v>#VALUE!</v>
      </c>
      <c r="AJ4" t="e" cm="1">
        <f t="array" aca="1" ref="AJ4" ca="1">TREND($K4:$P4,$K$1:$P$1,AJ$1)</f>
        <v>#VALUE!</v>
      </c>
    </row>
    <row r="5" spans="1:36">
      <c r="A5" t="s">
        <v>78</v>
      </c>
      <c r="B5" s="32" t="e" cm="1">
        <f t="array" aca="1" ref="B5" ca="1">INDIRECT(CONCATENATE("'",HLOOKUP(B$1,$B$21:$E$23,3,FALSE),"'!",$B$25,ROW($A5)+5))*About!$A$27</f>
        <v>#VALUE!</v>
      </c>
      <c r="C5" t="e">
        <f t="shared" ca="1" si="3"/>
        <v>#VALUE!</v>
      </c>
      <c r="D5" t="e">
        <f t="shared" ca="1" si="0"/>
        <v>#VALUE!</v>
      </c>
      <c r="E5" t="e">
        <f t="shared" ca="1" si="0"/>
        <v>#VALUE!</v>
      </c>
      <c r="F5" s="32" t="e" cm="1">
        <f t="array" aca="1" ref="F5" ca="1">INDIRECT(CONCATENATE("'",HLOOKUP(F$1,$B$21:$E$23,3,FALSE),"'!",$B$25,ROW($A5)+5))*About!$A$27</f>
        <v>#VALUE!</v>
      </c>
      <c r="G5" t="e">
        <f t="shared" ca="1" si="4"/>
        <v>#VALUE!</v>
      </c>
      <c r="H5" t="e">
        <f t="shared" ca="1" si="1"/>
        <v>#VALUE!</v>
      </c>
      <c r="I5" t="e">
        <f t="shared" ca="1" si="1"/>
        <v>#VALUE!</v>
      </c>
      <c r="J5" t="e">
        <f t="shared" ca="1" si="1"/>
        <v>#VALUE!</v>
      </c>
      <c r="K5" s="32" t="e" cm="1">
        <f t="array" aca="1" ref="K5" ca="1">INDIRECT(CONCATENATE("'",HLOOKUP(K$1,$B$21:$E$23,3,FALSE),"'!",$B$25,ROW($A5)+5))*About!$A$27</f>
        <v>#VALUE!</v>
      </c>
      <c r="L5" t="e">
        <f t="shared" ca="1" si="5"/>
        <v>#VALUE!</v>
      </c>
      <c r="M5" t="e">
        <f t="shared" ca="1" si="2"/>
        <v>#VALUE!</v>
      </c>
      <c r="N5" t="e">
        <f t="shared" ca="1" si="2"/>
        <v>#VALUE!</v>
      </c>
      <c r="O5" t="e">
        <f t="shared" ca="1" si="2"/>
        <v>#VALUE!</v>
      </c>
      <c r="P5" s="32" t="e" cm="1">
        <f t="array" aca="1" ref="P5" ca="1">INDIRECT(CONCATENATE("'",HLOOKUP(P$1,$B$21:$E$23,3,FALSE),"'!",$B$25,ROW($A5)+5))*About!$A$27</f>
        <v>#VALUE!</v>
      </c>
      <c r="Q5" t="e" cm="1">
        <f t="array" aca="1" ref="Q5" ca="1">TREND($K5:$P5,$K$1:$P$1,Q$1)</f>
        <v>#VALUE!</v>
      </c>
      <c r="R5" t="e" cm="1">
        <f t="array" aca="1" ref="R5" ca="1">TREND($K5:$P5,$K$1:$P$1,R$1)</f>
        <v>#VALUE!</v>
      </c>
      <c r="S5" t="e" cm="1">
        <f t="array" aca="1" ref="S5" ca="1">TREND($K5:$P5,$K$1:$P$1,S$1)</f>
        <v>#VALUE!</v>
      </c>
      <c r="T5" t="e" cm="1">
        <f t="array" aca="1" ref="T5" ca="1">TREND($K5:$P5,$K$1:$P$1,T$1)</f>
        <v>#VALUE!</v>
      </c>
      <c r="U5" t="e" cm="1">
        <f t="array" aca="1" ref="U5" ca="1">TREND($K5:$P5,$K$1:$P$1,U$1)</f>
        <v>#VALUE!</v>
      </c>
      <c r="V5" t="e" cm="1">
        <f t="array" aca="1" ref="V5" ca="1">TREND($K5:$P5,$K$1:$P$1,V$1)</f>
        <v>#VALUE!</v>
      </c>
      <c r="W5" t="e" cm="1">
        <f t="array" aca="1" ref="W5" ca="1">TREND($K5:$P5,$K$1:$P$1,W$1)</f>
        <v>#VALUE!</v>
      </c>
      <c r="X5" t="e" cm="1">
        <f t="array" aca="1" ref="X5" ca="1">TREND($K5:$P5,$K$1:$P$1,X$1)</f>
        <v>#VALUE!</v>
      </c>
      <c r="Y5" t="e" cm="1">
        <f t="array" aca="1" ref="Y5" ca="1">TREND($K5:$P5,$K$1:$P$1,Y$1)</f>
        <v>#VALUE!</v>
      </c>
      <c r="Z5" t="e" cm="1">
        <f t="array" aca="1" ref="Z5" ca="1">TREND($K5:$P5,$K$1:$P$1,Z$1)</f>
        <v>#VALUE!</v>
      </c>
      <c r="AA5" t="e" cm="1">
        <f t="array" aca="1" ref="AA5" ca="1">TREND($K5:$P5,$K$1:$P$1,AA$1)</f>
        <v>#VALUE!</v>
      </c>
      <c r="AB5" t="e" cm="1">
        <f t="array" aca="1" ref="AB5" ca="1">TREND($K5:$P5,$K$1:$P$1,AB$1)</f>
        <v>#VALUE!</v>
      </c>
      <c r="AC5" t="e" cm="1">
        <f t="array" aca="1" ref="AC5" ca="1">TREND($K5:$P5,$K$1:$P$1,AC$1)</f>
        <v>#VALUE!</v>
      </c>
      <c r="AD5" t="e" cm="1">
        <f t="array" aca="1" ref="AD5" ca="1">TREND($K5:$P5,$K$1:$P$1,AD$1)</f>
        <v>#VALUE!</v>
      </c>
      <c r="AE5" t="e" cm="1">
        <f t="array" aca="1" ref="AE5" ca="1">TREND($K5:$P5,$K$1:$P$1,AE$1)</f>
        <v>#VALUE!</v>
      </c>
      <c r="AF5" t="e" cm="1">
        <f t="array" aca="1" ref="AF5" ca="1">TREND($K5:$P5,$K$1:$P$1,AF$1)</f>
        <v>#VALUE!</v>
      </c>
      <c r="AG5" t="e" cm="1">
        <f t="array" aca="1" ref="AG5" ca="1">TREND($K5:$P5,$K$1:$P$1,AG$1)</f>
        <v>#VALUE!</v>
      </c>
      <c r="AH5" t="e" cm="1">
        <f t="array" aca="1" ref="AH5" ca="1">TREND($K5:$P5,$K$1:$P$1,AH$1)</f>
        <v>#VALUE!</v>
      </c>
      <c r="AI5" t="e" cm="1">
        <f t="array" aca="1" ref="AI5" ca="1">TREND($K5:$P5,$K$1:$P$1,AI$1)</f>
        <v>#VALUE!</v>
      </c>
      <c r="AJ5" t="e" cm="1">
        <f t="array" aca="1" ref="AJ5" ca="1">TREND($K5:$P5,$K$1:$P$1,AJ$1)</f>
        <v>#VALUE!</v>
      </c>
    </row>
    <row r="6" spans="1:36">
      <c r="A6" t="s">
        <v>79</v>
      </c>
      <c r="B6" s="32" t="e" cm="1">
        <f t="array" aca="1" ref="B6" ca="1">INDIRECT(CONCATENATE("'",HLOOKUP(B$1,$B$21:$E$23,3,FALSE),"'!",$B$25,ROW($A6)+5))*About!$A$27</f>
        <v>#VALUE!</v>
      </c>
      <c r="C6" t="e">
        <f t="shared" ca="1" si="3"/>
        <v>#VALUE!</v>
      </c>
      <c r="D6" t="e">
        <f t="shared" ca="1" si="0"/>
        <v>#VALUE!</v>
      </c>
      <c r="E6" t="e">
        <f t="shared" ca="1" si="0"/>
        <v>#VALUE!</v>
      </c>
      <c r="F6" s="32" t="e" cm="1">
        <f t="array" aca="1" ref="F6" ca="1">INDIRECT(CONCATENATE("'",HLOOKUP(F$1,$B$21:$E$23,3,FALSE),"'!",$B$25,ROW($A6)+5))*About!$A$27</f>
        <v>#VALUE!</v>
      </c>
      <c r="G6" t="e">
        <f t="shared" ca="1" si="4"/>
        <v>#VALUE!</v>
      </c>
      <c r="H6" t="e">
        <f t="shared" ca="1" si="1"/>
        <v>#VALUE!</v>
      </c>
      <c r="I6" t="e">
        <f t="shared" ca="1" si="1"/>
        <v>#VALUE!</v>
      </c>
      <c r="J6" t="e">
        <f t="shared" ca="1" si="1"/>
        <v>#VALUE!</v>
      </c>
      <c r="K6" s="32" t="e" cm="1">
        <f t="array" aca="1" ref="K6" ca="1">INDIRECT(CONCATENATE("'",HLOOKUP(K$1,$B$21:$E$23,3,FALSE),"'!",$B$25,ROW($A6)+5))*About!$A$27</f>
        <v>#VALUE!</v>
      </c>
      <c r="L6" t="e">
        <f t="shared" ca="1" si="5"/>
        <v>#VALUE!</v>
      </c>
      <c r="M6" t="e">
        <f t="shared" ca="1" si="2"/>
        <v>#VALUE!</v>
      </c>
      <c r="N6" t="e">
        <f t="shared" ca="1" si="2"/>
        <v>#VALUE!</v>
      </c>
      <c r="O6" t="e">
        <f t="shared" ca="1" si="2"/>
        <v>#VALUE!</v>
      </c>
      <c r="P6" s="32" t="e" cm="1">
        <f t="array" aca="1" ref="P6" ca="1">INDIRECT(CONCATENATE("'",HLOOKUP(P$1,$B$21:$E$23,3,FALSE),"'!",$B$25,ROW($A6)+5))*About!$A$27</f>
        <v>#VALUE!</v>
      </c>
      <c r="Q6" t="e" cm="1">
        <f t="array" aca="1" ref="Q6" ca="1">TREND($K6:$P6,$K$1:$P$1,Q$1)</f>
        <v>#VALUE!</v>
      </c>
      <c r="R6" t="e" cm="1">
        <f t="array" aca="1" ref="R6" ca="1">TREND($K6:$P6,$K$1:$P$1,R$1)</f>
        <v>#VALUE!</v>
      </c>
      <c r="S6" t="e" cm="1">
        <f t="array" aca="1" ref="S6" ca="1">TREND($K6:$P6,$K$1:$P$1,S$1)</f>
        <v>#VALUE!</v>
      </c>
      <c r="T6" t="e" cm="1">
        <f t="array" aca="1" ref="T6" ca="1">TREND($K6:$P6,$K$1:$P$1,T$1)</f>
        <v>#VALUE!</v>
      </c>
      <c r="U6" t="e" cm="1">
        <f t="array" aca="1" ref="U6" ca="1">TREND($K6:$P6,$K$1:$P$1,U$1)</f>
        <v>#VALUE!</v>
      </c>
      <c r="V6" t="e" cm="1">
        <f t="array" aca="1" ref="V6" ca="1">TREND($K6:$P6,$K$1:$P$1,V$1)</f>
        <v>#VALUE!</v>
      </c>
      <c r="W6" t="e" cm="1">
        <f t="array" aca="1" ref="W6" ca="1">TREND($K6:$P6,$K$1:$P$1,W$1)</f>
        <v>#VALUE!</v>
      </c>
      <c r="X6" t="e" cm="1">
        <f t="array" aca="1" ref="X6" ca="1">TREND($K6:$P6,$K$1:$P$1,X$1)</f>
        <v>#VALUE!</v>
      </c>
      <c r="Y6" t="e" cm="1">
        <f t="array" aca="1" ref="Y6" ca="1">TREND($K6:$P6,$K$1:$P$1,Y$1)</f>
        <v>#VALUE!</v>
      </c>
      <c r="Z6" t="e" cm="1">
        <f t="array" aca="1" ref="Z6" ca="1">TREND($K6:$P6,$K$1:$P$1,Z$1)</f>
        <v>#VALUE!</v>
      </c>
      <c r="AA6" t="e" cm="1">
        <f t="array" aca="1" ref="AA6" ca="1">TREND($K6:$P6,$K$1:$P$1,AA$1)</f>
        <v>#VALUE!</v>
      </c>
      <c r="AB6" t="e" cm="1">
        <f t="array" aca="1" ref="AB6" ca="1">TREND($K6:$P6,$K$1:$P$1,AB$1)</f>
        <v>#VALUE!</v>
      </c>
      <c r="AC6" t="e" cm="1">
        <f t="array" aca="1" ref="AC6" ca="1">TREND($K6:$P6,$K$1:$P$1,AC$1)</f>
        <v>#VALUE!</v>
      </c>
      <c r="AD6" t="e" cm="1">
        <f t="array" aca="1" ref="AD6" ca="1">TREND($K6:$P6,$K$1:$P$1,AD$1)</f>
        <v>#VALUE!</v>
      </c>
      <c r="AE6" t="e" cm="1">
        <f t="array" aca="1" ref="AE6" ca="1">TREND($K6:$P6,$K$1:$P$1,AE$1)</f>
        <v>#VALUE!</v>
      </c>
      <c r="AF6" t="e" cm="1">
        <f t="array" aca="1" ref="AF6" ca="1">TREND($K6:$P6,$K$1:$P$1,AF$1)</f>
        <v>#VALUE!</v>
      </c>
      <c r="AG6" t="e" cm="1">
        <f t="array" aca="1" ref="AG6" ca="1">TREND($K6:$P6,$K$1:$P$1,AG$1)</f>
        <v>#VALUE!</v>
      </c>
      <c r="AH6" t="e" cm="1">
        <f t="array" aca="1" ref="AH6" ca="1">TREND($K6:$P6,$K$1:$P$1,AH$1)</f>
        <v>#VALUE!</v>
      </c>
      <c r="AI6" t="e" cm="1">
        <f t="array" aca="1" ref="AI6" ca="1">TREND($K6:$P6,$K$1:$P$1,AI$1)</f>
        <v>#VALUE!</v>
      </c>
      <c r="AJ6" t="e" cm="1">
        <f t="array" aca="1" ref="AJ6" ca="1">TREND($K6:$P6,$K$1:$P$1,AJ$1)</f>
        <v>#VALUE!</v>
      </c>
    </row>
    <row r="7" spans="1:36">
      <c r="A7" t="s">
        <v>80</v>
      </c>
      <c r="B7" s="32" t="e" cm="1">
        <f t="array" aca="1" ref="B7" ca="1">INDIRECT(CONCATENATE("'",HLOOKUP(B$1,$B$21:$E$23,3,FALSE),"'!",$B$25,ROW($A7)+5))*About!$A$27</f>
        <v>#VALUE!</v>
      </c>
      <c r="C7" t="e">
        <f t="shared" ca="1" si="3"/>
        <v>#VALUE!</v>
      </c>
      <c r="D7" t="e">
        <f t="shared" ca="1" si="0"/>
        <v>#VALUE!</v>
      </c>
      <c r="E7" t="e">
        <f t="shared" ca="1" si="0"/>
        <v>#VALUE!</v>
      </c>
      <c r="F7" s="32" t="e" cm="1">
        <f t="array" aca="1" ref="F7" ca="1">INDIRECT(CONCATENATE("'",HLOOKUP(F$1,$B$21:$E$23,3,FALSE),"'!",$B$25,ROW($A7)+5))*About!$A$27</f>
        <v>#VALUE!</v>
      </c>
      <c r="G7" t="e">
        <f t="shared" ca="1" si="4"/>
        <v>#VALUE!</v>
      </c>
      <c r="H7" t="e">
        <f t="shared" ca="1" si="1"/>
        <v>#VALUE!</v>
      </c>
      <c r="I7" t="e">
        <f t="shared" ca="1" si="1"/>
        <v>#VALUE!</v>
      </c>
      <c r="J7" t="e">
        <f t="shared" ca="1" si="1"/>
        <v>#VALUE!</v>
      </c>
      <c r="K7" s="32" t="e" cm="1">
        <f t="array" aca="1" ref="K7" ca="1">INDIRECT(CONCATENATE("'",HLOOKUP(K$1,$B$21:$E$23,3,FALSE),"'!",$B$25,ROW($A7)+5))*About!$A$27</f>
        <v>#VALUE!</v>
      </c>
      <c r="L7" t="e">
        <f t="shared" ca="1" si="5"/>
        <v>#VALUE!</v>
      </c>
      <c r="M7" t="e">
        <f t="shared" ca="1" si="2"/>
        <v>#VALUE!</v>
      </c>
      <c r="N7" t="e">
        <f t="shared" ca="1" si="2"/>
        <v>#VALUE!</v>
      </c>
      <c r="O7" t="e">
        <f t="shared" ca="1" si="2"/>
        <v>#VALUE!</v>
      </c>
      <c r="P7" s="32" t="e" cm="1">
        <f t="array" aca="1" ref="P7" ca="1">INDIRECT(CONCATENATE("'",HLOOKUP(P$1,$B$21:$E$23,3,FALSE),"'!",$B$25,ROW($A7)+5))*About!$A$27</f>
        <v>#VALUE!</v>
      </c>
      <c r="Q7" t="e" cm="1">
        <f t="array" aca="1" ref="Q7" ca="1">TREND($K7:$P7,$K$1:$P$1,Q$1)</f>
        <v>#VALUE!</v>
      </c>
      <c r="R7" t="e" cm="1">
        <f t="array" aca="1" ref="R7" ca="1">TREND($K7:$P7,$K$1:$P$1,R$1)</f>
        <v>#VALUE!</v>
      </c>
      <c r="S7" t="e" cm="1">
        <f t="array" aca="1" ref="S7" ca="1">TREND($K7:$P7,$K$1:$P$1,S$1)</f>
        <v>#VALUE!</v>
      </c>
      <c r="T7" t="e" cm="1">
        <f t="array" aca="1" ref="T7" ca="1">TREND($K7:$P7,$K$1:$P$1,T$1)</f>
        <v>#VALUE!</v>
      </c>
      <c r="U7" t="e" cm="1">
        <f t="array" aca="1" ref="U7" ca="1">TREND($K7:$P7,$K$1:$P$1,U$1)</f>
        <v>#VALUE!</v>
      </c>
      <c r="V7" t="e" cm="1">
        <f t="array" aca="1" ref="V7" ca="1">TREND($K7:$P7,$K$1:$P$1,V$1)</f>
        <v>#VALUE!</v>
      </c>
      <c r="W7" t="e" cm="1">
        <f t="array" aca="1" ref="W7" ca="1">TREND($K7:$P7,$K$1:$P$1,W$1)</f>
        <v>#VALUE!</v>
      </c>
      <c r="X7" t="e" cm="1">
        <f t="array" aca="1" ref="X7" ca="1">TREND($K7:$P7,$K$1:$P$1,X$1)</f>
        <v>#VALUE!</v>
      </c>
      <c r="Y7" t="e" cm="1">
        <f t="array" aca="1" ref="Y7" ca="1">TREND($K7:$P7,$K$1:$P$1,Y$1)</f>
        <v>#VALUE!</v>
      </c>
      <c r="Z7" t="e" cm="1">
        <f t="array" aca="1" ref="Z7" ca="1">TREND($K7:$P7,$K$1:$P$1,Z$1)</f>
        <v>#VALUE!</v>
      </c>
      <c r="AA7" t="e" cm="1">
        <f t="array" aca="1" ref="AA7" ca="1">TREND($K7:$P7,$K$1:$P$1,AA$1)</f>
        <v>#VALUE!</v>
      </c>
      <c r="AB7" t="e" cm="1">
        <f t="array" aca="1" ref="AB7" ca="1">TREND($K7:$P7,$K$1:$P$1,AB$1)</f>
        <v>#VALUE!</v>
      </c>
      <c r="AC7" t="e" cm="1">
        <f t="array" aca="1" ref="AC7" ca="1">TREND($K7:$P7,$K$1:$P$1,AC$1)</f>
        <v>#VALUE!</v>
      </c>
      <c r="AD7" t="e" cm="1">
        <f t="array" aca="1" ref="AD7" ca="1">TREND($K7:$P7,$K$1:$P$1,AD$1)</f>
        <v>#VALUE!</v>
      </c>
      <c r="AE7" t="e" cm="1">
        <f t="array" aca="1" ref="AE7" ca="1">TREND($K7:$P7,$K$1:$P$1,AE$1)</f>
        <v>#VALUE!</v>
      </c>
      <c r="AF7" t="e" cm="1">
        <f t="array" aca="1" ref="AF7" ca="1">TREND($K7:$P7,$K$1:$P$1,AF$1)</f>
        <v>#VALUE!</v>
      </c>
      <c r="AG7" t="e" cm="1">
        <f t="array" aca="1" ref="AG7" ca="1">TREND($K7:$P7,$K$1:$P$1,AG$1)</f>
        <v>#VALUE!</v>
      </c>
      <c r="AH7" t="e" cm="1">
        <f t="array" aca="1" ref="AH7" ca="1">TREND($K7:$P7,$K$1:$P$1,AH$1)</f>
        <v>#VALUE!</v>
      </c>
      <c r="AI7" t="e" cm="1">
        <f t="array" aca="1" ref="AI7" ca="1">TREND($K7:$P7,$K$1:$P$1,AI$1)</f>
        <v>#VALUE!</v>
      </c>
      <c r="AJ7" t="e" cm="1">
        <f t="array" aca="1" ref="AJ7" ca="1">TREND($K7:$P7,$K$1:$P$1,AJ$1)</f>
        <v>#VALUE!</v>
      </c>
    </row>
    <row r="8" spans="1:36">
      <c r="A8" t="s">
        <v>81</v>
      </c>
      <c r="B8" s="32" t="e" cm="1">
        <f t="array" aca="1" ref="B8" ca="1">INDIRECT(CONCATENATE("'",HLOOKUP(B$1,$B$21:$E$23,3,FALSE),"'!",$B$25,ROW($A8)+5))*About!$A$27</f>
        <v>#VALUE!</v>
      </c>
      <c r="C8" t="e">
        <f t="shared" ca="1" si="3"/>
        <v>#VALUE!</v>
      </c>
      <c r="D8" t="e">
        <f t="shared" ca="1" si="0"/>
        <v>#VALUE!</v>
      </c>
      <c r="E8" t="e">
        <f t="shared" ca="1" si="0"/>
        <v>#VALUE!</v>
      </c>
      <c r="F8" s="32" t="e" cm="1">
        <f t="array" aca="1" ref="F8" ca="1">INDIRECT(CONCATENATE("'",HLOOKUP(F$1,$B$21:$E$23,3,FALSE),"'!",$B$25,ROW($A8)+5))*About!$A$27</f>
        <v>#VALUE!</v>
      </c>
      <c r="G8" t="e">
        <f t="shared" ca="1" si="4"/>
        <v>#VALUE!</v>
      </c>
      <c r="H8" t="e">
        <f t="shared" ca="1" si="1"/>
        <v>#VALUE!</v>
      </c>
      <c r="I8" t="e">
        <f t="shared" ca="1" si="1"/>
        <v>#VALUE!</v>
      </c>
      <c r="J8" t="e">
        <f t="shared" ca="1" si="1"/>
        <v>#VALUE!</v>
      </c>
      <c r="K8" s="32" t="e" cm="1">
        <f t="array" aca="1" ref="K8" ca="1">INDIRECT(CONCATENATE("'",HLOOKUP(K$1,$B$21:$E$23,3,FALSE),"'!",$B$25,ROW($A8)+5))*About!$A$27</f>
        <v>#VALUE!</v>
      </c>
      <c r="L8" t="e">
        <f t="shared" ca="1" si="5"/>
        <v>#VALUE!</v>
      </c>
      <c r="M8" t="e">
        <f t="shared" ca="1" si="2"/>
        <v>#VALUE!</v>
      </c>
      <c r="N8" t="e">
        <f t="shared" ca="1" si="2"/>
        <v>#VALUE!</v>
      </c>
      <c r="O8" t="e">
        <f t="shared" ca="1" si="2"/>
        <v>#VALUE!</v>
      </c>
      <c r="P8" s="32" t="e" cm="1">
        <f t="array" aca="1" ref="P8" ca="1">INDIRECT(CONCATENATE("'",HLOOKUP(P$1,$B$21:$E$23,3,FALSE),"'!",$B$25,ROW($A8)+5))*About!$A$27</f>
        <v>#VALUE!</v>
      </c>
      <c r="Q8" t="e" cm="1">
        <f t="array" aca="1" ref="Q8" ca="1">TREND($K8:$P8,$K$1:$P$1,Q$1)</f>
        <v>#VALUE!</v>
      </c>
      <c r="R8" t="e" cm="1">
        <f t="array" aca="1" ref="R8" ca="1">TREND($K8:$P8,$K$1:$P$1,R$1)</f>
        <v>#VALUE!</v>
      </c>
      <c r="S8" t="e" cm="1">
        <f t="array" aca="1" ref="S8" ca="1">TREND($K8:$P8,$K$1:$P$1,S$1)</f>
        <v>#VALUE!</v>
      </c>
      <c r="T8" t="e" cm="1">
        <f t="array" aca="1" ref="T8" ca="1">TREND($K8:$P8,$K$1:$P$1,T$1)</f>
        <v>#VALUE!</v>
      </c>
      <c r="U8" t="e" cm="1">
        <f t="array" aca="1" ref="U8" ca="1">TREND($K8:$P8,$K$1:$P$1,U$1)</f>
        <v>#VALUE!</v>
      </c>
      <c r="V8" t="e" cm="1">
        <f t="array" aca="1" ref="V8" ca="1">TREND($K8:$P8,$K$1:$P$1,V$1)</f>
        <v>#VALUE!</v>
      </c>
      <c r="W8" t="e" cm="1">
        <f t="array" aca="1" ref="W8" ca="1">TREND($K8:$P8,$K$1:$P$1,W$1)</f>
        <v>#VALUE!</v>
      </c>
      <c r="X8" t="e" cm="1">
        <f t="array" aca="1" ref="X8" ca="1">TREND($K8:$P8,$K$1:$P$1,X$1)</f>
        <v>#VALUE!</v>
      </c>
      <c r="Y8" t="e" cm="1">
        <f t="array" aca="1" ref="Y8" ca="1">TREND($K8:$P8,$K$1:$P$1,Y$1)</f>
        <v>#VALUE!</v>
      </c>
      <c r="Z8" t="e" cm="1">
        <f t="array" aca="1" ref="Z8" ca="1">TREND($K8:$P8,$K$1:$P$1,Z$1)</f>
        <v>#VALUE!</v>
      </c>
      <c r="AA8" t="e" cm="1">
        <f t="array" aca="1" ref="AA8" ca="1">TREND($K8:$P8,$K$1:$P$1,AA$1)</f>
        <v>#VALUE!</v>
      </c>
      <c r="AB8" t="e" cm="1">
        <f t="array" aca="1" ref="AB8" ca="1">TREND($K8:$P8,$K$1:$P$1,AB$1)</f>
        <v>#VALUE!</v>
      </c>
      <c r="AC8" t="e" cm="1">
        <f t="array" aca="1" ref="AC8" ca="1">TREND($K8:$P8,$K$1:$P$1,AC$1)</f>
        <v>#VALUE!</v>
      </c>
      <c r="AD8" t="e" cm="1">
        <f t="array" aca="1" ref="AD8" ca="1">TREND($K8:$P8,$K$1:$P$1,AD$1)</f>
        <v>#VALUE!</v>
      </c>
      <c r="AE8" t="e" cm="1">
        <f t="array" aca="1" ref="AE8" ca="1">TREND($K8:$P8,$K$1:$P$1,AE$1)</f>
        <v>#VALUE!</v>
      </c>
      <c r="AF8" t="e" cm="1">
        <f t="array" aca="1" ref="AF8" ca="1">TREND($K8:$P8,$K$1:$P$1,AF$1)</f>
        <v>#VALUE!</v>
      </c>
      <c r="AG8" t="e" cm="1">
        <f t="array" aca="1" ref="AG8" ca="1">TREND($K8:$P8,$K$1:$P$1,AG$1)</f>
        <v>#VALUE!</v>
      </c>
      <c r="AH8" t="e" cm="1">
        <f t="array" aca="1" ref="AH8" ca="1">TREND($K8:$P8,$K$1:$P$1,AH$1)</f>
        <v>#VALUE!</v>
      </c>
      <c r="AI8" t="e" cm="1">
        <f t="array" aca="1" ref="AI8" ca="1">TREND($K8:$P8,$K$1:$P$1,AI$1)</f>
        <v>#VALUE!</v>
      </c>
      <c r="AJ8" t="e" cm="1">
        <f t="array" aca="1" ref="AJ8" ca="1">TREND($K8:$P8,$K$1:$P$1,AJ$1)</f>
        <v>#VALUE!</v>
      </c>
    </row>
    <row r="9" spans="1:36">
      <c r="A9" t="s">
        <v>82</v>
      </c>
      <c r="B9" s="32" t="e" cm="1">
        <f t="array" aca="1" ref="B9" ca="1">INDIRECT(CONCATENATE("'",HLOOKUP(B$1,$B$21:$E$23,3,FALSE),"'!",$B$25,ROW($A9)+5))*About!$A$27</f>
        <v>#VALUE!</v>
      </c>
      <c r="C9" t="e">
        <f t="shared" ca="1" si="3"/>
        <v>#VALUE!</v>
      </c>
      <c r="D9" t="e">
        <f t="shared" ca="1" si="0"/>
        <v>#VALUE!</v>
      </c>
      <c r="E9" t="e">
        <f t="shared" ca="1" si="0"/>
        <v>#VALUE!</v>
      </c>
      <c r="F9" s="32" t="e" cm="1">
        <f t="array" aca="1" ref="F9" ca="1">INDIRECT(CONCATENATE("'",HLOOKUP(F$1,$B$21:$E$23,3,FALSE),"'!",$B$25,ROW($A9)+5))*About!$A$27</f>
        <v>#VALUE!</v>
      </c>
      <c r="G9" t="e">
        <f t="shared" ca="1" si="4"/>
        <v>#VALUE!</v>
      </c>
      <c r="H9" t="e">
        <f t="shared" ca="1" si="1"/>
        <v>#VALUE!</v>
      </c>
      <c r="I9" t="e">
        <f t="shared" ca="1" si="1"/>
        <v>#VALUE!</v>
      </c>
      <c r="J9" t="e">
        <f t="shared" ca="1" si="1"/>
        <v>#VALUE!</v>
      </c>
      <c r="K9" s="32" t="e" cm="1">
        <f t="array" aca="1" ref="K9" ca="1">INDIRECT(CONCATENATE("'",HLOOKUP(K$1,$B$21:$E$23,3,FALSE),"'!",$B$25,ROW($A9)+5))*About!$A$27</f>
        <v>#VALUE!</v>
      </c>
      <c r="L9" t="e">
        <f t="shared" ca="1" si="5"/>
        <v>#VALUE!</v>
      </c>
      <c r="M9" t="e">
        <f t="shared" ca="1" si="2"/>
        <v>#VALUE!</v>
      </c>
      <c r="N9" t="e">
        <f t="shared" ca="1" si="2"/>
        <v>#VALUE!</v>
      </c>
      <c r="O9" t="e">
        <f t="shared" ca="1" si="2"/>
        <v>#VALUE!</v>
      </c>
      <c r="P9" s="32" t="e" cm="1">
        <f t="array" aca="1" ref="P9" ca="1">INDIRECT(CONCATENATE("'",HLOOKUP(P$1,$B$21:$E$23,3,FALSE),"'!",$B$25,ROW($A9)+5))*About!$A$27</f>
        <v>#VALUE!</v>
      </c>
      <c r="Q9" t="e" cm="1">
        <f t="array" aca="1" ref="Q9" ca="1">TREND($K9:$P9,$K$1:$P$1,Q$1)</f>
        <v>#VALUE!</v>
      </c>
      <c r="R9" t="e" cm="1">
        <f t="array" aca="1" ref="R9" ca="1">TREND($K9:$P9,$K$1:$P$1,R$1)</f>
        <v>#VALUE!</v>
      </c>
      <c r="S9" t="e" cm="1">
        <f t="array" aca="1" ref="S9" ca="1">TREND($K9:$P9,$K$1:$P$1,S$1)</f>
        <v>#VALUE!</v>
      </c>
      <c r="T9" t="e" cm="1">
        <f t="array" aca="1" ref="T9" ca="1">TREND($K9:$P9,$K$1:$P$1,T$1)</f>
        <v>#VALUE!</v>
      </c>
      <c r="U9" t="e" cm="1">
        <f t="array" aca="1" ref="U9" ca="1">TREND($K9:$P9,$K$1:$P$1,U$1)</f>
        <v>#VALUE!</v>
      </c>
      <c r="V9" t="e" cm="1">
        <f t="array" aca="1" ref="V9" ca="1">TREND($K9:$P9,$K$1:$P$1,V$1)</f>
        <v>#VALUE!</v>
      </c>
      <c r="W9" t="e" cm="1">
        <f t="array" aca="1" ref="W9" ca="1">TREND($K9:$P9,$K$1:$P$1,W$1)</f>
        <v>#VALUE!</v>
      </c>
      <c r="X9" t="e" cm="1">
        <f t="array" aca="1" ref="X9" ca="1">TREND($K9:$P9,$K$1:$P$1,X$1)</f>
        <v>#VALUE!</v>
      </c>
      <c r="Y9" t="e" cm="1">
        <f t="array" aca="1" ref="Y9" ca="1">TREND($K9:$P9,$K$1:$P$1,Y$1)</f>
        <v>#VALUE!</v>
      </c>
      <c r="Z9" t="e" cm="1">
        <f t="array" aca="1" ref="Z9" ca="1">TREND($K9:$P9,$K$1:$P$1,Z$1)</f>
        <v>#VALUE!</v>
      </c>
      <c r="AA9" t="e" cm="1">
        <f t="array" aca="1" ref="AA9" ca="1">TREND($K9:$P9,$K$1:$P$1,AA$1)</f>
        <v>#VALUE!</v>
      </c>
      <c r="AB9" t="e" cm="1">
        <f t="array" aca="1" ref="AB9" ca="1">TREND($K9:$P9,$K$1:$P$1,AB$1)</f>
        <v>#VALUE!</v>
      </c>
      <c r="AC9" t="e" cm="1">
        <f t="array" aca="1" ref="AC9" ca="1">TREND($K9:$P9,$K$1:$P$1,AC$1)</f>
        <v>#VALUE!</v>
      </c>
      <c r="AD9" t="e" cm="1">
        <f t="array" aca="1" ref="AD9" ca="1">TREND($K9:$P9,$K$1:$P$1,AD$1)</f>
        <v>#VALUE!</v>
      </c>
      <c r="AE9" t="e" cm="1">
        <f t="array" aca="1" ref="AE9" ca="1">TREND($K9:$P9,$K$1:$P$1,AE$1)</f>
        <v>#VALUE!</v>
      </c>
      <c r="AF9" t="e" cm="1">
        <f t="array" aca="1" ref="AF9" ca="1">TREND($K9:$P9,$K$1:$P$1,AF$1)</f>
        <v>#VALUE!</v>
      </c>
      <c r="AG9" t="e" cm="1">
        <f t="array" aca="1" ref="AG9" ca="1">TREND($K9:$P9,$K$1:$P$1,AG$1)</f>
        <v>#VALUE!</v>
      </c>
      <c r="AH9" t="e" cm="1">
        <f t="array" aca="1" ref="AH9" ca="1">TREND($K9:$P9,$K$1:$P$1,AH$1)</f>
        <v>#VALUE!</v>
      </c>
      <c r="AI9" t="e" cm="1">
        <f t="array" aca="1" ref="AI9" ca="1">TREND($K9:$P9,$K$1:$P$1,AI$1)</f>
        <v>#VALUE!</v>
      </c>
      <c r="AJ9" t="e" cm="1">
        <f t="array" aca="1" ref="AJ9" ca="1">TREND($K9:$P9,$K$1:$P$1,AJ$1)</f>
        <v>#VALUE!</v>
      </c>
    </row>
    <row r="10" spans="1:36">
      <c r="A10" t="s">
        <v>83</v>
      </c>
      <c r="B10" s="32" t="e" cm="1">
        <f t="array" aca="1" ref="B10" ca="1">INDIRECT(CONCATENATE("'",HLOOKUP(B$1,$B$21:$E$23,3,FALSE),"'!",$B$25,ROW($A10)+5))*About!$A$27</f>
        <v>#VALUE!</v>
      </c>
      <c r="C10" t="e">
        <f t="shared" ca="1" si="3"/>
        <v>#VALUE!</v>
      </c>
      <c r="D10" t="e">
        <f t="shared" ca="1" si="0"/>
        <v>#VALUE!</v>
      </c>
      <c r="E10" t="e">
        <f t="shared" ca="1" si="0"/>
        <v>#VALUE!</v>
      </c>
      <c r="F10" s="32" t="e" cm="1">
        <f t="array" aca="1" ref="F10" ca="1">INDIRECT(CONCATENATE("'",HLOOKUP(F$1,$B$21:$E$23,3,FALSE),"'!",$B$25,ROW($A10)+5))*About!$A$27</f>
        <v>#VALUE!</v>
      </c>
      <c r="G10" t="e">
        <f t="shared" ca="1" si="4"/>
        <v>#VALUE!</v>
      </c>
      <c r="H10" t="e">
        <f t="shared" ca="1" si="1"/>
        <v>#VALUE!</v>
      </c>
      <c r="I10" t="e">
        <f t="shared" ca="1" si="1"/>
        <v>#VALUE!</v>
      </c>
      <c r="J10" t="e">
        <f t="shared" ca="1" si="1"/>
        <v>#VALUE!</v>
      </c>
      <c r="K10" s="32" t="e" cm="1">
        <f t="array" aca="1" ref="K10" ca="1">INDIRECT(CONCATENATE("'",HLOOKUP(K$1,$B$21:$E$23,3,FALSE),"'!",$B$25,ROW($A10)+5))*About!$A$27</f>
        <v>#VALUE!</v>
      </c>
      <c r="L10" t="e">
        <f t="shared" ca="1" si="5"/>
        <v>#VALUE!</v>
      </c>
      <c r="M10" t="e">
        <f t="shared" ca="1" si="2"/>
        <v>#VALUE!</v>
      </c>
      <c r="N10" t="e">
        <f t="shared" ca="1" si="2"/>
        <v>#VALUE!</v>
      </c>
      <c r="O10" t="e">
        <f t="shared" ca="1" si="2"/>
        <v>#VALUE!</v>
      </c>
      <c r="P10" s="32" t="e" cm="1">
        <f t="array" aca="1" ref="P10" ca="1">INDIRECT(CONCATENATE("'",HLOOKUP(P$1,$B$21:$E$23,3,FALSE),"'!",$B$25,ROW($A10)+5))*About!$A$27</f>
        <v>#VALUE!</v>
      </c>
      <c r="Q10" t="e" cm="1">
        <f t="array" aca="1" ref="Q10" ca="1">TREND($K10:$P10,$K$1:$P$1,Q$1)</f>
        <v>#VALUE!</v>
      </c>
      <c r="R10" t="e" cm="1">
        <f t="array" aca="1" ref="R10" ca="1">TREND($K10:$P10,$K$1:$P$1,R$1)</f>
        <v>#VALUE!</v>
      </c>
      <c r="S10" t="e" cm="1">
        <f t="array" aca="1" ref="S10" ca="1">TREND($K10:$P10,$K$1:$P$1,S$1)</f>
        <v>#VALUE!</v>
      </c>
      <c r="T10" t="e" cm="1">
        <f t="array" aca="1" ref="T10" ca="1">TREND($K10:$P10,$K$1:$P$1,T$1)</f>
        <v>#VALUE!</v>
      </c>
      <c r="U10" t="e" cm="1">
        <f t="array" aca="1" ref="U10" ca="1">TREND($K10:$P10,$K$1:$P$1,U$1)</f>
        <v>#VALUE!</v>
      </c>
      <c r="V10" t="e" cm="1">
        <f t="array" aca="1" ref="V10" ca="1">TREND($K10:$P10,$K$1:$P$1,V$1)</f>
        <v>#VALUE!</v>
      </c>
      <c r="W10" t="e" cm="1">
        <f t="array" aca="1" ref="W10" ca="1">TREND($K10:$P10,$K$1:$P$1,W$1)</f>
        <v>#VALUE!</v>
      </c>
      <c r="X10" t="e" cm="1">
        <f t="array" aca="1" ref="X10" ca="1">TREND($K10:$P10,$K$1:$P$1,X$1)</f>
        <v>#VALUE!</v>
      </c>
      <c r="Y10" t="e" cm="1">
        <f t="array" aca="1" ref="Y10" ca="1">TREND($K10:$P10,$K$1:$P$1,Y$1)</f>
        <v>#VALUE!</v>
      </c>
      <c r="Z10" t="e" cm="1">
        <f t="array" aca="1" ref="Z10" ca="1">TREND($K10:$P10,$K$1:$P$1,Z$1)</f>
        <v>#VALUE!</v>
      </c>
      <c r="AA10" t="e" cm="1">
        <f t="array" aca="1" ref="AA10" ca="1">TREND($K10:$P10,$K$1:$P$1,AA$1)</f>
        <v>#VALUE!</v>
      </c>
      <c r="AB10" t="e" cm="1">
        <f t="array" aca="1" ref="AB10" ca="1">TREND($K10:$P10,$K$1:$P$1,AB$1)</f>
        <v>#VALUE!</v>
      </c>
      <c r="AC10" t="e" cm="1">
        <f t="array" aca="1" ref="AC10" ca="1">TREND($K10:$P10,$K$1:$P$1,AC$1)</f>
        <v>#VALUE!</v>
      </c>
      <c r="AD10" t="e" cm="1">
        <f t="array" aca="1" ref="AD10" ca="1">TREND($K10:$P10,$K$1:$P$1,AD$1)</f>
        <v>#VALUE!</v>
      </c>
      <c r="AE10" t="e" cm="1">
        <f t="array" aca="1" ref="AE10" ca="1">TREND($K10:$P10,$K$1:$P$1,AE$1)</f>
        <v>#VALUE!</v>
      </c>
      <c r="AF10" t="e" cm="1">
        <f t="array" aca="1" ref="AF10" ca="1">TREND($K10:$P10,$K$1:$P$1,AF$1)</f>
        <v>#VALUE!</v>
      </c>
      <c r="AG10" t="e" cm="1">
        <f t="array" aca="1" ref="AG10" ca="1">TREND($K10:$P10,$K$1:$P$1,AG$1)</f>
        <v>#VALUE!</v>
      </c>
      <c r="AH10" t="e" cm="1">
        <f t="array" aca="1" ref="AH10" ca="1">TREND($K10:$P10,$K$1:$P$1,AH$1)</f>
        <v>#VALUE!</v>
      </c>
      <c r="AI10" t="e" cm="1">
        <f t="array" aca="1" ref="AI10" ca="1">TREND($K10:$P10,$K$1:$P$1,AI$1)</f>
        <v>#VALUE!</v>
      </c>
      <c r="AJ10" t="e" cm="1">
        <f t="array" aca="1" ref="AJ10" ca="1">TREND($K10:$P10,$K$1:$P$1,AJ$1)</f>
        <v>#VALUE!</v>
      </c>
    </row>
    <row r="11" spans="1:36">
      <c r="A11" t="s">
        <v>84</v>
      </c>
      <c r="B11" s="32" t="e" cm="1">
        <f t="array" aca="1" ref="B11" ca="1">INDIRECT(CONCATENATE("'",HLOOKUP(B$1,$B$21:$E$23,3,FALSE),"'!",$B$25,ROW($A11)+5))*About!$A$27</f>
        <v>#VALUE!</v>
      </c>
      <c r="C11" t="e">
        <f t="shared" ca="1" si="3"/>
        <v>#VALUE!</v>
      </c>
      <c r="D11" t="e">
        <f t="shared" ca="1" si="0"/>
        <v>#VALUE!</v>
      </c>
      <c r="E11" t="e">
        <f t="shared" ca="1" si="0"/>
        <v>#VALUE!</v>
      </c>
      <c r="F11" s="32" t="e" cm="1">
        <f t="array" aca="1" ref="F11" ca="1">INDIRECT(CONCATENATE("'",HLOOKUP(F$1,$B$21:$E$23,3,FALSE),"'!",$B$25,ROW($A11)+5))*About!$A$27</f>
        <v>#VALUE!</v>
      </c>
      <c r="G11" t="e">
        <f t="shared" ca="1" si="4"/>
        <v>#VALUE!</v>
      </c>
      <c r="H11" t="e">
        <f t="shared" ca="1" si="1"/>
        <v>#VALUE!</v>
      </c>
      <c r="I11" t="e">
        <f t="shared" ca="1" si="1"/>
        <v>#VALUE!</v>
      </c>
      <c r="J11" t="e">
        <f t="shared" ca="1" si="1"/>
        <v>#VALUE!</v>
      </c>
      <c r="K11" s="32" t="e" cm="1">
        <f t="array" aca="1" ref="K11" ca="1">INDIRECT(CONCATENATE("'",HLOOKUP(K$1,$B$21:$E$23,3,FALSE),"'!",$B$25,ROW($A11)+5))*About!$A$27</f>
        <v>#VALUE!</v>
      </c>
      <c r="L11" t="e">
        <f t="shared" ca="1" si="5"/>
        <v>#VALUE!</v>
      </c>
      <c r="M11" t="e">
        <f t="shared" ca="1" si="2"/>
        <v>#VALUE!</v>
      </c>
      <c r="N11" t="e">
        <f t="shared" ca="1" si="2"/>
        <v>#VALUE!</v>
      </c>
      <c r="O11" t="e">
        <f t="shared" ca="1" si="2"/>
        <v>#VALUE!</v>
      </c>
      <c r="P11" s="32" t="e" cm="1">
        <f t="array" aca="1" ref="P11" ca="1">INDIRECT(CONCATENATE("'",HLOOKUP(P$1,$B$21:$E$23,3,FALSE),"'!",$B$25,ROW($A11)+5))*About!$A$27</f>
        <v>#VALUE!</v>
      </c>
      <c r="Q11" t="e" cm="1">
        <f t="array" aca="1" ref="Q11" ca="1">TREND($K11:$P11,$K$1:$P$1,Q$1)</f>
        <v>#VALUE!</v>
      </c>
      <c r="R11" t="e" cm="1">
        <f t="array" aca="1" ref="R11" ca="1">TREND($K11:$P11,$K$1:$P$1,R$1)</f>
        <v>#VALUE!</v>
      </c>
      <c r="S11" t="e" cm="1">
        <f t="array" aca="1" ref="S11" ca="1">TREND($K11:$P11,$K$1:$P$1,S$1)</f>
        <v>#VALUE!</v>
      </c>
      <c r="T11" t="e" cm="1">
        <f t="array" aca="1" ref="T11" ca="1">TREND($K11:$P11,$K$1:$P$1,T$1)</f>
        <v>#VALUE!</v>
      </c>
      <c r="U11" t="e" cm="1">
        <f t="array" aca="1" ref="U11" ca="1">TREND($K11:$P11,$K$1:$P$1,U$1)</f>
        <v>#VALUE!</v>
      </c>
      <c r="V11" t="e" cm="1">
        <f t="array" aca="1" ref="V11" ca="1">TREND($K11:$P11,$K$1:$P$1,V$1)</f>
        <v>#VALUE!</v>
      </c>
      <c r="W11" t="e" cm="1">
        <f t="array" aca="1" ref="W11" ca="1">TREND($K11:$P11,$K$1:$P$1,W$1)</f>
        <v>#VALUE!</v>
      </c>
      <c r="X11" t="e" cm="1">
        <f t="array" aca="1" ref="X11" ca="1">TREND($K11:$P11,$K$1:$P$1,X$1)</f>
        <v>#VALUE!</v>
      </c>
      <c r="Y11" t="e" cm="1">
        <f t="array" aca="1" ref="Y11" ca="1">TREND($K11:$P11,$K$1:$P$1,Y$1)</f>
        <v>#VALUE!</v>
      </c>
      <c r="Z11" t="e" cm="1">
        <f t="array" aca="1" ref="Z11" ca="1">TREND($K11:$P11,$K$1:$P$1,Z$1)</f>
        <v>#VALUE!</v>
      </c>
      <c r="AA11" t="e" cm="1">
        <f t="array" aca="1" ref="AA11" ca="1">TREND($K11:$P11,$K$1:$P$1,AA$1)</f>
        <v>#VALUE!</v>
      </c>
      <c r="AB11" t="e" cm="1">
        <f t="array" aca="1" ref="AB11" ca="1">TREND($K11:$P11,$K$1:$P$1,AB$1)</f>
        <v>#VALUE!</v>
      </c>
      <c r="AC11" t="e" cm="1">
        <f t="array" aca="1" ref="AC11" ca="1">TREND($K11:$P11,$K$1:$P$1,AC$1)</f>
        <v>#VALUE!</v>
      </c>
      <c r="AD11" t="e" cm="1">
        <f t="array" aca="1" ref="AD11" ca="1">TREND($K11:$P11,$K$1:$P$1,AD$1)</f>
        <v>#VALUE!</v>
      </c>
      <c r="AE11" t="e" cm="1">
        <f t="array" aca="1" ref="AE11" ca="1">TREND($K11:$P11,$K$1:$P$1,AE$1)</f>
        <v>#VALUE!</v>
      </c>
      <c r="AF11" t="e" cm="1">
        <f t="array" aca="1" ref="AF11" ca="1">TREND($K11:$P11,$K$1:$P$1,AF$1)</f>
        <v>#VALUE!</v>
      </c>
      <c r="AG11" t="e" cm="1">
        <f t="array" aca="1" ref="AG11" ca="1">TREND($K11:$P11,$K$1:$P$1,AG$1)</f>
        <v>#VALUE!</v>
      </c>
      <c r="AH11" t="e" cm="1">
        <f t="array" aca="1" ref="AH11" ca="1">TREND($K11:$P11,$K$1:$P$1,AH$1)</f>
        <v>#VALUE!</v>
      </c>
      <c r="AI11" t="e" cm="1">
        <f t="array" aca="1" ref="AI11" ca="1">TREND($K11:$P11,$K$1:$P$1,AI$1)</f>
        <v>#VALUE!</v>
      </c>
      <c r="AJ11" t="e" cm="1">
        <f t="array" aca="1" ref="AJ11" ca="1">TREND($K11:$P11,$K$1:$P$1,AJ$1)</f>
        <v>#VALUE!</v>
      </c>
    </row>
    <row r="12" spans="1:36">
      <c r="A12" t="s">
        <v>85</v>
      </c>
      <c r="B12" s="33" t="e">
        <f ca="1">SUM(INDIRECT(CONCATENATE("'",HLOOKUP(B$1,$B$21:$E$23,3,FALSE),"'!",$B$25,ROW($A12)+5,":",$B$25,ROW($A12)+6)))*About!$A$27</f>
        <v>#VALUE!</v>
      </c>
      <c r="C12" t="e">
        <f t="shared" ca="1" si="3"/>
        <v>#VALUE!</v>
      </c>
      <c r="D12" t="e">
        <f t="shared" ca="1" si="0"/>
        <v>#VALUE!</v>
      </c>
      <c r="E12" t="e">
        <f t="shared" ca="1" si="0"/>
        <v>#VALUE!</v>
      </c>
      <c r="F12" s="33" t="e">
        <f ca="1">SUM(INDIRECT(CONCATENATE("'",HLOOKUP(F$1,$B$21:$E$23,3,FALSE),"'!",$B$25,ROW($A12)+5,":",$B$25,ROW($A12)+6)))*About!$A$27</f>
        <v>#VALUE!</v>
      </c>
      <c r="G12" t="e">
        <f t="shared" ca="1" si="4"/>
        <v>#VALUE!</v>
      </c>
      <c r="H12" t="e">
        <f t="shared" ca="1" si="1"/>
        <v>#VALUE!</v>
      </c>
      <c r="I12" t="e">
        <f t="shared" ca="1" si="1"/>
        <v>#VALUE!</v>
      </c>
      <c r="J12" t="e">
        <f t="shared" ca="1" si="1"/>
        <v>#VALUE!</v>
      </c>
      <c r="K12" s="33" t="e">
        <f ca="1">SUM(INDIRECT(CONCATENATE("'",HLOOKUP(K$1,$B$21:$E$23,3,FALSE),"'!",$B$25,ROW($A12)+5,":",$B$25,ROW($A12)+6)))*About!$A$27</f>
        <v>#VALUE!</v>
      </c>
      <c r="L12" t="e">
        <f t="shared" ca="1" si="5"/>
        <v>#VALUE!</v>
      </c>
      <c r="M12" t="e">
        <f t="shared" ca="1" si="2"/>
        <v>#VALUE!</v>
      </c>
      <c r="N12" t="e">
        <f t="shared" ca="1" si="2"/>
        <v>#VALUE!</v>
      </c>
      <c r="O12" t="e">
        <f t="shared" ca="1" si="2"/>
        <v>#VALUE!</v>
      </c>
      <c r="P12" s="33" t="e">
        <f ca="1">SUM(INDIRECT(CONCATENATE("'",HLOOKUP(P$1,$B$21:$E$23,3,FALSE),"'!",$B$25,ROW($A12)+5,":",$B$25,ROW($A12)+6)))*About!$A$27</f>
        <v>#VALUE!</v>
      </c>
      <c r="Q12" t="e" cm="1">
        <f t="array" aca="1" ref="Q12" ca="1">TREND($K12:$P12,$K$1:$P$1,Q$1)</f>
        <v>#VALUE!</v>
      </c>
      <c r="R12" t="e" cm="1">
        <f t="array" aca="1" ref="R12" ca="1">TREND($K12:$P12,$K$1:$P$1,R$1)</f>
        <v>#VALUE!</v>
      </c>
      <c r="S12" t="e" cm="1">
        <f t="array" aca="1" ref="S12" ca="1">TREND($K12:$P12,$K$1:$P$1,S$1)</f>
        <v>#VALUE!</v>
      </c>
      <c r="T12" t="e" cm="1">
        <f t="array" aca="1" ref="T12" ca="1">TREND($K12:$P12,$K$1:$P$1,T$1)</f>
        <v>#VALUE!</v>
      </c>
      <c r="U12" t="e" cm="1">
        <f t="array" aca="1" ref="U12" ca="1">TREND($K12:$P12,$K$1:$P$1,U$1)</f>
        <v>#VALUE!</v>
      </c>
      <c r="V12" t="e" cm="1">
        <f t="array" aca="1" ref="V12" ca="1">TREND($K12:$P12,$K$1:$P$1,V$1)</f>
        <v>#VALUE!</v>
      </c>
      <c r="W12" t="e" cm="1">
        <f t="array" aca="1" ref="W12" ca="1">TREND($K12:$P12,$K$1:$P$1,W$1)</f>
        <v>#VALUE!</v>
      </c>
      <c r="X12" t="e" cm="1">
        <f t="array" aca="1" ref="X12" ca="1">TREND($K12:$P12,$K$1:$P$1,X$1)</f>
        <v>#VALUE!</v>
      </c>
      <c r="Y12" t="e" cm="1">
        <f t="array" aca="1" ref="Y12" ca="1">TREND($K12:$P12,$K$1:$P$1,Y$1)</f>
        <v>#VALUE!</v>
      </c>
      <c r="Z12" t="e" cm="1">
        <f t="array" aca="1" ref="Z12" ca="1">TREND($K12:$P12,$K$1:$P$1,Z$1)</f>
        <v>#VALUE!</v>
      </c>
      <c r="AA12" t="e" cm="1">
        <f t="array" aca="1" ref="AA12" ca="1">TREND($K12:$P12,$K$1:$P$1,AA$1)</f>
        <v>#VALUE!</v>
      </c>
      <c r="AB12" t="e" cm="1">
        <f t="array" aca="1" ref="AB12" ca="1">TREND($K12:$P12,$K$1:$P$1,AB$1)</f>
        <v>#VALUE!</v>
      </c>
      <c r="AC12" t="e" cm="1">
        <f t="array" aca="1" ref="AC12" ca="1">TREND($K12:$P12,$K$1:$P$1,AC$1)</f>
        <v>#VALUE!</v>
      </c>
      <c r="AD12" t="e" cm="1">
        <f t="array" aca="1" ref="AD12" ca="1">TREND($K12:$P12,$K$1:$P$1,AD$1)</f>
        <v>#VALUE!</v>
      </c>
      <c r="AE12" t="e" cm="1">
        <f t="array" aca="1" ref="AE12" ca="1">TREND($K12:$P12,$K$1:$P$1,AE$1)</f>
        <v>#VALUE!</v>
      </c>
      <c r="AF12" t="e" cm="1">
        <f t="array" aca="1" ref="AF12" ca="1">TREND($K12:$P12,$K$1:$P$1,AF$1)</f>
        <v>#VALUE!</v>
      </c>
      <c r="AG12" t="e" cm="1">
        <f t="array" aca="1" ref="AG12" ca="1">TREND($K12:$P12,$K$1:$P$1,AG$1)</f>
        <v>#VALUE!</v>
      </c>
      <c r="AH12" t="e" cm="1">
        <f t="array" aca="1" ref="AH12" ca="1">TREND($K12:$P12,$K$1:$P$1,AH$1)</f>
        <v>#VALUE!</v>
      </c>
      <c r="AI12" t="e" cm="1">
        <f t="array" aca="1" ref="AI12" ca="1">TREND($K12:$P12,$K$1:$P$1,AI$1)</f>
        <v>#VALUE!</v>
      </c>
      <c r="AJ12" t="e" cm="1">
        <f t="array" aca="1" ref="AJ12" ca="1">TREND($K12:$P12,$K$1:$P$1,AJ$1)</f>
        <v>#VALUE!</v>
      </c>
    </row>
    <row r="16" spans="1:36">
      <c r="A16" s="20" t="s">
        <v>86</v>
      </c>
      <c r="B16" s="21"/>
      <c r="C16" s="21"/>
      <c r="D16" s="21"/>
    </row>
    <row r="17" spans="1:5">
      <c r="A17" t="s">
        <v>87</v>
      </c>
      <c r="B17" t="e" cm="1">
        <f t="array" aca="1" ref="B17" ca="1">MID(CELL("filename",A17),FIND("]",CELL("filename",A17))+1,255)</f>
        <v>#VALUE!</v>
      </c>
    </row>
    <row r="18" spans="1:5">
      <c r="A18" t="s">
        <v>88</v>
      </c>
      <c r="B18" t="e">
        <f ca="1">RIGHT(B17,LEN(B17)-7)</f>
        <v>#VALUE!</v>
      </c>
    </row>
    <row r="19" spans="1:5">
      <c r="A19" t="s">
        <v>89</v>
      </c>
      <c r="B19" t="e">
        <f ca="1">LEFT(B18,FIND("-",B18)-1)</f>
        <v>#VALUE!</v>
      </c>
    </row>
    <row r="20" spans="1:5">
      <c r="A20" t="s">
        <v>90</v>
      </c>
      <c r="B20" t="e">
        <f ca="1">VLOOKUP($B$19,Mappings!$A$22:$B$26,COLUMN(Mappings!$B$21),FALSE)</f>
        <v>#VALUE!</v>
      </c>
    </row>
    <row r="21" spans="1:5">
      <c r="A21" s="23"/>
      <c r="B21" s="24">
        <v>2016</v>
      </c>
      <c r="C21" s="24">
        <v>2020</v>
      </c>
      <c r="D21" s="24">
        <v>2025</v>
      </c>
      <c r="E21" s="25">
        <v>2030</v>
      </c>
    </row>
    <row r="22" spans="1:5">
      <c r="A22" s="26" t="s">
        <v>91</v>
      </c>
      <c r="B22" s="2" t="e">
        <f ca="1">VLOOKUP($B$20,Mappings!$A$3:$E$19,COLUMN(Mappings!B$2),FALSE)</f>
        <v>#VALUE!</v>
      </c>
      <c r="C22" s="2" t="e">
        <f ca="1">VLOOKUP($B$20,Mappings!$A$3:$E$19,COLUMN(Mappings!C$2),FALSE)</f>
        <v>#VALUE!</v>
      </c>
      <c r="D22" s="2" t="e">
        <f ca="1">VLOOKUP($B$20,Mappings!$A$3:$E$19,COLUMN(Mappings!D$2),FALSE)</f>
        <v>#VALUE!</v>
      </c>
      <c r="E22" s="27" t="e">
        <f ca="1">VLOOKUP($B$20,Mappings!$A$3:$E$19,COLUMN(Mappings!E$2),FALSE)</f>
        <v>#VALUE!</v>
      </c>
    </row>
    <row r="23" spans="1:5">
      <c r="A23" s="28" t="s">
        <v>87</v>
      </c>
      <c r="B23" s="29" t="e">
        <f ca="1">CONCATENATE("Table ",B22)</f>
        <v>#VALUE!</v>
      </c>
      <c r="C23" s="29" t="e">
        <f ca="1">CONCATENATE("Table ",C22)</f>
        <v>#VALUE!</v>
      </c>
      <c r="D23" s="29" t="e">
        <f ca="1">CONCATENATE("Table ",D22)</f>
        <v>#VALUE!</v>
      </c>
      <c r="E23" s="30" t="e">
        <f ca="1">CONCATENATE("Table ",E22)</f>
        <v>#VALUE!</v>
      </c>
    </row>
    <row r="24" spans="1:5">
      <c r="A24" t="s">
        <v>92</v>
      </c>
      <c r="B24" t="e">
        <f ca="1">REPLACE(B18,1,FIND("-",B18),"")</f>
        <v>#VALUE!</v>
      </c>
    </row>
    <row r="25" spans="1:5">
      <c r="A25" t="s">
        <v>93</v>
      </c>
      <c r="B25" s="2" t="e">
        <f ca="1">VLOOKUP($B$24,Mappings!$A$29:$B$31,COLUMN(Mappings!$B$29),FALSE)</f>
        <v>#VALUE!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962B5-33CE-4B66-9A5D-6B3794AE90D6}">
  <sheetPr>
    <tabColor theme="4" tint="-0.249977111117893"/>
  </sheetPr>
  <dimension ref="A1:AJ25"/>
  <sheetViews>
    <sheetView workbookViewId="0"/>
  </sheetViews>
  <sheetFormatPr defaultColWidth="8.7109375" defaultRowHeight="14.45"/>
  <cols>
    <col min="1" max="1" width="33.7109375" customWidth="1"/>
  </cols>
  <sheetData>
    <row r="1" spans="1:36" s="1" customFormat="1">
      <c r="A1" s="22" t="s">
        <v>74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>
      <c r="A2" t="s">
        <v>75</v>
      </c>
      <c r="B2" s="31" t="e" cm="1">
        <f t="array" aca="1" ref="B2" ca="1">INDIRECT(CONCATENATE("'",HLOOKUP(B$1,$B$21:$E$23,3,FALSE),"'!",$B$25,ROW($A2)+3))*About!$A$27</f>
        <v>#VALUE!</v>
      </c>
      <c r="C2" t="e">
        <f ca="1">$B2+($F2-$B2)*(C$1-$B$1)/($F$1-$B$1)</f>
        <v>#VALUE!</v>
      </c>
      <c r="D2" t="e">
        <f t="shared" ref="D2:E12" ca="1" si="0">$B2+($F2-$B2)*(D$1-$B$1)/($F$1-$B$1)</f>
        <v>#VALUE!</v>
      </c>
      <c r="E2" t="e">
        <f t="shared" ca="1" si="0"/>
        <v>#VALUE!</v>
      </c>
      <c r="F2" s="31" t="e" cm="1">
        <f t="array" aca="1" ref="F2" ca="1">INDIRECT(CONCATENATE("'",HLOOKUP(F$1,$B$21:$E$23,3,FALSE),"'!",$B$25,ROW($A2)+3))*About!$A$27</f>
        <v>#VALUE!</v>
      </c>
      <c r="G2" t="e">
        <f ca="1">$F2+($K2-$F2)*(G$1-$F$1)/($K$1-$F$1)</f>
        <v>#VALUE!</v>
      </c>
      <c r="H2" t="e">
        <f t="shared" ref="H2:J12" ca="1" si="1">$F2+($K2-$F2)*(H$1-$F$1)/($K$1-$F$1)</f>
        <v>#VALUE!</v>
      </c>
      <c r="I2" t="e">
        <f t="shared" ca="1" si="1"/>
        <v>#VALUE!</v>
      </c>
      <c r="J2" t="e">
        <f t="shared" ca="1" si="1"/>
        <v>#VALUE!</v>
      </c>
      <c r="K2" s="31" t="e" cm="1">
        <f t="array" aca="1" ref="K2" ca="1">INDIRECT(CONCATENATE("'",HLOOKUP(K$1,$B$21:$E$23,3,FALSE),"'!",$B$25,ROW($A2)+3))*About!$A$27</f>
        <v>#VALUE!</v>
      </c>
      <c r="L2" t="e">
        <f ca="1">$K2+($P2-$K2)*(L$1-$K$1)/($P$1-$K$1)</f>
        <v>#VALUE!</v>
      </c>
      <c r="M2" t="e">
        <f t="shared" ref="M2:O12" ca="1" si="2">$K2+($P2-$K2)*(M$1-$K$1)/($P$1-$K$1)</f>
        <v>#VALUE!</v>
      </c>
      <c r="N2" t="e">
        <f t="shared" ca="1" si="2"/>
        <v>#VALUE!</v>
      </c>
      <c r="O2" t="e">
        <f t="shared" ca="1" si="2"/>
        <v>#VALUE!</v>
      </c>
      <c r="P2" s="31" t="e" cm="1">
        <f t="array" aca="1" ref="P2" ca="1">INDIRECT(CONCATENATE("'",HLOOKUP(P$1,$B$21:$E$23,3,FALSE),"'!",$B$25,ROW($A2)+3))*About!$A$27</f>
        <v>#VALUE!</v>
      </c>
      <c r="Q2" t="e" cm="1">
        <f t="array" aca="1" ref="Q2" ca="1">TREND($K2:$P2,$K$1:$P$1,Q$1)</f>
        <v>#VALUE!</v>
      </c>
      <c r="R2" t="e" cm="1">
        <f t="array" aca="1" ref="R2" ca="1">TREND($K2:$P2,$K$1:$P$1,R$1)</f>
        <v>#VALUE!</v>
      </c>
      <c r="S2" t="e" cm="1">
        <f t="array" aca="1" ref="S2" ca="1">TREND($K2:$P2,$K$1:$P$1,S$1)</f>
        <v>#VALUE!</v>
      </c>
      <c r="T2" t="e" cm="1">
        <f t="array" aca="1" ref="T2" ca="1">TREND($K2:$P2,$K$1:$P$1,T$1)</f>
        <v>#VALUE!</v>
      </c>
      <c r="U2" t="e" cm="1">
        <f t="array" aca="1" ref="U2" ca="1">TREND($K2:$P2,$K$1:$P$1,U$1)</f>
        <v>#VALUE!</v>
      </c>
      <c r="V2" t="e" cm="1">
        <f t="array" aca="1" ref="V2" ca="1">TREND($K2:$P2,$K$1:$P$1,V$1)</f>
        <v>#VALUE!</v>
      </c>
      <c r="W2" t="e" cm="1">
        <f t="array" aca="1" ref="W2" ca="1">TREND($K2:$P2,$K$1:$P$1,W$1)</f>
        <v>#VALUE!</v>
      </c>
      <c r="X2" t="e" cm="1">
        <f t="array" aca="1" ref="X2" ca="1">TREND($K2:$P2,$K$1:$P$1,X$1)</f>
        <v>#VALUE!</v>
      </c>
      <c r="Y2" t="e" cm="1">
        <f t="array" aca="1" ref="Y2" ca="1">TREND($K2:$P2,$K$1:$P$1,Y$1)</f>
        <v>#VALUE!</v>
      </c>
      <c r="Z2" t="e" cm="1">
        <f t="array" aca="1" ref="Z2" ca="1">TREND($K2:$P2,$K$1:$P$1,Z$1)</f>
        <v>#VALUE!</v>
      </c>
      <c r="AA2" t="e" cm="1">
        <f t="array" aca="1" ref="AA2" ca="1">TREND($K2:$P2,$K$1:$P$1,AA$1)</f>
        <v>#VALUE!</v>
      </c>
      <c r="AB2" t="e" cm="1">
        <f t="array" aca="1" ref="AB2" ca="1">TREND($K2:$P2,$K$1:$P$1,AB$1)</f>
        <v>#VALUE!</v>
      </c>
      <c r="AC2" t="e" cm="1">
        <f t="array" aca="1" ref="AC2" ca="1">TREND($K2:$P2,$K$1:$P$1,AC$1)</f>
        <v>#VALUE!</v>
      </c>
      <c r="AD2" t="e" cm="1">
        <f t="array" aca="1" ref="AD2" ca="1">TREND($K2:$P2,$K$1:$P$1,AD$1)</f>
        <v>#VALUE!</v>
      </c>
      <c r="AE2" t="e" cm="1">
        <f t="array" aca="1" ref="AE2" ca="1">TREND($K2:$P2,$K$1:$P$1,AE$1)</f>
        <v>#VALUE!</v>
      </c>
      <c r="AF2" t="e" cm="1">
        <f t="array" aca="1" ref="AF2" ca="1">TREND($K2:$P2,$K$1:$P$1,AF$1)</f>
        <v>#VALUE!</v>
      </c>
      <c r="AG2" t="e" cm="1">
        <f t="array" aca="1" ref="AG2" ca="1">TREND($K2:$P2,$K$1:$P$1,AG$1)</f>
        <v>#VALUE!</v>
      </c>
      <c r="AH2" t="e" cm="1">
        <f t="array" aca="1" ref="AH2" ca="1">TREND($K2:$P2,$K$1:$P$1,AH$1)</f>
        <v>#VALUE!</v>
      </c>
      <c r="AI2" t="e" cm="1">
        <f t="array" aca="1" ref="AI2" ca="1">TREND($K2:$P2,$K$1:$P$1,AI$1)</f>
        <v>#VALUE!</v>
      </c>
      <c r="AJ2" t="e" cm="1">
        <f t="array" aca="1" ref="AJ2" ca="1">TREND($K2:$P2,$K$1:$P$1,AJ$1)</f>
        <v>#VALUE!</v>
      </c>
    </row>
    <row r="3" spans="1:36">
      <c r="A3" t="s">
        <v>76</v>
      </c>
      <c r="B3" s="32" t="e" cm="1">
        <f t="array" aca="1" ref="B3" ca="1">INDIRECT(CONCATENATE("'",HLOOKUP(B$1,$B$21:$E$23,3,FALSE),"'!",$B$25,ROW($A3)+5))*About!$A$27</f>
        <v>#VALUE!</v>
      </c>
      <c r="C3" t="e">
        <f t="shared" ref="C3:C12" ca="1" si="3">$B3+($F3-$B3)*(C$1-$B$1)/($F$1-$B$1)</f>
        <v>#VALUE!</v>
      </c>
      <c r="D3" t="e">
        <f t="shared" ca="1" si="0"/>
        <v>#VALUE!</v>
      </c>
      <c r="E3" t="e">
        <f t="shared" ca="1" si="0"/>
        <v>#VALUE!</v>
      </c>
      <c r="F3" s="32" t="e" cm="1">
        <f t="array" aca="1" ref="F3" ca="1">INDIRECT(CONCATENATE("'",HLOOKUP(F$1,$B$21:$E$23,3,FALSE),"'!",$B$25,ROW($A3)+5))*About!$A$27</f>
        <v>#VALUE!</v>
      </c>
      <c r="G3" t="e">
        <f t="shared" ref="G3:G12" ca="1" si="4">$F3+($K3-$F3)*(G$1-$F$1)/($K$1-$F$1)</f>
        <v>#VALUE!</v>
      </c>
      <c r="H3" t="e">
        <f t="shared" ca="1" si="1"/>
        <v>#VALUE!</v>
      </c>
      <c r="I3" t="e">
        <f t="shared" ca="1" si="1"/>
        <v>#VALUE!</v>
      </c>
      <c r="J3" t="e">
        <f t="shared" ca="1" si="1"/>
        <v>#VALUE!</v>
      </c>
      <c r="K3" s="32" t="e" cm="1">
        <f t="array" aca="1" ref="K3" ca="1">INDIRECT(CONCATENATE("'",HLOOKUP(K$1,$B$21:$E$23,3,FALSE),"'!",$B$25,ROW($A3)+5))*About!$A$27</f>
        <v>#VALUE!</v>
      </c>
      <c r="L3" t="e">
        <f t="shared" ref="L3:L12" ca="1" si="5">$K3+($P3-$K3)*(L$1-$K$1)/($P$1-$K$1)</f>
        <v>#VALUE!</v>
      </c>
      <c r="M3" t="e">
        <f t="shared" ca="1" si="2"/>
        <v>#VALUE!</v>
      </c>
      <c r="N3" t="e">
        <f t="shared" ca="1" si="2"/>
        <v>#VALUE!</v>
      </c>
      <c r="O3" t="e">
        <f t="shared" ca="1" si="2"/>
        <v>#VALUE!</v>
      </c>
      <c r="P3" s="32" t="e" cm="1">
        <f t="array" aca="1" ref="P3" ca="1">INDIRECT(CONCATENATE("'",HLOOKUP(P$1,$B$21:$E$23,3,FALSE),"'!",$B$25,ROW($A3)+5))*About!$A$27</f>
        <v>#VALUE!</v>
      </c>
      <c r="Q3" t="e" cm="1">
        <f t="array" aca="1" ref="Q3" ca="1">TREND($K3:$P3,$K$1:$P$1,Q$1)</f>
        <v>#VALUE!</v>
      </c>
      <c r="R3" t="e" cm="1">
        <f t="array" aca="1" ref="R3" ca="1">TREND($K3:$P3,$K$1:$P$1,R$1)</f>
        <v>#VALUE!</v>
      </c>
      <c r="S3" t="e" cm="1">
        <f t="array" aca="1" ref="S3" ca="1">TREND($K3:$P3,$K$1:$P$1,S$1)</f>
        <v>#VALUE!</v>
      </c>
      <c r="T3" t="e" cm="1">
        <f t="array" aca="1" ref="T3" ca="1">TREND($K3:$P3,$K$1:$P$1,T$1)</f>
        <v>#VALUE!</v>
      </c>
      <c r="U3" t="e" cm="1">
        <f t="array" aca="1" ref="U3" ca="1">TREND($K3:$P3,$K$1:$P$1,U$1)</f>
        <v>#VALUE!</v>
      </c>
      <c r="V3" t="e" cm="1">
        <f t="array" aca="1" ref="V3" ca="1">TREND($K3:$P3,$K$1:$P$1,V$1)</f>
        <v>#VALUE!</v>
      </c>
      <c r="W3" t="e" cm="1">
        <f t="array" aca="1" ref="W3" ca="1">TREND($K3:$P3,$K$1:$P$1,W$1)</f>
        <v>#VALUE!</v>
      </c>
      <c r="X3" t="e" cm="1">
        <f t="array" aca="1" ref="X3" ca="1">TREND($K3:$P3,$K$1:$P$1,X$1)</f>
        <v>#VALUE!</v>
      </c>
      <c r="Y3" t="e" cm="1">
        <f t="array" aca="1" ref="Y3" ca="1">TREND($K3:$P3,$K$1:$P$1,Y$1)</f>
        <v>#VALUE!</v>
      </c>
      <c r="Z3" t="e" cm="1">
        <f t="array" aca="1" ref="Z3" ca="1">TREND($K3:$P3,$K$1:$P$1,Z$1)</f>
        <v>#VALUE!</v>
      </c>
      <c r="AA3" t="e" cm="1">
        <f t="array" aca="1" ref="AA3" ca="1">TREND($K3:$P3,$K$1:$P$1,AA$1)</f>
        <v>#VALUE!</v>
      </c>
      <c r="AB3" t="e" cm="1">
        <f t="array" aca="1" ref="AB3" ca="1">TREND($K3:$P3,$K$1:$P$1,AB$1)</f>
        <v>#VALUE!</v>
      </c>
      <c r="AC3" t="e" cm="1">
        <f t="array" aca="1" ref="AC3" ca="1">TREND($K3:$P3,$K$1:$P$1,AC$1)</f>
        <v>#VALUE!</v>
      </c>
      <c r="AD3" t="e" cm="1">
        <f t="array" aca="1" ref="AD3" ca="1">TREND($K3:$P3,$K$1:$P$1,AD$1)</f>
        <v>#VALUE!</v>
      </c>
      <c r="AE3" t="e" cm="1">
        <f t="array" aca="1" ref="AE3" ca="1">TREND($K3:$P3,$K$1:$P$1,AE$1)</f>
        <v>#VALUE!</v>
      </c>
      <c r="AF3" t="e" cm="1">
        <f t="array" aca="1" ref="AF3" ca="1">TREND($K3:$P3,$K$1:$P$1,AF$1)</f>
        <v>#VALUE!</v>
      </c>
      <c r="AG3" t="e" cm="1">
        <f t="array" aca="1" ref="AG3" ca="1">TREND($K3:$P3,$K$1:$P$1,AG$1)</f>
        <v>#VALUE!</v>
      </c>
      <c r="AH3" t="e" cm="1">
        <f t="array" aca="1" ref="AH3" ca="1">TREND($K3:$P3,$K$1:$P$1,AH$1)</f>
        <v>#VALUE!</v>
      </c>
      <c r="AI3" t="e" cm="1">
        <f t="array" aca="1" ref="AI3" ca="1">TREND($K3:$P3,$K$1:$P$1,AI$1)</f>
        <v>#VALUE!</v>
      </c>
      <c r="AJ3" t="e" cm="1">
        <f t="array" aca="1" ref="AJ3" ca="1">TREND($K3:$P3,$K$1:$P$1,AJ$1)</f>
        <v>#VALUE!</v>
      </c>
    </row>
    <row r="4" spans="1:36">
      <c r="A4" t="s">
        <v>77</v>
      </c>
      <c r="B4" s="32" t="e" cm="1">
        <f t="array" aca="1" ref="B4" ca="1">INDIRECT(CONCATENATE("'",HLOOKUP(B$1,$B$21:$E$23,3,FALSE),"'!",$B$25,ROW($A4)+5))*About!$A$27</f>
        <v>#VALUE!</v>
      </c>
      <c r="C4" t="e">
        <f t="shared" ca="1" si="3"/>
        <v>#VALUE!</v>
      </c>
      <c r="D4" t="e">
        <f t="shared" ca="1" si="0"/>
        <v>#VALUE!</v>
      </c>
      <c r="E4" t="e">
        <f t="shared" ca="1" si="0"/>
        <v>#VALUE!</v>
      </c>
      <c r="F4" s="32" t="e" cm="1">
        <f t="array" aca="1" ref="F4" ca="1">INDIRECT(CONCATENATE("'",HLOOKUP(F$1,$B$21:$E$23,3,FALSE),"'!",$B$25,ROW($A4)+5))*About!$A$27</f>
        <v>#VALUE!</v>
      </c>
      <c r="G4" t="e">
        <f t="shared" ca="1" si="4"/>
        <v>#VALUE!</v>
      </c>
      <c r="H4" t="e">
        <f t="shared" ca="1" si="1"/>
        <v>#VALUE!</v>
      </c>
      <c r="I4" t="e">
        <f t="shared" ca="1" si="1"/>
        <v>#VALUE!</v>
      </c>
      <c r="J4" t="e">
        <f t="shared" ca="1" si="1"/>
        <v>#VALUE!</v>
      </c>
      <c r="K4" s="32" t="e" cm="1">
        <f t="array" aca="1" ref="K4" ca="1">INDIRECT(CONCATENATE("'",HLOOKUP(K$1,$B$21:$E$23,3,FALSE),"'!",$B$25,ROW($A4)+5))*About!$A$27</f>
        <v>#VALUE!</v>
      </c>
      <c r="L4" t="e">
        <f t="shared" ca="1" si="5"/>
        <v>#VALUE!</v>
      </c>
      <c r="M4" t="e">
        <f t="shared" ca="1" si="2"/>
        <v>#VALUE!</v>
      </c>
      <c r="N4" t="e">
        <f t="shared" ca="1" si="2"/>
        <v>#VALUE!</v>
      </c>
      <c r="O4" t="e">
        <f t="shared" ca="1" si="2"/>
        <v>#VALUE!</v>
      </c>
      <c r="P4" s="32" t="e" cm="1">
        <f t="array" aca="1" ref="P4" ca="1">INDIRECT(CONCATENATE("'",HLOOKUP(P$1,$B$21:$E$23,3,FALSE),"'!",$B$25,ROW($A4)+5))*About!$A$27</f>
        <v>#VALUE!</v>
      </c>
      <c r="Q4" t="e" cm="1">
        <f t="array" aca="1" ref="Q4" ca="1">TREND($K4:$P4,$K$1:$P$1,Q$1)</f>
        <v>#VALUE!</v>
      </c>
      <c r="R4" t="e" cm="1">
        <f t="array" aca="1" ref="R4" ca="1">TREND($K4:$P4,$K$1:$P$1,R$1)</f>
        <v>#VALUE!</v>
      </c>
      <c r="S4" t="e" cm="1">
        <f t="array" aca="1" ref="S4" ca="1">TREND($K4:$P4,$K$1:$P$1,S$1)</f>
        <v>#VALUE!</v>
      </c>
      <c r="T4" t="e" cm="1">
        <f t="array" aca="1" ref="T4" ca="1">TREND($K4:$P4,$K$1:$P$1,T$1)</f>
        <v>#VALUE!</v>
      </c>
      <c r="U4" t="e" cm="1">
        <f t="array" aca="1" ref="U4" ca="1">TREND($K4:$P4,$K$1:$P$1,U$1)</f>
        <v>#VALUE!</v>
      </c>
      <c r="V4" t="e" cm="1">
        <f t="array" aca="1" ref="V4" ca="1">TREND($K4:$P4,$K$1:$P$1,V$1)</f>
        <v>#VALUE!</v>
      </c>
      <c r="W4" t="e" cm="1">
        <f t="array" aca="1" ref="W4" ca="1">TREND($K4:$P4,$K$1:$P$1,W$1)</f>
        <v>#VALUE!</v>
      </c>
      <c r="X4" t="e" cm="1">
        <f t="array" aca="1" ref="X4" ca="1">TREND($K4:$P4,$K$1:$P$1,X$1)</f>
        <v>#VALUE!</v>
      </c>
      <c r="Y4" t="e" cm="1">
        <f t="array" aca="1" ref="Y4" ca="1">TREND($K4:$P4,$K$1:$P$1,Y$1)</f>
        <v>#VALUE!</v>
      </c>
      <c r="Z4" t="e" cm="1">
        <f t="array" aca="1" ref="Z4" ca="1">TREND($K4:$P4,$K$1:$P$1,Z$1)</f>
        <v>#VALUE!</v>
      </c>
      <c r="AA4" t="e" cm="1">
        <f t="array" aca="1" ref="AA4" ca="1">TREND($K4:$P4,$K$1:$P$1,AA$1)</f>
        <v>#VALUE!</v>
      </c>
      <c r="AB4" t="e" cm="1">
        <f t="array" aca="1" ref="AB4" ca="1">TREND($K4:$P4,$K$1:$P$1,AB$1)</f>
        <v>#VALUE!</v>
      </c>
      <c r="AC4" t="e" cm="1">
        <f t="array" aca="1" ref="AC4" ca="1">TREND($K4:$P4,$K$1:$P$1,AC$1)</f>
        <v>#VALUE!</v>
      </c>
      <c r="AD4" t="e" cm="1">
        <f t="array" aca="1" ref="AD4" ca="1">TREND($K4:$P4,$K$1:$P$1,AD$1)</f>
        <v>#VALUE!</v>
      </c>
      <c r="AE4" t="e" cm="1">
        <f t="array" aca="1" ref="AE4" ca="1">TREND($K4:$P4,$K$1:$P$1,AE$1)</f>
        <v>#VALUE!</v>
      </c>
      <c r="AF4" t="e" cm="1">
        <f t="array" aca="1" ref="AF4" ca="1">TREND($K4:$P4,$K$1:$P$1,AF$1)</f>
        <v>#VALUE!</v>
      </c>
      <c r="AG4" t="e" cm="1">
        <f t="array" aca="1" ref="AG4" ca="1">TREND($K4:$P4,$K$1:$P$1,AG$1)</f>
        <v>#VALUE!</v>
      </c>
      <c r="AH4" t="e" cm="1">
        <f t="array" aca="1" ref="AH4" ca="1">TREND($K4:$P4,$K$1:$P$1,AH$1)</f>
        <v>#VALUE!</v>
      </c>
      <c r="AI4" t="e" cm="1">
        <f t="array" aca="1" ref="AI4" ca="1">TREND($K4:$P4,$K$1:$P$1,AI$1)</f>
        <v>#VALUE!</v>
      </c>
      <c r="AJ4" t="e" cm="1">
        <f t="array" aca="1" ref="AJ4" ca="1">TREND($K4:$P4,$K$1:$P$1,AJ$1)</f>
        <v>#VALUE!</v>
      </c>
    </row>
    <row r="5" spans="1:36">
      <c r="A5" t="s">
        <v>78</v>
      </c>
      <c r="B5" s="32" t="e" cm="1">
        <f t="array" aca="1" ref="B5" ca="1">INDIRECT(CONCATENATE("'",HLOOKUP(B$1,$B$21:$E$23,3,FALSE),"'!",$B$25,ROW($A5)+5))*About!$A$27</f>
        <v>#VALUE!</v>
      </c>
      <c r="C5" t="e">
        <f t="shared" ca="1" si="3"/>
        <v>#VALUE!</v>
      </c>
      <c r="D5" t="e">
        <f t="shared" ca="1" si="0"/>
        <v>#VALUE!</v>
      </c>
      <c r="E5" t="e">
        <f t="shared" ca="1" si="0"/>
        <v>#VALUE!</v>
      </c>
      <c r="F5" s="32" t="e" cm="1">
        <f t="array" aca="1" ref="F5" ca="1">INDIRECT(CONCATENATE("'",HLOOKUP(F$1,$B$21:$E$23,3,FALSE),"'!",$B$25,ROW($A5)+5))*About!$A$27</f>
        <v>#VALUE!</v>
      </c>
      <c r="G5" t="e">
        <f t="shared" ca="1" si="4"/>
        <v>#VALUE!</v>
      </c>
      <c r="H5" t="e">
        <f t="shared" ca="1" si="1"/>
        <v>#VALUE!</v>
      </c>
      <c r="I5" t="e">
        <f t="shared" ca="1" si="1"/>
        <v>#VALUE!</v>
      </c>
      <c r="J5" t="e">
        <f t="shared" ca="1" si="1"/>
        <v>#VALUE!</v>
      </c>
      <c r="K5" s="32" t="e" cm="1">
        <f t="array" aca="1" ref="K5" ca="1">INDIRECT(CONCATENATE("'",HLOOKUP(K$1,$B$21:$E$23,3,FALSE),"'!",$B$25,ROW($A5)+5))*About!$A$27</f>
        <v>#VALUE!</v>
      </c>
      <c r="L5" t="e">
        <f t="shared" ca="1" si="5"/>
        <v>#VALUE!</v>
      </c>
      <c r="M5" t="e">
        <f t="shared" ca="1" si="2"/>
        <v>#VALUE!</v>
      </c>
      <c r="N5" t="e">
        <f t="shared" ca="1" si="2"/>
        <v>#VALUE!</v>
      </c>
      <c r="O5" t="e">
        <f t="shared" ca="1" si="2"/>
        <v>#VALUE!</v>
      </c>
      <c r="P5" s="32" t="e" cm="1">
        <f t="array" aca="1" ref="P5" ca="1">INDIRECT(CONCATENATE("'",HLOOKUP(P$1,$B$21:$E$23,3,FALSE),"'!",$B$25,ROW($A5)+5))*About!$A$27</f>
        <v>#VALUE!</v>
      </c>
      <c r="Q5" t="e" cm="1">
        <f t="array" aca="1" ref="Q5" ca="1">TREND($K5:$P5,$K$1:$P$1,Q$1)</f>
        <v>#VALUE!</v>
      </c>
      <c r="R5" t="e" cm="1">
        <f t="array" aca="1" ref="R5" ca="1">TREND($K5:$P5,$K$1:$P$1,R$1)</f>
        <v>#VALUE!</v>
      </c>
      <c r="S5" t="e" cm="1">
        <f t="array" aca="1" ref="S5" ca="1">TREND($K5:$P5,$K$1:$P$1,S$1)</f>
        <v>#VALUE!</v>
      </c>
      <c r="T5" t="e" cm="1">
        <f t="array" aca="1" ref="T5" ca="1">TREND($K5:$P5,$K$1:$P$1,T$1)</f>
        <v>#VALUE!</v>
      </c>
      <c r="U5" t="e" cm="1">
        <f t="array" aca="1" ref="U5" ca="1">TREND($K5:$P5,$K$1:$P$1,U$1)</f>
        <v>#VALUE!</v>
      </c>
      <c r="V5" t="e" cm="1">
        <f t="array" aca="1" ref="V5" ca="1">TREND($K5:$P5,$K$1:$P$1,V$1)</f>
        <v>#VALUE!</v>
      </c>
      <c r="W5" t="e" cm="1">
        <f t="array" aca="1" ref="W5" ca="1">TREND($K5:$P5,$K$1:$P$1,W$1)</f>
        <v>#VALUE!</v>
      </c>
      <c r="X5" t="e" cm="1">
        <f t="array" aca="1" ref="X5" ca="1">TREND($K5:$P5,$K$1:$P$1,X$1)</f>
        <v>#VALUE!</v>
      </c>
      <c r="Y5" t="e" cm="1">
        <f t="array" aca="1" ref="Y5" ca="1">TREND($K5:$P5,$K$1:$P$1,Y$1)</f>
        <v>#VALUE!</v>
      </c>
      <c r="Z5" t="e" cm="1">
        <f t="array" aca="1" ref="Z5" ca="1">TREND($K5:$P5,$K$1:$P$1,Z$1)</f>
        <v>#VALUE!</v>
      </c>
      <c r="AA5" t="e" cm="1">
        <f t="array" aca="1" ref="AA5" ca="1">TREND($K5:$P5,$K$1:$P$1,AA$1)</f>
        <v>#VALUE!</v>
      </c>
      <c r="AB5" t="e" cm="1">
        <f t="array" aca="1" ref="AB5" ca="1">TREND($K5:$P5,$K$1:$P$1,AB$1)</f>
        <v>#VALUE!</v>
      </c>
      <c r="AC5" t="e" cm="1">
        <f t="array" aca="1" ref="AC5" ca="1">TREND($K5:$P5,$K$1:$P$1,AC$1)</f>
        <v>#VALUE!</v>
      </c>
      <c r="AD5" t="e" cm="1">
        <f t="array" aca="1" ref="AD5" ca="1">TREND($K5:$P5,$K$1:$P$1,AD$1)</f>
        <v>#VALUE!</v>
      </c>
      <c r="AE5" t="e" cm="1">
        <f t="array" aca="1" ref="AE5" ca="1">TREND($K5:$P5,$K$1:$P$1,AE$1)</f>
        <v>#VALUE!</v>
      </c>
      <c r="AF5" t="e" cm="1">
        <f t="array" aca="1" ref="AF5" ca="1">TREND($K5:$P5,$K$1:$P$1,AF$1)</f>
        <v>#VALUE!</v>
      </c>
      <c r="AG5" t="e" cm="1">
        <f t="array" aca="1" ref="AG5" ca="1">TREND($K5:$P5,$K$1:$P$1,AG$1)</f>
        <v>#VALUE!</v>
      </c>
      <c r="AH5" t="e" cm="1">
        <f t="array" aca="1" ref="AH5" ca="1">TREND($K5:$P5,$K$1:$P$1,AH$1)</f>
        <v>#VALUE!</v>
      </c>
      <c r="AI5" t="e" cm="1">
        <f t="array" aca="1" ref="AI5" ca="1">TREND($K5:$P5,$K$1:$P$1,AI$1)</f>
        <v>#VALUE!</v>
      </c>
      <c r="AJ5" t="e" cm="1">
        <f t="array" aca="1" ref="AJ5" ca="1">TREND($K5:$P5,$K$1:$P$1,AJ$1)</f>
        <v>#VALUE!</v>
      </c>
    </row>
    <row r="6" spans="1:36">
      <c r="A6" t="s">
        <v>79</v>
      </c>
      <c r="B6" s="32" t="e" cm="1">
        <f t="array" aca="1" ref="B6" ca="1">INDIRECT(CONCATENATE("'",HLOOKUP(B$1,$B$21:$E$23,3,FALSE),"'!",$B$25,ROW($A6)+5))*About!$A$27</f>
        <v>#VALUE!</v>
      </c>
      <c r="C6" t="e">
        <f t="shared" ca="1" si="3"/>
        <v>#VALUE!</v>
      </c>
      <c r="D6" t="e">
        <f t="shared" ca="1" si="0"/>
        <v>#VALUE!</v>
      </c>
      <c r="E6" t="e">
        <f t="shared" ca="1" si="0"/>
        <v>#VALUE!</v>
      </c>
      <c r="F6" s="32" t="e" cm="1">
        <f t="array" aca="1" ref="F6" ca="1">INDIRECT(CONCATENATE("'",HLOOKUP(F$1,$B$21:$E$23,3,FALSE),"'!",$B$25,ROW($A6)+5))*About!$A$27</f>
        <v>#VALUE!</v>
      </c>
      <c r="G6" t="e">
        <f t="shared" ca="1" si="4"/>
        <v>#VALUE!</v>
      </c>
      <c r="H6" t="e">
        <f t="shared" ca="1" si="1"/>
        <v>#VALUE!</v>
      </c>
      <c r="I6" t="e">
        <f t="shared" ca="1" si="1"/>
        <v>#VALUE!</v>
      </c>
      <c r="J6" t="e">
        <f t="shared" ca="1" si="1"/>
        <v>#VALUE!</v>
      </c>
      <c r="K6" s="32" t="e" cm="1">
        <f t="array" aca="1" ref="K6" ca="1">INDIRECT(CONCATENATE("'",HLOOKUP(K$1,$B$21:$E$23,3,FALSE),"'!",$B$25,ROW($A6)+5))*About!$A$27</f>
        <v>#VALUE!</v>
      </c>
      <c r="L6" t="e">
        <f t="shared" ca="1" si="5"/>
        <v>#VALUE!</v>
      </c>
      <c r="M6" t="e">
        <f t="shared" ca="1" si="2"/>
        <v>#VALUE!</v>
      </c>
      <c r="N6" t="e">
        <f t="shared" ca="1" si="2"/>
        <v>#VALUE!</v>
      </c>
      <c r="O6" t="e">
        <f t="shared" ca="1" si="2"/>
        <v>#VALUE!</v>
      </c>
      <c r="P6" s="32" t="e" cm="1">
        <f t="array" aca="1" ref="P6" ca="1">INDIRECT(CONCATENATE("'",HLOOKUP(P$1,$B$21:$E$23,3,FALSE),"'!",$B$25,ROW($A6)+5))*About!$A$27</f>
        <v>#VALUE!</v>
      </c>
      <c r="Q6" t="e" cm="1">
        <f t="array" aca="1" ref="Q6" ca="1">TREND($K6:$P6,$K$1:$P$1,Q$1)</f>
        <v>#VALUE!</v>
      </c>
      <c r="R6" t="e" cm="1">
        <f t="array" aca="1" ref="R6" ca="1">TREND($K6:$P6,$K$1:$P$1,R$1)</f>
        <v>#VALUE!</v>
      </c>
      <c r="S6" t="e" cm="1">
        <f t="array" aca="1" ref="S6" ca="1">TREND($K6:$P6,$K$1:$P$1,S$1)</f>
        <v>#VALUE!</v>
      </c>
      <c r="T6" t="e" cm="1">
        <f t="array" aca="1" ref="T6" ca="1">TREND($K6:$P6,$K$1:$P$1,T$1)</f>
        <v>#VALUE!</v>
      </c>
      <c r="U6" t="e" cm="1">
        <f t="array" aca="1" ref="U6" ca="1">TREND($K6:$P6,$K$1:$P$1,U$1)</f>
        <v>#VALUE!</v>
      </c>
      <c r="V6" t="e" cm="1">
        <f t="array" aca="1" ref="V6" ca="1">TREND($K6:$P6,$K$1:$P$1,V$1)</f>
        <v>#VALUE!</v>
      </c>
      <c r="W6" t="e" cm="1">
        <f t="array" aca="1" ref="W6" ca="1">TREND($K6:$P6,$K$1:$P$1,W$1)</f>
        <v>#VALUE!</v>
      </c>
      <c r="X6" t="e" cm="1">
        <f t="array" aca="1" ref="X6" ca="1">TREND($K6:$P6,$K$1:$P$1,X$1)</f>
        <v>#VALUE!</v>
      </c>
      <c r="Y6" t="e" cm="1">
        <f t="array" aca="1" ref="Y6" ca="1">TREND($K6:$P6,$K$1:$P$1,Y$1)</f>
        <v>#VALUE!</v>
      </c>
      <c r="Z6" t="e" cm="1">
        <f t="array" aca="1" ref="Z6" ca="1">TREND($K6:$P6,$K$1:$P$1,Z$1)</f>
        <v>#VALUE!</v>
      </c>
      <c r="AA6" t="e" cm="1">
        <f t="array" aca="1" ref="AA6" ca="1">TREND($K6:$P6,$K$1:$P$1,AA$1)</f>
        <v>#VALUE!</v>
      </c>
      <c r="AB6" t="e" cm="1">
        <f t="array" aca="1" ref="AB6" ca="1">TREND($K6:$P6,$K$1:$P$1,AB$1)</f>
        <v>#VALUE!</v>
      </c>
      <c r="AC6" t="e" cm="1">
        <f t="array" aca="1" ref="AC6" ca="1">TREND($K6:$P6,$K$1:$P$1,AC$1)</f>
        <v>#VALUE!</v>
      </c>
      <c r="AD6" t="e" cm="1">
        <f t="array" aca="1" ref="AD6" ca="1">TREND($K6:$P6,$K$1:$P$1,AD$1)</f>
        <v>#VALUE!</v>
      </c>
      <c r="AE6" t="e" cm="1">
        <f t="array" aca="1" ref="AE6" ca="1">TREND($K6:$P6,$K$1:$P$1,AE$1)</f>
        <v>#VALUE!</v>
      </c>
      <c r="AF6" t="e" cm="1">
        <f t="array" aca="1" ref="AF6" ca="1">TREND($K6:$P6,$K$1:$P$1,AF$1)</f>
        <v>#VALUE!</v>
      </c>
      <c r="AG6" t="e" cm="1">
        <f t="array" aca="1" ref="AG6" ca="1">TREND($K6:$P6,$K$1:$P$1,AG$1)</f>
        <v>#VALUE!</v>
      </c>
      <c r="AH6" t="e" cm="1">
        <f t="array" aca="1" ref="AH6" ca="1">TREND($K6:$P6,$K$1:$P$1,AH$1)</f>
        <v>#VALUE!</v>
      </c>
      <c r="AI6" t="e" cm="1">
        <f t="array" aca="1" ref="AI6" ca="1">TREND($K6:$P6,$K$1:$P$1,AI$1)</f>
        <v>#VALUE!</v>
      </c>
      <c r="AJ6" t="e" cm="1">
        <f t="array" aca="1" ref="AJ6" ca="1">TREND($K6:$P6,$K$1:$P$1,AJ$1)</f>
        <v>#VALUE!</v>
      </c>
    </row>
    <row r="7" spans="1:36">
      <c r="A7" t="s">
        <v>80</v>
      </c>
      <c r="B7" s="32" t="e" cm="1">
        <f t="array" aca="1" ref="B7" ca="1">INDIRECT(CONCATENATE("'",HLOOKUP(B$1,$B$21:$E$23,3,FALSE),"'!",$B$25,ROW($A7)+5))*About!$A$27</f>
        <v>#VALUE!</v>
      </c>
      <c r="C7" t="e">
        <f t="shared" ca="1" si="3"/>
        <v>#VALUE!</v>
      </c>
      <c r="D7" t="e">
        <f t="shared" ca="1" si="0"/>
        <v>#VALUE!</v>
      </c>
      <c r="E7" t="e">
        <f t="shared" ca="1" si="0"/>
        <v>#VALUE!</v>
      </c>
      <c r="F7" s="32" t="e" cm="1">
        <f t="array" aca="1" ref="F7" ca="1">INDIRECT(CONCATENATE("'",HLOOKUP(F$1,$B$21:$E$23,3,FALSE),"'!",$B$25,ROW($A7)+5))*About!$A$27</f>
        <v>#VALUE!</v>
      </c>
      <c r="G7" t="e">
        <f t="shared" ca="1" si="4"/>
        <v>#VALUE!</v>
      </c>
      <c r="H7" t="e">
        <f t="shared" ca="1" si="1"/>
        <v>#VALUE!</v>
      </c>
      <c r="I7" t="e">
        <f t="shared" ca="1" si="1"/>
        <v>#VALUE!</v>
      </c>
      <c r="J7" t="e">
        <f t="shared" ca="1" si="1"/>
        <v>#VALUE!</v>
      </c>
      <c r="K7" s="32" t="e" cm="1">
        <f t="array" aca="1" ref="K7" ca="1">INDIRECT(CONCATENATE("'",HLOOKUP(K$1,$B$21:$E$23,3,FALSE),"'!",$B$25,ROW($A7)+5))*About!$A$27</f>
        <v>#VALUE!</v>
      </c>
      <c r="L7" t="e">
        <f t="shared" ca="1" si="5"/>
        <v>#VALUE!</v>
      </c>
      <c r="M7" t="e">
        <f t="shared" ca="1" si="2"/>
        <v>#VALUE!</v>
      </c>
      <c r="N7" t="e">
        <f t="shared" ca="1" si="2"/>
        <v>#VALUE!</v>
      </c>
      <c r="O7" t="e">
        <f t="shared" ca="1" si="2"/>
        <v>#VALUE!</v>
      </c>
      <c r="P7" s="32" t="e" cm="1">
        <f t="array" aca="1" ref="P7" ca="1">INDIRECT(CONCATENATE("'",HLOOKUP(P$1,$B$21:$E$23,3,FALSE),"'!",$B$25,ROW($A7)+5))*About!$A$27</f>
        <v>#VALUE!</v>
      </c>
      <c r="Q7" t="e" cm="1">
        <f t="array" aca="1" ref="Q7" ca="1">TREND($K7:$P7,$K$1:$P$1,Q$1)</f>
        <v>#VALUE!</v>
      </c>
      <c r="R7" t="e" cm="1">
        <f t="array" aca="1" ref="R7" ca="1">TREND($K7:$P7,$K$1:$P$1,R$1)</f>
        <v>#VALUE!</v>
      </c>
      <c r="S7" t="e" cm="1">
        <f t="array" aca="1" ref="S7" ca="1">TREND($K7:$P7,$K$1:$P$1,S$1)</f>
        <v>#VALUE!</v>
      </c>
      <c r="T7" t="e" cm="1">
        <f t="array" aca="1" ref="T7" ca="1">TREND($K7:$P7,$K$1:$P$1,T$1)</f>
        <v>#VALUE!</v>
      </c>
      <c r="U7" t="e" cm="1">
        <f t="array" aca="1" ref="U7" ca="1">TREND($K7:$P7,$K$1:$P$1,U$1)</f>
        <v>#VALUE!</v>
      </c>
      <c r="V7" t="e" cm="1">
        <f t="array" aca="1" ref="V7" ca="1">TREND($K7:$P7,$K$1:$P$1,V$1)</f>
        <v>#VALUE!</v>
      </c>
      <c r="W7" t="e" cm="1">
        <f t="array" aca="1" ref="W7" ca="1">TREND($K7:$P7,$K$1:$P$1,W$1)</f>
        <v>#VALUE!</v>
      </c>
      <c r="X7" t="e" cm="1">
        <f t="array" aca="1" ref="X7" ca="1">TREND($K7:$P7,$K$1:$P$1,X$1)</f>
        <v>#VALUE!</v>
      </c>
      <c r="Y7" t="e" cm="1">
        <f t="array" aca="1" ref="Y7" ca="1">TREND($K7:$P7,$K$1:$P$1,Y$1)</f>
        <v>#VALUE!</v>
      </c>
      <c r="Z7" t="e" cm="1">
        <f t="array" aca="1" ref="Z7" ca="1">TREND($K7:$P7,$K$1:$P$1,Z$1)</f>
        <v>#VALUE!</v>
      </c>
      <c r="AA7" t="e" cm="1">
        <f t="array" aca="1" ref="AA7" ca="1">TREND($K7:$P7,$K$1:$P$1,AA$1)</f>
        <v>#VALUE!</v>
      </c>
      <c r="AB7" t="e" cm="1">
        <f t="array" aca="1" ref="AB7" ca="1">TREND($K7:$P7,$K$1:$P$1,AB$1)</f>
        <v>#VALUE!</v>
      </c>
      <c r="AC7" t="e" cm="1">
        <f t="array" aca="1" ref="AC7" ca="1">TREND($K7:$P7,$K$1:$P$1,AC$1)</f>
        <v>#VALUE!</v>
      </c>
      <c r="AD7" t="e" cm="1">
        <f t="array" aca="1" ref="AD7" ca="1">TREND($K7:$P7,$K$1:$P$1,AD$1)</f>
        <v>#VALUE!</v>
      </c>
      <c r="AE7" t="e" cm="1">
        <f t="array" aca="1" ref="AE7" ca="1">TREND($K7:$P7,$K$1:$P$1,AE$1)</f>
        <v>#VALUE!</v>
      </c>
      <c r="AF7" t="e" cm="1">
        <f t="array" aca="1" ref="AF7" ca="1">TREND($K7:$P7,$K$1:$P$1,AF$1)</f>
        <v>#VALUE!</v>
      </c>
      <c r="AG7" t="e" cm="1">
        <f t="array" aca="1" ref="AG7" ca="1">TREND($K7:$P7,$K$1:$P$1,AG$1)</f>
        <v>#VALUE!</v>
      </c>
      <c r="AH7" t="e" cm="1">
        <f t="array" aca="1" ref="AH7" ca="1">TREND($K7:$P7,$K$1:$P$1,AH$1)</f>
        <v>#VALUE!</v>
      </c>
      <c r="AI7" t="e" cm="1">
        <f t="array" aca="1" ref="AI7" ca="1">TREND($K7:$P7,$K$1:$P$1,AI$1)</f>
        <v>#VALUE!</v>
      </c>
      <c r="AJ7" t="e" cm="1">
        <f t="array" aca="1" ref="AJ7" ca="1">TREND($K7:$P7,$K$1:$P$1,AJ$1)</f>
        <v>#VALUE!</v>
      </c>
    </row>
    <row r="8" spans="1:36">
      <c r="A8" t="s">
        <v>81</v>
      </c>
      <c r="B8" s="32" t="e" cm="1">
        <f t="array" aca="1" ref="B8" ca="1">INDIRECT(CONCATENATE("'",HLOOKUP(B$1,$B$21:$E$23,3,FALSE),"'!",$B$25,ROW($A8)+5))*About!$A$27</f>
        <v>#VALUE!</v>
      </c>
      <c r="C8" t="e">
        <f t="shared" ca="1" si="3"/>
        <v>#VALUE!</v>
      </c>
      <c r="D8" t="e">
        <f t="shared" ca="1" si="0"/>
        <v>#VALUE!</v>
      </c>
      <c r="E8" t="e">
        <f t="shared" ca="1" si="0"/>
        <v>#VALUE!</v>
      </c>
      <c r="F8" s="32" t="e" cm="1">
        <f t="array" aca="1" ref="F8" ca="1">INDIRECT(CONCATENATE("'",HLOOKUP(F$1,$B$21:$E$23,3,FALSE),"'!",$B$25,ROW($A8)+5))*About!$A$27</f>
        <v>#VALUE!</v>
      </c>
      <c r="G8" t="e">
        <f t="shared" ca="1" si="4"/>
        <v>#VALUE!</v>
      </c>
      <c r="H8" t="e">
        <f t="shared" ca="1" si="1"/>
        <v>#VALUE!</v>
      </c>
      <c r="I8" t="e">
        <f t="shared" ca="1" si="1"/>
        <v>#VALUE!</v>
      </c>
      <c r="J8" t="e">
        <f t="shared" ca="1" si="1"/>
        <v>#VALUE!</v>
      </c>
      <c r="K8" s="32" t="e" cm="1">
        <f t="array" aca="1" ref="K8" ca="1">INDIRECT(CONCATENATE("'",HLOOKUP(K$1,$B$21:$E$23,3,FALSE),"'!",$B$25,ROW($A8)+5))*About!$A$27</f>
        <v>#VALUE!</v>
      </c>
      <c r="L8" t="e">
        <f t="shared" ca="1" si="5"/>
        <v>#VALUE!</v>
      </c>
      <c r="M8" t="e">
        <f t="shared" ca="1" si="2"/>
        <v>#VALUE!</v>
      </c>
      <c r="N8" t="e">
        <f t="shared" ca="1" si="2"/>
        <v>#VALUE!</v>
      </c>
      <c r="O8" t="e">
        <f t="shared" ca="1" si="2"/>
        <v>#VALUE!</v>
      </c>
      <c r="P8" s="32" t="e" cm="1">
        <f t="array" aca="1" ref="P8" ca="1">INDIRECT(CONCATENATE("'",HLOOKUP(P$1,$B$21:$E$23,3,FALSE),"'!",$B$25,ROW($A8)+5))*About!$A$27</f>
        <v>#VALUE!</v>
      </c>
      <c r="Q8" t="e" cm="1">
        <f t="array" aca="1" ref="Q8" ca="1">TREND($K8:$P8,$K$1:$P$1,Q$1)</f>
        <v>#VALUE!</v>
      </c>
      <c r="R8" t="e" cm="1">
        <f t="array" aca="1" ref="R8" ca="1">TREND($K8:$P8,$K$1:$P$1,R$1)</f>
        <v>#VALUE!</v>
      </c>
      <c r="S8" t="e" cm="1">
        <f t="array" aca="1" ref="S8" ca="1">TREND($K8:$P8,$K$1:$P$1,S$1)</f>
        <v>#VALUE!</v>
      </c>
      <c r="T8" t="e" cm="1">
        <f t="array" aca="1" ref="T8" ca="1">TREND($K8:$P8,$K$1:$P$1,T$1)</f>
        <v>#VALUE!</v>
      </c>
      <c r="U8" t="e" cm="1">
        <f t="array" aca="1" ref="U8" ca="1">TREND($K8:$P8,$K$1:$P$1,U$1)</f>
        <v>#VALUE!</v>
      </c>
      <c r="V8" t="e" cm="1">
        <f t="array" aca="1" ref="V8" ca="1">TREND($K8:$P8,$K$1:$P$1,V$1)</f>
        <v>#VALUE!</v>
      </c>
      <c r="W8" t="e" cm="1">
        <f t="array" aca="1" ref="W8" ca="1">TREND($K8:$P8,$K$1:$P$1,W$1)</f>
        <v>#VALUE!</v>
      </c>
      <c r="X8" t="e" cm="1">
        <f t="array" aca="1" ref="X8" ca="1">TREND($K8:$P8,$K$1:$P$1,X$1)</f>
        <v>#VALUE!</v>
      </c>
      <c r="Y8" t="e" cm="1">
        <f t="array" aca="1" ref="Y8" ca="1">TREND($K8:$P8,$K$1:$P$1,Y$1)</f>
        <v>#VALUE!</v>
      </c>
      <c r="Z8" t="e" cm="1">
        <f t="array" aca="1" ref="Z8" ca="1">TREND($K8:$P8,$K$1:$P$1,Z$1)</f>
        <v>#VALUE!</v>
      </c>
      <c r="AA8" t="e" cm="1">
        <f t="array" aca="1" ref="AA8" ca="1">TREND($K8:$P8,$K$1:$P$1,AA$1)</f>
        <v>#VALUE!</v>
      </c>
      <c r="AB8" t="e" cm="1">
        <f t="array" aca="1" ref="AB8" ca="1">TREND($K8:$P8,$K$1:$P$1,AB$1)</f>
        <v>#VALUE!</v>
      </c>
      <c r="AC8" t="e" cm="1">
        <f t="array" aca="1" ref="AC8" ca="1">TREND($K8:$P8,$K$1:$P$1,AC$1)</f>
        <v>#VALUE!</v>
      </c>
      <c r="AD8" t="e" cm="1">
        <f t="array" aca="1" ref="AD8" ca="1">TREND($K8:$P8,$K$1:$P$1,AD$1)</f>
        <v>#VALUE!</v>
      </c>
      <c r="AE8" t="e" cm="1">
        <f t="array" aca="1" ref="AE8" ca="1">TREND($K8:$P8,$K$1:$P$1,AE$1)</f>
        <v>#VALUE!</v>
      </c>
      <c r="AF8" t="e" cm="1">
        <f t="array" aca="1" ref="AF8" ca="1">TREND($K8:$P8,$K$1:$P$1,AF$1)</f>
        <v>#VALUE!</v>
      </c>
      <c r="AG8" t="e" cm="1">
        <f t="array" aca="1" ref="AG8" ca="1">TREND($K8:$P8,$K$1:$P$1,AG$1)</f>
        <v>#VALUE!</v>
      </c>
      <c r="AH8" t="e" cm="1">
        <f t="array" aca="1" ref="AH8" ca="1">TREND($K8:$P8,$K$1:$P$1,AH$1)</f>
        <v>#VALUE!</v>
      </c>
      <c r="AI8" t="e" cm="1">
        <f t="array" aca="1" ref="AI8" ca="1">TREND($K8:$P8,$K$1:$P$1,AI$1)</f>
        <v>#VALUE!</v>
      </c>
      <c r="AJ8" t="e" cm="1">
        <f t="array" aca="1" ref="AJ8" ca="1">TREND($K8:$P8,$K$1:$P$1,AJ$1)</f>
        <v>#VALUE!</v>
      </c>
    </row>
    <row r="9" spans="1:36">
      <c r="A9" t="s">
        <v>82</v>
      </c>
      <c r="B9" s="32" t="e" cm="1">
        <f t="array" aca="1" ref="B9" ca="1">INDIRECT(CONCATENATE("'",HLOOKUP(B$1,$B$21:$E$23,3,FALSE),"'!",$B$25,ROW($A9)+5))*About!$A$27</f>
        <v>#VALUE!</v>
      </c>
      <c r="C9" t="e">
        <f t="shared" ca="1" si="3"/>
        <v>#VALUE!</v>
      </c>
      <c r="D9" t="e">
        <f t="shared" ca="1" si="0"/>
        <v>#VALUE!</v>
      </c>
      <c r="E9" t="e">
        <f t="shared" ca="1" si="0"/>
        <v>#VALUE!</v>
      </c>
      <c r="F9" s="32" t="e" cm="1">
        <f t="array" aca="1" ref="F9" ca="1">INDIRECT(CONCATENATE("'",HLOOKUP(F$1,$B$21:$E$23,3,FALSE),"'!",$B$25,ROW($A9)+5))*About!$A$27</f>
        <v>#VALUE!</v>
      </c>
      <c r="G9" t="e">
        <f t="shared" ca="1" si="4"/>
        <v>#VALUE!</v>
      </c>
      <c r="H9" t="e">
        <f t="shared" ca="1" si="1"/>
        <v>#VALUE!</v>
      </c>
      <c r="I9" t="e">
        <f t="shared" ca="1" si="1"/>
        <v>#VALUE!</v>
      </c>
      <c r="J9" t="e">
        <f t="shared" ca="1" si="1"/>
        <v>#VALUE!</v>
      </c>
      <c r="K9" s="32" t="e" cm="1">
        <f t="array" aca="1" ref="K9" ca="1">INDIRECT(CONCATENATE("'",HLOOKUP(K$1,$B$21:$E$23,3,FALSE),"'!",$B$25,ROW($A9)+5))*About!$A$27</f>
        <v>#VALUE!</v>
      </c>
      <c r="L9" t="e">
        <f t="shared" ca="1" si="5"/>
        <v>#VALUE!</v>
      </c>
      <c r="M9" t="e">
        <f t="shared" ca="1" si="2"/>
        <v>#VALUE!</v>
      </c>
      <c r="N9" t="e">
        <f t="shared" ca="1" si="2"/>
        <v>#VALUE!</v>
      </c>
      <c r="O9" t="e">
        <f t="shared" ca="1" si="2"/>
        <v>#VALUE!</v>
      </c>
      <c r="P9" s="32" t="e" cm="1">
        <f t="array" aca="1" ref="P9" ca="1">INDIRECT(CONCATENATE("'",HLOOKUP(P$1,$B$21:$E$23,3,FALSE),"'!",$B$25,ROW($A9)+5))*About!$A$27</f>
        <v>#VALUE!</v>
      </c>
      <c r="Q9" t="e" cm="1">
        <f t="array" aca="1" ref="Q9" ca="1">TREND($K9:$P9,$K$1:$P$1,Q$1)</f>
        <v>#VALUE!</v>
      </c>
      <c r="R9" t="e" cm="1">
        <f t="array" aca="1" ref="R9" ca="1">TREND($K9:$P9,$K$1:$P$1,R$1)</f>
        <v>#VALUE!</v>
      </c>
      <c r="S9" t="e" cm="1">
        <f t="array" aca="1" ref="S9" ca="1">TREND($K9:$P9,$K$1:$P$1,S$1)</f>
        <v>#VALUE!</v>
      </c>
      <c r="T9" t="e" cm="1">
        <f t="array" aca="1" ref="T9" ca="1">TREND($K9:$P9,$K$1:$P$1,T$1)</f>
        <v>#VALUE!</v>
      </c>
      <c r="U9" t="e" cm="1">
        <f t="array" aca="1" ref="U9" ca="1">TREND($K9:$P9,$K$1:$P$1,U$1)</f>
        <v>#VALUE!</v>
      </c>
      <c r="V9" t="e" cm="1">
        <f t="array" aca="1" ref="V9" ca="1">TREND($K9:$P9,$K$1:$P$1,V$1)</f>
        <v>#VALUE!</v>
      </c>
      <c r="W9" t="e" cm="1">
        <f t="array" aca="1" ref="W9" ca="1">TREND($K9:$P9,$K$1:$P$1,W$1)</f>
        <v>#VALUE!</v>
      </c>
      <c r="X9" t="e" cm="1">
        <f t="array" aca="1" ref="X9" ca="1">TREND($K9:$P9,$K$1:$P$1,X$1)</f>
        <v>#VALUE!</v>
      </c>
      <c r="Y9" t="e" cm="1">
        <f t="array" aca="1" ref="Y9" ca="1">TREND($K9:$P9,$K$1:$P$1,Y$1)</f>
        <v>#VALUE!</v>
      </c>
      <c r="Z9" t="e" cm="1">
        <f t="array" aca="1" ref="Z9" ca="1">TREND($K9:$P9,$K$1:$P$1,Z$1)</f>
        <v>#VALUE!</v>
      </c>
      <c r="AA9" t="e" cm="1">
        <f t="array" aca="1" ref="AA9" ca="1">TREND($K9:$P9,$K$1:$P$1,AA$1)</f>
        <v>#VALUE!</v>
      </c>
      <c r="AB9" t="e" cm="1">
        <f t="array" aca="1" ref="AB9" ca="1">TREND($K9:$P9,$K$1:$P$1,AB$1)</f>
        <v>#VALUE!</v>
      </c>
      <c r="AC9" t="e" cm="1">
        <f t="array" aca="1" ref="AC9" ca="1">TREND($K9:$P9,$K$1:$P$1,AC$1)</f>
        <v>#VALUE!</v>
      </c>
      <c r="AD9" t="e" cm="1">
        <f t="array" aca="1" ref="AD9" ca="1">TREND($K9:$P9,$K$1:$P$1,AD$1)</f>
        <v>#VALUE!</v>
      </c>
      <c r="AE9" t="e" cm="1">
        <f t="array" aca="1" ref="AE9" ca="1">TREND($K9:$P9,$K$1:$P$1,AE$1)</f>
        <v>#VALUE!</v>
      </c>
      <c r="AF9" t="e" cm="1">
        <f t="array" aca="1" ref="AF9" ca="1">TREND($K9:$P9,$K$1:$P$1,AF$1)</f>
        <v>#VALUE!</v>
      </c>
      <c r="AG9" t="e" cm="1">
        <f t="array" aca="1" ref="AG9" ca="1">TREND($K9:$P9,$K$1:$P$1,AG$1)</f>
        <v>#VALUE!</v>
      </c>
      <c r="AH9" t="e" cm="1">
        <f t="array" aca="1" ref="AH9" ca="1">TREND($K9:$P9,$K$1:$P$1,AH$1)</f>
        <v>#VALUE!</v>
      </c>
      <c r="AI9" t="e" cm="1">
        <f t="array" aca="1" ref="AI9" ca="1">TREND($K9:$P9,$K$1:$P$1,AI$1)</f>
        <v>#VALUE!</v>
      </c>
      <c r="AJ9" t="e" cm="1">
        <f t="array" aca="1" ref="AJ9" ca="1">TREND($K9:$P9,$K$1:$P$1,AJ$1)</f>
        <v>#VALUE!</v>
      </c>
    </row>
    <row r="10" spans="1:36">
      <c r="A10" t="s">
        <v>83</v>
      </c>
      <c r="B10" s="32" t="e" cm="1">
        <f t="array" aca="1" ref="B10" ca="1">INDIRECT(CONCATENATE("'",HLOOKUP(B$1,$B$21:$E$23,3,FALSE),"'!",$B$25,ROW($A10)+5))*About!$A$27</f>
        <v>#VALUE!</v>
      </c>
      <c r="C10" t="e">
        <f t="shared" ca="1" si="3"/>
        <v>#VALUE!</v>
      </c>
      <c r="D10" t="e">
        <f t="shared" ca="1" si="0"/>
        <v>#VALUE!</v>
      </c>
      <c r="E10" t="e">
        <f t="shared" ca="1" si="0"/>
        <v>#VALUE!</v>
      </c>
      <c r="F10" s="32" t="e" cm="1">
        <f t="array" aca="1" ref="F10" ca="1">INDIRECT(CONCATENATE("'",HLOOKUP(F$1,$B$21:$E$23,3,FALSE),"'!",$B$25,ROW($A10)+5))*About!$A$27</f>
        <v>#VALUE!</v>
      </c>
      <c r="G10" t="e">
        <f t="shared" ca="1" si="4"/>
        <v>#VALUE!</v>
      </c>
      <c r="H10" t="e">
        <f t="shared" ca="1" si="1"/>
        <v>#VALUE!</v>
      </c>
      <c r="I10" t="e">
        <f t="shared" ca="1" si="1"/>
        <v>#VALUE!</v>
      </c>
      <c r="J10" t="e">
        <f t="shared" ca="1" si="1"/>
        <v>#VALUE!</v>
      </c>
      <c r="K10" s="32" t="e" cm="1">
        <f t="array" aca="1" ref="K10" ca="1">INDIRECT(CONCATENATE("'",HLOOKUP(K$1,$B$21:$E$23,3,FALSE),"'!",$B$25,ROW($A10)+5))*About!$A$27</f>
        <v>#VALUE!</v>
      </c>
      <c r="L10" t="e">
        <f t="shared" ca="1" si="5"/>
        <v>#VALUE!</v>
      </c>
      <c r="M10" t="e">
        <f t="shared" ca="1" si="2"/>
        <v>#VALUE!</v>
      </c>
      <c r="N10" t="e">
        <f t="shared" ca="1" si="2"/>
        <v>#VALUE!</v>
      </c>
      <c r="O10" t="e">
        <f t="shared" ca="1" si="2"/>
        <v>#VALUE!</v>
      </c>
      <c r="P10" s="32" t="e" cm="1">
        <f t="array" aca="1" ref="P10" ca="1">INDIRECT(CONCATENATE("'",HLOOKUP(P$1,$B$21:$E$23,3,FALSE),"'!",$B$25,ROW($A10)+5))*About!$A$27</f>
        <v>#VALUE!</v>
      </c>
      <c r="Q10" t="e" cm="1">
        <f t="array" aca="1" ref="Q10" ca="1">TREND($K10:$P10,$K$1:$P$1,Q$1)</f>
        <v>#VALUE!</v>
      </c>
      <c r="R10" t="e" cm="1">
        <f t="array" aca="1" ref="R10" ca="1">TREND($K10:$P10,$K$1:$P$1,R$1)</f>
        <v>#VALUE!</v>
      </c>
      <c r="S10" t="e" cm="1">
        <f t="array" aca="1" ref="S10" ca="1">TREND($K10:$P10,$K$1:$P$1,S$1)</f>
        <v>#VALUE!</v>
      </c>
      <c r="T10" t="e" cm="1">
        <f t="array" aca="1" ref="T10" ca="1">TREND($K10:$P10,$K$1:$P$1,T$1)</f>
        <v>#VALUE!</v>
      </c>
      <c r="U10" t="e" cm="1">
        <f t="array" aca="1" ref="U10" ca="1">TREND($K10:$P10,$K$1:$P$1,U$1)</f>
        <v>#VALUE!</v>
      </c>
      <c r="V10" t="e" cm="1">
        <f t="array" aca="1" ref="V10" ca="1">TREND($K10:$P10,$K$1:$P$1,V$1)</f>
        <v>#VALUE!</v>
      </c>
      <c r="W10" t="e" cm="1">
        <f t="array" aca="1" ref="W10" ca="1">TREND($K10:$P10,$K$1:$P$1,W$1)</f>
        <v>#VALUE!</v>
      </c>
      <c r="X10" t="e" cm="1">
        <f t="array" aca="1" ref="X10" ca="1">TREND($K10:$P10,$K$1:$P$1,X$1)</f>
        <v>#VALUE!</v>
      </c>
      <c r="Y10" t="e" cm="1">
        <f t="array" aca="1" ref="Y10" ca="1">TREND($K10:$P10,$K$1:$P$1,Y$1)</f>
        <v>#VALUE!</v>
      </c>
      <c r="Z10" t="e" cm="1">
        <f t="array" aca="1" ref="Z10" ca="1">TREND($K10:$P10,$K$1:$P$1,Z$1)</f>
        <v>#VALUE!</v>
      </c>
      <c r="AA10" t="e" cm="1">
        <f t="array" aca="1" ref="AA10" ca="1">TREND($K10:$P10,$K$1:$P$1,AA$1)</f>
        <v>#VALUE!</v>
      </c>
      <c r="AB10" t="e" cm="1">
        <f t="array" aca="1" ref="AB10" ca="1">TREND($K10:$P10,$K$1:$P$1,AB$1)</f>
        <v>#VALUE!</v>
      </c>
      <c r="AC10" t="e" cm="1">
        <f t="array" aca="1" ref="AC10" ca="1">TREND($K10:$P10,$K$1:$P$1,AC$1)</f>
        <v>#VALUE!</v>
      </c>
      <c r="AD10" t="e" cm="1">
        <f t="array" aca="1" ref="AD10" ca="1">TREND($K10:$P10,$K$1:$P$1,AD$1)</f>
        <v>#VALUE!</v>
      </c>
      <c r="AE10" t="e" cm="1">
        <f t="array" aca="1" ref="AE10" ca="1">TREND($K10:$P10,$K$1:$P$1,AE$1)</f>
        <v>#VALUE!</v>
      </c>
      <c r="AF10" t="e" cm="1">
        <f t="array" aca="1" ref="AF10" ca="1">TREND($K10:$P10,$K$1:$P$1,AF$1)</f>
        <v>#VALUE!</v>
      </c>
      <c r="AG10" t="e" cm="1">
        <f t="array" aca="1" ref="AG10" ca="1">TREND($K10:$P10,$K$1:$P$1,AG$1)</f>
        <v>#VALUE!</v>
      </c>
      <c r="AH10" t="e" cm="1">
        <f t="array" aca="1" ref="AH10" ca="1">TREND($K10:$P10,$K$1:$P$1,AH$1)</f>
        <v>#VALUE!</v>
      </c>
      <c r="AI10" t="e" cm="1">
        <f t="array" aca="1" ref="AI10" ca="1">TREND($K10:$P10,$K$1:$P$1,AI$1)</f>
        <v>#VALUE!</v>
      </c>
      <c r="AJ10" t="e" cm="1">
        <f t="array" aca="1" ref="AJ10" ca="1">TREND($K10:$P10,$K$1:$P$1,AJ$1)</f>
        <v>#VALUE!</v>
      </c>
    </row>
    <row r="11" spans="1:36">
      <c r="A11" t="s">
        <v>84</v>
      </c>
      <c r="B11" s="32" t="e" cm="1">
        <f t="array" aca="1" ref="B11" ca="1">INDIRECT(CONCATENATE("'",HLOOKUP(B$1,$B$21:$E$23,3,FALSE),"'!",$B$25,ROW($A11)+5))*About!$A$27</f>
        <v>#VALUE!</v>
      </c>
      <c r="C11" t="e">
        <f t="shared" ca="1" si="3"/>
        <v>#VALUE!</v>
      </c>
      <c r="D11" t="e">
        <f t="shared" ca="1" si="0"/>
        <v>#VALUE!</v>
      </c>
      <c r="E11" t="e">
        <f t="shared" ca="1" si="0"/>
        <v>#VALUE!</v>
      </c>
      <c r="F11" s="32" t="e" cm="1">
        <f t="array" aca="1" ref="F11" ca="1">INDIRECT(CONCATENATE("'",HLOOKUP(F$1,$B$21:$E$23,3,FALSE),"'!",$B$25,ROW($A11)+5))*About!$A$27</f>
        <v>#VALUE!</v>
      </c>
      <c r="G11" t="e">
        <f t="shared" ca="1" si="4"/>
        <v>#VALUE!</v>
      </c>
      <c r="H11" t="e">
        <f t="shared" ca="1" si="1"/>
        <v>#VALUE!</v>
      </c>
      <c r="I11" t="e">
        <f t="shared" ca="1" si="1"/>
        <v>#VALUE!</v>
      </c>
      <c r="J11" t="e">
        <f t="shared" ca="1" si="1"/>
        <v>#VALUE!</v>
      </c>
      <c r="K11" s="32" t="e" cm="1">
        <f t="array" aca="1" ref="K11" ca="1">INDIRECT(CONCATENATE("'",HLOOKUP(K$1,$B$21:$E$23,3,FALSE),"'!",$B$25,ROW($A11)+5))*About!$A$27</f>
        <v>#VALUE!</v>
      </c>
      <c r="L11" t="e">
        <f t="shared" ca="1" si="5"/>
        <v>#VALUE!</v>
      </c>
      <c r="M11" t="e">
        <f t="shared" ca="1" si="2"/>
        <v>#VALUE!</v>
      </c>
      <c r="N11" t="e">
        <f t="shared" ca="1" si="2"/>
        <v>#VALUE!</v>
      </c>
      <c r="O11" t="e">
        <f t="shared" ca="1" si="2"/>
        <v>#VALUE!</v>
      </c>
      <c r="P11" s="32" t="e" cm="1">
        <f t="array" aca="1" ref="P11" ca="1">INDIRECT(CONCATENATE("'",HLOOKUP(P$1,$B$21:$E$23,3,FALSE),"'!",$B$25,ROW($A11)+5))*About!$A$27</f>
        <v>#VALUE!</v>
      </c>
      <c r="Q11" t="e" cm="1">
        <f t="array" aca="1" ref="Q11" ca="1">TREND($K11:$P11,$K$1:$P$1,Q$1)</f>
        <v>#VALUE!</v>
      </c>
      <c r="R11" t="e" cm="1">
        <f t="array" aca="1" ref="R11" ca="1">TREND($K11:$P11,$K$1:$P$1,R$1)</f>
        <v>#VALUE!</v>
      </c>
      <c r="S11" t="e" cm="1">
        <f t="array" aca="1" ref="S11" ca="1">TREND($K11:$P11,$K$1:$P$1,S$1)</f>
        <v>#VALUE!</v>
      </c>
      <c r="T11" t="e" cm="1">
        <f t="array" aca="1" ref="T11" ca="1">TREND($K11:$P11,$K$1:$P$1,T$1)</f>
        <v>#VALUE!</v>
      </c>
      <c r="U11" t="e" cm="1">
        <f t="array" aca="1" ref="U11" ca="1">TREND($K11:$P11,$K$1:$P$1,U$1)</f>
        <v>#VALUE!</v>
      </c>
      <c r="V11" t="e" cm="1">
        <f t="array" aca="1" ref="V11" ca="1">TREND($K11:$P11,$K$1:$P$1,V$1)</f>
        <v>#VALUE!</v>
      </c>
      <c r="W11" t="e" cm="1">
        <f t="array" aca="1" ref="W11" ca="1">TREND($K11:$P11,$K$1:$P$1,W$1)</f>
        <v>#VALUE!</v>
      </c>
      <c r="X11" t="e" cm="1">
        <f t="array" aca="1" ref="X11" ca="1">TREND($K11:$P11,$K$1:$P$1,X$1)</f>
        <v>#VALUE!</v>
      </c>
      <c r="Y11" t="e" cm="1">
        <f t="array" aca="1" ref="Y11" ca="1">TREND($K11:$P11,$K$1:$P$1,Y$1)</f>
        <v>#VALUE!</v>
      </c>
      <c r="Z11" t="e" cm="1">
        <f t="array" aca="1" ref="Z11" ca="1">TREND($K11:$P11,$K$1:$P$1,Z$1)</f>
        <v>#VALUE!</v>
      </c>
      <c r="AA11" t="e" cm="1">
        <f t="array" aca="1" ref="AA11" ca="1">TREND($K11:$P11,$K$1:$P$1,AA$1)</f>
        <v>#VALUE!</v>
      </c>
      <c r="AB11" t="e" cm="1">
        <f t="array" aca="1" ref="AB11" ca="1">TREND($K11:$P11,$K$1:$P$1,AB$1)</f>
        <v>#VALUE!</v>
      </c>
      <c r="AC11" t="e" cm="1">
        <f t="array" aca="1" ref="AC11" ca="1">TREND($K11:$P11,$K$1:$P$1,AC$1)</f>
        <v>#VALUE!</v>
      </c>
      <c r="AD11" t="e" cm="1">
        <f t="array" aca="1" ref="AD11" ca="1">TREND($K11:$P11,$K$1:$P$1,AD$1)</f>
        <v>#VALUE!</v>
      </c>
      <c r="AE11" t="e" cm="1">
        <f t="array" aca="1" ref="AE11" ca="1">TREND($K11:$P11,$K$1:$P$1,AE$1)</f>
        <v>#VALUE!</v>
      </c>
      <c r="AF11" t="e" cm="1">
        <f t="array" aca="1" ref="AF11" ca="1">TREND($K11:$P11,$K$1:$P$1,AF$1)</f>
        <v>#VALUE!</v>
      </c>
      <c r="AG11" t="e" cm="1">
        <f t="array" aca="1" ref="AG11" ca="1">TREND($K11:$P11,$K$1:$P$1,AG$1)</f>
        <v>#VALUE!</v>
      </c>
      <c r="AH11" t="e" cm="1">
        <f t="array" aca="1" ref="AH11" ca="1">TREND($K11:$P11,$K$1:$P$1,AH$1)</f>
        <v>#VALUE!</v>
      </c>
      <c r="AI11" t="e" cm="1">
        <f t="array" aca="1" ref="AI11" ca="1">TREND($K11:$P11,$K$1:$P$1,AI$1)</f>
        <v>#VALUE!</v>
      </c>
      <c r="AJ11" t="e" cm="1">
        <f t="array" aca="1" ref="AJ11" ca="1">TREND($K11:$P11,$K$1:$P$1,AJ$1)</f>
        <v>#VALUE!</v>
      </c>
    </row>
    <row r="12" spans="1:36">
      <c r="A12" t="s">
        <v>85</v>
      </c>
      <c r="B12" s="33" t="e">
        <f ca="1">SUM(INDIRECT(CONCATENATE("'",HLOOKUP(B$1,$B$21:$E$23,3,FALSE),"'!",$B$25,ROW($A12)+5,":",$B$25,ROW($A12)+6)))*About!$A$27</f>
        <v>#VALUE!</v>
      </c>
      <c r="C12" t="e">
        <f t="shared" ca="1" si="3"/>
        <v>#VALUE!</v>
      </c>
      <c r="D12" t="e">
        <f t="shared" ca="1" si="0"/>
        <v>#VALUE!</v>
      </c>
      <c r="E12" t="e">
        <f t="shared" ca="1" si="0"/>
        <v>#VALUE!</v>
      </c>
      <c r="F12" s="33" t="e">
        <f ca="1">SUM(INDIRECT(CONCATENATE("'",HLOOKUP(F$1,$B$21:$E$23,3,FALSE),"'!",$B$25,ROW($A12)+5,":",$B$25,ROW($A12)+6)))*About!$A$27</f>
        <v>#VALUE!</v>
      </c>
      <c r="G12" t="e">
        <f t="shared" ca="1" si="4"/>
        <v>#VALUE!</v>
      </c>
      <c r="H12" t="e">
        <f t="shared" ca="1" si="1"/>
        <v>#VALUE!</v>
      </c>
      <c r="I12" t="e">
        <f t="shared" ca="1" si="1"/>
        <v>#VALUE!</v>
      </c>
      <c r="J12" t="e">
        <f t="shared" ca="1" si="1"/>
        <v>#VALUE!</v>
      </c>
      <c r="K12" s="33" t="e">
        <f ca="1">SUM(INDIRECT(CONCATENATE("'",HLOOKUP(K$1,$B$21:$E$23,3,FALSE),"'!",$B$25,ROW($A12)+5,":",$B$25,ROW($A12)+6)))*About!$A$27</f>
        <v>#VALUE!</v>
      </c>
      <c r="L12" t="e">
        <f t="shared" ca="1" si="5"/>
        <v>#VALUE!</v>
      </c>
      <c r="M12" t="e">
        <f t="shared" ca="1" si="2"/>
        <v>#VALUE!</v>
      </c>
      <c r="N12" t="e">
        <f t="shared" ca="1" si="2"/>
        <v>#VALUE!</v>
      </c>
      <c r="O12" t="e">
        <f t="shared" ca="1" si="2"/>
        <v>#VALUE!</v>
      </c>
      <c r="P12" s="33" t="e">
        <f ca="1">SUM(INDIRECT(CONCATENATE("'",HLOOKUP(P$1,$B$21:$E$23,3,FALSE),"'!",$B$25,ROW($A12)+5,":",$B$25,ROW($A12)+6)))*About!$A$27</f>
        <v>#VALUE!</v>
      </c>
      <c r="Q12" t="e" cm="1">
        <f t="array" aca="1" ref="Q12" ca="1">TREND($K12:$P12,$K$1:$P$1,Q$1)</f>
        <v>#VALUE!</v>
      </c>
      <c r="R12" t="e" cm="1">
        <f t="array" aca="1" ref="R12" ca="1">TREND($K12:$P12,$K$1:$P$1,R$1)</f>
        <v>#VALUE!</v>
      </c>
      <c r="S12" t="e" cm="1">
        <f t="array" aca="1" ref="S12" ca="1">TREND($K12:$P12,$K$1:$P$1,S$1)</f>
        <v>#VALUE!</v>
      </c>
      <c r="T12" t="e" cm="1">
        <f t="array" aca="1" ref="T12" ca="1">TREND($K12:$P12,$K$1:$P$1,T$1)</f>
        <v>#VALUE!</v>
      </c>
      <c r="U12" t="e" cm="1">
        <f t="array" aca="1" ref="U12" ca="1">TREND($K12:$P12,$K$1:$P$1,U$1)</f>
        <v>#VALUE!</v>
      </c>
      <c r="V12" t="e" cm="1">
        <f t="array" aca="1" ref="V12" ca="1">TREND($K12:$P12,$K$1:$P$1,V$1)</f>
        <v>#VALUE!</v>
      </c>
      <c r="W12" t="e" cm="1">
        <f t="array" aca="1" ref="W12" ca="1">TREND($K12:$P12,$K$1:$P$1,W$1)</f>
        <v>#VALUE!</v>
      </c>
      <c r="X12" t="e" cm="1">
        <f t="array" aca="1" ref="X12" ca="1">TREND($K12:$P12,$K$1:$P$1,X$1)</f>
        <v>#VALUE!</v>
      </c>
      <c r="Y12" t="e" cm="1">
        <f t="array" aca="1" ref="Y12" ca="1">TREND($K12:$P12,$K$1:$P$1,Y$1)</f>
        <v>#VALUE!</v>
      </c>
      <c r="Z12" t="e" cm="1">
        <f t="array" aca="1" ref="Z12" ca="1">TREND($K12:$P12,$K$1:$P$1,Z$1)</f>
        <v>#VALUE!</v>
      </c>
      <c r="AA12" t="e" cm="1">
        <f t="array" aca="1" ref="AA12" ca="1">TREND($K12:$P12,$K$1:$P$1,AA$1)</f>
        <v>#VALUE!</v>
      </c>
      <c r="AB12" t="e" cm="1">
        <f t="array" aca="1" ref="AB12" ca="1">TREND($K12:$P12,$K$1:$P$1,AB$1)</f>
        <v>#VALUE!</v>
      </c>
      <c r="AC12" t="e" cm="1">
        <f t="array" aca="1" ref="AC12" ca="1">TREND($K12:$P12,$K$1:$P$1,AC$1)</f>
        <v>#VALUE!</v>
      </c>
      <c r="AD12" t="e" cm="1">
        <f t="array" aca="1" ref="AD12" ca="1">TREND($K12:$P12,$K$1:$P$1,AD$1)</f>
        <v>#VALUE!</v>
      </c>
      <c r="AE12" t="e" cm="1">
        <f t="array" aca="1" ref="AE12" ca="1">TREND($K12:$P12,$K$1:$P$1,AE$1)</f>
        <v>#VALUE!</v>
      </c>
      <c r="AF12" t="e" cm="1">
        <f t="array" aca="1" ref="AF12" ca="1">TREND($K12:$P12,$K$1:$P$1,AF$1)</f>
        <v>#VALUE!</v>
      </c>
      <c r="AG12" t="e" cm="1">
        <f t="array" aca="1" ref="AG12" ca="1">TREND($K12:$P12,$K$1:$P$1,AG$1)</f>
        <v>#VALUE!</v>
      </c>
      <c r="AH12" t="e" cm="1">
        <f t="array" aca="1" ref="AH12" ca="1">TREND($K12:$P12,$K$1:$P$1,AH$1)</f>
        <v>#VALUE!</v>
      </c>
      <c r="AI12" t="e" cm="1">
        <f t="array" aca="1" ref="AI12" ca="1">TREND($K12:$P12,$K$1:$P$1,AI$1)</f>
        <v>#VALUE!</v>
      </c>
      <c r="AJ12" t="e" cm="1">
        <f t="array" aca="1" ref="AJ12" ca="1">TREND($K12:$P12,$K$1:$P$1,AJ$1)</f>
        <v>#VALUE!</v>
      </c>
    </row>
    <row r="16" spans="1:36">
      <c r="A16" s="20" t="s">
        <v>86</v>
      </c>
      <c r="B16" s="21"/>
      <c r="C16" s="21"/>
      <c r="D16" s="21"/>
    </row>
    <row r="17" spans="1:5">
      <c r="A17" t="s">
        <v>87</v>
      </c>
      <c r="B17" t="e" cm="1">
        <f t="array" aca="1" ref="B17" ca="1">MID(CELL("filename",A17),FIND("]",CELL("filename",A17))+1,255)</f>
        <v>#VALUE!</v>
      </c>
    </row>
    <row r="18" spans="1:5">
      <c r="A18" t="s">
        <v>88</v>
      </c>
      <c r="B18" t="e">
        <f ca="1">RIGHT(B17,LEN(B17)-7)</f>
        <v>#VALUE!</v>
      </c>
    </row>
    <row r="19" spans="1:5">
      <c r="A19" t="s">
        <v>89</v>
      </c>
      <c r="B19" t="e">
        <f ca="1">LEFT(B18,FIND("-",B18)-1)</f>
        <v>#VALUE!</v>
      </c>
    </row>
    <row r="20" spans="1:5">
      <c r="A20" t="s">
        <v>90</v>
      </c>
      <c r="B20" t="e">
        <f ca="1">VLOOKUP($B$19,Mappings!$A$22:$B$26,COLUMN(Mappings!$B$21),FALSE)</f>
        <v>#VALUE!</v>
      </c>
    </row>
    <row r="21" spans="1:5">
      <c r="A21" s="23"/>
      <c r="B21" s="24">
        <v>2016</v>
      </c>
      <c r="C21" s="24">
        <v>2020</v>
      </c>
      <c r="D21" s="24">
        <v>2025</v>
      </c>
      <c r="E21" s="25">
        <v>2030</v>
      </c>
    </row>
    <row r="22" spans="1:5">
      <c r="A22" s="26" t="s">
        <v>91</v>
      </c>
      <c r="B22" s="2" t="e">
        <f ca="1">VLOOKUP($B$20,Mappings!$A$3:$E$19,COLUMN(Mappings!B$2),FALSE)</f>
        <v>#VALUE!</v>
      </c>
      <c r="C22" s="2" t="e">
        <f ca="1">VLOOKUP($B$20,Mappings!$A$3:$E$19,COLUMN(Mappings!C$2),FALSE)</f>
        <v>#VALUE!</v>
      </c>
      <c r="D22" s="2" t="e">
        <f ca="1">VLOOKUP($B$20,Mappings!$A$3:$E$19,COLUMN(Mappings!D$2),FALSE)</f>
        <v>#VALUE!</v>
      </c>
      <c r="E22" s="27" t="e">
        <f ca="1">VLOOKUP($B$20,Mappings!$A$3:$E$19,COLUMN(Mappings!E$2),FALSE)</f>
        <v>#VALUE!</v>
      </c>
    </row>
    <row r="23" spans="1:5">
      <c r="A23" s="28" t="s">
        <v>87</v>
      </c>
      <c r="B23" s="29" t="e">
        <f ca="1">CONCATENATE("Table ",B22)</f>
        <v>#VALUE!</v>
      </c>
      <c r="C23" s="29" t="e">
        <f ca="1">CONCATENATE("Table ",C22)</f>
        <v>#VALUE!</v>
      </c>
      <c r="D23" s="29" t="e">
        <f ca="1">CONCATENATE("Table ",D22)</f>
        <v>#VALUE!</v>
      </c>
      <c r="E23" s="30" t="e">
        <f ca="1">CONCATENATE("Table ",E22)</f>
        <v>#VALUE!</v>
      </c>
    </row>
    <row r="24" spans="1:5">
      <c r="A24" t="s">
        <v>92</v>
      </c>
      <c r="B24" t="e">
        <f ca="1">REPLACE(B18,1,FIND("-",B18),"")</f>
        <v>#VALUE!</v>
      </c>
    </row>
    <row r="25" spans="1:5">
      <c r="A25" t="s">
        <v>93</v>
      </c>
      <c r="B25" s="2" t="e">
        <f ca="1">VLOOKUP($B$24,Mappings!$A$29:$B$31,COLUMN(Mappings!$B$29),FALSE)</f>
        <v>#VALUE!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BB463-BC41-46EA-A054-1DB5B28E36F4}">
  <sheetPr>
    <tabColor theme="4" tint="-0.249977111117893"/>
  </sheetPr>
  <dimension ref="A1:AJ25"/>
  <sheetViews>
    <sheetView workbookViewId="0"/>
  </sheetViews>
  <sheetFormatPr defaultColWidth="8.7109375" defaultRowHeight="14.45"/>
  <cols>
    <col min="1" max="1" width="33.7109375" customWidth="1"/>
  </cols>
  <sheetData>
    <row r="1" spans="1:36" s="1" customFormat="1">
      <c r="A1" s="22" t="s">
        <v>74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>
      <c r="A2" t="s">
        <v>75</v>
      </c>
      <c r="B2" s="31" t="e" cm="1">
        <f t="array" aca="1" ref="B2" ca="1">INDIRECT(CONCATENATE("'",HLOOKUP(B$1,$B$21:$E$23,3,FALSE),"'!",$B$25,ROW($A2)+3))*About!$A$27</f>
        <v>#VALUE!</v>
      </c>
      <c r="C2" t="e">
        <f ca="1">$B2+($F2-$B2)*(C$1-$B$1)/($F$1-$B$1)</f>
        <v>#VALUE!</v>
      </c>
      <c r="D2" t="e">
        <f t="shared" ref="D2:E12" ca="1" si="0">$B2+($F2-$B2)*(D$1-$B$1)/($F$1-$B$1)</f>
        <v>#VALUE!</v>
      </c>
      <c r="E2" t="e">
        <f t="shared" ca="1" si="0"/>
        <v>#VALUE!</v>
      </c>
      <c r="F2" s="31" t="e" cm="1">
        <f t="array" aca="1" ref="F2" ca="1">INDIRECT(CONCATENATE("'",HLOOKUP(F$1,$B$21:$E$23,3,FALSE),"'!",$B$25,ROW($A2)+3))*About!$A$27</f>
        <v>#VALUE!</v>
      </c>
      <c r="G2" t="e">
        <f ca="1">$F2+($K2-$F2)*(G$1-$F$1)/($K$1-$F$1)</f>
        <v>#VALUE!</v>
      </c>
      <c r="H2" t="e">
        <f t="shared" ref="H2:J12" ca="1" si="1">$F2+($K2-$F2)*(H$1-$F$1)/($K$1-$F$1)</f>
        <v>#VALUE!</v>
      </c>
      <c r="I2" t="e">
        <f t="shared" ca="1" si="1"/>
        <v>#VALUE!</v>
      </c>
      <c r="J2" t="e">
        <f t="shared" ca="1" si="1"/>
        <v>#VALUE!</v>
      </c>
      <c r="K2" s="31" t="e" cm="1">
        <f t="array" aca="1" ref="K2" ca="1">INDIRECT(CONCATENATE("'",HLOOKUP(K$1,$B$21:$E$23,3,FALSE),"'!",$B$25,ROW($A2)+3))*About!$A$27</f>
        <v>#VALUE!</v>
      </c>
      <c r="L2" t="e">
        <f ca="1">$K2+($P2-$K2)*(L$1-$K$1)/($P$1-$K$1)</f>
        <v>#VALUE!</v>
      </c>
      <c r="M2" t="e">
        <f t="shared" ref="M2:O12" ca="1" si="2">$K2+($P2-$K2)*(M$1-$K$1)/($P$1-$K$1)</f>
        <v>#VALUE!</v>
      </c>
      <c r="N2" t="e">
        <f t="shared" ca="1" si="2"/>
        <v>#VALUE!</v>
      </c>
      <c r="O2" t="e">
        <f t="shared" ca="1" si="2"/>
        <v>#VALUE!</v>
      </c>
      <c r="P2" s="31" t="e" cm="1">
        <f t="array" aca="1" ref="P2" ca="1">INDIRECT(CONCATENATE("'",HLOOKUP(P$1,$B$21:$E$23,3,FALSE),"'!",$B$25,ROW($A2)+3))*About!$A$27</f>
        <v>#VALUE!</v>
      </c>
      <c r="Q2" t="e" cm="1">
        <f t="array" aca="1" ref="Q2" ca="1">TREND($K2:$P2,$K$1:$P$1,Q$1)</f>
        <v>#VALUE!</v>
      </c>
      <c r="R2" t="e" cm="1">
        <f t="array" aca="1" ref="R2" ca="1">TREND($K2:$P2,$K$1:$P$1,R$1)</f>
        <v>#VALUE!</v>
      </c>
      <c r="S2" t="e" cm="1">
        <f t="array" aca="1" ref="S2" ca="1">TREND($K2:$P2,$K$1:$P$1,S$1)</f>
        <v>#VALUE!</v>
      </c>
      <c r="T2" t="e" cm="1">
        <f t="array" aca="1" ref="T2" ca="1">TREND($K2:$P2,$K$1:$P$1,T$1)</f>
        <v>#VALUE!</v>
      </c>
      <c r="U2" t="e" cm="1">
        <f t="array" aca="1" ref="U2" ca="1">TREND($K2:$P2,$K$1:$P$1,U$1)</f>
        <v>#VALUE!</v>
      </c>
      <c r="V2" t="e" cm="1">
        <f t="array" aca="1" ref="V2" ca="1">TREND($K2:$P2,$K$1:$P$1,V$1)</f>
        <v>#VALUE!</v>
      </c>
      <c r="W2" t="e" cm="1">
        <f t="array" aca="1" ref="W2" ca="1">TREND($K2:$P2,$K$1:$P$1,W$1)</f>
        <v>#VALUE!</v>
      </c>
      <c r="X2" t="e" cm="1">
        <f t="array" aca="1" ref="X2" ca="1">TREND($K2:$P2,$K$1:$P$1,X$1)</f>
        <v>#VALUE!</v>
      </c>
      <c r="Y2" t="e" cm="1">
        <f t="array" aca="1" ref="Y2" ca="1">TREND($K2:$P2,$K$1:$P$1,Y$1)</f>
        <v>#VALUE!</v>
      </c>
      <c r="Z2" t="e" cm="1">
        <f t="array" aca="1" ref="Z2" ca="1">TREND($K2:$P2,$K$1:$P$1,Z$1)</f>
        <v>#VALUE!</v>
      </c>
      <c r="AA2" t="e" cm="1">
        <f t="array" aca="1" ref="AA2" ca="1">TREND($K2:$P2,$K$1:$P$1,AA$1)</f>
        <v>#VALUE!</v>
      </c>
      <c r="AB2" t="e" cm="1">
        <f t="array" aca="1" ref="AB2" ca="1">TREND($K2:$P2,$K$1:$P$1,AB$1)</f>
        <v>#VALUE!</v>
      </c>
      <c r="AC2" t="e" cm="1">
        <f t="array" aca="1" ref="AC2" ca="1">TREND($K2:$P2,$K$1:$P$1,AC$1)</f>
        <v>#VALUE!</v>
      </c>
      <c r="AD2" t="e" cm="1">
        <f t="array" aca="1" ref="AD2" ca="1">TREND($K2:$P2,$K$1:$P$1,AD$1)</f>
        <v>#VALUE!</v>
      </c>
      <c r="AE2" t="e" cm="1">
        <f t="array" aca="1" ref="AE2" ca="1">TREND($K2:$P2,$K$1:$P$1,AE$1)</f>
        <v>#VALUE!</v>
      </c>
      <c r="AF2" t="e" cm="1">
        <f t="array" aca="1" ref="AF2" ca="1">TREND($K2:$P2,$K$1:$P$1,AF$1)</f>
        <v>#VALUE!</v>
      </c>
      <c r="AG2" t="e" cm="1">
        <f t="array" aca="1" ref="AG2" ca="1">TREND($K2:$P2,$K$1:$P$1,AG$1)</f>
        <v>#VALUE!</v>
      </c>
      <c r="AH2" t="e" cm="1">
        <f t="array" aca="1" ref="AH2" ca="1">TREND($K2:$P2,$K$1:$P$1,AH$1)</f>
        <v>#VALUE!</v>
      </c>
      <c r="AI2" t="e" cm="1">
        <f t="array" aca="1" ref="AI2" ca="1">TREND($K2:$P2,$K$1:$P$1,AI$1)</f>
        <v>#VALUE!</v>
      </c>
      <c r="AJ2" t="e" cm="1">
        <f t="array" aca="1" ref="AJ2" ca="1">TREND($K2:$P2,$K$1:$P$1,AJ$1)</f>
        <v>#VALUE!</v>
      </c>
    </row>
    <row r="3" spans="1:36">
      <c r="A3" t="s">
        <v>76</v>
      </c>
      <c r="B3" s="32" t="e" cm="1">
        <f t="array" aca="1" ref="B3" ca="1">INDIRECT(CONCATENATE("'",HLOOKUP(B$1,$B$21:$E$23,3,FALSE),"'!",$B$25,ROW($A3)+5))*About!$A$27</f>
        <v>#VALUE!</v>
      </c>
      <c r="C3" t="e">
        <f t="shared" ref="C3:C12" ca="1" si="3">$B3+($F3-$B3)*(C$1-$B$1)/($F$1-$B$1)</f>
        <v>#VALUE!</v>
      </c>
      <c r="D3" t="e">
        <f t="shared" ca="1" si="0"/>
        <v>#VALUE!</v>
      </c>
      <c r="E3" t="e">
        <f t="shared" ca="1" si="0"/>
        <v>#VALUE!</v>
      </c>
      <c r="F3" s="32" t="e" cm="1">
        <f t="array" aca="1" ref="F3" ca="1">INDIRECT(CONCATENATE("'",HLOOKUP(F$1,$B$21:$E$23,3,FALSE),"'!",$B$25,ROW($A3)+5))*About!$A$27</f>
        <v>#VALUE!</v>
      </c>
      <c r="G3" t="e">
        <f t="shared" ref="G3:G12" ca="1" si="4">$F3+($K3-$F3)*(G$1-$F$1)/($K$1-$F$1)</f>
        <v>#VALUE!</v>
      </c>
      <c r="H3" t="e">
        <f t="shared" ca="1" si="1"/>
        <v>#VALUE!</v>
      </c>
      <c r="I3" t="e">
        <f t="shared" ca="1" si="1"/>
        <v>#VALUE!</v>
      </c>
      <c r="J3" t="e">
        <f t="shared" ca="1" si="1"/>
        <v>#VALUE!</v>
      </c>
      <c r="K3" s="32" t="e" cm="1">
        <f t="array" aca="1" ref="K3" ca="1">INDIRECT(CONCATENATE("'",HLOOKUP(K$1,$B$21:$E$23,3,FALSE),"'!",$B$25,ROW($A3)+5))*About!$A$27</f>
        <v>#VALUE!</v>
      </c>
      <c r="L3" t="e">
        <f t="shared" ref="L3:L12" ca="1" si="5">$K3+($P3-$K3)*(L$1-$K$1)/($P$1-$K$1)</f>
        <v>#VALUE!</v>
      </c>
      <c r="M3" t="e">
        <f t="shared" ca="1" si="2"/>
        <v>#VALUE!</v>
      </c>
      <c r="N3" t="e">
        <f t="shared" ca="1" si="2"/>
        <v>#VALUE!</v>
      </c>
      <c r="O3" t="e">
        <f t="shared" ca="1" si="2"/>
        <v>#VALUE!</v>
      </c>
      <c r="P3" s="32" t="e" cm="1">
        <f t="array" aca="1" ref="P3" ca="1">INDIRECT(CONCATENATE("'",HLOOKUP(P$1,$B$21:$E$23,3,FALSE),"'!",$B$25,ROW($A3)+5))*About!$A$27</f>
        <v>#VALUE!</v>
      </c>
      <c r="Q3" t="e" cm="1">
        <f t="array" aca="1" ref="Q3" ca="1">TREND($K3:$P3,$K$1:$P$1,Q$1)</f>
        <v>#VALUE!</v>
      </c>
      <c r="R3" t="e" cm="1">
        <f t="array" aca="1" ref="R3" ca="1">TREND($K3:$P3,$K$1:$P$1,R$1)</f>
        <v>#VALUE!</v>
      </c>
      <c r="S3" t="e" cm="1">
        <f t="array" aca="1" ref="S3" ca="1">TREND($K3:$P3,$K$1:$P$1,S$1)</f>
        <v>#VALUE!</v>
      </c>
      <c r="T3" t="e" cm="1">
        <f t="array" aca="1" ref="T3" ca="1">TREND($K3:$P3,$K$1:$P$1,T$1)</f>
        <v>#VALUE!</v>
      </c>
      <c r="U3" t="e" cm="1">
        <f t="array" aca="1" ref="U3" ca="1">TREND($K3:$P3,$K$1:$P$1,U$1)</f>
        <v>#VALUE!</v>
      </c>
      <c r="V3" t="e" cm="1">
        <f t="array" aca="1" ref="V3" ca="1">TREND($K3:$P3,$K$1:$P$1,V$1)</f>
        <v>#VALUE!</v>
      </c>
      <c r="W3" t="e" cm="1">
        <f t="array" aca="1" ref="W3" ca="1">TREND($K3:$P3,$K$1:$P$1,W$1)</f>
        <v>#VALUE!</v>
      </c>
      <c r="X3" t="e" cm="1">
        <f t="array" aca="1" ref="X3" ca="1">TREND($K3:$P3,$K$1:$P$1,X$1)</f>
        <v>#VALUE!</v>
      </c>
      <c r="Y3" t="e" cm="1">
        <f t="array" aca="1" ref="Y3" ca="1">TREND($K3:$P3,$K$1:$P$1,Y$1)</f>
        <v>#VALUE!</v>
      </c>
      <c r="Z3" t="e" cm="1">
        <f t="array" aca="1" ref="Z3" ca="1">TREND($K3:$P3,$K$1:$P$1,Z$1)</f>
        <v>#VALUE!</v>
      </c>
      <c r="AA3" t="e" cm="1">
        <f t="array" aca="1" ref="AA3" ca="1">TREND($K3:$P3,$K$1:$P$1,AA$1)</f>
        <v>#VALUE!</v>
      </c>
      <c r="AB3" t="e" cm="1">
        <f t="array" aca="1" ref="AB3" ca="1">TREND($K3:$P3,$K$1:$P$1,AB$1)</f>
        <v>#VALUE!</v>
      </c>
      <c r="AC3" t="e" cm="1">
        <f t="array" aca="1" ref="AC3" ca="1">TREND($K3:$P3,$K$1:$P$1,AC$1)</f>
        <v>#VALUE!</v>
      </c>
      <c r="AD3" t="e" cm="1">
        <f t="array" aca="1" ref="AD3" ca="1">TREND($K3:$P3,$K$1:$P$1,AD$1)</f>
        <v>#VALUE!</v>
      </c>
      <c r="AE3" t="e" cm="1">
        <f t="array" aca="1" ref="AE3" ca="1">TREND($K3:$P3,$K$1:$P$1,AE$1)</f>
        <v>#VALUE!</v>
      </c>
      <c r="AF3" t="e" cm="1">
        <f t="array" aca="1" ref="AF3" ca="1">TREND($K3:$P3,$K$1:$P$1,AF$1)</f>
        <v>#VALUE!</v>
      </c>
      <c r="AG3" t="e" cm="1">
        <f t="array" aca="1" ref="AG3" ca="1">TREND($K3:$P3,$K$1:$P$1,AG$1)</f>
        <v>#VALUE!</v>
      </c>
      <c r="AH3" t="e" cm="1">
        <f t="array" aca="1" ref="AH3" ca="1">TREND($K3:$P3,$K$1:$P$1,AH$1)</f>
        <v>#VALUE!</v>
      </c>
      <c r="AI3" t="e" cm="1">
        <f t="array" aca="1" ref="AI3" ca="1">TREND($K3:$P3,$K$1:$P$1,AI$1)</f>
        <v>#VALUE!</v>
      </c>
      <c r="AJ3" t="e" cm="1">
        <f t="array" aca="1" ref="AJ3" ca="1">TREND($K3:$P3,$K$1:$P$1,AJ$1)</f>
        <v>#VALUE!</v>
      </c>
    </row>
    <row r="4" spans="1:36">
      <c r="A4" t="s">
        <v>77</v>
      </c>
      <c r="B4" s="32" t="e" cm="1">
        <f t="array" aca="1" ref="B4" ca="1">INDIRECT(CONCATENATE("'",HLOOKUP(B$1,$B$21:$E$23,3,FALSE),"'!",$B$25,ROW($A4)+5))*About!$A$27</f>
        <v>#VALUE!</v>
      </c>
      <c r="C4" t="e">
        <f t="shared" ca="1" si="3"/>
        <v>#VALUE!</v>
      </c>
      <c r="D4" t="e">
        <f t="shared" ca="1" si="0"/>
        <v>#VALUE!</v>
      </c>
      <c r="E4" t="e">
        <f t="shared" ca="1" si="0"/>
        <v>#VALUE!</v>
      </c>
      <c r="F4" s="32" t="e" cm="1">
        <f t="array" aca="1" ref="F4" ca="1">INDIRECT(CONCATENATE("'",HLOOKUP(F$1,$B$21:$E$23,3,FALSE),"'!",$B$25,ROW($A4)+5))*About!$A$27</f>
        <v>#VALUE!</v>
      </c>
      <c r="G4" t="e">
        <f t="shared" ca="1" si="4"/>
        <v>#VALUE!</v>
      </c>
      <c r="H4" t="e">
        <f t="shared" ca="1" si="1"/>
        <v>#VALUE!</v>
      </c>
      <c r="I4" t="e">
        <f t="shared" ca="1" si="1"/>
        <v>#VALUE!</v>
      </c>
      <c r="J4" t="e">
        <f t="shared" ca="1" si="1"/>
        <v>#VALUE!</v>
      </c>
      <c r="K4" s="32" t="e" cm="1">
        <f t="array" aca="1" ref="K4" ca="1">INDIRECT(CONCATENATE("'",HLOOKUP(K$1,$B$21:$E$23,3,FALSE),"'!",$B$25,ROW($A4)+5))*About!$A$27</f>
        <v>#VALUE!</v>
      </c>
      <c r="L4" t="e">
        <f t="shared" ca="1" si="5"/>
        <v>#VALUE!</v>
      </c>
      <c r="M4" t="e">
        <f t="shared" ca="1" si="2"/>
        <v>#VALUE!</v>
      </c>
      <c r="N4" t="e">
        <f t="shared" ca="1" si="2"/>
        <v>#VALUE!</v>
      </c>
      <c r="O4" t="e">
        <f t="shared" ca="1" si="2"/>
        <v>#VALUE!</v>
      </c>
      <c r="P4" s="32" t="e" cm="1">
        <f t="array" aca="1" ref="P4" ca="1">INDIRECT(CONCATENATE("'",HLOOKUP(P$1,$B$21:$E$23,3,FALSE),"'!",$B$25,ROW($A4)+5))*About!$A$27</f>
        <v>#VALUE!</v>
      </c>
      <c r="Q4" t="e" cm="1">
        <f t="array" aca="1" ref="Q4" ca="1">TREND($K4:$P4,$K$1:$P$1,Q$1)</f>
        <v>#VALUE!</v>
      </c>
      <c r="R4" t="e" cm="1">
        <f t="array" aca="1" ref="R4" ca="1">TREND($K4:$P4,$K$1:$P$1,R$1)</f>
        <v>#VALUE!</v>
      </c>
      <c r="S4" t="e" cm="1">
        <f t="array" aca="1" ref="S4" ca="1">TREND($K4:$P4,$K$1:$P$1,S$1)</f>
        <v>#VALUE!</v>
      </c>
      <c r="T4" t="e" cm="1">
        <f t="array" aca="1" ref="T4" ca="1">TREND($K4:$P4,$K$1:$P$1,T$1)</f>
        <v>#VALUE!</v>
      </c>
      <c r="U4" t="e" cm="1">
        <f t="array" aca="1" ref="U4" ca="1">TREND($K4:$P4,$K$1:$P$1,U$1)</f>
        <v>#VALUE!</v>
      </c>
      <c r="V4" t="e" cm="1">
        <f t="array" aca="1" ref="V4" ca="1">TREND($K4:$P4,$K$1:$P$1,V$1)</f>
        <v>#VALUE!</v>
      </c>
      <c r="W4" t="e" cm="1">
        <f t="array" aca="1" ref="W4" ca="1">TREND($K4:$P4,$K$1:$P$1,W$1)</f>
        <v>#VALUE!</v>
      </c>
      <c r="X4" t="e" cm="1">
        <f t="array" aca="1" ref="X4" ca="1">TREND($K4:$P4,$K$1:$P$1,X$1)</f>
        <v>#VALUE!</v>
      </c>
      <c r="Y4" t="e" cm="1">
        <f t="array" aca="1" ref="Y4" ca="1">TREND($K4:$P4,$K$1:$P$1,Y$1)</f>
        <v>#VALUE!</v>
      </c>
      <c r="Z4" t="e" cm="1">
        <f t="array" aca="1" ref="Z4" ca="1">TREND($K4:$P4,$K$1:$P$1,Z$1)</f>
        <v>#VALUE!</v>
      </c>
      <c r="AA4" t="e" cm="1">
        <f t="array" aca="1" ref="AA4" ca="1">TREND($K4:$P4,$K$1:$P$1,AA$1)</f>
        <v>#VALUE!</v>
      </c>
      <c r="AB4" t="e" cm="1">
        <f t="array" aca="1" ref="AB4" ca="1">TREND($K4:$P4,$K$1:$P$1,AB$1)</f>
        <v>#VALUE!</v>
      </c>
      <c r="AC4" t="e" cm="1">
        <f t="array" aca="1" ref="AC4" ca="1">TREND($K4:$P4,$K$1:$P$1,AC$1)</f>
        <v>#VALUE!</v>
      </c>
      <c r="AD4" t="e" cm="1">
        <f t="array" aca="1" ref="AD4" ca="1">TREND($K4:$P4,$K$1:$P$1,AD$1)</f>
        <v>#VALUE!</v>
      </c>
      <c r="AE4" t="e" cm="1">
        <f t="array" aca="1" ref="AE4" ca="1">TREND($K4:$P4,$K$1:$P$1,AE$1)</f>
        <v>#VALUE!</v>
      </c>
      <c r="AF4" t="e" cm="1">
        <f t="array" aca="1" ref="AF4" ca="1">TREND($K4:$P4,$K$1:$P$1,AF$1)</f>
        <v>#VALUE!</v>
      </c>
      <c r="AG4" t="e" cm="1">
        <f t="array" aca="1" ref="AG4" ca="1">TREND($K4:$P4,$K$1:$P$1,AG$1)</f>
        <v>#VALUE!</v>
      </c>
      <c r="AH4" t="e" cm="1">
        <f t="array" aca="1" ref="AH4" ca="1">TREND($K4:$P4,$K$1:$P$1,AH$1)</f>
        <v>#VALUE!</v>
      </c>
      <c r="AI4" t="e" cm="1">
        <f t="array" aca="1" ref="AI4" ca="1">TREND($K4:$P4,$K$1:$P$1,AI$1)</f>
        <v>#VALUE!</v>
      </c>
      <c r="AJ4" t="e" cm="1">
        <f t="array" aca="1" ref="AJ4" ca="1">TREND($K4:$P4,$K$1:$P$1,AJ$1)</f>
        <v>#VALUE!</v>
      </c>
    </row>
    <row r="5" spans="1:36">
      <c r="A5" t="s">
        <v>78</v>
      </c>
      <c r="B5" s="32" t="e" cm="1">
        <f t="array" aca="1" ref="B5" ca="1">INDIRECT(CONCATENATE("'",HLOOKUP(B$1,$B$21:$E$23,3,FALSE),"'!",$B$25,ROW($A5)+5))*About!$A$27</f>
        <v>#VALUE!</v>
      </c>
      <c r="C5" t="e">
        <f t="shared" ca="1" si="3"/>
        <v>#VALUE!</v>
      </c>
      <c r="D5" t="e">
        <f t="shared" ca="1" si="0"/>
        <v>#VALUE!</v>
      </c>
      <c r="E5" t="e">
        <f t="shared" ca="1" si="0"/>
        <v>#VALUE!</v>
      </c>
      <c r="F5" s="32" t="e" cm="1">
        <f t="array" aca="1" ref="F5" ca="1">INDIRECT(CONCATENATE("'",HLOOKUP(F$1,$B$21:$E$23,3,FALSE),"'!",$B$25,ROW($A5)+5))*About!$A$27</f>
        <v>#VALUE!</v>
      </c>
      <c r="G5" t="e">
        <f t="shared" ca="1" si="4"/>
        <v>#VALUE!</v>
      </c>
      <c r="H5" t="e">
        <f t="shared" ca="1" si="1"/>
        <v>#VALUE!</v>
      </c>
      <c r="I5" t="e">
        <f t="shared" ca="1" si="1"/>
        <v>#VALUE!</v>
      </c>
      <c r="J5" t="e">
        <f t="shared" ca="1" si="1"/>
        <v>#VALUE!</v>
      </c>
      <c r="K5" s="32" t="e" cm="1">
        <f t="array" aca="1" ref="K5" ca="1">INDIRECT(CONCATENATE("'",HLOOKUP(K$1,$B$21:$E$23,3,FALSE),"'!",$B$25,ROW($A5)+5))*About!$A$27</f>
        <v>#VALUE!</v>
      </c>
      <c r="L5" t="e">
        <f t="shared" ca="1" si="5"/>
        <v>#VALUE!</v>
      </c>
      <c r="M5" t="e">
        <f t="shared" ca="1" si="2"/>
        <v>#VALUE!</v>
      </c>
      <c r="N5" t="e">
        <f t="shared" ca="1" si="2"/>
        <v>#VALUE!</v>
      </c>
      <c r="O5" t="e">
        <f t="shared" ca="1" si="2"/>
        <v>#VALUE!</v>
      </c>
      <c r="P5" s="32" t="e" cm="1">
        <f t="array" aca="1" ref="P5" ca="1">INDIRECT(CONCATENATE("'",HLOOKUP(P$1,$B$21:$E$23,3,FALSE),"'!",$B$25,ROW($A5)+5))*About!$A$27</f>
        <v>#VALUE!</v>
      </c>
      <c r="Q5" t="e" cm="1">
        <f t="array" aca="1" ref="Q5" ca="1">TREND($K5:$P5,$K$1:$P$1,Q$1)</f>
        <v>#VALUE!</v>
      </c>
      <c r="R5" t="e" cm="1">
        <f t="array" aca="1" ref="R5" ca="1">TREND($K5:$P5,$K$1:$P$1,R$1)</f>
        <v>#VALUE!</v>
      </c>
      <c r="S5" t="e" cm="1">
        <f t="array" aca="1" ref="S5" ca="1">TREND($K5:$P5,$K$1:$P$1,S$1)</f>
        <v>#VALUE!</v>
      </c>
      <c r="T5" t="e" cm="1">
        <f t="array" aca="1" ref="T5" ca="1">TREND($K5:$P5,$K$1:$P$1,T$1)</f>
        <v>#VALUE!</v>
      </c>
      <c r="U5" t="e" cm="1">
        <f t="array" aca="1" ref="U5" ca="1">TREND($K5:$P5,$K$1:$P$1,U$1)</f>
        <v>#VALUE!</v>
      </c>
      <c r="V5" t="e" cm="1">
        <f t="array" aca="1" ref="V5" ca="1">TREND($K5:$P5,$K$1:$P$1,V$1)</f>
        <v>#VALUE!</v>
      </c>
      <c r="W5" t="e" cm="1">
        <f t="array" aca="1" ref="W5" ca="1">TREND($K5:$P5,$K$1:$P$1,W$1)</f>
        <v>#VALUE!</v>
      </c>
      <c r="X5" t="e" cm="1">
        <f t="array" aca="1" ref="X5" ca="1">TREND($K5:$P5,$K$1:$P$1,X$1)</f>
        <v>#VALUE!</v>
      </c>
      <c r="Y5" t="e" cm="1">
        <f t="array" aca="1" ref="Y5" ca="1">TREND($K5:$P5,$K$1:$P$1,Y$1)</f>
        <v>#VALUE!</v>
      </c>
      <c r="Z5" t="e" cm="1">
        <f t="array" aca="1" ref="Z5" ca="1">TREND($K5:$P5,$K$1:$P$1,Z$1)</f>
        <v>#VALUE!</v>
      </c>
      <c r="AA5" t="e" cm="1">
        <f t="array" aca="1" ref="AA5" ca="1">TREND($K5:$P5,$K$1:$P$1,AA$1)</f>
        <v>#VALUE!</v>
      </c>
      <c r="AB5" t="e" cm="1">
        <f t="array" aca="1" ref="AB5" ca="1">TREND($K5:$P5,$K$1:$P$1,AB$1)</f>
        <v>#VALUE!</v>
      </c>
      <c r="AC5" t="e" cm="1">
        <f t="array" aca="1" ref="AC5" ca="1">TREND($K5:$P5,$K$1:$P$1,AC$1)</f>
        <v>#VALUE!</v>
      </c>
      <c r="AD5" t="e" cm="1">
        <f t="array" aca="1" ref="AD5" ca="1">TREND($K5:$P5,$K$1:$P$1,AD$1)</f>
        <v>#VALUE!</v>
      </c>
      <c r="AE5" t="e" cm="1">
        <f t="array" aca="1" ref="AE5" ca="1">TREND($K5:$P5,$K$1:$P$1,AE$1)</f>
        <v>#VALUE!</v>
      </c>
      <c r="AF5" t="e" cm="1">
        <f t="array" aca="1" ref="AF5" ca="1">TREND($K5:$P5,$K$1:$P$1,AF$1)</f>
        <v>#VALUE!</v>
      </c>
      <c r="AG5" t="e" cm="1">
        <f t="array" aca="1" ref="AG5" ca="1">TREND($K5:$P5,$K$1:$P$1,AG$1)</f>
        <v>#VALUE!</v>
      </c>
      <c r="AH5" t="e" cm="1">
        <f t="array" aca="1" ref="AH5" ca="1">TREND($K5:$P5,$K$1:$P$1,AH$1)</f>
        <v>#VALUE!</v>
      </c>
      <c r="AI5" t="e" cm="1">
        <f t="array" aca="1" ref="AI5" ca="1">TREND($K5:$P5,$K$1:$P$1,AI$1)</f>
        <v>#VALUE!</v>
      </c>
      <c r="AJ5" t="e" cm="1">
        <f t="array" aca="1" ref="AJ5" ca="1">TREND($K5:$P5,$K$1:$P$1,AJ$1)</f>
        <v>#VALUE!</v>
      </c>
    </row>
    <row r="6" spans="1:36">
      <c r="A6" t="s">
        <v>79</v>
      </c>
      <c r="B6" s="32" t="e" cm="1">
        <f t="array" aca="1" ref="B6" ca="1">INDIRECT(CONCATENATE("'",HLOOKUP(B$1,$B$21:$E$23,3,FALSE),"'!",$B$25,ROW($A6)+5))*About!$A$27</f>
        <v>#VALUE!</v>
      </c>
      <c r="C6" t="e">
        <f t="shared" ca="1" si="3"/>
        <v>#VALUE!</v>
      </c>
      <c r="D6" t="e">
        <f t="shared" ca="1" si="0"/>
        <v>#VALUE!</v>
      </c>
      <c r="E6" t="e">
        <f t="shared" ca="1" si="0"/>
        <v>#VALUE!</v>
      </c>
      <c r="F6" s="32" t="e" cm="1">
        <f t="array" aca="1" ref="F6" ca="1">INDIRECT(CONCATENATE("'",HLOOKUP(F$1,$B$21:$E$23,3,FALSE),"'!",$B$25,ROW($A6)+5))*About!$A$27</f>
        <v>#VALUE!</v>
      </c>
      <c r="G6" t="e">
        <f t="shared" ca="1" si="4"/>
        <v>#VALUE!</v>
      </c>
      <c r="H6" t="e">
        <f t="shared" ca="1" si="1"/>
        <v>#VALUE!</v>
      </c>
      <c r="I6" t="e">
        <f t="shared" ca="1" si="1"/>
        <v>#VALUE!</v>
      </c>
      <c r="J6" t="e">
        <f t="shared" ca="1" si="1"/>
        <v>#VALUE!</v>
      </c>
      <c r="K6" s="32" t="e" cm="1">
        <f t="array" aca="1" ref="K6" ca="1">INDIRECT(CONCATENATE("'",HLOOKUP(K$1,$B$21:$E$23,3,FALSE),"'!",$B$25,ROW($A6)+5))*About!$A$27</f>
        <v>#VALUE!</v>
      </c>
      <c r="L6" t="e">
        <f t="shared" ca="1" si="5"/>
        <v>#VALUE!</v>
      </c>
      <c r="M6" t="e">
        <f t="shared" ca="1" si="2"/>
        <v>#VALUE!</v>
      </c>
      <c r="N6" t="e">
        <f t="shared" ca="1" si="2"/>
        <v>#VALUE!</v>
      </c>
      <c r="O6" t="e">
        <f t="shared" ca="1" si="2"/>
        <v>#VALUE!</v>
      </c>
      <c r="P6" s="32" t="e" cm="1">
        <f t="array" aca="1" ref="P6" ca="1">INDIRECT(CONCATENATE("'",HLOOKUP(P$1,$B$21:$E$23,3,FALSE),"'!",$B$25,ROW($A6)+5))*About!$A$27</f>
        <v>#VALUE!</v>
      </c>
      <c r="Q6" t="e" cm="1">
        <f t="array" aca="1" ref="Q6" ca="1">TREND($K6:$P6,$K$1:$P$1,Q$1)</f>
        <v>#VALUE!</v>
      </c>
      <c r="R6" t="e" cm="1">
        <f t="array" aca="1" ref="R6" ca="1">TREND($K6:$P6,$K$1:$P$1,R$1)</f>
        <v>#VALUE!</v>
      </c>
      <c r="S6" t="e" cm="1">
        <f t="array" aca="1" ref="S6" ca="1">TREND($K6:$P6,$K$1:$P$1,S$1)</f>
        <v>#VALUE!</v>
      </c>
      <c r="T6" t="e" cm="1">
        <f t="array" aca="1" ref="T6" ca="1">TREND($K6:$P6,$K$1:$P$1,T$1)</f>
        <v>#VALUE!</v>
      </c>
      <c r="U6" t="e" cm="1">
        <f t="array" aca="1" ref="U6" ca="1">TREND($K6:$P6,$K$1:$P$1,U$1)</f>
        <v>#VALUE!</v>
      </c>
      <c r="V6" t="e" cm="1">
        <f t="array" aca="1" ref="V6" ca="1">TREND($K6:$P6,$K$1:$P$1,V$1)</f>
        <v>#VALUE!</v>
      </c>
      <c r="W6" t="e" cm="1">
        <f t="array" aca="1" ref="W6" ca="1">TREND($K6:$P6,$K$1:$P$1,W$1)</f>
        <v>#VALUE!</v>
      </c>
      <c r="X6" t="e" cm="1">
        <f t="array" aca="1" ref="X6" ca="1">TREND($K6:$P6,$K$1:$P$1,X$1)</f>
        <v>#VALUE!</v>
      </c>
      <c r="Y6" t="e" cm="1">
        <f t="array" aca="1" ref="Y6" ca="1">TREND($K6:$P6,$K$1:$P$1,Y$1)</f>
        <v>#VALUE!</v>
      </c>
      <c r="Z6" t="e" cm="1">
        <f t="array" aca="1" ref="Z6" ca="1">TREND($K6:$P6,$K$1:$P$1,Z$1)</f>
        <v>#VALUE!</v>
      </c>
      <c r="AA6" t="e" cm="1">
        <f t="array" aca="1" ref="AA6" ca="1">TREND($K6:$P6,$K$1:$P$1,AA$1)</f>
        <v>#VALUE!</v>
      </c>
      <c r="AB6" t="e" cm="1">
        <f t="array" aca="1" ref="AB6" ca="1">TREND($K6:$P6,$K$1:$P$1,AB$1)</f>
        <v>#VALUE!</v>
      </c>
      <c r="AC6" t="e" cm="1">
        <f t="array" aca="1" ref="AC6" ca="1">TREND($K6:$P6,$K$1:$P$1,AC$1)</f>
        <v>#VALUE!</v>
      </c>
      <c r="AD6" t="e" cm="1">
        <f t="array" aca="1" ref="AD6" ca="1">TREND($K6:$P6,$K$1:$P$1,AD$1)</f>
        <v>#VALUE!</v>
      </c>
      <c r="AE6" t="e" cm="1">
        <f t="array" aca="1" ref="AE6" ca="1">TREND($K6:$P6,$K$1:$P$1,AE$1)</f>
        <v>#VALUE!</v>
      </c>
      <c r="AF6" t="e" cm="1">
        <f t="array" aca="1" ref="AF6" ca="1">TREND($K6:$P6,$K$1:$P$1,AF$1)</f>
        <v>#VALUE!</v>
      </c>
      <c r="AG6" t="e" cm="1">
        <f t="array" aca="1" ref="AG6" ca="1">TREND($K6:$P6,$K$1:$P$1,AG$1)</f>
        <v>#VALUE!</v>
      </c>
      <c r="AH6" t="e" cm="1">
        <f t="array" aca="1" ref="AH6" ca="1">TREND($K6:$P6,$K$1:$P$1,AH$1)</f>
        <v>#VALUE!</v>
      </c>
      <c r="AI6" t="e" cm="1">
        <f t="array" aca="1" ref="AI6" ca="1">TREND($K6:$P6,$K$1:$P$1,AI$1)</f>
        <v>#VALUE!</v>
      </c>
      <c r="AJ6" t="e" cm="1">
        <f t="array" aca="1" ref="AJ6" ca="1">TREND($K6:$P6,$K$1:$P$1,AJ$1)</f>
        <v>#VALUE!</v>
      </c>
    </row>
    <row r="7" spans="1:36">
      <c r="A7" t="s">
        <v>80</v>
      </c>
      <c r="B7" s="32" t="e" cm="1">
        <f t="array" aca="1" ref="B7" ca="1">INDIRECT(CONCATENATE("'",HLOOKUP(B$1,$B$21:$E$23,3,FALSE),"'!",$B$25,ROW($A7)+5))*About!$A$27</f>
        <v>#VALUE!</v>
      </c>
      <c r="C7" t="e">
        <f t="shared" ca="1" si="3"/>
        <v>#VALUE!</v>
      </c>
      <c r="D7" t="e">
        <f t="shared" ca="1" si="0"/>
        <v>#VALUE!</v>
      </c>
      <c r="E7" t="e">
        <f t="shared" ca="1" si="0"/>
        <v>#VALUE!</v>
      </c>
      <c r="F7" s="32" t="e" cm="1">
        <f t="array" aca="1" ref="F7" ca="1">INDIRECT(CONCATENATE("'",HLOOKUP(F$1,$B$21:$E$23,3,FALSE),"'!",$B$25,ROW($A7)+5))*About!$A$27</f>
        <v>#VALUE!</v>
      </c>
      <c r="G7" t="e">
        <f t="shared" ca="1" si="4"/>
        <v>#VALUE!</v>
      </c>
      <c r="H7" t="e">
        <f t="shared" ca="1" si="1"/>
        <v>#VALUE!</v>
      </c>
      <c r="I7" t="e">
        <f t="shared" ca="1" si="1"/>
        <v>#VALUE!</v>
      </c>
      <c r="J7" t="e">
        <f t="shared" ca="1" si="1"/>
        <v>#VALUE!</v>
      </c>
      <c r="K7" s="32" t="e" cm="1">
        <f t="array" aca="1" ref="K7" ca="1">INDIRECT(CONCATENATE("'",HLOOKUP(K$1,$B$21:$E$23,3,FALSE),"'!",$B$25,ROW($A7)+5))*About!$A$27</f>
        <v>#VALUE!</v>
      </c>
      <c r="L7" t="e">
        <f t="shared" ca="1" si="5"/>
        <v>#VALUE!</v>
      </c>
      <c r="M7" t="e">
        <f t="shared" ca="1" si="2"/>
        <v>#VALUE!</v>
      </c>
      <c r="N7" t="e">
        <f t="shared" ca="1" si="2"/>
        <v>#VALUE!</v>
      </c>
      <c r="O7" t="e">
        <f t="shared" ca="1" si="2"/>
        <v>#VALUE!</v>
      </c>
      <c r="P7" s="32" t="e" cm="1">
        <f t="array" aca="1" ref="P7" ca="1">INDIRECT(CONCATENATE("'",HLOOKUP(P$1,$B$21:$E$23,3,FALSE),"'!",$B$25,ROW($A7)+5))*About!$A$27</f>
        <v>#VALUE!</v>
      </c>
      <c r="Q7" t="e" cm="1">
        <f t="array" aca="1" ref="Q7" ca="1">TREND($K7:$P7,$K$1:$P$1,Q$1)</f>
        <v>#VALUE!</v>
      </c>
      <c r="R7" t="e" cm="1">
        <f t="array" aca="1" ref="R7" ca="1">TREND($K7:$P7,$K$1:$P$1,R$1)</f>
        <v>#VALUE!</v>
      </c>
      <c r="S7" t="e" cm="1">
        <f t="array" aca="1" ref="S7" ca="1">TREND($K7:$P7,$K$1:$P$1,S$1)</f>
        <v>#VALUE!</v>
      </c>
      <c r="T7" t="e" cm="1">
        <f t="array" aca="1" ref="T7" ca="1">TREND($K7:$P7,$K$1:$P$1,T$1)</f>
        <v>#VALUE!</v>
      </c>
      <c r="U7" t="e" cm="1">
        <f t="array" aca="1" ref="U7" ca="1">TREND($K7:$P7,$K$1:$P$1,U$1)</f>
        <v>#VALUE!</v>
      </c>
      <c r="V7" t="e" cm="1">
        <f t="array" aca="1" ref="V7" ca="1">TREND($K7:$P7,$K$1:$P$1,V$1)</f>
        <v>#VALUE!</v>
      </c>
      <c r="W7" t="e" cm="1">
        <f t="array" aca="1" ref="W7" ca="1">TREND($K7:$P7,$K$1:$P$1,W$1)</f>
        <v>#VALUE!</v>
      </c>
      <c r="X7" t="e" cm="1">
        <f t="array" aca="1" ref="X7" ca="1">TREND($K7:$P7,$K$1:$P$1,X$1)</f>
        <v>#VALUE!</v>
      </c>
      <c r="Y7" t="e" cm="1">
        <f t="array" aca="1" ref="Y7" ca="1">TREND($K7:$P7,$K$1:$P$1,Y$1)</f>
        <v>#VALUE!</v>
      </c>
      <c r="Z7" t="e" cm="1">
        <f t="array" aca="1" ref="Z7" ca="1">TREND($K7:$P7,$K$1:$P$1,Z$1)</f>
        <v>#VALUE!</v>
      </c>
      <c r="AA7" t="e" cm="1">
        <f t="array" aca="1" ref="AA7" ca="1">TREND($K7:$P7,$K$1:$P$1,AA$1)</f>
        <v>#VALUE!</v>
      </c>
      <c r="AB7" t="e" cm="1">
        <f t="array" aca="1" ref="AB7" ca="1">TREND($K7:$P7,$K$1:$P$1,AB$1)</f>
        <v>#VALUE!</v>
      </c>
      <c r="AC7" t="e" cm="1">
        <f t="array" aca="1" ref="AC7" ca="1">TREND($K7:$P7,$K$1:$P$1,AC$1)</f>
        <v>#VALUE!</v>
      </c>
      <c r="AD7" t="e" cm="1">
        <f t="array" aca="1" ref="AD7" ca="1">TREND($K7:$P7,$K$1:$P$1,AD$1)</f>
        <v>#VALUE!</v>
      </c>
      <c r="AE7" t="e" cm="1">
        <f t="array" aca="1" ref="AE7" ca="1">TREND($K7:$P7,$K$1:$P$1,AE$1)</f>
        <v>#VALUE!</v>
      </c>
      <c r="AF7" t="e" cm="1">
        <f t="array" aca="1" ref="AF7" ca="1">TREND($K7:$P7,$K$1:$P$1,AF$1)</f>
        <v>#VALUE!</v>
      </c>
      <c r="AG7" t="e" cm="1">
        <f t="array" aca="1" ref="AG7" ca="1">TREND($K7:$P7,$K$1:$P$1,AG$1)</f>
        <v>#VALUE!</v>
      </c>
      <c r="AH7" t="e" cm="1">
        <f t="array" aca="1" ref="AH7" ca="1">TREND($K7:$P7,$K$1:$P$1,AH$1)</f>
        <v>#VALUE!</v>
      </c>
      <c r="AI7" t="e" cm="1">
        <f t="array" aca="1" ref="AI7" ca="1">TREND($K7:$P7,$K$1:$P$1,AI$1)</f>
        <v>#VALUE!</v>
      </c>
      <c r="AJ7" t="e" cm="1">
        <f t="array" aca="1" ref="AJ7" ca="1">TREND($K7:$P7,$K$1:$P$1,AJ$1)</f>
        <v>#VALUE!</v>
      </c>
    </row>
    <row r="8" spans="1:36">
      <c r="A8" t="s">
        <v>81</v>
      </c>
      <c r="B8" s="32" t="e" cm="1">
        <f t="array" aca="1" ref="B8" ca="1">INDIRECT(CONCATENATE("'",HLOOKUP(B$1,$B$21:$E$23,3,FALSE),"'!",$B$25,ROW($A8)+5))*About!$A$27</f>
        <v>#VALUE!</v>
      </c>
      <c r="C8" t="e">
        <f t="shared" ca="1" si="3"/>
        <v>#VALUE!</v>
      </c>
      <c r="D8" t="e">
        <f t="shared" ca="1" si="0"/>
        <v>#VALUE!</v>
      </c>
      <c r="E8" t="e">
        <f t="shared" ca="1" si="0"/>
        <v>#VALUE!</v>
      </c>
      <c r="F8" s="32" t="e" cm="1">
        <f t="array" aca="1" ref="F8" ca="1">INDIRECT(CONCATENATE("'",HLOOKUP(F$1,$B$21:$E$23,3,FALSE),"'!",$B$25,ROW($A8)+5))*About!$A$27</f>
        <v>#VALUE!</v>
      </c>
      <c r="G8" t="e">
        <f t="shared" ca="1" si="4"/>
        <v>#VALUE!</v>
      </c>
      <c r="H8" t="e">
        <f t="shared" ca="1" si="1"/>
        <v>#VALUE!</v>
      </c>
      <c r="I8" t="e">
        <f t="shared" ca="1" si="1"/>
        <v>#VALUE!</v>
      </c>
      <c r="J8" t="e">
        <f t="shared" ca="1" si="1"/>
        <v>#VALUE!</v>
      </c>
      <c r="K8" s="32" t="e" cm="1">
        <f t="array" aca="1" ref="K8" ca="1">INDIRECT(CONCATENATE("'",HLOOKUP(K$1,$B$21:$E$23,3,FALSE),"'!",$B$25,ROW($A8)+5))*About!$A$27</f>
        <v>#VALUE!</v>
      </c>
      <c r="L8" t="e">
        <f t="shared" ca="1" si="5"/>
        <v>#VALUE!</v>
      </c>
      <c r="M8" t="e">
        <f t="shared" ca="1" si="2"/>
        <v>#VALUE!</v>
      </c>
      <c r="N8" t="e">
        <f t="shared" ca="1" si="2"/>
        <v>#VALUE!</v>
      </c>
      <c r="O8" t="e">
        <f t="shared" ca="1" si="2"/>
        <v>#VALUE!</v>
      </c>
      <c r="P8" s="32" t="e" cm="1">
        <f t="array" aca="1" ref="P8" ca="1">INDIRECT(CONCATENATE("'",HLOOKUP(P$1,$B$21:$E$23,3,FALSE),"'!",$B$25,ROW($A8)+5))*About!$A$27</f>
        <v>#VALUE!</v>
      </c>
      <c r="Q8" t="e" cm="1">
        <f t="array" aca="1" ref="Q8" ca="1">TREND($K8:$P8,$K$1:$P$1,Q$1)</f>
        <v>#VALUE!</v>
      </c>
      <c r="R8" t="e" cm="1">
        <f t="array" aca="1" ref="R8" ca="1">TREND($K8:$P8,$K$1:$P$1,R$1)</f>
        <v>#VALUE!</v>
      </c>
      <c r="S8" t="e" cm="1">
        <f t="array" aca="1" ref="S8" ca="1">TREND($K8:$P8,$K$1:$P$1,S$1)</f>
        <v>#VALUE!</v>
      </c>
      <c r="T8" t="e" cm="1">
        <f t="array" aca="1" ref="T8" ca="1">TREND($K8:$P8,$K$1:$P$1,T$1)</f>
        <v>#VALUE!</v>
      </c>
      <c r="U8" t="e" cm="1">
        <f t="array" aca="1" ref="U8" ca="1">TREND($K8:$P8,$K$1:$P$1,U$1)</f>
        <v>#VALUE!</v>
      </c>
      <c r="V8" t="e" cm="1">
        <f t="array" aca="1" ref="V8" ca="1">TREND($K8:$P8,$K$1:$P$1,V$1)</f>
        <v>#VALUE!</v>
      </c>
      <c r="W8" t="e" cm="1">
        <f t="array" aca="1" ref="W8" ca="1">TREND($K8:$P8,$K$1:$P$1,W$1)</f>
        <v>#VALUE!</v>
      </c>
      <c r="X8" t="e" cm="1">
        <f t="array" aca="1" ref="X8" ca="1">TREND($K8:$P8,$K$1:$P$1,X$1)</f>
        <v>#VALUE!</v>
      </c>
      <c r="Y8" t="e" cm="1">
        <f t="array" aca="1" ref="Y8" ca="1">TREND($K8:$P8,$K$1:$P$1,Y$1)</f>
        <v>#VALUE!</v>
      </c>
      <c r="Z8" t="e" cm="1">
        <f t="array" aca="1" ref="Z8" ca="1">TREND($K8:$P8,$K$1:$P$1,Z$1)</f>
        <v>#VALUE!</v>
      </c>
      <c r="AA8" t="e" cm="1">
        <f t="array" aca="1" ref="AA8" ca="1">TREND($K8:$P8,$K$1:$P$1,AA$1)</f>
        <v>#VALUE!</v>
      </c>
      <c r="AB8" t="e" cm="1">
        <f t="array" aca="1" ref="AB8" ca="1">TREND($K8:$P8,$K$1:$P$1,AB$1)</f>
        <v>#VALUE!</v>
      </c>
      <c r="AC8" t="e" cm="1">
        <f t="array" aca="1" ref="AC8" ca="1">TREND($K8:$P8,$K$1:$P$1,AC$1)</f>
        <v>#VALUE!</v>
      </c>
      <c r="AD8" t="e" cm="1">
        <f t="array" aca="1" ref="AD8" ca="1">TREND($K8:$P8,$K$1:$P$1,AD$1)</f>
        <v>#VALUE!</v>
      </c>
      <c r="AE8" t="e" cm="1">
        <f t="array" aca="1" ref="AE8" ca="1">TREND($K8:$P8,$K$1:$P$1,AE$1)</f>
        <v>#VALUE!</v>
      </c>
      <c r="AF8" t="e" cm="1">
        <f t="array" aca="1" ref="AF8" ca="1">TREND($K8:$P8,$K$1:$P$1,AF$1)</f>
        <v>#VALUE!</v>
      </c>
      <c r="AG8" t="e" cm="1">
        <f t="array" aca="1" ref="AG8" ca="1">TREND($K8:$P8,$K$1:$P$1,AG$1)</f>
        <v>#VALUE!</v>
      </c>
      <c r="AH8" t="e" cm="1">
        <f t="array" aca="1" ref="AH8" ca="1">TREND($K8:$P8,$K$1:$P$1,AH$1)</f>
        <v>#VALUE!</v>
      </c>
      <c r="AI8" t="e" cm="1">
        <f t="array" aca="1" ref="AI8" ca="1">TREND($K8:$P8,$K$1:$P$1,AI$1)</f>
        <v>#VALUE!</v>
      </c>
      <c r="AJ8" t="e" cm="1">
        <f t="array" aca="1" ref="AJ8" ca="1">TREND($K8:$P8,$K$1:$P$1,AJ$1)</f>
        <v>#VALUE!</v>
      </c>
    </row>
    <row r="9" spans="1:36">
      <c r="A9" t="s">
        <v>82</v>
      </c>
      <c r="B9" s="32" t="e" cm="1">
        <f t="array" aca="1" ref="B9" ca="1">INDIRECT(CONCATENATE("'",HLOOKUP(B$1,$B$21:$E$23,3,FALSE),"'!",$B$25,ROW($A9)+5))*About!$A$27</f>
        <v>#VALUE!</v>
      </c>
      <c r="C9" t="e">
        <f t="shared" ca="1" si="3"/>
        <v>#VALUE!</v>
      </c>
      <c r="D9" t="e">
        <f t="shared" ca="1" si="0"/>
        <v>#VALUE!</v>
      </c>
      <c r="E9" t="e">
        <f t="shared" ca="1" si="0"/>
        <v>#VALUE!</v>
      </c>
      <c r="F9" s="32" t="e" cm="1">
        <f t="array" aca="1" ref="F9" ca="1">INDIRECT(CONCATENATE("'",HLOOKUP(F$1,$B$21:$E$23,3,FALSE),"'!",$B$25,ROW($A9)+5))*About!$A$27</f>
        <v>#VALUE!</v>
      </c>
      <c r="G9" t="e">
        <f t="shared" ca="1" si="4"/>
        <v>#VALUE!</v>
      </c>
      <c r="H9" t="e">
        <f t="shared" ca="1" si="1"/>
        <v>#VALUE!</v>
      </c>
      <c r="I9" t="e">
        <f t="shared" ca="1" si="1"/>
        <v>#VALUE!</v>
      </c>
      <c r="J9" t="e">
        <f t="shared" ca="1" si="1"/>
        <v>#VALUE!</v>
      </c>
      <c r="K9" s="32" t="e" cm="1">
        <f t="array" aca="1" ref="K9" ca="1">INDIRECT(CONCATENATE("'",HLOOKUP(K$1,$B$21:$E$23,3,FALSE),"'!",$B$25,ROW($A9)+5))*About!$A$27</f>
        <v>#VALUE!</v>
      </c>
      <c r="L9" t="e">
        <f t="shared" ca="1" si="5"/>
        <v>#VALUE!</v>
      </c>
      <c r="M9" t="e">
        <f t="shared" ca="1" si="2"/>
        <v>#VALUE!</v>
      </c>
      <c r="N9" t="e">
        <f t="shared" ca="1" si="2"/>
        <v>#VALUE!</v>
      </c>
      <c r="O9" t="e">
        <f t="shared" ca="1" si="2"/>
        <v>#VALUE!</v>
      </c>
      <c r="P9" s="32" t="e" cm="1">
        <f t="array" aca="1" ref="P9" ca="1">INDIRECT(CONCATENATE("'",HLOOKUP(P$1,$B$21:$E$23,3,FALSE),"'!",$B$25,ROW($A9)+5))*About!$A$27</f>
        <v>#VALUE!</v>
      </c>
      <c r="Q9" t="e" cm="1">
        <f t="array" aca="1" ref="Q9" ca="1">TREND($K9:$P9,$K$1:$P$1,Q$1)</f>
        <v>#VALUE!</v>
      </c>
      <c r="R9" t="e" cm="1">
        <f t="array" aca="1" ref="R9" ca="1">TREND($K9:$P9,$K$1:$P$1,R$1)</f>
        <v>#VALUE!</v>
      </c>
      <c r="S9" t="e" cm="1">
        <f t="array" aca="1" ref="S9" ca="1">TREND($K9:$P9,$K$1:$P$1,S$1)</f>
        <v>#VALUE!</v>
      </c>
      <c r="T9" t="e" cm="1">
        <f t="array" aca="1" ref="T9" ca="1">TREND($K9:$P9,$K$1:$P$1,T$1)</f>
        <v>#VALUE!</v>
      </c>
      <c r="U9" t="e" cm="1">
        <f t="array" aca="1" ref="U9" ca="1">TREND($K9:$P9,$K$1:$P$1,U$1)</f>
        <v>#VALUE!</v>
      </c>
      <c r="V9" t="e" cm="1">
        <f t="array" aca="1" ref="V9" ca="1">TREND($K9:$P9,$K$1:$P$1,V$1)</f>
        <v>#VALUE!</v>
      </c>
      <c r="W9" t="e" cm="1">
        <f t="array" aca="1" ref="W9" ca="1">TREND($K9:$P9,$K$1:$P$1,W$1)</f>
        <v>#VALUE!</v>
      </c>
      <c r="X9" t="e" cm="1">
        <f t="array" aca="1" ref="X9" ca="1">TREND($K9:$P9,$K$1:$P$1,X$1)</f>
        <v>#VALUE!</v>
      </c>
      <c r="Y9" t="e" cm="1">
        <f t="array" aca="1" ref="Y9" ca="1">TREND($K9:$P9,$K$1:$P$1,Y$1)</f>
        <v>#VALUE!</v>
      </c>
      <c r="Z9" t="e" cm="1">
        <f t="array" aca="1" ref="Z9" ca="1">TREND($K9:$P9,$K$1:$P$1,Z$1)</f>
        <v>#VALUE!</v>
      </c>
      <c r="AA9" t="e" cm="1">
        <f t="array" aca="1" ref="AA9" ca="1">TREND($K9:$P9,$K$1:$P$1,AA$1)</f>
        <v>#VALUE!</v>
      </c>
      <c r="AB9" t="e" cm="1">
        <f t="array" aca="1" ref="AB9" ca="1">TREND($K9:$P9,$K$1:$P$1,AB$1)</f>
        <v>#VALUE!</v>
      </c>
      <c r="AC9" t="e" cm="1">
        <f t="array" aca="1" ref="AC9" ca="1">TREND($K9:$P9,$K$1:$P$1,AC$1)</f>
        <v>#VALUE!</v>
      </c>
      <c r="AD9" t="e" cm="1">
        <f t="array" aca="1" ref="AD9" ca="1">TREND($K9:$P9,$K$1:$P$1,AD$1)</f>
        <v>#VALUE!</v>
      </c>
      <c r="AE9" t="e" cm="1">
        <f t="array" aca="1" ref="AE9" ca="1">TREND($K9:$P9,$K$1:$P$1,AE$1)</f>
        <v>#VALUE!</v>
      </c>
      <c r="AF9" t="e" cm="1">
        <f t="array" aca="1" ref="AF9" ca="1">TREND($K9:$P9,$K$1:$P$1,AF$1)</f>
        <v>#VALUE!</v>
      </c>
      <c r="AG9" t="e" cm="1">
        <f t="array" aca="1" ref="AG9" ca="1">TREND($K9:$P9,$K$1:$P$1,AG$1)</f>
        <v>#VALUE!</v>
      </c>
      <c r="AH9" t="e" cm="1">
        <f t="array" aca="1" ref="AH9" ca="1">TREND($K9:$P9,$K$1:$P$1,AH$1)</f>
        <v>#VALUE!</v>
      </c>
      <c r="AI9" t="e" cm="1">
        <f t="array" aca="1" ref="AI9" ca="1">TREND($K9:$P9,$K$1:$P$1,AI$1)</f>
        <v>#VALUE!</v>
      </c>
      <c r="AJ9" t="e" cm="1">
        <f t="array" aca="1" ref="AJ9" ca="1">TREND($K9:$P9,$K$1:$P$1,AJ$1)</f>
        <v>#VALUE!</v>
      </c>
    </row>
    <row r="10" spans="1:36">
      <c r="A10" t="s">
        <v>83</v>
      </c>
      <c r="B10" s="32" t="e" cm="1">
        <f t="array" aca="1" ref="B10" ca="1">INDIRECT(CONCATENATE("'",HLOOKUP(B$1,$B$21:$E$23,3,FALSE),"'!",$B$25,ROW($A10)+5))*About!$A$27</f>
        <v>#VALUE!</v>
      </c>
      <c r="C10" t="e">
        <f t="shared" ca="1" si="3"/>
        <v>#VALUE!</v>
      </c>
      <c r="D10" t="e">
        <f t="shared" ca="1" si="0"/>
        <v>#VALUE!</v>
      </c>
      <c r="E10" t="e">
        <f t="shared" ca="1" si="0"/>
        <v>#VALUE!</v>
      </c>
      <c r="F10" s="32" t="e" cm="1">
        <f t="array" aca="1" ref="F10" ca="1">INDIRECT(CONCATENATE("'",HLOOKUP(F$1,$B$21:$E$23,3,FALSE),"'!",$B$25,ROW($A10)+5))*About!$A$27</f>
        <v>#VALUE!</v>
      </c>
      <c r="G10" t="e">
        <f t="shared" ca="1" si="4"/>
        <v>#VALUE!</v>
      </c>
      <c r="H10" t="e">
        <f t="shared" ca="1" si="1"/>
        <v>#VALUE!</v>
      </c>
      <c r="I10" t="e">
        <f t="shared" ca="1" si="1"/>
        <v>#VALUE!</v>
      </c>
      <c r="J10" t="e">
        <f t="shared" ca="1" si="1"/>
        <v>#VALUE!</v>
      </c>
      <c r="K10" s="32" t="e" cm="1">
        <f t="array" aca="1" ref="K10" ca="1">INDIRECT(CONCATENATE("'",HLOOKUP(K$1,$B$21:$E$23,3,FALSE),"'!",$B$25,ROW($A10)+5))*About!$A$27</f>
        <v>#VALUE!</v>
      </c>
      <c r="L10" t="e">
        <f t="shared" ca="1" si="5"/>
        <v>#VALUE!</v>
      </c>
      <c r="M10" t="e">
        <f t="shared" ca="1" si="2"/>
        <v>#VALUE!</v>
      </c>
      <c r="N10" t="e">
        <f t="shared" ca="1" si="2"/>
        <v>#VALUE!</v>
      </c>
      <c r="O10" t="e">
        <f t="shared" ca="1" si="2"/>
        <v>#VALUE!</v>
      </c>
      <c r="P10" s="32" t="e" cm="1">
        <f t="array" aca="1" ref="P10" ca="1">INDIRECT(CONCATENATE("'",HLOOKUP(P$1,$B$21:$E$23,3,FALSE),"'!",$B$25,ROW($A10)+5))*About!$A$27</f>
        <v>#VALUE!</v>
      </c>
      <c r="Q10" t="e" cm="1">
        <f t="array" aca="1" ref="Q10" ca="1">TREND($K10:$P10,$K$1:$P$1,Q$1)</f>
        <v>#VALUE!</v>
      </c>
      <c r="R10" t="e" cm="1">
        <f t="array" aca="1" ref="R10" ca="1">TREND($K10:$P10,$K$1:$P$1,R$1)</f>
        <v>#VALUE!</v>
      </c>
      <c r="S10" t="e" cm="1">
        <f t="array" aca="1" ref="S10" ca="1">TREND($K10:$P10,$K$1:$P$1,S$1)</f>
        <v>#VALUE!</v>
      </c>
      <c r="T10" t="e" cm="1">
        <f t="array" aca="1" ref="T10" ca="1">TREND($K10:$P10,$K$1:$P$1,T$1)</f>
        <v>#VALUE!</v>
      </c>
      <c r="U10" t="e" cm="1">
        <f t="array" aca="1" ref="U10" ca="1">TREND($K10:$P10,$K$1:$P$1,U$1)</f>
        <v>#VALUE!</v>
      </c>
      <c r="V10" t="e" cm="1">
        <f t="array" aca="1" ref="V10" ca="1">TREND($K10:$P10,$K$1:$P$1,V$1)</f>
        <v>#VALUE!</v>
      </c>
      <c r="W10" t="e" cm="1">
        <f t="array" aca="1" ref="W10" ca="1">TREND($K10:$P10,$K$1:$P$1,W$1)</f>
        <v>#VALUE!</v>
      </c>
      <c r="X10" t="e" cm="1">
        <f t="array" aca="1" ref="X10" ca="1">TREND($K10:$P10,$K$1:$P$1,X$1)</f>
        <v>#VALUE!</v>
      </c>
      <c r="Y10" t="e" cm="1">
        <f t="array" aca="1" ref="Y10" ca="1">TREND($K10:$P10,$K$1:$P$1,Y$1)</f>
        <v>#VALUE!</v>
      </c>
      <c r="Z10" t="e" cm="1">
        <f t="array" aca="1" ref="Z10" ca="1">TREND($K10:$P10,$K$1:$P$1,Z$1)</f>
        <v>#VALUE!</v>
      </c>
      <c r="AA10" t="e" cm="1">
        <f t="array" aca="1" ref="AA10" ca="1">TREND($K10:$P10,$K$1:$P$1,AA$1)</f>
        <v>#VALUE!</v>
      </c>
      <c r="AB10" t="e" cm="1">
        <f t="array" aca="1" ref="AB10" ca="1">TREND($K10:$P10,$K$1:$P$1,AB$1)</f>
        <v>#VALUE!</v>
      </c>
      <c r="AC10" t="e" cm="1">
        <f t="array" aca="1" ref="AC10" ca="1">TREND($K10:$P10,$K$1:$P$1,AC$1)</f>
        <v>#VALUE!</v>
      </c>
      <c r="AD10" t="e" cm="1">
        <f t="array" aca="1" ref="AD10" ca="1">TREND($K10:$P10,$K$1:$P$1,AD$1)</f>
        <v>#VALUE!</v>
      </c>
      <c r="AE10" t="e" cm="1">
        <f t="array" aca="1" ref="AE10" ca="1">TREND($K10:$P10,$K$1:$P$1,AE$1)</f>
        <v>#VALUE!</v>
      </c>
      <c r="AF10" t="e" cm="1">
        <f t="array" aca="1" ref="AF10" ca="1">TREND($K10:$P10,$K$1:$P$1,AF$1)</f>
        <v>#VALUE!</v>
      </c>
      <c r="AG10" t="e" cm="1">
        <f t="array" aca="1" ref="AG10" ca="1">TREND($K10:$P10,$K$1:$P$1,AG$1)</f>
        <v>#VALUE!</v>
      </c>
      <c r="AH10" t="e" cm="1">
        <f t="array" aca="1" ref="AH10" ca="1">TREND($K10:$P10,$K$1:$P$1,AH$1)</f>
        <v>#VALUE!</v>
      </c>
      <c r="AI10" t="e" cm="1">
        <f t="array" aca="1" ref="AI10" ca="1">TREND($K10:$P10,$K$1:$P$1,AI$1)</f>
        <v>#VALUE!</v>
      </c>
      <c r="AJ10" t="e" cm="1">
        <f t="array" aca="1" ref="AJ10" ca="1">TREND($K10:$P10,$K$1:$P$1,AJ$1)</f>
        <v>#VALUE!</v>
      </c>
    </row>
    <row r="11" spans="1:36">
      <c r="A11" t="s">
        <v>84</v>
      </c>
      <c r="B11" s="32" t="e" cm="1">
        <f t="array" aca="1" ref="B11" ca="1">INDIRECT(CONCATENATE("'",HLOOKUP(B$1,$B$21:$E$23,3,FALSE),"'!",$B$25,ROW($A11)+5))*About!$A$27</f>
        <v>#VALUE!</v>
      </c>
      <c r="C11" t="e">
        <f t="shared" ca="1" si="3"/>
        <v>#VALUE!</v>
      </c>
      <c r="D11" t="e">
        <f t="shared" ca="1" si="0"/>
        <v>#VALUE!</v>
      </c>
      <c r="E11" t="e">
        <f t="shared" ca="1" si="0"/>
        <v>#VALUE!</v>
      </c>
      <c r="F11" s="32" t="e" cm="1">
        <f t="array" aca="1" ref="F11" ca="1">INDIRECT(CONCATENATE("'",HLOOKUP(F$1,$B$21:$E$23,3,FALSE),"'!",$B$25,ROW($A11)+5))*About!$A$27</f>
        <v>#VALUE!</v>
      </c>
      <c r="G11" t="e">
        <f t="shared" ca="1" si="4"/>
        <v>#VALUE!</v>
      </c>
      <c r="H11" t="e">
        <f t="shared" ca="1" si="1"/>
        <v>#VALUE!</v>
      </c>
      <c r="I11" t="e">
        <f t="shared" ca="1" si="1"/>
        <v>#VALUE!</v>
      </c>
      <c r="J11" t="e">
        <f t="shared" ca="1" si="1"/>
        <v>#VALUE!</v>
      </c>
      <c r="K11" s="32" t="e" cm="1">
        <f t="array" aca="1" ref="K11" ca="1">INDIRECT(CONCATENATE("'",HLOOKUP(K$1,$B$21:$E$23,3,FALSE),"'!",$B$25,ROW($A11)+5))*About!$A$27</f>
        <v>#VALUE!</v>
      </c>
      <c r="L11" t="e">
        <f t="shared" ca="1" si="5"/>
        <v>#VALUE!</v>
      </c>
      <c r="M11" t="e">
        <f t="shared" ca="1" si="2"/>
        <v>#VALUE!</v>
      </c>
      <c r="N11" t="e">
        <f t="shared" ca="1" si="2"/>
        <v>#VALUE!</v>
      </c>
      <c r="O11" t="e">
        <f t="shared" ca="1" si="2"/>
        <v>#VALUE!</v>
      </c>
      <c r="P11" s="32" t="e" cm="1">
        <f t="array" aca="1" ref="P11" ca="1">INDIRECT(CONCATENATE("'",HLOOKUP(P$1,$B$21:$E$23,3,FALSE),"'!",$B$25,ROW($A11)+5))*About!$A$27</f>
        <v>#VALUE!</v>
      </c>
      <c r="Q11" t="e" cm="1">
        <f t="array" aca="1" ref="Q11" ca="1">TREND($K11:$P11,$K$1:$P$1,Q$1)</f>
        <v>#VALUE!</v>
      </c>
      <c r="R11" t="e" cm="1">
        <f t="array" aca="1" ref="R11" ca="1">TREND($K11:$P11,$K$1:$P$1,R$1)</f>
        <v>#VALUE!</v>
      </c>
      <c r="S11" t="e" cm="1">
        <f t="array" aca="1" ref="S11" ca="1">TREND($K11:$P11,$K$1:$P$1,S$1)</f>
        <v>#VALUE!</v>
      </c>
      <c r="T11" t="e" cm="1">
        <f t="array" aca="1" ref="T11" ca="1">TREND($K11:$P11,$K$1:$P$1,T$1)</f>
        <v>#VALUE!</v>
      </c>
      <c r="U11" t="e" cm="1">
        <f t="array" aca="1" ref="U11" ca="1">TREND($K11:$P11,$K$1:$P$1,U$1)</f>
        <v>#VALUE!</v>
      </c>
      <c r="V11" t="e" cm="1">
        <f t="array" aca="1" ref="V11" ca="1">TREND($K11:$P11,$K$1:$P$1,V$1)</f>
        <v>#VALUE!</v>
      </c>
      <c r="W11" t="e" cm="1">
        <f t="array" aca="1" ref="W11" ca="1">TREND($K11:$P11,$K$1:$P$1,W$1)</f>
        <v>#VALUE!</v>
      </c>
      <c r="X11" t="e" cm="1">
        <f t="array" aca="1" ref="X11" ca="1">TREND($K11:$P11,$K$1:$P$1,X$1)</f>
        <v>#VALUE!</v>
      </c>
      <c r="Y11" t="e" cm="1">
        <f t="array" aca="1" ref="Y11" ca="1">TREND($K11:$P11,$K$1:$P$1,Y$1)</f>
        <v>#VALUE!</v>
      </c>
      <c r="Z11" t="e" cm="1">
        <f t="array" aca="1" ref="Z11" ca="1">TREND($K11:$P11,$K$1:$P$1,Z$1)</f>
        <v>#VALUE!</v>
      </c>
      <c r="AA11" t="e" cm="1">
        <f t="array" aca="1" ref="AA11" ca="1">TREND($K11:$P11,$K$1:$P$1,AA$1)</f>
        <v>#VALUE!</v>
      </c>
      <c r="AB11" t="e" cm="1">
        <f t="array" aca="1" ref="AB11" ca="1">TREND($K11:$P11,$K$1:$P$1,AB$1)</f>
        <v>#VALUE!</v>
      </c>
      <c r="AC11" t="e" cm="1">
        <f t="array" aca="1" ref="AC11" ca="1">TREND($K11:$P11,$K$1:$P$1,AC$1)</f>
        <v>#VALUE!</v>
      </c>
      <c r="AD11" t="e" cm="1">
        <f t="array" aca="1" ref="AD11" ca="1">TREND($K11:$P11,$K$1:$P$1,AD$1)</f>
        <v>#VALUE!</v>
      </c>
      <c r="AE11" t="e" cm="1">
        <f t="array" aca="1" ref="AE11" ca="1">TREND($K11:$P11,$K$1:$P$1,AE$1)</f>
        <v>#VALUE!</v>
      </c>
      <c r="AF11" t="e" cm="1">
        <f t="array" aca="1" ref="AF11" ca="1">TREND($K11:$P11,$K$1:$P$1,AF$1)</f>
        <v>#VALUE!</v>
      </c>
      <c r="AG11" t="e" cm="1">
        <f t="array" aca="1" ref="AG11" ca="1">TREND($K11:$P11,$K$1:$P$1,AG$1)</f>
        <v>#VALUE!</v>
      </c>
      <c r="AH11" t="e" cm="1">
        <f t="array" aca="1" ref="AH11" ca="1">TREND($K11:$P11,$K$1:$P$1,AH$1)</f>
        <v>#VALUE!</v>
      </c>
      <c r="AI11" t="e" cm="1">
        <f t="array" aca="1" ref="AI11" ca="1">TREND($K11:$P11,$K$1:$P$1,AI$1)</f>
        <v>#VALUE!</v>
      </c>
      <c r="AJ11" t="e" cm="1">
        <f t="array" aca="1" ref="AJ11" ca="1">TREND($K11:$P11,$K$1:$P$1,AJ$1)</f>
        <v>#VALUE!</v>
      </c>
    </row>
    <row r="12" spans="1:36">
      <c r="A12" t="s">
        <v>85</v>
      </c>
      <c r="B12" s="33" t="e">
        <f ca="1">SUM(INDIRECT(CONCATENATE("'",HLOOKUP(B$1,$B$21:$E$23,3,FALSE),"'!",$B$25,ROW($A12)+5,":",$B$25,ROW($A12)+6)))*About!$A$27</f>
        <v>#VALUE!</v>
      </c>
      <c r="C12" t="e">
        <f t="shared" ca="1" si="3"/>
        <v>#VALUE!</v>
      </c>
      <c r="D12" t="e">
        <f t="shared" ca="1" si="0"/>
        <v>#VALUE!</v>
      </c>
      <c r="E12" t="e">
        <f t="shared" ca="1" si="0"/>
        <v>#VALUE!</v>
      </c>
      <c r="F12" s="33" t="e">
        <f ca="1">SUM(INDIRECT(CONCATENATE("'",HLOOKUP(F$1,$B$21:$E$23,3,FALSE),"'!",$B$25,ROW($A12)+5,":",$B$25,ROW($A12)+6)))*About!$A$27</f>
        <v>#VALUE!</v>
      </c>
      <c r="G12" t="e">
        <f t="shared" ca="1" si="4"/>
        <v>#VALUE!</v>
      </c>
      <c r="H12" t="e">
        <f t="shared" ca="1" si="1"/>
        <v>#VALUE!</v>
      </c>
      <c r="I12" t="e">
        <f t="shared" ca="1" si="1"/>
        <v>#VALUE!</v>
      </c>
      <c r="J12" t="e">
        <f t="shared" ca="1" si="1"/>
        <v>#VALUE!</v>
      </c>
      <c r="K12" s="33" t="e">
        <f ca="1">SUM(INDIRECT(CONCATENATE("'",HLOOKUP(K$1,$B$21:$E$23,3,FALSE),"'!",$B$25,ROW($A12)+5,":",$B$25,ROW($A12)+6)))*About!$A$27</f>
        <v>#VALUE!</v>
      </c>
      <c r="L12" t="e">
        <f t="shared" ca="1" si="5"/>
        <v>#VALUE!</v>
      </c>
      <c r="M12" t="e">
        <f t="shared" ca="1" si="2"/>
        <v>#VALUE!</v>
      </c>
      <c r="N12" t="e">
        <f t="shared" ca="1" si="2"/>
        <v>#VALUE!</v>
      </c>
      <c r="O12" t="e">
        <f t="shared" ca="1" si="2"/>
        <v>#VALUE!</v>
      </c>
      <c r="P12" s="33" t="e">
        <f ca="1">SUM(INDIRECT(CONCATENATE("'",HLOOKUP(P$1,$B$21:$E$23,3,FALSE),"'!",$B$25,ROW($A12)+5,":",$B$25,ROW($A12)+6)))*About!$A$27</f>
        <v>#VALUE!</v>
      </c>
      <c r="Q12" t="e" cm="1">
        <f t="array" aca="1" ref="Q12" ca="1">TREND($K12:$P12,$K$1:$P$1,Q$1)</f>
        <v>#VALUE!</v>
      </c>
      <c r="R12" t="e" cm="1">
        <f t="array" aca="1" ref="R12" ca="1">TREND($K12:$P12,$K$1:$P$1,R$1)</f>
        <v>#VALUE!</v>
      </c>
      <c r="S12" t="e" cm="1">
        <f t="array" aca="1" ref="S12" ca="1">TREND($K12:$P12,$K$1:$P$1,S$1)</f>
        <v>#VALUE!</v>
      </c>
      <c r="T12" t="e" cm="1">
        <f t="array" aca="1" ref="T12" ca="1">TREND($K12:$P12,$K$1:$P$1,T$1)</f>
        <v>#VALUE!</v>
      </c>
      <c r="U12" t="e" cm="1">
        <f t="array" aca="1" ref="U12" ca="1">TREND($K12:$P12,$K$1:$P$1,U$1)</f>
        <v>#VALUE!</v>
      </c>
      <c r="V12" t="e" cm="1">
        <f t="array" aca="1" ref="V12" ca="1">TREND($K12:$P12,$K$1:$P$1,V$1)</f>
        <v>#VALUE!</v>
      </c>
      <c r="W12" t="e" cm="1">
        <f t="array" aca="1" ref="W12" ca="1">TREND($K12:$P12,$K$1:$P$1,W$1)</f>
        <v>#VALUE!</v>
      </c>
      <c r="X12" t="e" cm="1">
        <f t="array" aca="1" ref="X12" ca="1">TREND($K12:$P12,$K$1:$P$1,X$1)</f>
        <v>#VALUE!</v>
      </c>
      <c r="Y12" t="e" cm="1">
        <f t="array" aca="1" ref="Y12" ca="1">TREND($K12:$P12,$K$1:$P$1,Y$1)</f>
        <v>#VALUE!</v>
      </c>
      <c r="Z12" t="e" cm="1">
        <f t="array" aca="1" ref="Z12" ca="1">TREND($K12:$P12,$K$1:$P$1,Z$1)</f>
        <v>#VALUE!</v>
      </c>
      <c r="AA12" t="e" cm="1">
        <f t="array" aca="1" ref="AA12" ca="1">TREND($K12:$P12,$K$1:$P$1,AA$1)</f>
        <v>#VALUE!</v>
      </c>
      <c r="AB12" t="e" cm="1">
        <f t="array" aca="1" ref="AB12" ca="1">TREND($K12:$P12,$K$1:$P$1,AB$1)</f>
        <v>#VALUE!</v>
      </c>
      <c r="AC12" t="e" cm="1">
        <f t="array" aca="1" ref="AC12" ca="1">TREND($K12:$P12,$K$1:$P$1,AC$1)</f>
        <v>#VALUE!</v>
      </c>
      <c r="AD12" t="e" cm="1">
        <f t="array" aca="1" ref="AD12" ca="1">TREND($K12:$P12,$K$1:$P$1,AD$1)</f>
        <v>#VALUE!</v>
      </c>
      <c r="AE12" t="e" cm="1">
        <f t="array" aca="1" ref="AE12" ca="1">TREND($K12:$P12,$K$1:$P$1,AE$1)</f>
        <v>#VALUE!</v>
      </c>
      <c r="AF12" t="e" cm="1">
        <f t="array" aca="1" ref="AF12" ca="1">TREND($K12:$P12,$K$1:$P$1,AF$1)</f>
        <v>#VALUE!</v>
      </c>
      <c r="AG12" t="e" cm="1">
        <f t="array" aca="1" ref="AG12" ca="1">TREND($K12:$P12,$K$1:$P$1,AG$1)</f>
        <v>#VALUE!</v>
      </c>
      <c r="AH12" t="e" cm="1">
        <f t="array" aca="1" ref="AH12" ca="1">TREND($K12:$P12,$K$1:$P$1,AH$1)</f>
        <v>#VALUE!</v>
      </c>
      <c r="AI12" t="e" cm="1">
        <f t="array" aca="1" ref="AI12" ca="1">TREND($K12:$P12,$K$1:$P$1,AI$1)</f>
        <v>#VALUE!</v>
      </c>
      <c r="AJ12" t="e" cm="1">
        <f t="array" aca="1" ref="AJ12" ca="1">TREND($K12:$P12,$K$1:$P$1,AJ$1)</f>
        <v>#VALUE!</v>
      </c>
    </row>
    <row r="16" spans="1:36">
      <c r="A16" s="20" t="s">
        <v>86</v>
      </c>
      <c r="B16" s="21"/>
      <c r="C16" s="21"/>
      <c r="D16" s="21"/>
    </row>
    <row r="17" spans="1:5">
      <c r="A17" t="s">
        <v>87</v>
      </c>
      <c r="B17" t="e" cm="1">
        <f t="array" aca="1" ref="B17" ca="1">MID(CELL("filename",A17),FIND("]",CELL("filename",A17))+1,255)</f>
        <v>#VALUE!</v>
      </c>
    </row>
    <row r="18" spans="1:5">
      <c r="A18" t="s">
        <v>88</v>
      </c>
      <c r="B18" t="e">
        <f ca="1">RIGHT(B17,LEN(B17)-7)</f>
        <v>#VALUE!</v>
      </c>
    </row>
    <row r="19" spans="1:5">
      <c r="A19" t="s">
        <v>89</v>
      </c>
      <c r="B19" t="e">
        <f ca="1">LEFT(B18,FIND("-",B18)-1)</f>
        <v>#VALUE!</v>
      </c>
    </row>
    <row r="20" spans="1:5">
      <c r="A20" t="s">
        <v>90</v>
      </c>
      <c r="B20" t="e">
        <f ca="1">VLOOKUP($B$19,Mappings!$A$22:$B$26,COLUMN(Mappings!$B$21),FALSE)</f>
        <v>#VALUE!</v>
      </c>
    </row>
    <row r="21" spans="1:5">
      <c r="A21" s="23"/>
      <c r="B21" s="24">
        <v>2016</v>
      </c>
      <c r="C21" s="24">
        <v>2020</v>
      </c>
      <c r="D21" s="24">
        <v>2025</v>
      </c>
      <c r="E21" s="25">
        <v>2030</v>
      </c>
    </row>
    <row r="22" spans="1:5">
      <c r="A22" s="26" t="s">
        <v>91</v>
      </c>
      <c r="B22" s="2" t="e">
        <f ca="1">VLOOKUP($B$20,Mappings!$A$3:$E$19,COLUMN(Mappings!B$2),FALSE)</f>
        <v>#VALUE!</v>
      </c>
      <c r="C22" s="2" t="e">
        <f ca="1">VLOOKUP($B$20,Mappings!$A$3:$E$19,COLUMN(Mappings!C$2),FALSE)</f>
        <v>#VALUE!</v>
      </c>
      <c r="D22" s="2" t="e">
        <f ca="1">VLOOKUP($B$20,Mappings!$A$3:$E$19,COLUMN(Mappings!D$2),FALSE)</f>
        <v>#VALUE!</v>
      </c>
      <c r="E22" s="27" t="e">
        <f ca="1">VLOOKUP($B$20,Mappings!$A$3:$E$19,COLUMN(Mappings!E$2),FALSE)</f>
        <v>#VALUE!</v>
      </c>
    </row>
    <row r="23" spans="1:5">
      <c r="A23" s="28" t="s">
        <v>87</v>
      </c>
      <c r="B23" s="29" t="e">
        <f ca="1">CONCATENATE("Table ",B22)</f>
        <v>#VALUE!</v>
      </c>
      <c r="C23" s="29" t="e">
        <f ca="1">CONCATENATE("Table ",C22)</f>
        <v>#VALUE!</v>
      </c>
      <c r="D23" s="29" t="e">
        <f ca="1">CONCATENATE("Table ",D22)</f>
        <v>#VALUE!</v>
      </c>
      <c r="E23" s="30" t="e">
        <f ca="1">CONCATENATE("Table ",E22)</f>
        <v>#VALUE!</v>
      </c>
    </row>
    <row r="24" spans="1:5">
      <c r="A24" t="s">
        <v>92</v>
      </c>
      <c r="B24" t="e">
        <f ca="1">REPLACE(B18,1,FIND("-",B18),"")</f>
        <v>#VALUE!</v>
      </c>
    </row>
    <row r="25" spans="1:5">
      <c r="A25" t="s">
        <v>93</v>
      </c>
      <c r="B25" s="2" t="e">
        <f ca="1">VLOOKUP($B$24,Mappings!$A$29:$B$31,COLUMN(Mappings!$B$29),FALSE)</f>
        <v>#VALUE!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26E45-BCA1-429D-8362-2E1F29922109}">
  <sheetPr>
    <tabColor theme="4" tint="-0.249977111117893"/>
  </sheetPr>
  <dimension ref="A1:AJ25"/>
  <sheetViews>
    <sheetView workbookViewId="0"/>
  </sheetViews>
  <sheetFormatPr defaultColWidth="8.7109375" defaultRowHeight="14.45"/>
  <cols>
    <col min="1" max="1" width="33.7109375" customWidth="1"/>
  </cols>
  <sheetData>
    <row r="1" spans="1:36" s="1" customFormat="1">
      <c r="A1" s="22" t="s">
        <v>74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>
      <c r="A2" t="s">
        <v>75</v>
      </c>
      <c r="B2" s="31" t="e" cm="1">
        <f t="array" aca="1" ref="B2" ca="1">INDIRECT(CONCATENATE("'",HLOOKUP(B$1,$B$21:$E$23,3,FALSE),"'!",$B$25,ROW($A2)+3))*About!$A$27</f>
        <v>#VALUE!</v>
      </c>
      <c r="C2" t="e">
        <f ca="1">$B2+($F2-$B2)*(C$1-$B$1)/($F$1-$B$1)</f>
        <v>#VALUE!</v>
      </c>
      <c r="D2" t="e">
        <f t="shared" ref="D2:E12" ca="1" si="0">$B2+($F2-$B2)*(D$1-$B$1)/($F$1-$B$1)</f>
        <v>#VALUE!</v>
      </c>
      <c r="E2" t="e">
        <f t="shared" ca="1" si="0"/>
        <v>#VALUE!</v>
      </c>
      <c r="F2" s="31" t="e" cm="1">
        <f t="array" aca="1" ref="F2" ca="1">INDIRECT(CONCATENATE("'",HLOOKUP(F$1,$B$21:$E$23,3,FALSE),"'!",$B$25,ROW($A2)+3))*About!$A$27</f>
        <v>#VALUE!</v>
      </c>
      <c r="G2" t="e">
        <f ca="1">$F2+($K2-$F2)*(G$1-$F$1)/($K$1-$F$1)</f>
        <v>#VALUE!</v>
      </c>
      <c r="H2" t="e">
        <f t="shared" ref="H2:J12" ca="1" si="1">$F2+($K2-$F2)*(H$1-$F$1)/($K$1-$F$1)</f>
        <v>#VALUE!</v>
      </c>
      <c r="I2" t="e">
        <f t="shared" ca="1" si="1"/>
        <v>#VALUE!</v>
      </c>
      <c r="J2" t="e">
        <f t="shared" ca="1" si="1"/>
        <v>#VALUE!</v>
      </c>
      <c r="K2" s="31" t="e" cm="1">
        <f t="array" aca="1" ref="K2" ca="1">INDIRECT(CONCATENATE("'",HLOOKUP(K$1,$B$21:$E$23,3,FALSE),"'!",$B$25,ROW($A2)+3))*About!$A$27</f>
        <v>#VALUE!</v>
      </c>
      <c r="L2" t="e">
        <f ca="1">$K2+($P2-$K2)*(L$1-$K$1)/($P$1-$K$1)</f>
        <v>#VALUE!</v>
      </c>
      <c r="M2" t="e">
        <f t="shared" ref="M2:O12" ca="1" si="2">$K2+($P2-$K2)*(M$1-$K$1)/($P$1-$K$1)</f>
        <v>#VALUE!</v>
      </c>
      <c r="N2" t="e">
        <f t="shared" ca="1" si="2"/>
        <v>#VALUE!</v>
      </c>
      <c r="O2" t="e">
        <f t="shared" ca="1" si="2"/>
        <v>#VALUE!</v>
      </c>
      <c r="P2" s="31" t="e" cm="1">
        <f t="array" aca="1" ref="P2" ca="1">INDIRECT(CONCATENATE("'",HLOOKUP(P$1,$B$21:$E$23,3,FALSE),"'!",$B$25,ROW($A2)+3))*About!$A$27</f>
        <v>#VALUE!</v>
      </c>
      <c r="Q2" t="e" cm="1">
        <f t="array" aca="1" ref="Q2" ca="1">TREND($K2:$P2,$K$1:$P$1,Q$1)</f>
        <v>#VALUE!</v>
      </c>
      <c r="R2" t="e" cm="1">
        <f t="array" aca="1" ref="R2" ca="1">TREND($K2:$P2,$K$1:$P$1,R$1)</f>
        <v>#VALUE!</v>
      </c>
      <c r="S2" t="e" cm="1">
        <f t="array" aca="1" ref="S2" ca="1">TREND($K2:$P2,$K$1:$P$1,S$1)</f>
        <v>#VALUE!</v>
      </c>
      <c r="T2" t="e" cm="1">
        <f t="array" aca="1" ref="T2" ca="1">TREND($K2:$P2,$K$1:$P$1,T$1)</f>
        <v>#VALUE!</v>
      </c>
      <c r="U2" t="e" cm="1">
        <f t="array" aca="1" ref="U2" ca="1">TREND($K2:$P2,$K$1:$P$1,U$1)</f>
        <v>#VALUE!</v>
      </c>
      <c r="V2" t="e" cm="1">
        <f t="array" aca="1" ref="V2" ca="1">TREND($K2:$P2,$K$1:$P$1,V$1)</f>
        <v>#VALUE!</v>
      </c>
      <c r="W2" t="e" cm="1">
        <f t="array" aca="1" ref="W2" ca="1">TREND($K2:$P2,$K$1:$P$1,W$1)</f>
        <v>#VALUE!</v>
      </c>
      <c r="X2" t="e" cm="1">
        <f t="array" aca="1" ref="X2" ca="1">TREND($K2:$P2,$K$1:$P$1,X$1)</f>
        <v>#VALUE!</v>
      </c>
      <c r="Y2" t="e" cm="1">
        <f t="array" aca="1" ref="Y2" ca="1">TREND($K2:$P2,$K$1:$P$1,Y$1)</f>
        <v>#VALUE!</v>
      </c>
      <c r="Z2" t="e" cm="1">
        <f t="array" aca="1" ref="Z2" ca="1">TREND($K2:$P2,$K$1:$P$1,Z$1)</f>
        <v>#VALUE!</v>
      </c>
      <c r="AA2" t="e" cm="1">
        <f t="array" aca="1" ref="AA2" ca="1">TREND($K2:$P2,$K$1:$P$1,AA$1)</f>
        <v>#VALUE!</v>
      </c>
      <c r="AB2" t="e" cm="1">
        <f t="array" aca="1" ref="AB2" ca="1">TREND($K2:$P2,$K$1:$P$1,AB$1)</f>
        <v>#VALUE!</v>
      </c>
      <c r="AC2" t="e" cm="1">
        <f t="array" aca="1" ref="AC2" ca="1">TREND($K2:$P2,$K$1:$P$1,AC$1)</f>
        <v>#VALUE!</v>
      </c>
      <c r="AD2" t="e" cm="1">
        <f t="array" aca="1" ref="AD2" ca="1">TREND($K2:$P2,$K$1:$P$1,AD$1)</f>
        <v>#VALUE!</v>
      </c>
      <c r="AE2" t="e" cm="1">
        <f t="array" aca="1" ref="AE2" ca="1">TREND($K2:$P2,$K$1:$P$1,AE$1)</f>
        <v>#VALUE!</v>
      </c>
      <c r="AF2" t="e" cm="1">
        <f t="array" aca="1" ref="AF2" ca="1">TREND($K2:$P2,$K$1:$P$1,AF$1)</f>
        <v>#VALUE!</v>
      </c>
      <c r="AG2" t="e" cm="1">
        <f t="array" aca="1" ref="AG2" ca="1">TREND($K2:$P2,$K$1:$P$1,AG$1)</f>
        <v>#VALUE!</v>
      </c>
      <c r="AH2" t="e" cm="1">
        <f t="array" aca="1" ref="AH2" ca="1">TREND($K2:$P2,$K$1:$P$1,AH$1)</f>
        <v>#VALUE!</v>
      </c>
      <c r="AI2" t="e" cm="1">
        <f t="array" aca="1" ref="AI2" ca="1">TREND($K2:$P2,$K$1:$P$1,AI$1)</f>
        <v>#VALUE!</v>
      </c>
      <c r="AJ2" t="e" cm="1">
        <f t="array" aca="1" ref="AJ2" ca="1">TREND($K2:$P2,$K$1:$P$1,AJ$1)</f>
        <v>#VALUE!</v>
      </c>
    </row>
    <row r="3" spans="1:36">
      <c r="A3" t="s">
        <v>76</v>
      </c>
      <c r="B3" s="32" t="e" cm="1">
        <f t="array" aca="1" ref="B3" ca="1">INDIRECT(CONCATENATE("'",HLOOKUP(B$1,$B$21:$E$23,3,FALSE),"'!",$B$25,ROW($A3)+5))*About!$A$27</f>
        <v>#VALUE!</v>
      </c>
      <c r="C3" t="e">
        <f t="shared" ref="C3:C12" ca="1" si="3">$B3+($F3-$B3)*(C$1-$B$1)/($F$1-$B$1)</f>
        <v>#VALUE!</v>
      </c>
      <c r="D3" t="e">
        <f t="shared" ca="1" si="0"/>
        <v>#VALUE!</v>
      </c>
      <c r="E3" t="e">
        <f t="shared" ca="1" si="0"/>
        <v>#VALUE!</v>
      </c>
      <c r="F3" s="32" t="e" cm="1">
        <f t="array" aca="1" ref="F3" ca="1">INDIRECT(CONCATENATE("'",HLOOKUP(F$1,$B$21:$E$23,3,FALSE),"'!",$B$25,ROW($A3)+5))*About!$A$27</f>
        <v>#VALUE!</v>
      </c>
      <c r="G3" t="e">
        <f t="shared" ref="G3:G12" ca="1" si="4">$F3+($K3-$F3)*(G$1-$F$1)/($K$1-$F$1)</f>
        <v>#VALUE!</v>
      </c>
      <c r="H3" t="e">
        <f t="shared" ca="1" si="1"/>
        <v>#VALUE!</v>
      </c>
      <c r="I3" t="e">
        <f t="shared" ca="1" si="1"/>
        <v>#VALUE!</v>
      </c>
      <c r="J3" t="e">
        <f t="shared" ca="1" si="1"/>
        <v>#VALUE!</v>
      </c>
      <c r="K3" s="32" t="e" cm="1">
        <f t="array" aca="1" ref="K3" ca="1">INDIRECT(CONCATENATE("'",HLOOKUP(K$1,$B$21:$E$23,3,FALSE),"'!",$B$25,ROW($A3)+5))*About!$A$27</f>
        <v>#VALUE!</v>
      </c>
      <c r="L3" t="e">
        <f t="shared" ref="L3:L12" ca="1" si="5">$K3+($P3-$K3)*(L$1-$K$1)/($P$1-$K$1)</f>
        <v>#VALUE!</v>
      </c>
      <c r="M3" t="e">
        <f t="shared" ca="1" si="2"/>
        <v>#VALUE!</v>
      </c>
      <c r="N3" t="e">
        <f t="shared" ca="1" si="2"/>
        <v>#VALUE!</v>
      </c>
      <c r="O3" t="e">
        <f t="shared" ca="1" si="2"/>
        <v>#VALUE!</v>
      </c>
      <c r="P3" s="32" t="e" cm="1">
        <f t="array" aca="1" ref="P3" ca="1">INDIRECT(CONCATENATE("'",HLOOKUP(P$1,$B$21:$E$23,3,FALSE),"'!",$B$25,ROW($A3)+5))*About!$A$27</f>
        <v>#VALUE!</v>
      </c>
      <c r="Q3" t="e" cm="1">
        <f t="array" aca="1" ref="Q3" ca="1">TREND($K3:$P3,$K$1:$P$1,Q$1)</f>
        <v>#VALUE!</v>
      </c>
      <c r="R3" t="e" cm="1">
        <f t="array" aca="1" ref="R3" ca="1">TREND($K3:$P3,$K$1:$P$1,R$1)</f>
        <v>#VALUE!</v>
      </c>
      <c r="S3" t="e" cm="1">
        <f t="array" aca="1" ref="S3" ca="1">TREND($K3:$P3,$K$1:$P$1,S$1)</f>
        <v>#VALUE!</v>
      </c>
      <c r="T3" t="e" cm="1">
        <f t="array" aca="1" ref="T3" ca="1">TREND($K3:$P3,$K$1:$P$1,T$1)</f>
        <v>#VALUE!</v>
      </c>
      <c r="U3" t="e" cm="1">
        <f t="array" aca="1" ref="U3" ca="1">TREND($K3:$P3,$K$1:$P$1,U$1)</f>
        <v>#VALUE!</v>
      </c>
      <c r="V3" t="e" cm="1">
        <f t="array" aca="1" ref="V3" ca="1">TREND($K3:$P3,$K$1:$P$1,V$1)</f>
        <v>#VALUE!</v>
      </c>
      <c r="W3" t="e" cm="1">
        <f t="array" aca="1" ref="W3" ca="1">TREND($K3:$P3,$K$1:$P$1,W$1)</f>
        <v>#VALUE!</v>
      </c>
      <c r="X3" t="e" cm="1">
        <f t="array" aca="1" ref="X3" ca="1">TREND($K3:$P3,$K$1:$P$1,X$1)</f>
        <v>#VALUE!</v>
      </c>
      <c r="Y3" t="e" cm="1">
        <f t="array" aca="1" ref="Y3" ca="1">TREND($K3:$P3,$K$1:$P$1,Y$1)</f>
        <v>#VALUE!</v>
      </c>
      <c r="Z3" t="e" cm="1">
        <f t="array" aca="1" ref="Z3" ca="1">TREND($K3:$P3,$K$1:$P$1,Z$1)</f>
        <v>#VALUE!</v>
      </c>
      <c r="AA3" t="e" cm="1">
        <f t="array" aca="1" ref="AA3" ca="1">TREND($K3:$P3,$K$1:$P$1,AA$1)</f>
        <v>#VALUE!</v>
      </c>
      <c r="AB3" t="e" cm="1">
        <f t="array" aca="1" ref="AB3" ca="1">TREND($K3:$P3,$K$1:$P$1,AB$1)</f>
        <v>#VALUE!</v>
      </c>
      <c r="AC3" t="e" cm="1">
        <f t="array" aca="1" ref="AC3" ca="1">TREND($K3:$P3,$K$1:$P$1,AC$1)</f>
        <v>#VALUE!</v>
      </c>
      <c r="AD3" t="e" cm="1">
        <f t="array" aca="1" ref="AD3" ca="1">TREND($K3:$P3,$K$1:$P$1,AD$1)</f>
        <v>#VALUE!</v>
      </c>
      <c r="AE3" t="e" cm="1">
        <f t="array" aca="1" ref="AE3" ca="1">TREND($K3:$P3,$K$1:$P$1,AE$1)</f>
        <v>#VALUE!</v>
      </c>
      <c r="AF3" t="e" cm="1">
        <f t="array" aca="1" ref="AF3" ca="1">TREND($K3:$P3,$K$1:$P$1,AF$1)</f>
        <v>#VALUE!</v>
      </c>
      <c r="AG3" t="e" cm="1">
        <f t="array" aca="1" ref="AG3" ca="1">TREND($K3:$P3,$K$1:$P$1,AG$1)</f>
        <v>#VALUE!</v>
      </c>
      <c r="AH3" t="e" cm="1">
        <f t="array" aca="1" ref="AH3" ca="1">TREND($K3:$P3,$K$1:$P$1,AH$1)</f>
        <v>#VALUE!</v>
      </c>
      <c r="AI3" t="e" cm="1">
        <f t="array" aca="1" ref="AI3" ca="1">TREND($K3:$P3,$K$1:$P$1,AI$1)</f>
        <v>#VALUE!</v>
      </c>
      <c r="AJ3" t="e" cm="1">
        <f t="array" aca="1" ref="AJ3" ca="1">TREND($K3:$P3,$K$1:$P$1,AJ$1)</f>
        <v>#VALUE!</v>
      </c>
    </row>
    <row r="4" spans="1:36">
      <c r="A4" t="s">
        <v>77</v>
      </c>
      <c r="B4" s="32" t="e" cm="1">
        <f t="array" aca="1" ref="B4" ca="1">INDIRECT(CONCATENATE("'",HLOOKUP(B$1,$B$21:$E$23,3,FALSE),"'!",$B$25,ROW($A4)+5))*About!$A$27</f>
        <v>#VALUE!</v>
      </c>
      <c r="C4" t="e">
        <f t="shared" ca="1" si="3"/>
        <v>#VALUE!</v>
      </c>
      <c r="D4" t="e">
        <f t="shared" ca="1" si="0"/>
        <v>#VALUE!</v>
      </c>
      <c r="E4" t="e">
        <f t="shared" ca="1" si="0"/>
        <v>#VALUE!</v>
      </c>
      <c r="F4" s="32" t="e" cm="1">
        <f t="array" aca="1" ref="F4" ca="1">INDIRECT(CONCATENATE("'",HLOOKUP(F$1,$B$21:$E$23,3,FALSE),"'!",$B$25,ROW($A4)+5))*About!$A$27</f>
        <v>#VALUE!</v>
      </c>
      <c r="G4" t="e">
        <f t="shared" ca="1" si="4"/>
        <v>#VALUE!</v>
      </c>
      <c r="H4" t="e">
        <f t="shared" ca="1" si="1"/>
        <v>#VALUE!</v>
      </c>
      <c r="I4" t="e">
        <f t="shared" ca="1" si="1"/>
        <v>#VALUE!</v>
      </c>
      <c r="J4" t="e">
        <f t="shared" ca="1" si="1"/>
        <v>#VALUE!</v>
      </c>
      <c r="K4" s="32" t="e" cm="1">
        <f t="array" aca="1" ref="K4" ca="1">INDIRECT(CONCATENATE("'",HLOOKUP(K$1,$B$21:$E$23,3,FALSE),"'!",$B$25,ROW($A4)+5))*About!$A$27</f>
        <v>#VALUE!</v>
      </c>
      <c r="L4" t="e">
        <f t="shared" ca="1" si="5"/>
        <v>#VALUE!</v>
      </c>
      <c r="M4" t="e">
        <f t="shared" ca="1" si="2"/>
        <v>#VALUE!</v>
      </c>
      <c r="N4" t="e">
        <f t="shared" ca="1" si="2"/>
        <v>#VALUE!</v>
      </c>
      <c r="O4" t="e">
        <f t="shared" ca="1" si="2"/>
        <v>#VALUE!</v>
      </c>
      <c r="P4" s="32" t="e" cm="1">
        <f t="array" aca="1" ref="P4" ca="1">INDIRECT(CONCATENATE("'",HLOOKUP(P$1,$B$21:$E$23,3,FALSE),"'!",$B$25,ROW($A4)+5))*About!$A$27</f>
        <v>#VALUE!</v>
      </c>
      <c r="Q4" t="e" cm="1">
        <f t="array" aca="1" ref="Q4" ca="1">TREND($K4:$P4,$K$1:$P$1,Q$1)</f>
        <v>#VALUE!</v>
      </c>
      <c r="R4" t="e" cm="1">
        <f t="array" aca="1" ref="R4" ca="1">TREND($K4:$P4,$K$1:$P$1,R$1)</f>
        <v>#VALUE!</v>
      </c>
      <c r="S4" t="e" cm="1">
        <f t="array" aca="1" ref="S4" ca="1">TREND($K4:$P4,$K$1:$P$1,S$1)</f>
        <v>#VALUE!</v>
      </c>
      <c r="T4" t="e" cm="1">
        <f t="array" aca="1" ref="T4" ca="1">TREND($K4:$P4,$K$1:$P$1,T$1)</f>
        <v>#VALUE!</v>
      </c>
      <c r="U4" t="e" cm="1">
        <f t="array" aca="1" ref="U4" ca="1">TREND($K4:$P4,$K$1:$P$1,U$1)</f>
        <v>#VALUE!</v>
      </c>
      <c r="V4" t="e" cm="1">
        <f t="array" aca="1" ref="V4" ca="1">TREND($K4:$P4,$K$1:$P$1,V$1)</f>
        <v>#VALUE!</v>
      </c>
      <c r="W4" t="e" cm="1">
        <f t="array" aca="1" ref="W4" ca="1">TREND($K4:$P4,$K$1:$P$1,W$1)</f>
        <v>#VALUE!</v>
      </c>
      <c r="X4" t="e" cm="1">
        <f t="array" aca="1" ref="X4" ca="1">TREND($K4:$P4,$K$1:$P$1,X$1)</f>
        <v>#VALUE!</v>
      </c>
      <c r="Y4" t="e" cm="1">
        <f t="array" aca="1" ref="Y4" ca="1">TREND($K4:$P4,$K$1:$P$1,Y$1)</f>
        <v>#VALUE!</v>
      </c>
      <c r="Z4" t="e" cm="1">
        <f t="array" aca="1" ref="Z4" ca="1">TREND($K4:$P4,$K$1:$P$1,Z$1)</f>
        <v>#VALUE!</v>
      </c>
      <c r="AA4" t="e" cm="1">
        <f t="array" aca="1" ref="AA4" ca="1">TREND($K4:$P4,$K$1:$P$1,AA$1)</f>
        <v>#VALUE!</v>
      </c>
      <c r="AB4" t="e" cm="1">
        <f t="array" aca="1" ref="AB4" ca="1">TREND($K4:$P4,$K$1:$P$1,AB$1)</f>
        <v>#VALUE!</v>
      </c>
      <c r="AC4" t="e" cm="1">
        <f t="array" aca="1" ref="AC4" ca="1">TREND($K4:$P4,$K$1:$P$1,AC$1)</f>
        <v>#VALUE!</v>
      </c>
      <c r="AD4" t="e" cm="1">
        <f t="array" aca="1" ref="AD4" ca="1">TREND($K4:$P4,$K$1:$P$1,AD$1)</f>
        <v>#VALUE!</v>
      </c>
      <c r="AE4" t="e" cm="1">
        <f t="array" aca="1" ref="AE4" ca="1">TREND($K4:$P4,$K$1:$P$1,AE$1)</f>
        <v>#VALUE!</v>
      </c>
      <c r="AF4" t="e" cm="1">
        <f t="array" aca="1" ref="AF4" ca="1">TREND($K4:$P4,$K$1:$P$1,AF$1)</f>
        <v>#VALUE!</v>
      </c>
      <c r="AG4" t="e" cm="1">
        <f t="array" aca="1" ref="AG4" ca="1">TREND($K4:$P4,$K$1:$P$1,AG$1)</f>
        <v>#VALUE!</v>
      </c>
      <c r="AH4" t="e" cm="1">
        <f t="array" aca="1" ref="AH4" ca="1">TREND($K4:$P4,$K$1:$P$1,AH$1)</f>
        <v>#VALUE!</v>
      </c>
      <c r="AI4" t="e" cm="1">
        <f t="array" aca="1" ref="AI4" ca="1">TREND($K4:$P4,$K$1:$P$1,AI$1)</f>
        <v>#VALUE!</v>
      </c>
      <c r="AJ4" t="e" cm="1">
        <f t="array" aca="1" ref="AJ4" ca="1">TREND($K4:$P4,$K$1:$P$1,AJ$1)</f>
        <v>#VALUE!</v>
      </c>
    </row>
    <row r="5" spans="1:36">
      <c r="A5" t="s">
        <v>78</v>
      </c>
      <c r="B5" s="32" t="e" cm="1">
        <f t="array" aca="1" ref="B5" ca="1">INDIRECT(CONCATENATE("'",HLOOKUP(B$1,$B$21:$E$23,3,FALSE),"'!",$B$25,ROW($A5)+5))*About!$A$27</f>
        <v>#VALUE!</v>
      </c>
      <c r="C5" t="e">
        <f t="shared" ca="1" si="3"/>
        <v>#VALUE!</v>
      </c>
      <c r="D5" t="e">
        <f t="shared" ca="1" si="0"/>
        <v>#VALUE!</v>
      </c>
      <c r="E5" t="e">
        <f t="shared" ca="1" si="0"/>
        <v>#VALUE!</v>
      </c>
      <c r="F5" s="32" t="e" cm="1">
        <f t="array" aca="1" ref="F5" ca="1">INDIRECT(CONCATENATE("'",HLOOKUP(F$1,$B$21:$E$23,3,FALSE),"'!",$B$25,ROW($A5)+5))*About!$A$27</f>
        <v>#VALUE!</v>
      </c>
      <c r="G5" t="e">
        <f t="shared" ca="1" si="4"/>
        <v>#VALUE!</v>
      </c>
      <c r="H5" t="e">
        <f t="shared" ca="1" si="1"/>
        <v>#VALUE!</v>
      </c>
      <c r="I5" t="e">
        <f t="shared" ca="1" si="1"/>
        <v>#VALUE!</v>
      </c>
      <c r="J5" t="e">
        <f t="shared" ca="1" si="1"/>
        <v>#VALUE!</v>
      </c>
      <c r="K5" s="32" t="e" cm="1">
        <f t="array" aca="1" ref="K5" ca="1">INDIRECT(CONCATENATE("'",HLOOKUP(K$1,$B$21:$E$23,3,FALSE),"'!",$B$25,ROW($A5)+5))*About!$A$27</f>
        <v>#VALUE!</v>
      </c>
      <c r="L5" t="e">
        <f t="shared" ca="1" si="5"/>
        <v>#VALUE!</v>
      </c>
      <c r="M5" t="e">
        <f t="shared" ca="1" si="2"/>
        <v>#VALUE!</v>
      </c>
      <c r="N5" t="e">
        <f t="shared" ca="1" si="2"/>
        <v>#VALUE!</v>
      </c>
      <c r="O5" t="e">
        <f t="shared" ca="1" si="2"/>
        <v>#VALUE!</v>
      </c>
      <c r="P5" s="32" t="e" cm="1">
        <f t="array" aca="1" ref="P5" ca="1">INDIRECT(CONCATENATE("'",HLOOKUP(P$1,$B$21:$E$23,3,FALSE),"'!",$B$25,ROW($A5)+5))*About!$A$27</f>
        <v>#VALUE!</v>
      </c>
      <c r="Q5" t="e" cm="1">
        <f t="array" aca="1" ref="Q5" ca="1">TREND($K5:$P5,$K$1:$P$1,Q$1)</f>
        <v>#VALUE!</v>
      </c>
      <c r="R5" t="e" cm="1">
        <f t="array" aca="1" ref="R5" ca="1">TREND($K5:$P5,$K$1:$P$1,R$1)</f>
        <v>#VALUE!</v>
      </c>
      <c r="S5" t="e" cm="1">
        <f t="array" aca="1" ref="S5" ca="1">TREND($K5:$P5,$K$1:$P$1,S$1)</f>
        <v>#VALUE!</v>
      </c>
      <c r="T5" t="e" cm="1">
        <f t="array" aca="1" ref="T5" ca="1">TREND($K5:$P5,$K$1:$P$1,T$1)</f>
        <v>#VALUE!</v>
      </c>
      <c r="U5" t="e" cm="1">
        <f t="array" aca="1" ref="U5" ca="1">TREND($K5:$P5,$K$1:$P$1,U$1)</f>
        <v>#VALUE!</v>
      </c>
      <c r="V5" t="e" cm="1">
        <f t="array" aca="1" ref="V5" ca="1">TREND($K5:$P5,$K$1:$P$1,V$1)</f>
        <v>#VALUE!</v>
      </c>
      <c r="W5" t="e" cm="1">
        <f t="array" aca="1" ref="W5" ca="1">TREND($K5:$P5,$K$1:$P$1,W$1)</f>
        <v>#VALUE!</v>
      </c>
      <c r="X5" t="e" cm="1">
        <f t="array" aca="1" ref="X5" ca="1">TREND($K5:$P5,$K$1:$P$1,X$1)</f>
        <v>#VALUE!</v>
      </c>
      <c r="Y5" t="e" cm="1">
        <f t="array" aca="1" ref="Y5" ca="1">TREND($K5:$P5,$K$1:$P$1,Y$1)</f>
        <v>#VALUE!</v>
      </c>
      <c r="Z5" t="e" cm="1">
        <f t="array" aca="1" ref="Z5" ca="1">TREND($K5:$P5,$K$1:$P$1,Z$1)</f>
        <v>#VALUE!</v>
      </c>
      <c r="AA5" t="e" cm="1">
        <f t="array" aca="1" ref="AA5" ca="1">TREND($K5:$P5,$K$1:$P$1,AA$1)</f>
        <v>#VALUE!</v>
      </c>
      <c r="AB5" t="e" cm="1">
        <f t="array" aca="1" ref="AB5" ca="1">TREND($K5:$P5,$K$1:$P$1,AB$1)</f>
        <v>#VALUE!</v>
      </c>
      <c r="AC5" t="e" cm="1">
        <f t="array" aca="1" ref="AC5" ca="1">TREND($K5:$P5,$K$1:$P$1,AC$1)</f>
        <v>#VALUE!</v>
      </c>
      <c r="AD5" t="e" cm="1">
        <f t="array" aca="1" ref="AD5" ca="1">TREND($K5:$P5,$K$1:$P$1,AD$1)</f>
        <v>#VALUE!</v>
      </c>
      <c r="AE5" t="e" cm="1">
        <f t="array" aca="1" ref="AE5" ca="1">TREND($K5:$P5,$K$1:$P$1,AE$1)</f>
        <v>#VALUE!</v>
      </c>
      <c r="AF5" t="e" cm="1">
        <f t="array" aca="1" ref="AF5" ca="1">TREND($K5:$P5,$K$1:$P$1,AF$1)</f>
        <v>#VALUE!</v>
      </c>
      <c r="AG5" t="e" cm="1">
        <f t="array" aca="1" ref="AG5" ca="1">TREND($K5:$P5,$K$1:$P$1,AG$1)</f>
        <v>#VALUE!</v>
      </c>
      <c r="AH5" t="e" cm="1">
        <f t="array" aca="1" ref="AH5" ca="1">TREND($K5:$P5,$K$1:$P$1,AH$1)</f>
        <v>#VALUE!</v>
      </c>
      <c r="AI5" t="e" cm="1">
        <f t="array" aca="1" ref="AI5" ca="1">TREND($K5:$P5,$K$1:$P$1,AI$1)</f>
        <v>#VALUE!</v>
      </c>
      <c r="AJ5" t="e" cm="1">
        <f t="array" aca="1" ref="AJ5" ca="1">TREND($K5:$P5,$K$1:$P$1,AJ$1)</f>
        <v>#VALUE!</v>
      </c>
    </row>
    <row r="6" spans="1:36">
      <c r="A6" t="s">
        <v>79</v>
      </c>
      <c r="B6" s="32" t="e" cm="1">
        <f t="array" aca="1" ref="B6" ca="1">INDIRECT(CONCATENATE("'",HLOOKUP(B$1,$B$21:$E$23,3,FALSE),"'!",$B$25,ROW($A6)+5))*About!$A$27</f>
        <v>#VALUE!</v>
      </c>
      <c r="C6" t="e">
        <f t="shared" ca="1" si="3"/>
        <v>#VALUE!</v>
      </c>
      <c r="D6" t="e">
        <f t="shared" ca="1" si="0"/>
        <v>#VALUE!</v>
      </c>
      <c r="E6" t="e">
        <f t="shared" ca="1" si="0"/>
        <v>#VALUE!</v>
      </c>
      <c r="F6" s="32" t="e" cm="1">
        <f t="array" aca="1" ref="F6" ca="1">INDIRECT(CONCATENATE("'",HLOOKUP(F$1,$B$21:$E$23,3,FALSE),"'!",$B$25,ROW($A6)+5))*About!$A$27</f>
        <v>#VALUE!</v>
      </c>
      <c r="G6" t="e">
        <f t="shared" ca="1" si="4"/>
        <v>#VALUE!</v>
      </c>
      <c r="H6" t="e">
        <f t="shared" ca="1" si="1"/>
        <v>#VALUE!</v>
      </c>
      <c r="I6" t="e">
        <f t="shared" ca="1" si="1"/>
        <v>#VALUE!</v>
      </c>
      <c r="J6" t="e">
        <f t="shared" ca="1" si="1"/>
        <v>#VALUE!</v>
      </c>
      <c r="K6" s="32" t="e" cm="1">
        <f t="array" aca="1" ref="K6" ca="1">INDIRECT(CONCATENATE("'",HLOOKUP(K$1,$B$21:$E$23,3,FALSE),"'!",$B$25,ROW($A6)+5))*About!$A$27</f>
        <v>#VALUE!</v>
      </c>
      <c r="L6" t="e">
        <f t="shared" ca="1" si="5"/>
        <v>#VALUE!</v>
      </c>
      <c r="M6" t="e">
        <f t="shared" ca="1" si="2"/>
        <v>#VALUE!</v>
      </c>
      <c r="N6" t="e">
        <f t="shared" ca="1" si="2"/>
        <v>#VALUE!</v>
      </c>
      <c r="O6" t="e">
        <f t="shared" ca="1" si="2"/>
        <v>#VALUE!</v>
      </c>
      <c r="P6" s="32" t="e" cm="1">
        <f t="array" aca="1" ref="P6" ca="1">INDIRECT(CONCATENATE("'",HLOOKUP(P$1,$B$21:$E$23,3,FALSE),"'!",$B$25,ROW($A6)+5))*About!$A$27</f>
        <v>#VALUE!</v>
      </c>
      <c r="Q6" t="e" cm="1">
        <f t="array" aca="1" ref="Q6" ca="1">TREND($K6:$P6,$K$1:$P$1,Q$1)</f>
        <v>#VALUE!</v>
      </c>
      <c r="R6" t="e" cm="1">
        <f t="array" aca="1" ref="R6" ca="1">TREND($K6:$P6,$K$1:$P$1,R$1)</f>
        <v>#VALUE!</v>
      </c>
      <c r="S6" t="e" cm="1">
        <f t="array" aca="1" ref="S6" ca="1">TREND($K6:$P6,$K$1:$P$1,S$1)</f>
        <v>#VALUE!</v>
      </c>
      <c r="T6" t="e" cm="1">
        <f t="array" aca="1" ref="T6" ca="1">TREND($K6:$P6,$K$1:$P$1,T$1)</f>
        <v>#VALUE!</v>
      </c>
      <c r="U6" t="e" cm="1">
        <f t="array" aca="1" ref="U6" ca="1">TREND($K6:$P6,$K$1:$P$1,U$1)</f>
        <v>#VALUE!</v>
      </c>
      <c r="V6" t="e" cm="1">
        <f t="array" aca="1" ref="V6" ca="1">TREND($K6:$P6,$K$1:$P$1,V$1)</f>
        <v>#VALUE!</v>
      </c>
      <c r="W6" t="e" cm="1">
        <f t="array" aca="1" ref="W6" ca="1">TREND($K6:$P6,$K$1:$P$1,W$1)</f>
        <v>#VALUE!</v>
      </c>
      <c r="X6" t="e" cm="1">
        <f t="array" aca="1" ref="X6" ca="1">TREND($K6:$P6,$K$1:$P$1,X$1)</f>
        <v>#VALUE!</v>
      </c>
      <c r="Y6" t="e" cm="1">
        <f t="array" aca="1" ref="Y6" ca="1">TREND($K6:$P6,$K$1:$P$1,Y$1)</f>
        <v>#VALUE!</v>
      </c>
      <c r="Z6" t="e" cm="1">
        <f t="array" aca="1" ref="Z6" ca="1">TREND($K6:$P6,$K$1:$P$1,Z$1)</f>
        <v>#VALUE!</v>
      </c>
      <c r="AA6" t="e" cm="1">
        <f t="array" aca="1" ref="AA6" ca="1">TREND($K6:$P6,$K$1:$P$1,AA$1)</f>
        <v>#VALUE!</v>
      </c>
      <c r="AB6" t="e" cm="1">
        <f t="array" aca="1" ref="AB6" ca="1">TREND($K6:$P6,$K$1:$P$1,AB$1)</f>
        <v>#VALUE!</v>
      </c>
      <c r="AC6" t="e" cm="1">
        <f t="array" aca="1" ref="AC6" ca="1">TREND($K6:$P6,$K$1:$P$1,AC$1)</f>
        <v>#VALUE!</v>
      </c>
      <c r="AD6" t="e" cm="1">
        <f t="array" aca="1" ref="AD6" ca="1">TREND($K6:$P6,$K$1:$P$1,AD$1)</f>
        <v>#VALUE!</v>
      </c>
      <c r="AE6" t="e" cm="1">
        <f t="array" aca="1" ref="AE6" ca="1">TREND($K6:$P6,$K$1:$P$1,AE$1)</f>
        <v>#VALUE!</v>
      </c>
      <c r="AF6" t="e" cm="1">
        <f t="array" aca="1" ref="AF6" ca="1">TREND($K6:$P6,$K$1:$P$1,AF$1)</f>
        <v>#VALUE!</v>
      </c>
      <c r="AG6" t="e" cm="1">
        <f t="array" aca="1" ref="AG6" ca="1">TREND($K6:$P6,$K$1:$P$1,AG$1)</f>
        <v>#VALUE!</v>
      </c>
      <c r="AH6" t="e" cm="1">
        <f t="array" aca="1" ref="AH6" ca="1">TREND($K6:$P6,$K$1:$P$1,AH$1)</f>
        <v>#VALUE!</v>
      </c>
      <c r="AI6" t="e" cm="1">
        <f t="array" aca="1" ref="AI6" ca="1">TREND($K6:$P6,$K$1:$P$1,AI$1)</f>
        <v>#VALUE!</v>
      </c>
      <c r="AJ6" t="e" cm="1">
        <f t="array" aca="1" ref="AJ6" ca="1">TREND($K6:$P6,$K$1:$P$1,AJ$1)</f>
        <v>#VALUE!</v>
      </c>
    </row>
    <row r="7" spans="1:36">
      <c r="A7" t="s">
        <v>80</v>
      </c>
      <c r="B7" s="32" t="e" cm="1">
        <f t="array" aca="1" ref="B7" ca="1">INDIRECT(CONCATENATE("'",HLOOKUP(B$1,$B$21:$E$23,3,FALSE),"'!",$B$25,ROW($A7)+5))*About!$A$27</f>
        <v>#VALUE!</v>
      </c>
      <c r="C7" t="e">
        <f t="shared" ca="1" si="3"/>
        <v>#VALUE!</v>
      </c>
      <c r="D7" t="e">
        <f t="shared" ca="1" si="0"/>
        <v>#VALUE!</v>
      </c>
      <c r="E7" t="e">
        <f t="shared" ca="1" si="0"/>
        <v>#VALUE!</v>
      </c>
      <c r="F7" s="32" t="e" cm="1">
        <f t="array" aca="1" ref="F7" ca="1">INDIRECT(CONCATENATE("'",HLOOKUP(F$1,$B$21:$E$23,3,FALSE),"'!",$B$25,ROW($A7)+5))*About!$A$27</f>
        <v>#VALUE!</v>
      </c>
      <c r="G7" t="e">
        <f t="shared" ca="1" si="4"/>
        <v>#VALUE!</v>
      </c>
      <c r="H7" t="e">
        <f t="shared" ca="1" si="1"/>
        <v>#VALUE!</v>
      </c>
      <c r="I7" t="e">
        <f t="shared" ca="1" si="1"/>
        <v>#VALUE!</v>
      </c>
      <c r="J7" t="e">
        <f t="shared" ca="1" si="1"/>
        <v>#VALUE!</v>
      </c>
      <c r="K7" s="32" t="e" cm="1">
        <f t="array" aca="1" ref="K7" ca="1">INDIRECT(CONCATENATE("'",HLOOKUP(K$1,$B$21:$E$23,3,FALSE),"'!",$B$25,ROW($A7)+5))*About!$A$27</f>
        <v>#VALUE!</v>
      </c>
      <c r="L7" t="e">
        <f t="shared" ca="1" si="5"/>
        <v>#VALUE!</v>
      </c>
      <c r="M7" t="e">
        <f t="shared" ca="1" si="2"/>
        <v>#VALUE!</v>
      </c>
      <c r="N7" t="e">
        <f t="shared" ca="1" si="2"/>
        <v>#VALUE!</v>
      </c>
      <c r="O7" t="e">
        <f t="shared" ca="1" si="2"/>
        <v>#VALUE!</v>
      </c>
      <c r="P7" s="32" t="e" cm="1">
        <f t="array" aca="1" ref="P7" ca="1">INDIRECT(CONCATENATE("'",HLOOKUP(P$1,$B$21:$E$23,3,FALSE),"'!",$B$25,ROW($A7)+5))*About!$A$27</f>
        <v>#VALUE!</v>
      </c>
      <c r="Q7" t="e" cm="1">
        <f t="array" aca="1" ref="Q7" ca="1">TREND($K7:$P7,$K$1:$P$1,Q$1)</f>
        <v>#VALUE!</v>
      </c>
      <c r="R7" t="e" cm="1">
        <f t="array" aca="1" ref="R7" ca="1">TREND($K7:$P7,$K$1:$P$1,R$1)</f>
        <v>#VALUE!</v>
      </c>
      <c r="S7" t="e" cm="1">
        <f t="array" aca="1" ref="S7" ca="1">TREND($K7:$P7,$K$1:$P$1,S$1)</f>
        <v>#VALUE!</v>
      </c>
      <c r="T7" t="e" cm="1">
        <f t="array" aca="1" ref="T7" ca="1">TREND($K7:$P7,$K$1:$P$1,T$1)</f>
        <v>#VALUE!</v>
      </c>
      <c r="U7" t="e" cm="1">
        <f t="array" aca="1" ref="U7" ca="1">TREND($K7:$P7,$K$1:$P$1,U$1)</f>
        <v>#VALUE!</v>
      </c>
      <c r="V7" t="e" cm="1">
        <f t="array" aca="1" ref="V7" ca="1">TREND($K7:$P7,$K$1:$P$1,V$1)</f>
        <v>#VALUE!</v>
      </c>
      <c r="W7" t="e" cm="1">
        <f t="array" aca="1" ref="W7" ca="1">TREND($K7:$P7,$K$1:$P$1,W$1)</f>
        <v>#VALUE!</v>
      </c>
      <c r="X7" t="e" cm="1">
        <f t="array" aca="1" ref="X7" ca="1">TREND($K7:$P7,$K$1:$P$1,X$1)</f>
        <v>#VALUE!</v>
      </c>
      <c r="Y7" t="e" cm="1">
        <f t="array" aca="1" ref="Y7" ca="1">TREND($K7:$P7,$K$1:$P$1,Y$1)</f>
        <v>#VALUE!</v>
      </c>
      <c r="Z7" t="e" cm="1">
        <f t="array" aca="1" ref="Z7" ca="1">TREND($K7:$P7,$K$1:$P$1,Z$1)</f>
        <v>#VALUE!</v>
      </c>
      <c r="AA7" t="e" cm="1">
        <f t="array" aca="1" ref="AA7" ca="1">TREND($K7:$P7,$K$1:$P$1,AA$1)</f>
        <v>#VALUE!</v>
      </c>
      <c r="AB7" t="e" cm="1">
        <f t="array" aca="1" ref="AB7" ca="1">TREND($K7:$P7,$K$1:$P$1,AB$1)</f>
        <v>#VALUE!</v>
      </c>
      <c r="AC7" t="e" cm="1">
        <f t="array" aca="1" ref="AC7" ca="1">TREND($K7:$P7,$K$1:$P$1,AC$1)</f>
        <v>#VALUE!</v>
      </c>
      <c r="AD7" t="e" cm="1">
        <f t="array" aca="1" ref="AD7" ca="1">TREND($K7:$P7,$K$1:$P$1,AD$1)</f>
        <v>#VALUE!</v>
      </c>
      <c r="AE7" t="e" cm="1">
        <f t="array" aca="1" ref="AE7" ca="1">TREND($K7:$P7,$K$1:$P$1,AE$1)</f>
        <v>#VALUE!</v>
      </c>
      <c r="AF7" t="e" cm="1">
        <f t="array" aca="1" ref="AF7" ca="1">TREND($K7:$P7,$K$1:$P$1,AF$1)</f>
        <v>#VALUE!</v>
      </c>
      <c r="AG7" t="e" cm="1">
        <f t="array" aca="1" ref="AG7" ca="1">TREND($K7:$P7,$K$1:$P$1,AG$1)</f>
        <v>#VALUE!</v>
      </c>
      <c r="AH7" t="e" cm="1">
        <f t="array" aca="1" ref="AH7" ca="1">TREND($K7:$P7,$K$1:$P$1,AH$1)</f>
        <v>#VALUE!</v>
      </c>
      <c r="AI7" t="e" cm="1">
        <f t="array" aca="1" ref="AI7" ca="1">TREND($K7:$P7,$K$1:$P$1,AI$1)</f>
        <v>#VALUE!</v>
      </c>
      <c r="AJ7" t="e" cm="1">
        <f t="array" aca="1" ref="AJ7" ca="1">TREND($K7:$P7,$K$1:$P$1,AJ$1)</f>
        <v>#VALUE!</v>
      </c>
    </row>
    <row r="8" spans="1:36">
      <c r="A8" t="s">
        <v>81</v>
      </c>
      <c r="B8" s="32" t="e" cm="1">
        <f t="array" aca="1" ref="B8" ca="1">INDIRECT(CONCATENATE("'",HLOOKUP(B$1,$B$21:$E$23,3,FALSE),"'!",$B$25,ROW($A8)+5))*About!$A$27</f>
        <v>#VALUE!</v>
      </c>
      <c r="C8" t="e">
        <f t="shared" ca="1" si="3"/>
        <v>#VALUE!</v>
      </c>
      <c r="D8" t="e">
        <f t="shared" ca="1" si="0"/>
        <v>#VALUE!</v>
      </c>
      <c r="E8" t="e">
        <f t="shared" ca="1" si="0"/>
        <v>#VALUE!</v>
      </c>
      <c r="F8" s="32" t="e" cm="1">
        <f t="array" aca="1" ref="F8" ca="1">INDIRECT(CONCATENATE("'",HLOOKUP(F$1,$B$21:$E$23,3,FALSE),"'!",$B$25,ROW($A8)+5))*About!$A$27</f>
        <v>#VALUE!</v>
      </c>
      <c r="G8" t="e">
        <f t="shared" ca="1" si="4"/>
        <v>#VALUE!</v>
      </c>
      <c r="H8" t="e">
        <f t="shared" ca="1" si="1"/>
        <v>#VALUE!</v>
      </c>
      <c r="I8" t="e">
        <f t="shared" ca="1" si="1"/>
        <v>#VALUE!</v>
      </c>
      <c r="J8" t="e">
        <f t="shared" ca="1" si="1"/>
        <v>#VALUE!</v>
      </c>
      <c r="K8" s="32" t="e" cm="1">
        <f t="array" aca="1" ref="K8" ca="1">INDIRECT(CONCATENATE("'",HLOOKUP(K$1,$B$21:$E$23,3,FALSE),"'!",$B$25,ROW($A8)+5))*About!$A$27</f>
        <v>#VALUE!</v>
      </c>
      <c r="L8" t="e">
        <f t="shared" ca="1" si="5"/>
        <v>#VALUE!</v>
      </c>
      <c r="M8" t="e">
        <f t="shared" ca="1" si="2"/>
        <v>#VALUE!</v>
      </c>
      <c r="N8" t="e">
        <f t="shared" ca="1" si="2"/>
        <v>#VALUE!</v>
      </c>
      <c r="O8" t="e">
        <f t="shared" ca="1" si="2"/>
        <v>#VALUE!</v>
      </c>
      <c r="P8" s="32" t="e" cm="1">
        <f t="array" aca="1" ref="P8" ca="1">INDIRECT(CONCATENATE("'",HLOOKUP(P$1,$B$21:$E$23,3,FALSE),"'!",$B$25,ROW($A8)+5))*About!$A$27</f>
        <v>#VALUE!</v>
      </c>
      <c r="Q8" t="e" cm="1">
        <f t="array" aca="1" ref="Q8" ca="1">TREND($K8:$P8,$K$1:$P$1,Q$1)</f>
        <v>#VALUE!</v>
      </c>
      <c r="R8" t="e" cm="1">
        <f t="array" aca="1" ref="R8" ca="1">TREND($K8:$P8,$K$1:$P$1,R$1)</f>
        <v>#VALUE!</v>
      </c>
      <c r="S8" t="e" cm="1">
        <f t="array" aca="1" ref="S8" ca="1">TREND($K8:$P8,$K$1:$P$1,S$1)</f>
        <v>#VALUE!</v>
      </c>
      <c r="T8" t="e" cm="1">
        <f t="array" aca="1" ref="T8" ca="1">TREND($K8:$P8,$K$1:$P$1,T$1)</f>
        <v>#VALUE!</v>
      </c>
      <c r="U8" t="e" cm="1">
        <f t="array" aca="1" ref="U8" ca="1">TREND($K8:$P8,$K$1:$P$1,U$1)</f>
        <v>#VALUE!</v>
      </c>
      <c r="V8" t="e" cm="1">
        <f t="array" aca="1" ref="V8" ca="1">TREND($K8:$P8,$K$1:$P$1,V$1)</f>
        <v>#VALUE!</v>
      </c>
      <c r="W8" t="e" cm="1">
        <f t="array" aca="1" ref="W8" ca="1">TREND($K8:$P8,$K$1:$P$1,W$1)</f>
        <v>#VALUE!</v>
      </c>
      <c r="X8" t="e" cm="1">
        <f t="array" aca="1" ref="X8" ca="1">TREND($K8:$P8,$K$1:$P$1,X$1)</f>
        <v>#VALUE!</v>
      </c>
      <c r="Y8" t="e" cm="1">
        <f t="array" aca="1" ref="Y8" ca="1">TREND($K8:$P8,$K$1:$P$1,Y$1)</f>
        <v>#VALUE!</v>
      </c>
      <c r="Z8" t="e" cm="1">
        <f t="array" aca="1" ref="Z8" ca="1">TREND($K8:$P8,$K$1:$P$1,Z$1)</f>
        <v>#VALUE!</v>
      </c>
      <c r="AA8" t="e" cm="1">
        <f t="array" aca="1" ref="AA8" ca="1">TREND($K8:$P8,$K$1:$P$1,AA$1)</f>
        <v>#VALUE!</v>
      </c>
      <c r="AB8" t="e" cm="1">
        <f t="array" aca="1" ref="AB8" ca="1">TREND($K8:$P8,$K$1:$P$1,AB$1)</f>
        <v>#VALUE!</v>
      </c>
      <c r="AC8" t="e" cm="1">
        <f t="array" aca="1" ref="AC8" ca="1">TREND($K8:$P8,$K$1:$P$1,AC$1)</f>
        <v>#VALUE!</v>
      </c>
      <c r="AD8" t="e" cm="1">
        <f t="array" aca="1" ref="AD8" ca="1">TREND($K8:$P8,$K$1:$P$1,AD$1)</f>
        <v>#VALUE!</v>
      </c>
      <c r="AE8" t="e" cm="1">
        <f t="array" aca="1" ref="AE8" ca="1">TREND($K8:$P8,$K$1:$P$1,AE$1)</f>
        <v>#VALUE!</v>
      </c>
      <c r="AF8" t="e" cm="1">
        <f t="array" aca="1" ref="AF8" ca="1">TREND($K8:$P8,$K$1:$P$1,AF$1)</f>
        <v>#VALUE!</v>
      </c>
      <c r="AG8" t="e" cm="1">
        <f t="array" aca="1" ref="AG8" ca="1">TREND($K8:$P8,$K$1:$P$1,AG$1)</f>
        <v>#VALUE!</v>
      </c>
      <c r="AH8" t="e" cm="1">
        <f t="array" aca="1" ref="AH8" ca="1">TREND($K8:$P8,$K$1:$P$1,AH$1)</f>
        <v>#VALUE!</v>
      </c>
      <c r="AI8" t="e" cm="1">
        <f t="array" aca="1" ref="AI8" ca="1">TREND($K8:$P8,$K$1:$P$1,AI$1)</f>
        <v>#VALUE!</v>
      </c>
      <c r="AJ8" t="e" cm="1">
        <f t="array" aca="1" ref="AJ8" ca="1">TREND($K8:$P8,$K$1:$P$1,AJ$1)</f>
        <v>#VALUE!</v>
      </c>
    </row>
    <row r="9" spans="1:36">
      <c r="A9" t="s">
        <v>82</v>
      </c>
      <c r="B9" s="32" t="e" cm="1">
        <f t="array" aca="1" ref="B9" ca="1">INDIRECT(CONCATENATE("'",HLOOKUP(B$1,$B$21:$E$23,3,FALSE),"'!",$B$25,ROW($A9)+5))*About!$A$27</f>
        <v>#VALUE!</v>
      </c>
      <c r="C9" t="e">
        <f t="shared" ca="1" si="3"/>
        <v>#VALUE!</v>
      </c>
      <c r="D9" t="e">
        <f t="shared" ca="1" si="0"/>
        <v>#VALUE!</v>
      </c>
      <c r="E9" t="e">
        <f t="shared" ca="1" si="0"/>
        <v>#VALUE!</v>
      </c>
      <c r="F9" s="32" t="e" cm="1">
        <f t="array" aca="1" ref="F9" ca="1">INDIRECT(CONCATENATE("'",HLOOKUP(F$1,$B$21:$E$23,3,FALSE),"'!",$B$25,ROW($A9)+5))*About!$A$27</f>
        <v>#VALUE!</v>
      </c>
      <c r="G9" t="e">
        <f t="shared" ca="1" si="4"/>
        <v>#VALUE!</v>
      </c>
      <c r="H9" t="e">
        <f t="shared" ca="1" si="1"/>
        <v>#VALUE!</v>
      </c>
      <c r="I9" t="e">
        <f t="shared" ca="1" si="1"/>
        <v>#VALUE!</v>
      </c>
      <c r="J9" t="e">
        <f t="shared" ca="1" si="1"/>
        <v>#VALUE!</v>
      </c>
      <c r="K9" s="32" t="e" cm="1">
        <f t="array" aca="1" ref="K9" ca="1">INDIRECT(CONCATENATE("'",HLOOKUP(K$1,$B$21:$E$23,3,FALSE),"'!",$B$25,ROW($A9)+5))*About!$A$27</f>
        <v>#VALUE!</v>
      </c>
      <c r="L9" t="e">
        <f t="shared" ca="1" si="5"/>
        <v>#VALUE!</v>
      </c>
      <c r="M9" t="e">
        <f t="shared" ca="1" si="2"/>
        <v>#VALUE!</v>
      </c>
      <c r="N9" t="e">
        <f t="shared" ca="1" si="2"/>
        <v>#VALUE!</v>
      </c>
      <c r="O9" t="e">
        <f t="shared" ca="1" si="2"/>
        <v>#VALUE!</v>
      </c>
      <c r="P9" s="32" t="e" cm="1">
        <f t="array" aca="1" ref="P9" ca="1">INDIRECT(CONCATENATE("'",HLOOKUP(P$1,$B$21:$E$23,3,FALSE),"'!",$B$25,ROW($A9)+5))*About!$A$27</f>
        <v>#VALUE!</v>
      </c>
      <c r="Q9" t="e" cm="1">
        <f t="array" aca="1" ref="Q9" ca="1">TREND($K9:$P9,$K$1:$P$1,Q$1)</f>
        <v>#VALUE!</v>
      </c>
      <c r="R9" t="e" cm="1">
        <f t="array" aca="1" ref="R9" ca="1">TREND($K9:$P9,$K$1:$P$1,R$1)</f>
        <v>#VALUE!</v>
      </c>
      <c r="S9" t="e" cm="1">
        <f t="array" aca="1" ref="S9" ca="1">TREND($K9:$P9,$K$1:$P$1,S$1)</f>
        <v>#VALUE!</v>
      </c>
      <c r="T9" t="e" cm="1">
        <f t="array" aca="1" ref="T9" ca="1">TREND($K9:$P9,$K$1:$P$1,T$1)</f>
        <v>#VALUE!</v>
      </c>
      <c r="U9" t="e" cm="1">
        <f t="array" aca="1" ref="U9" ca="1">TREND($K9:$P9,$K$1:$P$1,U$1)</f>
        <v>#VALUE!</v>
      </c>
      <c r="V9" t="e" cm="1">
        <f t="array" aca="1" ref="V9" ca="1">TREND($K9:$P9,$K$1:$P$1,V$1)</f>
        <v>#VALUE!</v>
      </c>
      <c r="W9" t="e" cm="1">
        <f t="array" aca="1" ref="W9" ca="1">TREND($K9:$P9,$K$1:$P$1,W$1)</f>
        <v>#VALUE!</v>
      </c>
      <c r="X9" t="e" cm="1">
        <f t="array" aca="1" ref="X9" ca="1">TREND($K9:$P9,$K$1:$P$1,X$1)</f>
        <v>#VALUE!</v>
      </c>
      <c r="Y9" t="e" cm="1">
        <f t="array" aca="1" ref="Y9" ca="1">TREND($K9:$P9,$K$1:$P$1,Y$1)</f>
        <v>#VALUE!</v>
      </c>
      <c r="Z9" t="e" cm="1">
        <f t="array" aca="1" ref="Z9" ca="1">TREND($K9:$P9,$K$1:$P$1,Z$1)</f>
        <v>#VALUE!</v>
      </c>
      <c r="AA9" t="e" cm="1">
        <f t="array" aca="1" ref="AA9" ca="1">TREND($K9:$P9,$K$1:$P$1,AA$1)</f>
        <v>#VALUE!</v>
      </c>
      <c r="AB9" t="e" cm="1">
        <f t="array" aca="1" ref="AB9" ca="1">TREND($K9:$P9,$K$1:$P$1,AB$1)</f>
        <v>#VALUE!</v>
      </c>
      <c r="AC9" t="e" cm="1">
        <f t="array" aca="1" ref="AC9" ca="1">TREND($K9:$P9,$K$1:$P$1,AC$1)</f>
        <v>#VALUE!</v>
      </c>
      <c r="AD9" t="e" cm="1">
        <f t="array" aca="1" ref="AD9" ca="1">TREND($K9:$P9,$K$1:$P$1,AD$1)</f>
        <v>#VALUE!</v>
      </c>
      <c r="AE9" t="e" cm="1">
        <f t="array" aca="1" ref="AE9" ca="1">TREND($K9:$P9,$K$1:$P$1,AE$1)</f>
        <v>#VALUE!</v>
      </c>
      <c r="AF9" t="e" cm="1">
        <f t="array" aca="1" ref="AF9" ca="1">TREND($K9:$P9,$K$1:$P$1,AF$1)</f>
        <v>#VALUE!</v>
      </c>
      <c r="AG9" t="e" cm="1">
        <f t="array" aca="1" ref="AG9" ca="1">TREND($K9:$P9,$K$1:$P$1,AG$1)</f>
        <v>#VALUE!</v>
      </c>
      <c r="AH9" t="e" cm="1">
        <f t="array" aca="1" ref="AH9" ca="1">TREND($K9:$P9,$K$1:$P$1,AH$1)</f>
        <v>#VALUE!</v>
      </c>
      <c r="AI9" t="e" cm="1">
        <f t="array" aca="1" ref="AI9" ca="1">TREND($K9:$P9,$K$1:$P$1,AI$1)</f>
        <v>#VALUE!</v>
      </c>
      <c r="AJ9" t="e" cm="1">
        <f t="array" aca="1" ref="AJ9" ca="1">TREND($K9:$P9,$K$1:$P$1,AJ$1)</f>
        <v>#VALUE!</v>
      </c>
    </row>
    <row r="10" spans="1:36">
      <c r="A10" t="s">
        <v>83</v>
      </c>
      <c r="B10" s="32" t="e" cm="1">
        <f t="array" aca="1" ref="B10" ca="1">INDIRECT(CONCATENATE("'",HLOOKUP(B$1,$B$21:$E$23,3,FALSE),"'!",$B$25,ROW($A10)+5))*About!$A$27</f>
        <v>#VALUE!</v>
      </c>
      <c r="C10" t="e">
        <f t="shared" ca="1" si="3"/>
        <v>#VALUE!</v>
      </c>
      <c r="D10" t="e">
        <f t="shared" ca="1" si="0"/>
        <v>#VALUE!</v>
      </c>
      <c r="E10" t="e">
        <f t="shared" ca="1" si="0"/>
        <v>#VALUE!</v>
      </c>
      <c r="F10" s="32" t="e" cm="1">
        <f t="array" aca="1" ref="F10" ca="1">INDIRECT(CONCATENATE("'",HLOOKUP(F$1,$B$21:$E$23,3,FALSE),"'!",$B$25,ROW($A10)+5))*About!$A$27</f>
        <v>#VALUE!</v>
      </c>
      <c r="G10" t="e">
        <f t="shared" ca="1" si="4"/>
        <v>#VALUE!</v>
      </c>
      <c r="H10" t="e">
        <f t="shared" ca="1" si="1"/>
        <v>#VALUE!</v>
      </c>
      <c r="I10" t="e">
        <f t="shared" ca="1" si="1"/>
        <v>#VALUE!</v>
      </c>
      <c r="J10" t="e">
        <f t="shared" ca="1" si="1"/>
        <v>#VALUE!</v>
      </c>
      <c r="K10" s="32" t="e" cm="1">
        <f t="array" aca="1" ref="K10" ca="1">INDIRECT(CONCATENATE("'",HLOOKUP(K$1,$B$21:$E$23,3,FALSE),"'!",$B$25,ROW($A10)+5))*About!$A$27</f>
        <v>#VALUE!</v>
      </c>
      <c r="L10" t="e">
        <f t="shared" ca="1" si="5"/>
        <v>#VALUE!</v>
      </c>
      <c r="M10" t="e">
        <f t="shared" ca="1" si="2"/>
        <v>#VALUE!</v>
      </c>
      <c r="N10" t="e">
        <f t="shared" ca="1" si="2"/>
        <v>#VALUE!</v>
      </c>
      <c r="O10" t="e">
        <f t="shared" ca="1" si="2"/>
        <v>#VALUE!</v>
      </c>
      <c r="P10" s="32" t="e" cm="1">
        <f t="array" aca="1" ref="P10" ca="1">INDIRECT(CONCATENATE("'",HLOOKUP(P$1,$B$21:$E$23,3,FALSE),"'!",$B$25,ROW($A10)+5))*About!$A$27</f>
        <v>#VALUE!</v>
      </c>
      <c r="Q10" t="e" cm="1">
        <f t="array" aca="1" ref="Q10" ca="1">TREND($K10:$P10,$K$1:$P$1,Q$1)</f>
        <v>#VALUE!</v>
      </c>
      <c r="R10" t="e" cm="1">
        <f t="array" aca="1" ref="R10" ca="1">TREND($K10:$P10,$K$1:$P$1,R$1)</f>
        <v>#VALUE!</v>
      </c>
      <c r="S10" t="e" cm="1">
        <f t="array" aca="1" ref="S10" ca="1">TREND($K10:$P10,$K$1:$P$1,S$1)</f>
        <v>#VALUE!</v>
      </c>
      <c r="T10" t="e" cm="1">
        <f t="array" aca="1" ref="T10" ca="1">TREND($K10:$P10,$K$1:$P$1,T$1)</f>
        <v>#VALUE!</v>
      </c>
      <c r="U10" t="e" cm="1">
        <f t="array" aca="1" ref="U10" ca="1">TREND($K10:$P10,$K$1:$P$1,U$1)</f>
        <v>#VALUE!</v>
      </c>
      <c r="V10" t="e" cm="1">
        <f t="array" aca="1" ref="V10" ca="1">TREND($K10:$P10,$K$1:$P$1,V$1)</f>
        <v>#VALUE!</v>
      </c>
      <c r="W10" t="e" cm="1">
        <f t="array" aca="1" ref="W10" ca="1">TREND($K10:$P10,$K$1:$P$1,W$1)</f>
        <v>#VALUE!</v>
      </c>
      <c r="X10" t="e" cm="1">
        <f t="array" aca="1" ref="X10" ca="1">TREND($K10:$P10,$K$1:$P$1,X$1)</f>
        <v>#VALUE!</v>
      </c>
      <c r="Y10" t="e" cm="1">
        <f t="array" aca="1" ref="Y10" ca="1">TREND($K10:$P10,$K$1:$P$1,Y$1)</f>
        <v>#VALUE!</v>
      </c>
      <c r="Z10" t="e" cm="1">
        <f t="array" aca="1" ref="Z10" ca="1">TREND($K10:$P10,$K$1:$P$1,Z$1)</f>
        <v>#VALUE!</v>
      </c>
      <c r="AA10" t="e" cm="1">
        <f t="array" aca="1" ref="AA10" ca="1">TREND($K10:$P10,$K$1:$P$1,AA$1)</f>
        <v>#VALUE!</v>
      </c>
      <c r="AB10" t="e" cm="1">
        <f t="array" aca="1" ref="AB10" ca="1">TREND($K10:$P10,$K$1:$P$1,AB$1)</f>
        <v>#VALUE!</v>
      </c>
      <c r="AC10" t="e" cm="1">
        <f t="array" aca="1" ref="AC10" ca="1">TREND($K10:$P10,$K$1:$P$1,AC$1)</f>
        <v>#VALUE!</v>
      </c>
      <c r="AD10" t="e" cm="1">
        <f t="array" aca="1" ref="AD10" ca="1">TREND($K10:$P10,$K$1:$P$1,AD$1)</f>
        <v>#VALUE!</v>
      </c>
      <c r="AE10" t="e" cm="1">
        <f t="array" aca="1" ref="AE10" ca="1">TREND($K10:$P10,$K$1:$P$1,AE$1)</f>
        <v>#VALUE!</v>
      </c>
      <c r="AF10" t="e" cm="1">
        <f t="array" aca="1" ref="AF10" ca="1">TREND($K10:$P10,$K$1:$P$1,AF$1)</f>
        <v>#VALUE!</v>
      </c>
      <c r="AG10" t="e" cm="1">
        <f t="array" aca="1" ref="AG10" ca="1">TREND($K10:$P10,$K$1:$P$1,AG$1)</f>
        <v>#VALUE!</v>
      </c>
      <c r="AH10" t="e" cm="1">
        <f t="array" aca="1" ref="AH10" ca="1">TREND($K10:$P10,$K$1:$P$1,AH$1)</f>
        <v>#VALUE!</v>
      </c>
      <c r="AI10" t="e" cm="1">
        <f t="array" aca="1" ref="AI10" ca="1">TREND($K10:$P10,$K$1:$P$1,AI$1)</f>
        <v>#VALUE!</v>
      </c>
      <c r="AJ10" t="e" cm="1">
        <f t="array" aca="1" ref="AJ10" ca="1">TREND($K10:$P10,$K$1:$P$1,AJ$1)</f>
        <v>#VALUE!</v>
      </c>
    </row>
    <row r="11" spans="1:36">
      <c r="A11" t="s">
        <v>84</v>
      </c>
      <c r="B11" s="32" t="e" cm="1">
        <f t="array" aca="1" ref="B11" ca="1">INDIRECT(CONCATENATE("'",HLOOKUP(B$1,$B$21:$E$23,3,FALSE),"'!",$B$25,ROW($A11)+5))*About!$A$27</f>
        <v>#VALUE!</v>
      </c>
      <c r="C11" t="e">
        <f t="shared" ca="1" si="3"/>
        <v>#VALUE!</v>
      </c>
      <c r="D11" t="e">
        <f t="shared" ca="1" si="0"/>
        <v>#VALUE!</v>
      </c>
      <c r="E11" t="e">
        <f t="shared" ca="1" si="0"/>
        <v>#VALUE!</v>
      </c>
      <c r="F11" s="32" t="e" cm="1">
        <f t="array" aca="1" ref="F11" ca="1">INDIRECT(CONCATENATE("'",HLOOKUP(F$1,$B$21:$E$23,3,FALSE),"'!",$B$25,ROW($A11)+5))*About!$A$27</f>
        <v>#VALUE!</v>
      </c>
      <c r="G11" t="e">
        <f t="shared" ca="1" si="4"/>
        <v>#VALUE!</v>
      </c>
      <c r="H11" t="e">
        <f t="shared" ca="1" si="1"/>
        <v>#VALUE!</v>
      </c>
      <c r="I11" t="e">
        <f t="shared" ca="1" si="1"/>
        <v>#VALUE!</v>
      </c>
      <c r="J11" t="e">
        <f t="shared" ca="1" si="1"/>
        <v>#VALUE!</v>
      </c>
      <c r="K11" s="32" t="e" cm="1">
        <f t="array" aca="1" ref="K11" ca="1">INDIRECT(CONCATENATE("'",HLOOKUP(K$1,$B$21:$E$23,3,FALSE),"'!",$B$25,ROW($A11)+5))*About!$A$27</f>
        <v>#VALUE!</v>
      </c>
      <c r="L11" t="e">
        <f t="shared" ca="1" si="5"/>
        <v>#VALUE!</v>
      </c>
      <c r="M11" t="e">
        <f t="shared" ca="1" si="2"/>
        <v>#VALUE!</v>
      </c>
      <c r="N11" t="e">
        <f t="shared" ca="1" si="2"/>
        <v>#VALUE!</v>
      </c>
      <c r="O11" t="e">
        <f t="shared" ca="1" si="2"/>
        <v>#VALUE!</v>
      </c>
      <c r="P11" s="32" t="e" cm="1">
        <f t="array" aca="1" ref="P11" ca="1">INDIRECT(CONCATENATE("'",HLOOKUP(P$1,$B$21:$E$23,3,FALSE),"'!",$B$25,ROW($A11)+5))*About!$A$27</f>
        <v>#VALUE!</v>
      </c>
      <c r="Q11" t="e" cm="1">
        <f t="array" aca="1" ref="Q11" ca="1">TREND($K11:$P11,$K$1:$P$1,Q$1)</f>
        <v>#VALUE!</v>
      </c>
      <c r="R11" t="e" cm="1">
        <f t="array" aca="1" ref="R11" ca="1">TREND($K11:$P11,$K$1:$P$1,R$1)</f>
        <v>#VALUE!</v>
      </c>
      <c r="S11" t="e" cm="1">
        <f t="array" aca="1" ref="S11" ca="1">TREND($K11:$P11,$K$1:$P$1,S$1)</f>
        <v>#VALUE!</v>
      </c>
      <c r="T11" t="e" cm="1">
        <f t="array" aca="1" ref="T11" ca="1">TREND($K11:$P11,$K$1:$P$1,T$1)</f>
        <v>#VALUE!</v>
      </c>
      <c r="U11" t="e" cm="1">
        <f t="array" aca="1" ref="U11" ca="1">TREND($K11:$P11,$K$1:$P$1,U$1)</f>
        <v>#VALUE!</v>
      </c>
      <c r="V11" t="e" cm="1">
        <f t="array" aca="1" ref="V11" ca="1">TREND($K11:$P11,$K$1:$P$1,V$1)</f>
        <v>#VALUE!</v>
      </c>
      <c r="W11" t="e" cm="1">
        <f t="array" aca="1" ref="W11" ca="1">TREND($K11:$P11,$K$1:$P$1,W$1)</f>
        <v>#VALUE!</v>
      </c>
      <c r="X11" t="e" cm="1">
        <f t="array" aca="1" ref="X11" ca="1">TREND($K11:$P11,$K$1:$P$1,X$1)</f>
        <v>#VALUE!</v>
      </c>
      <c r="Y11" t="e" cm="1">
        <f t="array" aca="1" ref="Y11" ca="1">TREND($K11:$P11,$K$1:$P$1,Y$1)</f>
        <v>#VALUE!</v>
      </c>
      <c r="Z11" t="e" cm="1">
        <f t="array" aca="1" ref="Z11" ca="1">TREND($K11:$P11,$K$1:$P$1,Z$1)</f>
        <v>#VALUE!</v>
      </c>
      <c r="AA11" t="e" cm="1">
        <f t="array" aca="1" ref="AA11" ca="1">TREND($K11:$P11,$K$1:$P$1,AA$1)</f>
        <v>#VALUE!</v>
      </c>
      <c r="AB11" t="e" cm="1">
        <f t="array" aca="1" ref="AB11" ca="1">TREND($K11:$P11,$K$1:$P$1,AB$1)</f>
        <v>#VALUE!</v>
      </c>
      <c r="AC11" t="e" cm="1">
        <f t="array" aca="1" ref="AC11" ca="1">TREND($K11:$P11,$K$1:$P$1,AC$1)</f>
        <v>#VALUE!</v>
      </c>
      <c r="AD11" t="e" cm="1">
        <f t="array" aca="1" ref="AD11" ca="1">TREND($K11:$P11,$K$1:$P$1,AD$1)</f>
        <v>#VALUE!</v>
      </c>
      <c r="AE11" t="e" cm="1">
        <f t="array" aca="1" ref="AE11" ca="1">TREND($K11:$P11,$K$1:$P$1,AE$1)</f>
        <v>#VALUE!</v>
      </c>
      <c r="AF11" t="e" cm="1">
        <f t="array" aca="1" ref="AF11" ca="1">TREND($K11:$P11,$K$1:$P$1,AF$1)</f>
        <v>#VALUE!</v>
      </c>
      <c r="AG11" t="e" cm="1">
        <f t="array" aca="1" ref="AG11" ca="1">TREND($K11:$P11,$K$1:$P$1,AG$1)</f>
        <v>#VALUE!</v>
      </c>
      <c r="AH11" t="e" cm="1">
        <f t="array" aca="1" ref="AH11" ca="1">TREND($K11:$P11,$K$1:$P$1,AH$1)</f>
        <v>#VALUE!</v>
      </c>
      <c r="AI11" t="e" cm="1">
        <f t="array" aca="1" ref="AI11" ca="1">TREND($K11:$P11,$K$1:$P$1,AI$1)</f>
        <v>#VALUE!</v>
      </c>
      <c r="AJ11" t="e" cm="1">
        <f t="array" aca="1" ref="AJ11" ca="1">TREND($K11:$P11,$K$1:$P$1,AJ$1)</f>
        <v>#VALUE!</v>
      </c>
    </row>
    <row r="12" spans="1:36">
      <c r="A12" t="s">
        <v>85</v>
      </c>
      <c r="B12" s="33" t="e">
        <f ca="1">SUM(INDIRECT(CONCATENATE("'",HLOOKUP(B$1,$B$21:$E$23,3,FALSE),"'!",$B$25,ROW($A12)+5,":",$B$25,ROW($A12)+6)))*About!$A$27</f>
        <v>#VALUE!</v>
      </c>
      <c r="C12" t="e">
        <f t="shared" ca="1" si="3"/>
        <v>#VALUE!</v>
      </c>
      <c r="D12" t="e">
        <f t="shared" ca="1" si="0"/>
        <v>#VALUE!</v>
      </c>
      <c r="E12" t="e">
        <f t="shared" ca="1" si="0"/>
        <v>#VALUE!</v>
      </c>
      <c r="F12" s="33" t="e">
        <f ca="1">SUM(INDIRECT(CONCATENATE("'",HLOOKUP(F$1,$B$21:$E$23,3,FALSE),"'!",$B$25,ROW($A12)+5,":",$B$25,ROW($A12)+6)))*About!$A$27</f>
        <v>#VALUE!</v>
      </c>
      <c r="G12" t="e">
        <f t="shared" ca="1" si="4"/>
        <v>#VALUE!</v>
      </c>
      <c r="H12" t="e">
        <f t="shared" ca="1" si="1"/>
        <v>#VALUE!</v>
      </c>
      <c r="I12" t="e">
        <f t="shared" ca="1" si="1"/>
        <v>#VALUE!</v>
      </c>
      <c r="J12" t="e">
        <f t="shared" ca="1" si="1"/>
        <v>#VALUE!</v>
      </c>
      <c r="K12" s="33" t="e">
        <f ca="1">SUM(INDIRECT(CONCATENATE("'",HLOOKUP(K$1,$B$21:$E$23,3,FALSE),"'!",$B$25,ROW($A12)+5,":",$B$25,ROW($A12)+6)))*About!$A$27</f>
        <v>#VALUE!</v>
      </c>
      <c r="L12" t="e">
        <f t="shared" ca="1" si="5"/>
        <v>#VALUE!</v>
      </c>
      <c r="M12" t="e">
        <f t="shared" ca="1" si="2"/>
        <v>#VALUE!</v>
      </c>
      <c r="N12" t="e">
        <f t="shared" ca="1" si="2"/>
        <v>#VALUE!</v>
      </c>
      <c r="O12" t="e">
        <f t="shared" ca="1" si="2"/>
        <v>#VALUE!</v>
      </c>
      <c r="P12" s="33" t="e">
        <f ca="1">SUM(INDIRECT(CONCATENATE("'",HLOOKUP(P$1,$B$21:$E$23,3,FALSE),"'!",$B$25,ROW($A12)+5,":",$B$25,ROW($A12)+6)))*About!$A$27</f>
        <v>#VALUE!</v>
      </c>
      <c r="Q12" t="e" cm="1">
        <f t="array" aca="1" ref="Q12" ca="1">TREND($K12:$P12,$K$1:$P$1,Q$1)</f>
        <v>#VALUE!</v>
      </c>
      <c r="R12" t="e" cm="1">
        <f t="array" aca="1" ref="R12" ca="1">TREND($K12:$P12,$K$1:$P$1,R$1)</f>
        <v>#VALUE!</v>
      </c>
      <c r="S12" t="e" cm="1">
        <f t="array" aca="1" ref="S12" ca="1">TREND($K12:$P12,$K$1:$P$1,S$1)</f>
        <v>#VALUE!</v>
      </c>
      <c r="T12" t="e" cm="1">
        <f t="array" aca="1" ref="T12" ca="1">TREND($K12:$P12,$K$1:$P$1,T$1)</f>
        <v>#VALUE!</v>
      </c>
      <c r="U12" t="e" cm="1">
        <f t="array" aca="1" ref="U12" ca="1">TREND($K12:$P12,$K$1:$P$1,U$1)</f>
        <v>#VALUE!</v>
      </c>
      <c r="V12" t="e" cm="1">
        <f t="array" aca="1" ref="V12" ca="1">TREND($K12:$P12,$K$1:$P$1,V$1)</f>
        <v>#VALUE!</v>
      </c>
      <c r="W12" t="e" cm="1">
        <f t="array" aca="1" ref="W12" ca="1">TREND($K12:$P12,$K$1:$P$1,W$1)</f>
        <v>#VALUE!</v>
      </c>
      <c r="X12" t="e" cm="1">
        <f t="array" aca="1" ref="X12" ca="1">TREND($K12:$P12,$K$1:$P$1,X$1)</f>
        <v>#VALUE!</v>
      </c>
      <c r="Y12" t="e" cm="1">
        <f t="array" aca="1" ref="Y12" ca="1">TREND($K12:$P12,$K$1:$P$1,Y$1)</f>
        <v>#VALUE!</v>
      </c>
      <c r="Z12" t="e" cm="1">
        <f t="array" aca="1" ref="Z12" ca="1">TREND($K12:$P12,$K$1:$P$1,Z$1)</f>
        <v>#VALUE!</v>
      </c>
      <c r="AA12" t="e" cm="1">
        <f t="array" aca="1" ref="AA12" ca="1">TREND($K12:$P12,$K$1:$P$1,AA$1)</f>
        <v>#VALUE!</v>
      </c>
      <c r="AB12" t="e" cm="1">
        <f t="array" aca="1" ref="AB12" ca="1">TREND($K12:$P12,$K$1:$P$1,AB$1)</f>
        <v>#VALUE!</v>
      </c>
      <c r="AC12" t="e" cm="1">
        <f t="array" aca="1" ref="AC12" ca="1">TREND($K12:$P12,$K$1:$P$1,AC$1)</f>
        <v>#VALUE!</v>
      </c>
      <c r="AD12" t="e" cm="1">
        <f t="array" aca="1" ref="AD12" ca="1">TREND($K12:$P12,$K$1:$P$1,AD$1)</f>
        <v>#VALUE!</v>
      </c>
      <c r="AE12" t="e" cm="1">
        <f t="array" aca="1" ref="AE12" ca="1">TREND($K12:$P12,$K$1:$P$1,AE$1)</f>
        <v>#VALUE!</v>
      </c>
      <c r="AF12" t="e" cm="1">
        <f t="array" aca="1" ref="AF12" ca="1">TREND($K12:$P12,$K$1:$P$1,AF$1)</f>
        <v>#VALUE!</v>
      </c>
      <c r="AG12" t="e" cm="1">
        <f t="array" aca="1" ref="AG12" ca="1">TREND($K12:$P12,$K$1:$P$1,AG$1)</f>
        <v>#VALUE!</v>
      </c>
      <c r="AH12" t="e" cm="1">
        <f t="array" aca="1" ref="AH12" ca="1">TREND($K12:$P12,$K$1:$P$1,AH$1)</f>
        <v>#VALUE!</v>
      </c>
      <c r="AI12" t="e" cm="1">
        <f t="array" aca="1" ref="AI12" ca="1">TREND($K12:$P12,$K$1:$P$1,AI$1)</f>
        <v>#VALUE!</v>
      </c>
      <c r="AJ12" t="e" cm="1">
        <f t="array" aca="1" ref="AJ12" ca="1">TREND($K12:$P12,$K$1:$P$1,AJ$1)</f>
        <v>#VALUE!</v>
      </c>
    </row>
    <row r="16" spans="1:36">
      <c r="A16" s="20" t="s">
        <v>86</v>
      </c>
      <c r="B16" s="21"/>
      <c r="C16" s="21"/>
      <c r="D16" s="21"/>
    </row>
    <row r="17" spans="1:5">
      <c r="A17" t="s">
        <v>87</v>
      </c>
      <c r="B17" t="e" cm="1">
        <f t="array" aca="1" ref="B17" ca="1">MID(CELL("filename",A17),FIND("]",CELL("filename",A17))+1,255)</f>
        <v>#VALUE!</v>
      </c>
    </row>
    <row r="18" spans="1:5">
      <c r="A18" t="s">
        <v>88</v>
      </c>
      <c r="B18" t="e">
        <f ca="1">RIGHT(B17,LEN(B17)-7)</f>
        <v>#VALUE!</v>
      </c>
    </row>
    <row r="19" spans="1:5">
      <c r="A19" t="s">
        <v>89</v>
      </c>
      <c r="B19" t="e">
        <f ca="1">LEFT(B18,FIND("-",B18)-1)</f>
        <v>#VALUE!</v>
      </c>
    </row>
    <row r="20" spans="1:5">
      <c r="A20" t="s">
        <v>90</v>
      </c>
      <c r="B20" t="e">
        <f ca="1">VLOOKUP($B$19,Mappings!$A$22:$B$26,COLUMN(Mappings!$B$21),FALSE)</f>
        <v>#VALUE!</v>
      </c>
    </row>
    <row r="21" spans="1:5">
      <c r="A21" s="23"/>
      <c r="B21" s="24">
        <v>2016</v>
      </c>
      <c r="C21" s="24">
        <v>2020</v>
      </c>
      <c r="D21" s="24">
        <v>2025</v>
      </c>
      <c r="E21" s="25">
        <v>2030</v>
      </c>
    </row>
    <row r="22" spans="1:5">
      <c r="A22" s="26" t="s">
        <v>91</v>
      </c>
      <c r="B22" s="2" t="e">
        <f ca="1">VLOOKUP($B$20,Mappings!$A$3:$E$19,COLUMN(Mappings!B$2),FALSE)</f>
        <v>#VALUE!</v>
      </c>
      <c r="C22" s="2" t="e">
        <f ca="1">VLOOKUP($B$20,Mappings!$A$3:$E$19,COLUMN(Mappings!C$2),FALSE)</f>
        <v>#VALUE!</v>
      </c>
      <c r="D22" s="2" t="e">
        <f ca="1">VLOOKUP($B$20,Mappings!$A$3:$E$19,COLUMN(Mappings!D$2),FALSE)</f>
        <v>#VALUE!</v>
      </c>
      <c r="E22" s="27" t="e">
        <f ca="1">VLOOKUP($B$20,Mappings!$A$3:$E$19,COLUMN(Mappings!E$2),FALSE)</f>
        <v>#VALUE!</v>
      </c>
    </row>
    <row r="23" spans="1:5">
      <c r="A23" s="28" t="s">
        <v>87</v>
      </c>
      <c r="B23" s="29" t="e">
        <f ca="1">CONCATENATE("Table ",B22)</f>
        <v>#VALUE!</v>
      </c>
      <c r="C23" s="29" t="e">
        <f ca="1">CONCATENATE("Table ",C22)</f>
        <v>#VALUE!</v>
      </c>
      <c r="D23" s="29" t="e">
        <f ca="1">CONCATENATE("Table ",D22)</f>
        <v>#VALUE!</v>
      </c>
      <c r="E23" s="30" t="e">
        <f ca="1">CONCATENATE("Table ",E22)</f>
        <v>#VALUE!</v>
      </c>
    </row>
    <row r="24" spans="1:5">
      <c r="A24" t="s">
        <v>92</v>
      </c>
      <c r="B24" t="e">
        <f ca="1">REPLACE(B18,1,FIND("-",B18),"")</f>
        <v>#VALUE!</v>
      </c>
    </row>
    <row r="25" spans="1:5">
      <c r="A25" t="s">
        <v>93</v>
      </c>
      <c r="B25" s="2" t="e">
        <f ca="1">VLOOKUP($B$24,Mappings!$A$29:$B$31,COLUMN(Mappings!$B$29),FALSE)</f>
        <v>#VALUE!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6BAB8-13FD-4F3B-9BA2-4767544296D3}">
  <sheetPr>
    <tabColor theme="4" tint="-0.249977111117893"/>
  </sheetPr>
  <dimension ref="A1:AJ25"/>
  <sheetViews>
    <sheetView workbookViewId="0"/>
  </sheetViews>
  <sheetFormatPr defaultColWidth="8.7109375" defaultRowHeight="14.45"/>
  <cols>
    <col min="1" max="1" width="33.7109375" customWidth="1"/>
  </cols>
  <sheetData>
    <row r="1" spans="1:36" s="1" customFormat="1">
      <c r="A1" s="22" t="s">
        <v>74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>
      <c r="A2" t="s">
        <v>75</v>
      </c>
      <c r="B2" s="31" t="e" cm="1">
        <f t="array" aca="1" ref="B2" ca="1">INDIRECT(CONCATENATE("'",HLOOKUP(B$1,$B$21:$E$23,3,FALSE),"'!",$B$25,ROW($A2)+3))*About!$A$27</f>
        <v>#VALUE!</v>
      </c>
      <c r="C2" t="e">
        <f ca="1">$B2+($F2-$B2)*(C$1-$B$1)/($F$1-$B$1)</f>
        <v>#VALUE!</v>
      </c>
      <c r="D2" t="e">
        <f t="shared" ref="D2:E12" ca="1" si="0">$B2+($F2-$B2)*(D$1-$B$1)/($F$1-$B$1)</f>
        <v>#VALUE!</v>
      </c>
      <c r="E2" t="e">
        <f t="shared" ca="1" si="0"/>
        <v>#VALUE!</v>
      </c>
      <c r="F2" s="31" t="e" cm="1">
        <f t="array" aca="1" ref="F2" ca="1">INDIRECT(CONCATENATE("'",HLOOKUP(F$1,$B$21:$E$23,3,FALSE),"'!",$B$25,ROW($A2)+3))*About!$A$27</f>
        <v>#VALUE!</v>
      </c>
      <c r="G2" t="e">
        <f ca="1">$F2+($K2-$F2)*(G$1-$F$1)/($K$1-$F$1)</f>
        <v>#VALUE!</v>
      </c>
      <c r="H2" t="e">
        <f t="shared" ref="H2:J12" ca="1" si="1">$F2+($K2-$F2)*(H$1-$F$1)/($K$1-$F$1)</f>
        <v>#VALUE!</v>
      </c>
      <c r="I2" t="e">
        <f t="shared" ca="1" si="1"/>
        <v>#VALUE!</v>
      </c>
      <c r="J2" t="e">
        <f t="shared" ca="1" si="1"/>
        <v>#VALUE!</v>
      </c>
      <c r="K2" s="31" t="e" cm="1">
        <f t="array" aca="1" ref="K2" ca="1">INDIRECT(CONCATENATE("'",HLOOKUP(K$1,$B$21:$E$23,3,FALSE),"'!",$B$25,ROW($A2)+3))*About!$A$27</f>
        <v>#VALUE!</v>
      </c>
      <c r="L2" t="e">
        <f ca="1">$K2+($P2-$K2)*(L$1-$K$1)/($P$1-$K$1)</f>
        <v>#VALUE!</v>
      </c>
      <c r="M2" t="e">
        <f t="shared" ref="M2:O12" ca="1" si="2">$K2+($P2-$K2)*(M$1-$K$1)/($P$1-$K$1)</f>
        <v>#VALUE!</v>
      </c>
      <c r="N2" t="e">
        <f t="shared" ca="1" si="2"/>
        <v>#VALUE!</v>
      </c>
      <c r="O2" t="e">
        <f t="shared" ca="1" si="2"/>
        <v>#VALUE!</v>
      </c>
      <c r="P2" s="31" t="e" cm="1">
        <f t="array" aca="1" ref="P2" ca="1">INDIRECT(CONCATENATE("'",HLOOKUP(P$1,$B$21:$E$23,3,FALSE),"'!",$B$25,ROW($A2)+3))*About!$A$27</f>
        <v>#VALUE!</v>
      </c>
      <c r="Q2" t="e" cm="1">
        <f t="array" aca="1" ref="Q2" ca="1">TREND($K2:$P2,$K$1:$P$1,Q$1)</f>
        <v>#VALUE!</v>
      </c>
      <c r="R2" t="e" cm="1">
        <f t="array" aca="1" ref="R2" ca="1">TREND($K2:$P2,$K$1:$P$1,R$1)</f>
        <v>#VALUE!</v>
      </c>
      <c r="S2" t="e" cm="1">
        <f t="array" aca="1" ref="S2" ca="1">TREND($K2:$P2,$K$1:$P$1,S$1)</f>
        <v>#VALUE!</v>
      </c>
      <c r="T2" t="e" cm="1">
        <f t="array" aca="1" ref="T2" ca="1">TREND($K2:$P2,$K$1:$P$1,T$1)</f>
        <v>#VALUE!</v>
      </c>
      <c r="U2" t="e" cm="1">
        <f t="array" aca="1" ref="U2" ca="1">TREND($K2:$P2,$K$1:$P$1,U$1)</f>
        <v>#VALUE!</v>
      </c>
      <c r="V2" t="e" cm="1">
        <f t="array" aca="1" ref="V2" ca="1">TREND($K2:$P2,$K$1:$P$1,V$1)</f>
        <v>#VALUE!</v>
      </c>
      <c r="W2" t="e" cm="1">
        <f t="array" aca="1" ref="W2" ca="1">TREND($K2:$P2,$K$1:$P$1,W$1)</f>
        <v>#VALUE!</v>
      </c>
      <c r="X2" t="e" cm="1">
        <f t="array" aca="1" ref="X2" ca="1">TREND($K2:$P2,$K$1:$P$1,X$1)</f>
        <v>#VALUE!</v>
      </c>
      <c r="Y2" t="e" cm="1">
        <f t="array" aca="1" ref="Y2" ca="1">TREND($K2:$P2,$K$1:$P$1,Y$1)</f>
        <v>#VALUE!</v>
      </c>
      <c r="Z2" t="e" cm="1">
        <f t="array" aca="1" ref="Z2" ca="1">TREND($K2:$P2,$K$1:$P$1,Z$1)</f>
        <v>#VALUE!</v>
      </c>
      <c r="AA2" t="e" cm="1">
        <f t="array" aca="1" ref="AA2" ca="1">TREND($K2:$P2,$K$1:$P$1,AA$1)</f>
        <v>#VALUE!</v>
      </c>
      <c r="AB2" t="e" cm="1">
        <f t="array" aca="1" ref="AB2" ca="1">TREND($K2:$P2,$K$1:$P$1,AB$1)</f>
        <v>#VALUE!</v>
      </c>
      <c r="AC2" t="e" cm="1">
        <f t="array" aca="1" ref="AC2" ca="1">TREND($K2:$P2,$K$1:$P$1,AC$1)</f>
        <v>#VALUE!</v>
      </c>
      <c r="AD2" t="e" cm="1">
        <f t="array" aca="1" ref="AD2" ca="1">TREND($K2:$P2,$K$1:$P$1,AD$1)</f>
        <v>#VALUE!</v>
      </c>
      <c r="AE2" t="e" cm="1">
        <f t="array" aca="1" ref="AE2" ca="1">TREND($K2:$P2,$K$1:$P$1,AE$1)</f>
        <v>#VALUE!</v>
      </c>
      <c r="AF2" t="e" cm="1">
        <f t="array" aca="1" ref="AF2" ca="1">TREND($K2:$P2,$K$1:$P$1,AF$1)</f>
        <v>#VALUE!</v>
      </c>
      <c r="AG2" t="e" cm="1">
        <f t="array" aca="1" ref="AG2" ca="1">TREND($K2:$P2,$K$1:$P$1,AG$1)</f>
        <v>#VALUE!</v>
      </c>
      <c r="AH2" t="e" cm="1">
        <f t="array" aca="1" ref="AH2" ca="1">TREND($K2:$P2,$K$1:$P$1,AH$1)</f>
        <v>#VALUE!</v>
      </c>
      <c r="AI2" t="e" cm="1">
        <f t="array" aca="1" ref="AI2" ca="1">TREND($K2:$P2,$K$1:$P$1,AI$1)</f>
        <v>#VALUE!</v>
      </c>
      <c r="AJ2" t="e" cm="1">
        <f t="array" aca="1" ref="AJ2" ca="1">TREND($K2:$P2,$K$1:$P$1,AJ$1)</f>
        <v>#VALUE!</v>
      </c>
    </row>
    <row r="3" spans="1:36">
      <c r="A3" t="s">
        <v>76</v>
      </c>
      <c r="B3" s="32" t="e" cm="1">
        <f t="array" aca="1" ref="B3" ca="1">INDIRECT(CONCATENATE("'",HLOOKUP(B$1,$B$21:$E$23,3,FALSE),"'!",$B$25,ROW($A3)+5))*About!$A$27</f>
        <v>#VALUE!</v>
      </c>
      <c r="C3" t="e">
        <f t="shared" ref="C3:C12" ca="1" si="3">$B3+($F3-$B3)*(C$1-$B$1)/($F$1-$B$1)</f>
        <v>#VALUE!</v>
      </c>
      <c r="D3" t="e">
        <f t="shared" ca="1" si="0"/>
        <v>#VALUE!</v>
      </c>
      <c r="E3" t="e">
        <f t="shared" ca="1" si="0"/>
        <v>#VALUE!</v>
      </c>
      <c r="F3" s="32" t="e" cm="1">
        <f t="array" aca="1" ref="F3" ca="1">INDIRECT(CONCATENATE("'",HLOOKUP(F$1,$B$21:$E$23,3,FALSE),"'!",$B$25,ROW($A3)+5))*About!$A$27</f>
        <v>#VALUE!</v>
      </c>
      <c r="G3" t="e">
        <f t="shared" ref="G3:G12" ca="1" si="4">$F3+($K3-$F3)*(G$1-$F$1)/($K$1-$F$1)</f>
        <v>#VALUE!</v>
      </c>
      <c r="H3" t="e">
        <f t="shared" ca="1" si="1"/>
        <v>#VALUE!</v>
      </c>
      <c r="I3" t="e">
        <f t="shared" ca="1" si="1"/>
        <v>#VALUE!</v>
      </c>
      <c r="J3" t="e">
        <f t="shared" ca="1" si="1"/>
        <v>#VALUE!</v>
      </c>
      <c r="K3" s="32" t="e" cm="1">
        <f t="array" aca="1" ref="K3" ca="1">INDIRECT(CONCATENATE("'",HLOOKUP(K$1,$B$21:$E$23,3,FALSE),"'!",$B$25,ROW($A3)+5))*About!$A$27</f>
        <v>#VALUE!</v>
      </c>
      <c r="L3" t="e">
        <f t="shared" ref="L3:L12" ca="1" si="5">$K3+($P3-$K3)*(L$1-$K$1)/($P$1-$K$1)</f>
        <v>#VALUE!</v>
      </c>
      <c r="M3" t="e">
        <f t="shared" ca="1" si="2"/>
        <v>#VALUE!</v>
      </c>
      <c r="N3" t="e">
        <f t="shared" ca="1" si="2"/>
        <v>#VALUE!</v>
      </c>
      <c r="O3" t="e">
        <f t="shared" ca="1" si="2"/>
        <v>#VALUE!</v>
      </c>
      <c r="P3" s="32" t="e" cm="1">
        <f t="array" aca="1" ref="P3" ca="1">INDIRECT(CONCATENATE("'",HLOOKUP(P$1,$B$21:$E$23,3,FALSE),"'!",$B$25,ROW($A3)+5))*About!$A$27</f>
        <v>#VALUE!</v>
      </c>
      <c r="Q3" t="e" cm="1">
        <f t="array" aca="1" ref="Q3" ca="1">TREND($K3:$P3,$K$1:$P$1,Q$1)</f>
        <v>#VALUE!</v>
      </c>
      <c r="R3" t="e" cm="1">
        <f t="array" aca="1" ref="R3" ca="1">TREND($K3:$P3,$K$1:$P$1,R$1)</f>
        <v>#VALUE!</v>
      </c>
      <c r="S3" t="e" cm="1">
        <f t="array" aca="1" ref="S3" ca="1">TREND($K3:$P3,$K$1:$P$1,S$1)</f>
        <v>#VALUE!</v>
      </c>
      <c r="T3" t="e" cm="1">
        <f t="array" aca="1" ref="T3" ca="1">TREND($K3:$P3,$K$1:$P$1,T$1)</f>
        <v>#VALUE!</v>
      </c>
      <c r="U3" t="e" cm="1">
        <f t="array" aca="1" ref="U3" ca="1">TREND($K3:$P3,$K$1:$P$1,U$1)</f>
        <v>#VALUE!</v>
      </c>
      <c r="V3" t="e" cm="1">
        <f t="array" aca="1" ref="V3" ca="1">TREND($K3:$P3,$K$1:$P$1,V$1)</f>
        <v>#VALUE!</v>
      </c>
      <c r="W3" t="e" cm="1">
        <f t="array" aca="1" ref="W3" ca="1">TREND($K3:$P3,$K$1:$P$1,W$1)</f>
        <v>#VALUE!</v>
      </c>
      <c r="X3" t="e" cm="1">
        <f t="array" aca="1" ref="X3" ca="1">TREND($K3:$P3,$K$1:$P$1,X$1)</f>
        <v>#VALUE!</v>
      </c>
      <c r="Y3" t="e" cm="1">
        <f t="array" aca="1" ref="Y3" ca="1">TREND($K3:$P3,$K$1:$P$1,Y$1)</f>
        <v>#VALUE!</v>
      </c>
      <c r="Z3" t="e" cm="1">
        <f t="array" aca="1" ref="Z3" ca="1">TREND($K3:$P3,$K$1:$P$1,Z$1)</f>
        <v>#VALUE!</v>
      </c>
      <c r="AA3" t="e" cm="1">
        <f t="array" aca="1" ref="AA3" ca="1">TREND($K3:$P3,$K$1:$P$1,AA$1)</f>
        <v>#VALUE!</v>
      </c>
      <c r="AB3" t="e" cm="1">
        <f t="array" aca="1" ref="AB3" ca="1">TREND($K3:$P3,$K$1:$P$1,AB$1)</f>
        <v>#VALUE!</v>
      </c>
      <c r="AC3" t="e" cm="1">
        <f t="array" aca="1" ref="AC3" ca="1">TREND($K3:$P3,$K$1:$P$1,AC$1)</f>
        <v>#VALUE!</v>
      </c>
      <c r="AD3" t="e" cm="1">
        <f t="array" aca="1" ref="AD3" ca="1">TREND($K3:$P3,$K$1:$P$1,AD$1)</f>
        <v>#VALUE!</v>
      </c>
      <c r="AE3" t="e" cm="1">
        <f t="array" aca="1" ref="AE3" ca="1">TREND($K3:$P3,$K$1:$P$1,AE$1)</f>
        <v>#VALUE!</v>
      </c>
      <c r="AF3" t="e" cm="1">
        <f t="array" aca="1" ref="AF3" ca="1">TREND($K3:$P3,$K$1:$P$1,AF$1)</f>
        <v>#VALUE!</v>
      </c>
      <c r="AG3" t="e" cm="1">
        <f t="array" aca="1" ref="AG3" ca="1">TREND($K3:$P3,$K$1:$P$1,AG$1)</f>
        <v>#VALUE!</v>
      </c>
      <c r="AH3" t="e" cm="1">
        <f t="array" aca="1" ref="AH3" ca="1">TREND($K3:$P3,$K$1:$P$1,AH$1)</f>
        <v>#VALUE!</v>
      </c>
      <c r="AI3" t="e" cm="1">
        <f t="array" aca="1" ref="AI3" ca="1">TREND($K3:$P3,$K$1:$P$1,AI$1)</f>
        <v>#VALUE!</v>
      </c>
      <c r="AJ3" t="e" cm="1">
        <f t="array" aca="1" ref="AJ3" ca="1">TREND($K3:$P3,$K$1:$P$1,AJ$1)</f>
        <v>#VALUE!</v>
      </c>
    </row>
    <row r="4" spans="1:36">
      <c r="A4" t="s">
        <v>77</v>
      </c>
      <c r="B4" s="32" t="e" cm="1">
        <f t="array" aca="1" ref="B4" ca="1">INDIRECT(CONCATENATE("'",HLOOKUP(B$1,$B$21:$E$23,3,FALSE),"'!",$B$25,ROW($A4)+5))*About!$A$27</f>
        <v>#VALUE!</v>
      </c>
      <c r="C4" t="e">
        <f t="shared" ca="1" si="3"/>
        <v>#VALUE!</v>
      </c>
      <c r="D4" t="e">
        <f t="shared" ca="1" si="0"/>
        <v>#VALUE!</v>
      </c>
      <c r="E4" t="e">
        <f t="shared" ca="1" si="0"/>
        <v>#VALUE!</v>
      </c>
      <c r="F4" s="32" t="e" cm="1">
        <f t="array" aca="1" ref="F4" ca="1">INDIRECT(CONCATENATE("'",HLOOKUP(F$1,$B$21:$E$23,3,FALSE),"'!",$B$25,ROW($A4)+5))*About!$A$27</f>
        <v>#VALUE!</v>
      </c>
      <c r="G4" t="e">
        <f t="shared" ca="1" si="4"/>
        <v>#VALUE!</v>
      </c>
      <c r="H4" t="e">
        <f t="shared" ca="1" si="1"/>
        <v>#VALUE!</v>
      </c>
      <c r="I4" t="e">
        <f t="shared" ca="1" si="1"/>
        <v>#VALUE!</v>
      </c>
      <c r="J4" t="e">
        <f t="shared" ca="1" si="1"/>
        <v>#VALUE!</v>
      </c>
      <c r="K4" s="32" t="e" cm="1">
        <f t="array" aca="1" ref="K4" ca="1">INDIRECT(CONCATENATE("'",HLOOKUP(K$1,$B$21:$E$23,3,FALSE),"'!",$B$25,ROW($A4)+5))*About!$A$27</f>
        <v>#VALUE!</v>
      </c>
      <c r="L4" t="e">
        <f t="shared" ca="1" si="5"/>
        <v>#VALUE!</v>
      </c>
      <c r="M4" t="e">
        <f t="shared" ca="1" si="2"/>
        <v>#VALUE!</v>
      </c>
      <c r="N4" t="e">
        <f t="shared" ca="1" si="2"/>
        <v>#VALUE!</v>
      </c>
      <c r="O4" t="e">
        <f t="shared" ca="1" si="2"/>
        <v>#VALUE!</v>
      </c>
      <c r="P4" s="32" t="e" cm="1">
        <f t="array" aca="1" ref="P4" ca="1">INDIRECT(CONCATENATE("'",HLOOKUP(P$1,$B$21:$E$23,3,FALSE),"'!",$B$25,ROW($A4)+5))*About!$A$27</f>
        <v>#VALUE!</v>
      </c>
      <c r="Q4" t="e" cm="1">
        <f t="array" aca="1" ref="Q4" ca="1">TREND($K4:$P4,$K$1:$P$1,Q$1)</f>
        <v>#VALUE!</v>
      </c>
      <c r="R4" t="e" cm="1">
        <f t="array" aca="1" ref="R4" ca="1">TREND($K4:$P4,$K$1:$P$1,R$1)</f>
        <v>#VALUE!</v>
      </c>
      <c r="S4" t="e" cm="1">
        <f t="array" aca="1" ref="S4" ca="1">TREND($K4:$P4,$K$1:$P$1,S$1)</f>
        <v>#VALUE!</v>
      </c>
      <c r="T4" t="e" cm="1">
        <f t="array" aca="1" ref="T4" ca="1">TREND($K4:$P4,$K$1:$P$1,T$1)</f>
        <v>#VALUE!</v>
      </c>
      <c r="U4" t="e" cm="1">
        <f t="array" aca="1" ref="U4" ca="1">TREND($K4:$P4,$K$1:$P$1,U$1)</f>
        <v>#VALUE!</v>
      </c>
      <c r="V4" t="e" cm="1">
        <f t="array" aca="1" ref="V4" ca="1">TREND($K4:$P4,$K$1:$P$1,V$1)</f>
        <v>#VALUE!</v>
      </c>
      <c r="W4" t="e" cm="1">
        <f t="array" aca="1" ref="W4" ca="1">TREND($K4:$P4,$K$1:$P$1,W$1)</f>
        <v>#VALUE!</v>
      </c>
      <c r="X4" t="e" cm="1">
        <f t="array" aca="1" ref="X4" ca="1">TREND($K4:$P4,$K$1:$P$1,X$1)</f>
        <v>#VALUE!</v>
      </c>
      <c r="Y4" t="e" cm="1">
        <f t="array" aca="1" ref="Y4" ca="1">TREND($K4:$P4,$K$1:$P$1,Y$1)</f>
        <v>#VALUE!</v>
      </c>
      <c r="Z4" t="e" cm="1">
        <f t="array" aca="1" ref="Z4" ca="1">TREND($K4:$P4,$K$1:$P$1,Z$1)</f>
        <v>#VALUE!</v>
      </c>
      <c r="AA4" t="e" cm="1">
        <f t="array" aca="1" ref="AA4" ca="1">TREND($K4:$P4,$K$1:$P$1,AA$1)</f>
        <v>#VALUE!</v>
      </c>
      <c r="AB4" t="e" cm="1">
        <f t="array" aca="1" ref="AB4" ca="1">TREND($K4:$P4,$K$1:$P$1,AB$1)</f>
        <v>#VALUE!</v>
      </c>
      <c r="AC4" t="e" cm="1">
        <f t="array" aca="1" ref="AC4" ca="1">TREND($K4:$P4,$K$1:$P$1,AC$1)</f>
        <v>#VALUE!</v>
      </c>
      <c r="AD4" t="e" cm="1">
        <f t="array" aca="1" ref="AD4" ca="1">TREND($K4:$P4,$K$1:$P$1,AD$1)</f>
        <v>#VALUE!</v>
      </c>
      <c r="AE4" t="e" cm="1">
        <f t="array" aca="1" ref="AE4" ca="1">TREND($K4:$P4,$K$1:$P$1,AE$1)</f>
        <v>#VALUE!</v>
      </c>
      <c r="AF4" t="e" cm="1">
        <f t="array" aca="1" ref="AF4" ca="1">TREND($K4:$P4,$K$1:$P$1,AF$1)</f>
        <v>#VALUE!</v>
      </c>
      <c r="AG4" t="e" cm="1">
        <f t="array" aca="1" ref="AG4" ca="1">TREND($K4:$P4,$K$1:$P$1,AG$1)</f>
        <v>#VALUE!</v>
      </c>
      <c r="AH4" t="e" cm="1">
        <f t="array" aca="1" ref="AH4" ca="1">TREND($K4:$P4,$K$1:$P$1,AH$1)</f>
        <v>#VALUE!</v>
      </c>
      <c r="AI4" t="e" cm="1">
        <f t="array" aca="1" ref="AI4" ca="1">TREND($K4:$P4,$K$1:$P$1,AI$1)</f>
        <v>#VALUE!</v>
      </c>
      <c r="AJ4" t="e" cm="1">
        <f t="array" aca="1" ref="AJ4" ca="1">TREND($K4:$P4,$K$1:$P$1,AJ$1)</f>
        <v>#VALUE!</v>
      </c>
    </row>
    <row r="5" spans="1:36">
      <c r="A5" t="s">
        <v>78</v>
      </c>
      <c r="B5" s="32" t="e" cm="1">
        <f t="array" aca="1" ref="B5" ca="1">INDIRECT(CONCATENATE("'",HLOOKUP(B$1,$B$21:$E$23,3,FALSE),"'!",$B$25,ROW($A5)+5))*About!$A$27</f>
        <v>#VALUE!</v>
      </c>
      <c r="C5" t="e">
        <f t="shared" ca="1" si="3"/>
        <v>#VALUE!</v>
      </c>
      <c r="D5" t="e">
        <f t="shared" ca="1" si="0"/>
        <v>#VALUE!</v>
      </c>
      <c r="E5" t="e">
        <f t="shared" ca="1" si="0"/>
        <v>#VALUE!</v>
      </c>
      <c r="F5" s="32" t="e" cm="1">
        <f t="array" aca="1" ref="F5" ca="1">INDIRECT(CONCATENATE("'",HLOOKUP(F$1,$B$21:$E$23,3,FALSE),"'!",$B$25,ROW($A5)+5))*About!$A$27</f>
        <v>#VALUE!</v>
      </c>
      <c r="G5" t="e">
        <f t="shared" ca="1" si="4"/>
        <v>#VALUE!</v>
      </c>
      <c r="H5" t="e">
        <f t="shared" ca="1" si="1"/>
        <v>#VALUE!</v>
      </c>
      <c r="I5" t="e">
        <f t="shared" ca="1" si="1"/>
        <v>#VALUE!</v>
      </c>
      <c r="J5" t="e">
        <f t="shared" ca="1" si="1"/>
        <v>#VALUE!</v>
      </c>
      <c r="K5" s="32" t="e" cm="1">
        <f t="array" aca="1" ref="K5" ca="1">INDIRECT(CONCATENATE("'",HLOOKUP(K$1,$B$21:$E$23,3,FALSE),"'!",$B$25,ROW($A5)+5))*About!$A$27</f>
        <v>#VALUE!</v>
      </c>
      <c r="L5" t="e">
        <f t="shared" ca="1" si="5"/>
        <v>#VALUE!</v>
      </c>
      <c r="M5" t="e">
        <f t="shared" ca="1" si="2"/>
        <v>#VALUE!</v>
      </c>
      <c r="N5" t="e">
        <f t="shared" ca="1" si="2"/>
        <v>#VALUE!</v>
      </c>
      <c r="O5" t="e">
        <f t="shared" ca="1" si="2"/>
        <v>#VALUE!</v>
      </c>
      <c r="P5" s="32" t="e" cm="1">
        <f t="array" aca="1" ref="P5" ca="1">INDIRECT(CONCATENATE("'",HLOOKUP(P$1,$B$21:$E$23,3,FALSE),"'!",$B$25,ROW($A5)+5))*About!$A$27</f>
        <v>#VALUE!</v>
      </c>
      <c r="Q5" t="e" cm="1">
        <f t="array" aca="1" ref="Q5" ca="1">TREND($K5:$P5,$K$1:$P$1,Q$1)</f>
        <v>#VALUE!</v>
      </c>
      <c r="R5" t="e" cm="1">
        <f t="array" aca="1" ref="R5" ca="1">TREND($K5:$P5,$K$1:$P$1,R$1)</f>
        <v>#VALUE!</v>
      </c>
      <c r="S5" t="e" cm="1">
        <f t="array" aca="1" ref="S5" ca="1">TREND($K5:$P5,$K$1:$P$1,S$1)</f>
        <v>#VALUE!</v>
      </c>
      <c r="T5" t="e" cm="1">
        <f t="array" aca="1" ref="T5" ca="1">TREND($K5:$P5,$K$1:$P$1,T$1)</f>
        <v>#VALUE!</v>
      </c>
      <c r="U5" t="e" cm="1">
        <f t="array" aca="1" ref="U5" ca="1">TREND($K5:$P5,$K$1:$P$1,U$1)</f>
        <v>#VALUE!</v>
      </c>
      <c r="V5" t="e" cm="1">
        <f t="array" aca="1" ref="V5" ca="1">TREND($K5:$P5,$K$1:$P$1,V$1)</f>
        <v>#VALUE!</v>
      </c>
      <c r="W5" t="e" cm="1">
        <f t="array" aca="1" ref="W5" ca="1">TREND($K5:$P5,$K$1:$P$1,W$1)</f>
        <v>#VALUE!</v>
      </c>
      <c r="X5" t="e" cm="1">
        <f t="array" aca="1" ref="X5" ca="1">TREND($K5:$P5,$K$1:$P$1,X$1)</f>
        <v>#VALUE!</v>
      </c>
      <c r="Y5" t="e" cm="1">
        <f t="array" aca="1" ref="Y5" ca="1">TREND($K5:$P5,$K$1:$P$1,Y$1)</f>
        <v>#VALUE!</v>
      </c>
      <c r="Z5" t="e" cm="1">
        <f t="array" aca="1" ref="Z5" ca="1">TREND($K5:$P5,$K$1:$P$1,Z$1)</f>
        <v>#VALUE!</v>
      </c>
      <c r="AA5" t="e" cm="1">
        <f t="array" aca="1" ref="AA5" ca="1">TREND($K5:$P5,$K$1:$P$1,AA$1)</f>
        <v>#VALUE!</v>
      </c>
      <c r="AB5" t="e" cm="1">
        <f t="array" aca="1" ref="AB5" ca="1">TREND($K5:$P5,$K$1:$P$1,AB$1)</f>
        <v>#VALUE!</v>
      </c>
      <c r="AC5" t="e" cm="1">
        <f t="array" aca="1" ref="AC5" ca="1">TREND($K5:$P5,$K$1:$P$1,AC$1)</f>
        <v>#VALUE!</v>
      </c>
      <c r="AD5" t="e" cm="1">
        <f t="array" aca="1" ref="AD5" ca="1">TREND($K5:$P5,$K$1:$P$1,AD$1)</f>
        <v>#VALUE!</v>
      </c>
      <c r="AE5" t="e" cm="1">
        <f t="array" aca="1" ref="AE5" ca="1">TREND($K5:$P5,$K$1:$P$1,AE$1)</f>
        <v>#VALUE!</v>
      </c>
      <c r="AF5" t="e" cm="1">
        <f t="array" aca="1" ref="AF5" ca="1">TREND($K5:$P5,$K$1:$P$1,AF$1)</f>
        <v>#VALUE!</v>
      </c>
      <c r="AG5" t="e" cm="1">
        <f t="array" aca="1" ref="AG5" ca="1">TREND($K5:$P5,$K$1:$P$1,AG$1)</f>
        <v>#VALUE!</v>
      </c>
      <c r="AH5" t="e" cm="1">
        <f t="array" aca="1" ref="AH5" ca="1">TREND($K5:$P5,$K$1:$P$1,AH$1)</f>
        <v>#VALUE!</v>
      </c>
      <c r="AI5" t="e" cm="1">
        <f t="array" aca="1" ref="AI5" ca="1">TREND($K5:$P5,$K$1:$P$1,AI$1)</f>
        <v>#VALUE!</v>
      </c>
      <c r="AJ5" t="e" cm="1">
        <f t="array" aca="1" ref="AJ5" ca="1">TREND($K5:$P5,$K$1:$P$1,AJ$1)</f>
        <v>#VALUE!</v>
      </c>
    </row>
    <row r="6" spans="1:36">
      <c r="A6" t="s">
        <v>79</v>
      </c>
      <c r="B6" s="32" t="e" cm="1">
        <f t="array" aca="1" ref="B6" ca="1">INDIRECT(CONCATENATE("'",HLOOKUP(B$1,$B$21:$E$23,3,FALSE),"'!",$B$25,ROW($A6)+5))*About!$A$27</f>
        <v>#VALUE!</v>
      </c>
      <c r="C6" t="e">
        <f t="shared" ca="1" si="3"/>
        <v>#VALUE!</v>
      </c>
      <c r="D6" t="e">
        <f t="shared" ca="1" si="0"/>
        <v>#VALUE!</v>
      </c>
      <c r="E6" t="e">
        <f t="shared" ca="1" si="0"/>
        <v>#VALUE!</v>
      </c>
      <c r="F6" s="32" t="e" cm="1">
        <f t="array" aca="1" ref="F6" ca="1">INDIRECT(CONCATENATE("'",HLOOKUP(F$1,$B$21:$E$23,3,FALSE),"'!",$B$25,ROW($A6)+5))*About!$A$27</f>
        <v>#VALUE!</v>
      </c>
      <c r="G6" t="e">
        <f t="shared" ca="1" si="4"/>
        <v>#VALUE!</v>
      </c>
      <c r="H6" t="e">
        <f t="shared" ca="1" si="1"/>
        <v>#VALUE!</v>
      </c>
      <c r="I6" t="e">
        <f t="shared" ca="1" si="1"/>
        <v>#VALUE!</v>
      </c>
      <c r="J6" t="e">
        <f t="shared" ca="1" si="1"/>
        <v>#VALUE!</v>
      </c>
      <c r="K6" s="32" t="e" cm="1">
        <f t="array" aca="1" ref="K6" ca="1">INDIRECT(CONCATENATE("'",HLOOKUP(K$1,$B$21:$E$23,3,FALSE),"'!",$B$25,ROW($A6)+5))*About!$A$27</f>
        <v>#VALUE!</v>
      </c>
      <c r="L6" t="e">
        <f t="shared" ca="1" si="5"/>
        <v>#VALUE!</v>
      </c>
      <c r="M6" t="e">
        <f t="shared" ca="1" si="2"/>
        <v>#VALUE!</v>
      </c>
      <c r="N6" t="e">
        <f t="shared" ca="1" si="2"/>
        <v>#VALUE!</v>
      </c>
      <c r="O6" t="e">
        <f t="shared" ca="1" si="2"/>
        <v>#VALUE!</v>
      </c>
      <c r="P6" s="32" t="e" cm="1">
        <f t="array" aca="1" ref="P6" ca="1">INDIRECT(CONCATENATE("'",HLOOKUP(P$1,$B$21:$E$23,3,FALSE),"'!",$B$25,ROW($A6)+5))*About!$A$27</f>
        <v>#VALUE!</v>
      </c>
      <c r="Q6" t="e" cm="1">
        <f t="array" aca="1" ref="Q6" ca="1">TREND($K6:$P6,$K$1:$P$1,Q$1)</f>
        <v>#VALUE!</v>
      </c>
      <c r="R6" t="e" cm="1">
        <f t="array" aca="1" ref="R6" ca="1">TREND($K6:$P6,$K$1:$P$1,R$1)</f>
        <v>#VALUE!</v>
      </c>
      <c r="S6" t="e" cm="1">
        <f t="array" aca="1" ref="S6" ca="1">TREND($K6:$P6,$K$1:$P$1,S$1)</f>
        <v>#VALUE!</v>
      </c>
      <c r="T6" t="e" cm="1">
        <f t="array" aca="1" ref="T6" ca="1">TREND($K6:$P6,$K$1:$P$1,T$1)</f>
        <v>#VALUE!</v>
      </c>
      <c r="U6" t="e" cm="1">
        <f t="array" aca="1" ref="U6" ca="1">TREND($K6:$P6,$K$1:$P$1,U$1)</f>
        <v>#VALUE!</v>
      </c>
      <c r="V6" t="e" cm="1">
        <f t="array" aca="1" ref="V6" ca="1">TREND($K6:$P6,$K$1:$P$1,V$1)</f>
        <v>#VALUE!</v>
      </c>
      <c r="W6" t="e" cm="1">
        <f t="array" aca="1" ref="W6" ca="1">TREND($K6:$P6,$K$1:$P$1,W$1)</f>
        <v>#VALUE!</v>
      </c>
      <c r="X6" t="e" cm="1">
        <f t="array" aca="1" ref="X6" ca="1">TREND($K6:$P6,$K$1:$P$1,X$1)</f>
        <v>#VALUE!</v>
      </c>
      <c r="Y6" t="e" cm="1">
        <f t="array" aca="1" ref="Y6" ca="1">TREND($K6:$P6,$K$1:$P$1,Y$1)</f>
        <v>#VALUE!</v>
      </c>
      <c r="Z6" t="e" cm="1">
        <f t="array" aca="1" ref="Z6" ca="1">TREND($K6:$P6,$K$1:$P$1,Z$1)</f>
        <v>#VALUE!</v>
      </c>
      <c r="AA6" t="e" cm="1">
        <f t="array" aca="1" ref="AA6" ca="1">TREND($K6:$P6,$K$1:$P$1,AA$1)</f>
        <v>#VALUE!</v>
      </c>
      <c r="AB6" t="e" cm="1">
        <f t="array" aca="1" ref="AB6" ca="1">TREND($K6:$P6,$K$1:$P$1,AB$1)</f>
        <v>#VALUE!</v>
      </c>
      <c r="AC6" t="e" cm="1">
        <f t="array" aca="1" ref="AC6" ca="1">TREND($K6:$P6,$K$1:$P$1,AC$1)</f>
        <v>#VALUE!</v>
      </c>
      <c r="AD6" t="e" cm="1">
        <f t="array" aca="1" ref="AD6" ca="1">TREND($K6:$P6,$K$1:$P$1,AD$1)</f>
        <v>#VALUE!</v>
      </c>
      <c r="AE6" t="e" cm="1">
        <f t="array" aca="1" ref="AE6" ca="1">TREND($K6:$P6,$K$1:$P$1,AE$1)</f>
        <v>#VALUE!</v>
      </c>
      <c r="AF6" t="e" cm="1">
        <f t="array" aca="1" ref="AF6" ca="1">TREND($K6:$P6,$K$1:$P$1,AF$1)</f>
        <v>#VALUE!</v>
      </c>
      <c r="AG6" t="e" cm="1">
        <f t="array" aca="1" ref="AG6" ca="1">TREND($K6:$P6,$K$1:$P$1,AG$1)</f>
        <v>#VALUE!</v>
      </c>
      <c r="AH6" t="e" cm="1">
        <f t="array" aca="1" ref="AH6" ca="1">TREND($K6:$P6,$K$1:$P$1,AH$1)</f>
        <v>#VALUE!</v>
      </c>
      <c r="AI6" t="e" cm="1">
        <f t="array" aca="1" ref="AI6" ca="1">TREND($K6:$P6,$K$1:$P$1,AI$1)</f>
        <v>#VALUE!</v>
      </c>
      <c r="AJ6" t="e" cm="1">
        <f t="array" aca="1" ref="AJ6" ca="1">TREND($K6:$P6,$K$1:$P$1,AJ$1)</f>
        <v>#VALUE!</v>
      </c>
    </row>
    <row r="7" spans="1:36">
      <c r="A7" t="s">
        <v>80</v>
      </c>
      <c r="B7" s="32" t="e" cm="1">
        <f t="array" aca="1" ref="B7" ca="1">INDIRECT(CONCATENATE("'",HLOOKUP(B$1,$B$21:$E$23,3,FALSE),"'!",$B$25,ROW($A7)+5))*About!$A$27</f>
        <v>#VALUE!</v>
      </c>
      <c r="C7" t="e">
        <f t="shared" ca="1" si="3"/>
        <v>#VALUE!</v>
      </c>
      <c r="D7" t="e">
        <f t="shared" ca="1" si="0"/>
        <v>#VALUE!</v>
      </c>
      <c r="E7" t="e">
        <f t="shared" ca="1" si="0"/>
        <v>#VALUE!</v>
      </c>
      <c r="F7" s="32" t="e" cm="1">
        <f t="array" aca="1" ref="F7" ca="1">INDIRECT(CONCATENATE("'",HLOOKUP(F$1,$B$21:$E$23,3,FALSE),"'!",$B$25,ROW($A7)+5))*About!$A$27</f>
        <v>#VALUE!</v>
      </c>
      <c r="G7" t="e">
        <f t="shared" ca="1" si="4"/>
        <v>#VALUE!</v>
      </c>
      <c r="H7" t="e">
        <f t="shared" ca="1" si="1"/>
        <v>#VALUE!</v>
      </c>
      <c r="I7" t="e">
        <f t="shared" ca="1" si="1"/>
        <v>#VALUE!</v>
      </c>
      <c r="J7" t="e">
        <f t="shared" ca="1" si="1"/>
        <v>#VALUE!</v>
      </c>
      <c r="K7" s="32" t="e" cm="1">
        <f t="array" aca="1" ref="K7" ca="1">INDIRECT(CONCATENATE("'",HLOOKUP(K$1,$B$21:$E$23,3,FALSE),"'!",$B$25,ROW($A7)+5))*About!$A$27</f>
        <v>#VALUE!</v>
      </c>
      <c r="L7" t="e">
        <f t="shared" ca="1" si="5"/>
        <v>#VALUE!</v>
      </c>
      <c r="M7" t="e">
        <f t="shared" ca="1" si="2"/>
        <v>#VALUE!</v>
      </c>
      <c r="N7" t="e">
        <f t="shared" ca="1" si="2"/>
        <v>#VALUE!</v>
      </c>
      <c r="O7" t="e">
        <f t="shared" ca="1" si="2"/>
        <v>#VALUE!</v>
      </c>
      <c r="P7" s="32" t="e" cm="1">
        <f t="array" aca="1" ref="P7" ca="1">INDIRECT(CONCATENATE("'",HLOOKUP(P$1,$B$21:$E$23,3,FALSE),"'!",$B$25,ROW($A7)+5))*About!$A$27</f>
        <v>#VALUE!</v>
      </c>
      <c r="Q7" t="e" cm="1">
        <f t="array" aca="1" ref="Q7" ca="1">TREND($K7:$P7,$K$1:$P$1,Q$1)</f>
        <v>#VALUE!</v>
      </c>
      <c r="R7" t="e" cm="1">
        <f t="array" aca="1" ref="R7" ca="1">TREND($K7:$P7,$K$1:$P$1,R$1)</f>
        <v>#VALUE!</v>
      </c>
      <c r="S7" t="e" cm="1">
        <f t="array" aca="1" ref="S7" ca="1">TREND($K7:$P7,$K$1:$P$1,S$1)</f>
        <v>#VALUE!</v>
      </c>
      <c r="T7" t="e" cm="1">
        <f t="array" aca="1" ref="T7" ca="1">TREND($K7:$P7,$K$1:$P$1,T$1)</f>
        <v>#VALUE!</v>
      </c>
      <c r="U7" t="e" cm="1">
        <f t="array" aca="1" ref="U7" ca="1">TREND($K7:$P7,$K$1:$P$1,U$1)</f>
        <v>#VALUE!</v>
      </c>
      <c r="V7" t="e" cm="1">
        <f t="array" aca="1" ref="V7" ca="1">TREND($K7:$P7,$K$1:$P$1,V$1)</f>
        <v>#VALUE!</v>
      </c>
      <c r="W7" t="e" cm="1">
        <f t="array" aca="1" ref="W7" ca="1">TREND($K7:$P7,$K$1:$P$1,W$1)</f>
        <v>#VALUE!</v>
      </c>
      <c r="X7" t="e" cm="1">
        <f t="array" aca="1" ref="X7" ca="1">TREND($K7:$P7,$K$1:$P$1,X$1)</f>
        <v>#VALUE!</v>
      </c>
      <c r="Y7" t="e" cm="1">
        <f t="array" aca="1" ref="Y7" ca="1">TREND($K7:$P7,$K$1:$P$1,Y$1)</f>
        <v>#VALUE!</v>
      </c>
      <c r="Z7" t="e" cm="1">
        <f t="array" aca="1" ref="Z7" ca="1">TREND($K7:$P7,$K$1:$P$1,Z$1)</f>
        <v>#VALUE!</v>
      </c>
      <c r="AA7" t="e" cm="1">
        <f t="array" aca="1" ref="AA7" ca="1">TREND($K7:$P7,$K$1:$P$1,AA$1)</f>
        <v>#VALUE!</v>
      </c>
      <c r="AB7" t="e" cm="1">
        <f t="array" aca="1" ref="AB7" ca="1">TREND($K7:$P7,$K$1:$P$1,AB$1)</f>
        <v>#VALUE!</v>
      </c>
      <c r="AC7" t="e" cm="1">
        <f t="array" aca="1" ref="AC7" ca="1">TREND($K7:$P7,$K$1:$P$1,AC$1)</f>
        <v>#VALUE!</v>
      </c>
      <c r="AD7" t="e" cm="1">
        <f t="array" aca="1" ref="AD7" ca="1">TREND($K7:$P7,$K$1:$P$1,AD$1)</f>
        <v>#VALUE!</v>
      </c>
      <c r="AE7" t="e" cm="1">
        <f t="array" aca="1" ref="AE7" ca="1">TREND($K7:$P7,$K$1:$P$1,AE$1)</f>
        <v>#VALUE!</v>
      </c>
      <c r="AF7" t="e" cm="1">
        <f t="array" aca="1" ref="AF7" ca="1">TREND($K7:$P7,$K$1:$P$1,AF$1)</f>
        <v>#VALUE!</v>
      </c>
      <c r="AG7" t="e" cm="1">
        <f t="array" aca="1" ref="AG7" ca="1">TREND($K7:$P7,$K$1:$P$1,AG$1)</f>
        <v>#VALUE!</v>
      </c>
      <c r="AH7" t="e" cm="1">
        <f t="array" aca="1" ref="AH7" ca="1">TREND($K7:$P7,$K$1:$P$1,AH$1)</f>
        <v>#VALUE!</v>
      </c>
      <c r="AI7" t="e" cm="1">
        <f t="array" aca="1" ref="AI7" ca="1">TREND($K7:$P7,$K$1:$P$1,AI$1)</f>
        <v>#VALUE!</v>
      </c>
      <c r="AJ7" t="e" cm="1">
        <f t="array" aca="1" ref="AJ7" ca="1">TREND($K7:$P7,$K$1:$P$1,AJ$1)</f>
        <v>#VALUE!</v>
      </c>
    </row>
    <row r="8" spans="1:36">
      <c r="A8" t="s">
        <v>81</v>
      </c>
      <c r="B8" s="32" t="e" cm="1">
        <f t="array" aca="1" ref="B8" ca="1">INDIRECT(CONCATENATE("'",HLOOKUP(B$1,$B$21:$E$23,3,FALSE),"'!",$B$25,ROW($A8)+5))*About!$A$27</f>
        <v>#VALUE!</v>
      </c>
      <c r="C8" t="e">
        <f t="shared" ca="1" si="3"/>
        <v>#VALUE!</v>
      </c>
      <c r="D8" t="e">
        <f t="shared" ca="1" si="0"/>
        <v>#VALUE!</v>
      </c>
      <c r="E8" t="e">
        <f t="shared" ca="1" si="0"/>
        <v>#VALUE!</v>
      </c>
      <c r="F8" s="32" t="e" cm="1">
        <f t="array" aca="1" ref="F8" ca="1">INDIRECT(CONCATENATE("'",HLOOKUP(F$1,$B$21:$E$23,3,FALSE),"'!",$B$25,ROW($A8)+5))*About!$A$27</f>
        <v>#VALUE!</v>
      </c>
      <c r="G8" t="e">
        <f t="shared" ca="1" si="4"/>
        <v>#VALUE!</v>
      </c>
      <c r="H8" t="e">
        <f t="shared" ca="1" si="1"/>
        <v>#VALUE!</v>
      </c>
      <c r="I8" t="e">
        <f t="shared" ca="1" si="1"/>
        <v>#VALUE!</v>
      </c>
      <c r="J8" t="e">
        <f t="shared" ca="1" si="1"/>
        <v>#VALUE!</v>
      </c>
      <c r="K8" s="32" t="e" cm="1">
        <f t="array" aca="1" ref="K8" ca="1">INDIRECT(CONCATENATE("'",HLOOKUP(K$1,$B$21:$E$23,3,FALSE),"'!",$B$25,ROW($A8)+5))*About!$A$27</f>
        <v>#VALUE!</v>
      </c>
      <c r="L8" t="e">
        <f t="shared" ca="1" si="5"/>
        <v>#VALUE!</v>
      </c>
      <c r="M8" t="e">
        <f t="shared" ca="1" si="2"/>
        <v>#VALUE!</v>
      </c>
      <c r="N8" t="e">
        <f t="shared" ca="1" si="2"/>
        <v>#VALUE!</v>
      </c>
      <c r="O8" t="e">
        <f t="shared" ca="1" si="2"/>
        <v>#VALUE!</v>
      </c>
      <c r="P8" s="32" t="e" cm="1">
        <f t="array" aca="1" ref="P8" ca="1">INDIRECT(CONCATENATE("'",HLOOKUP(P$1,$B$21:$E$23,3,FALSE),"'!",$B$25,ROW($A8)+5))*About!$A$27</f>
        <v>#VALUE!</v>
      </c>
      <c r="Q8" t="e" cm="1">
        <f t="array" aca="1" ref="Q8" ca="1">TREND($K8:$P8,$K$1:$P$1,Q$1)</f>
        <v>#VALUE!</v>
      </c>
      <c r="R8" t="e" cm="1">
        <f t="array" aca="1" ref="R8" ca="1">TREND($K8:$P8,$K$1:$P$1,R$1)</f>
        <v>#VALUE!</v>
      </c>
      <c r="S8" t="e" cm="1">
        <f t="array" aca="1" ref="S8" ca="1">TREND($K8:$P8,$K$1:$P$1,S$1)</f>
        <v>#VALUE!</v>
      </c>
      <c r="T8" t="e" cm="1">
        <f t="array" aca="1" ref="T8" ca="1">TREND($K8:$P8,$K$1:$P$1,T$1)</f>
        <v>#VALUE!</v>
      </c>
      <c r="U8" t="e" cm="1">
        <f t="array" aca="1" ref="U8" ca="1">TREND($K8:$P8,$K$1:$P$1,U$1)</f>
        <v>#VALUE!</v>
      </c>
      <c r="V8" t="e" cm="1">
        <f t="array" aca="1" ref="V8" ca="1">TREND($K8:$P8,$K$1:$P$1,V$1)</f>
        <v>#VALUE!</v>
      </c>
      <c r="W8" t="e" cm="1">
        <f t="array" aca="1" ref="W8" ca="1">TREND($K8:$P8,$K$1:$P$1,W$1)</f>
        <v>#VALUE!</v>
      </c>
      <c r="X8" t="e" cm="1">
        <f t="array" aca="1" ref="X8" ca="1">TREND($K8:$P8,$K$1:$P$1,X$1)</f>
        <v>#VALUE!</v>
      </c>
      <c r="Y8" t="e" cm="1">
        <f t="array" aca="1" ref="Y8" ca="1">TREND($K8:$P8,$K$1:$P$1,Y$1)</f>
        <v>#VALUE!</v>
      </c>
      <c r="Z8" t="e" cm="1">
        <f t="array" aca="1" ref="Z8" ca="1">TREND($K8:$P8,$K$1:$P$1,Z$1)</f>
        <v>#VALUE!</v>
      </c>
      <c r="AA8" t="e" cm="1">
        <f t="array" aca="1" ref="AA8" ca="1">TREND($K8:$P8,$K$1:$P$1,AA$1)</f>
        <v>#VALUE!</v>
      </c>
      <c r="AB8" t="e" cm="1">
        <f t="array" aca="1" ref="AB8" ca="1">TREND($K8:$P8,$K$1:$P$1,AB$1)</f>
        <v>#VALUE!</v>
      </c>
      <c r="AC8" t="e" cm="1">
        <f t="array" aca="1" ref="AC8" ca="1">TREND($K8:$P8,$K$1:$P$1,AC$1)</f>
        <v>#VALUE!</v>
      </c>
      <c r="AD8" t="e" cm="1">
        <f t="array" aca="1" ref="AD8" ca="1">TREND($K8:$P8,$K$1:$P$1,AD$1)</f>
        <v>#VALUE!</v>
      </c>
      <c r="AE8" t="e" cm="1">
        <f t="array" aca="1" ref="AE8" ca="1">TREND($K8:$P8,$K$1:$P$1,AE$1)</f>
        <v>#VALUE!</v>
      </c>
      <c r="AF8" t="e" cm="1">
        <f t="array" aca="1" ref="AF8" ca="1">TREND($K8:$P8,$K$1:$P$1,AF$1)</f>
        <v>#VALUE!</v>
      </c>
      <c r="AG8" t="e" cm="1">
        <f t="array" aca="1" ref="AG8" ca="1">TREND($K8:$P8,$K$1:$P$1,AG$1)</f>
        <v>#VALUE!</v>
      </c>
      <c r="AH8" t="e" cm="1">
        <f t="array" aca="1" ref="AH8" ca="1">TREND($K8:$P8,$K$1:$P$1,AH$1)</f>
        <v>#VALUE!</v>
      </c>
      <c r="AI8" t="e" cm="1">
        <f t="array" aca="1" ref="AI8" ca="1">TREND($K8:$P8,$K$1:$P$1,AI$1)</f>
        <v>#VALUE!</v>
      </c>
      <c r="AJ8" t="e" cm="1">
        <f t="array" aca="1" ref="AJ8" ca="1">TREND($K8:$P8,$K$1:$P$1,AJ$1)</f>
        <v>#VALUE!</v>
      </c>
    </row>
    <row r="9" spans="1:36">
      <c r="A9" t="s">
        <v>82</v>
      </c>
      <c r="B9" s="32" t="e" cm="1">
        <f t="array" aca="1" ref="B9" ca="1">INDIRECT(CONCATENATE("'",HLOOKUP(B$1,$B$21:$E$23,3,FALSE),"'!",$B$25,ROW($A9)+5))*About!$A$27</f>
        <v>#VALUE!</v>
      </c>
      <c r="C9" t="e">
        <f t="shared" ca="1" si="3"/>
        <v>#VALUE!</v>
      </c>
      <c r="D9" t="e">
        <f t="shared" ca="1" si="0"/>
        <v>#VALUE!</v>
      </c>
      <c r="E9" t="e">
        <f t="shared" ca="1" si="0"/>
        <v>#VALUE!</v>
      </c>
      <c r="F9" s="32" t="e" cm="1">
        <f t="array" aca="1" ref="F9" ca="1">INDIRECT(CONCATENATE("'",HLOOKUP(F$1,$B$21:$E$23,3,FALSE),"'!",$B$25,ROW($A9)+5))*About!$A$27</f>
        <v>#VALUE!</v>
      </c>
      <c r="G9" t="e">
        <f t="shared" ca="1" si="4"/>
        <v>#VALUE!</v>
      </c>
      <c r="H9" t="e">
        <f t="shared" ca="1" si="1"/>
        <v>#VALUE!</v>
      </c>
      <c r="I9" t="e">
        <f t="shared" ca="1" si="1"/>
        <v>#VALUE!</v>
      </c>
      <c r="J9" t="e">
        <f t="shared" ca="1" si="1"/>
        <v>#VALUE!</v>
      </c>
      <c r="K9" s="32" t="e" cm="1">
        <f t="array" aca="1" ref="K9" ca="1">INDIRECT(CONCATENATE("'",HLOOKUP(K$1,$B$21:$E$23,3,FALSE),"'!",$B$25,ROW($A9)+5))*About!$A$27</f>
        <v>#VALUE!</v>
      </c>
      <c r="L9" t="e">
        <f t="shared" ca="1" si="5"/>
        <v>#VALUE!</v>
      </c>
      <c r="M9" t="e">
        <f t="shared" ca="1" si="2"/>
        <v>#VALUE!</v>
      </c>
      <c r="N9" t="e">
        <f t="shared" ca="1" si="2"/>
        <v>#VALUE!</v>
      </c>
      <c r="O9" t="e">
        <f t="shared" ca="1" si="2"/>
        <v>#VALUE!</v>
      </c>
      <c r="P9" s="32" t="e" cm="1">
        <f t="array" aca="1" ref="P9" ca="1">INDIRECT(CONCATENATE("'",HLOOKUP(P$1,$B$21:$E$23,3,FALSE),"'!",$B$25,ROW($A9)+5))*About!$A$27</f>
        <v>#VALUE!</v>
      </c>
      <c r="Q9" t="e" cm="1">
        <f t="array" aca="1" ref="Q9" ca="1">TREND($K9:$P9,$K$1:$P$1,Q$1)</f>
        <v>#VALUE!</v>
      </c>
      <c r="R9" t="e" cm="1">
        <f t="array" aca="1" ref="R9" ca="1">TREND($K9:$P9,$K$1:$P$1,R$1)</f>
        <v>#VALUE!</v>
      </c>
      <c r="S9" t="e" cm="1">
        <f t="array" aca="1" ref="S9" ca="1">TREND($K9:$P9,$K$1:$P$1,S$1)</f>
        <v>#VALUE!</v>
      </c>
      <c r="T9" t="e" cm="1">
        <f t="array" aca="1" ref="T9" ca="1">TREND($K9:$P9,$K$1:$P$1,T$1)</f>
        <v>#VALUE!</v>
      </c>
      <c r="U9" t="e" cm="1">
        <f t="array" aca="1" ref="U9" ca="1">TREND($K9:$P9,$K$1:$P$1,U$1)</f>
        <v>#VALUE!</v>
      </c>
      <c r="V9" t="e" cm="1">
        <f t="array" aca="1" ref="V9" ca="1">TREND($K9:$P9,$K$1:$P$1,V$1)</f>
        <v>#VALUE!</v>
      </c>
      <c r="W9" t="e" cm="1">
        <f t="array" aca="1" ref="W9" ca="1">TREND($K9:$P9,$K$1:$P$1,W$1)</f>
        <v>#VALUE!</v>
      </c>
      <c r="X9" t="e" cm="1">
        <f t="array" aca="1" ref="X9" ca="1">TREND($K9:$P9,$K$1:$P$1,X$1)</f>
        <v>#VALUE!</v>
      </c>
      <c r="Y9" t="e" cm="1">
        <f t="array" aca="1" ref="Y9" ca="1">TREND($K9:$P9,$K$1:$P$1,Y$1)</f>
        <v>#VALUE!</v>
      </c>
      <c r="Z9" t="e" cm="1">
        <f t="array" aca="1" ref="Z9" ca="1">TREND($K9:$P9,$K$1:$P$1,Z$1)</f>
        <v>#VALUE!</v>
      </c>
      <c r="AA9" t="e" cm="1">
        <f t="array" aca="1" ref="AA9" ca="1">TREND($K9:$P9,$K$1:$P$1,AA$1)</f>
        <v>#VALUE!</v>
      </c>
      <c r="AB9" t="e" cm="1">
        <f t="array" aca="1" ref="AB9" ca="1">TREND($K9:$P9,$K$1:$P$1,AB$1)</f>
        <v>#VALUE!</v>
      </c>
      <c r="AC9" t="e" cm="1">
        <f t="array" aca="1" ref="AC9" ca="1">TREND($K9:$P9,$K$1:$P$1,AC$1)</f>
        <v>#VALUE!</v>
      </c>
      <c r="AD9" t="e" cm="1">
        <f t="array" aca="1" ref="AD9" ca="1">TREND($K9:$P9,$K$1:$P$1,AD$1)</f>
        <v>#VALUE!</v>
      </c>
      <c r="AE9" t="e" cm="1">
        <f t="array" aca="1" ref="AE9" ca="1">TREND($K9:$P9,$K$1:$P$1,AE$1)</f>
        <v>#VALUE!</v>
      </c>
      <c r="AF9" t="e" cm="1">
        <f t="array" aca="1" ref="AF9" ca="1">TREND($K9:$P9,$K$1:$P$1,AF$1)</f>
        <v>#VALUE!</v>
      </c>
      <c r="AG9" t="e" cm="1">
        <f t="array" aca="1" ref="AG9" ca="1">TREND($K9:$P9,$K$1:$P$1,AG$1)</f>
        <v>#VALUE!</v>
      </c>
      <c r="AH9" t="e" cm="1">
        <f t="array" aca="1" ref="AH9" ca="1">TREND($K9:$P9,$K$1:$P$1,AH$1)</f>
        <v>#VALUE!</v>
      </c>
      <c r="AI9" t="e" cm="1">
        <f t="array" aca="1" ref="AI9" ca="1">TREND($K9:$P9,$K$1:$P$1,AI$1)</f>
        <v>#VALUE!</v>
      </c>
      <c r="AJ9" t="e" cm="1">
        <f t="array" aca="1" ref="AJ9" ca="1">TREND($K9:$P9,$K$1:$P$1,AJ$1)</f>
        <v>#VALUE!</v>
      </c>
    </row>
    <row r="10" spans="1:36">
      <c r="A10" t="s">
        <v>83</v>
      </c>
      <c r="B10" s="32" t="e" cm="1">
        <f t="array" aca="1" ref="B10" ca="1">INDIRECT(CONCATENATE("'",HLOOKUP(B$1,$B$21:$E$23,3,FALSE),"'!",$B$25,ROW($A10)+5))*About!$A$27</f>
        <v>#VALUE!</v>
      </c>
      <c r="C10" t="e">
        <f t="shared" ca="1" si="3"/>
        <v>#VALUE!</v>
      </c>
      <c r="D10" t="e">
        <f t="shared" ca="1" si="0"/>
        <v>#VALUE!</v>
      </c>
      <c r="E10" t="e">
        <f t="shared" ca="1" si="0"/>
        <v>#VALUE!</v>
      </c>
      <c r="F10" s="32" t="e" cm="1">
        <f t="array" aca="1" ref="F10" ca="1">INDIRECT(CONCATENATE("'",HLOOKUP(F$1,$B$21:$E$23,3,FALSE),"'!",$B$25,ROW($A10)+5))*About!$A$27</f>
        <v>#VALUE!</v>
      </c>
      <c r="G10" t="e">
        <f t="shared" ca="1" si="4"/>
        <v>#VALUE!</v>
      </c>
      <c r="H10" t="e">
        <f t="shared" ca="1" si="1"/>
        <v>#VALUE!</v>
      </c>
      <c r="I10" t="e">
        <f t="shared" ca="1" si="1"/>
        <v>#VALUE!</v>
      </c>
      <c r="J10" t="e">
        <f t="shared" ca="1" si="1"/>
        <v>#VALUE!</v>
      </c>
      <c r="K10" s="32" t="e" cm="1">
        <f t="array" aca="1" ref="K10" ca="1">INDIRECT(CONCATENATE("'",HLOOKUP(K$1,$B$21:$E$23,3,FALSE),"'!",$B$25,ROW($A10)+5))*About!$A$27</f>
        <v>#VALUE!</v>
      </c>
      <c r="L10" t="e">
        <f t="shared" ca="1" si="5"/>
        <v>#VALUE!</v>
      </c>
      <c r="M10" t="e">
        <f t="shared" ca="1" si="2"/>
        <v>#VALUE!</v>
      </c>
      <c r="N10" t="e">
        <f t="shared" ca="1" si="2"/>
        <v>#VALUE!</v>
      </c>
      <c r="O10" t="e">
        <f t="shared" ca="1" si="2"/>
        <v>#VALUE!</v>
      </c>
      <c r="P10" s="32" t="e" cm="1">
        <f t="array" aca="1" ref="P10" ca="1">INDIRECT(CONCATENATE("'",HLOOKUP(P$1,$B$21:$E$23,3,FALSE),"'!",$B$25,ROW($A10)+5))*About!$A$27</f>
        <v>#VALUE!</v>
      </c>
      <c r="Q10" t="e" cm="1">
        <f t="array" aca="1" ref="Q10" ca="1">TREND($K10:$P10,$K$1:$P$1,Q$1)</f>
        <v>#VALUE!</v>
      </c>
      <c r="R10" t="e" cm="1">
        <f t="array" aca="1" ref="R10" ca="1">TREND($K10:$P10,$K$1:$P$1,R$1)</f>
        <v>#VALUE!</v>
      </c>
      <c r="S10" t="e" cm="1">
        <f t="array" aca="1" ref="S10" ca="1">TREND($K10:$P10,$K$1:$P$1,S$1)</f>
        <v>#VALUE!</v>
      </c>
      <c r="T10" t="e" cm="1">
        <f t="array" aca="1" ref="T10" ca="1">TREND($K10:$P10,$K$1:$P$1,T$1)</f>
        <v>#VALUE!</v>
      </c>
      <c r="U10" t="e" cm="1">
        <f t="array" aca="1" ref="U10" ca="1">TREND($K10:$P10,$K$1:$P$1,U$1)</f>
        <v>#VALUE!</v>
      </c>
      <c r="V10" t="e" cm="1">
        <f t="array" aca="1" ref="V10" ca="1">TREND($K10:$P10,$K$1:$P$1,V$1)</f>
        <v>#VALUE!</v>
      </c>
      <c r="W10" t="e" cm="1">
        <f t="array" aca="1" ref="W10" ca="1">TREND($K10:$P10,$K$1:$P$1,W$1)</f>
        <v>#VALUE!</v>
      </c>
      <c r="X10" t="e" cm="1">
        <f t="array" aca="1" ref="X10" ca="1">TREND($K10:$P10,$K$1:$P$1,X$1)</f>
        <v>#VALUE!</v>
      </c>
      <c r="Y10" t="e" cm="1">
        <f t="array" aca="1" ref="Y10" ca="1">TREND($K10:$P10,$K$1:$P$1,Y$1)</f>
        <v>#VALUE!</v>
      </c>
      <c r="Z10" t="e" cm="1">
        <f t="array" aca="1" ref="Z10" ca="1">TREND($K10:$P10,$K$1:$P$1,Z$1)</f>
        <v>#VALUE!</v>
      </c>
      <c r="AA10" t="e" cm="1">
        <f t="array" aca="1" ref="AA10" ca="1">TREND($K10:$P10,$K$1:$P$1,AA$1)</f>
        <v>#VALUE!</v>
      </c>
      <c r="AB10" t="e" cm="1">
        <f t="array" aca="1" ref="AB10" ca="1">TREND($K10:$P10,$K$1:$P$1,AB$1)</f>
        <v>#VALUE!</v>
      </c>
      <c r="AC10" t="e" cm="1">
        <f t="array" aca="1" ref="AC10" ca="1">TREND($K10:$P10,$K$1:$P$1,AC$1)</f>
        <v>#VALUE!</v>
      </c>
      <c r="AD10" t="e" cm="1">
        <f t="array" aca="1" ref="AD10" ca="1">TREND($K10:$P10,$K$1:$P$1,AD$1)</f>
        <v>#VALUE!</v>
      </c>
      <c r="AE10" t="e" cm="1">
        <f t="array" aca="1" ref="AE10" ca="1">TREND($K10:$P10,$K$1:$P$1,AE$1)</f>
        <v>#VALUE!</v>
      </c>
      <c r="AF10" t="e" cm="1">
        <f t="array" aca="1" ref="AF10" ca="1">TREND($K10:$P10,$K$1:$P$1,AF$1)</f>
        <v>#VALUE!</v>
      </c>
      <c r="AG10" t="e" cm="1">
        <f t="array" aca="1" ref="AG10" ca="1">TREND($K10:$P10,$K$1:$P$1,AG$1)</f>
        <v>#VALUE!</v>
      </c>
      <c r="AH10" t="e" cm="1">
        <f t="array" aca="1" ref="AH10" ca="1">TREND($K10:$P10,$K$1:$P$1,AH$1)</f>
        <v>#VALUE!</v>
      </c>
      <c r="AI10" t="e" cm="1">
        <f t="array" aca="1" ref="AI10" ca="1">TREND($K10:$P10,$K$1:$P$1,AI$1)</f>
        <v>#VALUE!</v>
      </c>
      <c r="AJ10" t="e" cm="1">
        <f t="array" aca="1" ref="AJ10" ca="1">TREND($K10:$P10,$K$1:$P$1,AJ$1)</f>
        <v>#VALUE!</v>
      </c>
    </row>
    <row r="11" spans="1:36">
      <c r="A11" t="s">
        <v>84</v>
      </c>
      <c r="B11" s="32" t="e" cm="1">
        <f t="array" aca="1" ref="B11" ca="1">INDIRECT(CONCATENATE("'",HLOOKUP(B$1,$B$21:$E$23,3,FALSE),"'!",$B$25,ROW($A11)+5))*About!$A$27</f>
        <v>#VALUE!</v>
      </c>
      <c r="C11" t="e">
        <f t="shared" ca="1" si="3"/>
        <v>#VALUE!</v>
      </c>
      <c r="D11" t="e">
        <f t="shared" ca="1" si="0"/>
        <v>#VALUE!</v>
      </c>
      <c r="E11" t="e">
        <f t="shared" ca="1" si="0"/>
        <v>#VALUE!</v>
      </c>
      <c r="F11" s="32" t="e" cm="1">
        <f t="array" aca="1" ref="F11" ca="1">INDIRECT(CONCATENATE("'",HLOOKUP(F$1,$B$21:$E$23,3,FALSE),"'!",$B$25,ROW($A11)+5))*About!$A$27</f>
        <v>#VALUE!</v>
      </c>
      <c r="G11" t="e">
        <f t="shared" ca="1" si="4"/>
        <v>#VALUE!</v>
      </c>
      <c r="H11" t="e">
        <f t="shared" ca="1" si="1"/>
        <v>#VALUE!</v>
      </c>
      <c r="I11" t="e">
        <f t="shared" ca="1" si="1"/>
        <v>#VALUE!</v>
      </c>
      <c r="J11" t="e">
        <f t="shared" ca="1" si="1"/>
        <v>#VALUE!</v>
      </c>
      <c r="K11" s="32" t="e" cm="1">
        <f t="array" aca="1" ref="K11" ca="1">INDIRECT(CONCATENATE("'",HLOOKUP(K$1,$B$21:$E$23,3,FALSE),"'!",$B$25,ROW($A11)+5))*About!$A$27</f>
        <v>#VALUE!</v>
      </c>
      <c r="L11" t="e">
        <f t="shared" ca="1" si="5"/>
        <v>#VALUE!</v>
      </c>
      <c r="M11" t="e">
        <f t="shared" ca="1" si="2"/>
        <v>#VALUE!</v>
      </c>
      <c r="N11" t="e">
        <f t="shared" ca="1" si="2"/>
        <v>#VALUE!</v>
      </c>
      <c r="O11" t="e">
        <f t="shared" ca="1" si="2"/>
        <v>#VALUE!</v>
      </c>
      <c r="P11" s="32" t="e" cm="1">
        <f t="array" aca="1" ref="P11" ca="1">INDIRECT(CONCATENATE("'",HLOOKUP(P$1,$B$21:$E$23,3,FALSE),"'!",$B$25,ROW($A11)+5))*About!$A$27</f>
        <v>#VALUE!</v>
      </c>
      <c r="Q11" t="e" cm="1">
        <f t="array" aca="1" ref="Q11" ca="1">TREND($K11:$P11,$K$1:$P$1,Q$1)</f>
        <v>#VALUE!</v>
      </c>
      <c r="R11" t="e" cm="1">
        <f t="array" aca="1" ref="R11" ca="1">TREND($K11:$P11,$K$1:$P$1,R$1)</f>
        <v>#VALUE!</v>
      </c>
      <c r="S11" t="e" cm="1">
        <f t="array" aca="1" ref="S11" ca="1">TREND($K11:$P11,$K$1:$P$1,S$1)</f>
        <v>#VALUE!</v>
      </c>
      <c r="T11" t="e" cm="1">
        <f t="array" aca="1" ref="T11" ca="1">TREND($K11:$P11,$K$1:$P$1,T$1)</f>
        <v>#VALUE!</v>
      </c>
      <c r="U11" t="e" cm="1">
        <f t="array" aca="1" ref="U11" ca="1">TREND($K11:$P11,$K$1:$P$1,U$1)</f>
        <v>#VALUE!</v>
      </c>
      <c r="V11" t="e" cm="1">
        <f t="array" aca="1" ref="V11" ca="1">TREND($K11:$P11,$K$1:$P$1,V$1)</f>
        <v>#VALUE!</v>
      </c>
      <c r="W11" t="e" cm="1">
        <f t="array" aca="1" ref="W11" ca="1">TREND($K11:$P11,$K$1:$P$1,W$1)</f>
        <v>#VALUE!</v>
      </c>
      <c r="X11" t="e" cm="1">
        <f t="array" aca="1" ref="X11" ca="1">TREND($K11:$P11,$K$1:$P$1,X$1)</f>
        <v>#VALUE!</v>
      </c>
      <c r="Y11" t="e" cm="1">
        <f t="array" aca="1" ref="Y11" ca="1">TREND($K11:$P11,$K$1:$P$1,Y$1)</f>
        <v>#VALUE!</v>
      </c>
      <c r="Z11" t="e" cm="1">
        <f t="array" aca="1" ref="Z11" ca="1">TREND($K11:$P11,$K$1:$P$1,Z$1)</f>
        <v>#VALUE!</v>
      </c>
      <c r="AA11" t="e" cm="1">
        <f t="array" aca="1" ref="AA11" ca="1">TREND($K11:$P11,$K$1:$P$1,AA$1)</f>
        <v>#VALUE!</v>
      </c>
      <c r="AB11" t="e" cm="1">
        <f t="array" aca="1" ref="AB11" ca="1">TREND($K11:$P11,$K$1:$P$1,AB$1)</f>
        <v>#VALUE!</v>
      </c>
      <c r="AC11" t="e" cm="1">
        <f t="array" aca="1" ref="AC11" ca="1">TREND($K11:$P11,$K$1:$P$1,AC$1)</f>
        <v>#VALUE!</v>
      </c>
      <c r="AD11" t="e" cm="1">
        <f t="array" aca="1" ref="AD11" ca="1">TREND($K11:$P11,$K$1:$P$1,AD$1)</f>
        <v>#VALUE!</v>
      </c>
      <c r="AE11" t="e" cm="1">
        <f t="array" aca="1" ref="AE11" ca="1">TREND($K11:$P11,$K$1:$P$1,AE$1)</f>
        <v>#VALUE!</v>
      </c>
      <c r="AF11" t="e" cm="1">
        <f t="array" aca="1" ref="AF11" ca="1">TREND($K11:$P11,$K$1:$P$1,AF$1)</f>
        <v>#VALUE!</v>
      </c>
      <c r="AG11" t="e" cm="1">
        <f t="array" aca="1" ref="AG11" ca="1">TREND($K11:$P11,$K$1:$P$1,AG$1)</f>
        <v>#VALUE!</v>
      </c>
      <c r="AH11" t="e" cm="1">
        <f t="array" aca="1" ref="AH11" ca="1">TREND($K11:$P11,$K$1:$P$1,AH$1)</f>
        <v>#VALUE!</v>
      </c>
      <c r="AI11" t="e" cm="1">
        <f t="array" aca="1" ref="AI11" ca="1">TREND($K11:$P11,$K$1:$P$1,AI$1)</f>
        <v>#VALUE!</v>
      </c>
      <c r="AJ11" t="e" cm="1">
        <f t="array" aca="1" ref="AJ11" ca="1">TREND($K11:$P11,$K$1:$P$1,AJ$1)</f>
        <v>#VALUE!</v>
      </c>
    </row>
    <row r="12" spans="1:36">
      <c r="A12" t="s">
        <v>85</v>
      </c>
      <c r="B12" s="33" t="e">
        <f ca="1">SUM(INDIRECT(CONCATENATE("'",HLOOKUP(B$1,$B$21:$E$23,3,FALSE),"'!",$B$25,ROW($A12)+5,":",$B$25,ROW($A12)+6)))*About!$A$27</f>
        <v>#VALUE!</v>
      </c>
      <c r="C12" t="e">
        <f t="shared" ca="1" si="3"/>
        <v>#VALUE!</v>
      </c>
      <c r="D12" t="e">
        <f t="shared" ca="1" si="0"/>
        <v>#VALUE!</v>
      </c>
      <c r="E12" t="e">
        <f t="shared" ca="1" si="0"/>
        <v>#VALUE!</v>
      </c>
      <c r="F12" s="33" t="e">
        <f ca="1">SUM(INDIRECT(CONCATENATE("'",HLOOKUP(F$1,$B$21:$E$23,3,FALSE),"'!",$B$25,ROW($A12)+5,":",$B$25,ROW($A12)+6)))*About!$A$27</f>
        <v>#VALUE!</v>
      </c>
      <c r="G12" t="e">
        <f t="shared" ca="1" si="4"/>
        <v>#VALUE!</v>
      </c>
      <c r="H12" t="e">
        <f t="shared" ca="1" si="1"/>
        <v>#VALUE!</v>
      </c>
      <c r="I12" t="e">
        <f t="shared" ca="1" si="1"/>
        <v>#VALUE!</v>
      </c>
      <c r="J12" t="e">
        <f t="shared" ca="1" si="1"/>
        <v>#VALUE!</v>
      </c>
      <c r="K12" s="33" t="e">
        <f ca="1">SUM(INDIRECT(CONCATENATE("'",HLOOKUP(K$1,$B$21:$E$23,3,FALSE),"'!",$B$25,ROW($A12)+5,":",$B$25,ROW($A12)+6)))*About!$A$27</f>
        <v>#VALUE!</v>
      </c>
      <c r="L12" t="e">
        <f t="shared" ca="1" si="5"/>
        <v>#VALUE!</v>
      </c>
      <c r="M12" t="e">
        <f t="shared" ca="1" si="2"/>
        <v>#VALUE!</v>
      </c>
      <c r="N12" t="e">
        <f t="shared" ca="1" si="2"/>
        <v>#VALUE!</v>
      </c>
      <c r="O12" t="e">
        <f t="shared" ca="1" si="2"/>
        <v>#VALUE!</v>
      </c>
      <c r="P12" s="33" t="e">
        <f ca="1">SUM(INDIRECT(CONCATENATE("'",HLOOKUP(P$1,$B$21:$E$23,3,FALSE),"'!",$B$25,ROW($A12)+5,":",$B$25,ROW($A12)+6)))*About!$A$27</f>
        <v>#VALUE!</v>
      </c>
      <c r="Q12" t="e" cm="1">
        <f t="array" aca="1" ref="Q12" ca="1">TREND($K12:$P12,$K$1:$P$1,Q$1)</f>
        <v>#VALUE!</v>
      </c>
      <c r="R12" t="e" cm="1">
        <f t="array" aca="1" ref="R12" ca="1">TREND($K12:$P12,$K$1:$P$1,R$1)</f>
        <v>#VALUE!</v>
      </c>
      <c r="S12" t="e" cm="1">
        <f t="array" aca="1" ref="S12" ca="1">TREND($K12:$P12,$K$1:$P$1,S$1)</f>
        <v>#VALUE!</v>
      </c>
      <c r="T12" t="e" cm="1">
        <f t="array" aca="1" ref="T12" ca="1">TREND($K12:$P12,$K$1:$P$1,T$1)</f>
        <v>#VALUE!</v>
      </c>
      <c r="U12" t="e" cm="1">
        <f t="array" aca="1" ref="U12" ca="1">TREND($K12:$P12,$K$1:$P$1,U$1)</f>
        <v>#VALUE!</v>
      </c>
      <c r="V12" t="e" cm="1">
        <f t="array" aca="1" ref="V12" ca="1">TREND($K12:$P12,$K$1:$P$1,V$1)</f>
        <v>#VALUE!</v>
      </c>
      <c r="W12" t="e" cm="1">
        <f t="array" aca="1" ref="W12" ca="1">TREND($K12:$P12,$K$1:$P$1,W$1)</f>
        <v>#VALUE!</v>
      </c>
      <c r="X12" t="e" cm="1">
        <f t="array" aca="1" ref="X12" ca="1">TREND($K12:$P12,$K$1:$P$1,X$1)</f>
        <v>#VALUE!</v>
      </c>
      <c r="Y12" t="e" cm="1">
        <f t="array" aca="1" ref="Y12" ca="1">TREND($K12:$P12,$K$1:$P$1,Y$1)</f>
        <v>#VALUE!</v>
      </c>
      <c r="Z12" t="e" cm="1">
        <f t="array" aca="1" ref="Z12" ca="1">TREND($K12:$P12,$K$1:$P$1,Z$1)</f>
        <v>#VALUE!</v>
      </c>
      <c r="AA12" t="e" cm="1">
        <f t="array" aca="1" ref="AA12" ca="1">TREND($K12:$P12,$K$1:$P$1,AA$1)</f>
        <v>#VALUE!</v>
      </c>
      <c r="AB12" t="e" cm="1">
        <f t="array" aca="1" ref="AB12" ca="1">TREND($K12:$P12,$K$1:$P$1,AB$1)</f>
        <v>#VALUE!</v>
      </c>
      <c r="AC12" t="e" cm="1">
        <f t="array" aca="1" ref="AC12" ca="1">TREND($K12:$P12,$K$1:$P$1,AC$1)</f>
        <v>#VALUE!</v>
      </c>
      <c r="AD12" t="e" cm="1">
        <f t="array" aca="1" ref="AD12" ca="1">TREND($K12:$P12,$K$1:$P$1,AD$1)</f>
        <v>#VALUE!</v>
      </c>
      <c r="AE12" t="e" cm="1">
        <f t="array" aca="1" ref="AE12" ca="1">TREND($K12:$P12,$K$1:$P$1,AE$1)</f>
        <v>#VALUE!</v>
      </c>
      <c r="AF12" t="e" cm="1">
        <f t="array" aca="1" ref="AF12" ca="1">TREND($K12:$P12,$K$1:$P$1,AF$1)</f>
        <v>#VALUE!</v>
      </c>
      <c r="AG12" t="e" cm="1">
        <f t="array" aca="1" ref="AG12" ca="1">TREND($K12:$P12,$K$1:$P$1,AG$1)</f>
        <v>#VALUE!</v>
      </c>
      <c r="AH12" t="e" cm="1">
        <f t="array" aca="1" ref="AH12" ca="1">TREND($K12:$P12,$K$1:$P$1,AH$1)</f>
        <v>#VALUE!</v>
      </c>
      <c r="AI12" t="e" cm="1">
        <f t="array" aca="1" ref="AI12" ca="1">TREND($K12:$P12,$K$1:$P$1,AI$1)</f>
        <v>#VALUE!</v>
      </c>
      <c r="AJ12" t="e" cm="1">
        <f t="array" aca="1" ref="AJ12" ca="1">TREND($K12:$P12,$K$1:$P$1,AJ$1)</f>
        <v>#VALUE!</v>
      </c>
    </row>
    <row r="16" spans="1:36">
      <c r="A16" s="20" t="s">
        <v>86</v>
      </c>
      <c r="B16" s="21"/>
      <c r="C16" s="21"/>
      <c r="D16" s="21"/>
    </row>
    <row r="17" spans="1:5">
      <c r="A17" t="s">
        <v>87</v>
      </c>
      <c r="B17" t="e" cm="1">
        <f t="array" aca="1" ref="B17" ca="1">MID(CELL("filename",A17),FIND("]",CELL("filename",A17))+1,255)</f>
        <v>#VALUE!</v>
      </c>
    </row>
    <row r="18" spans="1:5">
      <c r="A18" t="s">
        <v>88</v>
      </c>
      <c r="B18" t="e">
        <f ca="1">RIGHT(B17,LEN(B17)-7)</f>
        <v>#VALUE!</v>
      </c>
    </row>
    <row r="19" spans="1:5">
      <c r="A19" t="s">
        <v>89</v>
      </c>
      <c r="B19" t="e">
        <f ca="1">LEFT(B18,FIND("-",B18)-1)</f>
        <v>#VALUE!</v>
      </c>
    </row>
    <row r="20" spans="1:5">
      <c r="A20" t="s">
        <v>90</v>
      </c>
      <c r="B20" t="e">
        <f ca="1">VLOOKUP($B$19,Mappings!$A$22:$B$26,COLUMN(Mappings!$B$21),FALSE)</f>
        <v>#VALUE!</v>
      </c>
    </row>
    <row r="21" spans="1:5">
      <c r="A21" s="23"/>
      <c r="B21" s="24">
        <v>2016</v>
      </c>
      <c r="C21" s="24">
        <v>2020</v>
      </c>
      <c r="D21" s="24">
        <v>2025</v>
      </c>
      <c r="E21" s="25">
        <v>2030</v>
      </c>
    </row>
    <row r="22" spans="1:5">
      <c r="A22" s="26" t="s">
        <v>91</v>
      </c>
      <c r="B22" s="2" t="e">
        <f ca="1">VLOOKUP($B$20,Mappings!$A$3:$E$19,COLUMN(Mappings!B$2),FALSE)</f>
        <v>#VALUE!</v>
      </c>
      <c r="C22" s="2" t="e">
        <f ca="1">VLOOKUP($B$20,Mappings!$A$3:$E$19,COLUMN(Mappings!C$2),FALSE)</f>
        <v>#VALUE!</v>
      </c>
      <c r="D22" s="2" t="e">
        <f ca="1">VLOOKUP($B$20,Mappings!$A$3:$E$19,COLUMN(Mappings!D$2),FALSE)</f>
        <v>#VALUE!</v>
      </c>
      <c r="E22" s="27" t="e">
        <f ca="1">VLOOKUP($B$20,Mappings!$A$3:$E$19,COLUMN(Mappings!E$2),FALSE)</f>
        <v>#VALUE!</v>
      </c>
    </row>
    <row r="23" spans="1:5">
      <c r="A23" s="28" t="s">
        <v>87</v>
      </c>
      <c r="B23" s="29" t="e">
        <f ca="1">CONCATENATE("Table ",B22)</f>
        <v>#VALUE!</v>
      </c>
      <c r="C23" s="29" t="e">
        <f ca="1">CONCATENATE("Table ",C22)</f>
        <v>#VALUE!</v>
      </c>
      <c r="D23" s="29" t="e">
        <f ca="1">CONCATENATE("Table ",D22)</f>
        <v>#VALUE!</v>
      </c>
      <c r="E23" s="30" t="e">
        <f ca="1">CONCATENATE("Table ",E22)</f>
        <v>#VALUE!</v>
      </c>
    </row>
    <row r="24" spans="1:5">
      <c r="A24" t="s">
        <v>92</v>
      </c>
      <c r="B24" t="e">
        <f ca="1">REPLACE(B18,1,FIND("-",B18),"")</f>
        <v>#VALUE!</v>
      </c>
    </row>
    <row r="25" spans="1:5">
      <c r="A25" t="s">
        <v>93</v>
      </c>
      <c r="B25" s="2" t="e">
        <f ca="1">VLOOKUP($B$24,Mappings!$A$29:$B$31,COLUMN(Mappings!$B$29),FALSE)</f>
        <v>#VALUE!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90E1B-F56C-446B-8F62-1098191A6865}">
  <sheetPr>
    <tabColor theme="4" tint="-0.249977111117893"/>
  </sheetPr>
  <dimension ref="A1:AJ25"/>
  <sheetViews>
    <sheetView workbookViewId="0"/>
  </sheetViews>
  <sheetFormatPr defaultColWidth="8.7109375" defaultRowHeight="14.45"/>
  <cols>
    <col min="1" max="1" width="33.7109375" customWidth="1"/>
  </cols>
  <sheetData>
    <row r="1" spans="1:36" s="1" customFormat="1">
      <c r="A1" s="22" t="s">
        <v>74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>
      <c r="A2" t="s">
        <v>75</v>
      </c>
      <c r="B2" s="31" t="e" cm="1">
        <f t="array" aca="1" ref="B2" ca="1">INDIRECT(CONCATENATE("'",HLOOKUP(B$1,$B$21:$E$23,3,FALSE),"'!",$B$25,ROW($A2)+3))*About!$A$27</f>
        <v>#VALUE!</v>
      </c>
      <c r="C2" t="e">
        <f ca="1">$B2+($F2-$B2)*(C$1-$B$1)/($F$1-$B$1)</f>
        <v>#VALUE!</v>
      </c>
      <c r="D2" t="e">
        <f t="shared" ref="D2:E12" ca="1" si="0">$B2+($F2-$B2)*(D$1-$B$1)/($F$1-$B$1)</f>
        <v>#VALUE!</v>
      </c>
      <c r="E2" t="e">
        <f t="shared" ca="1" si="0"/>
        <v>#VALUE!</v>
      </c>
      <c r="F2" s="31" t="e" cm="1">
        <f t="array" aca="1" ref="F2" ca="1">INDIRECT(CONCATENATE("'",HLOOKUP(F$1,$B$21:$E$23,3,FALSE),"'!",$B$25,ROW($A2)+3))*About!$A$27</f>
        <v>#VALUE!</v>
      </c>
      <c r="G2" t="e">
        <f ca="1">$F2+($K2-$F2)*(G$1-$F$1)/($K$1-$F$1)</f>
        <v>#VALUE!</v>
      </c>
      <c r="H2" t="e">
        <f t="shared" ref="H2:J12" ca="1" si="1">$F2+($K2-$F2)*(H$1-$F$1)/($K$1-$F$1)</f>
        <v>#VALUE!</v>
      </c>
      <c r="I2" t="e">
        <f t="shared" ca="1" si="1"/>
        <v>#VALUE!</v>
      </c>
      <c r="J2" t="e">
        <f t="shared" ca="1" si="1"/>
        <v>#VALUE!</v>
      </c>
      <c r="K2" s="31" t="e" cm="1">
        <f t="array" aca="1" ref="K2" ca="1">INDIRECT(CONCATENATE("'",HLOOKUP(K$1,$B$21:$E$23,3,FALSE),"'!",$B$25,ROW($A2)+3))*About!$A$27</f>
        <v>#VALUE!</v>
      </c>
      <c r="L2" t="e">
        <f ca="1">$K2+($P2-$K2)*(L$1-$K$1)/($P$1-$K$1)</f>
        <v>#VALUE!</v>
      </c>
      <c r="M2" t="e">
        <f t="shared" ref="M2:O12" ca="1" si="2">$K2+($P2-$K2)*(M$1-$K$1)/($P$1-$K$1)</f>
        <v>#VALUE!</v>
      </c>
      <c r="N2" t="e">
        <f t="shared" ca="1" si="2"/>
        <v>#VALUE!</v>
      </c>
      <c r="O2" t="e">
        <f t="shared" ca="1" si="2"/>
        <v>#VALUE!</v>
      </c>
      <c r="P2" s="31" t="e" cm="1">
        <f t="array" aca="1" ref="P2" ca="1">INDIRECT(CONCATENATE("'",HLOOKUP(P$1,$B$21:$E$23,3,FALSE),"'!",$B$25,ROW($A2)+3))*About!$A$27</f>
        <v>#VALUE!</v>
      </c>
      <c r="Q2" t="e" cm="1">
        <f t="array" aca="1" ref="Q2" ca="1">TREND($K2:$P2,$K$1:$P$1,Q$1)</f>
        <v>#VALUE!</v>
      </c>
      <c r="R2" t="e" cm="1">
        <f t="array" aca="1" ref="R2" ca="1">TREND($K2:$P2,$K$1:$P$1,R$1)</f>
        <v>#VALUE!</v>
      </c>
      <c r="S2" t="e" cm="1">
        <f t="array" aca="1" ref="S2" ca="1">TREND($K2:$P2,$K$1:$P$1,S$1)</f>
        <v>#VALUE!</v>
      </c>
      <c r="T2" t="e" cm="1">
        <f t="array" aca="1" ref="T2" ca="1">TREND($K2:$P2,$K$1:$P$1,T$1)</f>
        <v>#VALUE!</v>
      </c>
      <c r="U2" t="e" cm="1">
        <f t="array" aca="1" ref="U2" ca="1">TREND($K2:$P2,$K$1:$P$1,U$1)</f>
        <v>#VALUE!</v>
      </c>
      <c r="V2" t="e" cm="1">
        <f t="array" aca="1" ref="V2" ca="1">TREND($K2:$P2,$K$1:$P$1,V$1)</f>
        <v>#VALUE!</v>
      </c>
      <c r="W2" t="e" cm="1">
        <f t="array" aca="1" ref="W2" ca="1">TREND($K2:$P2,$K$1:$P$1,W$1)</f>
        <v>#VALUE!</v>
      </c>
      <c r="X2" t="e" cm="1">
        <f t="array" aca="1" ref="X2" ca="1">TREND($K2:$P2,$K$1:$P$1,X$1)</f>
        <v>#VALUE!</v>
      </c>
      <c r="Y2" t="e" cm="1">
        <f t="array" aca="1" ref="Y2" ca="1">TREND($K2:$P2,$K$1:$P$1,Y$1)</f>
        <v>#VALUE!</v>
      </c>
      <c r="Z2" t="e" cm="1">
        <f t="array" aca="1" ref="Z2" ca="1">TREND($K2:$P2,$K$1:$P$1,Z$1)</f>
        <v>#VALUE!</v>
      </c>
      <c r="AA2" t="e" cm="1">
        <f t="array" aca="1" ref="AA2" ca="1">TREND($K2:$P2,$K$1:$P$1,AA$1)</f>
        <v>#VALUE!</v>
      </c>
      <c r="AB2" t="e" cm="1">
        <f t="array" aca="1" ref="AB2" ca="1">TREND($K2:$P2,$K$1:$P$1,AB$1)</f>
        <v>#VALUE!</v>
      </c>
      <c r="AC2" t="e" cm="1">
        <f t="array" aca="1" ref="AC2" ca="1">TREND($K2:$P2,$K$1:$P$1,AC$1)</f>
        <v>#VALUE!</v>
      </c>
      <c r="AD2" t="e" cm="1">
        <f t="array" aca="1" ref="AD2" ca="1">TREND($K2:$P2,$K$1:$P$1,AD$1)</f>
        <v>#VALUE!</v>
      </c>
      <c r="AE2" t="e" cm="1">
        <f t="array" aca="1" ref="AE2" ca="1">TREND($K2:$P2,$K$1:$P$1,AE$1)</f>
        <v>#VALUE!</v>
      </c>
      <c r="AF2" t="e" cm="1">
        <f t="array" aca="1" ref="AF2" ca="1">TREND($K2:$P2,$K$1:$P$1,AF$1)</f>
        <v>#VALUE!</v>
      </c>
      <c r="AG2" t="e" cm="1">
        <f t="array" aca="1" ref="AG2" ca="1">TREND($K2:$P2,$K$1:$P$1,AG$1)</f>
        <v>#VALUE!</v>
      </c>
      <c r="AH2" t="e" cm="1">
        <f t="array" aca="1" ref="AH2" ca="1">TREND($K2:$P2,$K$1:$P$1,AH$1)</f>
        <v>#VALUE!</v>
      </c>
      <c r="AI2" t="e" cm="1">
        <f t="array" aca="1" ref="AI2" ca="1">TREND($K2:$P2,$K$1:$P$1,AI$1)</f>
        <v>#VALUE!</v>
      </c>
      <c r="AJ2" t="e" cm="1">
        <f t="array" aca="1" ref="AJ2" ca="1">TREND($K2:$P2,$K$1:$P$1,AJ$1)</f>
        <v>#VALUE!</v>
      </c>
    </row>
    <row r="3" spans="1:36">
      <c r="A3" t="s">
        <v>76</v>
      </c>
      <c r="B3" s="32" t="e" cm="1">
        <f t="array" aca="1" ref="B3" ca="1">INDIRECT(CONCATENATE("'",HLOOKUP(B$1,$B$21:$E$23,3,FALSE),"'!",$B$25,ROW($A3)+5))*About!$A$27</f>
        <v>#VALUE!</v>
      </c>
      <c r="C3" t="e">
        <f t="shared" ref="C3:C12" ca="1" si="3">$B3+($F3-$B3)*(C$1-$B$1)/($F$1-$B$1)</f>
        <v>#VALUE!</v>
      </c>
      <c r="D3" t="e">
        <f t="shared" ca="1" si="0"/>
        <v>#VALUE!</v>
      </c>
      <c r="E3" t="e">
        <f t="shared" ca="1" si="0"/>
        <v>#VALUE!</v>
      </c>
      <c r="F3" s="32" t="e" cm="1">
        <f t="array" aca="1" ref="F3" ca="1">INDIRECT(CONCATENATE("'",HLOOKUP(F$1,$B$21:$E$23,3,FALSE),"'!",$B$25,ROW($A3)+5))*About!$A$27</f>
        <v>#VALUE!</v>
      </c>
      <c r="G3" t="e">
        <f t="shared" ref="G3:G12" ca="1" si="4">$F3+($K3-$F3)*(G$1-$F$1)/($K$1-$F$1)</f>
        <v>#VALUE!</v>
      </c>
      <c r="H3" t="e">
        <f t="shared" ca="1" si="1"/>
        <v>#VALUE!</v>
      </c>
      <c r="I3" t="e">
        <f t="shared" ca="1" si="1"/>
        <v>#VALUE!</v>
      </c>
      <c r="J3" t="e">
        <f t="shared" ca="1" si="1"/>
        <v>#VALUE!</v>
      </c>
      <c r="K3" s="32" t="e" cm="1">
        <f t="array" aca="1" ref="K3" ca="1">INDIRECT(CONCATENATE("'",HLOOKUP(K$1,$B$21:$E$23,3,FALSE),"'!",$B$25,ROW($A3)+5))*About!$A$27</f>
        <v>#VALUE!</v>
      </c>
      <c r="L3" t="e">
        <f t="shared" ref="L3:L12" ca="1" si="5">$K3+($P3-$K3)*(L$1-$K$1)/($P$1-$K$1)</f>
        <v>#VALUE!</v>
      </c>
      <c r="M3" t="e">
        <f t="shared" ca="1" si="2"/>
        <v>#VALUE!</v>
      </c>
      <c r="N3" t="e">
        <f t="shared" ca="1" si="2"/>
        <v>#VALUE!</v>
      </c>
      <c r="O3" t="e">
        <f t="shared" ca="1" si="2"/>
        <v>#VALUE!</v>
      </c>
      <c r="P3" s="32" t="e" cm="1">
        <f t="array" aca="1" ref="P3" ca="1">INDIRECT(CONCATENATE("'",HLOOKUP(P$1,$B$21:$E$23,3,FALSE),"'!",$B$25,ROW($A3)+5))*About!$A$27</f>
        <v>#VALUE!</v>
      </c>
      <c r="Q3" t="e" cm="1">
        <f t="array" aca="1" ref="Q3" ca="1">TREND($K3:$P3,$K$1:$P$1,Q$1)</f>
        <v>#VALUE!</v>
      </c>
      <c r="R3" t="e" cm="1">
        <f t="array" aca="1" ref="R3" ca="1">TREND($K3:$P3,$K$1:$P$1,R$1)</f>
        <v>#VALUE!</v>
      </c>
      <c r="S3" t="e" cm="1">
        <f t="array" aca="1" ref="S3" ca="1">TREND($K3:$P3,$K$1:$P$1,S$1)</f>
        <v>#VALUE!</v>
      </c>
      <c r="T3" t="e" cm="1">
        <f t="array" aca="1" ref="T3" ca="1">TREND($K3:$P3,$K$1:$P$1,T$1)</f>
        <v>#VALUE!</v>
      </c>
      <c r="U3" t="e" cm="1">
        <f t="array" aca="1" ref="U3" ca="1">TREND($K3:$P3,$K$1:$P$1,U$1)</f>
        <v>#VALUE!</v>
      </c>
      <c r="V3" t="e" cm="1">
        <f t="array" aca="1" ref="V3" ca="1">TREND($K3:$P3,$K$1:$P$1,V$1)</f>
        <v>#VALUE!</v>
      </c>
      <c r="W3" t="e" cm="1">
        <f t="array" aca="1" ref="W3" ca="1">TREND($K3:$P3,$K$1:$P$1,W$1)</f>
        <v>#VALUE!</v>
      </c>
      <c r="X3" t="e" cm="1">
        <f t="array" aca="1" ref="X3" ca="1">TREND($K3:$P3,$K$1:$P$1,X$1)</f>
        <v>#VALUE!</v>
      </c>
      <c r="Y3" t="e" cm="1">
        <f t="array" aca="1" ref="Y3" ca="1">TREND($K3:$P3,$K$1:$P$1,Y$1)</f>
        <v>#VALUE!</v>
      </c>
      <c r="Z3" t="e" cm="1">
        <f t="array" aca="1" ref="Z3" ca="1">TREND($K3:$P3,$K$1:$P$1,Z$1)</f>
        <v>#VALUE!</v>
      </c>
      <c r="AA3" t="e" cm="1">
        <f t="array" aca="1" ref="AA3" ca="1">TREND($K3:$P3,$K$1:$P$1,AA$1)</f>
        <v>#VALUE!</v>
      </c>
      <c r="AB3" t="e" cm="1">
        <f t="array" aca="1" ref="AB3" ca="1">TREND($K3:$P3,$K$1:$P$1,AB$1)</f>
        <v>#VALUE!</v>
      </c>
      <c r="AC3" t="e" cm="1">
        <f t="array" aca="1" ref="AC3" ca="1">TREND($K3:$P3,$K$1:$P$1,AC$1)</f>
        <v>#VALUE!</v>
      </c>
      <c r="AD3" t="e" cm="1">
        <f t="array" aca="1" ref="AD3" ca="1">TREND($K3:$P3,$K$1:$P$1,AD$1)</f>
        <v>#VALUE!</v>
      </c>
      <c r="AE3" t="e" cm="1">
        <f t="array" aca="1" ref="AE3" ca="1">TREND($K3:$P3,$K$1:$P$1,AE$1)</f>
        <v>#VALUE!</v>
      </c>
      <c r="AF3" t="e" cm="1">
        <f t="array" aca="1" ref="AF3" ca="1">TREND($K3:$P3,$K$1:$P$1,AF$1)</f>
        <v>#VALUE!</v>
      </c>
      <c r="AG3" t="e" cm="1">
        <f t="array" aca="1" ref="AG3" ca="1">TREND($K3:$P3,$K$1:$P$1,AG$1)</f>
        <v>#VALUE!</v>
      </c>
      <c r="AH3" t="e" cm="1">
        <f t="array" aca="1" ref="AH3" ca="1">TREND($K3:$P3,$K$1:$P$1,AH$1)</f>
        <v>#VALUE!</v>
      </c>
      <c r="AI3" t="e" cm="1">
        <f t="array" aca="1" ref="AI3" ca="1">TREND($K3:$P3,$K$1:$P$1,AI$1)</f>
        <v>#VALUE!</v>
      </c>
      <c r="AJ3" t="e" cm="1">
        <f t="array" aca="1" ref="AJ3" ca="1">TREND($K3:$P3,$K$1:$P$1,AJ$1)</f>
        <v>#VALUE!</v>
      </c>
    </row>
    <row r="4" spans="1:36">
      <c r="A4" t="s">
        <v>77</v>
      </c>
      <c r="B4" s="32" t="e" cm="1">
        <f t="array" aca="1" ref="B4" ca="1">INDIRECT(CONCATENATE("'",HLOOKUP(B$1,$B$21:$E$23,3,FALSE),"'!",$B$25,ROW($A4)+5))*About!$A$27</f>
        <v>#VALUE!</v>
      </c>
      <c r="C4" t="e">
        <f t="shared" ca="1" si="3"/>
        <v>#VALUE!</v>
      </c>
      <c r="D4" t="e">
        <f t="shared" ca="1" si="0"/>
        <v>#VALUE!</v>
      </c>
      <c r="E4" t="e">
        <f t="shared" ca="1" si="0"/>
        <v>#VALUE!</v>
      </c>
      <c r="F4" s="32" t="e" cm="1">
        <f t="array" aca="1" ref="F4" ca="1">INDIRECT(CONCATENATE("'",HLOOKUP(F$1,$B$21:$E$23,3,FALSE),"'!",$B$25,ROW($A4)+5))*About!$A$27</f>
        <v>#VALUE!</v>
      </c>
      <c r="G4" t="e">
        <f t="shared" ca="1" si="4"/>
        <v>#VALUE!</v>
      </c>
      <c r="H4" t="e">
        <f t="shared" ca="1" si="1"/>
        <v>#VALUE!</v>
      </c>
      <c r="I4" t="e">
        <f t="shared" ca="1" si="1"/>
        <v>#VALUE!</v>
      </c>
      <c r="J4" t="e">
        <f t="shared" ca="1" si="1"/>
        <v>#VALUE!</v>
      </c>
      <c r="K4" s="32" t="e" cm="1">
        <f t="array" aca="1" ref="K4" ca="1">INDIRECT(CONCATENATE("'",HLOOKUP(K$1,$B$21:$E$23,3,FALSE),"'!",$B$25,ROW($A4)+5))*About!$A$27</f>
        <v>#VALUE!</v>
      </c>
      <c r="L4" t="e">
        <f t="shared" ca="1" si="5"/>
        <v>#VALUE!</v>
      </c>
      <c r="M4" t="e">
        <f t="shared" ca="1" si="2"/>
        <v>#VALUE!</v>
      </c>
      <c r="N4" t="e">
        <f t="shared" ca="1" si="2"/>
        <v>#VALUE!</v>
      </c>
      <c r="O4" t="e">
        <f t="shared" ca="1" si="2"/>
        <v>#VALUE!</v>
      </c>
      <c r="P4" s="32" t="e" cm="1">
        <f t="array" aca="1" ref="P4" ca="1">INDIRECT(CONCATENATE("'",HLOOKUP(P$1,$B$21:$E$23,3,FALSE),"'!",$B$25,ROW($A4)+5))*About!$A$27</f>
        <v>#VALUE!</v>
      </c>
      <c r="Q4" t="e" cm="1">
        <f t="array" aca="1" ref="Q4" ca="1">TREND($K4:$P4,$K$1:$P$1,Q$1)</f>
        <v>#VALUE!</v>
      </c>
      <c r="R4" t="e" cm="1">
        <f t="array" aca="1" ref="R4" ca="1">TREND($K4:$P4,$K$1:$P$1,R$1)</f>
        <v>#VALUE!</v>
      </c>
      <c r="S4" t="e" cm="1">
        <f t="array" aca="1" ref="S4" ca="1">TREND($K4:$P4,$K$1:$P$1,S$1)</f>
        <v>#VALUE!</v>
      </c>
      <c r="T4" t="e" cm="1">
        <f t="array" aca="1" ref="T4" ca="1">TREND($K4:$P4,$K$1:$P$1,T$1)</f>
        <v>#VALUE!</v>
      </c>
      <c r="U4" t="e" cm="1">
        <f t="array" aca="1" ref="U4" ca="1">TREND($K4:$P4,$K$1:$P$1,U$1)</f>
        <v>#VALUE!</v>
      </c>
      <c r="V4" t="e" cm="1">
        <f t="array" aca="1" ref="V4" ca="1">TREND($K4:$P4,$K$1:$P$1,V$1)</f>
        <v>#VALUE!</v>
      </c>
      <c r="W4" t="e" cm="1">
        <f t="array" aca="1" ref="W4" ca="1">TREND($K4:$P4,$K$1:$P$1,W$1)</f>
        <v>#VALUE!</v>
      </c>
      <c r="X4" t="e" cm="1">
        <f t="array" aca="1" ref="X4" ca="1">TREND($K4:$P4,$K$1:$P$1,X$1)</f>
        <v>#VALUE!</v>
      </c>
      <c r="Y4" t="e" cm="1">
        <f t="array" aca="1" ref="Y4" ca="1">TREND($K4:$P4,$K$1:$P$1,Y$1)</f>
        <v>#VALUE!</v>
      </c>
      <c r="Z4" t="e" cm="1">
        <f t="array" aca="1" ref="Z4" ca="1">TREND($K4:$P4,$K$1:$P$1,Z$1)</f>
        <v>#VALUE!</v>
      </c>
      <c r="AA4" t="e" cm="1">
        <f t="array" aca="1" ref="AA4" ca="1">TREND($K4:$P4,$K$1:$P$1,AA$1)</f>
        <v>#VALUE!</v>
      </c>
      <c r="AB4" t="e" cm="1">
        <f t="array" aca="1" ref="AB4" ca="1">TREND($K4:$P4,$K$1:$P$1,AB$1)</f>
        <v>#VALUE!</v>
      </c>
      <c r="AC4" t="e" cm="1">
        <f t="array" aca="1" ref="AC4" ca="1">TREND($K4:$P4,$K$1:$P$1,AC$1)</f>
        <v>#VALUE!</v>
      </c>
      <c r="AD4" t="e" cm="1">
        <f t="array" aca="1" ref="AD4" ca="1">TREND($K4:$P4,$K$1:$P$1,AD$1)</f>
        <v>#VALUE!</v>
      </c>
      <c r="AE4" t="e" cm="1">
        <f t="array" aca="1" ref="AE4" ca="1">TREND($K4:$P4,$K$1:$P$1,AE$1)</f>
        <v>#VALUE!</v>
      </c>
      <c r="AF4" t="e" cm="1">
        <f t="array" aca="1" ref="AF4" ca="1">TREND($K4:$P4,$K$1:$P$1,AF$1)</f>
        <v>#VALUE!</v>
      </c>
      <c r="AG4" t="e" cm="1">
        <f t="array" aca="1" ref="AG4" ca="1">TREND($K4:$P4,$K$1:$P$1,AG$1)</f>
        <v>#VALUE!</v>
      </c>
      <c r="AH4" t="e" cm="1">
        <f t="array" aca="1" ref="AH4" ca="1">TREND($K4:$P4,$K$1:$P$1,AH$1)</f>
        <v>#VALUE!</v>
      </c>
      <c r="AI4" t="e" cm="1">
        <f t="array" aca="1" ref="AI4" ca="1">TREND($K4:$P4,$K$1:$P$1,AI$1)</f>
        <v>#VALUE!</v>
      </c>
      <c r="AJ4" t="e" cm="1">
        <f t="array" aca="1" ref="AJ4" ca="1">TREND($K4:$P4,$K$1:$P$1,AJ$1)</f>
        <v>#VALUE!</v>
      </c>
    </row>
    <row r="5" spans="1:36">
      <c r="A5" t="s">
        <v>78</v>
      </c>
      <c r="B5" s="32" t="e" cm="1">
        <f t="array" aca="1" ref="B5" ca="1">INDIRECT(CONCATENATE("'",HLOOKUP(B$1,$B$21:$E$23,3,FALSE),"'!",$B$25,ROW($A5)+5))*About!$A$27</f>
        <v>#VALUE!</v>
      </c>
      <c r="C5" t="e">
        <f t="shared" ca="1" si="3"/>
        <v>#VALUE!</v>
      </c>
      <c r="D5" t="e">
        <f t="shared" ca="1" si="0"/>
        <v>#VALUE!</v>
      </c>
      <c r="E5" t="e">
        <f t="shared" ca="1" si="0"/>
        <v>#VALUE!</v>
      </c>
      <c r="F5" s="32" t="e" cm="1">
        <f t="array" aca="1" ref="F5" ca="1">INDIRECT(CONCATENATE("'",HLOOKUP(F$1,$B$21:$E$23,3,FALSE),"'!",$B$25,ROW($A5)+5))*About!$A$27</f>
        <v>#VALUE!</v>
      </c>
      <c r="G5" t="e">
        <f t="shared" ca="1" si="4"/>
        <v>#VALUE!</v>
      </c>
      <c r="H5" t="e">
        <f t="shared" ca="1" si="1"/>
        <v>#VALUE!</v>
      </c>
      <c r="I5" t="e">
        <f t="shared" ca="1" si="1"/>
        <v>#VALUE!</v>
      </c>
      <c r="J5" t="e">
        <f t="shared" ca="1" si="1"/>
        <v>#VALUE!</v>
      </c>
      <c r="K5" s="32" t="e" cm="1">
        <f t="array" aca="1" ref="K5" ca="1">INDIRECT(CONCATENATE("'",HLOOKUP(K$1,$B$21:$E$23,3,FALSE),"'!",$B$25,ROW($A5)+5))*About!$A$27</f>
        <v>#VALUE!</v>
      </c>
      <c r="L5" t="e">
        <f t="shared" ca="1" si="5"/>
        <v>#VALUE!</v>
      </c>
      <c r="M5" t="e">
        <f t="shared" ca="1" si="2"/>
        <v>#VALUE!</v>
      </c>
      <c r="N5" t="e">
        <f t="shared" ca="1" si="2"/>
        <v>#VALUE!</v>
      </c>
      <c r="O5" t="e">
        <f t="shared" ca="1" si="2"/>
        <v>#VALUE!</v>
      </c>
      <c r="P5" s="32" t="e" cm="1">
        <f t="array" aca="1" ref="P5" ca="1">INDIRECT(CONCATENATE("'",HLOOKUP(P$1,$B$21:$E$23,3,FALSE),"'!",$B$25,ROW($A5)+5))*About!$A$27</f>
        <v>#VALUE!</v>
      </c>
      <c r="Q5" t="e" cm="1">
        <f t="array" aca="1" ref="Q5" ca="1">TREND($K5:$P5,$K$1:$P$1,Q$1)</f>
        <v>#VALUE!</v>
      </c>
      <c r="R5" t="e" cm="1">
        <f t="array" aca="1" ref="R5" ca="1">TREND($K5:$P5,$K$1:$P$1,R$1)</f>
        <v>#VALUE!</v>
      </c>
      <c r="S5" t="e" cm="1">
        <f t="array" aca="1" ref="S5" ca="1">TREND($K5:$P5,$K$1:$P$1,S$1)</f>
        <v>#VALUE!</v>
      </c>
      <c r="T5" t="e" cm="1">
        <f t="array" aca="1" ref="T5" ca="1">TREND($K5:$P5,$K$1:$P$1,T$1)</f>
        <v>#VALUE!</v>
      </c>
      <c r="U5" t="e" cm="1">
        <f t="array" aca="1" ref="U5" ca="1">TREND($K5:$P5,$K$1:$P$1,U$1)</f>
        <v>#VALUE!</v>
      </c>
      <c r="V5" t="e" cm="1">
        <f t="array" aca="1" ref="V5" ca="1">TREND($K5:$P5,$K$1:$P$1,V$1)</f>
        <v>#VALUE!</v>
      </c>
      <c r="W5" t="e" cm="1">
        <f t="array" aca="1" ref="W5" ca="1">TREND($K5:$P5,$K$1:$P$1,W$1)</f>
        <v>#VALUE!</v>
      </c>
      <c r="X5" t="e" cm="1">
        <f t="array" aca="1" ref="X5" ca="1">TREND($K5:$P5,$K$1:$P$1,X$1)</f>
        <v>#VALUE!</v>
      </c>
      <c r="Y5" t="e" cm="1">
        <f t="array" aca="1" ref="Y5" ca="1">TREND($K5:$P5,$K$1:$P$1,Y$1)</f>
        <v>#VALUE!</v>
      </c>
      <c r="Z5" t="e" cm="1">
        <f t="array" aca="1" ref="Z5" ca="1">TREND($K5:$P5,$K$1:$P$1,Z$1)</f>
        <v>#VALUE!</v>
      </c>
      <c r="AA5" t="e" cm="1">
        <f t="array" aca="1" ref="AA5" ca="1">TREND($K5:$P5,$K$1:$P$1,AA$1)</f>
        <v>#VALUE!</v>
      </c>
      <c r="AB5" t="e" cm="1">
        <f t="array" aca="1" ref="AB5" ca="1">TREND($K5:$P5,$K$1:$P$1,AB$1)</f>
        <v>#VALUE!</v>
      </c>
      <c r="AC5" t="e" cm="1">
        <f t="array" aca="1" ref="AC5" ca="1">TREND($K5:$P5,$K$1:$P$1,AC$1)</f>
        <v>#VALUE!</v>
      </c>
      <c r="AD5" t="e" cm="1">
        <f t="array" aca="1" ref="AD5" ca="1">TREND($K5:$P5,$K$1:$P$1,AD$1)</f>
        <v>#VALUE!</v>
      </c>
      <c r="AE5" t="e" cm="1">
        <f t="array" aca="1" ref="AE5" ca="1">TREND($K5:$P5,$K$1:$P$1,AE$1)</f>
        <v>#VALUE!</v>
      </c>
      <c r="AF5" t="e" cm="1">
        <f t="array" aca="1" ref="AF5" ca="1">TREND($K5:$P5,$K$1:$P$1,AF$1)</f>
        <v>#VALUE!</v>
      </c>
      <c r="AG5" t="e" cm="1">
        <f t="array" aca="1" ref="AG5" ca="1">TREND($K5:$P5,$K$1:$P$1,AG$1)</f>
        <v>#VALUE!</v>
      </c>
      <c r="AH5" t="e" cm="1">
        <f t="array" aca="1" ref="AH5" ca="1">TREND($K5:$P5,$K$1:$P$1,AH$1)</f>
        <v>#VALUE!</v>
      </c>
      <c r="AI5" t="e" cm="1">
        <f t="array" aca="1" ref="AI5" ca="1">TREND($K5:$P5,$K$1:$P$1,AI$1)</f>
        <v>#VALUE!</v>
      </c>
      <c r="AJ5" t="e" cm="1">
        <f t="array" aca="1" ref="AJ5" ca="1">TREND($K5:$P5,$K$1:$P$1,AJ$1)</f>
        <v>#VALUE!</v>
      </c>
    </row>
    <row r="6" spans="1:36">
      <c r="A6" t="s">
        <v>79</v>
      </c>
      <c r="B6" s="32" t="e" cm="1">
        <f t="array" aca="1" ref="B6" ca="1">INDIRECT(CONCATENATE("'",HLOOKUP(B$1,$B$21:$E$23,3,FALSE),"'!",$B$25,ROW($A6)+5))*About!$A$27</f>
        <v>#VALUE!</v>
      </c>
      <c r="C6" t="e">
        <f t="shared" ca="1" si="3"/>
        <v>#VALUE!</v>
      </c>
      <c r="D6" t="e">
        <f t="shared" ca="1" si="0"/>
        <v>#VALUE!</v>
      </c>
      <c r="E6" t="e">
        <f t="shared" ca="1" si="0"/>
        <v>#VALUE!</v>
      </c>
      <c r="F6" s="32" t="e" cm="1">
        <f t="array" aca="1" ref="F6" ca="1">INDIRECT(CONCATENATE("'",HLOOKUP(F$1,$B$21:$E$23,3,FALSE),"'!",$B$25,ROW($A6)+5))*About!$A$27</f>
        <v>#VALUE!</v>
      </c>
      <c r="G6" t="e">
        <f t="shared" ca="1" si="4"/>
        <v>#VALUE!</v>
      </c>
      <c r="H6" t="e">
        <f t="shared" ca="1" si="1"/>
        <v>#VALUE!</v>
      </c>
      <c r="I6" t="e">
        <f t="shared" ca="1" si="1"/>
        <v>#VALUE!</v>
      </c>
      <c r="J6" t="e">
        <f t="shared" ca="1" si="1"/>
        <v>#VALUE!</v>
      </c>
      <c r="K6" s="32" t="e" cm="1">
        <f t="array" aca="1" ref="K6" ca="1">INDIRECT(CONCATENATE("'",HLOOKUP(K$1,$B$21:$E$23,3,FALSE),"'!",$B$25,ROW($A6)+5))*About!$A$27</f>
        <v>#VALUE!</v>
      </c>
      <c r="L6" t="e">
        <f t="shared" ca="1" si="5"/>
        <v>#VALUE!</v>
      </c>
      <c r="M6" t="e">
        <f t="shared" ca="1" si="2"/>
        <v>#VALUE!</v>
      </c>
      <c r="N6" t="e">
        <f t="shared" ca="1" si="2"/>
        <v>#VALUE!</v>
      </c>
      <c r="O6" t="e">
        <f t="shared" ca="1" si="2"/>
        <v>#VALUE!</v>
      </c>
      <c r="P6" s="32" t="e" cm="1">
        <f t="array" aca="1" ref="P6" ca="1">INDIRECT(CONCATENATE("'",HLOOKUP(P$1,$B$21:$E$23,3,FALSE),"'!",$B$25,ROW($A6)+5))*About!$A$27</f>
        <v>#VALUE!</v>
      </c>
      <c r="Q6" t="e" cm="1">
        <f t="array" aca="1" ref="Q6" ca="1">TREND($K6:$P6,$K$1:$P$1,Q$1)</f>
        <v>#VALUE!</v>
      </c>
      <c r="R6" t="e" cm="1">
        <f t="array" aca="1" ref="R6" ca="1">TREND($K6:$P6,$K$1:$P$1,R$1)</f>
        <v>#VALUE!</v>
      </c>
      <c r="S6" t="e" cm="1">
        <f t="array" aca="1" ref="S6" ca="1">TREND($K6:$P6,$K$1:$P$1,S$1)</f>
        <v>#VALUE!</v>
      </c>
      <c r="T6" t="e" cm="1">
        <f t="array" aca="1" ref="T6" ca="1">TREND($K6:$P6,$K$1:$P$1,T$1)</f>
        <v>#VALUE!</v>
      </c>
      <c r="U6" t="e" cm="1">
        <f t="array" aca="1" ref="U6" ca="1">TREND($K6:$P6,$K$1:$P$1,U$1)</f>
        <v>#VALUE!</v>
      </c>
      <c r="V6" t="e" cm="1">
        <f t="array" aca="1" ref="V6" ca="1">TREND($K6:$P6,$K$1:$P$1,V$1)</f>
        <v>#VALUE!</v>
      </c>
      <c r="W6" t="e" cm="1">
        <f t="array" aca="1" ref="W6" ca="1">TREND($K6:$P6,$K$1:$P$1,W$1)</f>
        <v>#VALUE!</v>
      </c>
      <c r="X6" t="e" cm="1">
        <f t="array" aca="1" ref="X6" ca="1">TREND($K6:$P6,$K$1:$P$1,X$1)</f>
        <v>#VALUE!</v>
      </c>
      <c r="Y6" t="e" cm="1">
        <f t="array" aca="1" ref="Y6" ca="1">TREND($K6:$P6,$K$1:$P$1,Y$1)</f>
        <v>#VALUE!</v>
      </c>
      <c r="Z6" t="e" cm="1">
        <f t="array" aca="1" ref="Z6" ca="1">TREND($K6:$P6,$K$1:$P$1,Z$1)</f>
        <v>#VALUE!</v>
      </c>
      <c r="AA6" t="e" cm="1">
        <f t="array" aca="1" ref="AA6" ca="1">TREND($K6:$P6,$K$1:$P$1,AA$1)</f>
        <v>#VALUE!</v>
      </c>
      <c r="AB6" t="e" cm="1">
        <f t="array" aca="1" ref="AB6" ca="1">TREND($K6:$P6,$K$1:$P$1,AB$1)</f>
        <v>#VALUE!</v>
      </c>
      <c r="AC6" t="e" cm="1">
        <f t="array" aca="1" ref="AC6" ca="1">TREND($K6:$P6,$K$1:$P$1,AC$1)</f>
        <v>#VALUE!</v>
      </c>
      <c r="AD6" t="e" cm="1">
        <f t="array" aca="1" ref="AD6" ca="1">TREND($K6:$P6,$K$1:$P$1,AD$1)</f>
        <v>#VALUE!</v>
      </c>
      <c r="AE6" t="e" cm="1">
        <f t="array" aca="1" ref="AE6" ca="1">TREND($K6:$P6,$K$1:$P$1,AE$1)</f>
        <v>#VALUE!</v>
      </c>
      <c r="AF6" t="e" cm="1">
        <f t="array" aca="1" ref="AF6" ca="1">TREND($K6:$P6,$K$1:$P$1,AF$1)</f>
        <v>#VALUE!</v>
      </c>
      <c r="AG6" t="e" cm="1">
        <f t="array" aca="1" ref="AG6" ca="1">TREND($K6:$P6,$K$1:$P$1,AG$1)</f>
        <v>#VALUE!</v>
      </c>
      <c r="AH6" t="e" cm="1">
        <f t="array" aca="1" ref="AH6" ca="1">TREND($K6:$P6,$K$1:$P$1,AH$1)</f>
        <v>#VALUE!</v>
      </c>
      <c r="AI6" t="e" cm="1">
        <f t="array" aca="1" ref="AI6" ca="1">TREND($K6:$P6,$K$1:$P$1,AI$1)</f>
        <v>#VALUE!</v>
      </c>
      <c r="AJ6" t="e" cm="1">
        <f t="array" aca="1" ref="AJ6" ca="1">TREND($K6:$P6,$K$1:$P$1,AJ$1)</f>
        <v>#VALUE!</v>
      </c>
    </row>
    <row r="7" spans="1:36">
      <c r="A7" t="s">
        <v>80</v>
      </c>
      <c r="B7" s="32" t="e" cm="1">
        <f t="array" aca="1" ref="B7" ca="1">INDIRECT(CONCATENATE("'",HLOOKUP(B$1,$B$21:$E$23,3,FALSE),"'!",$B$25,ROW($A7)+5))*About!$A$27</f>
        <v>#VALUE!</v>
      </c>
      <c r="C7" t="e">
        <f t="shared" ca="1" si="3"/>
        <v>#VALUE!</v>
      </c>
      <c r="D7" t="e">
        <f t="shared" ca="1" si="0"/>
        <v>#VALUE!</v>
      </c>
      <c r="E7" t="e">
        <f t="shared" ca="1" si="0"/>
        <v>#VALUE!</v>
      </c>
      <c r="F7" s="32" t="e" cm="1">
        <f t="array" aca="1" ref="F7" ca="1">INDIRECT(CONCATENATE("'",HLOOKUP(F$1,$B$21:$E$23,3,FALSE),"'!",$B$25,ROW($A7)+5))*About!$A$27</f>
        <v>#VALUE!</v>
      </c>
      <c r="G7" t="e">
        <f t="shared" ca="1" si="4"/>
        <v>#VALUE!</v>
      </c>
      <c r="H7" t="e">
        <f t="shared" ca="1" si="1"/>
        <v>#VALUE!</v>
      </c>
      <c r="I7" t="e">
        <f t="shared" ca="1" si="1"/>
        <v>#VALUE!</v>
      </c>
      <c r="J7" t="e">
        <f t="shared" ca="1" si="1"/>
        <v>#VALUE!</v>
      </c>
      <c r="K7" s="32" t="e" cm="1">
        <f t="array" aca="1" ref="K7" ca="1">INDIRECT(CONCATENATE("'",HLOOKUP(K$1,$B$21:$E$23,3,FALSE),"'!",$B$25,ROW($A7)+5))*About!$A$27</f>
        <v>#VALUE!</v>
      </c>
      <c r="L7" t="e">
        <f t="shared" ca="1" si="5"/>
        <v>#VALUE!</v>
      </c>
      <c r="M7" t="e">
        <f t="shared" ca="1" si="2"/>
        <v>#VALUE!</v>
      </c>
      <c r="N7" t="e">
        <f t="shared" ca="1" si="2"/>
        <v>#VALUE!</v>
      </c>
      <c r="O7" t="e">
        <f t="shared" ca="1" si="2"/>
        <v>#VALUE!</v>
      </c>
      <c r="P7" s="32" t="e" cm="1">
        <f t="array" aca="1" ref="P7" ca="1">INDIRECT(CONCATENATE("'",HLOOKUP(P$1,$B$21:$E$23,3,FALSE),"'!",$B$25,ROW($A7)+5))*About!$A$27</f>
        <v>#VALUE!</v>
      </c>
      <c r="Q7" t="e" cm="1">
        <f t="array" aca="1" ref="Q7" ca="1">TREND($K7:$P7,$K$1:$P$1,Q$1)</f>
        <v>#VALUE!</v>
      </c>
      <c r="R7" t="e" cm="1">
        <f t="array" aca="1" ref="R7" ca="1">TREND($K7:$P7,$K$1:$P$1,R$1)</f>
        <v>#VALUE!</v>
      </c>
      <c r="S7" t="e" cm="1">
        <f t="array" aca="1" ref="S7" ca="1">TREND($K7:$P7,$K$1:$P$1,S$1)</f>
        <v>#VALUE!</v>
      </c>
      <c r="T7" t="e" cm="1">
        <f t="array" aca="1" ref="T7" ca="1">TREND($K7:$P7,$K$1:$P$1,T$1)</f>
        <v>#VALUE!</v>
      </c>
      <c r="U7" t="e" cm="1">
        <f t="array" aca="1" ref="U7" ca="1">TREND($K7:$P7,$K$1:$P$1,U$1)</f>
        <v>#VALUE!</v>
      </c>
      <c r="V7" t="e" cm="1">
        <f t="array" aca="1" ref="V7" ca="1">TREND($K7:$P7,$K$1:$P$1,V$1)</f>
        <v>#VALUE!</v>
      </c>
      <c r="W7" t="e" cm="1">
        <f t="array" aca="1" ref="W7" ca="1">TREND($K7:$P7,$K$1:$P$1,W$1)</f>
        <v>#VALUE!</v>
      </c>
      <c r="X7" t="e" cm="1">
        <f t="array" aca="1" ref="X7" ca="1">TREND($K7:$P7,$K$1:$P$1,X$1)</f>
        <v>#VALUE!</v>
      </c>
      <c r="Y7" t="e" cm="1">
        <f t="array" aca="1" ref="Y7" ca="1">TREND($K7:$P7,$K$1:$P$1,Y$1)</f>
        <v>#VALUE!</v>
      </c>
      <c r="Z7" t="e" cm="1">
        <f t="array" aca="1" ref="Z7" ca="1">TREND($K7:$P7,$K$1:$P$1,Z$1)</f>
        <v>#VALUE!</v>
      </c>
      <c r="AA7" t="e" cm="1">
        <f t="array" aca="1" ref="AA7" ca="1">TREND($K7:$P7,$K$1:$P$1,AA$1)</f>
        <v>#VALUE!</v>
      </c>
      <c r="AB7" t="e" cm="1">
        <f t="array" aca="1" ref="AB7" ca="1">TREND($K7:$P7,$K$1:$P$1,AB$1)</f>
        <v>#VALUE!</v>
      </c>
      <c r="AC7" t="e" cm="1">
        <f t="array" aca="1" ref="AC7" ca="1">TREND($K7:$P7,$K$1:$P$1,AC$1)</f>
        <v>#VALUE!</v>
      </c>
      <c r="AD7" t="e" cm="1">
        <f t="array" aca="1" ref="AD7" ca="1">TREND($K7:$P7,$K$1:$P$1,AD$1)</f>
        <v>#VALUE!</v>
      </c>
      <c r="AE7" t="e" cm="1">
        <f t="array" aca="1" ref="AE7" ca="1">TREND($K7:$P7,$K$1:$P$1,AE$1)</f>
        <v>#VALUE!</v>
      </c>
      <c r="AF7" t="e" cm="1">
        <f t="array" aca="1" ref="AF7" ca="1">TREND($K7:$P7,$K$1:$P$1,AF$1)</f>
        <v>#VALUE!</v>
      </c>
      <c r="AG7" t="e" cm="1">
        <f t="array" aca="1" ref="AG7" ca="1">TREND($K7:$P7,$K$1:$P$1,AG$1)</f>
        <v>#VALUE!</v>
      </c>
      <c r="AH7" t="e" cm="1">
        <f t="array" aca="1" ref="AH7" ca="1">TREND($K7:$P7,$K$1:$P$1,AH$1)</f>
        <v>#VALUE!</v>
      </c>
      <c r="AI7" t="e" cm="1">
        <f t="array" aca="1" ref="AI7" ca="1">TREND($K7:$P7,$K$1:$P$1,AI$1)</f>
        <v>#VALUE!</v>
      </c>
      <c r="AJ7" t="e" cm="1">
        <f t="array" aca="1" ref="AJ7" ca="1">TREND($K7:$P7,$K$1:$P$1,AJ$1)</f>
        <v>#VALUE!</v>
      </c>
    </row>
    <row r="8" spans="1:36">
      <c r="A8" t="s">
        <v>81</v>
      </c>
      <c r="B8" s="32" t="e" cm="1">
        <f t="array" aca="1" ref="B8" ca="1">INDIRECT(CONCATENATE("'",HLOOKUP(B$1,$B$21:$E$23,3,FALSE),"'!",$B$25,ROW($A8)+5))*About!$A$27</f>
        <v>#VALUE!</v>
      </c>
      <c r="C8" t="e">
        <f t="shared" ca="1" si="3"/>
        <v>#VALUE!</v>
      </c>
      <c r="D8" t="e">
        <f t="shared" ca="1" si="0"/>
        <v>#VALUE!</v>
      </c>
      <c r="E8" t="e">
        <f t="shared" ca="1" si="0"/>
        <v>#VALUE!</v>
      </c>
      <c r="F8" s="32" t="e" cm="1">
        <f t="array" aca="1" ref="F8" ca="1">INDIRECT(CONCATENATE("'",HLOOKUP(F$1,$B$21:$E$23,3,FALSE),"'!",$B$25,ROW($A8)+5))*About!$A$27</f>
        <v>#VALUE!</v>
      </c>
      <c r="G8" t="e">
        <f t="shared" ca="1" si="4"/>
        <v>#VALUE!</v>
      </c>
      <c r="H8" t="e">
        <f t="shared" ca="1" si="1"/>
        <v>#VALUE!</v>
      </c>
      <c r="I8" t="e">
        <f t="shared" ca="1" si="1"/>
        <v>#VALUE!</v>
      </c>
      <c r="J8" t="e">
        <f t="shared" ca="1" si="1"/>
        <v>#VALUE!</v>
      </c>
      <c r="K8" s="32" t="e" cm="1">
        <f t="array" aca="1" ref="K8" ca="1">INDIRECT(CONCATENATE("'",HLOOKUP(K$1,$B$21:$E$23,3,FALSE),"'!",$B$25,ROW($A8)+5))*About!$A$27</f>
        <v>#VALUE!</v>
      </c>
      <c r="L8" t="e">
        <f t="shared" ca="1" si="5"/>
        <v>#VALUE!</v>
      </c>
      <c r="M8" t="e">
        <f t="shared" ca="1" si="2"/>
        <v>#VALUE!</v>
      </c>
      <c r="N8" t="e">
        <f t="shared" ca="1" si="2"/>
        <v>#VALUE!</v>
      </c>
      <c r="O8" t="e">
        <f t="shared" ca="1" si="2"/>
        <v>#VALUE!</v>
      </c>
      <c r="P8" s="32" t="e" cm="1">
        <f t="array" aca="1" ref="P8" ca="1">INDIRECT(CONCATENATE("'",HLOOKUP(P$1,$B$21:$E$23,3,FALSE),"'!",$B$25,ROW($A8)+5))*About!$A$27</f>
        <v>#VALUE!</v>
      </c>
      <c r="Q8" t="e" cm="1">
        <f t="array" aca="1" ref="Q8" ca="1">TREND($K8:$P8,$K$1:$P$1,Q$1)</f>
        <v>#VALUE!</v>
      </c>
      <c r="R8" t="e" cm="1">
        <f t="array" aca="1" ref="R8" ca="1">TREND($K8:$P8,$K$1:$P$1,R$1)</f>
        <v>#VALUE!</v>
      </c>
      <c r="S8" t="e" cm="1">
        <f t="array" aca="1" ref="S8" ca="1">TREND($K8:$P8,$K$1:$P$1,S$1)</f>
        <v>#VALUE!</v>
      </c>
      <c r="T8" t="e" cm="1">
        <f t="array" aca="1" ref="T8" ca="1">TREND($K8:$P8,$K$1:$P$1,T$1)</f>
        <v>#VALUE!</v>
      </c>
      <c r="U8" t="e" cm="1">
        <f t="array" aca="1" ref="U8" ca="1">TREND($K8:$P8,$K$1:$P$1,U$1)</f>
        <v>#VALUE!</v>
      </c>
      <c r="V8" t="e" cm="1">
        <f t="array" aca="1" ref="V8" ca="1">TREND($K8:$P8,$K$1:$P$1,V$1)</f>
        <v>#VALUE!</v>
      </c>
      <c r="W8" t="e" cm="1">
        <f t="array" aca="1" ref="W8" ca="1">TREND($K8:$P8,$K$1:$P$1,W$1)</f>
        <v>#VALUE!</v>
      </c>
      <c r="X8" t="e" cm="1">
        <f t="array" aca="1" ref="X8" ca="1">TREND($K8:$P8,$K$1:$P$1,X$1)</f>
        <v>#VALUE!</v>
      </c>
      <c r="Y8" t="e" cm="1">
        <f t="array" aca="1" ref="Y8" ca="1">TREND($K8:$P8,$K$1:$P$1,Y$1)</f>
        <v>#VALUE!</v>
      </c>
      <c r="Z8" t="e" cm="1">
        <f t="array" aca="1" ref="Z8" ca="1">TREND($K8:$P8,$K$1:$P$1,Z$1)</f>
        <v>#VALUE!</v>
      </c>
      <c r="AA8" t="e" cm="1">
        <f t="array" aca="1" ref="AA8" ca="1">TREND($K8:$P8,$K$1:$P$1,AA$1)</f>
        <v>#VALUE!</v>
      </c>
      <c r="AB8" t="e" cm="1">
        <f t="array" aca="1" ref="AB8" ca="1">TREND($K8:$P8,$K$1:$P$1,AB$1)</f>
        <v>#VALUE!</v>
      </c>
      <c r="AC8" t="e" cm="1">
        <f t="array" aca="1" ref="AC8" ca="1">TREND($K8:$P8,$K$1:$P$1,AC$1)</f>
        <v>#VALUE!</v>
      </c>
      <c r="AD8" t="e" cm="1">
        <f t="array" aca="1" ref="AD8" ca="1">TREND($K8:$P8,$K$1:$P$1,AD$1)</f>
        <v>#VALUE!</v>
      </c>
      <c r="AE8" t="e" cm="1">
        <f t="array" aca="1" ref="AE8" ca="1">TREND($K8:$P8,$K$1:$P$1,AE$1)</f>
        <v>#VALUE!</v>
      </c>
      <c r="AF8" t="e" cm="1">
        <f t="array" aca="1" ref="AF8" ca="1">TREND($K8:$P8,$K$1:$P$1,AF$1)</f>
        <v>#VALUE!</v>
      </c>
      <c r="AG8" t="e" cm="1">
        <f t="array" aca="1" ref="AG8" ca="1">TREND($K8:$P8,$K$1:$P$1,AG$1)</f>
        <v>#VALUE!</v>
      </c>
      <c r="AH8" t="e" cm="1">
        <f t="array" aca="1" ref="AH8" ca="1">TREND($K8:$P8,$K$1:$P$1,AH$1)</f>
        <v>#VALUE!</v>
      </c>
      <c r="AI8" t="e" cm="1">
        <f t="array" aca="1" ref="AI8" ca="1">TREND($K8:$P8,$K$1:$P$1,AI$1)</f>
        <v>#VALUE!</v>
      </c>
      <c r="AJ8" t="e" cm="1">
        <f t="array" aca="1" ref="AJ8" ca="1">TREND($K8:$P8,$K$1:$P$1,AJ$1)</f>
        <v>#VALUE!</v>
      </c>
    </row>
    <row r="9" spans="1:36">
      <c r="A9" t="s">
        <v>82</v>
      </c>
      <c r="B9" s="32" t="e" cm="1">
        <f t="array" aca="1" ref="B9" ca="1">INDIRECT(CONCATENATE("'",HLOOKUP(B$1,$B$21:$E$23,3,FALSE),"'!",$B$25,ROW($A9)+5))*About!$A$27</f>
        <v>#VALUE!</v>
      </c>
      <c r="C9" t="e">
        <f t="shared" ca="1" si="3"/>
        <v>#VALUE!</v>
      </c>
      <c r="D9" t="e">
        <f t="shared" ca="1" si="0"/>
        <v>#VALUE!</v>
      </c>
      <c r="E9" t="e">
        <f t="shared" ca="1" si="0"/>
        <v>#VALUE!</v>
      </c>
      <c r="F9" s="32" t="e" cm="1">
        <f t="array" aca="1" ref="F9" ca="1">INDIRECT(CONCATENATE("'",HLOOKUP(F$1,$B$21:$E$23,3,FALSE),"'!",$B$25,ROW($A9)+5))*About!$A$27</f>
        <v>#VALUE!</v>
      </c>
      <c r="G9" t="e">
        <f t="shared" ca="1" si="4"/>
        <v>#VALUE!</v>
      </c>
      <c r="H9" t="e">
        <f t="shared" ca="1" si="1"/>
        <v>#VALUE!</v>
      </c>
      <c r="I9" t="e">
        <f t="shared" ca="1" si="1"/>
        <v>#VALUE!</v>
      </c>
      <c r="J9" t="e">
        <f t="shared" ca="1" si="1"/>
        <v>#VALUE!</v>
      </c>
      <c r="K9" s="32" t="e" cm="1">
        <f t="array" aca="1" ref="K9" ca="1">INDIRECT(CONCATENATE("'",HLOOKUP(K$1,$B$21:$E$23,3,FALSE),"'!",$B$25,ROW($A9)+5))*About!$A$27</f>
        <v>#VALUE!</v>
      </c>
      <c r="L9" t="e">
        <f t="shared" ca="1" si="5"/>
        <v>#VALUE!</v>
      </c>
      <c r="M9" t="e">
        <f t="shared" ca="1" si="2"/>
        <v>#VALUE!</v>
      </c>
      <c r="N9" t="e">
        <f t="shared" ca="1" si="2"/>
        <v>#VALUE!</v>
      </c>
      <c r="O9" t="e">
        <f t="shared" ca="1" si="2"/>
        <v>#VALUE!</v>
      </c>
      <c r="P9" s="32" t="e" cm="1">
        <f t="array" aca="1" ref="P9" ca="1">INDIRECT(CONCATENATE("'",HLOOKUP(P$1,$B$21:$E$23,3,FALSE),"'!",$B$25,ROW($A9)+5))*About!$A$27</f>
        <v>#VALUE!</v>
      </c>
      <c r="Q9" t="e" cm="1">
        <f t="array" aca="1" ref="Q9" ca="1">TREND($K9:$P9,$K$1:$P$1,Q$1)</f>
        <v>#VALUE!</v>
      </c>
      <c r="R9" t="e" cm="1">
        <f t="array" aca="1" ref="R9" ca="1">TREND($K9:$P9,$K$1:$P$1,R$1)</f>
        <v>#VALUE!</v>
      </c>
      <c r="S9" t="e" cm="1">
        <f t="array" aca="1" ref="S9" ca="1">TREND($K9:$P9,$K$1:$P$1,S$1)</f>
        <v>#VALUE!</v>
      </c>
      <c r="T9" t="e" cm="1">
        <f t="array" aca="1" ref="T9" ca="1">TREND($K9:$P9,$K$1:$P$1,T$1)</f>
        <v>#VALUE!</v>
      </c>
      <c r="U9" t="e" cm="1">
        <f t="array" aca="1" ref="U9" ca="1">TREND($K9:$P9,$K$1:$P$1,U$1)</f>
        <v>#VALUE!</v>
      </c>
      <c r="V9" t="e" cm="1">
        <f t="array" aca="1" ref="V9" ca="1">TREND($K9:$P9,$K$1:$P$1,V$1)</f>
        <v>#VALUE!</v>
      </c>
      <c r="W9" t="e" cm="1">
        <f t="array" aca="1" ref="W9" ca="1">TREND($K9:$P9,$K$1:$P$1,W$1)</f>
        <v>#VALUE!</v>
      </c>
      <c r="X9" t="e" cm="1">
        <f t="array" aca="1" ref="X9" ca="1">TREND($K9:$P9,$K$1:$P$1,X$1)</f>
        <v>#VALUE!</v>
      </c>
      <c r="Y9" t="e" cm="1">
        <f t="array" aca="1" ref="Y9" ca="1">TREND($K9:$P9,$K$1:$P$1,Y$1)</f>
        <v>#VALUE!</v>
      </c>
      <c r="Z9" t="e" cm="1">
        <f t="array" aca="1" ref="Z9" ca="1">TREND($K9:$P9,$K$1:$P$1,Z$1)</f>
        <v>#VALUE!</v>
      </c>
      <c r="AA9" t="e" cm="1">
        <f t="array" aca="1" ref="AA9" ca="1">TREND($K9:$P9,$K$1:$P$1,AA$1)</f>
        <v>#VALUE!</v>
      </c>
      <c r="AB9" t="e" cm="1">
        <f t="array" aca="1" ref="AB9" ca="1">TREND($K9:$P9,$K$1:$P$1,AB$1)</f>
        <v>#VALUE!</v>
      </c>
      <c r="AC9" t="e" cm="1">
        <f t="array" aca="1" ref="AC9" ca="1">TREND($K9:$P9,$K$1:$P$1,AC$1)</f>
        <v>#VALUE!</v>
      </c>
      <c r="AD9" t="e" cm="1">
        <f t="array" aca="1" ref="AD9" ca="1">TREND($K9:$P9,$K$1:$P$1,AD$1)</f>
        <v>#VALUE!</v>
      </c>
      <c r="AE9" t="e" cm="1">
        <f t="array" aca="1" ref="AE9" ca="1">TREND($K9:$P9,$K$1:$P$1,AE$1)</f>
        <v>#VALUE!</v>
      </c>
      <c r="AF9" t="e" cm="1">
        <f t="array" aca="1" ref="AF9" ca="1">TREND($K9:$P9,$K$1:$P$1,AF$1)</f>
        <v>#VALUE!</v>
      </c>
      <c r="AG9" t="e" cm="1">
        <f t="array" aca="1" ref="AG9" ca="1">TREND($K9:$P9,$K$1:$P$1,AG$1)</f>
        <v>#VALUE!</v>
      </c>
      <c r="AH9" t="e" cm="1">
        <f t="array" aca="1" ref="AH9" ca="1">TREND($K9:$P9,$K$1:$P$1,AH$1)</f>
        <v>#VALUE!</v>
      </c>
      <c r="AI9" t="e" cm="1">
        <f t="array" aca="1" ref="AI9" ca="1">TREND($K9:$P9,$K$1:$P$1,AI$1)</f>
        <v>#VALUE!</v>
      </c>
      <c r="AJ9" t="e" cm="1">
        <f t="array" aca="1" ref="AJ9" ca="1">TREND($K9:$P9,$K$1:$P$1,AJ$1)</f>
        <v>#VALUE!</v>
      </c>
    </row>
    <row r="10" spans="1:36">
      <c r="A10" t="s">
        <v>83</v>
      </c>
      <c r="B10" s="32" t="e" cm="1">
        <f t="array" aca="1" ref="B10" ca="1">INDIRECT(CONCATENATE("'",HLOOKUP(B$1,$B$21:$E$23,3,FALSE),"'!",$B$25,ROW($A10)+5))*About!$A$27</f>
        <v>#VALUE!</v>
      </c>
      <c r="C10" t="e">
        <f t="shared" ca="1" si="3"/>
        <v>#VALUE!</v>
      </c>
      <c r="D10" t="e">
        <f t="shared" ca="1" si="0"/>
        <v>#VALUE!</v>
      </c>
      <c r="E10" t="e">
        <f t="shared" ca="1" si="0"/>
        <v>#VALUE!</v>
      </c>
      <c r="F10" s="32" t="e" cm="1">
        <f t="array" aca="1" ref="F10" ca="1">INDIRECT(CONCATENATE("'",HLOOKUP(F$1,$B$21:$E$23,3,FALSE),"'!",$B$25,ROW($A10)+5))*About!$A$27</f>
        <v>#VALUE!</v>
      </c>
      <c r="G10" t="e">
        <f t="shared" ca="1" si="4"/>
        <v>#VALUE!</v>
      </c>
      <c r="H10" t="e">
        <f t="shared" ca="1" si="1"/>
        <v>#VALUE!</v>
      </c>
      <c r="I10" t="e">
        <f t="shared" ca="1" si="1"/>
        <v>#VALUE!</v>
      </c>
      <c r="J10" t="e">
        <f t="shared" ca="1" si="1"/>
        <v>#VALUE!</v>
      </c>
      <c r="K10" s="32" t="e" cm="1">
        <f t="array" aca="1" ref="K10" ca="1">INDIRECT(CONCATENATE("'",HLOOKUP(K$1,$B$21:$E$23,3,FALSE),"'!",$B$25,ROW($A10)+5))*About!$A$27</f>
        <v>#VALUE!</v>
      </c>
      <c r="L10" t="e">
        <f t="shared" ca="1" si="5"/>
        <v>#VALUE!</v>
      </c>
      <c r="M10" t="e">
        <f t="shared" ca="1" si="2"/>
        <v>#VALUE!</v>
      </c>
      <c r="N10" t="e">
        <f t="shared" ca="1" si="2"/>
        <v>#VALUE!</v>
      </c>
      <c r="O10" t="e">
        <f t="shared" ca="1" si="2"/>
        <v>#VALUE!</v>
      </c>
      <c r="P10" s="32" t="e" cm="1">
        <f t="array" aca="1" ref="P10" ca="1">INDIRECT(CONCATENATE("'",HLOOKUP(P$1,$B$21:$E$23,3,FALSE),"'!",$B$25,ROW($A10)+5))*About!$A$27</f>
        <v>#VALUE!</v>
      </c>
      <c r="Q10" t="e" cm="1">
        <f t="array" aca="1" ref="Q10" ca="1">TREND($K10:$P10,$K$1:$P$1,Q$1)</f>
        <v>#VALUE!</v>
      </c>
      <c r="R10" t="e" cm="1">
        <f t="array" aca="1" ref="R10" ca="1">TREND($K10:$P10,$K$1:$P$1,R$1)</f>
        <v>#VALUE!</v>
      </c>
      <c r="S10" t="e" cm="1">
        <f t="array" aca="1" ref="S10" ca="1">TREND($K10:$P10,$K$1:$P$1,S$1)</f>
        <v>#VALUE!</v>
      </c>
      <c r="T10" t="e" cm="1">
        <f t="array" aca="1" ref="T10" ca="1">TREND($K10:$P10,$K$1:$P$1,T$1)</f>
        <v>#VALUE!</v>
      </c>
      <c r="U10" t="e" cm="1">
        <f t="array" aca="1" ref="U10" ca="1">TREND($K10:$P10,$K$1:$P$1,U$1)</f>
        <v>#VALUE!</v>
      </c>
      <c r="V10" t="e" cm="1">
        <f t="array" aca="1" ref="V10" ca="1">TREND($K10:$P10,$K$1:$P$1,V$1)</f>
        <v>#VALUE!</v>
      </c>
      <c r="W10" t="e" cm="1">
        <f t="array" aca="1" ref="W10" ca="1">TREND($K10:$P10,$K$1:$P$1,W$1)</f>
        <v>#VALUE!</v>
      </c>
      <c r="X10" t="e" cm="1">
        <f t="array" aca="1" ref="X10" ca="1">TREND($K10:$P10,$K$1:$P$1,X$1)</f>
        <v>#VALUE!</v>
      </c>
      <c r="Y10" t="e" cm="1">
        <f t="array" aca="1" ref="Y10" ca="1">TREND($K10:$P10,$K$1:$P$1,Y$1)</f>
        <v>#VALUE!</v>
      </c>
      <c r="Z10" t="e" cm="1">
        <f t="array" aca="1" ref="Z10" ca="1">TREND($K10:$P10,$K$1:$P$1,Z$1)</f>
        <v>#VALUE!</v>
      </c>
      <c r="AA10" t="e" cm="1">
        <f t="array" aca="1" ref="AA10" ca="1">TREND($K10:$P10,$K$1:$P$1,AA$1)</f>
        <v>#VALUE!</v>
      </c>
      <c r="AB10" t="e" cm="1">
        <f t="array" aca="1" ref="AB10" ca="1">TREND($K10:$P10,$K$1:$P$1,AB$1)</f>
        <v>#VALUE!</v>
      </c>
      <c r="AC10" t="e" cm="1">
        <f t="array" aca="1" ref="AC10" ca="1">TREND($K10:$P10,$K$1:$P$1,AC$1)</f>
        <v>#VALUE!</v>
      </c>
      <c r="AD10" t="e" cm="1">
        <f t="array" aca="1" ref="AD10" ca="1">TREND($K10:$P10,$K$1:$P$1,AD$1)</f>
        <v>#VALUE!</v>
      </c>
      <c r="AE10" t="e" cm="1">
        <f t="array" aca="1" ref="AE10" ca="1">TREND($K10:$P10,$K$1:$P$1,AE$1)</f>
        <v>#VALUE!</v>
      </c>
      <c r="AF10" t="e" cm="1">
        <f t="array" aca="1" ref="AF10" ca="1">TREND($K10:$P10,$K$1:$P$1,AF$1)</f>
        <v>#VALUE!</v>
      </c>
      <c r="AG10" t="e" cm="1">
        <f t="array" aca="1" ref="AG10" ca="1">TREND($K10:$P10,$K$1:$P$1,AG$1)</f>
        <v>#VALUE!</v>
      </c>
      <c r="AH10" t="e" cm="1">
        <f t="array" aca="1" ref="AH10" ca="1">TREND($K10:$P10,$K$1:$P$1,AH$1)</f>
        <v>#VALUE!</v>
      </c>
      <c r="AI10" t="e" cm="1">
        <f t="array" aca="1" ref="AI10" ca="1">TREND($K10:$P10,$K$1:$P$1,AI$1)</f>
        <v>#VALUE!</v>
      </c>
      <c r="AJ10" t="e" cm="1">
        <f t="array" aca="1" ref="AJ10" ca="1">TREND($K10:$P10,$K$1:$P$1,AJ$1)</f>
        <v>#VALUE!</v>
      </c>
    </row>
    <row r="11" spans="1:36">
      <c r="A11" t="s">
        <v>84</v>
      </c>
      <c r="B11" s="32" t="e" cm="1">
        <f t="array" aca="1" ref="B11" ca="1">INDIRECT(CONCATENATE("'",HLOOKUP(B$1,$B$21:$E$23,3,FALSE),"'!",$B$25,ROW($A11)+5))*About!$A$27</f>
        <v>#VALUE!</v>
      </c>
      <c r="C11" t="e">
        <f t="shared" ca="1" si="3"/>
        <v>#VALUE!</v>
      </c>
      <c r="D11" t="e">
        <f t="shared" ca="1" si="0"/>
        <v>#VALUE!</v>
      </c>
      <c r="E11" t="e">
        <f t="shared" ca="1" si="0"/>
        <v>#VALUE!</v>
      </c>
      <c r="F11" s="32" t="e" cm="1">
        <f t="array" aca="1" ref="F11" ca="1">INDIRECT(CONCATENATE("'",HLOOKUP(F$1,$B$21:$E$23,3,FALSE),"'!",$B$25,ROW($A11)+5))*About!$A$27</f>
        <v>#VALUE!</v>
      </c>
      <c r="G11" t="e">
        <f t="shared" ca="1" si="4"/>
        <v>#VALUE!</v>
      </c>
      <c r="H11" t="e">
        <f t="shared" ca="1" si="1"/>
        <v>#VALUE!</v>
      </c>
      <c r="I11" t="e">
        <f t="shared" ca="1" si="1"/>
        <v>#VALUE!</v>
      </c>
      <c r="J11" t="e">
        <f t="shared" ca="1" si="1"/>
        <v>#VALUE!</v>
      </c>
      <c r="K11" s="32" t="e" cm="1">
        <f t="array" aca="1" ref="K11" ca="1">INDIRECT(CONCATENATE("'",HLOOKUP(K$1,$B$21:$E$23,3,FALSE),"'!",$B$25,ROW($A11)+5))*About!$A$27</f>
        <v>#VALUE!</v>
      </c>
      <c r="L11" t="e">
        <f t="shared" ca="1" si="5"/>
        <v>#VALUE!</v>
      </c>
      <c r="M11" t="e">
        <f t="shared" ca="1" si="2"/>
        <v>#VALUE!</v>
      </c>
      <c r="N11" t="e">
        <f t="shared" ca="1" si="2"/>
        <v>#VALUE!</v>
      </c>
      <c r="O11" t="e">
        <f t="shared" ca="1" si="2"/>
        <v>#VALUE!</v>
      </c>
      <c r="P11" s="32" t="e" cm="1">
        <f t="array" aca="1" ref="P11" ca="1">INDIRECT(CONCATENATE("'",HLOOKUP(P$1,$B$21:$E$23,3,FALSE),"'!",$B$25,ROW($A11)+5))*About!$A$27</f>
        <v>#VALUE!</v>
      </c>
      <c r="Q11" t="e" cm="1">
        <f t="array" aca="1" ref="Q11" ca="1">TREND($K11:$P11,$K$1:$P$1,Q$1)</f>
        <v>#VALUE!</v>
      </c>
      <c r="R11" t="e" cm="1">
        <f t="array" aca="1" ref="R11" ca="1">TREND($K11:$P11,$K$1:$P$1,R$1)</f>
        <v>#VALUE!</v>
      </c>
      <c r="S11" t="e" cm="1">
        <f t="array" aca="1" ref="S11" ca="1">TREND($K11:$P11,$K$1:$P$1,S$1)</f>
        <v>#VALUE!</v>
      </c>
      <c r="T11" t="e" cm="1">
        <f t="array" aca="1" ref="T11" ca="1">TREND($K11:$P11,$K$1:$P$1,T$1)</f>
        <v>#VALUE!</v>
      </c>
      <c r="U11" t="e" cm="1">
        <f t="array" aca="1" ref="U11" ca="1">TREND($K11:$P11,$K$1:$P$1,U$1)</f>
        <v>#VALUE!</v>
      </c>
      <c r="V11" t="e" cm="1">
        <f t="array" aca="1" ref="V11" ca="1">TREND($K11:$P11,$K$1:$P$1,V$1)</f>
        <v>#VALUE!</v>
      </c>
      <c r="W11" t="e" cm="1">
        <f t="array" aca="1" ref="W11" ca="1">TREND($K11:$P11,$K$1:$P$1,W$1)</f>
        <v>#VALUE!</v>
      </c>
      <c r="X11" t="e" cm="1">
        <f t="array" aca="1" ref="X11" ca="1">TREND($K11:$P11,$K$1:$P$1,X$1)</f>
        <v>#VALUE!</v>
      </c>
      <c r="Y11" t="e" cm="1">
        <f t="array" aca="1" ref="Y11" ca="1">TREND($K11:$P11,$K$1:$P$1,Y$1)</f>
        <v>#VALUE!</v>
      </c>
      <c r="Z11" t="e" cm="1">
        <f t="array" aca="1" ref="Z11" ca="1">TREND($K11:$P11,$K$1:$P$1,Z$1)</f>
        <v>#VALUE!</v>
      </c>
      <c r="AA11" t="e" cm="1">
        <f t="array" aca="1" ref="AA11" ca="1">TREND($K11:$P11,$K$1:$P$1,AA$1)</f>
        <v>#VALUE!</v>
      </c>
      <c r="AB11" t="e" cm="1">
        <f t="array" aca="1" ref="AB11" ca="1">TREND($K11:$P11,$K$1:$P$1,AB$1)</f>
        <v>#VALUE!</v>
      </c>
      <c r="AC11" t="e" cm="1">
        <f t="array" aca="1" ref="AC11" ca="1">TREND($K11:$P11,$K$1:$P$1,AC$1)</f>
        <v>#VALUE!</v>
      </c>
      <c r="AD11" t="e" cm="1">
        <f t="array" aca="1" ref="AD11" ca="1">TREND($K11:$P11,$K$1:$P$1,AD$1)</f>
        <v>#VALUE!</v>
      </c>
      <c r="AE11" t="e" cm="1">
        <f t="array" aca="1" ref="AE11" ca="1">TREND($K11:$P11,$K$1:$P$1,AE$1)</f>
        <v>#VALUE!</v>
      </c>
      <c r="AF11" t="e" cm="1">
        <f t="array" aca="1" ref="AF11" ca="1">TREND($K11:$P11,$K$1:$P$1,AF$1)</f>
        <v>#VALUE!</v>
      </c>
      <c r="AG11" t="e" cm="1">
        <f t="array" aca="1" ref="AG11" ca="1">TREND($K11:$P11,$K$1:$P$1,AG$1)</f>
        <v>#VALUE!</v>
      </c>
      <c r="AH11" t="e" cm="1">
        <f t="array" aca="1" ref="AH11" ca="1">TREND($K11:$P11,$K$1:$P$1,AH$1)</f>
        <v>#VALUE!</v>
      </c>
      <c r="AI11" t="e" cm="1">
        <f t="array" aca="1" ref="AI11" ca="1">TREND($K11:$P11,$K$1:$P$1,AI$1)</f>
        <v>#VALUE!</v>
      </c>
      <c r="AJ11" t="e" cm="1">
        <f t="array" aca="1" ref="AJ11" ca="1">TREND($K11:$P11,$K$1:$P$1,AJ$1)</f>
        <v>#VALUE!</v>
      </c>
    </row>
    <row r="12" spans="1:36">
      <c r="A12" t="s">
        <v>85</v>
      </c>
      <c r="B12" s="33" t="e">
        <f ca="1">SUM(INDIRECT(CONCATENATE("'",HLOOKUP(B$1,$B$21:$E$23,3,FALSE),"'!",$B$25,ROW($A12)+5,":",$B$25,ROW($A12)+6)))*About!$A$27</f>
        <v>#VALUE!</v>
      </c>
      <c r="C12" t="e">
        <f t="shared" ca="1" si="3"/>
        <v>#VALUE!</v>
      </c>
      <c r="D12" t="e">
        <f t="shared" ca="1" si="0"/>
        <v>#VALUE!</v>
      </c>
      <c r="E12" t="e">
        <f t="shared" ca="1" si="0"/>
        <v>#VALUE!</v>
      </c>
      <c r="F12" s="33" t="e">
        <f ca="1">SUM(INDIRECT(CONCATENATE("'",HLOOKUP(F$1,$B$21:$E$23,3,FALSE),"'!",$B$25,ROW($A12)+5,":",$B$25,ROW($A12)+6)))*About!$A$27</f>
        <v>#VALUE!</v>
      </c>
      <c r="G12" t="e">
        <f t="shared" ca="1" si="4"/>
        <v>#VALUE!</v>
      </c>
      <c r="H12" t="e">
        <f t="shared" ca="1" si="1"/>
        <v>#VALUE!</v>
      </c>
      <c r="I12" t="e">
        <f t="shared" ca="1" si="1"/>
        <v>#VALUE!</v>
      </c>
      <c r="J12" t="e">
        <f t="shared" ca="1" si="1"/>
        <v>#VALUE!</v>
      </c>
      <c r="K12" s="33" t="e">
        <f ca="1">SUM(INDIRECT(CONCATENATE("'",HLOOKUP(K$1,$B$21:$E$23,3,FALSE),"'!",$B$25,ROW($A12)+5,":",$B$25,ROW($A12)+6)))*About!$A$27</f>
        <v>#VALUE!</v>
      </c>
      <c r="L12" t="e">
        <f t="shared" ca="1" si="5"/>
        <v>#VALUE!</v>
      </c>
      <c r="M12" t="e">
        <f t="shared" ca="1" si="2"/>
        <v>#VALUE!</v>
      </c>
      <c r="N12" t="e">
        <f t="shared" ca="1" si="2"/>
        <v>#VALUE!</v>
      </c>
      <c r="O12" t="e">
        <f t="shared" ca="1" si="2"/>
        <v>#VALUE!</v>
      </c>
      <c r="P12" s="33" t="e">
        <f ca="1">SUM(INDIRECT(CONCATENATE("'",HLOOKUP(P$1,$B$21:$E$23,3,FALSE),"'!",$B$25,ROW($A12)+5,":",$B$25,ROW($A12)+6)))*About!$A$27</f>
        <v>#VALUE!</v>
      </c>
      <c r="Q12" t="e" cm="1">
        <f t="array" aca="1" ref="Q12" ca="1">TREND($K12:$P12,$K$1:$P$1,Q$1)</f>
        <v>#VALUE!</v>
      </c>
      <c r="R12" t="e" cm="1">
        <f t="array" aca="1" ref="R12" ca="1">TREND($K12:$P12,$K$1:$P$1,R$1)</f>
        <v>#VALUE!</v>
      </c>
      <c r="S12" t="e" cm="1">
        <f t="array" aca="1" ref="S12" ca="1">TREND($K12:$P12,$K$1:$P$1,S$1)</f>
        <v>#VALUE!</v>
      </c>
      <c r="T12" t="e" cm="1">
        <f t="array" aca="1" ref="T12" ca="1">TREND($K12:$P12,$K$1:$P$1,T$1)</f>
        <v>#VALUE!</v>
      </c>
      <c r="U12" t="e" cm="1">
        <f t="array" aca="1" ref="U12" ca="1">TREND($K12:$P12,$K$1:$P$1,U$1)</f>
        <v>#VALUE!</v>
      </c>
      <c r="V12" t="e" cm="1">
        <f t="array" aca="1" ref="V12" ca="1">TREND($K12:$P12,$K$1:$P$1,V$1)</f>
        <v>#VALUE!</v>
      </c>
      <c r="W12" t="e" cm="1">
        <f t="array" aca="1" ref="W12" ca="1">TREND($K12:$P12,$K$1:$P$1,W$1)</f>
        <v>#VALUE!</v>
      </c>
      <c r="X12" t="e" cm="1">
        <f t="array" aca="1" ref="X12" ca="1">TREND($K12:$P12,$K$1:$P$1,X$1)</f>
        <v>#VALUE!</v>
      </c>
      <c r="Y12" t="e" cm="1">
        <f t="array" aca="1" ref="Y12" ca="1">TREND($K12:$P12,$K$1:$P$1,Y$1)</f>
        <v>#VALUE!</v>
      </c>
      <c r="Z12" t="e" cm="1">
        <f t="array" aca="1" ref="Z12" ca="1">TREND($K12:$P12,$K$1:$P$1,Z$1)</f>
        <v>#VALUE!</v>
      </c>
      <c r="AA12" t="e" cm="1">
        <f t="array" aca="1" ref="AA12" ca="1">TREND($K12:$P12,$K$1:$P$1,AA$1)</f>
        <v>#VALUE!</v>
      </c>
      <c r="AB12" t="e" cm="1">
        <f t="array" aca="1" ref="AB12" ca="1">TREND($K12:$P12,$K$1:$P$1,AB$1)</f>
        <v>#VALUE!</v>
      </c>
      <c r="AC12" t="e" cm="1">
        <f t="array" aca="1" ref="AC12" ca="1">TREND($K12:$P12,$K$1:$P$1,AC$1)</f>
        <v>#VALUE!</v>
      </c>
      <c r="AD12" t="e" cm="1">
        <f t="array" aca="1" ref="AD12" ca="1">TREND($K12:$P12,$K$1:$P$1,AD$1)</f>
        <v>#VALUE!</v>
      </c>
      <c r="AE12" t="e" cm="1">
        <f t="array" aca="1" ref="AE12" ca="1">TREND($K12:$P12,$K$1:$P$1,AE$1)</f>
        <v>#VALUE!</v>
      </c>
      <c r="AF12" t="e" cm="1">
        <f t="array" aca="1" ref="AF12" ca="1">TREND($K12:$P12,$K$1:$P$1,AF$1)</f>
        <v>#VALUE!</v>
      </c>
      <c r="AG12" t="e" cm="1">
        <f t="array" aca="1" ref="AG12" ca="1">TREND($K12:$P12,$K$1:$P$1,AG$1)</f>
        <v>#VALUE!</v>
      </c>
      <c r="AH12" t="e" cm="1">
        <f t="array" aca="1" ref="AH12" ca="1">TREND($K12:$P12,$K$1:$P$1,AH$1)</f>
        <v>#VALUE!</v>
      </c>
      <c r="AI12" t="e" cm="1">
        <f t="array" aca="1" ref="AI12" ca="1">TREND($K12:$P12,$K$1:$P$1,AI$1)</f>
        <v>#VALUE!</v>
      </c>
      <c r="AJ12" t="e" cm="1">
        <f t="array" aca="1" ref="AJ12" ca="1">TREND($K12:$P12,$K$1:$P$1,AJ$1)</f>
        <v>#VALUE!</v>
      </c>
    </row>
    <row r="16" spans="1:36">
      <c r="A16" s="20" t="s">
        <v>86</v>
      </c>
      <c r="B16" s="21"/>
      <c r="C16" s="21"/>
      <c r="D16" s="21"/>
    </row>
    <row r="17" spans="1:5">
      <c r="A17" t="s">
        <v>87</v>
      </c>
      <c r="B17" t="e" cm="1">
        <f t="array" aca="1" ref="B17" ca="1">MID(CELL("filename",A17),FIND("]",CELL("filename",A17))+1,255)</f>
        <v>#VALUE!</v>
      </c>
    </row>
    <row r="18" spans="1:5">
      <c r="A18" t="s">
        <v>88</v>
      </c>
      <c r="B18" t="e">
        <f ca="1">RIGHT(B17,LEN(B17)-7)</f>
        <v>#VALUE!</v>
      </c>
    </row>
    <row r="19" spans="1:5">
      <c r="A19" t="s">
        <v>89</v>
      </c>
      <c r="B19" t="e">
        <f ca="1">LEFT(B18,FIND("-",B18)-1)</f>
        <v>#VALUE!</v>
      </c>
    </row>
    <row r="20" spans="1:5">
      <c r="A20" t="s">
        <v>90</v>
      </c>
      <c r="B20" t="e">
        <f ca="1">VLOOKUP($B$19,Mappings!$A$22:$B$26,COLUMN(Mappings!$B$21),FALSE)</f>
        <v>#VALUE!</v>
      </c>
    </row>
    <row r="21" spans="1:5">
      <c r="A21" s="23"/>
      <c r="B21" s="24">
        <v>2016</v>
      </c>
      <c r="C21" s="24">
        <v>2020</v>
      </c>
      <c r="D21" s="24">
        <v>2025</v>
      </c>
      <c r="E21" s="25">
        <v>2030</v>
      </c>
    </row>
    <row r="22" spans="1:5">
      <c r="A22" s="26" t="s">
        <v>91</v>
      </c>
      <c r="B22" s="2" t="e">
        <f ca="1">VLOOKUP($B$20,Mappings!$A$3:$E$19,COLUMN(Mappings!B$2),FALSE)</f>
        <v>#VALUE!</v>
      </c>
      <c r="C22" s="2" t="e">
        <f ca="1">VLOOKUP($B$20,Mappings!$A$3:$E$19,COLUMN(Mappings!C$2),FALSE)</f>
        <v>#VALUE!</v>
      </c>
      <c r="D22" s="2" t="e">
        <f ca="1">VLOOKUP($B$20,Mappings!$A$3:$E$19,COLUMN(Mappings!D$2),FALSE)</f>
        <v>#VALUE!</v>
      </c>
      <c r="E22" s="27" t="e">
        <f ca="1">VLOOKUP($B$20,Mappings!$A$3:$E$19,COLUMN(Mappings!E$2),FALSE)</f>
        <v>#VALUE!</v>
      </c>
    </row>
    <row r="23" spans="1:5">
      <c r="A23" s="28" t="s">
        <v>87</v>
      </c>
      <c r="B23" s="29" t="e">
        <f ca="1">CONCATENATE("Table ",B22)</f>
        <v>#VALUE!</v>
      </c>
      <c r="C23" s="29" t="e">
        <f ca="1">CONCATENATE("Table ",C22)</f>
        <v>#VALUE!</v>
      </c>
      <c r="D23" s="29" t="e">
        <f ca="1">CONCATENATE("Table ",D22)</f>
        <v>#VALUE!</v>
      </c>
      <c r="E23" s="30" t="e">
        <f ca="1">CONCATENATE("Table ",E22)</f>
        <v>#VALUE!</v>
      </c>
    </row>
    <row r="24" spans="1:5">
      <c r="A24" t="s">
        <v>92</v>
      </c>
      <c r="B24" t="e">
        <f ca="1">REPLACE(B18,1,FIND("-",B18),"")</f>
        <v>#VALUE!</v>
      </c>
    </row>
    <row r="25" spans="1:5">
      <c r="A25" t="s">
        <v>93</v>
      </c>
      <c r="B25" s="2" t="e">
        <f ca="1">VLOOKUP($B$24,Mappings!$A$29:$B$31,COLUMN(Mappings!$B$29),FALSE)</f>
        <v>#VALUE!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52845-1FFB-4C94-BF0D-65AC3E006328}">
  <sheetPr>
    <tabColor theme="4" tint="-0.249977111117893"/>
  </sheetPr>
  <dimension ref="A1:AJ25"/>
  <sheetViews>
    <sheetView workbookViewId="0"/>
  </sheetViews>
  <sheetFormatPr defaultColWidth="8.7109375" defaultRowHeight="14.45"/>
  <cols>
    <col min="1" max="1" width="33.7109375" customWidth="1"/>
  </cols>
  <sheetData>
    <row r="1" spans="1:36" s="1" customFormat="1">
      <c r="A1" s="22" t="s">
        <v>74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>
      <c r="A2" t="s">
        <v>75</v>
      </c>
      <c r="B2" s="31" t="e" cm="1">
        <f t="array" aca="1" ref="B2" ca="1">INDIRECT(CONCATENATE("'",HLOOKUP(B$1,$B$21:$E$23,3,FALSE),"'!",$B$25,ROW($A2)+3))*About!$A$27</f>
        <v>#VALUE!</v>
      </c>
      <c r="C2" t="e">
        <f ca="1">$B2+($F2-$B2)*(C$1-$B$1)/($F$1-$B$1)</f>
        <v>#VALUE!</v>
      </c>
      <c r="D2" t="e">
        <f t="shared" ref="D2:E12" ca="1" si="0">$B2+($F2-$B2)*(D$1-$B$1)/($F$1-$B$1)</f>
        <v>#VALUE!</v>
      </c>
      <c r="E2" t="e">
        <f t="shared" ca="1" si="0"/>
        <v>#VALUE!</v>
      </c>
      <c r="F2" s="31" t="e" cm="1">
        <f t="array" aca="1" ref="F2" ca="1">INDIRECT(CONCATENATE("'",HLOOKUP(F$1,$B$21:$E$23,3,FALSE),"'!",$B$25,ROW($A2)+3))*About!$A$27</f>
        <v>#VALUE!</v>
      </c>
      <c r="G2" t="e">
        <f ca="1">$F2+($K2-$F2)*(G$1-$F$1)/($K$1-$F$1)</f>
        <v>#VALUE!</v>
      </c>
      <c r="H2" t="e">
        <f t="shared" ref="H2:J12" ca="1" si="1">$F2+($K2-$F2)*(H$1-$F$1)/($K$1-$F$1)</f>
        <v>#VALUE!</v>
      </c>
      <c r="I2" t="e">
        <f t="shared" ca="1" si="1"/>
        <v>#VALUE!</v>
      </c>
      <c r="J2" t="e">
        <f t="shared" ca="1" si="1"/>
        <v>#VALUE!</v>
      </c>
      <c r="K2" s="31" t="e" cm="1">
        <f t="array" aca="1" ref="K2" ca="1">INDIRECT(CONCATENATE("'",HLOOKUP(K$1,$B$21:$E$23,3,FALSE),"'!",$B$25,ROW($A2)+3))*About!$A$27</f>
        <v>#VALUE!</v>
      </c>
      <c r="L2" t="e">
        <f ca="1">$K2+($P2-$K2)*(L$1-$K$1)/($P$1-$K$1)</f>
        <v>#VALUE!</v>
      </c>
      <c r="M2" t="e">
        <f t="shared" ref="M2:O12" ca="1" si="2">$K2+($P2-$K2)*(M$1-$K$1)/($P$1-$K$1)</f>
        <v>#VALUE!</v>
      </c>
      <c r="N2" t="e">
        <f t="shared" ca="1" si="2"/>
        <v>#VALUE!</v>
      </c>
      <c r="O2" t="e">
        <f t="shared" ca="1" si="2"/>
        <v>#VALUE!</v>
      </c>
      <c r="P2" s="31" t="e" cm="1">
        <f t="array" aca="1" ref="P2" ca="1">INDIRECT(CONCATENATE("'",HLOOKUP(P$1,$B$21:$E$23,3,FALSE),"'!",$B$25,ROW($A2)+3))*About!$A$27</f>
        <v>#VALUE!</v>
      </c>
      <c r="Q2" t="e" cm="1">
        <f t="array" aca="1" ref="Q2" ca="1">TREND($K2:$P2,$K$1:$P$1,Q$1)</f>
        <v>#VALUE!</v>
      </c>
      <c r="R2" t="e" cm="1">
        <f t="array" aca="1" ref="R2" ca="1">TREND($K2:$P2,$K$1:$P$1,R$1)</f>
        <v>#VALUE!</v>
      </c>
      <c r="S2" t="e" cm="1">
        <f t="array" aca="1" ref="S2" ca="1">TREND($K2:$P2,$K$1:$P$1,S$1)</f>
        <v>#VALUE!</v>
      </c>
      <c r="T2" t="e" cm="1">
        <f t="array" aca="1" ref="T2" ca="1">TREND($K2:$P2,$K$1:$P$1,T$1)</f>
        <v>#VALUE!</v>
      </c>
      <c r="U2" t="e" cm="1">
        <f t="array" aca="1" ref="U2" ca="1">TREND($K2:$P2,$K$1:$P$1,U$1)</f>
        <v>#VALUE!</v>
      </c>
      <c r="V2" t="e" cm="1">
        <f t="array" aca="1" ref="V2" ca="1">TREND($K2:$P2,$K$1:$P$1,V$1)</f>
        <v>#VALUE!</v>
      </c>
      <c r="W2" t="e" cm="1">
        <f t="array" aca="1" ref="W2" ca="1">TREND($K2:$P2,$K$1:$P$1,W$1)</f>
        <v>#VALUE!</v>
      </c>
      <c r="X2" t="e" cm="1">
        <f t="array" aca="1" ref="X2" ca="1">TREND($K2:$P2,$K$1:$P$1,X$1)</f>
        <v>#VALUE!</v>
      </c>
      <c r="Y2" t="e" cm="1">
        <f t="array" aca="1" ref="Y2" ca="1">TREND($K2:$P2,$K$1:$P$1,Y$1)</f>
        <v>#VALUE!</v>
      </c>
      <c r="Z2" t="e" cm="1">
        <f t="array" aca="1" ref="Z2" ca="1">TREND($K2:$P2,$K$1:$P$1,Z$1)</f>
        <v>#VALUE!</v>
      </c>
      <c r="AA2" t="e" cm="1">
        <f t="array" aca="1" ref="AA2" ca="1">TREND($K2:$P2,$K$1:$P$1,AA$1)</f>
        <v>#VALUE!</v>
      </c>
      <c r="AB2" t="e" cm="1">
        <f t="array" aca="1" ref="AB2" ca="1">TREND($K2:$P2,$K$1:$P$1,AB$1)</f>
        <v>#VALUE!</v>
      </c>
      <c r="AC2" t="e" cm="1">
        <f t="array" aca="1" ref="AC2" ca="1">TREND($K2:$P2,$K$1:$P$1,AC$1)</f>
        <v>#VALUE!</v>
      </c>
      <c r="AD2" t="e" cm="1">
        <f t="array" aca="1" ref="AD2" ca="1">TREND($K2:$P2,$K$1:$P$1,AD$1)</f>
        <v>#VALUE!</v>
      </c>
      <c r="AE2" t="e" cm="1">
        <f t="array" aca="1" ref="AE2" ca="1">TREND($K2:$P2,$K$1:$P$1,AE$1)</f>
        <v>#VALUE!</v>
      </c>
      <c r="AF2" t="e" cm="1">
        <f t="array" aca="1" ref="AF2" ca="1">TREND($K2:$P2,$K$1:$P$1,AF$1)</f>
        <v>#VALUE!</v>
      </c>
      <c r="AG2" t="e" cm="1">
        <f t="array" aca="1" ref="AG2" ca="1">TREND($K2:$P2,$K$1:$P$1,AG$1)</f>
        <v>#VALUE!</v>
      </c>
      <c r="AH2" t="e" cm="1">
        <f t="array" aca="1" ref="AH2" ca="1">TREND($K2:$P2,$K$1:$P$1,AH$1)</f>
        <v>#VALUE!</v>
      </c>
      <c r="AI2" t="e" cm="1">
        <f t="array" aca="1" ref="AI2" ca="1">TREND($K2:$P2,$K$1:$P$1,AI$1)</f>
        <v>#VALUE!</v>
      </c>
      <c r="AJ2" t="e" cm="1">
        <f t="array" aca="1" ref="AJ2" ca="1">TREND($K2:$P2,$K$1:$P$1,AJ$1)</f>
        <v>#VALUE!</v>
      </c>
    </row>
    <row r="3" spans="1:36">
      <c r="A3" t="s">
        <v>76</v>
      </c>
      <c r="B3" s="32" t="e" cm="1">
        <f t="array" aca="1" ref="B3" ca="1">INDIRECT(CONCATENATE("'",HLOOKUP(B$1,$B$21:$E$23,3,FALSE),"'!",$B$25,ROW($A3)+5))*About!$A$27</f>
        <v>#VALUE!</v>
      </c>
      <c r="C3" t="e">
        <f t="shared" ref="C3:C12" ca="1" si="3">$B3+($F3-$B3)*(C$1-$B$1)/($F$1-$B$1)</f>
        <v>#VALUE!</v>
      </c>
      <c r="D3" t="e">
        <f t="shared" ca="1" si="0"/>
        <v>#VALUE!</v>
      </c>
      <c r="E3" t="e">
        <f t="shared" ca="1" si="0"/>
        <v>#VALUE!</v>
      </c>
      <c r="F3" s="32" t="e" cm="1">
        <f t="array" aca="1" ref="F3" ca="1">INDIRECT(CONCATENATE("'",HLOOKUP(F$1,$B$21:$E$23,3,FALSE),"'!",$B$25,ROW($A3)+5))*About!$A$27</f>
        <v>#VALUE!</v>
      </c>
      <c r="G3" t="e">
        <f t="shared" ref="G3:G12" ca="1" si="4">$F3+($K3-$F3)*(G$1-$F$1)/($K$1-$F$1)</f>
        <v>#VALUE!</v>
      </c>
      <c r="H3" t="e">
        <f t="shared" ca="1" si="1"/>
        <v>#VALUE!</v>
      </c>
      <c r="I3" t="e">
        <f t="shared" ca="1" si="1"/>
        <v>#VALUE!</v>
      </c>
      <c r="J3" t="e">
        <f t="shared" ca="1" si="1"/>
        <v>#VALUE!</v>
      </c>
      <c r="K3" s="32" t="e" cm="1">
        <f t="array" aca="1" ref="K3" ca="1">INDIRECT(CONCATENATE("'",HLOOKUP(K$1,$B$21:$E$23,3,FALSE),"'!",$B$25,ROW($A3)+5))*About!$A$27</f>
        <v>#VALUE!</v>
      </c>
      <c r="L3" t="e">
        <f t="shared" ref="L3:L12" ca="1" si="5">$K3+($P3-$K3)*(L$1-$K$1)/($P$1-$K$1)</f>
        <v>#VALUE!</v>
      </c>
      <c r="M3" t="e">
        <f t="shared" ca="1" si="2"/>
        <v>#VALUE!</v>
      </c>
      <c r="N3" t="e">
        <f t="shared" ca="1" si="2"/>
        <v>#VALUE!</v>
      </c>
      <c r="O3" t="e">
        <f t="shared" ca="1" si="2"/>
        <v>#VALUE!</v>
      </c>
      <c r="P3" s="32" t="e" cm="1">
        <f t="array" aca="1" ref="P3" ca="1">INDIRECT(CONCATENATE("'",HLOOKUP(P$1,$B$21:$E$23,3,FALSE),"'!",$B$25,ROW($A3)+5))*About!$A$27</f>
        <v>#VALUE!</v>
      </c>
      <c r="Q3" t="e" cm="1">
        <f t="array" aca="1" ref="Q3" ca="1">TREND($K3:$P3,$K$1:$P$1,Q$1)</f>
        <v>#VALUE!</v>
      </c>
      <c r="R3" t="e" cm="1">
        <f t="array" aca="1" ref="R3" ca="1">TREND($K3:$P3,$K$1:$P$1,R$1)</f>
        <v>#VALUE!</v>
      </c>
      <c r="S3" t="e" cm="1">
        <f t="array" aca="1" ref="S3" ca="1">TREND($K3:$P3,$K$1:$P$1,S$1)</f>
        <v>#VALUE!</v>
      </c>
      <c r="T3" t="e" cm="1">
        <f t="array" aca="1" ref="T3" ca="1">TREND($K3:$P3,$K$1:$P$1,T$1)</f>
        <v>#VALUE!</v>
      </c>
      <c r="U3" t="e" cm="1">
        <f t="array" aca="1" ref="U3" ca="1">TREND($K3:$P3,$K$1:$P$1,U$1)</f>
        <v>#VALUE!</v>
      </c>
      <c r="V3" t="e" cm="1">
        <f t="array" aca="1" ref="V3" ca="1">TREND($K3:$P3,$K$1:$P$1,V$1)</f>
        <v>#VALUE!</v>
      </c>
      <c r="W3" t="e" cm="1">
        <f t="array" aca="1" ref="W3" ca="1">TREND($K3:$P3,$K$1:$P$1,W$1)</f>
        <v>#VALUE!</v>
      </c>
      <c r="X3" t="e" cm="1">
        <f t="array" aca="1" ref="X3" ca="1">TREND($K3:$P3,$K$1:$P$1,X$1)</f>
        <v>#VALUE!</v>
      </c>
      <c r="Y3" t="e" cm="1">
        <f t="array" aca="1" ref="Y3" ca="1">TREND($K3:$P3,$K$1:$P$1,Y$1)</f>
        <v>#VALUE!</v>
      </c>
      <c r="Z3" t="e" cm="1">
        <f t="array" aca="1" ref="Z3" ca="1">TREND($K3:$P3,$K$1:$P$1,Z$1)</f>
        <v>#VALUE!</v>
      </c>
      <c r="AA3" t="e" cm="1">
        <f t="array" aca="1" ref="AA3" ca="1">TREND($K3:$P3,$K$1:$P$1,AA$1)</f>
        <v>#VALUE!</v>
      </c>
      <c r="AB3" t="e" cm="1">
        <f t="array" aca="1" ref="AB3" ca="1">TREND($K3:$P3,$K$1:$P$1,AB$1)</f>
        <v>#VALUE!</v>
      </c>
      <c r="AC3" t="e" cm="1">
        <f t="array" aca="1" ref="AC3" ca="1">TREND($K3:$P3,$K$1:$P$1,AC$1)</f>
        <v>#VALUE!</v>
      </c>
      <c r="AD3" t="e" cm="1">
        <f t="array" aca="1" ref="AD3" ca="1">TREND($K3:$P3,$K$1:$P$1,AD$1)</f>
        <v>#VALUE!</v>
      </c>
      <c r="AE3" t="e" cm="1">
        <f t="array" aca="1" ref="AE3" ca="1">TREND($K3:$P3,$K$1:$P$1,AE$1)</f>
        <v>#VALUE!</v>
      </c>
      <c r="AF3" t="e" cm="1">
        <f t="array" aca="1" ref="AF3" ca="1">TREND($K3:$P3,$K$1:$P$1,AF$1)</f>
        <v>#VALUE!</v>
      </c>
      <c r="AG3" t="e" cm="1">
        <f t="array" aca="1" ref="AG3" ca="1">TREND($K3:$P3,$K$1:$P$1,AG$1)</f>
        <v>#VALUE!</v>
      </c>
      <c r="AH3" t="e" cm="1">
        <f t="array" aca="1" ref="AH3" ca="1">TREND($K3:$P3,$K$1:$P$1,AH$1)</f>
        <v>#VALUE!</v>
      </c>
      <c r="AI3" t="e" cm="1">
        <f t="array" aca="1" ref="AI3" ca="1">TREND($K3:$P3,$K$1:$P$1,AI$1)</f>
        <v>#VALUE!</v>
      </c>
      <c r="AJ3" t="e" cm="1">
        <f t="array" aca="1" ref="AJ3" ca="1">TREND($K3:$P3,$K$1:$P$1,AJ$1)</f>
        <v>#VALUE!</v>
      </c>
    </row>
    <row r="4" spans="1:36">
      <c r="A4" t="s">
        <v>77</v>
      </c>
      <c r="B4" s="32" t="e" cm="1">
        <f t="array" aca="1" ref="B4" ca="1">INDIRECT(CONCATENATE("'",HLOOKUP(B$1,$B$21:$E$23,3,FALSE),"'!",$B$25,ROW($A4)+5))*About!$A$27</f>
        <v>#VALUE!</v>
      </c>
      <c r="C4" t="e">
        <f t="shared" ca="1" si="3"/>
        <v>#VALUE!</v>
      </c>
      <c r="D4" t="e">
        <f t="shared" ca="1" si="0"/>
        <v>#VALUE!</v>
      </c>
      <c r="E4" t="e">
        <f t="shared" ca="1" si="0"/>
        <v>#VALUE!</v>
      </c>
      <c r="F4" s="32" t="e" cm="1">
        <f t="array" aca="1" ref="F4" ca="1">INDIRECT(CONCATENATE("'",HLOOKUP(F$1,$B$21:$E$23,3,FALSE),"'!",$B$25,ROW($A4)+5))*About!$A$27</f>
        <v>#VALUE!</v>
      </c>
      <c r="G4" t="e">
        <f t="shared" ca="1" si="4"/>
        <v>#VALUE!</v>
      </c>
      <c r="H4" t="e">
        <f t="shared" ca="1" si="1"/>
        <v>#VALUE!</v>
      </c>
      <c r="I4" t="e">
        <f t="shared" ca="1" si="1"/>
        <v>#VALUE!</v>
      </c>
      <c r="J4" t="e">
        <f t="shared" ca="1" si="1"/>
        <v>#VALUE!</v>
      </c>
      <c r="K4" s="32" t="e" cm="1">
        <f t="array" aca="1" ref="K4" ca="1">INDIRECT(CONCATENATE("'",HLOOKUP(K$1,$B$21:$E$23,3,FALSE),"'!",$B$25,ROW($A4)+5))*About!$A$27</f>
        <v>#VALUE!</v>
      </c>
      <c r="L4" t="e">
        <f t="shared" ca="1" si="5"/>
        <v>#VALUE!</v>
      </c>
      <c r="M4" t="e">
        <f t="shared" ca="1" si="2"/>
        <v>#VALUE!</v>
      </c>
      <c r="N4" t="e">
        <f t="shared" ca="1" si="2"/>
        <v>#VALUE!</v>
      </c>
      <c r="O4" t="e">
        <f t="shared" ca="1" si="2"/>
        <v>#VALUE!</v>
      </c>
      <c r="P4" s="32" t="e" cm="1">
        <f t="array" aca="1" ref="P4" ca="1">INDIRECT(CONCATENATE("'",HLOOKUP(P$1,$B$21:$E$23,3,FALSE),"'!",$B$25,ROW($A4)+5))*About!$A$27</f>
        <v>#VALUE!</v>
      </c>
      <c r="Q4" t="e" cm="1">
        <f t="array" aca="1" ref="Q4" ca="1">TREND($K4:$P4,$K$1:$P$1,Q$1)</f>
        <v>#VALUE!</v>
      </c>
      <c r="R4" t="e" cm="1">
        <f t="array" aca="1" ref="R4" ca="1">TREND($K4:$P4,$K$1:$P$1,R$1)</f>
        <v>#VALUE!</v>
      </c>
      <c r="S4" t="e" cm="1">
        <f t="array" aca="1" ref="S4" ca="1">TREND($K4:$P4,$K$1:$P$1,S$1)</f>
        <v>#VALUE!</v>
      </c>
      <c r="T4" t="e" cm="1">
        <f t="array" aca="1" ref="T4" ca="1">TREND($K4:$P4,$K$1:$P$1,T$1)</f>
        <v>#VALUE!</v>
      </c>
      <c r="U4" t="e" cm="1">
        <f t="array" aca="1" ref="U4" ca="1">TREND($K4:$P4,$K$1:$P$1,U$1)</f>
        <v>#VALUE!</v>
      </c>
      <c r="V4" t="e" cm="1">
        <f t="array" aca="1" ref="V4" ca="1">TREND($K4:$P4,$K$1:$P$1,V$1)</f>
        <v>#VALUE!</v>
      </c>
      <c r="W4" t="e" cm="1">
        <f t="array" aca="1" ref="W4" ca="1">TREND($K4:$P4,$K$1:$P$1,W$1)</f>
        <v>#VALUE!</v>
      </c>
      <c r="X4" t="e" cm="1">
        <f t="array" aca="1" ref="X4" ca="1">TREND($K4:$P4,$K$1:$P$1,X$1)</f>
        <v>#VALUE!</v>
      </c>
      <c r="Y4" t="e" cm="1">
        <f t="array" aca="1" ref="Y4" ca="1">TREND($K4:$P4,$K$1:$P$1,Y$1)</f>
        <v>#VALUE!</v>
      </c>
      <c r="Z4" t="e" cm="1">
        <f t="array" aca="1" ref="Z4" ca="1">TREND($K4:$P4,$K$1:$P$1,Z$1)</f>
        <v>#VALUE!</v>
      </c>
      <c r="AA4" t="e" cm="1">
        <f t="array" aca="1" ref="AA4" ca="1">TREND($K4:$P4,$K$1:$P$1,AA$1)</f>
        <v>#VALUE!</v>
      </c>
      <c r="AB4" t="e" cm="1">
        <f t="array" aca="1" ref="AB4" ca="1">TREND($K4:$P4,$K$1:$P$1,AB$1)</f>
        <v>#VALUE!</v>
      </c>
      <c r="AC4" t="e" cm="1">
        <f t="array" aca="1" ref="AC4" ca="1">TREND($K4:$P4,$K$1:$P$1,AC$1)</f>
        <v>#VALUE!</v>
      </c>
      <c r="AD4" t="e" cm="1">
        <f t="array" aca="1" ref="AD4" ca="1">TREND($K4:$P4,$K$1:$P$1,AD$1)</f>
        <v>#VALUE!</v>
      </c>
      <c r="AE4" t="e" cm="1">
        <f t="array" aca="1" ref="AE4" ca="1">TREND($K4:$P4,$K$1:$P$1,AE$1)</f>
        <v>#VALUE!</v>
      </c>
      <c r="AF4" t="e" cm="1">
        <f t="array" aca="1" ref="AF4" ca="1">TREND($K4:$P4,$K$1:$P$1,AF$1)</f>
        <v>#VALUE!</v>
      </c>
      <c r="AG4" t="e" cm="1">
        <f t="array" aca="1" ref="AG4" ca="1">TREND($K4:$P4,$K$1:$P$1,AG$1)</f>
        <v>#VALUE!</v>
      </c>
      <c r="AH4" t="e" cm="1">
        <f t="array" aca="1" ref="AH4" ca="1">TREND($K4:$P4,$K$1:$P$1,AH$1)</f>
        <v>#VALUE!</v>
      </c>
      <c r="AI4" t="e" cm="1">
        <f t="array" aca="1" ref="AI4" ca="1">TREND($K4:$P4,$K$1:$P$1,AI$1)</f>
        <v>#VALUE!</v>
      </c>
      <c r="AJ4" t="e" cm="1">
        <f t="array" aca="1" ref="AJ4" ca="1">TREND($K4:$P4,$K$1:$P$1,AJ$1)</f>
        <v>#VALUE!</v>
      </c>
    </row>
    <row r="5" spans="1:36">
      <c r="A5" t="s">
        <v>78</v>
      </c>
      <c r="B5" s="32" t="e" cm="1">
        <f t="array" aca="1" ref="B5" ca="1">INDIRECT(CONCATENATE("'",HLOOKUP(B$1,$B$21:$E$23,3,FALSE),"'!",$B$25,ROW($A5)+5))*About!$A$27</f>
        <v>#VALUE!</v>
      </c>
      <c r="C5" t="e">
        <f t="shared" ca="1" si="3"/>
        <v>#VALUE!</v>
      </c>
      <c r="D5" t="e">
        <f t="shared" ca="1" si="0"/>
        <v>#VALUE!</v>
      </c>
      <c r="E5" t="e">
        <f t="shared" ca="1" si="0"/>
        <v>#VALUE!</v>
      </c>
      <c r="F5" s="32" t="e" cm="1">
        <f t="array" aca="1" ref="F5" ca="1">INDIRECT(CONCATENATE("'",HLOOKUP(F$1,$B$21:$E$23,3,FALSE),"'!",$B$25,ROW($A5)+5))*About!$A$27</f>
        <v>#VALUE!</v>
      </c>
      <c r="G5" t="e">
        <f t="shared" ca="1" si="4"/>
        <v>#VALUE!</v>
      </c>
      <c r="H5" t="e">
        <f t="shared" ca="1" si="1"/>
        <v>#VALUE!</v>
      </c>
      <c r="I5" t="e">
        <f t="shared" ca="1" si="1"/>
        <v>#VALUE!</v>
      </c>
      <c r="J5" t="e">
        <f t="shared" ca="1" si="1"/>
        <v>#VALUE!</v>
      </c>
      <c r="K5" s="32" t="e" cm="1">
        <f t="array" aca="1" ref="K5" ca="1">INDIRECT(CONCATENATE("'",HLOOKUP(K$1,$B$21:$E$23,3,FALSE),"'!",$B$25,ROW($A5)+5))*About!$A$27</f>
        <v>#VALUE!</v>
      </c>
      <c r="L5" t="e">
        <f t="shared" ca="1" si="5"/>
        <v>#VALUE!</v>
      </c>
      <c r="M5" t="e">
        <f t="shared" ca="1" si="2"/>
        <v>#VALUE!</v>
      </c>
      <c r="N5" t="e">
        <f t="shared" ca="1" si="2"/>
        <v>#VALUE!</v>
      </c>
      <c r="O5" t="e">
        <f t="shared" ca="1" si="2"/>
        <v>#VALUE!</v>
      </c>
      <c r="P5" s="32" t="e" cm="1">
        <f t="array" aca="1" ref="P5" ca="1">INDIRECT(CONCATENATE("'",HLOOKUP(P$1,$B$21:$E$23,3,FALSE),"'!",$B$25,ROW($A5)+5))*About!$A$27</f>
        <v>#VALUE!</v>
      </c>
      <c r="Q5" t="e" cm="1">
        <f t="array" aca="1" ref="Q5" ca="1">TREND($K5:$P5,$K$1:$P$1,Q$1)</f>
        <v>#VALUE!</v>
      </c>
      <c r="R5" t="e" cm="1">
        <f t="array" aca="1" ref="R5" ca="1">TREND($K5:$P5,$K$1:$P$1,R$1)</f>
        <v>#VALUE!</v>
      </c>
      <c r="S5" t="e" cm="1">
        <f t="array" aca="1" ref="S5" ca="1">TREND($K5:$P5,$K$1:$P$1,S$1)</f>
        <v>#VALUE!</v>
      </c>
      <c r="T5" t="e" cm="1">
        <f t="array" aca="1" ref="T5" ca="1">TREND($K5:$P5,$K$1:$P$1,T$1)</f>
        <v>#VALUE!</v>
      </c>
      <c r="U5" t="e" cm="1">
        <f t="array" aca="1" ref="U5" ca="1">TREND($K5:$P5,$K$1:$P$1,U$1)</f>
        <v>#VALUE!</v>
      </c>
      <c r="V5" t="e" cm="1">
        <f t="array" aca="1" ref="V5" ca="1">TREND($K5:$P5,$K$1:$P$1,V$1)</f>
        <v>#VALUE!</v>
      </c>
      <c r="W5" t="e" cm="1">
        <f t="array" aca="1" ref="W5" ca="1">TREND($K5:$P5,$K$1:$P$1,W$1)</f>
        <v>#VALUE!</v>
      </c>
      <c r="X5" t="e" cm="1">
        <f t="array" aca="1" ref="X5" ca="1">TREND($K5:$P5,$K$1:$P$1,X$1)</f>
        <v>#VALUE!</v>
      </c>
      <c r="Y5" t="e" cm="1">
        <f t="array" aca="1" ref="Y5" ca="1">TREND($K5:$P5,$K$1:$P$1,Y$1)</f>
        <v>#VALUE!</v>
      </c>
      <c r="Z5" t="e" cm="1">
        <f t="array" aca="1" ref="Z5" ca="1">TREND($K5:$P5,$K$1:$P$1,Z$1)</f>
        <v>#VALUE!</v>
      </c>
      <c r="AA5" t="e" cm="1">
        <f t="array" aca="1" ref="AA5" ca="1">TREND($K5:$P5,$K$1:$P$1,AA$1)</f>
        <v>#VALUE!</v>
      </c>
      <c r="AB5" t="e" cm="1">
        <f t="array" aca="1" ref="AB5" ca="1">TREND($K5:$P5,$K$1:$P$1,AB$1)</f>
        <v>#VALUE!</v>
      </c>
      <c r="AC5" t="e" cm="1">
        <f t="array" aca="1" ref="AC5" ca="1">TREND($K5:$P5,$K$1:$P$1,AC$1)</f>
        <v>#VALUE!</v>
      </c>
      <c r="AD5" t="e" cm="1">
        <f t="array" aca="1" ref="AD5" ca="1">TREND($K5:$P5,$K$1:$P$1,AD$1)</f>
        <v>#VALUE!</v>
      </c>
      <c r="AE5" t="e" cm="1">
        <f t="array" aca="1" ref="AE5" ca="1">TREND($K5:$P5,$K$1:$P$1,AE$1)</f>
        <v>#VALUE!</v>
      </c>
      <c r="AF5" t="e" cm="1">
        <f t="array" aca="1" ref="AF5" ca="1">TREND($K5:$P5,$K$1:$P$1,AF$1)</f>
        <v>#VALUE!</v>
      </c>
      <c r="AG5" t="e" cm="1">
        <f t="array" aca="1" ref="AG5" ca="1">TREND($K5:$P5,$K$1:$P$1,AG$1)</f>
        <v>#VALUE!</v>
      </c>
      <c r="AH5" t="e" cm="1">
        <f t="array" aca="1" ref="AH5" ca="1">TREND($K5:$P5,$K$1:$P$1,AH$1)</f>
        <v>#VALUE!</v>
      </c>
      <c r="AI5" t="e" cm="1">
        <f t="array" aca="1" ref="AI5" ca="1">TREND($K5:$P5,$K$1:$P$1,AI$1)</f>
        <v>#VALUE!</v>
      </c>
      <c r="AJ5" t="e" cm="1">
        <f t="array" aca="1" ref="AJ5" ca="1">TREND($K5:$P5,$K$1:$P$1,AJ$1)</f>
        <v>#VALUE!</v>
      </c>
    </row>
    <row r="6" spans="1:36">
      <c r="A6" t="s">
        <v>79</v>
      </c>
      <c r="B6" s="32" t="e" cm="1">
        <f t="array" aca="1" ref="B6" ca="1">INDIRECT(CONCATENATE("'",HLOOKUP(B$1,$B$21:$E$23,3,FALSE),"'!",$B$25,ROW($A6)+5))*About!$A$27</f>
        <v>#VALUE!</v>
      </c>
      <c r="C6" t="e">
        <f t="shared" ca="1" si="3"/>
        <v>#VALUE!</v>
      </c>
      <c r="D6" t="e">
        <f t="shared" ca="1" si="0"/>
        <v>#VALUE!</v>
      </c>
      <c r="E6" t="e">
        <f t="shared" ca="1" si="0"/>
        <v>#VALUE!</v>
      </c>
      <c r="F6" s="32" t="e" cm="1">
        <f t="array" aca="1" ref="F6" ca="1">INDIRECT(CONCATENATE("'",HLOOKUP(F$1,$B$21:$E$23,3,FALSE),"'!",$B$25,ROW($A6)+5))*About!$A$27</f>
        <v>#VALUE!</v>
      </c>
      <c r="G6" t="e">
        <f t="shared" ca="1" si="4"/>
        <v>#VALUE!</v>
      </c>
      <c r="H6" t="e">
        <f t="shared" ca="1" si="1"/>
        <v>#VALUE!</v>
      </c>
      <c r="I6" t="e">
        <f t="shared" ca="1" si="1"/>
        <v>#VALUE!</v>
      </c>
      <c r="J6" t="e">
        <f t="shared" ca="1" si="1"/>
        <v>#VALUE!</v>
      </c>
      <c r="K6" s="32" t="e" cm="1">
        <f t="array" aca="1" ref="K6" ca="1">INDIRECT(CONCATENATE("'",HLOOKUP(K$1,$B$21:$E$23,3,FALSE),"'!",$B$25,ROW($A6)+5))*About!$A$27</f>
        <v>#VALUE!</v>
      </c>
      <c r="L6" t="e">
        <f t="shared" ca="1" si="5"/>
        <v>#VALUE!</v>
      </c>
      <c r="M6" t="e">
        <f t="shared" ca="1" si="2"/>
        <v>#VALUE!</v>
      </c>
      <c r="N6" t="e">
        <f t="shared" ca="1" si="2"/>
        <v>#VALUE!</v>
      </c>
      <c r="O6" t="e">
        <f t="shared" ca="1" si="2"/>
        <v>#VALUE!</v>
      </c>
      <c r="P6" s="32" t="e" cm="1">
        <f t="array" aca="1" ref="P6" ca="1">INDIRECT(CONCATENATE("'",HLOOKUP(P$1,$B$21:$E$23,3,FALSE),"'!",$B$25,ROW($A6)+5))*About!$A$27</f>
        <v>#VALUE!</v>
      </c>
      <c r="Q6" t="e" cm="1">
        <f t="array" aca="1" ref="Q6" ca="1">TREND($K6:$P6,$K$1:$P$1,Q$1)</f>
        <v>#VALUE!</v>
      </c>
      <c r="R6" t="e" cm="1">
        <f t="array" aca="1" ref="R6" ca="1">TREND($K6:$P6,$K$1:$P$1,R$1)</f>
        <v>#VALUE!</v>
      </c>
      <c r="S6" t="e" cm="1">
        <f t="array" aca="1" ref="S6" ca="1">TREND($K6:$P6,$K$1:$P$1,S$1)</f>
        <v>#VALUE!</v>
      </c>
      <c r="T6" t="e" cm="1">
        <f t="array" aca="1" ref="T6" ca="1">TREND($K6:$P6,$K$1:$P$1,T$1)</f>
        <v>#VALUE!</v>
      </c>
      <c r="U6" t="e" cm="1">
        <f t="array" aca="1" ref="U6" ca="1">TREND($K6:$P6,$K$1:$P$1,U$1)</f>
        <v>#VALUE!</v>
      </c>
      <c r="V6" t="e" cm="1">
        <f t="array" aca="1" ref="V6" ca="1">TREND($K6:$P6,$K$1:$P$1,V$1)</f>
        <v>#VALUE!</v>
      </c>
      <c r="W6" t="e" cm="1">
        <f t="array" aca="1" ref="W6" ca="1">TREND($K6:$P6,$K$1:$P$1,W$1)</f>
        <v>#VALUE!</v>
      </c>
      <c r="X6" t="e" cm="1">
        <f t="array" aca="1" ref="X6" ca="1">TREND($K6:$P6,$K$1:$P$1,X$1)</f>
        <v>#VALUE!</v>
      </c>
      <c r="Y6" t="e" cm="1">
        <f t="array" aca="1" ref="Y6" ca="1">TREND($K6:$P6,$K$1:$P$1,Y$1)</f>
        <v>#VALUE!</v>
      </c>
      <c r="Z6" t="e" cm="1">
        <f t="array" aca="1" ref="Z6" ca="1">TREND($K6:$P6,$K$1:$P$1,Z$1)</f>
        <v>#VALUE!</v>
      </c>
      <c r="AA6" t="e" cm="1">
        <f t="array" aca="1" ref="AA6" ca="1">TREND($K6:$P6,$K$1:$P$1,AA$1)</f>
        <v>#VALUE!</v>
      </c>
      <c r="AB6" t="e" cm="1">
        <f t="array" aca="1" ref="AB6" ca="1">TREND($K6:$P6,$K$1:$P$1,AB$1)</f>
        <v>#VALUE!</v>
      </c>
      <c r="AC6" t="e" cm="1">
        <f t="array" aca="1" ref="AC6" ca="1">TREND($K6:$P6,$K$1:$P$1,AC$1)</f>
        <v>#VALUE!</v>
      </c>
      <c r="AD6" t="e" cm="1">
        <f t="array" aca="1" ref="AD6" ca="1">TREND($K6:$P6,$K$1:$P$1,AD$1)</f>
        <v>#VALUE!</v>
      </c>
      <c r="AE6" t="e" cm="1">
        <f t="array" aca="1" ref="AE6" ca="1">TREND($K6:$P6,$K$1:$P$1,AE$1)</f>
        <v>#VALUE!</v>
      </c>
      <c r="AF6" t="e" cm="1">
        <f t="array" aca="1" ref="AF6" ca="1">TREND($K6:$P6,$K$1:$P$1,AF$1)</f>
        <v>#VALUE!</v>
      </c>
      <c r="AG6" t="e" cm="1">
        <f t="array" aca="1" ref="AG6" ca="1">TREND($K6:$P6,$K$1:$P$1,AG$1)</f>
        <v>#VALUE!</v>
      </c>
      <c r="AH6" t="e" cm="1">
        <f t="array" aca="1" ref="AH6" ca="1">TREND($K6:$P6,$K$1:$P$1,AH$1)</f>
        <v>#VALUE!</v>
      </c>
      <c r="AI6" t="e" cm="1">
        <f t="array" aca="1" ref="AI6" ca="1">TREND($K6:$P6,$K$1:$P$1,AI$1)</f>
        <v>#VALUE!</v>
      </c>
      <c r="AJ6" t="e" cm="1">
        <f t="array" aca="1" ref="AJ6" ca="1">TREND($K6:$P6,$K$1:$P$1,AJ$1)</f>
        <v>#VALUE!</v>
      </c>
    </row>
    <row r="7" spans="1:36">
      <c r="A7" t="s">
        <v>80</v>
      </c>
      <c r="B7" s="32" t="e" cm="1">
        <f t="array" aca="1" ref="B7" ca="1">INDIRECT(CONCATENATE("'",HLOOKUP(B$1,$B$21:$E$23,3,FALSE),"'!",$B$25,ROW($A7)+5))*About!$A$27</f>
        <v>#VALUE!</v>
      </c>
      <c r="C7" t="e">
        <f t="shared" ca="1" si="3"/>
        <v>#VALUE!</v>
      </c>
      <c r="D7" t="e">
        <f t="shared" ca="1" si="0"/>
        <v>#VALUE!</v>
      </c>
      <c r="E7" t="e">
        <f t="shared" ca="1" si="0"/>
        <v>#VALUE!</v>
      </c>
      <c r="F7" s="32" t="e" cm="1">
        <f t="array" aca="1" ref="F7" ca="1">INDIRECT(CONCATENATE("'",HLOOKUP(F$1,$B$21:$E$23,3,FALSE),"'!",$B$25,ROW($A7)+5))*About!$A$27</f>
        <v>#VALUE!</v>
      </c>
      <c r="G7" t="e">
        <f t="shared" ca="1" si="4"/>
        <v>#VALUE!</v>
      </c>
      <c r="H7" t="e">
        <f t="shared" ca="1" si="1"/>
        <v>#VALUE!</v>
      </c>
      <c r="I7" t="e">
        <f t="shared" ca="1" si="1"/>
        <v>#VALUE!</v>
      </c>
      <c r="J7" t="e">
        <f t="shared" ca="1" si="1"/>
        <v>#VALUE!</v>
      </c>
      <c r="K7" s="32" t="e" cm="1">
        <f t="array" aca="1" ref="K7" ca="1">INDIRECT(CONCATENATE("'",HLOOKUP(K$1,$B$21:$E$23,3,FALSE),"'!",$B$25,ROW($A7)+5))*About!$A$27</f>
        <v>#VALUE!</v>
      </c>
      <c r="L7" t="e">
        <f t="shared" ca="1" si="5"/>
        <v>#VALUE!</v>
      </c>
      <c r="M7" t="e">
        <f t="shared" ca="1" si="2"/>
        <v>#VALUE!</v>
      </c>
      <c r="N7" t="e">
        <f t="shared" ca="1" si="2"/>
        <v>#VALUE!</v>
      </c>
      <c r="O7" t="e">
        <f t="shared" ca="1" si="2"/>
        <v>#VALUE!</v>
      </c>
      <c r="P7" s="32" t="e" cm="1">
        <f t="array" aca="1" ref="P7" ca="1">INDIRECT(CONCATENATE("'",HLOOKUP(P$1,$B$21:$E$23,3,FALSE),"'!",$B$25,ROW($A7)+5))*About!$A$27</f>
        <v>#VALUE!</v>
      </c>
      <c r="Q7" t="e" cm="1">
        <f t="array" aca="1" ref="Q7" ca="1">TREND($K7:$P7,$K$1:$P$1,Q$1)</f>
        <v>#VALUE!</v>
      </c>
      <c r="R7" t="e" cm="1">
        <f t="array" aca="1" ref="R7" ca="1">TREND($K7:$P7,$K$1:$P$1,R$1)</f>
        <v>#VALUE!</v>
      </c>
      <c r="S7" t="e" cm="1">
        <f t="array" aca="1" ref="S7" ca="1">TREND($K7:$P7,$K$1:$P$1,S$1)</f>
        <v>#VALUE!</v>
      </c>
      <c r="T7" t="e" cm="1">
        <f t="array" aca="1" ref="T7" ca="1">TREND($K7:$P7,$K$1:$P$1,T$1)</f>
        <v>#VALUE!</v>
      </c>
      <c r="U7" t="e" cm="1">
        <f t="array" aca="1" ref="U7" ca="1">TREND($K7:$P7,$K$1:$P$1,U$1)</f>
        <v>#VALUE!</v>
      </c>
      <c r="V7" t="e" cm="1">
        <f t="array" aca="1" ref="V7" ca="1">TREND($K7:$P7,$K$1:$P$1,V$1)</f>
        <v>#VALUE!</v>
      </c>
      <c r="W7" t="e" cm="1">
        <f t="array" aca="1" ref="W7" ca="1">TREND($K7:$P7,$K$1:$P$1,W$1)</f>
        <v>#VALUE!</v>
      </c>
      <c r="X7" t="e" cm="1">
        <f t="array" aca="1" ref="X7" ca="1">TREND($K7:$P7,$K$1:$P$1,X$1)</f>
        <v>#VALUE!</v>
      </c>
      <c r="Y7" t="e" cm="1">
        <f t="array" aca="1" ref="Y7" ca="1">TREND($K7:$P7,$K$1:$P$1,Y$1)</f>
        <v>#VALUE!</v>
      </c>
      <c r="Z7" t="e" cm="1">
        <f t="array" aca="1" ref="Z7" ca="1">TREND($K7:$P7,$K$1:$P$1,Z$1)</f>
        <v>#VALUE!</v>
      </c>
      <c r="AA7" t="e" cm="1">
        <f t="array" aca="1" ref="AA7" ca="1">TREND($K7:$P7,$K$1:$P$1,AA$1)</f>
        <v>#VALUE!</v>
      </c>
      <c r="AB7" t="e" cm="1">
        <f t="array" aca="1" ref="AB7" ca="1">TREND($K7:$P7,$K$1:$P$1,AB$1)</f>
        <v>#VALUE!</v>
      </c>
      <c r="AC7" t="e" cm="1">
        <f t="array" aca="1" ref="AC7" ca="1">TREND($K7:$P7,$K$1:$P$1,AC$1)</f>
        <v>#VALUE!</v>
      </c>
      <c r="AD7" t="e" cm="1">
        <f t="array" aca="1" ref="AD7" ca="1">TREND($K7:$P7,$K$1:$P$1,AD$1)</f>
        <v>#VALUE!</v>
      </c>
      <c r="AE7" t="e" cm="1">
        <f t="array" aca="1" ref="AE7" ca="1">TREND($K7:$P7,$K$1:$P$1,AE$1)</f>
        <v>#VALUE!</v>
      </c>
      <c r="AF7" t="e" cm="1">
        <f t="array" aca="1" ref="AF7" ca="1">TREND($K7:$P7,$K$1:$P$1,AF$1)</f>
        <v>#VALUE!</v>
      </c>
      <c r="AG7" t="e" cm="1">
        <f t="array" aca="1" ref="AG7" ca="1">TREND($K7:$P7,$K$1:$P$1,AG$1)</f>
        <v>#VALUE!</v>
      </c>
      <c r="AH7" t="e" cm="1">
        <f t="array" aca="1" ref="AH7" ca="1">TREND($K7:$P7,$K$1:$P$1,AH$1)</f>
        <v>#VALUE!</v>
      </c>
      <c r="AI7" t="e" cm="1">
        <f t="array" aca="1" ref="AI7" ca="1">TREND($K7:$P7,$K$1:$P$1,AI$1)</f>
        <v>#VALUE!</v>
      </c>
      <c r="AJ7" t="e" cm="1">
        <f t="array" aca="1" ref="AJ7" ca="1">TREND($K7:$P7,$K$1:$P$1,AJ$1)</f>
        <v>#VALUE!</v>
      </c>
    </row>
    <row r="8" spans="1:36">
      <c r="A8" t="s">
        <v>81</v>
      </c>
      <c r="B8" s="32" t="e" cm="1">
        <f t="array" aca="1" ref="B8" ca="1">INDIRECT(CONCATENATE("'",HLOOKUP(B$1,$B$21:$E$23,3,FALSE),"'!",$B$25,ROW($A8)+5))*About!$A$27</f>
        <v>#VALUE!</v>
      </c>
      <c r="C8" t="e">
        <f t="shared" ca="1" si="3"/>
        <v>#VALUE!</v>
      </c>
      <c r="D8" t="e">
        <f t="shared" ca="1" si="0"/>
        <v>#VALUE!</v>
      </c>
      <c r="E8" t="e">
        <f t="shared" ca="1" si="0"/>
        <v>#VALUE!</v>
      </c>
      <c r="F8" s="32" t="e" cm="1">
        <f t="array" aca="1" ref="F8" ca="1">INDIRECT(CONCATENATE("'",HLOOKUP(F$1,$B$21:$E$23,3,FALSE),"'!",$B$25,ROW($A8)+5))*About!$A$27</f>
        <v>#VALUE!</v>
      </c>
      <c r="G8" t="e">
        <f t="shared" ca="1" si="4"/>
        <v>#VALUE!</v>
      </c>
      <c r="H8" t="e">
        <f t="shared" ca="1" si="1"/>
        <v>#VALUE!</v>
      </c>
      <c r="I8" t="e">
        <f t="shared" ca="1" si="1"/>
        <v>#VALUE!</v>
      </c>
      <c r="J8" t="e">
        <f t="shared" ca="1" si="1"/>
        <v>#VALUE!</v>
      </c>
      <c r="K8" s="32" t="e" cm="1">
        <f t="array" aca="1" ref="K8" ca="1">INDIRECT(CONCATENATE("'",HLOOKUP(K$1,$B$21:$E$23,3,FALSE),"'!",$B$25,ROW($A8)+5))*About!$A$27</f>
        <v>#VALUE!</v>
      </c>
      <c r="L8" t="e">
        <f t="shared" ca="1" si="5"/>
        <v>#VALUE!</v>
      </c>
      <c r="M8" t="e">
        <f t="shared" ca="1" si="2"/>
        <v>#VALUE!</v>
      </c>
      <c r="N8" t="e">
        <f t="shared" ca="1" si="2"/>
        <v>#VALUE!</v>
      </c>
      <c r="O8" t="e">
        <f t="shared" ca="1" si="2"/>
        <v>#VALUE!</v>
      </c>
      <c r="P8" s="32" t="e" cm="1">
        <f t="array" aca="1" ref="P8" ca="1">INDIRECT(CONCATENATE("'",HLOOKUP(P$1,$B$21:$E$23,3,FALSE),"'!",$B$25,ROW($A8)+5))*About!$A$27</f>
        <v>#VALUE!</v>
      </c>
      <c r="Q8" t="e" cm="1">
        <f t="array" aca="1" ref="Q8" ca="1">TREND($K8:$P8,$K$1:$P$1,Q$1)</f>
        <v>#VALUE!</v>
      </c>
      <c r="R8" t="e" cm="1">
        <f t="array" aca="1" ref="R8" ca="1">TREND($K8:$P8,$K$1:$P$1,R$1)</f>
        <v>#VALUE!</v>
      </c>
      <c r="S8" t="e" cm="1">
        <f t="array" aca="1" ref="S8" ca="1">TREND($K8:$P8,$K$1:$P$1,S$1)</f>
        <v>#VALUE!</v>
      </c>
      <c r="T8" t="e" cm="1">
        <f t="array" aca="1" ref="T8" ca="1">TREND($K8:$P8,$K$1:$P$1,T$1)</f>
        <v>#VALUE!</v>
      </c>
      <c r="U8" t="e" cm="1">
        <f t="array" aca="1" ref="U8" ca="1">TREND($K8:$P8,$K$1:$P$1,U$1)</f>
        <v>#VALUE!</v>
      </c>
      <c r="V8" t="e" cm="1">
        <f t="array" aca="1" ref="V8" ca="1">TREND($K8:$P8,$K$1:$P$1,V$1)</f>
        <v>#VALUE!</v>
      </c>
      <c r="W8" t="e" cm="1">
        <f t="array" aca="1" ref="W8" ca="1">TREND($K8:$P8,$K$1:$P$1,W$1)</f>
        <v>#VALUE!</v>
      </c>
      <c r="X8" t="e" cm="1">
        <f t="array" aca="1" ref="X8" ca="1">TREND($K8:$P8,$K$1:$P$1,X$1)</f>
        <v>#VALUE!</v>
      </c>
      <c r="Y8" t="e" cm="1">
        <f t="array" aca="1" ref="Y8" ca="1">TREND($K8:$P8,$K$1:$P$1,Y$1)</f>
        <v>#VALUE!</v>
      </c>
      <c r="Z8" t="e" cm="1">
        <f t="array" aca="1" ref="Z8" ca="1">TREND($K8:$P8,$K$1:$P$1,Z$1)</f>
        <v>#VALUE!</v>
      </c>
      <c r="AA8" t="e" cm="1">
        <f t="array" aca="1" ref="AA8" ca="1">TREND($K8:$P8,$K$1:$P$1,AA$1)</f>
        <v>#VALUE!</v>
      </c>
      <c r="AB8" t="e" cm="1">
        <f t="array" aca="1" ref="AB8" ca="1">TREND($K8:$P8,$K$1:$P$1,AB$1)</f>
        <v>#VALUE!</v>
      </c>
      <c r="AC8" t="e" cm="1">
        <f t="array" aca="1" ref="AC8" ca="1">TREND($K8:$P8,$K$1:$P$1,AC$1)</f>
        <v>#VALUE!</v>
      </c>
      <c r="AD8" t="e" cm="1">
        <f t="array" aca="1" ref="AD8" ca="1">TREND($K8:$P8,$K$1:$P$1,AD$1)</f>
        <v>#VALUE!</v>
      </c>
      <c r="AE8" t="e" cm="1">
        <f t="array" aca="1" ref="AE8" ca="1">TREND($K8:$P8,$K$1:$P$1,AE$1)</f>
        <v>#VALUE!</v>
      </c>
      <c r="AF8" t="e" cm="1">
        <f t="array" aca="1" ref="AF8" ca="1">TREND($K8:$P8,$K$1:$P$1,AF$1)</f>
        <v>#VALUE!</v>
      </c>
      <c r="AG8" t="e" cm="1">
        <f t="array" aca="1" ref="AG8" ca="1">TREND($K8:$P8,$K$1:$P$1,AG$1)</f>
        <v>#VALUE!</v>
      </c>
      <c r="AH8" t="e" cm="1">
        <f t="array" aca="1" ref="AH8" ca="1">TREND($K8:$P8,$K$1:$P$1,AH$1)</f>
        <v>#VALUE!</v>
      </c>
      <c r="AI8" t="e" cm="1">
        <f t="array" aca="1" ref="AI8" ca="1">TREND($K8:$P8,$K$1:$P$1,AI$1)</f>
        <v>#VALUE!</v>
      </c>
      <c r="AJ8" t="e" cm="1">
        <f t="array" aca="1" ref="AJ8" ca="1">TREND($K8:$P8,$K$1:$P$1,AJ$1)</f>
        <v>#VALUE!</v>
      </c>
    </row>
    <row r="9" spans="1:36">
      <c r="A9" t="s">
        <v>82</v>
      </c>
      <c r="B9" s="32" t="e" cm="1">
        <f t="array" aca="1" ref="B9" ca="1">INDIRECT(CONCATENATE("'",HLOOKUP(B$1,$B$21:$E$23,3,FALSE),"'!",$B$25,ROW($A9)+5))*About!$A$27</f>
        <v>#VALUE!</v>
      </c>
      <c r="C9" t="e">
        <f t="shared" ca="1" si="3"/>
        <v>#VALUE!</v>
      </c>
      <c r="D9" t="e">
        <f t="shared" ca="1" si="0"/>
        <v>#VALUE!</v>
      </c>
      <c r="E9" t="e">
        <f t="shared" ca="1" si="0"/>
        <v>#VALUE!</v>
      </c>
      <c r="F9" s="32" t="e" cm="1">
        <f t="array" aca="1" ref="F9" ca="1">INDIRECT(CONCATENATE("'",HLOOKUP(F$1,$B$21:$E$23,3,FALSE),"'!",$B$25,ROW($A9)+5))*About!$A$27</f>
        <v>#VALUE!</v>
      </c>
      <c r="G9" t="e">
        <f t="shared" ca="1" si="4"/>
        <v>#VALUE!</v>
      </c>
      <c r="H9" t="e">
        <f t="shared" ca="1" si="1"/>
        <v>#VALUE!</v>
      </c>
      <c r="I9" t="e">
        <f t="shared" ca="1" si="1"/>
        <v>#VALUE!</v>
      </c>
      <c r="J9" t="e">
        <f t="shared" ca="1" si="1"/>
        <v>#VALUE!</v>
      </c>
      <c r="K9" s="32" t="e" cm="1">
        <f t="array" aca="1" ref="K9" ca="1">INDIRECT(CONCATENATE("'",HLOOKUP(K$1,$B$21:$E$23,3,FALSE),"'!",$B$25,ROW($A9)+5))*About!$A$27</f>
        <v>#VALUE!</v>
      </c>
      <c r="L9" t="e">
        <f t="shared" ca="1" si="5"/>
        <v>#VALUE!</v>
      </c>
      <c r="M9" t="e">
        <f t="shared" ca="1" si="2"/>
        <v>#VALUE!</v>
      </c>
      <c r="N9" t="e">
        <f t="shared" ca="1" si="2"/>
        <v>#VALUE!</v>
      </c>
      <c r="O9" t="e">
        <f t="shared" ca="1" si="2"/>
        <v>#VALUE!</v>
      </c>
      <c r="P9" s="32" t="e" cm="1">
        <f t="array" aca="1" ref="P9" ca="1">INDIRECT(CONCATENATE("'",HLOOKUP(P$1,$B$21:$E$23,3,FALSE),"'!",$B$25,ROW($A9)+5))*About!$A$27</f>
        <v>#VALUE!</v>
      </c>
      <c r="Q9" t="e" cm="1">
        <f t="array" aca="1" ref="Q9" ca="1">TREND($K9:$P9,$K$1:$P$1,Q$1)</f>
        <v>#VALUE!</v>
      </c>
      <c r="R9" t="e" cm="1">
        <f t="array" aca="1" ref="R9" ca="1">TREND($K9:$P9,$K$1:$P$1,R$1)</f>
        <v>#VALUE!</v>
      </c>
      <c r="S9" t="e" cm="1">
        <f t="array" aca="1" ref="S9" ca="1">TREND($K9:$P9,$K$1:$P$1,S$1)</f>
        <v>#VALUE!</v>
      </c>
      <c r="T9" t="e" cm="1">
        <f t="array" aca="1" ref="T9" ca="1">TREND($K9:$P9,$K$1:$P$1,T$1)</f>
        <v>#VALUE!</v>
      </c>
      <c r="U9" t="e" cm="1">
        <f t="array" aca="1" ref="U9" ca="1">TREND($K9:$P9,$K$1:$P$1,U$1)</f>
        <v>#VALUE!</v>
      </c>
      <c r="V9" t="e" cm="1">
        <f t="array" aca="1" ref="V9" ca="1">TREND($K9:$P9,$K$1:$P$1,V$1)</f>
        <v>#VALUE!</v>
      </c>
      <c r="W9" t="e" cm="1">
        <f t="array" aca="1" ref="W9" ca="1">TREND($K9:$P9,$K$1:$P$1,W$1)</f>
        <v>#VALUE!</v>
      </c>
      <c r="X9" t="e" cm="1">
        <f t="array" aca="1" ref="X9" ca="1">TREND($K9:$P9,$K$1:$P$1,X$1)</f>
        <v>#VALUE!</v>
      </c>
      <c r="Y9" t="e" cm="1">
        <f t="array" aca="1" ref="Y9" ca="1">TREND($K9:$P9,$K$1:$P$1,Y$1)</f>
        <v>#VALUE!</v>
      </c>
      <c r="Z9" t="e" cm="1">
        <f t="array" aca="1" ref="Z9" ca="1">TREND($K9:$P9,$K$1:$P$1,Z$1)</f>
        <v>#VALUE!</v>
      </c>
      <c r="AA9" t="e" cm="1">
        <f t="array" aca="1" ref="AA9" ca="1">TREND($K9:$P9,$K$1:$P$1,AA$1)</f>
        <v>#VALUE!</v>
      </c>
      <c r="AB9" t="e" cm="1">
        <f t="array" aca="1" ref="AB9" ca="1">TREND($K9:$P9,$K$1:$P$1,AB$1)</f>
        <v>#VALUE!</v>
      </c>
      <c r="AC9" t="e" cm="1">
        <f t="array" aca="1" ref="AC9" ca="1">TREND($K9:$P9,$K$1:$P$1,AC$1)</f>
        <v>#VALUE!</v>
      </c>
      <c r="AD9" t="e" cm="1">
        <f t="array" aca="1" ref="AD9" ca="1">TREND($K9:$P9,$K$1:$P$1,AD$1)</f>
        <v>#VALUE!</v>
      </c>
      <c r="AE9" t="e" cm="1">
        <f t="array" aca="1" ref="AE9" ca="1">TREND($K9:$P9,$K$1:$P$1,AE$1)</f>
        <v>#VALUE!</v>
      </c>
      <c r="AF9" t="e" cm="1">
        <f t="array" aca="1" ref="AF9" ca="1">TREND($K9:$P9,$K$1:$P$1,AF$1)</f>
        <v>#VALUE!</v>
      </c>
      <c r="AG9" t="e" cm="1">
        <f t="array" aca="1" ref="AG9" ca="1">TREND($K9:$P9,$K$1:$P$1,AG$1)</f>
        <v>#VALUE!</v>
      </c>
      <c r="AH9" t="e" cm="1">
        <f t="array" aca="1" ref="AH9" ca="1">TREND($K9:$P9,$K$1:$P$1,AH$1)</f>
        <v>#VALUE!</v>
      </c>
      <c r="AI9" t="e" cm="1">
        <f t="array" aca="1" ref="AI9" ca="1">TREND($K9:$P9,$K$1:$P$1,AI$1)</f>
        <v>#VALUE!</v>
      </c>
      <c r="AJ9" t="e" cm="1">
        <f t="array" aca="1" ref="AJ9" ca="1">TREND($K9:$P9,$K$1:$P$1,AJ$1)</f>
        <v>#VALUE!</v>
      </c>
    </row>
    <row r="10" spans="1:36">
      <c r="A10" t="s">
        <v>83</v>
      </c>
      <c r="B10" s="32" t="e" cm="1">
        <f t="array" aca="1" ref="B10" ca="1">INDIRECT(CONCATENATE("'",HLOOKUP(B$1,$B$21:$E$23,3,FALSE),"'!",$B$25,ROW($A10)+5))*About!$A$27</f>
        <v>#VALUE!</v>
      </c>
      <c r="C10" t="e">
        <f t="shared" ca="1" si="3"/>
        <v>#VALUE!</v>
      </c>
      <c r="D10" t="e">
        <f t="shared" ca="1" si="0"/>
        <v>#VALUE!</v>
      </c>
      <c r="E10" t="e">
        <f t="shared" ca="1" si="0"/>
        <v>#VALUE!</v>
      </c>
      <c r="F10" s="32" t="e" cm="1">
        <f t="array" aca="1" ref="F10" ca="1">INDIRECT(CONCATENATE("'",HLOOKUP(F$1,$B$21:$E$23,3,FALSE),"'!",$B$25,ROW($A10)+5))*About!$A$27</f>
        <v>#VALUE!</v>
      </c>
      <c r="G10" t="e">
        <f t="shared" ca="1" si="4"/>
        <v>#VALUE!</v>
      </c>
      <c r="H10" t="e">
        <f t="shared" ca="1" si="1"/>
        <v>#VALUE!</v>
      </c>
      <c r="I10" t="e">
        <f t="shared" ca="1" si="1"/>
        <v>#VALUE!</v>
      </c>
      <c r="J10" t="e">
        <f t="shared" ca="1" si="1"/>
        <v>#VALUE!</v>
      </c>
      <c r="K10" s="32" t="e" cm="1">
        <f t="array" aca="1" ref="K10" ca="1">INDIRECT(CONCATENATE("'",HLOOKUP(K$1,$B$21:$E$23,3,FALSE),"'!",$B$25,ROW($A10)+5))*About!$A$27</f>
        <v>#VALUE!</v>
      </c>
      <c r="L10" t="e">
        <f t="shared" ca="1" si="5"/>
        <v>#VALUE!</v>
      </c>
      <c r="M10" t="e">
        <f t="shared" ca="1" si="2"/>
        <v>#VALUE!</v>
      </c>
      <c r="N10" t="e">
        <f t="shared" ca="1" si="2"/>
        <v>#VALUE!</v>
      </c>
      <c r="O10" t="e">
        <f t="shared" ca="1" si="2"/>
        <v>#VALUE!</v>
      </c>
      <c r="P10" s="32" t="e" cm="1">
        <f t="array" aca="1" ref="P10" ca="1">INDIRECT(CONCATENATE("'",HLOOKUP(P$1,$B$21:$E$23,3,FALSE),"'!",$B$25,ROW($A10)+5))*About!$A$27</f>
        <v>#VALUE!</v>
      </c>
      <c r="Q10" t="e" cm="1">
        <f t="array" aca="1" ref="Q10" ca="1">TREND($K10:$P10,$K$1:$P$1,Q$1)</f>
        <v>#VALUE!</v>
      </c>
      <c r="R10" t="e" cm="1">
        <f t="array" aca="1" ref="R10" ca="1">TREND($K10:$P10,$K$1:$P$1,R$1)</f>
        <v>#VALUE!</v>
      </c>
      <c r="S10" t="e" cm="1">
        <f t="array" aca="1" ref="S10" ca="1">TREND($K10:$P10,$K$1:$P$1,S$1)</f>
        <v>#VALUE!</v>
      </c>
      <c r="T10" t="e" cm="1">
        <f t="array" aca="1" ref="T10" ca="1">TREND($K10:$P10,$K$1:$P$1,T$1)</f>
        <v>#VALUE!</v>
      </c>
      <c r="U10" t="e" cm="1">
        <f t="array" aca="1" ref="U10" ca="1">TREND($K10:$P10,$K$1:$P$1,U$1)</f>
        <v>#VALUE!</v>
      </c>
      <c r="V10" t="e" cm="1">
        <f t="array" aca="1" ref="V10" ca="1">TREND($K10:$P10,$K$1:$P$1,V$1)</f>
        <v>#VALUE!</v>
      </c>
      <c r="W10" t="e" cm="1">
        <f t="array" aca="1" ref="W10" ca="1">TREND($K10:$P10,$K$1:$P$1,W$1)</f>
        <v>#VALUE!</v>
      </c>
      <c r="X10" t="e" cm="1">
        <f t="array" aca="1" ref="X10" ca="1">TREND($K10:$P10,$K$1:$P$1,X$1)</f>
        <v>#VALUE!</v>
      </c>
      <c r="Y10" t="e" cm="1">
        <f t="array" aca="1" ref="Y10" ca="1">TREND($K10:$P10,$K$1:$P$1,Y$1)</f>
        <v>#VALUE!</v>
      </c>
      <c r="Z10" t="e" cm="1">
        <f t="array" aca="1" ref="Z10" ca="1">TREND($K10:$P10,$K$1:$P$1,Z$1)</f>
        <v>#VALUE!</v>
      </c>
      <c r="AA10" t="e" cm="1">
        <f t="array" aca="1" ref="AA10" ca="1">TREND($K10:$P10,$K$1:$P$1,AA$1)</f>
        <v>#VALUE!</v>
      </c>
      <c r="AB10" t="e" cm="1">
        <f t="array" aca="1" ref="AB10" ca="1">TREND($K10:$P10,$K$1:$P$1,AB$1)</f>
        <v>#VALUE!</v>
      </c>
      <c r="AC10" t="e" cm="1">
        <f t="array" aca="1" ref="AC10" ca="1">TREND($K10:$P10,$K$1:$P$1,AC$1)</f>
        <v>#VALUE!</v>
      </c>
      <c r="AD10" t="e" cm="1">
        <f t="array" aca="1" ref="AD10" ca="1">TREND($K10:$P10,$K$1:$P$1,AD$1)</f>
        <v>#VALUE!</v>
      </c>
      <c r="AE10" t="e" cm="1">
        <f t="array" aca="1" ref="AE10" ca="1">TREND($K10:$P10,$K$1:$P$1,AE$1)</f>
        <v>#VALUE!</v>
      </c>
      <c r="AF10" t="e" cm="1">
        <f t="array" aca="1" ref="AF10" ca="1">TREND($K10:$P10,$K$1:$P$1,AF$1)</f>
        <v>#VALUE!</v>
      </c>
      <c r="AG10" t="e" cm="1">
        <f t="array" aca="1" ref="AG10" ca="1">TREND($K10:$P10,$K$1:$P$1,AG$1)</f>
        <v>#VALUE!</v>
      </c>
      <c r="AH10" t="e" cm="1">
        <f t="array" aca="1" ref="AH10" ca="1">TREND($K10:$P10,$K$1:$P$1,AH$1)</f>
        <v>#VALUE!</v>
      </c>
      <c r="AI10" t="e" cm="1">
        <f t="array" aca="1" ref="AI10" ca="1">TREND($K10:$P10,$K$1:$P$1,AI$1)</f>
        <v>#VALUE!</v>
      </c>
      <c r="AJ10" t="e" cm="1">
        <f t="array" aca="1" ref="AJ10" ca="1">TREND($K10:$P10,$K$1:$P$1,AJ$1)</f>
        <v>#VALUE!</v>
      </c>
    </row>
    <row r="11" spans="1:36">
      <c r="A11" t="s">
        <v>84</v>
      </c>
      <c r="B11" s="32" t="e" cm="1">
        <f t="array" aca="1" ref="B11" ca="1">INDIRECT(CONCATENATE("'",HLOOKUP(B$1,$B$21:$E$23,3,FALSE),"'!",$B$25,ROW($A11)+5))*About!$A$27</f>
        <v>#VALUE!</v>
      </c>
      <c r="C11" t="e">
        <f t="shared" ca="1" si="3"/>
        <v>#VALUE!</v>
      </c>
      <c r="D11" t="e">
        <f t="shared" ca="1" si="0"/>
        <v>#VALUE!</v>
      </c>
      <c r="E11" t="e">
        <f t="shared" ca="1" si="0"/>
        <v>#VALUE!</v>
      </c>
      <c r="F11" s="32" t="e" cm="1">
        <f t="array" aca="1" ref="F11" ca="1">INDIRECT(CONCATENATE("'",HLOOKUP(F$1,$B$21:$E$23,3,FALSE),"'!",$B$25,ROW($A11)+5))*About!$A$27</f>
        <v>#VALUE!</v>
      </c>
      <c r="G11" t="e">
        <f t="shared" ca="1" si="4"/>
        <v>#VALUE!</v>
      </c>
      <c r="H11" t="e">
        <f t="shared" ca="1" si="1"/>
        <v>#VALUE!</v>
      </c>
      <c r="I11" t="e">
        <f t="shared" ca="1" si="1"/>
        <v>#VALUE!</v>
      </c>
      <c r="J11" t="e">
        <f t="shared" ca="1" si="1"/>
        <v>#VALUE!</v>
      </c>
      <c r="K11" s="32" t="e" cm="1">
        <f t="array" aca="1" ref="K11" ca="1">INDIRECT(CONCATENATE("'",HLOOKUP(K$1,$B$21:$E$23,3,FALSE),"'!",$B$25,ROW($A11)+5))*About!$A$27</f>
        <v>#VALUE!</v>
      </c>
      <c r="L11" t="e">
        <f t="shared" ca="1" si="5"/>
        <v>#VALUE!</v>
      </c>
      <c r="M11" t="e">
        <f t="shared" ca="1" si="2"/>
        <v>#VALUE!</v>
      </c>
      <c r="N11" t="e">
        <f t="shared" ca="1" si="2"/>
        <v>#VALUE!</v>
      </c>
      <c r="O11" t="e">
        <f t="shared" ca="1" si="2"/>
        <v>#VALUE!</v>
      </c>
      <c r="P11" s="32" t="e" cm="1">
        <f t="array" aca="1" ref="P11" ca="1">INDIRECT(CONCATENATE("'",HLOOKUP(P$1,$B$21:$E$23,3,FALSE),"'!",$B$25,ROW($A11)+5))*About!$A$27</f>
        <v>#VALUE!</v>
      </c>
      <c r="Q11" t="e" cm="1">
        <f t="array" aca="1" ref="Q11" ca="1">TREND($K11:$P11,$K$1:$P$1,Q$1)</f>
        <v>#VALUE!</v>
      </c>
      <c r="R11" t="e" cm="1">
        <f t="array" aca="1" ref="R11" ca="1">TREND($K11:$P11,$K$1:$P$1,R$1)</f>
        <v>#VALUE!</v>
      </c>
      <c r="S11" t="e" cm="1">
        <f t="array" aca="1" ref="S11" ca="1">TREND($K11:$P11,$K$1:$P$1,S$1)</f>
        <v>#VALUE!</v>
      </c>
      <c r="T11" t="e" cm="1">
        <f t="array" aca="1" ref="T11" ca="1">TREND($K11:$P11,$K$1:$P$1,T$1)</f>
        <v>#VALUE!</v>
      </c>
      <c r="U11" t="e" cm="1">
        <f t="array" aca="1" ref="U11" ca="1">TREND($K11:$P11,$K$1:$P$1,U$1)</f>
        <v>#VALUE!</v>
      </c>
      <c r="V11" t="e" cm="1">
        <f t="array" aca="1" ref="V11" ca="1">TREND($K11:$P11,$K$1:$P$1,V$1)</f>
        <v>#VALUE!</v>
      </c>
      <c r="W11" t="e" cm="1">
        <f t="array" aca="1" ref="W11" ca="1">TREND($K11:$P11,$K$1:$P$1,W$1)</f>
        <v>#VALUE!</v>
      </c>
      <c r="X11" t="e" cm="1">
        <f t="array" aca="1" ref="X11" ca="1">TREND($K11:$P11,$K$1:$P$1,X$1)</f>
        <v>#VALUE!</v>
      </c>
      <c r="Y11" t="e" cm="1">
        <f t="array" aca="1" ref="Y11" ca="1">TREND($K11:$P11,$K$1:$P$1,Y$1)</f>
        <v>#VALUE!</v>
      </c>
      <c r="Z11" t="e" cm="1">
        <f t="array" aca="1" ref="Z11" ca="1">TREND($K11:$P11,$K$1:$P$1,Z$1)</f>
        <v>#VALUE!</v>
      </c>
      <c r="AA11" t="e" cm="1">
        <f t="array" aca="1" ref="AA11" ca="1">TREND($K11:$P11,$K$1:$P$1,AA$1)</f>
        <v>#VALUE!</v>
      </c>
      <c r="AB11" t="e" cm="1">
        <f t="array" aca="1" ref="AB11" ca="1">TREND($K11:$P11,$K$1:$P$1,AB$1)</f>
        <v>#VALUE!</v>
      </c>
      <c r="AC11" t="e" cm="1">
        <f t="array" aca="1" ref="AC11" ca="1">TREND($K11:$P11,$K$1:$P$1,AC$1)</f>
        <v>#VALUE!</v>
      </c>
      <c r="AD11" t="e" cm="1">
        <f t="array" aca="1" ref="AD11" ca="1">TREND($K11:$P11,$K$1:$P$1,AD$1)</f>
        <v>#VALUE!</v>
      </c>
      <c r="AE11" t="e" cm="1">
        <f t="array" aca="1" ref="AE11" ca="1">TREND($K11:$P11,$K$1:$P$1,AE$1)</f>
        <v>#VALUE!</v>
      </c>
      <c r="AF11" t="e" cm="1">
        <f t="array" aca="1" ref="AF11" ca="1">TREND($K11:$P11,$K$1:$P$1,AF$1)</f>
        <v>#VALUE!</v>
      </c>
      <c r="AG11" t="e" cm="1">
        <f t="array" aca="1" ref="AG11" ca="1">TREND($K11:$P11,$K$1:$P$1,AG$1)</f>
        <v>#VALUE!</v>
      </c>
      <c r="AH11" t="e" cm="1">
        <f t="array" aca="1" ref="AH11" ca="1">TREND($K11:$P11,$K$1:$P$1,AH$1)</f>
        <v>#VALUE!</v>
      </c>
      <c r="AI11" t="e" cm="1">
        <f t="array" aca="1" ref="AI11" ca="1">TREND($K11:$P11,$K$1:$P$1,AI$1)</f>
        <v>#VALUE!</v>
      </c>
      <c r="AJ11" t="e" cm="1">
        <f t="array" aca="1" ref="AJ11" ca="1">TREND($K11:$P11,$K$1:$P$1,AJ$1)</f>
        <v>#VALUE!</v>
      </c>
    </row>
    <row r="12" spans="1:36">
      <c r="A12" t="s">
        <v>85</v>
      </c>
      <c r="B12" s="33" t="e">
        <f ca="1">SUM(INDIRECT(CONCATENATE("'",HLOOKUP(B$1,$B$21:$E$23,3,FALSE),"'!",$B$25,ROW($A12)+5,":",$B$25,ROW($A12)+6)))*About!$A$27</f>
        <v>#VALUE!</v>
      </c>
      <c r="C12" t="e">
        <f t="shared" ca="1" si="3"/>
        <v>#VALUE!</v>
      </c>
      <c r="D12" t="e">
        <f t="shared" ca="1" si="0"/>
        <v>#VALUE!</v>
      </c>
      <c r="E12" t="e">
        <f t="shared" ca="1" si="0"/>
        <v>#VALUE!</v>
      </c>
      <c r="F12" s="33" t="e">
        <f ca="1">SUM(INDIRECT(CONCATENATE("'",HLOOKUP(F$1,$B$21:$E$23,3,FALSE),"'!",$B$25,ROW($A12)+5,":",$B$25,ROW($A12)+6)))*About!$A$27</f>
        <v>#VALUE!</v>
      </c>
      <c r="G12" t="e">
        <f t="shared" ca="1" si="4"/>
        <v>#VALUE!</v>
      </c>
      <c r="H12" t="e">
        <f t="shared" ca="1" si="1"/>
        <v>#VALUE!</v>
      </c>
      <c r="I12" t="e">
        <f t="shared" ca="1" si="1"/>
        <v>#VALUE!</v>
      </c>
      <c r="J12" t="e">
        <f t="shared" ca="1" si="1"/>
        <v>#VALUE!</v>
      </c>
      <c r="K12" s="33" t="e">
        <f ca="1">SUM(INDIRECT(CONCATENATE("'",HLOOKUP(K$1,$B$21:$E$23,3,FALSE),"'!",$B$25,ROW($A12)+5,":",$B$25,ROW($A12)+6)))*About!$A$27</f>
        <v>#VALUE!</v>
      </c>
      <c r="L12" t="e">
        <f t="shared" ca="1" si="5"/>
        <v>#VALUE!</v>
      </c>
      <c r="M12" t="e">
        <f t="shared" ca="1" si="2"/>
        <v>#VALUE!</v>
      </c>
      <c r="N12" t="e">
        <f t="shared" ca="1" si="2"/>
        <v>#VALUE!</v>
      </c>
      <c r="O12" t="e">
        <f t="shared" ca="1" si="2"/>
        <v>#VALUE!</v>
      </c>
      <c r="P12" s="33" t="e">
        <f ca="1">SUM(INDIRECT(CONCATENATE("'",HLOOKUP(P$1,$B$21:$E$23,3,FALSE),"'!",$B$25,ROW($A12)+5,":",$B$25,ROW($A12)+6)))*About!$A$27</f>
        <v>#VALUE!</v>
      </c>
      <c r="Q12" t="e" cm="1">
        <f t="array" aca="1" ref="Q12" ca="1">TREND($K12:$P12,$K$1:$P$1,Q$1)</f>
        <v>#VALUE!</v>
      </c>
      <c r="R12" t="e" cm="1">
        <f t="array" aca="1" ref="R12" ca="1">TREND($K12:$P12,$K$1:$P$1,R$1)</f>
        <v>#VALUE!</v>
      </c>
      <c r="S12" t="e" cm="1">
        <f t="array" aca="1" ref="S12" ca="1">TREND($K12:$P12,$K$1:$P$1,S$1)</f>
        <v>#VALUE!</v>
      </c>
      <c r="T12" t="e" cm="1">
        <f t="array" aca="1" ref="T12" ca="1">TREND($K12:$P12,$K$1:$P$1,T$1)</f>
        <v>#VALUE!</v>
      </c>
      <c r="U12" t="e" cm="1">
        <f t="array" aca="1" ref="U12" ca="1">TREND($K12:$P12,$K$1:$P$1,U$1)</f>
        <v>#VALUE!</v>
      </c>
      <c r="V12" t="e" cm="1">
        <f t="array" aca="1" ref="V12" ca="1">TREND($K12:$P12,$K$1:$P$1,V$1)</f>
        <v>#VALUE!</v>
      </c>
      <c r="W12" t="e" cm="1">
        <f t="array" aca="1" ref="W12" ca="1">TREND($K12:$P12,$K$1:$P$1,W$1)</f>
        <v>#VALUE!</v>
      </c>
      <c r="X12" t="e" cm="1">
        <f t="array" aca="1" ref="X12" ca="1">TREND($K12:$P12,$K$1:$P$1,X$1)</f>
        <v>#VALUE!</v>
      </c>
      <c r="Y12" t="e" cm="1">
        <f t="array" aca="1" ref="Y12" ca="1">TREND($K12:$P12,$K$1:$P$1,Y$1)</f>
        <v>#VALUE!</v>
      </c>
      <c r="Z12" t="e" cm="1">
        <f t="array" aca="1" ref="Z12" ca="1">TREND($K12:$P12,$K$1:$P$1,Z$1)</f>
        <v>#VALUE!</v>
      </c>
      <c r="AA12" t="e" cm="1">
        <f t="array" aca="1" ref="AA12" ca="1">TREND($K12:$P12,$K$1:$P$1,AA$1)</f>
        <v>#VALUE!</v>
      </c>
      <c r="AB12" t="e" cm="1">
        <f t="array" aca="1" ref="AB12" ca="1">TREND($K12:$P12,$K$1:$P$1,AB$1)</f>
        <v>#VALUE!</v>
      </c>
      <c r="AC12" t="e" cm="1">
        <f t="array" aca="1" ref="AC12" ca="1">TREND($K12:$P12,$K$1:$P$1,AC$1)</f>
        <v>#VALUE!</v>
      </c>
      <c r="AD12" t="e" cm="1">
        <f t="array" aca="1" ref="AD12" ca="1">TREND($K12:$P12,$K$1:$P$1,AD$1)</f>
        <v>#VALUE!</v>
      </c>
      <c r="AE12" t="e" cm="1">
        <f t="array" aca="1" ref="AE12" ca="1">TREND($K12:$P12,$K$1:$P$1,AE$1)</f>
        <v>#VALUE!</v>
      </c>
      <c r="AF12" t="e" cm="1">
        <f t="array" aca="1" ref="AF12" ca="1">TREND($K12:$P12,$K$1:$P$1,AF$1)</f>
        <v>#VALUE!</v>
      </c>
      <c r="AG12" t="e" cm="1">
        <f t="array" aca="1" ref="AG12" ca="1">TREND($K12:$P12,$K$1:$P$1,AG$1)</f>
        <v>#VALUE!</v>
      </c>
      <c r="AH12" t="e" cm="1">
        <f t="array" aca="1" ref="AH12" ca="1">TREND($K12:$P12,$K$1:$P$1,AH$1)</f>
        <v>#VALUE!</v>
      </c>
      <c r="AI12" t="e" cm="1">
        <f t="array" aca="1" ref="AI12" ca="1">TREND($K12:$P12,$K$1:$P$1,AI$1)</f>
        <v>#VALUE!</v>
      </c>
      <c r="AJ12" t="e" cm="1">
        <f t="array" aca="1" ref="AJ12" ca="1">TREND($K12:$P12,$K$1:$P$1,AJ$1)</f>
        <v>#VALUE!</v>
      </c>
    </row>
    <row r="16" spans="1:36">
      <c r="A16" s="20" t="s">
        <v>86</v>
      </c>
      <c r="B16" s="21"/>
      <c r="C16" s="21"/>
      <c r="D16" s="21"/>
    </row>
    <row r="17" spans="1:5">
      <c r="A17" t="s">
        <v>87</v>
      </c>
      <c r="B17" t="e" cm="1">
        <f t="array" aca="1" ref="B17" ca="1">MID(CELL("filename",A17),FIND("]",CELL("filename",A17))+1,255)</f>
        <v>#VALUE!</v>
      </c>
    </row>
    <row r="18" spans="1:5">
      <c r="A18" t="s">
        <v>88</v>
      </c>
      <c r="B18" t="e">
        <f ca="1">RIGHT(B17,LEN(B17)-7)</f>
        <v>#VALUE!</v>
      </c>
    </row>
    <row r="19" spans="1:5">
      <c r="A19" t="s">
        <v>89</v>
      </c>
      <c r="B19" t="e">
        <f ca="1">LEFT(B18,FIND("-",B18)-1)</f>
        <v>#VALUE!</v>
      </c>
    </row>
    <row r="20" spans="1:5">
      <c r="A20" t="s">
        <v>90</v>
      </c>
      <c r="B20" t="e">
        <f ca="1">VLOOKUP($B$19,Mappings!$A$22:$B$26,COLUMN(Mappings!$B$21),FALSE)</f>
        <v>#VALUE!</v>
      </c>
    </row>
    <row r="21" spans="1:5">
      <c r="A21" s="23"/>
      <c r="B21" s="24">
        <v>2016</v>
      </c>
      <c r="C21" s="24">
        <v>2020</v>
      </c>
      <c r="D21" s="24">
        <v>2025</v>
      </c>
      <c r="E21" s="25">
        <v>2030</v>
      </c>
    </row>
    <row r="22" spans="1:5">
      <c r="A22" s="26" t="s">
        <v>91</v>
      </c>
      <c r="B22" s="2" t="e">
        <f ca="1">VLOOKUP($B$20,Mappings!$A$3:$E$19,COLUMN(Mappings!B$2),FALSE)</f>
        <v>#VALUE!</v>
      </c>
      <c r="C22" s="2" t="e">
        <f ca="1">VLOOKUP($B$20,Mappings!$A$3:$E$19,COLUMN(Mappings!C$2),FALSE)</f>
        <v>#VALUE!</v>
      </c>
      <c r="D22" s="2" t="e">
        <f ca="1">VLOOKUP($B$20,Mappings!$A$3:$E$19,COLUMN(Mappings!D$2),FALSE)</f>
        <v>#VALUE!</v>
      </c>
      <c r="E22" s="27" t="e">
        <f ca="1">VLOOKUP($B$20,Mappings!$A$3:$E$19,COLUMN(Mappings!E$2),FALSE)</f>
        <v>#VALUE!</v>
      </c>
    </row>
    <row r="23" spans="1:5">
      <c r="A23" s="28" t="s">
        <v>87</v>
      </c>
      <c r="B23" s="29" t="e">
        <f ca="1">CONCATENATE("Table ",B22)</f>
        <v>#VALUE!</v>
      </c>
      <c r="C23" s="29" t="e">
        <f ca="1">CONCATENATE("Table ",C22)</f>
        <v>#VALUE!</v>
      </c>
      <c r="D23" s="29" t="e">
        <f ca="1">CONCATENATE("Table ",D22)</f>
        <v>#VALUE!</v>
      </c>
      <c r="E23" s="30" t="e">
        <f ca="1">CONCATENATE("Table ",E22)</f>
        <v>#VALUE!</v>
      </c>
    </row>
    <row r="24" spans="1:5">
      <c r="A24" t="s">
        <v>92</v>
      </c>
      <c r="B24" t="e">
        <f ca="1">REPLACE(B18,1,FIND("-",B18),"")</f>
        <v>#VALUE!</v>
      </c>
    </row>
    <row r="25" spans="1:5">
      <c r="A25" t="s">
        <v>93</v>
      </c>
      <c r="B25" s="2" t="e">
        <f ca="1">VLOOKUP($B$24,Mappings!$A$29:$B$31,COLUMN(Mappings!$B$29),FALSE)</f>
        <v>#VALUE!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35420-C192-410E-A762-AC413F5C5FE7}">
  <sheetPr>
    <tabColor theme="4" tint="-0.249977111117893"/>
  </sheetPr>
  <dimension ref="A1:AJ25"/>
  <sheetViews>
    <sheetView workbookViewId="0"/>
  </sheetViews>
  <sheetFormatPr defaultColWidth="8.7109375" defaultRowHeight="14.45"/>
  <cols>
    <col min="1" max="1" width="33.7109375" customWidth="1"/>
  </cols>
  <sheetData>
    <row r="1" spans="1:36" s="1" customFormat="1">
      <c r="A1" s="22" t="s">
        <v>74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>
      <c r="A2" t="s">
        <v>75</v>
      </c>
      <c r="B2" s="31" t="e" cm="1">
        <f t="array" aca="1" ref="B2" ca="1">INDIRECT(CONCATENATE("'",HLOOKUP(B$1,$B$21:$E$23,3,FALSE),"'!",$B$25,ROW($A2)+3))*About!$A$27</f>
        <v>#VALUE!</v>
      </c>
      <c r="C2" t="e">
        <f ca="1">$B2+($F2-$B2)*(C$1-$B$1)/($F$1-$B$1)</f>
        <v>#VALUE!</v>
      </c>
      <c r="D2" t="e">
        <f t="shared" ref="D2:E12" ca="1" si="0">$B2+($F2-$B2)*(D$1-$B$1)/($F$1-$B$1)</f>
        <v>#VALUE!</v>
      </c>
      <c r="E2" t="e">
        <f t="shared" ca="1" si="0"/>
        <v>#VALUE!</v>
      </c>
      <c r="F2" s="31" t="e" cm="1">
        <f t="array" aca="1" ref="F2" ca="1">INDIRECT(CONCATENATE("'",HLOOKUP(F$1,$B$21:$E$23,3,FALSE),"'!",$B$25,ROW($A2)+3))*About!$A$27</f>
        <v>#VALUE!</v>
      </c>
      <c r="G2" t="e">
        <f ca="1">$F2+($K2-$F2)*(G$1-$F$1)/($K$1-$F$1)</f>
        <v>#VALUE!</v>
      </c>
      <c r="H2" t="e">
        <f t="shared" ref="H2:J12" ca="1" si="1">$F2+($K2-$F2)*(H$1-$F$1)/($K$1-$F$1)</f>
        <v>#VALUE!</v>
      </c>
      <c r="I2" t="e">
        <f t="shared" ca="1" si="1"/>
        <v>#VALUE!</v>
      </c>
      <c r="J2" t="e">
        <f t="shared" ca="1" si="1"/>
        <v>#VALUE!</v>
      </c>
      <c r="K2" s="31" t="e" cm="1">
        <f t="array" aca="1" ref="K2" ca="1">INDIRECT(CONCATENATE("'",HLOOKUP(K$1,$B$21:$E$23,3,FALSE),"'!",$B$25,ROW($A2)+3))*About!$A$27</f>
        <v>#VALUE!</v>
      </c>
      <c r="L2" t="e">
        <f ca="1">$K2+($P2-$K2)*(L$1-$K$1)/($P$1-$K$1)</f>
        <v>#VALUE!</v>
      </c>
      <c r="M2" t="e">
        <f t="shared" ref="M2:O12" ca="1" si="2">$K2+($P2-$K2)*(M$1-$K$1)/($P$1-$K$1)</f>
        <v>#VALUE!</v>
      </c>
      <c r="N2" t="e">
        <f t="shared" ca="1" si="2"/>
        <v>#VALUE!</v>
      </c>
      <c r="O2" t="e">
        <f t="shared" ca="1" si="2"/>
        <v>#VALUE!</v>
      </c>
      <c r="P2" s="31" t="e" cm="1">
        <f t="array" aca="1" ref="P2" ca="1">INDIRECT(CONCATENATE("'",HLOOKUP(P$1,$B$21:$E$23,3,FALSE),"'!",$B$25,ROW($A2)+3))*About!$A$27</f>
        <v>#VALUE!</v>
      </c>
      <c r="Q2" t="e" cm="1">
        <f t="array" aca="1" ref="Q2" ca="1">TREND($K2:$P2,$K$1:$P$1,Q$1)</f>
        <v>#VALUE!</v>
      </c>
      <c r="R2" t="e" cm="1">
        <f t="array" aca="1" ref="R2" ca="1">TREND($K2:$P2,$K$1:$P$1,R$1)</f>
        <v>#VALUE!</v>
      </c>
      <c r="S2" t="e" cm="1">
        <f t="array" aca="1" ref="S2" ca="1">TREND($K2:$P2,$K$1:$P$1,S$1)</f>
        <v>#VALUE!</v>
      </c>
      <c r="T2" t="e" cm="1">
        <f t="array" aca="1" ref="T2" ca="1">TREND($K2:$P2,$K$1:$P$1,T$1)</f>
        <v>#VALUE!</v>
      </c>
      <c r="U2" t="e" cm="1">
        <f t="array" aca="1" ref="U2" ca="1">TREND($K2:$P2,$K$1:$P$1,U$1)</f>
        <v>#VALUE!</v>
      </c>
      <c r="V2" t="e" cm="1">
        <f t="array" aca="1" ref="V2" ca="1">TREND($K2:$P2,$K$1:$P$1,V$1)</f>
        <v>#VALUE!</v>
      </c>
      <c r="W2" t="e" cm="1">
        <f t="array" aca="1" ref="W2" ca="1">TREND($K2:$P2,$K$1:$P$1,W$1)</f>
        <v>#VALUE!</v>
      </c>
      <c r="X2" t="e" cm="1">
        <f t="array" aca="1" ref="X2" ca="1">TREND($K2:$P2,$K$1:$P$1,X$1)</f>
        <v>#VALUE!</v>
      </c>
      <c r="Y2" t="e" cm="1">
        <f t="array" aca="1" ref="Y2" ca="1">TREND($K2:$P2,$K$1:$P$1,Y$1)</f>
        <v>#VALUE!</v>
      </c>
      <c r="Z2" t="e" cm="1">
        <f t="array" aca="1" ref="Z2" ca="1">TREND($K2:$P2,$K$1:$P$1,Z$1)</f>
        <v>#VALUE!</v>
      </c>
      <c r="AA2" t="e" cm="1">
        <f t="array" aca="1" ref="AA2" ca="1">TREND($K2:$P2,$K$1:$P$1,AA$1)</f>
        <v>#VALUE!</v>
      </c>
      <c r="AB2" t="e" cm="1">
        <f t="array" aca="1" ref="AB2" ca="1">TREND($K2:$P2,$K$1:$P$1,AB$1)</f>
        <v>#VALUE!</v>
      </c>
      <c r="AC2" t="e" cm="1">
        <f t="array" aca="1" ref="AC2" ca="1">TREND($K2:$P2,$K$1:$P$1,AC$1)</f>
        <v>#VALUE!</v>
      </c>
      <c r="AD2" t="e" cm="1">
        <f t="array" aca="1" ref="AD2" ca="1">TREND($K2:$P2,$K$1:$P$1,AD$1)</f>
        <v>#VALUE!</v>
      </c>
      <c r="AE2" t="e" cm="1">
        <f t="array" aca="1" ref="AE2" ca="1">TREND($K2:$P2,$K$1:$P$1,AE$1)</f>
        <v>#VALUE!</v>
      </c>
      <c r="AF2" t="e" cm="1">
        <f t="array" aca="1" ref="AF2" ca="1">TREND($K2:$P2,$K$1:$P$1,AF$1)</f>
        <v>#VALUE!</v>
      </c>
      <c r="AG2" t="e" cm="1">
        <f t="array" aca="1" ref="AG2" ca="1">TREND($K2:$P2,$K$1:$P$1,AG$1)</f>
        <v>#VALUE!</v>
      </c>
      <c r="AH2" t="e" cm="1">
        <f t="array" aca="1" ref="AH2" ca="1">TREND($K2:$P2,$K$1:$P$1,AH$1)</f>
        <v>#VALUE!</v>
      </c>
      <c r="AI2" t="e" cm="1">
        <f t="array" aca="1" ref="AI2" ca="1">TREND($K2:$P2,$K$1:$P$1,AI$1)</f>
        <v>#VALUE!</v>
      </c>
      <c r="AJ2" t="e" cm="1">
        <f t="array" aca="1" ref="AJ2" ca="1">TREND($K2:$P2,$K$1:$P$1,AJ$1)</f>
        <v>#VALUE!</v>
      </c>
    </row>
    <row r="3" spans="1:36">
      <c r="A3" t="s">
        <v>76</v>
      </c>
      <c r="B3" s="32" t="e" cm="1">
        <f t="array" aca="1" ref="B3" ca="1">INDIRECT(CONCATENATE("'",HLOOKUP(B$1,$B$21:$E$23,3,FALSE),"'!",$B$25,ROW($A3)+5))*About!$A$27</f>
        <v>#VALUE!</v>
      </c>
      <c r="C3" t="e">
        <f t="shared" ref="C3:C12" ca="1" si="3">$B3+($F3-$B3)*(C$1-$B$1)/($F$1-$B$1)</f>
        <v>#VALUE!</v>
      </c>
      <c r="D3" t="e">
        <f t="shared" ca="1" si="0"/>
        <v>#VALUE!</v>
      </c>
      <c r="E3" t="e">
        <f t="shared" ca="1" si="0"/>
        <v>#VALUE!</v>
      </c>
      <c r="F3" s="32" t="e" cm="1">
        <f t="array" aca="1" ref="F3" ca="1">INDIRECT(CONCATENATE("'",HLOOKUP(F$1,$B$21:$E$23,3,FALSE),"'!",$B$25,ROW($A3)+5))*About!$A$27</f>
        <v>#VALUE!</v>
      </c>
      <c r="G3" t="e">
        <f t="shared" ref="G3:G12" ca="1" si="4">$F3+($K3-$F3)*(G$1-$F$1)/($K$1-$F$1)</f>
        <v>#VALUE!</v>
      </c>
      <c r="H3" t="e">
        <f t="shared" ca="1" si="1"/>
        <v>#VALUE!</v>
      </c>
      <c r="I3" t="e">
        <f t="shared" ca="1" si="1"/>
        <v>#VALUE!</v>
      </c>
      <c r="J3" t="e">
        <f t="shared" ca="1" si="1"/>
        <v>#VALUE!</v>
      </c>
      <c r="K3" s="32" t="e" cm="1">
        <f t="array" aca="1" ref="K3" ca="1">INDIRECT(CONCATENATE("'",HLOOKUP(K$1,$B$21:$E$23,3,FALSE),"'!",$B$25,ROW($A3)+5))*About!$A$27</f>
        <v>#VALUE!</v>
      </c>
      <c r="L3" t="e">
        <f t="shared" ref="L3:L12" ca="1" si="5">$K3+($P3-$K3)*(L$1-$K$1)/($P$1-$K$1)</f>
        <v>#VALUE!</v>
      </c>
      <c r="M3" t="e">
        <f t="shared" ca="1" si="2"/>
        <v>#VALUE!</v>
      </c>
      <c r="N3" t="e">
        <f t="shared" ca="1" si="2"/>
        <v>#VALUE!</v>
      </c>
      <c r="O3" t="e">
        <f t="shared" ca="1" si="2"/>
        <v>#VALUE!</v>
      </c>
      <c r="P3" s="32" t="e" cm="1">
        <f t="array" aca="1" ref="P3" ca="1">INDIRECT(CONCATENATE("'",HLOOKUP(P$1,$B$21:$E$23,3,FALSE),"'!",$B$25,ROW($A3)+5))*About!$A$27</f>
        <v>#VALUE!</v>
      </c>
      <c r="Q3" t="e" cm="1">
        <f t="array" aca="1" ref="Q3" ca="1">TREND($K3:$P3,$K$1:$P$1,Q$1)</f>
        <v>#VALUE!</v>
      </c>
      <c r="R3" t="e" cm="1">
        <f t="array" aca="1" ref="R3" ca="1">TREND($K3:$P3,$K$1:$P$1,R$1)</f>
        <v>#VALUE!</v>
      </c>
      <c r="S3" t="e" cm="1">
        <f t="array" aca="1" ref="S3" ca="1">TREND($K3:$P3,$K$1:$P$1,S$1)</f>
        <v>#VALUE!</v>
      </c>
      <c r="T3" t="e" cm="1">
        <f t="array" aca="1" ref="T3" ca="1">TREND($K3:$P3,$K$1:$P$1,T$1)</f>
        <v>#VALUE!</v>
      </c>
      <c r="U3" t="e" cm="1">
        <f t="array" aca="1" ref="U3" ca="1">TREND($K3:$P3,$K$1:$P$1,U$1)</f>
        <v>#VALUE!</v>
      </c>
      <c r="V3" t="e" cm="1">
        <f t="array" aca="1" ref="V3" ca="1">TREND($K3:$P3,$K$1:$P$1,V$1)</f>
        <v>#VALUE!</v>
      </c>
      <c r="W3" t="e" cm="1">
        <f t="array" aca="1" ref="W3" ca="1">TREND($K3:$P3,$K$1:$P$1,W$1)</f>
        <v>#VALUE!</v>
      </c>
      <c r="X3" t="e" cm="1">
        <f t="array" aca="1" ref="X3" ca="1">TREND($K3:$P3,$K$1:$P$1,X$1)</f>
        <v>#VALUE!</v>
      </c>
      <c r="Y3" t="e" cm="1">
        <f t="array" aca="1" ref="Y3" ca="1">TREND($K3:$P3,$K$1:$P$1,Y$1)</f>
        <v>#VALUE!</v>
      </c>
      <c r="Z3" t="e" cm="1">
        <f t="array" aca="1" ref="Z3" ca="1">TREND($K3:$P3,$K$1:$P$1,Z$1)</f>
        <v>#VALUE!</v>
      </c>
      <c r="AA3" t="e" cm="1">
        <f t="array" aca="1" ref="AA3" ca="1">TREND($K3:$P3,$K$1:$P$1,AA$1)</f>
        <v>#VALUE!</v>
      </c>
      <c r="AB3" t="e" cm="1">
        <f t="array" aca="1" ref="AB3" ca="1">TREND($K3:$P3,$K$1:$P$1,AB$1)</f>
        <v>#VALUE!</v>
      </c>
      <c r="AC3" t="e" cm="1">
        <f t="array" aca="1" ref="AC3" ca="1">TREND($K3:$P3,$K$1:$P$1,AC$1)</f>
        <v>#VALUE!</v>
      </c>
      <c r="AD3" t="e" cm="1">
        <f t="array" aca="1" ref="AD3" ca="1">TREND($K3:$P3,$K$1:$P$1,AD$1)</f>
        <v>#VALUE!</v>
      </c>
      <c r="AE3" t="e" cm="1">
        <f t="array" aca="1" ref="AE3" ca="1">TREND($K3:$P3,$K$1:$P$1,AE$1)</f>
        <v>#VALUE!</v>
      </c>
      <c r="AF3" t="e" cm="1">
        <f t="array" aca="1" ref="AF3" ca="1">TREND($K3:$P3,$K$1:$P$1,AF$1)</f>
        <v>#VALUE!</v>
      </c>
      <c r="AG3" t="e" cm="1">
        <f t="array" aca="1" ref="AG3" ca="1">TREND($K3:$P3,$K$1:$P$1,AG$1)</f>
        <v>#VALUE!</v>
      </c>
      <c r="AH3" t="e" cm="1">
        <f t="array" aca="1" ref="AH3" ca="1">TREND($K3:$P3,$K$1:$P$1,AH$1)</f>
        <v>#VALUE!</v>
      </c>
      <c r="AI3" t="e" cm="1">
        <f t="array" aca="1" ref="AI3" ca="1">TREND($K3:$P3,$K$1:$P$1,AI$1)</f>
        <v>#VALUE!</v>
      </c>
      <c r="AJ3" t="e" cm="1">
        <f t="array" aca="1" ref="AJ3" ca="1">TREND($K3:$P3,$K$1:$P$1,AJ$1)</f>
        <v>#VALUE!</v>
      </c>
    </row>
    <row r="4" spans="1:36">
      <c r="A4" t="s">
        <v>77</v>
      </c>
      <c r="B4" s="32" t="e" cm="1">
        <f t="array" aca="1" ref="B4" ca="1">INDIRECT(CONCATENATE("'",HLOOKUP(B$1,$B$21:$E$23,3,FALSE),"'!",$B$25,ROW($A4)+5))*About!$A$27</f>
        <v>#VALUE!</v>
      </c>
      <c r="C4" t="e">
        <f t="shared" ca="1" si="3"/>
        <v>#VALUE!</v>
      </c>
      <c r="D4" t="e">
        <f t="shared" ca="1" si="0"/>
        <v>#VALUE!</v>
      </c>
      <c r="E4" t="e">
        <f t="shared" ca="1" si="0"/>
        <v>#VALUE!</v>
      </c>
      <c r="F4" s="32" t="e" cm="1">
        <f t="array" aca="1" ref="F4" ca="1">INDIRECT(CONCATENATE("'",HLOOKUP(F$1,$B$21:$E$23,3,FALSE),"'!",$B$25,ROW($A4)+5))*About!$A$27</f>
        <v>#VALUE!</v>
      </c>
      <c r="G4" t="e">
        <f t="shared" ca="1" si="4"/>
        <v>#VALUE!</v>
      </c>
      <c r="H4" t="e">
        <f t="shared" ca="1" si="1"/>
        <v>#VALUE!</v>
      </c>
      <c r="I4" t="e">
        <f t="shared" ca="1" si="1"/>
        <v>#VALUE!</v>
      </c>
      <c r="J4" t="e">
        <f t="shared" ca="1" si="1"/>
        <v>#VALUE!</v>
      </c>
      <c r="K4" s="32" t="e" cm="1">
        <f t="array" aca="1" ref="K4" ca="1">INDIRECT(CONCATENATE("'",HLOOKUP(K$1,$B$21:$E$23,3,FALSE),"'!",$B$25,ROW($A4)+5))*About!$A$27</f>
        <v>#VALUE!</v>
      </c>
      <c r="L4" t="e">
        <f t="shared" ca="1" si="5"/>
        <v>#VALUE!</v>
      </c>
      <c r="M4" t="e">
        <f t="shared" ca="1" si="2"/>
        <v>#VALUE!</v>
      </c>
      <c r="N4" t="e">
        <f t="shared" ca="1" si="2"/>
        <v>#VALUE!</v>
      </c>
      <c r="O4" t="e">
        <f t="shared" ca="1" si="2"/>
        <v>#VALUE!</v>
      </c>
      <c r="P4" s="32" t="e" cm="1">
        <f t="array" aca="1" ref="P4" ca="1">INDIRECT(CONCATENATE("'",HLOOKUP(P$1,$B$21:$E$23,3,FALSE),"'!",$B$25,ROW($A4)+5))*About!$A$27</f>
        <v>#VALUE!</v>
      </c>
      <c r="Q4" t="e" cm="1">
        <f t="array" aca="1" ref="Q4" ca="1">TREND($K4:$P4,$K$1:$P$1,Q$1)</f>
        <v>#VALUE!</v>
      </c>
      <c r="R4" t="e" cm="1">
        <f t="array" aca="1" ref="R4" ca="1">TREND($K4:$P4,$K$1:$P$1,R$1)</f>
        <v>#VALUE!</v>
      </c>
      <c r="S4" t="e" cm="1">
        <f t="array" aca="1" ref="S4" ca="1">TREND($K4:$P4,$K$1:$P$1,S$1)</f>
        <v>#VALUE!</v>
      </c>
      <c r="T4" t="e" cm="1">
        <f t="array" aca="1" ref="T4" ca="1">TREND($K4:$P4,$K$1:$P$1,T$1)</f>
        <v>#VALUE!</v>
      </c>
      <c r="U4" t="e" cm="1">
        <f t="array" aca="1" ref="U4" ca="1">TREND($K4:$P4,$K$1:$P$1,U$1)</f>
        <v>#VALUE!</v>
      </c>
      <c r="V4" t="e" cm="1">
        <f t="array" aca="1" ref="V4" ca="1">TREND($K4:$P4,$K$1:$P$1,V$1)</f>
        <v>#VALUE!</v>
      </c>
      <c r="W4" t="e" cm="1">
        <f t="array" aca="1" ref="W4" ca="1">TREND($K4:$P4,$K$1:$P$1,W$1)</f>
        <v>#VALUE!</v>
      </c>
      <c r="X4" t="e" cm="1">
        <f t="array" aca="1" ref="X4" ca="1">TREND($K4:$P4,$K$1:$P$1,X$1)</f>
        <v>#VALUE!</v>
      </c>
      <c r="Y4" t="e" cm="1">
        <f t="array" aca="1" ref="Y4" ca="1">TREND($K4:$P4,$K$1:$P$1,Y$1)</f>
        <v>#VALUE!</v>
      </c>
      <c r="Z4" t="e" cm="1">
        <f t="array" aca="1" ref="Z4" ca="1">TREND($K4:$P4,$K$1:$P$1,Z$1)</f>
        <v>#VALUE!</v>
      </c>
      <c r="AA4" t="e" cm="1">
        <f t="array" aca="1" ref="AA4" ca="1">TREND($K4:$P4,$K$1:$P$1,AA$1)</f>
        <v>#VALUE!</v>
      </c>
      <c r="AB4" t="e" cm="1">
        <f t="array" aca="1" ref="AB4" ca="1">TREND($K4:$P4,$K$1:$P$1,AB$1)</f>
        <v>#VALUE!</v>
      </c>
      <c r="AC4" t="e" cm="1">
        <f t="array" aca="1" ref="AC4" ca="1">TREND($K4:$P4,$K$1:$P$1,AC$1)</f>
        <v>#VALUE!</v>
      </c>
      <c r="AD4" t="e" cm="1">
        <f t="array" aca="1" ref="AD4" ca="1">TREND($K4:$P4,$K$1:$P$1,AD$1)</f>
        <v>#VALUE!</v>
      </c>
      <c r="AE4" t="e" cm="1">
        <f t="array" aca="1" ref="AE4" ca="1">TREND($K4:$P4,$K$1:$P$1,AE$1)</f>
        <v>#VALUE!</v>
      </c>
      <c r="AF4" t="e" cm="1">
        <f t="array" aca="1" ref="AF4" ca="1">TREND($K4:$P4,$K$1:$P$1,AF$1)</f>
        <v>#VALUE!</v>
      </c>
      <c r="AG4" t="e" cm="1">
        <f t="array" aca="1" ref="AG4" ca="1">TREND($K4:$P4,$K$1:$P$1,AG$1)</f>
        <v>#VALUE!</v>
      </c>
      <c r="AH4" t="e" cm="1">
        <f t="array" aca="1" ref="AH4" ca="1">TREND($K4:$P4,$K$1:$P$1,AH$1)</f>
        <v>#VALUE!</v>
      </c>
      <c r="AI4" t="e" cm="1">
        <f t="array" aca="1" ref="AI4" ca="1">TREND($K4:$P4,$K$1:$P$1,AI$1)</f>
        <v>#VALUE!</v>
      </c>
      <c r="AJ4" t="e" cm="1">
        <f t="array" aca="1" ref="AJ4" ca="1">TREND($K4:$P4,$K$1:$P$1,AJ$1)</f>
        <v>#VALUE!</v>
      </c>
    </row>
    <row r="5" spans="1:36">
      <c r="A5" t="s">
        <v>78</v>
      </c>
      <c r="B5" s="32" t="e" cm="1">
        <f t="array" aca="1" ref="B5" ca="1">INDIRECT(CONCATENATE("'",HLOOKUP(B$1,$B$21:$E$23,3,FALSE),"'!",$B$25,ROW($A5)+5))*About!$A$27</f>
        <v>#VALUE!</v>
      </c>
      <c r="C5" t="e">
        <f t="shared" ca="1" si="3"/>
        <v>#VALUE!</v>
      </c>
      <c r="D5" t="e">
        <f t="shared" ca="1" si="0"/>
        <v>#VALUE!</v>
      </c>
      <c r="E5" t="e">
        <f t="shared" ca="1" si="0"/>
        <v>#VALUE!</v>
      </c>
      <c r="F5" s="32" t="e" cm="1">
        <f t="array" aca="1" ref="F5" ca="1">INDIRECT(CONCATENATE("'",HLOOKUP(F$1,$B$21:$E$23,3,FALSE),"'!",$B$25,ROW($A5)+5))*About!$A$27</f>
        <v>#VALUE!</v>
      </c>
      <c r="G5" t="e">
        <f t="shared" ca="1" si="4"/>
        <v>#VALUE!</v>
      </c>
      <c r="H5" t="e">
        <f t="shared" ca="1" si="1"/>
        <v>#VALUE!</v>
      </c>
      <c r="I5" t="e">
        <f t="shared" ca="1" si="1"/>
        <v>#VALUE!</v>
      </c>
      <c r="J5" t="e">
        <f t="shared" ca="1" si="1"/>
        <v>#VALUE!</v>
      </c>
      <c r="K5" s="32" t="e" cm="1">
        <f t="array" aca="1" ref="K5" ca="1">INDIRECT(CONCATENATE("'",HLOOKUP(K$1,$B$21:$E$23,3,FALSE),"'!",$B$25,ROW($A5)+5))*About!$A$27</f>
        <v>#VALUE!</v>
      </c>
      <c r="L5" t="e">
        <f t="shared" ca="1" si="5"/>
        <v>#VALUE!</v>
      </c>
      <c r="M5" t="e">
        <f t="shared" ca="1" si="2"/>
        <v>#VALUE!</v>
      </c>
      <c r="N5" t="e">
        <f t="shared" ca="1" si="2"/>
        <v>#VALUE!</v>
      </c>
      <c r="O5" t="e">
        <f t="shared" ca="1" si="2"/>
        <v>#VALUE!</v>
      </c>
      <c r="P5" s="32" t="e" cm="1">
        <f t="array" aca="1" ref="P5" ca="1">INDIRECT(CONCATENATE("'",HLOOKUP(P$1,$B$21:$E$23,3,FALSE),"'!",$B$25,ROW($A5)+5))*About!$A$27</f>
        <v>#VALUE!</v>
      </c>
      <c r="Q5" t="e" cm="1">
        <f t="array" aca="1" ref="Q5" ca="1">TREND($K5:$P5,$K$1:$P$1,Q$1)</f>
        <v>#VALUE!</v>
      </c>
      <c r="R5" t="e" cm="1">
        <f t="array" aca="1" ref="R5" ca="1">TREND($K5:$P5,$K$1:$P$1,R$1)</f>
        <v>#VALUE!</v>
      </c>
      <c r="S5" t="e" cm="1">
        <f t="array" aca="1" ref="S5" ca="1">TREND($K5:$P5,$K$1:$P$1,S$1)</f>
        <v>#VALUE!</v>
      </c>
      <c r="T5" t="e" cm="1">
        <f t="array" aca="1" ref="T5" ca="1">TREND($K5:$P5,$K$1:$P$1,T$1)</f>
        <v>#VALUE!</v>
      </c>
      <c r="U5" t="e" cm="1">
        <f t="array" aca="1" ref="U5" ca="1">TREND($K5:$P5,$K$1:$P$1,U$1)</f>
        <v>#VALUE!</v>
      </c>
      <c r="V5" t="e" cm="1">
        <f t="array" aca="1" ref="V5" ca="1">TREND($K5:$P5,$K$1:$P$1,V$1)</f>
        <v>#VALUE!</v>
      </c>
      <c r="W5" t="e" cm="1">
        <f t="array" aca="1" ref="W5" ca="1">TREND($K5:$P5,$K$1:$P$1,W$1)</f>
        <v>#VALUE!</v>
      </c>
      <c r="X5" t="e" cm="1">
        <f t="array" aca="1" ref="X5" ca="1">TREND($K5:$P5,$K$1:$P$1,X$1)</f>
        <v>#VALUE!</v>
      </c>
      <c r="Y5" t="e" cm="1">
        <f t="array" aca="1" ref="Y5" ca="1">TREND($K5:$P5,$K$1:$P$1,Y$1)</f>
        <v>#VALUE!</v>
      </c>
      <c r="Z5" t="e" cm="1">
        <f t="array" aca="1" ref="Z5" ca="1">TREND($K5:$P5,$K$1:$P$1,Z$1)</f>
        <v>#VALUE!</v>
      </c>
      <c r="AA5" t="e" cm="1">
        <f t="array" aca="1" ref="AA5" ca="1">TREND($K5:$P5,$K$1:$P$1,AA$1)</f>
        <v>#VALUE!</v>
      </c>
      <c r="AB5" t="e" cm="1">
        <f t="array" aca="1" ref="AB5" ca="1">TREND($K5:$P5,$K$1:$P$1,AB$1)</f>
        <v>#VALUE!</v>
      </c>
      <c r="AC5" t="e" cm="1">
        <f t="array" aca="1" ref="AC5" ca="1">TREND($K5:$P5,$K$1:$P$1,AC$1)</f>
        <v>#VALUE!</v>
      </c>
      <c r="AD5" t="e" cm="1">
        <f t="array" aca="1" ref="AD5" ca="1">TREND($K5:$P5,$K$1:$P$1,AD$1)</f>
        <v>#VALUE!</v>
      </c>
      <c r="AE5" t="e" cm="1">
        <f t="array" aca="1" ref="AE5" ca="1">TREND($K5:$P5,$K$1:$P$1,AE$1)</f>
        <v>#VALUE!</v>
      </c>
      <c r="AF5" t="e" cm="1">
        <f t="array" aca="1" ref="AF5" ca="1">TREND($K5:$P5,$K$1:$P$1,AF$1)</f>
        <v>#VALUE!</v>
      </c>
      <c r="AG5" t="e" cm="1">
        <f t="array" aca="1" ref="AG5" ca="1">TREND($K5:$P5,$K$1:$P$1,AG$1)</f>
        <v>#VALUE!</v>
      </c>
      <c r="AH5" t="e" cm="1">
        <f t="array" aca="1" ref="AH5" ca="1">TREND($K5:$P5,$K$1:$P$1,AH$1)</f>
        <v>#VALUE!</v>
      </c>
      <c r="AI5" t="e" cm="1">
        <f t="array" aca="1" ref="AI5" ca="1">TREND($K5:$P5,$K$1:$P$1,AI$1)</f>
        <v>#VALUE!</v>
      </c>
      <c r="AJ5" t="e" cm="1">
        <f t="array" aca="1" ref="AJ5" ca="1">TREND($K5:$P5,$K$1:$P$1,AJ$1)</f>
        <v>#VALUE!</v>
      </c>
    </row>
    <row r="6" spans="1:36">
      <c r="A6" t="s">
        <v>79</v>
      </c>
      <c r="B6" s="32" t="e" cm="1">
        <f t="array" aca="1" ref="B6" ca="1">INDIRECT(CONCATENATE("'",HLOOKUP(B$1,$B$21:$E$23,3,FALSE),"'!",$B$25,ROW($A6)+5))*About!$A$27</f>
        <v>#VALUE!</v>
      </c>
      <c r="C6" t="e">
        <f t="shared" ca="1" si="3"/>
        <v>#VALUE!</v>
      </c>
      <c r="D6" t="e">
        <f t="shared" ca="1" si="0"/>
        <v>#VALUE!</v>
      </c>
      <c r="E6" t="e">
        <f t="shared" ca="1" si="0"/>
        <v>#VALUE!</v>
      </c>
      <c r="F6" s="32" t="e" cm="1">
        <f t="array" aca="1" ref="F6" ca="1">INDIRECT(CONCATENATE("'",HLOOKUP(F$1,$B$21:$E$23,3,FALSE),"'!",$B$25,ROW($A6)+5))*About!$A$27</f>
        <v>#VALUE!</v>
      </c>
      <c r="G6" t="e">
        <f t="shared" ca="1" si="4"/>
        <v>#VALUE!</v>
      </c>
      <c r="H6" t="e">
        <f t="shared" ca="1" si="1"/>
        <v>#VALUE!</v>
      </c>
      <c r="I6" t="e">
        <f t="shared" ca="1" si="1"/>
        <v>#VALUE!</v>
      </c>
      <c r="J6" t="e">
        <f t="shared" ca="1" si="1"/>
        <v>#VALUE!</v>
      </c>
      <c r="K6" s="32" t="e" cm="1">
        <f t="array" aca="1" ref="K6" ca="1">INDIRECT(CONCATENATE("'",HLOOKUP(K$1,$B$21:$E$23,3,FALSE),"'!",$B$25,ROW($A6)+5))*About!$A$27</f>
        <v>#VALUE!</v>
      </c>
      <c r="L6" t="e">
        <f t="shared" ca="1" si="5"/>
        <v>#VALUE!</v>
      </c>
      <c r="M6" t="e">
        <f t="shared" ca="1" si="2"/>
        <v>#VALUE!</v>
      </c>
      <c r="N6" t="e">
        <f t="shared" ca="1" si="2"/>
        <v>#VALUE!</v>
      </c>
      <c r="O6" t="e">
        <f t="shared" ca="1" si="2"/>
        <v>#VALUE!</v>
      </c>
      <c r="P6" s="32" t="e" cm="1">
        <f t="array" aca="1" ref="P6" ca="1">INDIRECT(CONCATENATE("'",HLOOKUP(P$1,$B$21:$E$23,3,FALSE),"'!",$B$25,ROW($A6)+5))*About!$A$27</f>
        <v>#VALUE!</v>
      </c>
      <c r="Q6" t="e" cm="1">
        <f t="array" aca="1" ref="Q6" ca="1">TREND($K6:$P6,$K$1:$P$1,Q$1)</f>
        <v>#VALUE!</v>
      </c>
      <c r="R6" t="e" cm="1">
        <f t="array" aca="1" ref="R6" ca="1">TREND($K6:$P6,$K$1:$P$1,R$1)</f>
        <v>#VALUE!</v>
      </c>
      <c r="S6" t="e" cm="1">
        <f t="array" aca="1" ref="S6" ca="1">TREND($K6:$P6,$K$1:$P$1,S$1)</f>
        <v>#VALUE!</v>
      </c>
      <c r="T6" t="e" cm="1">
        <f t="array" aca="1" ref="T6" ca="1">TREND($K6:$P6,$K$1:$P$1,T$1)</f>
        <v>#VALUE!</v>
      </c>
      <c r="U6" t="e" cm="1">
        <f t="array" aca="1" ref="U6" ca="1">TREND($K6:$P6,$K$1:$P$1,U$1)</f>
        <v>#VALUE!</v>
      </c>
      <c r="V6" t="e" cm="1">
        <f t="array" aca="1" ref="V6" ca="1">TREND($K6:$P6,$K$1:$P$1,V$1)</f>
        <v>#VALUE!</v>
      </c>
      <c r="W6" t="e" cm="1">
        <f t="array" aca="1" ref="W6" ca="1">TREND($K6:$P6,$K$1:$P$1,W$1)</f>
        <v>#VALUE!</v>
      </c>
      <c r="X6" t="e" cm="1">
        <f t="array" aca="1" ref="X6" ca="1">TREND($K6:$P6,$K$1:$P$1,X$1)</f>
        <v>#VALUE!</v>
      </c>
      <c r="Y6" t="e" cm="1">
        <f t="array" aca="1" ref="Y6" ca="1">TREND($K6:$P6,$K$1:$P$1,Y$1)</f>
        <v>#VALUE!</v>
      </c>
      <c r="Z6" t="e" cm="1">
        <f t="array" aca="1" ref="Z6" ca="1">TREND($K6:$P6,$K$1:$P$1,Z$1)</f>
        <v>#VALUE!</v>
      </c>
      <c r="AA6" t="e" cm="1">
        <f t="array" aca="1" ref="AA6" ca="1">TREND($K6:$P6,$K$1:$P$1,AA$1)</f>
        <v>#VALUE!</v>
      </c>
      <c r="AB6" t="e" cm="1">
        <f t="array" aca="1" ref="AB6" ca="1">TREND($K6:$P6,$K$1:$P$1,AB$1)</f>
        <v>#VALUE!</v>
      </c>
      <c r="AC6" t="e" cm="1">
        <f t="array" aca="1" ref="AC6" ca="1">TREND($K6:$P6,$K$1:$P$1,AC$1)</f>
        <v>#VALUE!</v>
      </c>
      <c r="AD6" t="e" cm="1">
        <f t="array" aca="1" ref="AD6" ca="1">TREND($K6:$P6,$K$1:$P$1,AD$1)</f>
        <v>#VALUE!</v>
      </c>
      <c r="AE6" t="e" cm="1">
        <f t="array" aca="1" ref="AE6" ca="1">TREND($K6:$P6,$K$1:$P$1,AE$1)</f>
        <v>#VALUE!</v>
      </c>
      <c r="AF6" t="e" cm="1">
        <f t="array" aca="1" ref="AF6" ca="1">TREND($K6:$P6,$K$1:$P$1,AF$1)</f>
        <v>#VALUE!</v>
      </c>
      <c r="AG6" t="e" cm="1">
        <f t="array" aca="1" ref="AG6" ca="1">TREND($K6:$P6,$K$1:$P$1,AG$1)</f>
        <v>#VALUE!</v>
      </c>
      <c r="AH6" t="e" cm="1">
        <f t="array" aca="1" ref="AH6" ca="1">TREND($K6:$P6,$K$1:$P$1,AH$1)</f>
        <v>#VALUE!</v>
      </c>
      <c r="AI6" t="e" cm="1">
        <f t="array" aca="1" ref="AI6" ca="1">TREND($K6:$P6,$K$1:$P$1,AI$1)</f>
        <v>#VALUE!</v>
      </c>
      <c r="AJ6" t="e" cm="1">
        <f t="array" aca="1" ref="AJ6" ca="1">TREND($K6:$P6,$K$1:$P$1,AJ$1)</f>
        <v>#VALUE!</v>
      </c>
    </row>
    <row r="7" spans="1:36">
      <c r="A7" t="s">
        <v>80</v>
      </c>
      <c r="B7" s="32" t="e" cm="1">
        <f t="array" aca="1" ref="B7" ca="1">INDIRECT(CONCATENATE("'",HLOOKUP(B$1,$B$21:$E$23,3,FALSE),"'!",$B$25,ROW($A7)+5))*About!$A$27</f>
        <v>#VALUE!</v>
      </c>
      <c r="C7" t="e">
        <f t="shared" ca="1" si="3"/>
        <v>#VALUE!</v>
      </c>
      <c r="D7" t="e">
        <f t="shared" ca="1" si="0"/>
        <v>#VALUE!</v>
      </c>
      <c r="E7" t="e">
        <f t="shared" ca="1" si="0"/>
        <v>#VALUE!</v>
      </c>
      <c r="F7" s="32" t="e" cm="1">
        <f t="array" aca="1" ref="F7" ca="1">INDIRECT(CONCATENATE("'",HLOOKUP(F$1,$B$21:$E$23,3,FALSE),"'!",$B$25,ROW($A7)+5))*About!$A$27</f>
        <v>#VALUE!</v>
      </c>
      <c r="G7" t="e">
        <f t="shared" ca="1" si="4"/>
        <v>#VALUE!</v>
      </c>
      <c r="H7" t="e">
        <f t="shared" ca="1" si="1"/>
        <v>#VALUE!</v>
      </c>
      <c r="I7" t="e">
        <f t="shared" ca="1" si="1"/>
        <v>#VALUE!</v>
      </c>
      <c r="J7" t="e">
        <f t="shared" ca="1" si="1"/>
        <v>#VALUE!</v>
      </c>
      <c r="K7" s="32" t="e" cm="1">
        <f t="array" aca="1" ref="K7" ca="1">INDIRECT(CONCATENATE("'",HLOOKUP(K$1,$B$21:$E$23,3,FALSE),"'!",$B$25,ROW($A7)+5))*About!$A$27</f>
        <v>#VALUE!</v>
      </c>
      <c r="L7" t="e">
        <f t="shared" ca="1" si="5"/>
        <v>#VALUE!</v>
      </c>
      <c r="M7" t="e">
        <f t="shared" ca="1" si="2"/>
        <v>#VALUE!</v>
      </c>
      <c r="N7" t="e">
        <f t="shared" ca="1" si="2"/>
        <v>#VALUE!</v>
      </c>
      <c r="O7" t="e">
        <f t="shared" ca="1" si="2"/>
        <v>#VALUE!</v>
      </c>
      <c r="P7" s="32" t="e" cm="1">
        <f t="array" aca="1" ref="P7" ca="1">INDIRECT(CONCATENATE("'",HLOOKUP(P$1,$B$21:$E$23,3,FALSE),"'!",$B$25,ROW($A7)+5))*About!$A$27</f>
        <v>#VALUE!</v>
      </c>
      <c r="Q7" t="e" cm="1">
        <f t="array" aca="1" ref="Q7" ca="1">TREND($K7:$P7,$K$1:$P$1,Q$1)</f>
        <v>#VALUE!</v>
      </c>
      <c r="R7" t="e" cm="1">
        <f t="array" aca="1" ref="R7" ca="1">TREND($K7:$P7,$K$1:$P$1,R$1)</f>
        <v>#VALUE!</v>
      </c>
      <c r="S7" t="e" cm="1">
        <f t="array" aca="1" ref="S7" ca="1">TREND($K7:$P7,$K$1:$P$1,S$1)</f>
        <v>#VALUE!</v>
      </c>
      <c r="T7" t="e" cm="1">
        <f t="array" aca="1" ref="T7" ca="1">TREND($K7:$P7,$K$1:$P$1,T$1)</f>
        <v>#VALUE!</v>
      </c>
      <c r="U7" t="e" cm="1">
        <f t="array" aca="1" ref="U7" ca="1">TREND($K7:$P7,$K$1:$P$1,U$1)</f>
        <v>#VALUE!</v>
      </c>
      <c r="V7" t="e" cm="1">
        <f t="array" aca="1" ref="V7" ca="1">TREND($K7:$P7,$K$1:$P$1,V$1)</f>
        <v>#VALUE!</v>
      </c>
      <c r="W7" t="e" cm="1">
        <f t="array" aca="1" ref="W7" ca="1">TREND($K7:$P7,$K$1:$P$1,W$1)</f>
        <v>#VALUE!</v>
      </c>
      <c r="X7" t="e" cm="1">
        <f t="array" aca="1" ref="X7" ca="1">TREND($K7:$P7,$K$1:$P$1,X$1)</f>
        <v>#VALUE!</v>
      </c>
      <c r="Y7" t="e" cm="1">
        <f t="array" aca="1" ref="Y7" ca="1">TREND($K7:$P7,$K$1:$P$1,Y$1)</f>
        <v>#VALUE!</v>
      </c>
      <c r="Z7" t="e" cm="1">
        <f t="array" aca="1" ref="Z7" ca="1">TREND($K7:$P7,$K$1:$P$1,Z$1)</f>
        <v>#VALUE!</v>
      </c>
      <c r="AA7" t="e" cm="1">
        <f t="array" aca="1" ref="AA7" ca="1">TREND($K7:$P7,$K$1:$P$1,AA$1)</f>
        <v>#VALUE!</v>
      </c>
      <c r="AB7" t="e" cm="1">
        <f t="array" aca="1" ref="AB7" ca="1">TREND($K7:$P7,$K$1:$P$1,AB$1)</f>
        <v>#VALUE!</v>
      </c>
      <c r="AC7" t="e" cm="1">
        <f t="array" aca="1" ref="AC7" ca="1">TREND($K7:$P7,$K$1:$P$1,AC$1)</f>
        <v>#VALUE!</v>
      </c>
      <c r="AD7" t="e" cm="1">
        <f t="array" aca="1" ref="AD7" ca="1">TREND($K7:$P7,$K$1:$P$1,AD$1)</f>
        <v>#VALUE!</v>
      </c>
      <c r="AE7" t="e" cm="1">
        <f t="array" aca="1" ref="AE7" ca="1">TREND($K7:$P7,$K$1:$P$1,AE$1)</f>
        <v>#VALUE!</v>
      </c>
      <c r="AF7" t="e" cm="1">
        <f t="array" aca="1" ref="AF7" ca="1">TREND($K7:$P7,$K$1:$P$1,AF$1)</f>
        <v>#VALUE!</v>
      </c>
      <c r="AG7" t="e" cm="1">
        <f t="array" aca="1" ref="AG7" ca="1">TREND($K7:$P7,$K$1:$P$1,AG$1)</f>
        <v>#VALUE!</v>
      </c>
      <c r="AH7" t="e" cm="1">
        <f t="array" aca="1" ref="AH7" ca="1">TREND($K7:$P7,$K$1:$P$1,AH$1)</f>
        <v>#VALUE!</v>
      </c>
      <c r="AI7" t="e" cm="1">
        <f t="array" aca="1" ref="AI7" ca="1">TREND($K7:$P7,$K$1:$P$1,AI$1)</f>
        <v>#VALUE!</v>
      </c>
      <c r="AJ7" t="e" cm="1">
        <f t="array" aca="1" ref="AJ7" ca="1">TREND($K7:$P7,$K$1:$P$1,AJ$1)</f>
        <v>#VALUE!</v>
      </c>
    </row>
    <row r="8" spans="1:36">
      <c r="A8" t="s">
        <v>81</v>
      </c>
      <c r="B8" s="32" t="e" cm="1">
        <f t="array" aca="1" ref="B8" ca="1">INDIRECT(CONCATENATE("'",HLOOKUP(B$1,$B$21:$E$23,3,FALSE),"'!",$B$25,ROW($A8)+5))*About!$A$27</f>
        <v>#VALUE!</v>
      </c>
      <c r="C8" t="e">
        <f t="shared" ca="1" si="3"/>
        <v>#VALUE!</v>
      </c>
      <c r="D8" t="e">
        <f t="shared" ca="1" si="0"/>
        <v>#VALUE!</v>
      </c>
      <c r="E8" t="e">
        <f t="shared" ca="1" si="0"/>
        <v>#VALUE!</v>
      </c>
      <c r="F8" s="32" t="e" cm="1">
        <f t="array" aca="1" ref="F8" ca="1">INDIRECT(CONCATENATE("'",HLOOKUP(F$1,$B$21:$E$23,3,FALSE),"'!",$B$25,ROW($A8)+5))*About!$A$27</f>
        <v>#VALUE!</v>
      </c>
      <c r="G8" t="e">
        <f t="shared" ca="1" si="4"/>
        <v>#VALUE!</v>
      </c>
      <c r="H8" t="e">
        <f t="shared" ca="1" si="1"/>
        <v>#VALUE!</v>
      </c>
      <c r="I8" t="e">
        <f t="shared" ca="1" si="1"/>
        <v>#VALUE!</v>
      </c>
      <c r="J8" t="e">
        <f t="shared" ca="1" si="1"/>
        <v>#VALUE!</v>
      </c>
      <c r="K8" s="32" t="e" cm="1">
        <f t="array" aca="1" ref="K8" ca="1">INDIRECT(CONCATENATE("'",HLOOKUP(K$1,$B$21:$E$23,3,FALSE),"'!",$B$25,ROW($A8)+5))*About!$A$27</f>
        <v>#VALUE!</v>
      </c>
      <c r="L8" t="e">
        <f t="shared" ca="1" si="5"/>
        <v>#VALUE!</v>
      </c>
      <c r="M8" t="e">
        <f t="shared" ca="1" si="2"/>
        <v>#VALUE!</v>
      </c>
      <c r="N8" t="e">
        <f t="shared" ca="1" si="2"/>
        <v>#VALUE!</v>
      </c>
      <c r="O8" t="e">
        <f t="shared" ca="1" si="2"/>
        <v>#VALUE!</v>
      </c>
      <c r="P8" s="32" t="e" cm="1">
        <f t="array" aca="1" ref="P8" ca="1">INDIRECT(CONCATENATE("'",HLOOKUP(P$1,$B$21:$E$23,3,FALSE),"'!",$B$25,ROW($A8)+5))*About!$A$27</f>
        <v>#VALUE!</v>
      </c>
      <c r="Q8" t="e" cm="1">
        <f t="array" aca="1" ref="Q8" ca="1">TREND($K8:$P8,$K$1:$P$1,Q$1)</f>
        <v>#VALUE!</v>
      </c>
      <c r="R8" t="e" cm="1">
        <f t="array" aca="1" ref="R8" ca="1">TREND($K8:$P8,$K$1:$P$1,R$1)</f>
        <v>#VALUE!</v>
      </c>
      <c r="S8" t="e" cm="1">
        <f t="array" aca="1" ref="S8" ca="1">TREND($K8:$P8,$K$1:$P$1,S$1)</f>
        <v>#VALUE!</v>
      </c>
      <c r="T8" t="e" cm="1">
        <f t="array" aca="1" ref="T8" ca="1">TREND($K8:$P8,$K$1:$P$1,T$1)</f>
        <v>#VALUE!</v>
      </c>
      <c r="U8" t="e" cm="1">
        <f t="array" aca="1" ref="U8" ca="1">TREND($K8:$P8,$K$1:$P$1,U$1)</f>
        <v>#VALUE!</v>
      </c>
      <c r="V8" t="e" cm="1">
        <f t="array" aca="1" ref="V8" ca="1">TREND($K8:$P8,$K$1:$P$1,V$1)</f>
        <v>#VALUE!</v>
      </c>
      <c r="W8" t="e" cm="1">
        <f t="array" aca="1" ref="W8" ca="1">TREND($K8:$P8,$K$1:$P$1,W$1)</f>
        <v>#VALUE!</v>
      </c>
      <c r="X8" t="e" cm="1">
        <f t="array" aca="1" ref="X8" ca="1">TREND($K8:$P8,$K$1:$P$1,X$1)</f>
        <v>#VALUE!</v>
      </c>
      <c r="Y8" t="e" cm="1">
        <f t="array" aca="1" ref="Y8" ca="1">TREND($K8:$P8,$K$1:$P$1,Y$1)</f>
        <v>#VALUE!</v>
      </c>
      <c r="Z8" t="e" cm="1">
        <f t="array" aca="1" ref="Z8" ca="1">TREND($K8:$P8,$K$1:$P$1,Z$1)</f>
        <v>#VALUE!</v>
      </c>
      <c r="AA8" t="e" cm="1">
        <f t="array" aca="1" ref="AA8" ca="1">TREND($K8:$P8,$K$1:$P$1,AA$1)</f>
        <v>#VALUE!</v>
      </c>
      <c r="AB8" t="e" cm="1">
        <f t="array" aca="1" ref="AB8" ca="1">TREND($K8:$P8,$K$1:$P$1,AB$1)</f>
        <v>#VALUE!</v>
      </c>
      <c r="AC8" t="e" cm="1">
        <f t="array" aca="1" ref="AC8" ca="1">TREND($K8:$P8,$K$1:$P$1,AC$1)</f>
        <v>#VALUE!</v>
      </c>
      <c r="AD8" t="e" cm="1">
        <f t="array" aca="1" ref="AD8" ca="1">TREND($K8:$P8,$K$1:$P$1,AD$1)</f>
        <v>#VALUE!</v>
      </c>
      <c r="AE8" t="e" cm="1">
        <f t="array" aca="1" ref="AE8" ca="1">TREND($K8:$P8,$K$1:$P$1,AE$1)</f>
        <v>#VALUE!</v>
      </c>
      <c r="AF8" t="e" cm="1">
        <f t="array" aca="1" ref="AF8" ca="1">TREND($K8:$P8,$K$1:$P$1,AF$1)</f>
        <v>#VALUE!</v>
      </c>
      <c r="AG8" t="e" cm="1">
        <f t="array" aca="1" ref="AG8" ca="1">TREND($K8:$P8,$K$1:$P$1,AG$1)</f>
        <v>#VALUE!</v>
      </c>
      <c r="AH8" t="e" cm="1">
        <f t="array" aca="1" ref="AH8" ca="1">TREND($K8:$P8,$K$1:$P$1,AH$1)</f>
        <v>#VALUE!</v>
      </c>
      <c r="AI8" t="e" cm="1">
        <f t="array" aca="1" ref="AI8" ca="1">TREND($K8:$P8,$K$1:$P$1,AI$1)</f>
        <v>#VALUE!</v>
      </c>
      <c r="AJ8" t="e" cm="1">
        <f t="array" aca="1" ref="AJ8" ca="1">TREND($K8:$P8,$K$1:$P$1,AJ$1)</f>
        <v>#VALUE!</v>
      </c>
    </row>
    <row r="9" spans="1:36">
      <c r="A9" t="s">
        <v>82</v>
      </c>
      <c r="B9" s="32" t="e" cm="1">
        <f t="array" aca="1" ref="B9" ca="1">INDIRECT(CONCATENATE("'",HLOOKUP(B$1,$B$21:$E$23,3,FALSE),"'!",$B$25,ROW($A9)+5))*About!$A$27</f>
        <v>#VALUE!</v>
      </c>
      <c r="C9" t="e">
        <f t="shared" ca="1" si="3"/>
        <v>#VALUE!</v>
      </c>
      <c r="D9" t="e">
        <f t="shared" ca="1" si="0"/>
        <v>#VALUE!</v>
      </c>
      <c r="E9" t="e">
        <f t="shared" ca="1" si="0"/>
        <v>#VALUE!</v>
      </c>
      <c r="F9" s="32" t="e" cm="1">
        <f t="array" aca="1" ref="F9" ca="1">INDIRECT(CONCATENATE("'",HLOOKUP(F$1,$B$21:$E$23,3,FALSE),"'!",$B$25,ROW($A9)+5))*About!$A$27</f>
        <v>#VALUE!</v>
      </c>
      <c r="G9" t="e">
        <f t="shared" ca="1" si="4"/>
        <v>#VALUE!</v>
      </c>
      <c r="H9" t="e">
        <f t="shared" ca="1" si="1"/>
        <v>#VALUE!</v>
      </c>
      <c r="I9" t="e">
        <f t="shared" ca="1" si="1"/>
        <v>#VALUE!</v>
      </c>
      <c r="J9" t="e">
        <f t="shared" ca="1" si="1"/>
        <v>#VALUE!</v>
      </c>
      <c r="K9" s="32" t="e" cm="1">
        <f t="array" aca="1" ref="K9" ca="1">INDIRECT(CONCATENATE("'",HLOOKUP(K$1,$B$21:$E$23,3,FALSE),"'!",$B$25,ROW($A9)+5))*About!$A$27</f>
        <v>#VALUE!</v>
      </c>
      <c r="L9" t="e">
        <f t="shared" ca="1" si="5"/>
        <v>#VALUE!</v>
      </c>
      <c r="M9" t="e">
        <f t="shared" ca="1" si="2"/>
        <v>#VALUE!</v>
      </c>
      <c r="N9" t="e">
        <f t="shared" ca="1" si="2"/>
        <v>#VALUE!</v>
      </c>
      <c r="O9" t="e">
        <f t="shared" ca="1" si="2"/>
        <v>#VALUE!</v>
      </c>
      <c r="P9" s="32" t="e" cm="1">
        <f t="array" aca="1" ref="P9" ca="1">INDIRECT(CONCATENATE("'",HLOOKUP(P$1,$B$21:$E$23,3,FALSE),"'!",$B$25,ROW($A9)+5))*About!$A$27</f>
        <v>#VALUE!</v>
      </c>
      <c r="Q9" t="e" cm="1">
        <f t="array" aca="1" ref="Q9" ca="1">TREND($K9:$P9,$K$1:$P$1,Q$1)</f>
        <v>#VALUE!</v>
      </c>
      <c r="R9" t="e" cm="1">
        <f t="array" aca="1" ref="R9" ca="1">TREND($K9:$P9,$K$1:$P$1,R$1)</f>
        <v>#VALUE!</v>
      </c>
      <c r="S9" t="e" cm="1">
        <f t="array" aca="1" ref="S9" ca="1">TREND($K9:$P9,$K$1:$P$1,S$1)</f>
        <v>#VALUE!</v>
      </c>
      <c r="T9" t="e" cm="1">
        <f t="array" aca="1" ref="T9" ca="1">TREND($K9:$P9,$K$1:$P$1,T$1)</f>
        <v>#VALUE!</v>
      </c>
      <c r="U9" t="e" cm="1">
        <f t="array" aca="1" ref="U9" ca="1">TREND($K9:$P9,$K$1:$P$1,U$1)</f>
        <v>#VALUE!</v>
      </c>
      <c r="V9" t="e" cm="1">
        <f t="array" aca="1" ref="V9" ca="1">TREND($K9:$P9,$K$1:$P$1,V$1)</f>
        <v>#VALUE!</v>
      </c>
      <c r="W9" t="e" cm="1">
        <f t="array" aca="1" ref="W9" ca="1">TREND($K9:$P9,$K$1:$P$1,W$1)</f>
        <v>#VALUE!</v>
      </c>
      <c r="X9" t="e" cm="1">
        <f t="array" aca="1" ref="X9" ca="1">TREND($K9:$P9,$K$1:$P$1,X$1)</f>
        <v>#VALUE!</v>
      </c>
      <c r="Y9" t="e" cm="1">
        <f t="array" aca="1" ref="Y9" ca="1">TREND($K9:$P9,$K$1:$P$1,Y$1)</f>
        <v>#VALUE!</v>
      </c>
      <c r="Z9" t="e" cm="1">
        <f t="array" aca="1" ref="Z9" ca="1">TREND($K9:$P9,$K$1:$P$1,Z$1)</f>
        <v>#VALUE!</v>
      </c>
      <c r="AA9" t="e" cm="1">
        <f t="array" aca="1" ref="AA9" ca="1">TREND($K9:$P9,$K$1:$P$1,AA$1)</f>
        <v>#VALUE!</v>
      </c>
      <c r="AB9" t="e" cm="1">
        <f t="array" aca="1" ref="AB9" ca="1">TREND($K9:$P9,$K$1:$P$1,AB$1)</f>
        <v>#VALUE!</v>
      </c>
      <c r="AC9" t="e" cm="1">
        <f t="array" aca="1" ref="AC9" ca="1">TREND($K9:$P9,$K$1:$P$1,AC$1)</f>
        <v>#VALUE!</v>
      </c>
      <c r="AD9" t="e" cm="1">
        <f t="array" aca="1" ref="AD9" ca="1">TREND($K9:$P9,$K$1:$P$1,AD$1)</f>
        <v>#VALUE!</v>
      </c>
      <c r="AE9" t="e" cm="1">
        <f t="array" aca="1" ref="AE9" ca="1">TREND($K9:$P9,$K$1:$P$1,AE$1)</f>
        <v>#VALUE!</v>
      </c>
      <c r="AF9" t="e" cm="1">
        <f t="array" aca="1" ref="AF9" ca="1">TREND($K9:$P9,$K$1:$P$1,AF$1)</f>
        <v>#VALUE!</v>
      </c>
      <c r="AG9" t="e" cm="1">
        <f t="array" aca="1" ref="AG9" ca="1">TREND($K9:$P9,$K$1:$P$1,AG$1)</f>
        <v>#VALUE!</v>
      </c>
      <c r="AH9" t="e" cm="1">
        <f t="array" aca="1" ref="AH9" ca="1">TREND($K9:$P9,$K$1:$P$1,AH$1)</f>
        <v>#VALUE!</v>
      </c>
      <c r="AI9" t="e" cm="1">
        <f t="array" aca="1" ref="AI9" ca="1">TREND($K9:$P9,$K$1:$P$1,AI$1)</f>
        <v>#VALUE!</v>
      </c>
      <c r="AJ9" t="e" cm="1">
        <f t="array" aca="1" ref="AJ9" ca="1">TREND($K9:$P9,$K$1:$P$1,AJ$1)</f>
        <v>#VALUE!</v>
      </c>
    </row>
    <row r="10" spans="1:36">
      <c r="A10" t="s">
        <v>83</v>
      </c>
      <c r="B10" s="32" t="e" cm="1">
        <f t="array" aca="1" ref="B10" ca="1">INDIRECT(CONCATENATE("'",HLOOKUP(B$1,$B$21:$E$23,3,FALSE),"'!",$B$25,ROW($A10)+5))*About!$A$27</f>
        <v>#VALUE!</v>
      </c>
      <c r="C10" t="e">
        <f t="shared" ca="1" si="3"/>
        <v>#VALUE!</v>
      </c>
      <c r="D10" t="e">
        <f t="shared" ca="1" si="0"/>
        <v>#VALUE!</v>
      </c>
      <c r="E10" t="e">
        <f t="shared" ca="1" si="0"/>
        <v>#VALUE!</v>
      </c>
      <c r="F10" s="32" t="e" cm="1">
        <f t="array" aca="1" ref="F10" ca="1">INDIRECT(CONCATENATE("'",HLOOKUP(F$1,$B$21:$E$23,3,FALSE),"'!",$B$25,ROW($A10)+5))*About!$A$27</f>
        <v>#VALUE!</v>
      </c>
      <c r="G10" t="e">
        <f t="shared" ca="1" si="4"/>
        <v>#VALUE!</v>
      </c>
      <c r="H10" t="e">
        <f t="shared" ca="1" si="1"/>
        <v>#VALUE!</v>
      </c>
      <c r="I10" t="e">
        <f t="shared" ca="1" si="1"/>
        <v>#VALUE!</v>
      </c>
      <c r="J10" t="e">
        <f t="shared" ca="1" si="1"/>
        <v>#VALUE!</v>
      </c>
      <c r="K10" s="32" t="e" cm="1">
        <f t="array" aca="1" ref="K10" ca="1">INDIRECT(CONCATENATE("'",HLOOKUP(K$1,$B$21:$E$23,3,FALSE),"'!",$B$25,ROW($A10)+5))*About!$A$27</f>
        <v>#VALUE!</v>
      </c>
      <c r="L10" t="e">
        <f t="shared" ca="1" si="5"/>
        <v>#VALUE!</v>
      </c>
      <c r="M10" t="e">
        <f t="shared" ca="1" si="2"/>
        <v>#VALUE!</v>
      </c>
      <c r="N10" t="e">
        <f t="shared" ca="1" si="2"/>
        <v>#VALUE!</v>
      </c>
      <c r="O10" t="e">
        <f t="shared" ca="1" si="2"/>
        <v>#VALUE!</v>
      </c>
      <c r="P10" s="32" t="e" cm="1">
        <f t="array" aca="1" ref="P10" ca="1">INDIRECT(CONCATENATE("'",HLOOKUP(P$1,$B$21:$E$23,3,FALSE),"'!",$B$25,ROW($A10)+5))*About!$A$27</f>
        <v>#VALUE!</v>
      </c>
      <c r="Q10" t="e" cm="1">
        <f t="array" aca="1" ref="Q10" ca="1">TREND($K10:$P10,$K$1:$P$1,Q$1)</f>
        <v>#VALUE!</v>
      </c>
      <c r="R10" t="e" cm="1">
        <f t="array" aca="1" ref="R10" ca="1">TREND($K10:$P10,$K$1:$P$1,R$1)</f>
        <v>#VALUE!</v>
      </c>
      <c r="S10" t="e" cm="1">
        <f t="array" aca="1" ref="S10" ca="1">TREND($K10:$P10,$K$1:$P$1,S$1)</f>
        <v>#VALUE!</v>
      </c>
      <c r="T10" t="e" cm="1">
        <f t="array" aca="1" ref="T10" ca="1">TREND($K10:$P10,$K$1:$P$1,T$1)</f>
        <v>#VALUE!</v>
      </c>
      <c r="U10" t="e" cm="1">
        <f t="array" aca="1" ref="U10" ca="1">TREND($K10:$P10,$K$1:$P$1,U$1)</f>
        <v>#VALUE!</v>
      </c>
      <c r="V10" t="e" cm="1">
        <f t="array" aca="1" ref="V10" ca="1">TREND($K10:$P10,$K$1:$P$1,V$1)</f>
        <v>#VALUE!</v>
      </c>
      <c r="W10" t="e" cm="1">
        <f t="array" aca="1" ref="W10" ca="1">TREND($K10:$P10,$K$1:$P$1,W$1)</f>
        <v>#VALUE!</v>
      </c>
      <c r="X10" t="e" cm="1">
        <f t="array" aca="1" ref="X10" ca="1">TREND($K10:$P10,$K$1:$P$1,X$1)</f>
        <v>#VALUE!</v>
      </c>
      <c r="Y10" t="e" cm="1">
        <f t="array" aca="1" ref="Y10" ca="1">TREND($K10:$P10,$K$1:$P$1,Y$1)</f>
        <v>#VALUE!</v>
      </c>
      <c r="Z10" t="e" cm="1">
        <f t="array" aca="1" ref="Z10" ca="1">TREND($K10:$P10,$K$1:$P$1,Z$1)</f>
        <v>#VALUE!</v>
      </c>
      <c r="AA10" t="e" cm="1">
        <f t="array" aca="1" ref="AA10" ca="1">TREND($K10:$P10,$K$1:$P$1,AA$1)</f>
        <v>#VALUE!</v>
      </c>
      <c r="AB10" t="e" cm="1">
        <f t="array" aca="1" ref="AB10" ca="1">TREND($K10:$P10,$K$1:$P$1,AB$1)</f>
        <v>#VALUE!</v>
      </c>
      <c r="AC10" t="e" cm="1">
        <f t="array" aca="1" ref="AC10" ca="1">TREND($K10:$P10,$K$1:$P$1,AC$1)</f>
        <v>#VALUE!</v>
      </c>
      <c r="AD10" t="e" cm="1">
        <f t="array" aca="1" ref="AD10" ca="1">TREND($K10:$P10,$K$1:$P$1,AD$1)</f>
        <v>#VALUE!</v>
      </c>
      <c r="AE10" t="e" cm="1">
        <f t="array" aca="1" ref="AE10" ca="1">TREND($K10:$P10,$K$1:$P$1,AE$1)</f>
        <v>#VALUE!</v>
      </c>
      <c r="AF10" t="e" cm="1">
        <f t="array" aca="1" ref="AF10" ca="1">TREND($K10:$P10,$K$1:$P$1,AF$1)</f>
        <v>#VALUE!</v>
      </c>
      <c r="AG10" t="e" cm="1">
        <f t="array" aca="1" ref="AG10" ca="1">TREND($K10:$P10,$K$1:$P$1,AG$1)</f>
        <v>#VALUE!</v>
      </c>
      <c r="AH10" t="e" cm="1">
        <f t="array" aca="1" ref="AH10" ca="1">TREND($K10:$P10,$K$1:$P$1,AH$1)</f>
        <v>#VALUE!</v>
      </c>
      <c r="AI10" t="e" cm="1">
        <f t="array" aca="1" ref="AI10" ca="1">TREND($K10:$P10,$K$1:$P$1,AI$1)</f>
        <v>#VALUE!</v>
      </c>
      <c r="AJ10" t="e" cm="1">
        <f t="array" aca="1" ref="AJ10" ca="1">TREND($K10:$P10,$K$1:$P$1,AJ$1)</f>
        <v>#VALUE!</v>
      </c>
    </row>
    <row r="11" spans="1:36">
      <c r="A11" t="s">
        <v>84</v>
      </c>
      <c r="B11" s="32" t="e" cm="1">
        <f t="array" aca="1" ref="B11" ca="1">INDIRECT(CONCATENATE("'",HLOOKUP(B$1,$B$21:$E$23,3,FALSE),"'!",$B$25,ROW($A11)+5))*About!$A$27</f>
        <v>#VALUE!</v>
      </c>
      <c r="C11" t="e">
        <f t="shared" ca="1" si="3"/>
        <v>#VALUE!</v>
      </c>
      <c r="D11" t="e">
        <f t="shared" ca="1" si="0"/>
        <v>#VALUE!</v>
      </c>
      <c r="E11" t="e">
        <f t="shared" ca="1" si="0"/>
        <v>#VALUE!</v>
      </c>
      <c r="F11" s="32" t="e" cm="1">
        <f t="array" aca="1" ref="F11" ca="1">INDIRECT(CONCATENATE("'",HLOOKUP(F$1,$B$21:$E$23,3,FALSE),"'!",$B$25,ROW($A11)+5))*About!$A$27</f>
        <v>#VALUE!</v>
      </c>
      <c r="G11" t="e">
        <f t="shared" ca="1" si="4"/>
        <v>#VALUE!</v>
      </c>
      <c r="H11" t="e">
        <f t="shared" ca="1" si="1"/>
        <v>#VALUE!</v>
      </c>
      <c r="I11" t="e">
        <f t="shared" ca="1" si="1"/>
        <v>#VALUE!</v>
      </c>
      <c r="J11" t="e">
        <f t="shared" ca="1" si="1"/>
        <v>#VALUE!</v>
      </c>
      <c r="K11" s="32" t="e" cm="1">
        <f t="array" aca="1" ref="K11" ca="1">INDIRECT(CONCATENATE("'",HLOOKUP(K$1,$B$21:$E$23,3,FALSE),"'!",$B$25,ROW($A11)+5))*About!$A$27</f>
        <v>#VALUE!</v>
      </c>
      <c r="L11" t="e">
        <f t="shared" ca="1" si="5"/>
        <v>#VALUE!</v>
      </c>
      <c r="M11" t="e">
        <f t="shared" ca="1" si="2"/>
        <v>#VALUE!</v>
      </c>
      <c r="N11" t="e">
        <f t="shared" ca="1" si="2"/>
        <v>#VALUE!</v>
      </c>
      <c r="O11" t="e">
        <f t="shared" ca="1" si="2"/>
        <v>#VALUE!</v>
      </c>
      <c r="P11" s="32" t="e" cm="1">
        <f t="array" aca="1" ref="P11" ca="1">INDIRECT(CONCATENATE("'",HLOOKUP(P$1,$B$21:$E$23,3,FALSE),"'!",$B$25,ROW($A11)+5))*About!$A$27</f>
        <v>#VALUE!</v>
      </c>
      <c r="Q11" t="e" cm="1">
        <f t="array" aca="1" ref="Q11" ca="1">TREND($K11:$P11,$K$1:$P$1,Q$1)</f>
        <v>#VALUE!</v>
      </c>
      <c r="R11" t="e" cm="1">
        <f t="array" aca="1" ref="R11" ca="1">TREND($K11:$P11,$K$1:$P$1,R$1)</f>
        <v>#VALUE!</v>
      </c>
      <c r="S11" t="e" cm="1">
        <f t="array" aca="1" ref="S11" ca="1">TREND($K11:$P11,$K$1:$P$1,S$1)</f>
        <v>#VALUE!</v>
      </c>
      <c r="T11" t="e" cm="1">
        <f t="array" aca="1" ref="T11" ca="1">TREND($K11:$P11,$K$1:$P$1,T$1)</f>
        <v>#VALUE!</v>
      </c>
      <c r="U11" t="e" cm="1">
        <f t="array" aca="1" ref="U11" ca="1">TREND($K11:$P11,$K$1:$P$1,U$1)</f>
        <v>#VALUE!</v>
      </c>
      <c r="V11" t="e" cm="1">
        <f t="array" aca="1" ref="V11" ca="1">TREND($K11:$P11,$K$1:$P$1,V$1)</f>
        <v>#VALUE!</v>
      </c>
      <c r="W11" t="e" cm="1">
        <f t="array" aca="1" ref="W11" ca="1">TREND($K11:$P11,$K$1:$P$1,W$1)</f>
        <v>#VALUE!</v>
      </c>
      <c r="X11" t="e" cm="1">
        <f t="array" aca="1" ref="X11" ca="1">TREND($K11:$P11,$K$1:$P$1,X$1)</f>
        <v>#VALUE!</v>
      </c>
      <c r="Y11" t="e" cm="1">
        <f t="array" aca="1" ref="Y11" ca="1">TREND($K11:$P11,$K$1:$P$1,Y$1)</f>
        <v>#VALUE!</v>
      </c>
      <c r="Z11" t="e" cm="1">
        <f t="array" aca="1" ref="Z11" ca="1">TREND($K11:$P11,$K$1:$P$1,Z$1)</f>
        <v>#VALUE!</v>
      </c>
      <c r="AA11" t="e" cm="1">
        <f t="array" aca="1" ref="AA11" ca="1">TREND($K11:$P11,$K$1:$P$1,AA$1)</f>
        <v>#VALUE!</v>
      </c>
      <c r="AB11" t="e" cm="1">
        <f t="array" aca="1" ref="AB11" ca="1">TREND($K11:$P11,$K$1:$P$1,AB$1)</f>
        <v>#VALUE!</v>
      </c>
      <c r="AC11" t="e" cm="1">
        <f t="array" aca="1" ref="AC11" ca="1">TREND($K11:$P11,$K$1:$P$1,AC$1)</f>
        <v>#VALUE!</v>
      </c>
      <c r="AD11" t="e" cm="1">
        <f t="array" aca="1" ref="AD11" ca="1">TREND($K11:$P11,$K$1:$P$1,AD$1)</f>
        <v>#VALUE!</v>
      </c>
      <c r="AE11" t="e" cm="1">
        <f t="array" aca="1" ref="AE11" ca="1">TREND($K11:$P11,$K$1:$P$1,AE$1)</f>
        <v>#VALUE!</v>
      </c>
      <c r="AF11" t="e" cm="1">
        <f t="array" aca="1" ref="AF11" ca="1">TREND($K11:$P11,$K$1:$P$1,AF$1)</f>
        <v>#VALUE!</v>
      </c>
      <c r="AG11" t="e" cm="1">
        <f t="array" aca="1" ref="AG11" ca="1">TREND($K11:$P11,$K$1:$P$1,AG$1)</f>
        <v>#VALUE!</v>
      </c>
      <c r="AH11" t="e" cm="1">
        <f t="array" aca="1" ref="AH11" ca="1">TREND($K11:$P11,$K$1:$P$1,AH$1)</f>
        <v>#VALUE!</v>
      </c>
      <c r="AI11" t="e" cm="1">
        <f t="array" aca="1" ref="AI11" ca="1">TREND($K11:$P11,$K$1:$P$1,AI$1)</f>
        <v>#VALUE!</v>
      </c>
      <c r="AJ11" t="e" cm="1">
        <f t="array" aca="1" ref="AJ11" ca="1">TREND($K11:$P11,$K$1:$P$1,AJ$1)</f>
        <v>#VALUE!</v>
      </c>
    </row>
    <row r="12" spans="1:36">
      <c r="A12" t="s">
        <v>85</v>
      </c>
      <c r="B12" s="33" t="e">
        <f ca="1">SUM(INDIRECT(CONCATENATE("'",HLOOKUP(B$1,$B$21:$E$23,3,FALSE),"'!",$B$25,ROW($A12)+5,":",$B$25,ROW($A12)+6)))*About!$A$27</f>
        <v>#VALUE!</v>
      </c>
      <c r="C12" t="e">
        <f t="shared" ca="1" si="3"/>
        <v>#VALUE!</v>
      </c>
      <c r="D12" t="e">
        <f t="shared" ca="1" si="0"/>
        <v>#VALUE!</v>
      </c>
      <c r="E12" t="e">
        <f t="shared" ca="1" si="0"/>
        <v>#VALUE!</v>
      </c>
      <c r="F12" s="33" t="e">
        <f ca="1">SUM(INDIRECT(CONCATENATE("'",HLOOKUP(F$1,$B$21:$E$23,3,FALSE),"'!",$B$25,ROW($A12)+5,":",$B$25,ROW($A12)+6)))*About!$A$27</f>
        <v>#VALUE!</v>
      </c>
      <c r="G12" t="e">
        <f t="shared" ca="1" si="4"/>
        <v>#VALUE!</v>
      </c>
      <c r="H12" t="e">
        <f t="shared" ca="1" si="1"/>
        <v>#VALUE!</v>
      </c>
      <c r="I12" t="e">
        <f t="shared" ca="1" si="1"/>
        <v>#VALUE!</v>
      </c>
      <c r="J12" t="e">
        <f t="shared" ca="1" si="1"/>
        <v>#VALUE!</v>
      </c>
      <c r="K12" s="33" t="e">
        <f ca="1">SUM(INDIRECT(CONCATENATE("'",HLOOKUP(K$1,$B$21:$E$23,3,FALSE),"'!",$B$25,ROW($A12)+5,":",$B$25,ROW($A12)+6)))*About!$A$27</f>
        <v>#VALUE!</v>
      </c>
      <c r="L12" t="e">
        <f t="shared" ca="1" si="5"/>
        <v>#VALUE!</v>
      </c>
      <c r="M12" t="e">
        <f t="shared" ca="1" si="2"/>
        <v>#VALUE!</v>
      </c>
      <c r="N12" t="e">
        <f t="shared" ca="1" si="2"/>
        <v>#VALUE!</v>
      </c>
      <c r="O12" t="e">
        <f t="shared" ca="1" si="2"/>
        <v>#VALUE!</v>
      </c>
      <c r="P12" s="33" t="e">
        <f ca="1">SUM(INDIRECT(CONCATENATE("'",HLOOKUP(P$1,$B$21:$E$23,3,FALSE),"'!",$B$25,ROW($A12)+5,":",$B$25,ROW($A12)+6)))*About!$A$27</f>
        <v>#VALUE!</v>
      </c>
      <c r="Q12" t="e" cm="1">
        <f t="array" aca="1" ref="Q12" ca="1">TREND($K12:$P12,$K$1:$P$1,Q$1)</f>
        <v>#VALUE!</v>
      </c>
      <c r="R12" t="e" cm="1">
        <f t="array" aca="1" ref="R12" ca="1">TREND($K12:$P12,$K$1:$P$1,R$1)</f>
        <v>#VALUE!</v>
      </c>
      <c r="S12" t="e" cm="1">
        <f t="array" aca="1" ref="S12" ca="1">TREND($K12:$P12,$K$1:$P$1,S$1)</f>
        <v>#VALUE!</v>
      </c>
      <c r="T12" t="e" cm="1">
        <f t="array" aca="1" ref="T12" ca="1">TREND($K12:$P12,$K$1:$P$1,T$1)</f>
        <v>#VALUE!</v>
      </c>
      <c r="U12" t="e" cm="1">
        <f t="array" aca="1" ref="U12" ca="1">TREND($K12:$P12,$K$1:$P$1,U$1)</f>
        <v>#VALUE!</v>
      </c>
      <c r="V12" t="e" cm="1">
        <f t="array" aca="1" ref="V12" ca="1">TREND($K12:$P12,$K$1:$P$1,V$1)</f>
        <v>#VALUE!</v>
      </c>
      <c r="W12" t="e" cm="1">
        <f t="array" aca="1" ref="W12" ca="1">TREND($K12:$P12,$K$1:$P$1,W$1)</f>
        <v>#VALUE!</v>
      </c>
      <c r="X12" t="e" cm="1">
        <f t="array" aca="1" ref="X12" ca="1">TREND($K12:$P12,$K$1:$P$1,X$1)</f>
        <v>#VALUE!</v>
      </c>
      <c r="Y12" t="e" cm="1">
        <f t="array" aca="1" ref="Y12" ca="1">TREND($K12:$P12,$K$1:$P$1,Y$1)</f>
        <v>#VALUE!</v>
      </c>
      <c r="Z12" t="e" cm="1">
        <f t="array" aca="1" ref="Z12" ca="1">TREND($K12:$P12,$K$1:$P$1,Z$1)</f>
        <v>#VALUE!</v>
      </c>
      <c r="AA12" t="e" cm="1">
        <f t="array" aca="1" ref="AA12" ca="1">TREND($K12:$P12,$K$1:$P$1,AA$1)</f>
        <v>#VALUE!</v>
      </c>
      <c r="AB12" t="e" cm="1">
        <f t="array" aca="1" ref="AB12" ca="1">TREND($K12:$P12,$K$1:$P$1,AB$1)</f>
        <v>#VALUE!</v>
      </c>
      <c r="AC12" t="e" cm="1">
        <f t="array" aca="1" ref="AC12" ca="1">TREND($K12:$P12,$K$1:$P$1,AC$1)</f>
        <v>#VALUE!</v>
      </c>
      <c r="AD12" t="e" cm="1">
        <f t="array" aca="1" ref="AD12" ca="1">TREND($K12:$P12,$K$1:$P$1,AD$1)</f>
        <v>#VALUE!</v>
      </c>
      <c r="AE12" t="e" cm="1">
        <f t="array" aca="1" ref="AE12" ca="1">TREND($K12:$P12,$K$1:$P$1,AE$1)</f>
        <v>#VALUE!</v>
      </c>
      <c r="AF12" t="e" cm="1">
        <f t="array" aca="1" ref="AF12" ca="1">TREND($K12:$P12,$K$1:$P$1,AF$1)</f>
        <v>#VALUE!</v>
      </c>
      <c r="AG12" t="e" cm="1">
        <f t="array" aca="1" ref="AG12" ca="1">TREND($K12:$P12,$K$1:$P$1,AG$1)</f>
        <v>#VALUE!</v>
      </c>
      <c r="AH12" t="e" cm="1">
        <f t="array" aca="1" ref="AH12" ca="1">TREND($K12:$P12,$K$1:$P$1,AH$1)</f>
        <v>#VALUE!</v>
      </c>
      <c r="AI12" t="e" cm="1">
        <f t="array" aca="1" ref="AI12" ca="1">TREND($K12:$P12,$K$1:$P$1,AI$1)</f>
        <v>#VALUE!</v>
      </c>
      <c r="AJ12" t="e" cm="1">
        <f t="array" aca="1" ref="AJ12" ca="1">TREND($K12:$P12,$K$1:$P$1,AJ$1)</f>
        <v>#VALUE!</v>
      </c>
    </row>
    <row r="16" spans="1:36">
      <c r="A16" s="20" t="s">
        <v>86</v>
      </c>
      <c r="B16" s="21"/>
      <c r="C16" s="21"/>
      <c r="D16" s="21"/>
    </row>
    <row r="17" spans="1:5">
      <c r="A17" t="s">
        <v>87</v>
      </c>
      <c r="B17" t="e" cm="1">
        <f t="array" aca="1" ref="B17" ca="1">MID(CELL("filename",A17),FIND("]",CELL("filename",A17))+1,255)</f>
        <v>#VALUE!</v>
      </c>
    </row>
    <row r="18" spans="1:5">
      <c r="A18" t="s">
        <v>88</v>
      </c>
      <c r="B18" t="e">
        <f ca="1">RIGHT(B17,LEN(B17)-7)</f>
        <v>#VALUE!</v>
      </c>
    </row>
    <row r="19" spans="1:5">
      <c r="A19" t="s">
        <v>89</v>
      </c>
      <c r="B19" t="e">
        <f ca="1">LEFT(B18,FIND("-",B18)-1)</f>
        <v>#VALUE!</v>
      </c>
    </row>
    <row r="20" spans="1:5">
      <c r="A20" t="s">
        <v>90</v>
      </c>
      <c r="B20" t="e">
        <f ca="1">VLOOKUP($B$19,Mappings!$A$22:$B$26,COLUMN(Mappings!$B$21),FALSE)</f>
        <v>#VALUE!</v>
      </c>
    </row>
    <row r="21" spans="1:5">
      <c r="A21" s="23"/>
      <c r="B21" s="24">
        <v>2016</v>
      </c>
      <c r="C21" s="24">
        <v>2020</v>
      </c>
      <c r="D21" s="24">
        <v>2025</v>
      </c>
      <c r="E21" s="25">
        <v>2030</v>
      </c>
    </row>
    <row r="22" spans="1:5">
      <c r="A22" s="26" t="s">
        <v>91</v>
      </c>
      <c r="B22" s="2" t="e">
        <f ca="1">VLOOKUP($B$20,Mappings!$A$3:$E$19,COLUMN(Mappings!B$2),FALSE)</f>
        <v>#VALUE!</v>
      </c>
      <c r="C22" s="2" t="e">
        <f ca="1">VLOOKUP($B$20,Mappings!$A$3:$E$19,COLUMN(Mappings!C$2),FALSE)</f>
        <v>#VALUE!</v>
      </c>
      <c r="D22" s="2" t="e">
        <f ca="1">VLOOKUP($B$20,Mappings!$A$3:$E$19,COLUMN(Mappings!D$2),FALSE)</f>
        <v>#VALUE!</v>
      </c>
      <c r="E22" s="27" t="e">
        <f ca="1">VLOOKUP($B$20,Mappings!$A$3:$E$19,COLUMN(Mappings!E$2),FALSE)</f>
        <v>#VALUE!</v>
      </c>
    </row>
    <row r="23" spans="1:5">
      <c r="A23" s="28" t="s">
        <v>87</v>
      </c>
      <c r="B23" s="29" t="e">
        <f ca="1">CONCATENATE("Table ",B22)</f>
        <v>#VALUE!</v>
      </c>
      <c r="C23" s="29" t="e">
        <f ca="1">CONCATENATE("Table ",C22)</f>
        <v>#VALUE!</v>
      </c>
      <c r="D23" s="29" t="e">
        <f ca="1">CONCATENATE("Table ",D22)</f>
        <v>#VALUE!</v>
      </c>
      <c r="E23" s="30" t="e">
        <f ca="1">CONCATENATE("Table ",E22)</f>
        <v>#VALUE!</v>
      </c>
    </row>
    <row r="24" spans="1:5">
      <c r="A24" t="s">
        <v>92</v>
      </c>
      <c r="B24" t="e">
        <f ca="1">REPLACE(B18,1,FIND("-",B18),"")</f>
        <v>#VALUE!</v>
      </c>
    </row>
    <row r="25" spans="1:5">
      <c r="A25" t="s">
        <v>93</v>
      </c>
      <c r="B25" s="2" t="e">
        <f ca="1">VLOOKUP($B$24,Mappings!$A$29:$B$31,COLUMN(Mappings!$B$29),FALSE)</f>
        <v>#VALUE!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92EC1-04D2-4053-8674-0DBD4D41DFB5}">
  <sheetPr>
    <tabColor theme="4" tint="-0.249977111117893"/>
  </sheetPr>
  <dimension ref="A1:AJ25"/>
  <sheetViews>
    <sheetView workbookViewId="0"/>
  </sheetViews>
  <sheetFormatPr defaultColWidth="8.7109375" defaultRowHeight="14.45"/>
  <cols>
    <col min="1" max="1" width="33.7109375" customWidth="1"/>
  </cols>
  <sheetData>
    <row r="1" spans="1:36" s="1" customFormat="1">
      <c r="A1" s="22" t="s">
        <v>74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>
      <c r="A2" t="s">
        <v>75</v>
      </c>
      <c r="B2" s="31" t="e" cm="1">
        <f t="array" aca="1" ref="B2" ca="1">INDIRECT(CONCATENATE("'",HLOOKUP(B$1,$B$21:$E$23,3,FALSE),"'!",$B$25,ROW($A2)+3))*About!$A$27</f>
        <v>#VALUE!</v>
      </c>
      <c r="C2" t="e">
        <f ca="1">$B2+($F2-$B2)*(C$1-$B$1)/($F$1-$B$1)</f>
        <v>#VALUE!</v>
      </c>
      <c r="D2" t="e">
        <f t="shared" ref="D2:E12" ca="1" si="0">$B2+($F2-$B2)*(D$1-$B$1)/($F$1-$B$1)</f>
        <v>#VALUE!</v>
      </c>
      <c r="E2" t="e">
        <f t="shared" ca="1" si="0"/>
        <v>#VALUE!</v>
      </c>
      <c r="F2" s="31" t="e" cm="1">
        <f t="array" aca="1" ref="F2" ca="1">INDIRECT(CONCATENATE("'",HLOOKUP(F$1,$B$21:$E$23,3,FALSE),"'!",$B$25,ROW($A2)+3))*About!$A$27</f>
        <v>#VALUE!</v>
      </c>
      <c r="G2" t="e">
        <f ca="1">$F2+($K2-$F2)*(G$1-$F$1)/($K$1-$F$1)</f>
        <v>#VALUE!</v>
      </c>
      <c r="H2" t="e">
        <f t="shared" ref="H2:J12" ca="1" si="1">$F2+($K2-$F2)*(H$1-$F$1)/($K$1-$F$1)</f>
        <v>#VALUE!</v>
      </c>
      <c r="I2" t="e">
        <f t="shared" ca="1" si="1"/>
        <v>#VALUE!</v>
      </c>
      <c r="J2" t="e">
        <f t="shared" ca="1" si="1"/>
        <v>#VALUE!</v>
      </c>
      <c r="K2" s="31" t="e" cm="1">
        <f t="array" aca="1" ref="K2" ca="1">INDIRECT(CONCATENATE("'",HLOOKUP(K$1,$B$21:$E$23,3,FALSE),"'!",$B$25,ROW($A2)+3))*About!$A$27</f>
        <v>#VALUE!</v>
      </c>
      <c r="L2" t="e">
        <f ca="1">$K2+($P2-$K2)*(L$1-$K$1)/($P$1-$K$1)</f>
        <v>#VALUE!</v>
      </c>
      <c r="M2" t="e">
        <f t="shared" ref="M2:O12" ca="1" si="2">$K2+($P2-$K2)*(M$1-$K$1)/($P$1-$K$1)</f>
        <v>#VALUE!</v>
      </c>
      <c r="N2" t="e">
        <f t="shared" ca="1" si="2"/>
        <v>#VALUE!</v>
      </c>
      <c r="O2" t="e">
        <f t="shared" ca="1" si="2"/>
        <v>#VALUE!</v>
      </c>
      <c r="P2" s="31" t="e" cm="1">
        <f t="array" aca="1" ref="P2" ca="1">INDIRECT(CONCATENATE("'",HLOOKUP(P$1,$B$21:$E$23,3,FALSE),"'!",$B$25,ROW($A2)+3))*About!$A$27</f>
        <v>#VALUE!</v>
      </c>
      <c r="Q2" t="e" cm="1">
        <f t="array" aca="1" ref="Q2" ca="1">TREND($K2:$P2,$K$1:$P$1,Q$1)</f>
        <v>#VALUE!</v>
      </c>
      <c r="R2" t="e" cm="1">
        <f t="array" aca="1" ref="R2" ca="1">TREND($K2:$P2,$K$1:$P$1,R$1)</f>
        <v>#VALUE!</v>
      </c>
      <c r="S2" t="e" cm="1">
        <f t="array" aca="1" ref="S2" ca="1">TREND($K2:$P2,$K$1:$P$1,S$1)</f>
        <v>#VALUE!</v>
      </c>
      <c r="T2" t="e" cm="1">
        <f t="array" aca="1" ref="T2" ca="1">TREND($K2:$P2,$K$1:$P$1,T$1)</f>
        <v>#VALUE!</v>
      </c>
      <c r="U2" t="e" cm="1">
        <f t="array" aca="1" ref="U2" ca="1">TREND($K2:$P2,$K$1:$P$1,U$1)</f>
        <v>#VALUE!</v>
      </c>
      <c r="V2" t="e" cm="1">
        <f t="array" aca="1" ref="V2" ca="1">TREND($K2:$P2,$K$1:$P$1,V$1)</f>
        <v>#VALUE!</v>
      </c>
      <c r="W2" t="e" cm="1">
        <f t="array" aca="1" ref="W2" ca="1">TREND($K2:$P2,$K$1:$P$1,W$1)</f>
        <v>#VALUE!</v>
      </c>
      <c r="X2" t="e" cm="1">
        <f t="array" aca="1" ref="X2" ca="1">TREND($K2:$P2,$K$1:$P$1,X$1)</f>
        <v>#VALUE!</v>
      </c>
      <c r="Y2" t="e" cm="1">
        <f t="array" aca="1" ref="Y2" ca="1">TREND($K2:$P2,$K$1:$P$1,Y$1)</f>
        <v>#VALUE!</v>
      </c>
      <c r="Z2" t="e" cm="1">
        <f t="array" aca="1" ref="Z2" ca="1">TREND($K2:$P2,$K$1:$P$1,Z$1)</f>
        <v>#VALUE!</v>
      </c>
      <c r="AA2" t="e" cm="1">
        <f t="array" aca="1" ref="AA2" ca="1">TREND($K2:$P2,$K$1:$P$1,AA$1)</f>
        <v>#VALUE!</v>
      </c>
      <c r="AB2" t="e" cm="1">
        <f t="array" aca="1" ref="AB2" ca="1">TREND($K2:$P2,$K$1:$P$1,AB$1)</f>
        <v>#VALUE!</v>
      </c>
      <c r="AC2" t="e" cm="1">
        <f t="array" aca="1" ref="AC2" ca="1">TREND($K2:$P2,$K$1:$P$1,AC$1)</f>
        <v>#VALUE!</v>
      </c>
      <c r="AD2" t="e" cm="1">
        <f t="array" aca="1" ref="AD2" ca="1">TREND($K2:$P2,$K$1:$P$1,AD$1)</f>
        <v>#VALUE!</v>
      </c>
      <c r="AE2" t="e" cm="1">
        <f t="array" aca="1" ref="AE2" ca="1">TREND($K2:$P2,$K$1:$P$1,AE$1)</f>
        <v>#VALUE!</v>
      </c>
      <c r="AF2" t="e" cm="1">
        <f t="array" aca="1" ref="AF2" ca="1">TREND($K2:$P2,$K$1:$P$1,AF$1)</f>
        <v>#VALUE!</v>
      </c>
      <c r="AG2" t="e" cm="1">
        <f t="array" aca="1" ref="AG2" ca="1">TREND($K2:$P2,$K$1:$P$1,AG$1)</f>
        <v>#VALUE!</v>
      </c>
      <c r="AH2" t="e" cm="1">
        <f t="array" aca="1" ref="AH2" ca="1">TREND($K2:$P2,$K$1:$P$1,AH$1)</f>
        <v>#VALUE!</v>
      </c>
      <c r="AI2" t="e" cm="1">
        <f t="array" aca="1" ref="AI2" ca="1">TREND($K2:$P2,$K$1:$P$1,AI$1)</f>
        <v>#VALUE!</v>
      </c>
      <c r="AJ2" t="e" cm="1">
        <f t="array" aca="1" ref="AJ2" ca="1">TREND($K2:$P2,$K$1:$P$1,AJ$1)</f>
        <v>#VALUE!</v>
      </c>
    </row>
    <row r="3" spans="1:36">
      <c r="A3" t="s">
        <v>76</v>
      </c>
      <c r="B3" s="32" t="e" cm="1">
        <f t="array" aca="1" ref="B3" ca="1">INDIRECT(CONCATENATE("'",HLOOKUP(B$1,$B$21:$E$23,3,FALSE),"'!",$B$25,ROW($A3)+5))*About!$A$27</f>
        <v>#VALUE!</v>
      </c>
      <c r="C3" t="e">
        <f t="shared" ref="C3:C12" ca="1" si="3">$B3+($F3-$B3)*(C$1-$B$1)/($F$1-$B$1)</f>
        <v>#VALUE!</v>
      </c>
      <c r="D3" t="e">
        <f t="shared" ca="1" si="0"/>
        <v>#VALUE!</v>
      </c>
      <c r="E3" t="e">
        <f t="shared" ca="1" si="0"/>
        <v>#VALUE!</v>
      </c>
      <c r="F3" s="32" t="e" cm="1">
        <f t="array" aca="1" ref="F3" ca="1">INDIRECT(CONCATENATE("'",HLOOKUP(F$1,$B$21:$E$23,3,FALSE),"'!",$B$25,ROW($A3)+5))*About!$A$27</f>
        <v>#VALUE!</v>
      </c>
      <c r="G3" t="e">
        <f t="shared" ref="G3:G12" ca="1" si="4">$F3+($K3-$F3)*(G$1-$F$1)/($K$1-$F$1)</f>
        <v>#VALUE!</v>
      </c>
      <c r="H3" t="e">
        <f t="shared" ca="1" si="1"/>
        <v>#VALUE!</v>
      </c>
      <c r="I3" t="e">
        <f t="shared" ca="1" si="1"/>
        <v>#VALUE!</v>
      </c>
      <c r="J3" t="e">
        <f t="shared" ca="1" si="1"/>
        <v>#VALUE!</v>
      </c>
      <c r="K3" s="32" t="e" cm="1">
        <f t="array" aca="1" ref="K3" ca="1">INDIRECT(CONCATENATE("'",HLOOKUP(K$1,$B$21:$E$23,3,FALSE),"'!",$B$25,ROW($A3)+5))*About!$A$27</f>
        <v>#VALUE!</v>
      </c>
      <c r="L3" t="e">
        <f t="shared" ref="L3:L12" ca="1" si="5">$K3+($P3-$K3)*(L$1-$K$1)/($P$1-$K$1)</f>
        <v>#VALUE!</v>
      </c>
      <c r="M3" t="e">
        <f t="shared" ca="1" si="2"/>
        <v>#VALUE!</v>
      </c>
      <c r="N3" t="e">
        <f t="shared" ca="1" si="2"/>
        <v>#VALUE!</v>
      </c>
      <c r="O3" t="e">
        <f t="shared" ca="1" si="2"/>
        <v>#VALUE!</v>
      </c>
      <c r="P3" s="32" t="e" cm="1">
        <f t="array" aca="1" ref="P3" ca="1">INDIRECT(CONCATENATE("'",HLOOKUP(P$1,$B$21:$E$23,3,FALSE),"'!",$B$25,ROW($A3)+5))*About!$A$27</f>
        <v>#VALUE!</v>
      </c>
      <c r="Q3" t="e" cm="1">
        <f t="array" aca="1" ref="Q3" ca="1">TREND($K3:$P3,$K$1:$P$1,Q$1)</f>
        <v>#VALUE!</v>
      </c>
      <c r="R3" t="e" cm="1">
        <f t="array" aca="1" ref="R3" ca="1">TREND($K3:$P3,$K$1:$P$1,R$1)</f>
        <v>#VALUE!</v>
      </c>
      <c r="S3" t="e" cm="1">
        <f t="array" aca="1" ref="S3" ca="1">TREND($K3:$P3,$K$1:$P$1,S$1)</f>
        <v>#VALUE!</v>
      </c>
      <c r="T3" t="e" cm="1">
        <f t="array" aca="1" ref="T3" ca="1">TREND($K3:$P3,$K$1:$P$1,T$1)</f>
        <v>#VALUE!</v>
      </c>
      <c r="U3" t="e" cm="1">
        <f t="array" aca="1" ref="U3" ca="1">TREND($K3:$P3,$K$1:$P$1,U$1)</f>
        <v>#VALUE!</v>
      </c>
      <c r="V3" t="e" cm="1">
        <f t="array" aca="1" ref="V3" ca="1">TREND($K3:$P3,$K$1:$P$1,V$1)</f>
        <v>#VALUE!</v>
      </c>
      <c r="W3" t="e" cm="1">
        <f t="array" aca="1" ref="W3" ca="1">TREND($K3:$P3,$K$1:$P$1,W$1)</f>
        <v>#VALUE!</v>
      </c>
      <c r="X3" t="e" cm="1">
        <f t="array" aca="1" ref="X3" ca="1">TREND($K3:$P3,$K$1:$P$1,X$1)</f>
        <v>#VALUE!</v>
      </c>
      <c r="Y3" t="e" cm="1">
        <f t="array" aca="1" ref="Y3" ca="1">TREND($K3:$P3,$K$1:$P$1,Y$1)</f>
        <v>#VALUE!</v>
      </c>
      <c r="Z3" t="e" cm="1">
        <f t="array" aca="1" ref="Z3" ca="1">TREND($K3:$P3,$K$1:$P$1,Z$1)</f>
        <v>#VALUE!</v>
      </c>
      <c r="AA3" t="e" cm="1">
        <f t="array" aca="1" ref="AA3" ca="1">TREND($K3:$P3,$K$1:$P$1,AA$1)</f>
        <v>#VALUE!</v>
      </c>
      <c r="AB3" t="e" cm="1">
        <f t="array" aca="1" ref="AB3" ca="1">TREND($K3:$P3,$K$1:$P$1,AB$1)</f>
        <v>#VALUE!</v>
      </c>
      <c r="AC3" t="e" cm="1">
        <f t="array" aca="1" ref="AC3" ca="1">TREND($K3:$P3,$K$1:$P$1,AC$1)</f>
        <v>#VALUE!</v>
      </c>
      <c r="AD3" t="e" cm="1">
        <f t="array" aca="1" ref="AD3" ca="1">TREND($K3:$P3,$K$1:$P$1,AD$1)</f>
        <v>#VALUE!</v>
      </c>
      <c r="AE3" t="e" cm="1">
        <f t="array" aca="1" ref="AE3" ca="1">TREND($K3:$P3,$K$1:$P$1,AE$1)</f>
        <v>#VALUE!</v>
      </c>
      <c r="AF3" t="e" cm="1">
        <f t="array" aca="1" ref="AF3" ca="1">TREND($K3:$P3,$K$1:$P$1,AF$1)</f>
        <v>#VALUE!</v>
      </c>
      <c r="AG3" t="e" cm="1">
        <f t="array" aca="1" ref="AG3" ca="1">TREND($K3:$P3,$K$1:$P$1,AG$1)</f>
        <v>#VALUE!</v>
      </c>
      <c r="AH3" t="e" cm="1">
        <f t="array" aca="1" ref="AH3" ca="1">TREND($K3:$P3,$K$1:$P$1,AH$1)</f>
        <v>#VALUE!</v>
      </c>
      <c r="AI3" t="e" cm="1">
        <f t="array" aca="1" ref="AI3" ca="1">TREND($K3:$P3,$K$1:$P$1,AI$1)</f>
        <v>#VALUE!</v>
      </c>
      <c r="AJ3" t="e" cm="1">
        <f t="array" aca="1" ref="AJ3" ca="1">TREND($K3:$P3,$K$1:$P$1,AJ$1)</f>
        <v>#VALUE!</v>
      </c>
    </row>
    <row r="4" spans="1:36">
      <c r="A4" t="s">
        <v>77</v>
      </c>
      <c r="B4" s="32" t="e" cm="1">
        <f t="array" aca="1" ref="B4" ca="1">INDIRECT(CONCATENATE("'",HLOOKUP(B$1,$B$21:$E$23,3,FALSE),"'!",$B$25,ROW($A4)+5))*About!$A$27</f>
        <v>#VALUE!</v>
      </c>
      <c r="C4" t="e">
        <f t="shared" ca="1" si="3"/>
        <v>#VALUE!</v>
      </c>
      <c r="D4" t="e">
        <f t="shared" ca="1" si="0"/>
        <v>#VALUE!</v>
      </c>
      <c r="E4" t="e">
        <f t="shared" ca="1" si="0"/>
        <v>#VALUE!</v>
      </c>
      <c r="F4" s="32" t="e" cm="1">
        <f t="array" aca="1" ref="F4" ca="1">INDIRECT(CONCATENATE("'",HLOOKUP(F$1,$B$21:$E$23,3,FALSE),"'!",$B$25,ROW($A4)+5))*About!$A$27</f>
        <v>#VALUE!</v>
      </c>
      <c r="G4" t="e">
        <f t="shared" ca="1" si="4"/>
        <v>#VALUE!</v>
      </c>
      <c r="H4" t="e">
        <f t="shared" ca="1" si="1"/>
        <v>#VALUE!</v>
      </c>
      <c r="I4" t="e">
        <f t="shared" ca="1" si="1"/>
        <v>#VALUE!</v>
      </c>
      <c r="J4" t="e">
        <f t="shared" ca="1" si="1"/>
        <v>#VALUE!</v>
      </c>
      <c r="K4" s="32" t="e" cm="1">
        <f t="array" aca="1" ref="K4" ca="1">INDIRECT(CONCATENATE("'",HLOOKUP(K$1,$B$21:$E$23,3,FALSE),"'!",$B$25,ROW($A4)+5))*About!$A$27</f>
        <v>#VALUE!</v>
      </c>
      <c r="L4" t="e">
        <f t="shared" ca="1" si="5"/>
        <v>#VALUE!</v>
      </c>
      <c r="M4" t="e">
        <f t="shared" ca="1" si="2"/>
        <v>#VALUE!</v>
      </c>
      <c r="N4" t="e">
        <f t="shared" ca="1" si="2"/>
        <v>#VALUE!</v>
      </c>
      <c r="O4" t="e">
        <f t="shared" ca="1" si="2"/>
        <v>#VALUE!</v>
      </c>
      <c r="P4" s="32" t="e" cm="1">
        <f t="array" aca="1" ref="P4" ca="1">INDIRECT(CONCATENATE("'",HLOOKUP(P$1,$B$21:$E$23,3,FALSE),"'!",$B$25,ROW($A4)+5))*About!$A$27</f>
        <v>#VALUE!</v>
      </c>
      <c r="Q4" t="e" cm="1">
        <f t="array" aca="1" ref="Q4" ca="1">TREND($K4:$P4,$K$1:$P$1,Q$1)</f>
        <v>#VALUE!</v>
      </c>
      <c r="R4" t="e" cm="1">
        <f t="array" aca="1" ref="R4" ca="1">TREND($K4:$P4,$K$1:$P$1,R$1)</f>
        <v>#VALUE!</v>
      </c>
      <c r="S4" t="e" cm="1">
        <f t="array" aca="1" ref="S4" ca="1">TREND($K4:$P4,$K$1:$P$1,S$1)</f>
        <v>#VALUE!</v>
      </c>
      <c r="T4" t="e" cm="1">
        <f t="array" aca="1" ref="T4" ca="1">TREND($K4:$P4,$K$1:$P$1,T$1)</f>
        <v>#VALUE!</v>
      </c>
      <c r="U4" t="e" cm="1">
        <f t="array" aca="1" ref="U4" ca="1">TREND($K4:$P4,$K$1:$P$1,U$1)</f>
        <v>#VALUE!</v>
      </c>
      <c r="V4" t="e" cm="1">
        <f t="array" aca="1" ref="V4" ca="1">TREND($K4:$P4,$K$1:$P$1,V$1)</f>
        <v>#VALUE!</v>
      </c>
      <c r="W4" t="e" cm="1">
        <f t="array" aca="1" ref="W4" ca="1">TREND($K4:$P4,$K$1:$P$1,W$1)</f>
        <v>#VALUE!</v>
      </c>
      <c r="X4" t="e" cm="1">
        <f t="array" aca="1" ref="X4" ca="1">TREND($K4:$P4,$K$1:$P$1,X$1)</f>
        <v>#VALUE!</v>
      </c>
      <c r="Y4" t="e" cm="1">
        <f t="array" aca="1" ref="Y4" ca="1">TREND($K4:$P4,$K$1:$P$1,Y$1)</f>
        <v>#VALUE!</v>
      </c>
      <c r="Z4" t="e" cm="1">
        <f t="array" aca="1" ref="Z4" ca="1">TREND($K4:$P4,$K$1:$P$1,Z$1)</f>
        <v>#VALUE!</v>
      </c>
      <c r="AA4" t="e" cm="1">
        <f t="array" aca="1" ref="AA4" ca="1">TREND($K4:$P4,$K$1:$P$1,AA$1)</f>
        <v>#VALUE!</v>
      </c>
      <c r="AB4" t="e" cm="1">
        <f t="array" aca="1" ref="AB4" ca="1">TREND($K4:$P4,$K$1:$P$1,AB$1)</f>
        <v>#VALUE!</v>
      </c>
      <c r="AC4" t="e" cm="1">
        <f t="array" aca="1" ref="AC4" ca="1">TREND($K4:$P4,$K$1:$P$1,AC$1)</f>
        <v>#VALUE!</v>
      </c>
      <c r="AD4" t="e" cm="1">
        <f t="array" aca="1" ref="AD4" ca="1">TREND($K4:$P4,$K$1:$P$1,AD$1)</f>
        <v>#VALUE!</v>
      </c>
      <c r="AE4" t="e" cm="1">
        <f t="array" aca="1" ref="AE4" ca="1">TREND($K4:$P4,$K$1:$P$1,AE$1)</f>
        <v>#VALUE!</v>
      </c>
      <c r="AF4" t="e" cm="1">
        <f t="array" aca="1" ref="AF4" ca="1">TREND($K4:$P4,$K$1:$P$1,AF$1)</f>
        <v>#VALUE!</v>
      </c>
      <c r="AG4" t="e" cm="1">
        <f t="array" aca="1" ref="AG4" ca="1">TREND($K4:$P4,$K$1:$P$1,AG$1)</f>
        <v>#VALUE!</v>
      </c>
      <c r="AH4" t="e" cm="1">
        <f t="array" aca="1" ref="AH4" ca="1">TREND($K4:$P4,$K$1:$P$1,AH$1)</f>
        <v>#VALUE!</v>
      </c>
      <c r="AI4" t="e" cm="1">
        <f t="array" aca="1" ref="AI4" ca="1">TREND($K4:$P4,$K$1:$P$1,AI$1)</f>
        <v>#VALUE!</v>
      </c>
      <c r="AJ4" t="e" cm="1">
        <f t="array" aca="1" ref="AJ4" ca="1">TREND($K4:$P4,$K$1:$P$1,AJ$1)</f>
        <v>#VALUE!</v>
      </c>
    </row>
    <row r="5" spans="1:36">
      <c r="A5" t="s">
        <v>78</v>
      </c>
      <c r="B5" s="32" t="e" cm="1">
        <f t="array" aca="1" ref="B5" ca="1">INDIRECT(CONCATENATE("'",HLOOKUP(B$1,$B$21:$E$23,3,FALSE),"'!",$B$25,ROW($A5)+5))*About!$A$27</f>
        <v>#VALUE!</v>
      </c>
      <c r="C5" t="e">
        <f t="shared" ca="1" si="3"/>
        <v>#VALUE!</v>
      </c>
      <c r="D5" t="e">
        <f t="shared" ca="1" si="0"/>
        <v>#VALUE!</v>
      </c>
      <c r="E5" t="e">
        <f t="shared" ca="1" si="0"/>
        <v>#VALUE!</v>
      </c>
      <c r="F5" s="32" t="e" cm="1">
        <f t="array" aca="1" ref="F5" ca="1">INDIRECT(CONCATENATE("'",HLOOKUP(F$1,$B$21:$E$23,3,FALSE),"'!",$B$25,ROW($A5)+5))*About!$A$27</f>
        <v>#VALUE!</v>
      </c>
      <c r="G5" t="e">
        <f t="shared" ca="1" si="4"/>
        <v>#VALUE!</v>
      </c>
      <c r="H5" t="e">
        <f t="shared" ca="1" si="1"/>
        <v>#VALUE!</v>
      </c>
      <c r="I5" t="e">
        <f t="shared" ca="1" si="1"/>
        <v>#VALUE!</v>
      </c>
      <c r="J5" t="e">
        <f t="shared" ca="1" si="1"/>
        <v>#VALUE!</v>
      </c>
      <c r="K5" s="32" t="e" cm="1">
        <f t="array" aca="1" ref="K5" ca="1">INDIRECT(CONCATENATE("'",HLOOKUP(K$1,$B$21:$E$23,3,FALSE),"'!",$B$25,ROW($A5)+5))*About!$A$27</f>
        <v>#VALUE!</v>
      </c>
      <c r="L5" t="e">
        <f t="shared" ca="1" si="5"/>
        <v>#VALUE!</v>
      </c>
      <c r="M5" t="e">
        <f t="shared" ca="1" si="2"/>
        <v>#VALUE!</v>
      </c>
      <c r="N5" t="e">
        <f t="shared" ca="1" si="2"/>
        <v>#VALUE!</v>
      </c>
      <c r="O5" t="e">
        <f t="shared" ca="1" si="2"/>
        <v>#VALUE!</v>
      </c>
      <c r="P5" s="32" t="e" cm="1">
        <f t="array" aca="1" ref="P5" ca="1">INDIRECT(CONCATENATE("'",HLOOKUP(P$1,$B$21:$E$23,3,FALSE),"'!",$B$25,ROW($A5)+5))*About!$A$27</f>
        <v>#VALUE!</v>
      </c>
      <c r="Q5" t="e" cm="1">
        <f t="array" aca="1" ref="Q5" ca="1">TREND($K5:$P5,$K$1:$P$1,Q$1)</f>
        <v>#VALUE!</v>
      </c>
      <c r="R5" t="e" cm="1">
        <f t="array" aca="1" ref="R5" ca="1">TREND($K5:$P5,$K$1:$P$1,R$1)</f>
        <v>#VALUE!</v>
      </c>
      <c r="S5" t="e" cm="1">
        <f t="array" aca="1" ref="S5" ca="1">TREND($K5:$P5,$K$1:$P$1,S$1)</f>
        <v>#VALUE!</v>
      </c>
      <c r="T5" t="e" cm="1">
        <f t="array" aca="1" ref="T5" ca="1">TREND($K5:$P5,$K$1:$P$1,T$1)</f>
        <v>#VALUE!</v>
      </c>
      <c r="U5" t="e" cm="1">
        <f t="array" aca="1" ref="U5" ca="1">TREND($K5:$P5,$K$1:$P$1,U$1)</f>
        <v>#VALUE!</v>
      </c>
      <c r="V5" t="e" cm="1">
        <f t="array" aca="1" ref="V5" ca="1">TREND($K5:$P5,$K$1:$P$1,V$1)</f>
        <v>#VALUE!</v>
      </c>
      <c r="W5" t="e" cm="1">
        <f t="array" aca="1" ref="W5" ca="1">TREND($K5:$P5,$K$1:$P$1,W$1)</f>
        <v>#VALUE!</v>
      </c>
      <c r="X5" t="e" cm="1">
        <f t="array" aca="1" ref="X5" ca="1">TREND($K5:$P5,$K$1:$P$1,X$1)</f>
        <v>#VALUE!</v>
      </c>
      <c r="Y5" t="e" cm="1">
        <f t="array" aca="1" ref="Y5" ca="1">TREND($K5:$P5,$K$1:$P$1,Y$1)</f>
        <v>#VALUE!</v>
      </c>
      <c r="Z5" t="e" cm="1">
        <f t="array" aca="1" ref="Z5" ca="1">TREND($K5:$P5,$K$1:$P$1,Z$1)</f>
        <v>#VALUE!</v>
      </c>
      <c r="AA5" t="e" cm="1">
        <f t="array" aca="1" ref="AA5" ca="1">TREND($K5:$P5,$K$1:$P$1,AA$1)</f>
        <v>#VALUE!</v>
      </c>
      <c r="AB5" t="e" cm="1">
        <f t="array" aca="1" ref="AB5" ca="1">TREND($K5:$P5,$K$1:$P$1,AB$1)</f>
        <v>#VALUE!</v>
      </c>
      <c r="AC5" t="e" cm="1">
        <f t="array" aca="1" ref="AC5" ca="1">TREND($K5:$P5,$K$1:$P$1,AC$1)</f>
        <v>#VALUE!</v>
      </c>
      <c r="AD5" t="e" cm="1">
        <f t="array" aca="1" ref="AD5" ca="1">TREND($K5:$P5,$K$1:$P$1,AD$1)</f>
        <v>#VALUE!</v>
      </c>
      <c r="AE5" t="e" cm="1">
        <f t="array" aca="1" ref="AE5" ca="1">TREND($K5:$P5,$K$1:$P$1,AE$1)</f>
        <v>#VALUE!</v>
      </c>
      <c r="AF5" t="e" cm="1">
        <f t="array" aca="1" ref="AF5" ca="1">TREND($K5:$P5,$K$1:$P$1,AF$1)</f>
        <v>#VALUE!</v>
      </c>
      <c r="AG5" t="e" cm="1">
        <f t="array" aca="1" ref="AG5" ca="1">TREND($K5:$P5,$K$1:$P$1,AG$1)</f>
        <v>#VALUE!</v>
      </c>
      <c r="AH5" t="e" cm="1">
        <f t="array" aca="1" ref="AH5" ca="1">TREND($K5:$P5,$K$1:$P$1,AH$1)</f>
        <v>#VALUE!</v>
      </c>
      <c r="AI5" t="e" cm="1">
        <f t="array" aca="1" ref="AI5" ca="1">TREND($K5:$P5,$K$1:$P$1,AI$1)</f>
        <v>#VALUE!</v>
      </c>
      <c r="AJ5" t="e" cm="1">
        <f t="array" aca="1" ref="AJ5" ca="1">TREND($K5:$P5,$K$1:$P$1,AJ$1)</f>
        <v>#VALUE!</v>
      </c>
    </row>
    <row r="6" spans="1:36">
      <c r="A6" t="s">
        <v>79</v>
      </c>
      <c r="B6" s="32" t="e" cm="1">
        <f t="array" aca="1" ref="B6" ca="1">INDIRECT(CONCATENATE("'",HLOOKUP(B$1,$B$21:$E$23,3,FALSE),"'!",$B$25,ROW($A6)+5))*About!$A$27</f>
        <v>#VALUE!</v>
      </c>
      <c r="C6" t="e">
        <f t="shared" ca="1" si="3"/>
        <v>#VALUE!</v>
      </c>
      <c r="D6" t="e">
        <f t="shared" ca="1" si="0"/>
        <v>#VALUE!</v>
      </c>
      <c r="E6" t="e">
        <f t="shared" ca="1" si="0"/>
        <v>#VALUE!</v>
      </c>
      <c r="F6" s="32" t="e" cm="1">
        <f t="array" aca="1" ref="F6" ca="1">INDIRECT(CONCATENATE("'",HLOOKUP(F$1,$B$21:$E$23,3,FALSE),"'!",$B$25,ROW($A6)+5))*About!$A$27</f>
        <v>#VALUE!</v>
      </c>
      <c r="G6" t="e">
        <f t="shared" ca="1" si="4"/>
        <v>#VALUE!</v>
      </c>
      <c r="H6" t="e">
        <f t="shared" ca="1" si="1"/>
        <v>#VALUE!</v>
      </c>
      <c r="I6" t="e">
        <f t="shared" ca="1" si="1"/>
        <v>#VALUE!</v>
      </c>
      <c r="J6" t="e">
        <f t="shared" ca="1" si="1"/>
        <v>#VALUE!</v>
      </c>
      <c r="K6" s="32" t="e" cm="1">
        <f t="array" aca="1" ref="K6" ca="1">INDIRECT(CONCATENATE("'",HLOOKUP(K$1,$B$21:$E$23,3,FALSE),"'!",$B$25,ROW($A6)+5))*About!$A$27</f>
        <v>#VALUE!</v>
      </c>
      <c r="L6" t="e">
        <f t="shared" ca="1" si="5"/>
        <v>#VALUE!</v>
      </c>
      <c r="M6" t="e">
        <f t="shared" ca="1" si="2"/>
        <v>#VALUE!</v>
      </c>
      <c r="N6" t="e">
        <f t="shared" ca="1" si="2"/>
        <v>#VALUE!</v>
      </c>
      <c r="O6" t="e">
        <f t="shared" ca="1" si="2"/>
        <v>#VALUE!</v>
      </c>
      <c r="P6" s="32" t="e" cm="1">
        <f t="array" aca="1" ref="P6" ca="1">INDIRECT(CONCATENATE("'",HLOOKUP(P$1,$B$21:$E$23,3,FALSE),"'!",$B$25,ROW($A6)+5))*About!$A$27</f>
        <v>#VALUE!</v>
      </c>
      <c r="Q6" t="e" cm="1">
        <f t="array" aca="1" ref="Q6" ca="1">TREND($K6:$P6,$K$1:$P$1,Q$1)</f>
        <v>#VALUE!</v>
      </c>
      <c r="R6" t="e" cm="1">
        <f t="array" aca="1" ref="R6" ca="1">TREND($K6:$P6,$K$1:$P$1,R$1)</f>
        <v>#VALUE!</v>
      </c>
      <c r="S6" t="e" cm="1">
        <f t="array" aca="1" ref="S6" ca="1">TREND($K6:$P6,$K$1:$P$1,S$1)</f>
        <v>#VALUE!</v>
      </c>
      <c r="T6" t="e" cm="1">
        <f t="array" aca="1" ref="T6" ca="1">TREND($K6:$P6,$K$1:$P$1,T$1)</f>
        <v>#VALUE!</v>
      </c>
      <c r="U6" t="e" cm="1">
        <f t="array" aca="1" ref="U6" ca="1">TREND($K6:$P6,$K$1:$P$1,U$1)</f>
        <v>#VALUE!</v>
      </c>
      <c r="V6" t="e" cm="1">
        <f t="array" aca="1" ref="V6" ca="1">TREND($K6:$P6,$K$1:$P$1,V$1)</f>
        <v>#VALUE!</v>
      </c>
      <c r="W6" t="e" cm="1">
        <f t="array" aca="1" ref="W6" ca="1">TREND($K6:$P6,$K$1:$P$1,W$1)</f>
        <v>#VALUE!</v>
      </c>
      <c r="X6" t="e" cm="1">
        <f t="array" aca="1" ref="X6" ca="1">TREND($K6:$P6,$K$1:$P$1,X$1)</f>
        <v>#VALUE!</v>
      </c>
      <c r="Y6" t="e" cm="1">
        <f t="array" aca="1" ref="Y6" ca="1">TREND($K6:$P6,$K$1:$P$1,Y$1)</f>
        <v>#VALUE!</v>
      </c>
      <c r="Z6" t="e" cm="1">
        <f t="array" aca="1" ref="Z6" ca="1">TREND($K6:$P6,$K$1:$P$1,Z$1)</f>
        <v>#VALUE!</v>
      </c>
      <c r="AA6" t="e" cm="1">
        <f t="array" aca="1" ref="AA6" ca="1">TREND($K6:$P6,$K$1:$P$1,AA$1)</f>
        <v>#VALUE!</v>
      </c>
      <c r="AB6" t="e" cm="1">
        <f t="array" aca="1" ref="AB6" ca="1">TREND($K6:$P6,$K$1:$P$1,AB$1)</f>
        <v>#VALUE!</v>
      </c>
      <c r="AC6" t="e" cm="1">
        <f t="array" aca="1" ref="AC6" ca="1">TREND($K6:$P6,$K$1:$P$1,AC$1)</f>
        <v>#VALUE!</v>
      </c>
      <c r="AD6" t="e" cm="1">
        <f t="array" aca="1" ref="AD6" ca="1">TREND($K6:$P6,$K$1:$P$1,AD$1)</f>
        <v>#VALUE!</v>
      </c>
      <c r="AE6" t="e" cm="1">
        <f t="array" aca="1" ref="AE6" ca="1">TREND($K6:$P6,$K$1:$P$1,AE$1)</f>
        <v>#VALUE!</v>
      </c>
      <c r="AF6" t="e" cm="1">
        <f t="array" aca="1" ref="AF6" ca="1">TREND($K6:$P6,$K$1:$P$1,AF$1)</f>
        <v>#VALUE!</v>
      </c>
      <c r="AG6" t="e" cm="1">
        <f t="array" aca="1" ref="AG6" ca="1">TREND($K6:$P6,$K$1:$P$1,AG$1)</f>
        <v>#VALUE!</v>
      </c>
      <c r="AH6" t="e" cm="1">
        <f t="array" aca="1" ref="AH6" ca="1">TREND($K6:$P6,$K$1:$P$1,AH$1)</f>
        <v>#VALUE!</v>
      </c>
      <c r="AI6" t="e" cm="1">
        <f t="array" aca="1" ref="AI6" ca="1">TREND($K6:$P6,$K$1:$P$1,AI$1)</f>
        <v>#VALUE!</v>
      </c>
      <c r="AJ6" t="e" cm="1">
        <f t="array" aca="1" ref="AJ6" ca="1">TREND($K6:$P6,$K$1:$P$1,AJ$1)</f>
        <v>#VALUE!</v>
      </c>
    </row>
    <row r="7" spans="1:36">
      <c r="A7" t="s">
        <v>80</v>
      </c>
      <c r="B7" s="32" t="e" cm="1">
        <f t="array" aca="1" ref="B7" ca="1">INDIRECT(CONCATENATE("'",HLOOKUP(B$1,$B$21:$E$23,3,FALSE),"'!",$B$25,ROW($A7)+5))*About!$A$27</f>
        <v>#VALUE!</v>
      </c>
      <c r="C7" t="e">
        <f t="shared" ca="1" si="3"/>
        <v>#VALUE!</v>
      </c>
      <c r="D7" t="e">
        <f t="shared" ca="1" si="0"/>
        <v>#VALUE!</v>
      </c>
      <c r="E7" t="e">
        <f t="shared" ca="1" si="0"/>
        <v>#VALUE!</v>
      </c>
      <c r="F7" s="32" t="e" cm="1">
        <f t="array" aca="1" ref="F7" ca="1">INDIRECT(CONCATENATE("'",HLOOKUP(F$1,$B$21:$E$23,3,FALSE),"'!",$B$25,ROW($A7)+5))*About!$A$27</f>
        <v>#VALUE!</v>
      </c>
      <c r="G7" t="e">
        <f t="shared" ca="1" si="4"/>
        <v>#VALUE!</v>
      </c>
      <c r="H7" t="e">
        <f t="shared" ca="1" si="1"/>
        <v>#VALUE!</v>
      </c>
      <c r="I7" t="e">
        <f t="shared" ca="1" si="1"/>
        <v>#VALUE!</v>
      </c>
      <c r="J7" t="e">
        <f t="shared" ca="1" si="1"/>
        <v>#VALUE!</v>
      </c>
      <c r="K7" s="32" t="e" cm="1">
        <f t="array" aca="1" ref="K7" ca="1">INDIRECT(CONCATENATE("'",HLOOKUP(K$1,$B$21:$E$23,3,FALSE),"'!",$B$25,ROW($A7)+5))*About!$A$27</f>
        <v>#VALUE!</v>
      </c>
      <c r="L7" t="e">
        <f t="shared" ca="1" si="5"/>
        <v>#VALUE!</v>
      </c>
      <c r="M7" t="e">
        <f t="shared" ca="1" si="2"/>
        <v>#VALUE!</v>
      </c>
      <c r="N7" t="e">
        <f t="shared" ca="1" si="2"/>
        <v>#VALUE!</v>
      </c>
      <c r="O7" t="e">
        <f t="shared" ca="1" si="2"/>
        <v>#VALUE!</v>
      </c>
      <c r="P7" s="32" t="e" cm="1">
        <f t="array" aca="1" ref="P7" ca="1">INDIRECT(CONCATENATE("'",HLOOKUP(P$1,$B$21:$E$23,3,FALSE),"'!",$B$25,ROW($A7)+5))*About!$A$27</f>
        <v>#VALUE!</v>
      </c>
      <c r="Q7" t="e" cm="1">
        <f t="array" aca="1" ref="Q7" ca="1">TREND($K7:$P7,$K$1:$P$1,Q$1)</f>
        <v>#VALUE!</v>
      </c>
      <c r="R7" t="e" cm="1">
        <f t="array" aca="1" ref="R7" ca="1">TREND($K7:$P7,$K$1:$P$1,R$1)</f>
        <v>#VALUE!</v>
      </c>
      <c r="S7" t="e" cm="1">
        <f t="array" aca="1" ref="S7" ca="1">TREND($K7:$P7,$K$1:$P$1,S$1)</f>
        <v>#VALUE!</v>
      </c>
      <c r="T7" t="e" cm="1">
        <f t="array" aca="1" ref="T7" ca="1">TREND($K7:$P7,$K$1:$P$1,T$1)</f>
        <v>#VALUE!</v>
      </c>
      <c r="U7" t="e" cm="1">
        <f t="array" aca="1" ref="U7" ca="1">TREND($K7:$P7,$K$1:$P$1,U$1)</f>
        <v>#VALUE!</v>
      </c>
      <c r="V7" t="e" cm="1">
        <f t="array" aca="1" ref="V7" ca="1">TREND($K7:$P7,$K$1:$P$1,V$1)</f>
        <v>#VALUE!</v>
      </c>
      <c r="W7" t="e" cm="1">
        <f t="array" aca="1" ref="W7" ca="1">TREND($K7:$P7,$K$1:$P$1,W$1)</f>
        <v>#VALUE!</v>
      </c>
      <c r="X7" t="e" cm="1">
        <f t="array" aca="1" ref="X7" ca="1">TREND($K7:$P7,$K$1:$P$1,X$1)</f>
        <v>#VALUE!</v>
      </c>
      <c r="Y7" t="e" cm="1">
        <f t="array" aca="1" ref="Y7" ca="1">TREND($K7:$P7,$K$1:$P$1,Y$1)</f>
        <v>#VALUE!</v>
      </c>
      <c r="Z7" t="e" cm="1">
        <f t="array" aca="1" ref="Z7" ca="1">TREND($K7:$P7,$K$1:$P$1,Z$1)</f>
        <v>#VALUE!</v>
      </c>
      <c r="AA7" t="e" cm="1">
        <f t="array" aca="1" ref="AA7" ca="1">TREND($K7:$P7,$K$1:$P$1,AA$1)</f>
        <v>#VALUE!</v>
      </c>
      <c r="AB7" t="e" cm="1">
        <f t="array" aca="1" ref="AB7" ca="1">TREND($K7:$P7,$K$1:$P$1,AB$1)</f>
        <v>#VALUE!</v>
      </c>
      <c r="AC7" t="e" cm="1">
        <f t="array" aca="1" ref="AC7" ca="1">TREND($K7:$P7,$K$1:$P$1,AC$1)</f>
        <v>#VALUE!</v>
      </c>
      <c r="AD7" t="e" cm="1">
        <f t="array" aca="1" ref="AD7" ca="1">TREND($K7:$P7,$K$1:$P$1,AD$1)</f>
        <v>#VALUE!</v>
      </c>
      <c r="AE7" t="e" cm="1">
        <f t="array" aca="1" ref="AE7" ca="1">TREND($K7:$P7,$K$1:$P$1,AE$1)</f>
        <v>#VALUE!</v>
      </c>
      <c r="AF7" t="e" cm="1">
        <f t="array" aca="1" ref="AF7" ca="1">TREND($K7:$P7,$K$1:$P$1,AF$1)</f>
        <v>#VALUE!</v>
      </c>
      <c r="AG7" t="e" cm="1">
        <f t="array" aca="1" ref="AG7" ca="1">TREND($K7:$P7,$K$1:$P$1,AG$1)</f>
        <v>#VALUE!</v>
      </c>
      <c r="AH7" t="e" cm="1">
        <f t="array" aca="1" ref="AH7" ca="1">TREND($K7:$P7,$K$1:$P$1,AH$1)</f>
        <v>#VALUE!</v>
      </c>
      <c r="AI7" t="e" cm="1">
        <f t="array" aca="1" ref="AI7" ca="1">TREND($K7:$P7,$K$1:$P$1,AI$1)</f>
        <v>#VALUE!</v>
      </c>
      <c r="AJ7" t="e" cm="1">
        <f t="array" aca="1" ref="AJ7" ca="1">TREND($K7:$P7,$K$1:$P$1,AJ$1)</f>
        <v>#VALUE!</v>
      </c>
    </row>
    <row r="8" spans="1:36">
      <c r="A8" t="s">
        <v>81</v>
      </c>
      <c r="B8" s="32" t="e" cm="1">
        <f t="array" aca="1" ref="B8" ca="1">INDIRECT(CONCATENATE("'",HLOOKUP(B$1,$B$21:$E$23,3,FALSE),"'!",$B$25,ROW($A8)+5))*About!$A$27</f>
        <v>#VALUE!</v>
      </c>
      <c r="C8" t="e">
        <f t="shared" ca="1" si="3"/>
        <v>#VALUE!</v>
      </c>
      <c r="D8" t="e">
        <f t="shared" ca="1" si="0"/>
        <v>#VALUE!</v>
      </c>
      <c r="E8" t="e">
        <f t="shared" ca="1" si="0"/>
        <v>#VALUE!</v>
      </c>
      <c r="F8" s="32" t="e" cm="1">
        <f t="array" aca="1" ref="F8" ca="1">INDIRECT(CONCATENATE("'",HLOOKUP(F$1,$B$21:$E$23,3,FALSE),"'!",$B$25,ROW($A8)+5))*About!$A$27</f>
        <v>#VALUE!</v>
      </c>
      <c r="G8" t="e">
        <f t="shared" ca="1" si="4"/>
        <v>#VALUE!</v>
      </c>
      <c r="H8" t="e">
        <f t="shared" ca="1" si="1"/>
        <v>#VALUE!</v>
      </c>
      <c r="I8" t="e">
        <f t="shared" ca="1" si="1"/>
        <v>#VALUE!</v>
      </c>
      <c r="J8" t="e">
        <f t="shared" ca="1" si="1"/>
        <v>#VALUE!</v>
      </c>
      <c r="K8" s="32" t="e" cm="1">
        <f t="array" aca="1" ref="K8" ca="1">INDIRECT(CONCATENATE("'",HLOOKUP(K$1,$B$21:$E$23,3,FALSE),"'!",$B$25,ROW($A8)+5))*About!$A$27</f>
        <v>#VALUE!</v>
      </c>
      <c r="L8" t="e">
        <f t="shared" ca="1" si="5"/>
        <v>#VALUE!</v>
      </c>
      <c r="M8" t="e">
        <f t="shared" ca="1" si="2"/>
        <v>#VALUE!</v>
      </c>
      <c r="N8" t="e">
        <f t="shared" ca="1" si="2"/>
        <v>#VALUE!</v>
      </c>
      <c r="O8" t="e">
        <f t="shared" ca="1" si="2"/>
        <v>#VALUE!</v>
      </c>
      <c r="P8" s="32" t="e" cm="1">
        <f t="array" aca="1" ref="P8" ca="1">INDIRECT(CONCATENATE("'",HLOOKUP(P$1,$B$21:$E$23,3,FALSE),"'!",$B$25,ROW($A8)+5))*About!$A$27</f>
        <v>#VALUE!</v>
      </c>
      <c r="Q8" t="e" cm="1">
        <f t="array" aca="1" ref="Q8" ca="1">TREND($K8:$P8,$K$1:$P$1,Q$1)</f>
        <v>#VALUE!</v>
      </c>
      <c r="R8" t="e" cm="1">
        <f t="array" aca="1" ref="R8" ca="1">TREND($K8:$P8,$K$1:$P$1,R$1)</f>
        <v>#VALUE!</v>
      </c>
      <c r="S8" t="e" cm="1">
        <f t="array" aca="1" ref="S8" ca="1">TREND($K8:$P8,$K$1:$P$1,S$1)</f>
        <v>#VALUE!</v>
      </c>
      <c r="T8" t="e" cm="1">
        <f t="array" aca="1" ref="T8" ca="1">TREND($K8:$P8,$K$1:$P$1,T$1)</f>
        <v>#VALUE!</v>
      </c>
      <c r="U8" t="e" cm="1">
        <f t="array" aca="1" ref="U8" ca="1">TREND($K8:$P8,$K$1:$P$1,U$1)</f>
        <v>#VALUE!</v>
      </c>
      <c r="V8" t="e" cm="1">
        <f t="array" aca="1" ref="V8" ca="1">TREND($K8:$P8,$K$1:$P$1,V$1)</f>
        <v>#VALUE!</v>
      </c>
      <c r="W8" t="e" cm="1">
        <f t="array" aca="1" ref="W8" ca="1">TREND($K8:$P8,$K$1:$P$1,W$1)</f>
        <v>#VALUE!</v>
      </c>
      <c r="X8" t="e" cm="1">
        <f t="array" aca="1" ref="X8" ca="1">TREND($K8:$P8,$K$1:$P$1,X$1)</f>
        <v>#VALUE!</v>
      </c>
      <c r="Y8" t="e" cm="1">
        <f t="array" aca="1" ref="Y8" ca="1">TREND($K8:$P8,$K$1:$P$1,Y$1)</f>
        <v>#VALUE!</v>
      </c>
      <c r="Z8" t="e" cm="1">
        <f t="array" aca="1" ref="Z8" ca="1">TREND($K8:$P8,$K$1:$P$1,Z$1)</f>
        <v>#VALUE!</v>
      </c>
      <c r="AA8" t="e" cm="1">
        <f t="array" aca="1" ref="AA8" ca="1">TREND($K8:$P8,$K$1:$P$1,AA$1)</f>
        <v>#VALUE!</v>
      </c>
      <c r="AB8" t="e" cm="1">
        <f t="array" aca="1" ref="AB8" ca="1">TREND($K8:$P8,$K$1:$P$1,AB$1)</f>
        <v>#VALUE!</v>
      </c>
      <c r="AC8" t="e" cm="1">
        <f t="array" aca="1" ref="AC8" ca="1">TREND($K8:$P8,$K$1:$P$1,AC$1)</f>
        <v>#VALUE!</v>
      </c>
      <c r="AD8" t="e" cm="1">
        <f t="array" aca="1" ref="AD8" ca="1">TREND($K8:$P8,$K$1:$P$1,AD$1)</f>
        <v>#VALUE!</v>
      </c>
      <c r="AE8" t="e" cm="1">
        <f t="array" aca="1" ref="AE8" ca="1">TREND($K8:$P8,$K$1:$P$1,AE$1)</f>
        <v>#VALUE!</v>
      </c>
      <c r="AF8" t="e" cm="1">
        <f t="array" aca="1" ref="AF8" ca="1">TREND($K8:$P8,$K$1:$P$1,AF$1)</f>
        <v>#VALUE!</v>
      </c>
      <c r="AG8" t="e" cm="1">
        <f t="array" aca="1" ref="AG8" ca="1">TREND($K8:$P8,$K$1:$P$1,AG$1)</f>
        <v>#VALUE!</v>
      </c>
      <c r="AH8" t="e" cm="1">
        <f t="array" aca="1" ref="AH8" ca="1">TREND($K8:$P8,$K$1:$P$1,AH$1)</f>
        <v>#VALUE!</v>
      </c>
      <c r="AI8" t="e" cm="1">
        <f t="array" aca="1" ref="AI8" ca="1">TREND($K8:$P8,$K$1:$P$1,AI$1)</f>
        <v>#VALUE!</v>
      </c>
      <c r="AJ8" t="e" cm="1">
        <f t="array" aca="1" ref="AJ8" ca="1">TREND($K8:$P8,$K$1:$P$1,AJ$1)</f>
        <v>#VALUE!</v>
      </c>
    </row>
    <row r="9" spans="1:36">
      <c r="A9" t="s">
        <v>82</v>
      </c>
      <c r="B9" s="32" t="e" cm="1">
        <f t="array" aca="1" ref="B9" ca="1">INDIRECT(CONCATENATE("'",HLOOKUP(B$1,$B$21:$E$23,3,FALSE),"'!",$B$25,ROW($A9)+5))*About!$A$27</f>
        <v>#VALUE!</v>
      </c>
      <c r="C9" t="e">
        <f t="shared" ca="1" si="3"/>
        <v>#VALUE!</v>
      </c>
      <c r="D9" t="e">
        <f t="shared" ca="1" si="0"/>
        <v>#VALUE!</v>
      </c>
      <c r="E9" t="e">
        <f t="shared" ca="1" si="0"/>
        <v>#VALUE!</v>
      </c>
      <c r="F9" s="32" t="e" cm="1">
        <f t="array" aca="1" ref="F9" ca="1">INDIRECT(CONCATENATE("'",HLOOKUP(F$1,$B$21:$E$23,3,FALSE),"'!",$B$25,ROW($A9)+5))*About!$A$27</f>
        <v>#VALUE!</v>
      </c>
      <c r="G9" t="e">
        <f t="shared" ca="1" si="4"/>
        <v>#VALUE!</v>
      </c>
      <c r="H9" t="e">
        <f t="shared" ca="1" si="1"/>
        <v>#VALUE!</v>
      </c>
      <c r="I9" t="e">
        <f t="shared" ca="1" si="1"/>
        <v>#VALUE!</v>
      </c>
      <c r="J9" t="e">
        <f t="shared" ca="1" si="1"/>
        <v>#VALUE!</v>
      </c>
      <c r="K9" s="32" t="e" cm="1">
        <f t="array" aca="1" ref="K9" ca="1">INDIRECT(CONCATENATE("'",HLOOKUP(K$1,$B$21:$E$23,3,FALSE),"'!",$B$25,ROW($A9)+5))*About!$A$27</f>
        <v>#VALUE!</v>
      </c>
      <c r="L9" t="e">
        <f t="shared" ca="1" si="5"/>
        <v>#VALUE!</v>
      </c>
      <c r="M9" t="e">
        <f t="shared" ca="1" si="2"/>
        <v>#VALUE!</v>
      </c>
      <c r="N9" t="e">
        <f t="shared" ca="1" si="2"/>
        <v>#VALUE!</v>
      </c>
      <c r="O9" t="e">
        <f t="shared" ca="1" si="2"/>
        <v>#VALUE!</v>
      </c>
      <c r="P9" s="32" t="e" cm="1">
        <f t="array" aca="1" ref="P9" ca="1">INDIRECT(CONCATENATE("'",HLOOKUP(P$1,$B$21:$E$23,3,FALSE),"'!",$B$25,ROW($A9)+5))*About!$A$27</f>
        <v>#VALUE!</v>
      </c>
      <c r="Q9" t="e" cm="1">
        <f t="array" aca="1" ref="Q9" ca="1">TREND($K9:$P9,$K$1:$P$1,Q$1)</f>
        <v>#VALUE!</v>
      </c>
      <c r="R9" t="e" cm="1">
        <f t="array" aca="1" ref="R9" ca="1">TREND($K9:$P9,$K$1:$P$1,R$1)</f>
        <v>#VALUE!</v>
      </c>
      <c r="S9" t="e" cm="1">
        <f t="array" aca="1" ref="S9" ca="1">TREND($K9:$P9,$K$1:$P$1,S$1)</f>
        <v>#VALUE!</v>
      </c>
      <c r="T9" t="e" cm="1">
        <f t="array" aca="1" ref="T9" ca="1">TREND($K9:$P9,$K$1:$P$1,T$1)</f>
        <v>#VALUE!</v>
      </c>
      <c r="U9" t="e" cm="1">
        <f t="array" aca="1" ref="U9" ca="1">TREND($K9:$P9,$K$1:$P$1,U$1)</f>
        <v>#VALUE!</v>
      </c>
      <c r="V9" t="e" cm="1">
        <f t="array" aca="1" ref="V9" ca="1">TREND($K9:$P9,$K$1:$P$1,V$1)</f>
        <v>#VALUE!</v>
      </c>
      <c r="W9" t="e" cm="1">
        <f t="array" aca="1" ref="W9" ca="1">TREND($K9:$P9,$K$1:$P$1,W$1)</f>
        <v>#VALUE!</v>
      </c>
      <c r="X9" t="e" cm="1">
        <f t="array" aca="1" ref="X9" ca="1">TREND($K9:$P9,$K$1:$P$1,X$1)</f>
        <v>#VALUE!</v>
      </c>
      <c r="Y9" t="e" cm="1">
        <f t="array" aca="1" ref="Y9" ca="1">TREND($K9:$P9,$K$1:$P$1,Y$1)</f>
        <v>#VALUE!</v>
      </c>
      <c r="Z9" t="e" cm="1">
        <f t="array" aca="1" ref="Z9" ca="1">TREND($K9:$P9,$K$1:$P$1,Z$1)</f>
        <v>#VALUE!</v>
      </c>
      <c r="AA9" t="e" cm="1">
        <f t="array" aca="1" ref="AA9" ca="1">TREND($K9:$P9,$K$1:$P$1,AA$1)</f>
        <v>#VALUE!</v>
      </c>
      <c r="AB9" t="e" cm="1">
        <f t="array" aca="1" ref="AB9" ca="1">TREND($K9:$P9,$K$1:$P$1,AB$1)</f>
        <v>#VALUE!</v>
      </c>
      <c r="AC9" t="e" cm="1">
        <f t="array" aca="1" ref="AC9" ca="1">TREND($K9:$P9,$K$1:$P$1,AC$1)</f>
        <v>#VALUE!</v>
      </c>
      <c r="AD9" t="e" cm="1">
        <f t="array" aca="1" ref="AD9" ca="1">TREND($K9:$P9,$K$1:$P$1,AD$1)</f>
        <v>#VALUE!</v>
      </c>
      <c r="AE9" t="e" cm="1">
        <f t="array" aca="1" ref="AE9" ca="1">TREND($K9:$P9,$K$1:$P$1,AE$1)</f>
        <v>#VALUE!</v>
      </c>
      <c r="AF9" t="e" cm="1">
        <f t="array" aca="1" ref="AF9" ca="1">TREND($K9:$P9,$K$1:$P$1,AF$1)</f>
        <v>#VALUE!</v>
      </c>
      <c r="AG9" t="e" cm="1">
        <f t="array" aca="1" ref="AG9" ca="1">TREND($K9:$P9,$K$1:$P$1,AG$1)</f>
        <v>#VALUE!</v>
      </c>
      <c r="AH9" t="e" cm="1">
        <f t="array" aca="1" ref="AH9" ca="1">TREND($K9:$P9,$K$1:$P$1,AH$1)</f>
        <v>#VALUE!</v>
      </c>
      <c r="AI9" t="e" cm="1">
        <f t="array" aca="1" ref="AI9" ca="1">TREND($K9:$P9,$K$1:$P$1,AI$1)</f>
        <v>#VALUE!</v>
      </c>
      <c r="AJ9" t="e" cm="1">
        <f t="array" aca="1" ref="AJ9" ca="1">TREND($K9:$P9,$K$1:$P$1,AJ$1)</f>
        <v>#VALUE!</v>
      </c>
    </row>
    <row r="10" spans="1:36">
      <c r="A10" t="s">
        <v>83</v>
      </c>
      <c r="B10" s="32" t="e" cm="1">
        <f t="array" aca="1" ref="B10" ca="1">INDIRECT(CONCATENATE("'",HLOOKUP(B$1,$B$21:$E$23,3,FALSE),"'!",$B$25,ROW($A10)+5))*About!$A$27</f>
        <v>#VALUE!</v>
      </c>
      <c r="C10" t="e">
        <f t="shared" ca="1" si="3"/>
        <v>#VALUE!</v>
      </c>
      <c r="D10" t="e">
        <f t="shared" ca="1" si="0"/>
        <v>#VALUE!</v>
      </c>
      <c r="E10" t="e">
        <f t="shared" ca="1" si="0"/>
        <v>#VALUE!</v>
      </c>
      <c r="F10" s="32" t="e" cm="1">
        <f t="array" aca="1" ref="F10" ca="1">INDIRECT(CONCATENATE("'",HLOOKUP(F$1,$B$21:$E$23,3,FALSE),"'!",$B$25,ROW($A10)+5))*About!$A$27</f>
        <v>#VALUE!</v>
      </c>
      <c r="G10" t="e">
        <f t="shared" ca="1" si="4"/>
        <v>#VALUE!</v>
      </c>
      <c r="H10" t="e">
        <f t="shared" ca="1" si="1"/>
        <v>#VALUE!</v>
      </c>
      <c r="I10" t="e">
        <f t="shared" ca="1" si="1"/>
        <v>#VALUE!</v>
      </c>
      <c r="J10" t="e">
        <f t="shared" ca="1" si="1"/>
        <v>#VALUE!</v>
      </c>
      <c r="K10" s="32" t="e" cm="1">
        <f t="array" aca="1" ref="K10" ca="1">INDIRECT(CONCATENATE("'",HLOOKUP(K$1,$B$21:$E$23,3,FALSE),"'!",$B$25,ROW($A10)+5))*About!$A$27</f>
        <v>#VALUE!</v>
      </c>
      <c r="L10" t="e">
        <f t="shared" ca="1" si="5"/>
        <v>#VALUE!</v>
      </c>
      <c r="M10" t="e">
        <f t="shared" ca="1" si="2"/>
        <v>#VALUE!</v>
      </c>
      <c r="N10" t="e">
        <f t="shared" ca="1" si="2"/>
        <v>#VALUE!</v>
      </c>
      <c r="O10" t="e">
        <f t="shared" ca="1" si="2"/>
        <v>#VALUE!</v>
      </c>
      <c r="P10" s="32" t="e" cm="1">
        <f t="array" aca="1" ref="P10" ca="1">INDIRECT(CONCATENATE("'",HLOOKUP(P$1,$B$21:$E$23,3,FALSE),"'!",$B$25,ROW($A10)+5))*About!$A$27</f>
        <v>#VALUE!</v>
      </c>
      <c r="Q10" t="e" cm="1">
        <f t="array" aca="1" ref="Q10" ca="1">TREND($K10:$P10,$K$1:$P$1,Q$1)</f>
        <v>#VALUE!</v>
      </c>
      <c r="R10" t="e" cm="1">
        <f t="array" aca="1" ref="R10" ca="1">TREND($K10:$P10,$K$1:$P$1,R$1)</f>
        <v>#VALUE!</v>
      </c>
      <c r="S10" t="e" cm="1">
        <f t="array" aca="1" ref="S10" ca="1">TREND($K10:$P10,$K$1:$P$1,S$1)</f>
        <v>#VALUE!</v>
      </c>
      <c r="T10" t="e" cm="1">
        <f t="array" aca="1" ref="T10" ca="1">TREND($K10:$P10,$K$1:$P$1,T$1)</f>
        <v>#VALUE!</v>
      </c>
      <c r="U10" t="e" cm="1">
        <f t="array" aca="1" ref="U10" ca="1">TREND($K10:$P10,$K$1:$P$1,U$1)</f>
        <v>#VALUE!</v>
      </c>
      <c r="V10" t="e" cm="1">
        <f t="array" aca="1" ref="V10" ca="1">TREND($K10:$P10,$K$1:$P$1,V$1)</f>
        <v>#VALUE!</v>
      </c>
      <c r="W10" t="e" cm="1">
        <f t="array" aca="1" ref="W10" ca="1">TREND($K10:$P10,$K$1:$P$1,W$1)</f>
        <v>#VALUE!</v>
      </c>
      <c r="X10" t="e" cm="1">
        <f t="array" aca="1" ref="X10" ca="1">TREND($K10:$P10,$K$1:$P$1,X$1)</f>
        <v>#VALUE!</v>
      </c>
      <c r="Y10" t="e" cm="1">
        <f t="array" aca="1" ref="Y10" ca="1">TREND($K10:$P10,$K$1:$P$1,Y$1)</f>
        <v>#VALUE!</v>
      </c>
      <c r="Z10" t="e" cm="1">
        <f t="array" aca="1" ref="Z10" ca="1">TREND($K10:$P10,$K$1:$P$1,Z$1)</f>
        <v>#VALUE!</v>
      </c>
      <c r="AA10" t="e" cm="1">
        <f t="array" aca="1" ref="AA10" ca="1">TREND($K10:$P10,$K$1:$P$1,AA$1)</f>
        <v>#VALUE!</v>
      </c>
      <c r="AB10" t="e" cm="1">
        <f t="array" aca="1" ref="AB10" ca="1">TREND($K10:$P10,$K$1:$P$1,AB$1)</f>
        <v>#VALUE!</v>
      </c>
      <c r="AC10" t="e" cm="1">
        <f t="array" aca="1" ref="AC10" ca="1">TREND($K10:$P10,$K$1:$P$1,AC$1)</f>
        <v>#VALUE!</v>
      </c>
      <c r="AD10" t="e" cm="1">
        <f t="array" aca="1" ref="AD10" ca="1">TREND($K10:$P10,$K$1:$P$1,AD$1)</f>
        <v>#VALUE!</v>
      </c>
      <c r="AE10" t="e" cm="1">
        <f t="array" aca="1" ref="AE10" ca="1">TREND($K10:$P10,$K$1:$P$1,AE$1)</f>
        <v>#VALUE!</v>
      </c>
      <c r="AF10" t="e" cm="1">
        <f t="array" aca="1" ref="AF10" ca="1">TREND($K10:$P10,$K$1:$P$1,AF$1)</f>
        <v>#VALUE!</v>
      </c>
      <c r="AG10" t="e" cm="1">
        <f t="array" aca="1" ref="AG10" ca="1">TREND($K10:$P10,$K$1:$P$1,AG$1)</f>
        <v>#VALUE!</v>
      </c>
      <c r="AH10" t="e" cm="1">
        <f t="array" aca="1" ref="AH10" ca="1">TREND($K10:$P10,$K$1:$P$1,AH$1)</f>
        <v>#VALUE!</v>
      </c>
      <c r="AI10" t="e" cm="1">
        <f t="array" aca="1" ref="AI10" ca="1">TREND($K10:$P10,$K$1:$P$1,AI$1)</f>
        <v>#VALUE!</v>
      </c>
      <c r="AJ10" t="e" cm="1">
        <f t="array" aca="1" ref="AJ10" ca="1">TREND($K10:$P10,$K$1:$P$1,AJ$1)</f>
        <v>#VALUE!</v>
      </c>
    </row>
    <row r="11" spans="1:36">
      <c r="A11" t="s">
        <v>84</v>
      </c>
      <c r="B11" s="32" t="e" cm="1">
        <f t="array" aca="1" ref="B11" ca="1">INDIRECT(CONCATENATE("'",HLOOKUP(B$1,$B$21:$E$23,3,FALSE),"'!",$B$25,ROW($A11)+5))*About!$A$27</f>
        <v>#VALUE!</v>
      </c>
      <c r="C11" t="e">
        <f t="shared" ca="1" si="3"/>
        <v>#VALUE!</v>
      </c>
      <c r="D11" t="e">
        <f t="shared" ca="1" si="0"/>
        <v>#VALUE!</v>
      </c>
      <c r="E11" t="e">
        <f t="shared" ca="1" si="0"/>
        <v>#VALUE!</v>
      </c>
      <c r="F11" s="32" t="e" cm="1">
        <f t="array" aca="1" ref="F11" ca="1">INDIRECT(CONCATENATE("'",HLOOKUP(F$1,$B$21:$E$23,3,FALSE),"'!",$B$25,ROW($A11)+5))*About!$A$27</f>
        <v>#VALUE!</v>
      </c>
      <c r="G11" t="e">
        <f t="shared" ca="1" si="4"/>
        <v>#VALUE!</v>
      </c>
      <c r="H11" t="e">
        <f t="shared" ca="1" si="1"/>
        <v>#VALUE!</v>
      </c>
      <c r="I11" t="e">
        <f t="shared" ca="1" si="1"/>
        <v>#VALUE!</v>
      </c>
      <c r="J11" t="e">
        <f t="shared" ca="1" si="1"/>
        <v>#VALUE!</v>
      </c>
      <c r="K11" s="32" t="e" cm="1">
        <f t="array" aca="1" ref="K11" ca="1">INDIRECT(CONCATENATE("'",HLOOKUP(K$1,$B$21:$E$23,3,FALSE),"'!",$B$25,ROW($A11)+5))*About!$A$27</f>
        <v>#VALUE!</v>
      </c>
      <c r="L11" t="e">
        <f t="shared" ca="1" si="5"/>
        <v>#VALUE!</v>
      </c>
      <c r="M11" t="e">
        <f t="shared" ca="1" si="2"/>
        <v>#VALUE!</v>
      </c>
      <c r="N11" t="e">
        <f t="shared" ca="1" si="2"/>
        <v>#VALUE!</v>
      </c>
      <c r="O11" t="e">
        <f t="shared" ca="1" si="2"/>
        <v>#VALUE!</v>
      </c>
      <c r="P11" s="32" t="e" cm="1">
        <f t="array" aca="1" ref="P11" ca="1">INDIRECT(CONCATENATE("'",HLOOKUP(P$1,$B$21:$E$23,3,FALSE),"'!",$B$25,ROW($A11)+5))*About!$A$27</f>
        <v>#VALUE!</v>
      </c>
      <c r="Q11" t="e" cm="1">
        <f t="array" aca="1" ref="Q11" ca="1">TREND($K11:$P11,$K$1:$P$1,Q$1)</f>
        <v>#VALUE!</v>
      </c>
      <c r="R11" t="e" cm="1">
        <f t="array" aca="1" ref="R11" ca="1">TREND($K11:$P11,$K$1:$P$1,R$1)</f>
        <v>#VALUE!</v>
      </c>
      <c r="S11" t="e" cm="1">
        <f t="array" aca="1" ref="S11" ca="1">TREND($K11:$P11,$K$1:$P$1,S$1)</f>
        <v>#VALUE!</v>
      </c>
      <c r="T11" t="e" cm="1">
        <f t="array" aca="1" ref="T11" ca="1">TREND($K11:$P11,$K$1:$P$1,T$1)</f>
        <v>#VALUE!</v>
      </c>
      <c r="U11" t="e" cm="1">
        <f t="array" aca="1" ref="U11" ca="1">TREND($K11:$P11,$K$1:$P$1,U$1)</f>
        <v>#VALUE!</v>
      </c>
      <c r="V11" t="e" cm="1">
        <f t="array" aca="1" ref="V11" ca="1">TREND($K11:$P11,$K$1:$P$1,V$1)</f>
        <v>#VALUE!</v>
      </c>
      <c r="W11" t="e" cm="1">
        <f t="array" aca="1" ref="W11" ca="1">TREND($K11:$P11,$K$1:$P$1,W$1)</f>
        <v>#VALUE!</v>
      </c>
      <c r="X11" t="e" cm="1">
        <f t="array" aca="1" ref="X11" ca="1">TREND($K11:$P11,$K$1:$P$1,X$1)</f>
        <v>#VALUE!</v>
      </c>
      <c r="Y11" t="e" cm="1">
        <f t="array" aca="1" ref="Y11" ca="1">TREND($K11:$P11,$K$1:$P$1,Y$1)</f>
        <v>#VALUE!</v>
      </c>
      <c r="Z11" t="e" cm="1">
        <f t="array" aca="1" ref="Z11" ca="1">TREND($K11:$P11,$K$1:$P$1,Z$1)</f>
        <v>#VALUE!</v>
      </c>
      <c r="AA11" t="e" cm="1">
        <f t="array" aca="1" ref="AA11" ca="1">TREND($K11:$P11,$K$1:$P$1,AA$1)</f>
        <v>#VALUE!</v>
      </c>
      <c r="AB11" t="e" cm="1">
        <f t="array" aca="1" ref="AB11" ca="1">TREND($K11:$P11,$K$1:$P$1,AB$1)</f>
        <v>#VALUE!</v>
      </c>
      <c r="AC11" t="e" cm="1">
        <f t="array" aca="1" ref="AC11" ca="1">TREND($K11:$P11,$K$1:$P$1,AC$1)</f>
        <v>#VALUE!</v>
      </c>
      <c r="AD11" t="e" cm="1">
        <f t="array" aca="1" ref="AD11" ca="1">TREND($K11:$P11,$K$1:$P$1,AD$1)</f>
        <v>#VALUE!</v>
      </c>
      <c r="AE11" t="e" cm="1">
        <f t="array" aca="1" ref="AE11" ca="1">TREND($K11:$P11,$K$1:$P$1,AE$1)</f>
        <v>#VALUE!</v>
      </c>
      <c r="AF11" t="e" cm="1">
        <f t="array" aca="1" ref="AF11" ca="1">TREND($K11:$P11,$K$1:$P$1,AF$1)</f>
        <v>#VALUE!</v>
      </c>
      <c r="AG11" t="e" cm="1">
        <f t="array" aca="1" ref="AG11" ca="1">TREND($K11:$P11,$K$1:$P$1,AG$1)</f>
        <v>#VALUE!</v>
      </c>
      <c r="AH11" t="e" cm="1">
        <f t="array" aca="1" ref="AH11" ca="1">TREND($K11:$P11,$K$1:$P$1,AH$1)</f>
        <v>#VALUE!</v>
      </c>
      <c r="AI11" t="e" cm="1">
        <f t="array" aca="1" ref="AI11" ca="1">TREND($K11:$P11,$K$1:$P$1,AI$1)</f>
        <v>#VALUE!</v>
      </c>
      <c r="AJ11" t="e" cm="1">
        <f t="array" aca="1" ref="AJ11" ca="1">TREND($K11:$P11,$K$1:$P$1,AJ$1)</f>
        <v>#VALUE!</v>
      </c>
    </row>
    <row r="12" spans="1:36">
      <c r="A12" t="s">
        <v>85</v>
      </c>
      <c r="B12" s="33" t="e">
        <f ca="1">SUM(INDIRECT(CONCATENATE("'",HLOOKUP(B$1,$B$21:$E$23,3,FALSE),"'!",$B$25,ROW($A12)+5,":",$B$25,ROW($A12)+6)))*About!$A$27</f>
        <v>#VALUE!</v>
      </c>
      <c r="C12" t="e">
        <f t="shared" ca="1" si="3"/>
        <v>#VALUE!</v>
      </c>
      <c r="D12" t="e">
        <f t="shared" ca="1" si="0"/>
        <v>#VALUE!</v>
      </c>
      <c r="E12" t="e">
        <f t="shared" ca="1" si="0"/>
        <v>#VALUE!</v>
      </c>
      <c r="F12" s="33" t="e">
        <f ca="1">SUM(INDIRECT(CONCATENATE("'",HLOOKUP(F$1,$B$21:$E$23,3,FALSE),"'!",$B$25,ROW($A12)+5,":",$B$25,ROW($A12)+6)))*About!$A$27</f>
        <v>#VALUE!</v>
      </c>
      <c r="G12" t="e">
        <f t="shared" ca="1" si="4"/>
        <v>#VALUE!</v>
      </c>
      <c r="H12" t="e">
        <f t="shared" ca="1" si="1"/>
        <v>#VALUE!</v>
      </c>
      <c r="I12" t="e">
        <f t="shared" ca="1" si="1"/>
        <v>#VALUE!</v>
      </c>
      <c r="J12" t="e">
        <f t="shared" ca="1" si="1"/>
        <v>#VALUE!</v>
      </c>
      <c r="K12" s="33" t="e">
        <f ca="1">SUM(INDIRECT(CONCATENATE("'",HLOOKUP(K$1,$B$21:$E$23,3,FALSE),"'!",$B$25,ROW($A12)+5,":",$B$25,ROW($A12)+6)))*About!$A$27</f>
        <v>#VALUE!</v>
      </c>
      <c r="L12" t="e">
        <f t="shared" ca="1" si="5"/>
        <v>#VALUE!</v>
      </c>
      <c r="M12" t="e">
        <f t="shared" ca="1" si="2"/>
        <v>#VALUE!</v>
      </c>
      <c r="N12" t="e">
        <f t="shared" ca="1" si="2"/>
        <v>#VALUE!</v>
      </c>
      <c r="O12" t="e">
        <f t="shared" ca="1" si="2"/>
        <v>#VALUE!</v>
      </c>
      <c r="P12" s="33" t="e">
        <f ca="1">SUM(INDIRECT(CONCATENATE("'",HLOOKUP(P$1,$B$21:$E$23,3,FALSE),"'!",$B$25,ROW($A12)+5,":",$B$25,ROW($A12)+6)))*About!$A$27</f>
        <v>#VALUE!</v>
      </c>
      <c r="Q12" t="e" cm="1">
        <f t="array" aca="1" ref="Q12" ca="1">TREND($K12:$P12,$K$1:$P$1,Q$1)</f>
        <v>#VALUE!</v>
      </c>
      <c r="R12" t="e" cm="1">
        <f t="array" aca="1" ref="R12" ca="1">TREND($K12:$P12,$K$1:$P$1,R$1)</f>
        <v>#VALUE!</v>
      </c>
      <c r="S12" t="e" cm="1">
        <f t="array" aca="1" ref="S12" ca="1">TREND($K12:$P12,$K$1:$P$1,S$1)</f>
        <v>#VALUE!</v>
      </c>
      <c r="T12" t="e" cm="1">
        <f t="array" aca="1" ref="T12" ca="1">TREND($K12:$P12,$K$1:$P$1,T$1)</f>
        <v>#VALUE!</v>
      </c>
      <c r="U12" t="e" cm="1">
        <f t="array" aca="1" ref="U12" ca="1">TREND($K12:$P12,$K$1:$P$1,U$1)</f>
        <v>#VALUE!</v>
      </c>
      <c r="V12" t="e" cm="1">
        <f t="array" aca="1" ref="V12" ca="1">TREND($K12:$P12,$K$1:$P$1,V$1)</f>
        <v>#VALUE!</v>
      </c>
      <c r="W12" t="e" cm="1">
        <f t="array" aca="1" ref="W12" ca="1">TREND($K12:$P12,$K$1:$P$1,W$1)</f>
        <v>#VALUE!</v>
      </c>
      <c r="X12" t="e" cm="1">
        <f t="array" aca="1" ref="X12" ca="1">TREND($K12:$P12,$K$1:$P$1,X$1)</f>
        <v>#VALUE!</v>
      </c>
      <c r="Y12" t="e" cm="1">
        <f t="array" aca="1" ref="Y12" ca="1">TREND($K12:$P12,$K$1:$P$1,Y$1)</f>
        <v>#VALUE!</v>
      </c>
      <c r="Z12" t="e" cm="1">
        <f t="array" aca="1" ref="Z12" ca="1">TREND($K12:$P12,$K$1:$P$1,Z$1)</f>
        <v>#VALUE!</v>
      </c>
      <c r="AA12" t="e" cm="1">
        <f t="array" aca="1" ref="AA12" ca="1">TREND($K12:$P12,$K$1:$P$1,AA$1)</f>
        <v>#VALUE!</v>
      </c>
      <c r="AB12" t="e" cm="1">
        <f t="array" aca="1" ref="AB12" ca="1">TREND($K12:$P12,$K$1:$P$1,AB$1)</f>
        <v>#VALUE!</v>
      </c>
      <c r="AC12" t="e" cm="1">
        <f t="array" aca="1" ref="AC12" ca="1">TREND($K12:$P12,$K$1:$P$1,AC$1)</f>
        <v>#VALUE!</v>
      </c>
      <c r="AD12" t="e" cm="1">
        <f t="array" aca="1" ref="AD12" ca="1">TREND($K12:$P12,$K$1:$P$1,AD$1)</f>
        <v>#VALUE!</v>
      </c>
      <c r="AE12" t="e" cm="1">
        <f t="array" aca="1" ref="AE12" ca="1">TREND($K12:$P12,$K$1:$P$1,AE$1)</f>
        <v>#VALUE!</v>
      </c>
      <c r="AF12" t="e" cm="1">
        <f t="array" aca="1" ref="AF12" ca="1">TREND($K12:$P12,$K$1:$P$1,AF$1)</f>
        <v>#VALUE!</v>
      </c>
      <c r="AG12" t="e" cm="1">
        <f t="array" aca="1" ref="AG12" ca="1">TREND($K12:$P12,$K$1:$P$1,AG$1)</f>
        <v>#VALUE!</v>
      </c>
      <c r="AH12" t="e" cm="1">
        <f t="array" aca="1" ref="AH12" ca="1">TREND($K12:$P12,$K$1:$P$1,AH$1)</f>
        <v>#VALUE!</v>
      </c>
      <c r="AI12" t="e" cm="1">
        <f t="array" aca="1" ref="AI12" ca="1">TREND($K12:$P12,$K$1:$P$1,AI$1)</f>
        <v>#VALUE!</v>
      </c>
      <c r="AJ12" t="e" cm="1">
        <f t="array" aca="1" ref="AJ12" ca="1">TREND($K12:$P12,$K$1:$P$1,AJ$1)</f>
        <v>#VALUE!</v>
      </c>
    </row>
    <row r="16" spans="1:36">
      <c r="A16" s="20" t="s">
        <v>86</v>
      </c>
      <c r="B16" s="21"/>
      <c r="C16" s="21"/>
      <c r="D16" s="21"/>
    </row>
    <row r="17" spans="1:5">
      <c r="A17" t="s">
        <v>87</v>
      </c>
      <c r="B17" t="e" cm="1">
        <f t="array" aca="1" ref="B17" ca="1">MID(CELL("filename",A17),FIND("]",CELL("filename",A17))+1,255)</f>
        <v>#VALUE!</v>
      </c>
    </row>
    <row r="18" spans="1:5">
      <c r="A18" t="s">
        <v>88</v>
      </c>
      <c r="B18" t="e">
        <f ca="1">RIGHT(B17,LEN(B17)-7)</f>
        <v>#VALUE!</v>
      </c>
    </row>
    <row r="19" spans="1:5">
      <c r="A19" t="s">
        <v>89</v>
      </c>
      <c r="B19" t="e">
        <f ca="1">LEFT(B18,FIND("-",B18)-1)</f>
        <v>#VALUE!</v>
      </c>
    </row>
    <row r="20" spans="1:5">
      <c r="A20" t="s">
        <v>90</v>
      </c>
      <c r="B20" t="e">
        <f ca="1">VLOOKUP($B$19,Mappings!$A$22:$B$26,COLUMN(Mappings!$B$21),FALSE)</f>
        <v>#VALUE!</v>
      </c>
    </row>
    <row r="21" spans="1:5">
      <c r="A21" s="23"/>
      <c r="B21" s="24">
        <v>2016</v>
      </c>
      <c r="C21" s="24">
        <v>2020</v>
      </c>
      <c r="D21" s="24">
        <v>2025</v>
      </c>
      <c r="E21" s="25">
        <v>2030</v>
      </c>
    </row>
    <row r="22" spans="1:5">
      <c r="A22" s="26" t="s">
        <v>91</v>
      </c>
      <c r="B22" s="2" t="e">
        <f ca="1">VLOOKUP($B$20,Mappings!$A$3:$E$19,COLUMN(Mappings!B$2),FALSE)</f>
        <v>#VALUE!</v>
      </c>
      <c r="C22" s="2" t="e">
        <f ca="1">VLOOKUP($B$20,Mappings!$A$3:$E$19,COLUMN(Mappings!C$2),FALSE)</f>
        <v>#VALUE!</v>
      </c>
      <c r="D22" s="2" t="e">
        <f ca="1">VLOOKUP($B$20,Mappings!$A$3:$E$19,COLUMN(Mappings!D$2),FALSE)</f>
        <v>#VALUE!</v>
      </c>
      <c r="E22" s="27" t="e">
        <f ca="1">VLOOKUP($B$20,Mappings!$A$3:$E$19,COLUMN(Mappings!E$2),FALSE)</f>
        <v>#VALUE!</v>
      </c>
    </row>
    <row r="23" spans="1:5">
      <c r="A23" s="28" t="s">
        <v>87</v>
      </c>
      <c r="B23" s="29" t="e">
        <f ca="1">CONCATENATE("Table ",B22)</f>
        <v>#VALUE!</v>
      </c>
      <c r="C23" s="29" t="e">
        <f ca="1">CONCATENATE("Table ",C22)</f>
        <v>#VALUE!</v>
      </c>
      <c r="D23" s="29" t="e">
        <f ca="1">CONCATENATE("Table ",D22)</f>
        <v>#VALUE!</v>
      </c>
      <c r="E23" s="30" t="e">
        <f ca="1">CONCATENATE("Table ",E22)</f>
        <v>#VALUE!</v>
      </c>
    </row>
    <row r="24" spans="1:5">
      <c r="A24" t="s">
        <v>92</v>
      </c>
      <c r="B24" t="e">
        <f ca="1">REPLACE(B18,1,FIND("-",B18),"")</f>
        <v>#VALUE!</v>
      </c>
    </row>
    <row r="25" spans="1:5">
      <c r="A25" t="s">
        <v>93</v>
      </c>
      <c r="B25" s="2" t="e">
        <f ca="1">VLOOKUP($B$24,Mappings!$A$29:$B$31,COLUMN(Mappings!$B$29),FALSE)</f>
        <v>#VALUE!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B528A-A838-4DA0-8F41-C3BEAD5D3470}">
  <sheetPr>
    <tabColor theme="4" tint="-0.249977111117893"/>
  </sheetPr>
  <dimension ref="A1:AJ25"/>
  <sheetViews>
    <sheetView workbookViewId="0"/>
  </sheetViews>
  <sheetFormatPr defaultColWidth="8.7109375" defaultRowHeight="14.45"/>
  <cols>
    <col min="1" max="1" width="33.7109375" customWidth="1"/>
  </cols>
  <sheetData>
    <row r="1" spans="1:36" s="1" customFormat="1">
      <c r="A1" s="22" t="s">
        <v>74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>
      <c r="A2" t="s">
        <v>75</v>
      </c>
      <c r="B2" s="31" t="e" cm="1">
        <f t="array" aca="1" ref="B2" ca="1">INDIRECT(CONCATENATE("'",HLOOKUP(B$1,$B$21:$E$23,3,FALSE),"'!",$B$25,ROW($A2)+3))*About!$A$27</f>
        <v>#VALUE!</v>
      </c>
      <c r="C2" t="e">
        <f ca="1">$B2+($F2-$B2)*(C$1-$B$1)/($F$1-$B$1)</f>
        <v>#VALUE!</v>
      </c>
      <c r="D2" t="e">
        <f t="shared" ref="D2:E12" ca="1" si="0">$B2+($F2-$B2)*(D$1-$B$1)/($F$1-$B$1)</f>
        <v>#VALUE!</v>
      </c>
      <c r="E2" t="e">
        <f t="shared" ca="1" si="0"/>
        <v>#VALUE!</v>
      </c>
      <c r="F2" s="31" t="e" cm="1">
        <f t="array" aca="1" ref="F2" ca="1">INDIRECT(CONCATENATE("'",HLOOKUP(F$1,$B$21:$E$23,3,FALSE),"'!",$B$25,ROW($A2)+3))*About!$A$27</f>
        <v>#VALUE!</v>
      </c>
      <c r="G2" t="e">
        <f ca="1">$F2+($K2-$F2)*(G$1-$F$1)/($K$1-$F$1)</f>
        <v>#VALUE!</v>
      </c>
      <c r="H2" t="e">
        <f t="shared" ref="H2:J12" ca="1" si="1">$F2+($K2-$F2)*(H$1-$F$1)/($K$1-$F$1)</f>
        <v>#VALUE!</v>
      </c>
      <c r="I2" t="e">
        <f t="shared" ca="1" si="1"/>
        <v>#VALUE!</v>
      </c>
      <c r="J2" t="e">
        <f t="shared" ca="1" si="1"/>
        <v>#VALUE!</v>
      </c>
      <c r="K2" s="31" t="e" cm="1">
        <f t="array" aca="1" ref="K2" ca="1">INDIRECT(CONCATENATE("'",HLOOKUP(K$1,$B$21:$E$23,3,FALSE),"'!",$B$25,ROW($A2)+3))*About!$A$27</f>
        <v>#VALUE!</v>
      </c>
      <c r="L2" t="e">
        <f ca="1">$K2+($P2-$K2)*(L$1-$K$1)/($P$1-$K$1)</f>
        <v>#VALUE!</v>
      </c>
      <c r="M2" t="e">
        <f t="shared" ref="M2:O12" ca="1" si="2">$K2+($P2-$K2)*(M$1-$K$1)/($P$1-$K$1)</f>
        <v>#VALUE!</v>
      </c>
      <c r="N2" t="e">
        <f t="shared" ca="1" si="2"/>
        <v>#VALUE!</v>
      </c>
      <c r="O2" t="e">
        <f t="shared" ca="1" si="2"/>
        <v>#VALUE!</v>
      </c>
      <c r="P2" s="31" t="e" cm="1">
        <f t="array" aca="1" ref="P2" ca="1">INDIRECT(CONCATENATE("'",HLOOKUP(P$1,$B$21:$E$23,3,FALSE),"'!",$B$25,ROW($A2)+3))*About!$A$27</f>
        <v>#VALUE!</v>
      </c>
      <c r="Q2" t="e" cm="1">
        <f t="array" aca="1" ref="Q2" ca="1">TREND($K2:$P2,$K$1:$P$1,Q$1)</f>
        <v>#VALUE!</v>
      </c>
      <c r="R2" t="e" cm="1">
        <f t="array" aca="1" ref="R2" ca="1">TREND($K2:$P2,$K$1:$P$1,R$1)</f>
        <v>#VALUE!</v>
      </c>
      <c r="S2" t="e" cm="1">
        <f t="array" aca="1" ref="S2" ca="1">TREND($K2:$P2,$K$1:$P$1,S$1)</f>
        <v>#VALUE!</v>
      </c>
      <c r="T2" t="e" cm="1">
        <f t="array" aca="1" ref="T2" ca="1">TREND($K2:$P2,$K$1:$P$1,T$1)</f>
        <v>#VALUE!</v>
      </c>
      <c r="U2" t="e" cm="1">
        <f t="array" aca="1" ref="U2" ca="1">TREND($K2:$P2,$K$1:$P$1,U$1)</f>
        <v>#VALUE!</v>
      </c>
      <c r="V2" t="e" cm="1">
        <f t="array" aca="1" ref="V2" ca="1">TREND($K2:$P2,$K$1:$P$1,V$1)</f>
        <v>#VALUE!</v>
      </c>
      <c r="W2" t="e" cm="1">
        <f t="array" aca="1" ref="W2" ca="1">TREND($K2:$P2,$K$1:$P$1,W$1)</f>
        <v>#VALUE!</v>
      </c>
      <c r="X2" t="e" cm="1">
        <f t="array" aca="1" ref="X2" ca="1">TREND($K2:$P2,$K$1:$P$1,X$1)</f>
        <v>#VALUE!</v>
      </c>
      <c r="Y2" t="e" cm="1">
        <f t="array" aca="1" ref="Y2" ca="1">TREND($K2:$P2,$K$1:$P$1,Y$1)</f>
        <v>#VALUE!</v>
      </c>
      <c r="Z2" t="e" cm="1">
        <f t="array" aca="1" ref="Z2" ca="1">TREND($K2:$P2,$K$1:$P$1,Z$1)</f>
        <v>#VALUE!</v>
      </c>
      <c r="AA2" t="e" cm="1">
        <f t="array" aca="1" ref="AA2" ca="1">TREND($K2:$P2,$K$1:$P$1,AA$1)</f>
        <v>#VALUE!</v>
      </c>
      <c r="AB2" t="e" cm="1">
        <f t="array" aca="1" ref="AB2" ca="1">TREND($K2:$P2,$K$1:$P$1,AB$1)</f>
        <v>#VALUE!</v>
      </c>
      <c r="AC2" t="e" cm="1">
        <f t="array" aca="1" ref="AC2" ca="1">TREND($K2:$P2,$K$1:$P$1,AC$1)</f>
        <v>#VALUE!</v>
      </c>
      <c r="AD2" t="e" cm="1">
        <f t="array" aca="1" ref="AD2" ca="1">TREND($K2:$P2,$K$1:$P$1,AD$1)</f>
        <v>#VALUE!</v>
      </c>
      <c r="AE2" t="e" cm="1">
        <f t="array" aca="1" ref="AE2" ca="1">TREND($K2:$P2,$K$1:$P$1,AE$1)</f>
        <v>#VALUE!</v>
      </c>
      <c r="AF2" t="e" cm="1">
        <f t="array" aca="1" ref="AF2" ca="1">TREND($K2:$P2,$K$1:$P$1,AF$1)</f>
        <v>#VALUE!</v>
      </c>
      <c r="AG2" t="e" cm="1">
        <f t="array" aca="1" ref="AG2" ca="1">TREND($K2:$P2,$K$1:$P$1,AG$1)</f>
        <v>#VALUE!</v>
      </c>
      <c r="AH2" t="e" cm="1">
        <f t="array" aca="1" ref="AH2" ca="1">TREND($K2:$P2,$K$1:$P$1,AH$1)</f>
        <v>#VALUE!</v>
      </c>
      <c r="AI2" t="e" cm="1">
        <f t="array" aca="1" ref="AI2" ca="1">TREND($K2:$P2,$K$1:$P$1,AI$1)</f>
        <v>#VALUE!</v>
      </c>
      <c r="AJ2" t="e" cm="1">
        <f t="array" aca="1" ref="AJ2" ca="1">TREND($K2:$P2,$K$1:$P$1,AJ$1)</f>
        <v>#VALUE!</v>
      </c>
    </row>
    <row r="3" spans="1:36">
      <c r="A3" t="s">
        <v>76</v>
      </c>
      <c r="B3" s="32" t="e" cm="1">
        <f t="array" aca="1" ref="B3" ca="1">INDIRECT(CONCATENATE("'",HLOOKUP(B$1,$B$21:$E$23,3,FALSE),"'!",$B$25,ROW($A3)+5))*About!$A$27</f>
        <v>#VALUE!</v>
      </c>
      <c r="C3" t="e">
        <f t="shared" ref="C3:C12" ca="1" si="3">$B3+($F3-$B3)*(C$1-$B$1)/($F$1-$B$1)</f>
        <v>#VALUE!</v>
      </c>
      <c r="D3" t="e">
        <f t="shared" ca="1" si="0"/>
        <v>#VALUE!</v>
      </c>
      <c r="E3" t="e">
        <f t="shared" ca="1" si="0"/>
        <v>#VALUE!</v>
      </c>
      <c r="F3" s="32" t="e" cm="1">
        <f t="array" aca="1" ref="F3" ca="1">INDIRECT(CONCATENATE("'",HLOOKUP(F$1,$B$21:$E$23,3,FALSE),"'!",$B$25,ROW($A3)+5))*About!$A$27</f>
        <v>#VALUE!</v>
      </c>
      <c r="G3" t="e">
        <f t="shared" ref="G3:G12" ca="1" si="4">$F3+($K3-$F3)*(G$1-$F$1)/($K$1-$F$1)</f>
        <v>#VALUE!</v>
      </c>
      <c r="H3" t="e">
        <f t="shared" ca="1" si="1"/>
        <v>#VALUE!</v>
      </c>
      <c r="I3" t="e">
        <f t="shared" ca="1" si="1"/>
        <v>#VALUE!</v>
      </c>
      <c r="J3" t="e">
        <f t="shared" ca="1" si="1"/>
        <v>#VALUE!</v>
      </c>
      <c r="K3" s="32" t="e" cm="1">
        <f t="array" aca="1" ref="K3" ca="1">INDIRECT(CONCATENATE("'",HLOOKUP(K$1,$B$21:$E$23,3,FALSE),"'!",$B$25,ROW($A3)+5))*About!$A$27</f>
        <v>#VALUE!</v>
      </c>
      <c r="L3" t="e">
        <f t="shared" ref="L3:L12" ca="1" si="5">$K3+($P3-$K3)*(L$1-$K$1)/($P$1-$K$1)</f>
        <v>#VALUE!</v>
      </c>
      <c r="M3" t="e">
        <f t="shared" ca="1" si="2"/>
        <v>#VALUE!</v>
      </c>
      <c r="N3" t="e">
        <f t="shared" ca="1" si="2"/>
        <v>#VALUE!</v>
      </c>
      <c r="O3" t="e">
        <f t="shared" ca="1" si="2"/>
        <v>#VALUE!</v>
      </c>
      <c r="P3" s="32" t="e" cm="1">
        <f t="array" aca="1" ref="P3" ca="1">INDIRECT(CONCATENATE("'",HLOOKUP(P$1,$B$21:$E$23,3,FALSE),"'!",$B$25,ROW($A3)+5))*About!$A$27</f>
        <v>#VALUE!</v>
      </c>
      <c r="Q3" t="e" cm="1">
        <f t="array" aca="1" ref="Q3" ca="1">TREND($K3:$P3,$K$1:$P$1,Q$1)</f>
        <v>#VALUE!</v>
      </c>
      <c r="R3" t="e" cm="1">
        <f t="array" aca="1" ref="R3" ca="1">TREND($K3:$P3,$K$1:$P$1,R$1)</f>
        <v>#VALUE!</v>
      </c>
      <c r="S3" t="e" cm="1">
        <f t="array" aca="1" ref="S3" ca="1">TREND($K3:$P3,$K$1:$P$1,S$1)</f>
        <v>#VALUE!</v>
      </c>
      <c r="T3" t="e" cm="1">
        <f t="array" aca="1" ref="T3" ca="1">TREND($K3:$P3,$K$1:$P$1,T$1)</f>
        <v>#VALUE!</v>
      </c>
      <c r="U3" t="e" cm="1">
        <f t="array" aca="1" ref="U3" ca="1">TREND($K3:$P3,$K$1:$P$1,U$1)</f>
        <v>#VALUE!</v>
      </c>
      <c r="V3" t="e" cm="1">
        <f t="array" aca="1" ref="V3" ca="1">TREND($K3:$P3,$K$1:$P$1,V$1)</f>
        <v>#VALUE!</v>
      </c>
      <c r="W3" t="e" cm="1">
        <f t="array" aca="1" ref="W3" ca="1">TREND($K3:$P3,$K$1:$P$1,W$1)</f>
        <v>#VALUE!</v>
      </c>
      <c r="X3" t="e" cm="1">
        <f t="array" aca="1" ref="X3" ca="1">TREND($K3:$P3,$K$1:$P$1,X$1)</f>
        <v>#VALUE!</v>
      </c>
      <c r="Y3" t="e" cm="1">
        <f t="array" aca="1" ref="Y3" ca="1">TREND($K3:$P3,$K$1:$P$1,Y$1)</f>
        <v>#VALUE!</v>
      </c>
      <c r="Z3" t="e" cm="1">
        <f t="array" aca="1" ref="Z3" ca="1">TREND($K3:$P3,$K$1:$P$1,Z$1)</f>
        <v>#VALUE!</v>
      </c>
      <c r="AA3" t="e" cm="1">
        <f t="array" aca="1" ref="AA3" ca="1">TREND($K3:$P3,$K$1:$P$1,AA$1)</f>
        <v>#VALUE!</v>
      </c>
      <c r="AB3" t="e" cm="1">
        <f t="array" aca="1" ref="AB3" ca="1">TREND($K3:$P3,$K$1:$P$1,AB$1)</f>
        <v>#VALUE!</v>
      </c>
      <c r="AC3" t="e" cm="1">
        <f t="array" aca="1" ref="AC3" ca="1">TREND($K3:$P3,$K$1:$P$1,AC$1)</f>
        <v>#VALUE!</v>
      </c>
      <c r="AD3" t="e" cm="1">
        <f t="array" aca="1" ref="AD3" ca="1">TREND($K3:$P3,$K$1:$P$1,AD$1)</f>
        <v>#VALUE!</v>
      </c>
      <c r="AE3" t="e" cm="1">
        <f t="array" aca="1" ref="AE3" ca="1">TREND($K3:$P3,$K$1:$P$1,AE$1)</f>
        <v>#VALUE!</v>
      </c>
      <c r="AF3" t="e" cm="1">
        <f t="array" aca="1" ref="AF3" ca="1">TREND($K3:$P3,$K$1:$P$1,AF$1)</f>
        <v>#VALUE!</v>
      </c>
      <c r="AG3" t="e" cm="1">
        <f t="array" aca="1" ref="AG3" ca="1">TREND($K3:$P3,$K$1:$P$1,AG$1)</f>
        <v>#VALUE!</v>
      </c>
      <c r="AH3" t="e" cm="1">
        <f t="array" aca="1" ref="AH3" ca="1">TREND($K3:$P3,$K$1:$P$1,AH$1)</f>
        <v>#VALUE!</v>
      </c>
      <c r="AI3" t="e" cm="1">
        <f t="array" aca="1" ref="AI3" ca="1">TREND($K3:$P3,$K$1:$P$1,AI$1)</f>
        <v>#VALUE!</v>
      </c>
      <c r="AJ3" t="e" cm="1">
        <f t="array" aca="1" ref="AJ3" ca="1">TREND($K3:$P3,$K$1:$P$1,AJ$1)</f>
        <v>#VALUE!</v>
      </c>
    </row>
    <row r="4" spans="1:36">
      <c r="A4" t="s">
        <v>77</v>
      </c>
      <c r="B4" s="32" t="e" cm="1">
        <f t="array" aca="1" ref="B4" ca="1">INDIRECT(CONCATENATE("'",HLOOKUP(B$1,$B$21:$E$23,3,FALSE),"'!",$B$25,ROW($A4)+5))*About!$A$27</f>
        <v>#VALUE!</v>
      </c>
      <c r="C4" t="e">
        <f t="shared" ca="1" si="3"/>
        <v>#VALUE!</v>
      </c>
      <c r="D4" t="e">
        <f t="shared" ca="1" si="0"/>
        <v>#VALUE!</v>
      </c>
      <c r="E4" t="e">
        <f t="shared" ca="1" si="0"/>
        <v>#VALUE!</v>
      </c>
      <c r="F4" s="32" t="e" cm="1">
        <f t="array" aca="1" ref="F4" ca="1">INDIRECT(CONCATENATE("'",HLOOKUP(F$1,$B$21:$E$23,3,FALSE),"'!",$B$25,ROW($A4)+5))*About!$A$27</f>
        <v>#VALUE!</v>
      </c>
      <c r="G4" t="e">
        <f t="shared" ca="1" si="4"/>
        <v>#VALUE!</v>
      </c>
      <c r="H4" t="e">
        <f t="shared" ca="1" si="1"/>
        <v>#VALUE!</v>
      </c>
      <c r="I4" t="e">
        <f t="shared" ca="1" si="1"/>
        <v>#VALUE!</v>
      </c>
      <c r="J4" t="e">
        <f t="shared" ca="1" si="1"/>
        <v>#VALUE!</v>
      </c>
      <c r="K4" s="32" t="e" cm="1">
        <f t="array" aca="1" ref="K4" ca="1">INDIRECT(CONCATENATE("'",HLOOKUP(K$1,$B$21:$E$23,3,FALSE),"'!",$B$25,ROW($A4)+5))*About!$A$27</f>
        <v>#VALUE!</v>
      </c>
      <c r="L4" t="e">
        <f t="shared" ca="1" si="5"/>
        <v>#VALUE!</v>
      </c>
      <c r="M4" t="e">
        <f t="shared" ca="1" si="2"/>
        <v>#VALUE!</v>
      </c>
      <c r="N4" t="e">
        <f t="shared" ca="1" si="2"/>
        <v>#VALUE!</v>
      </c>
      <c r="O4" t="e">
        <f t="shared" ca="1" si="2"/>
        <v>#VALUE!</v>
      </c>
      <c r="P4" s="32" t="e" cm="1">
        <f t="array" aca="1" ref="P4" ca="1">INDIRECT(CONCATENATE("'",HLOOKUP(P$1,$B$21:$E$23,3,FALSE),"'!",$B$25,ROW($A4)+5))*About!$A$27</f>
        <v>#VALUE!</v>
      </c>
      <c r="Q4" t="e" cm="1">
        <f t="array" aca="1" ref="Q4" ca="1">TREND($K4:$P4,$K$1:$P$1,Q$1)</f>
        <v>#VALUE!</v>
      </c>
      <c r="R4" t="e" cm="1">
        <f t="array" aca="1" ref="R4" ca="1">TREND($K4:$P4,$K$1:$P$1,R$1)</f>
        <v>#VALUE!</v>
      </c>
      <c r="S4" t="e" cm="1">
        <f t="array" aca="1" ref="S4" ca="1">TREND($K4:$P4,$K$1:$P$1,S$1)</f>
        <v>#VALUE!</v>
      </c>
      <c r="T4" t="e" cm="1">
        <f t="array" aca="1" ref="T4" ca="1">TREND($K4:$P4,$K$1:$P$1,T$1)</f>
        <v>#VALUE!</v>
      </c>
      <c r="U4" t="e" cm="1">
        <f t="array" aca="1" ref="U4" ca="1">TREND($K4:$P4,$K$1:$P$1,U$1)</f>
        <v>#VALUE!</v>
      </c>
      <c r="V4" t="e" cm="1">
        <f t="array" aca="1" ref="V4" ca="1">TREND($K4:$P4,$K$1:$P$1,V$1)</f>
        <v>#VALUE!</v>
      </c>
      <c r="W4" t="e" cm="1">
        <f t="array" aca="1" ref="W4" ca="1">TREND($K4:$P4,$K$1:$P$1,W$1)</f>
        <v>#VALUE!</v>
      </c>
      <c r="X4" t="e" cm="1">
        <f t="array" aca="1" ref="X4" ca="1">TREND($K4:$P4,$K$1:$P$1,X$1)</f>
        <v>#VALUE!</v>
      </c>
      <c r="Y4" t="e" cm="1">
        <f t="array" aca="1" ref="Y4" ca="1">TREND($K4:$P4,$K$1:$P$1,Y$1)</f>
        <v>#VALUE!</v>
      </c>
      <c r="Z4" t="e" cm="1">
        <f t="array" aca="1" ref="Z4" ca="1">TREND($K4:$P4,$K$1:$P$1,Z$1)</f>
        <v>#VALUE!</v>
      </c>
      <c r="AA4" t="e" cm="1">
        <f t="array" aca="1" ref="AA4" ca="1">TREND($K4:$P4,$K$1:$P$1,AA$1)</f>
        <v>#VALUE!</v>
      </c>
      <c r="AB4" t="e" cm="1">
        <f t="array" aca="1" ref="AB4" ca="1">TREND($K4:$P4,$K$1:$P$1,AB$1)</f>
        <v>#VALUE!</v>
      </c>
      <c r="AC4" t="e" cm="1">
        <f t="array" aca="1" ref="AC4" ca="1">TREND($K4:$P4,$K$1:$P$1,AC$1)</f>
        <v>#VALUE!</v>
      </c>
      <c r="AD4" t="e" cm="1">
        <f t="array" aca="1" ref="AD4" ca="1">TREND($K4:$P4,$K$1:$P$1,AD$1)</f>
        <v>#VALUE!</v>
      </c>
      <c r="AE4" t="e" cm="1">
        <f t="array" aca="1" ref="AE4" ca="1">TREND($K4:$P4,$K$1:$P$1,AE$1)</f>
        <v>#VALUE!</v>
      </c>
      <c r="AF4" t="e" cm="1">
        <f t="array" aca="1" ref="AF4" ca="1">TREND($K4:$P4,$K$1:$P$1,AF$1)</f>
        <v>#VALUE!</v>
      </c>
      <c r="AG4" t="e" cm="1">
        <f t="array" aca="1" ref="AG4" ca="1">TREND($K4:$P4,$K$1:$P$1,AG$1)</f>
        <v>#VALUE!</v>
      </c>
      <c r="AH4" t="e" cm="1">
        <f t="array" aca="1" ref="AH4" ca="1">TREND($K4:$P4,$K$1:$P$1,AH$1)</f>
        <v>#VALUE!</v>
      </c>
      <c r="AI4" t="e" cm="1">
        <f t="array" aca="1" ref="AI4" ca="1">TREND($K4:$P4,$K$1:$P$1,AI$1)</f>
        <v>#VALUE!</v>
      </c>
      <c r="AJ4" t="e" cm="1">
        <f t="array" aca="1" ref="AJ4" ca="1">TREND($K4:$P4,$K$1:$P$1,AJ$1)</f>
        <v>#VALUE!</v>
      </c>
    </row>
    <row r="5" spans="1:36">
      <c r="A5" t="s">
        <v>78</v>
      </c>
      <c r="B5" s="32" t="e" cm="1">
        <f t="array" aca="1" ref="B5" ca="1">INDIRECT(CONCATENATE("'",HLOOKUP(B$1,$B$21:$E$23,3,FALSE),"'!",$B$25,ROW($A5)+5))*About!$A$27</f>
        <v>#VALUE!</v>
      </c>
      <c r="C5" t="e">
        <f t="shared" ca="1" si="3"/>
        <v>#VALUE!</v>
      </c>
      <c r="D5" t="e">
        <f t="shared" ca="1" si="0"/>
        <v>#VALUE!</v>
      </c>
      <c r="E5" t="e">
        <f t="shared" ca="1" si="0"/>
        <v>#VALUE!</v>
      </c>
      <c r="F5" s="32" t="e" cm="1">
        <f t="array" aca="1" ref="F5" ca="1">INDIRECT(CONCATENATE("'",HLOOKUP(F$1,$B$21:$E$23,3,FALSE),"'!",$B$25,ROW($A5)+5))*About!$A$27</f>
        <v>#VALUE!</v>
      </c>
      <c r="G5" t="e">
        <f t="shared" ca="1" si="4"/>
        <v>#VALUE!</v>
      </c>
      <c r="H5" t="e">
        <f t="shared" ca="1" si="1"/>
        <v>#VALUE!</v>
      </c>
      <c r="I5" t="e">
        <f t="shared" ca="1" si="1"/>
        <v>#VALUE!</v>
      </c>
      <c r="J5" t="e">
        <f t="shared" ca="1" si="1"/>
        <v>#VALUE!</v>
      </c>
      <c r="K5" s="32" t="e" cm="1">
        <f t="array" aca="1" ref="K5" ca="1">INDIRECT(CONCATENATE("'",HLOOKUP(K$1,$B$21:$E$23,3,FALSE),"'!",$B$25,ROW($A5)+5))*About!$A$27</f>
        <v>#VALUE!</v>
      </c>
      <c r="L5" t="e">
        <f t="shared" ca="1" si="5"/>
        <v>#VALUE!</v>
      </c>
      <c r="M5" t="e">
        <f t="shared" ca="1" si="2"/>
        <v>#VALUE!</v>
      </c>
      <c r="N5" t="e">
        <f t="shared" ca="1" si="2"/>
        <v>#VALUE!</v>
      </c>
      <c r="O5" t="e">
        <f t="shared" ca="1" si="2"/>
        <v>#VALUE!</v>
      </c>
      <c r="P5" s="32" t="e" cm="1">
        <f t="array" aca="1" ref="P5" ca="1">INDIRECT(CONCATENATE("'",HLOOKUP(P$1,$B$21:$E$23,3,FALSE),"'!",$B$25,ROW($A5)+5))*About!$A$27</f>
        <v>#VALUE!</v>
      </c>
      <c r="Q5" t="e" cm="1">
        <f t="array" aca="1" ref="Q5" ca="1">TREND($K5:$P5,$K$1:$P$1,Q$1)</f>
        <v>#VALUE!</v>
      </c>
      <c r="R5" t="e" cm="1">
        <f t="array" aca="1" ref="R5" ca="1">TREND($K5:$P5,$K$1:$P$1,R$1)</f>
        <v>#VALUE!</v>
      </c>
      <c r="S5" t="e" cm="1">
        <f t="array" aca="1" ref="S5" ca="1">TREND($K5:$P5,$K$1:$P$1,S$1)</f>
        <v>#VALUE!</v>
      </c>
      <c r="T5" t="e" cm="1">
        <f t="array" aca="1" ref="T5" ca="1">TREND($K5:$P5,$K$1:$P$1,T$1)</f>
        <v>#VALUE!</v>
      </c>
      <c r="U5" t="e" cm="1">
        <f t="array" aca="1" ref="U5" ca="1">TREND($K5:$P5,$K$1:$P$1,U$1)</f>
        <v>#VALUE!</v>
      </c>
      <c r="V5" t="e" cm="1">
        <f t="array" aca="1" ref="V5" ca="1">TREND($K5:$P5,$K$1:$P$1,V$1)</f>
        <v>#VALUE!</v>
      </c>
      <c r="W5" t="e" cm="1">
        <f t="array" aca="1" ref="W5" ca="1">TREND($K5:$P5,$K$1:$P$1,W$1)</f>
        <v>#VALUE!</v>
      </c>
      <c r="X5" t="e" cm="1">
        <f t="array" aca="1" ref="X5" ca="1">TREND($K5:$P5,$K$1:$P$1,X$1)</f>
        <v>#VALUE!</v>
      </c>
      <c r="Y5" t="e" cm="1">
        <f t="array" aca="1" ref="Y5" ca="1">TREND($K5:$P5,$K$1:$P$1,Y$1)</f>
        <v>#VALUE!</v>
      </c>
      <c r="Z5" t="e" cm="1">
        <f t="array" aca="1" ref="Z5" ca="1">TREND($K5:$P5,$K$1:$P$1,Z$1)</f>
        <v>#VALUE!</v>
      </c>
      <c r="AA5" t="e" cm="1">
        <f t="array" aca="1" ref="AA5" ca="1">TREND($K5:$P5,$K$1:$P$1,AA$1)</f>
        <v>#VALUE!</v>
      </c>
      <c r="AB5" t="e" cm="1">
        <f t="array" aca="1" ref="AB5" ca="1">TREND($K5:$P5,$K$1:$P$1,AB$1)</f>
        <v>#VALUE!</v>
      </c>
      <c r="AC5" t="e" cm="1">
        <f t="array" aca="1" ref="AC5" ca="1">TREND($K5:$P5,$K$1:$P$1,AC$1)</f>
        <v>#VALUE!</v>
      </c>
      <c r="AD5" t="e" cm="1">
        <f t="array" aca="1" ref="AD5" ca="1">TREND($K5:$P5,$K$1:$P$1,AD$1)</f>
        <v>#VALUE!</v>
      </c>
      <c r="AE5" t="e" cm="1">
        <f t="array" aca="1" ref="AE5" ca="1">TREND($K5:$P5,$K$1:$P$1,AE$1)</f>
        <v>#VALUE!</v>
      </c>
      <c r="AF5" t="e" cm="1">
        <f t="array" aca="1" ref="AF5" ca="1">TREND($K5:$P5,$K$1:$P$1,AF$1)</f>
        <v>#VALUE!</v>
      </c>
      <c r="AG5" t="e" cm="1">
        <f t="array" aca="1" ref="AG5" ca="1">TREND($K5:$P5,$K$1:$P$1,AG$1)</f>
        <v>#VALUE!</v>
      </c>
      <c r="AH5" t="e" cm="1">
        <f t="array" aca="1" ref="AH5" ca="1">TREND($K5:$P5,$K$1:$P$1,AH$1)</f>
        <v>#VALUE!</v>
      </c>
      <c r="AI5" t="e" cm="1">
        <f t="array" aca="1" ref="AI5" ca="1">TREND($K5:$P5,$K$1:$P$1,AI$1)</f>
        <v>#VALUE!</v>
      </c>
      <c r="AJ5" t="e" cm="1">
        <f t="array" aca="1" ref="AJ5" ca="1">TREND($K5:$P5,$K$1:$P$1,AJ$1)</f>
        <v>#VALUE!</v>
      </c>
    </row>
    <row r="6" spans="1:36">
      <c r="A6" t="s">
        <v>79</v>
      </c>
      <c r="B6" s="32" t="e" cm="1">
        <f t="array" aca="1" ref="B6" ca="1">INDIRECT(CONCATENATE("'",HLOOKUP(B$1,$B$21:$E$23,3,FALSE),"'!",$B$25,ROW($A6)+5))*About!$A$27</f>
        <v>#VALUE!</v>
      </c>
      <c r="C6" t="e">
        <f t="shared" ca="1" si="3"/>
        <v>#VALUE!</v>
      </c>
      <c r="D6" t="e">
        <f t="shared" ca="1" si="0"/>
        <v>#VALUE!</v>
      </c>
      <c r="E6" t="e">
        <f t="shared" ca="1" si="0"/>
        <v>#VALUE!</v>
      </c>
      <c r="F6" s="32" t="e" cm="1">
        <f t="array" aca="1" ref="F6" ca="1">INDIRECT(CONCATENATE("'",HLOOKUP(F$1,$B$21:$E$23,3,FALSE),"'!",$B$25,ROW($A6)+5))*About!$A$27</f>
        <v>#VALUE!</v>
      </c>
      <c r="G6" t="e">
        <f t="shared" ca="1" si="4"/>
        <v>#VALUE!</v>
      </c>
      <c r="H6" t="e">
        <f t="shared" ca="1" si="1"/>
        <v>#VALUE!</v>
      </c>
      <c r="I6" t="e">
        <f t="shared" ca="1" si="1"/>
        <v>#VALUE!</v>
      </c>
      <c r="J6" t="e">
        <f t="shared" ca="1" si="1"/>
        <v>#VALUE!</v>
      </c>
      <c r="K6" s="32" t="e" cm="1">
        <f t="array" aca="1" ref="K6" ca="1">INDIRECT(CONCATENATE("'",HLOOKUP(K$1,$B$21:$E$23,3,FALSE),"'!",$B$25,ROW($A6)+5))*About!$A$27</f>
        <v>#VALUE!</v>
      </c>
      <c r="L6" t="e">
        <f t="shared" ca="1" si="5"/>
        <v>#VALUE!</v>
      </c>
      <c r="M6" t="e">
        <f t="shared" ca="1" si="2"/>
        <v>#VALUE!</v>
      </c>
      <c r="N6" t="e">
        <f t="shared" ca="1" si="2"/>
        <v>#VALUE!</v>
      </c>
      <c r="O6" t="e">
        <f t="shared" ca="1" si="2"/>
        <v>#VALUE!</v>
      </c>
      <c r="P6" s="32" t="e" cm="1">
        <f t="array" aca="1" ref="P6" ca="1">INDIRECT(CONCATENATE("'",HLOOKUP(P$1,$B$21:$E$23,3,FALSE),"'!",$B$25,ROW($A6)+5))*About!$A$27</f>
        <v>#VALUE!</v>
      </c>
      <c r="Q6" t="e" cm="1">
        <f t="array" aca="1" ref="Q6" ca="1">TREND($K6:$P6,$K$1:$P$1,Q$1)</f>
        <v>#VALUE!</v>
      </c>
      <c r="R6" t="e" cm="1">
        <f t="array" aca="1" ref="R6" ca="1">TREND($K6:$P6,$K$1:$P$1,R$1)</f>
        <v>#VALUE!</v>
      </c>
      <c r="S6" t="e" cm="1">
        <f t="array" aca="1" ref="S6" ca="1">TREND($K6:$P6,$K$1:$P$1,S$1)</f>
        <v>#VALUE!</v>
      </c>
      <c r="T6" t="e" cm="1">
        <f t="array" aca="1" ref="T6" ca="1">TREND($K6:$P6,$K$1:$P$1,T$1)</f>
        <v>#VALUE!</v>
      </c>
      <c r="U6" t="e" cm="1">
        <f t="array" aca="1" ref="U6" ca="1">TREND($K6:$P6,$K$1:$P$1,U$1)</f>
        <v>#VALUE!</v>
      </c>
      <c r="V6" t="e" cm="1">
        <f t="array" aca="1" ref="V6" ca="1">TREND($K6:$P6,$K$1:$P$1,V$1)</f>
        <v>#VALUE!</v>
      </c>
      <c r="W6" t="e" cm="1">
        <f t="array" aca="1" ref="W6" ca="1">TREND($K6:$P6,$K$1:$P$1,W$1)</f>
        <v>#VALUE!</v>
      </c>
      <c r="X6" t="e" cm="1">
        <f t="array" aca="1" ref="X6" ca="1">TREND($K6:$P6,$K$1:$P$1,X$1)</f>
        <v>#VALUE!</v>
      </c>
      <c r="Y6" t="e" cm="1">
        <f t="array" aca="1" ref="Y6" ca="1">TREND($K6:$P6,$K$1:$P$1,Y$1)</f>
        <v>#VALUE!</v>
      </c>
      <c r="Z6" t="e" cm="1">
        <f t="array" aca="1" ref="Z6" ca="1">TREND($K6:$P6,$K$1:$P$1,Z$1)</f>
        <v>#VALUE!</v>
      </c>
      <c r="AA6" t="e" cm="1">
        <f t="array" aca="1" ref="AA6" ca="1">TREND($K6:$P6,$K$1:$P$1,AA$1)</f>
        <v>#VALUE!</v>
      </c>
      <c r="AB6" t="e" cm="1">
        <f t="array" aca="1" ref="AB6" ca="1">TREND($K6:$P6,$K$1:$P$1,AB$1)</f>
        <v>#VALUE!</v>
      </c>
      <c r="AC6" t="e" cm="1">
        <f t="array" aca="1" ref="AC6" ca="1">TREND($K6:$P6,$K$1:$P$1,AC$1)</f>
        <v>#VALUE!</v>
      </c>
      <c r="AD6" t="e" cm="1">
        <f t="array" aca="1" ref="AD6" ca="1">TREND($K6:$P6,$K$1:$P$1,AD$1)</f>
        <v>#VALUE!</v>
      </c>
      <c r="AE6" t="e" cm="1">
        <f t="array" aca="1" ref="AE6" ca="1">TREND($K6:$P6,$K$1:$P$1,AE$1)</f>
        <v>#VALUE!</v>
      </c>
      <c r="AF6" t="e" cm="1">
        <f t="array" aca="1" ref="AF6" ca="1">TREND($K6:$P6,$K$1:$P$1,AF$1)</f>
        <v>#VALUE!</v>
      </c>
      <c r="AG6" t="e" cm="1">
        <f t="array" aca="1" ref="AG6" ca="1">TREND($K6:$P6,$K$1:$P$1,AG$1)</f>
        <v>#VALUE!</v>
      </c>
      <c r="AH6" t="e" cm="1">
        <f t="array" aca="1" ref="AH6" ca="1">TREND($K6:$P6,$K$1:$P$1,AH$1)</f>
        <v>#VALUE!</v>
      </c>
      <c r="AI6" t="e" cm="1">
        <f t="array" aca="1" ref="AI6" ca="1">TREND($K6:$P6,$K$1:$P$1,AI$1)</f>
        <v>#VALUE!</v>
      </c>
      <c r="AJ6" t="e" cm="1">
        <f t="array" aca="1" ref="AJ6" ca="1">TREND($K6:$P6,$K$1:$P$1,AJ$1)</f>
        <v>#VALUE!</v>
      </c>
    </row>
    <row r="7" spans="1:36">
      <c r="A7" t="s">
        <v>80</v>
      </c>
      <c r="B7" s="32" t="e" cm="1">
        <f t="array" aca="1" ref="B7" ca="1">INDIRECT(CONCATENATE("'",HLOOKUP(B$1,$B$21:$E$23,3,FALSE),"'!",$B$25,ROW($A7)+5))*About!$A$27</f>
        <v>#VALUE!</v>
      </c>
      <c r="C7" t="e">
        <f t="shared" ca="1" si="3"/>
        <v>#VALUE!</v>
      </c>
      <c r="D7" t="e">
        <f t="shared" ca="1" si="0"/>
        <v>#VALUE!</v>
      </c>
      <c r="E7" t="e">
        <f t="shared" ca="1" si="0"/>
        <v>#VALUE!</v>
      </c>
      <c r="F7" s="32" t="e" cm="1">
        <f t="array" aca="1" ref="F7" ca="1">INDIRECT(CONCATENATE("'",HLOOKUP(F$1,$B$21:$E$23,3,FALSE),"'!",$B$25,ROW($A7)+5))*About!$A$27</f>
        <v>#VALUE!</v>
      </c>
      <c r="G7" t="e">
        <f t="shared" ca="1" si="4"/>
        <v>#VALUE!</v>
      </c>
      <c r="H7" t="e">
        <f t="shared" ca="1" si="1"/>
        <v>#VALUE!</v>
      </c>
      <c r="I7" t="e">
        <f t="shared" ca="1" si="1"/>
        <v>#VALUE!</v>
      </c>
      <c r="J7" t="e">
        <f t="shared" ca="1" si="1"/>
        <v>#VALUE!</v>
      </c>
      <c r="K7" s="32" t="e" cm="1">
        <f t="array" aca="1" ref="K7" ca="1">INDIRECT(CONCATENATE("'",HLOOKUP(K$1,$B$21:$E$23,3,FALSE),"'!",$B$25,ROW($A7)+5))*About!$A$27</f>
        <v>#VALUE!</v>
      </c>
      <c r="L7" t="e">
        <f t="shared" ca="1" si="5"/>
        <v>#VALUE!</v>
      </c>
      <c r="M7" t="e">
        <f t="shared" ca="1" si="2"/>
        <v>#VALUE!</v>
      </c>
      <c r="N7" t="e">
        <f t="shared" ca="1" si="2"/>
        <v>#VALUE!</v>
      </c>
      <c r="O7" t="e">
        <f t="shared" ca="1" si="2"/>
        <v>#VALUE!</v>
      </c>
      <c r="P7" s="32" t="e" cm="1">
        <f t="array" aca="1" ref="P7" ca="1">INDIRECT(CONCATENATE("'",HLOOKUP(P$1,$B$21:$E$23,3,FALSE),"'!",$B$25,ROW($A7)+5))*About!$A$27</f>
        <v>#VALUE!</v>
      </c>
      <c r="Q7" t="e" cm="1">
        <f t="array" aca="1" ref="Q7" ca="1">TREND($K7:$P7,$K$1:$P$1,Q$1)</f>
        <v>#VALUE!</v>
      </c>
      <c r="R7" t="e" cm="1">
        <f t="array" aca="1" ref="R7" ca="1">TREND($K7:$P7,$K$1:$P$1,R$1)</f>
        <v>#VALUE!</v>
      </c>
      <c r="S7" t="e" cm="1">
        <f t="array" aca="1" ref="S7" ca="1">TREND($K7:$P7,$K$1:$P$1,S$1)</f>
        <v>#VALUE!</v>
      </c>
      <c r="T7" t="e" cm="1">
        <f t="array" aca="1" ref="T7" ca="1">TREND($K7:$P7,$K$1:$P$1,T$1)</f>
        <v>#VALUE!</v>
      </c>
      <c r="U7" t="e" cm="1">
        <f t="array" aca="1" ref="U7" ca="1">TREND($K7:$P7,$K$1:$P$1,U$1)</f>
        <v>#VALUE!</v>
      </c>
      <c r="V7" t="e" cm="1">
        <f t="array" aca="1" ref="V7" ca="1">TREND($K7:$P7,$K$1:$P$1,V$1)</f>
        <v>#VALUE!</v>
      </c>
      <c r="W7" t="e" cm="1">
        <f t="array" aca="1" ref="W7" ca="1">TREND($K7:$P7,$K$1:$P$1,W$1)</f>
        <v>#VALUE!</v>
      </c>
      <c r="X7" t="e" cm="1">
        <f t="array" aca="1" ref="X7" ca="1">TREND($K7:$P7,$K$1:$P$1,X$1)</f>
        <v>#VALUE!</v>
      </c>
      <c r="Y7" t="e" cm="1">
        <f t="array" aca="1" ref="Y7" ca="1">TREND($K7:$P7,$K$1:$P$1,Y$1)</f>
        <v>#VALUE!</v>
      </c>
      <c r="Z7" t="e" cm="1">
        <f t="array" aca="1" ref="Z7" ca="1">TREND($K7:$P7,$K$1:$P$1,Z$1)</f>
        <v>#VALUE!</v>
      </c>
      <c r="AA7" t="e" cm="1">
        <f t="array" aca="1" ref="AA7" ca="1">TREND($K7:$P7,$K$1:$P$1,AA$1)</f>
        <v>#VALUE!</v>
      </c>
      <c r="AB7" t="e" cm="1">
        <f t="array" aca="1" ref="AB7" ca="1">TREND($K7:$P7,$K$1:$P$1,AB$1)</f>
        <v>#VALUE!</v>
      </c>
      <c r="AC7" t="e" cm="1">
        <f t="array" aca="1" ref="AC7" ca="1">TREND($K7:$P7,$K$1:$P$1,AC$1)</f>
        <v>#VALUE!</v>
      </c>
      <c r="AD7" t="e" cm="1">
        <f t="array" aca="1" ref="AD7" ca="1">TREND($K7:$P7,$K$1:$P$1,AD$1)</f>
        <v>#VALUE!</v>
      </c>
      <c r="AE7" t="e" cm="1">
        <f t="array" aca="1" ref="AE7" ca="1">TREND($K7:$P7,$K$1:$P$1,AE$1)</f>
        <v>#VALUE!</v>
      </c>
      <c r="AF7" t="e" cm="1">
        <f t="array" aca="1" ref="AF7" ca="1">TREND($K7:$P7,$K$1:$P$1,AF$1)</f>
        <v>#VALUE!</v>
      </c>
      <c r="AG7" t="e" cm="1">
        <f t="array" aca="1" ref="AG7" ca="1">TREND($K7:$P7,$K$1:$P$1,AG$1)</f>
        <v>#VALUE!</v>
      </c>
      <c r="AH7" t="e" cm="1">
        <f t="array" aca="1" ref="AH7" ca="1">TREND($K7:$P7,$K$1:$P$1,AH$1)</f>
        <v>#VALUE!</v>
      </c>
      <c r="AI7" t="e" cm="1">
        <f t="array" aca="1" ref="AI7" ca="1">TREND($K7:$P7,$K$1:$P$1,AI$1)</f>
        <v>#VALUE!</v>
      </c>
      <c r="AJ7" t="e" cm="1">
        <f t="array" aca="1" ref="AJ7" ca="1">TREND($K7:$P7,$K$1:$P$1,AJ$1)</f>
        <v>#VALUE!</v>
      </c>
    </row>
    <row r="8" spans="1:36">
      <c r="A8" t="s">
        <v>81</v>
      </c>
      <c r="B8" s="32" t="e" cm="1">
        <f t="array" aca="1" ref="B8" ca="1">INDIRECT(CONCATENATE("'",HLOOKUP(B$1,$B$21:$E$23,3,FALSE),"'!",$B$25,ROW($A8)+5))*About!$A$27</f>
        <v>#VALUE!</v>
      </c>
      <c r="C8" t="e">
        <f t="shared" ca="1" si="3"/>
        <v>#VALUE!</v>
      </c>
      <c r="D8" t="e">
        <f t="shared" ca="1" si="0"/>
        <v>#VALUE!</v>
      </c>
      <c r="E8" t="e">
        <f t="shared" ca="1" si="0"/>
        <v>#VALUE!</v>
      </c>
      <c r="F8" s="32" t="e" cm="1">
        <f t="array" aca="1" ref="F8" ca="1">INDIRECT(CONCATENATE("'",HLOOKUP(F$1,$B$21:$E$23,3,FALSE),"'!",$B$25,ROW($A8)+5))*About!$A$27</f>
        <v>#VALUE!</v>
      </c>
      <c r="G8" t="e">
        <f t="shared" ca="1" si="4"/>
        <v>#VALUE!</v>
      </c>
      <c r="H8" t="e">
        <f t="shared" ca="1" si="1"/>
        <v>#VALUE!</v>
      </c>
      <c r="I8" t="e">
        <f t="shared" ca="1" si="1"/>
        <v>#VALUE!</v>
      </c>
      <c r="J8" t="e">
        <f t="shared" ca="1" si="1"/>
        <v>#VALUE!</v>
      </c>
      <c r="K8" s="32" t="e" cm="1">
        <f t="array" aca="1" ref="K8" ca="1">INDIRECT(CONCATENATE("'",HLOOKUP(K$1,$B$21:$E$23,3,FALSE),"'!",$B$25,ROW($A8)+5))*About!$A$27</f>
        <v>#VALUE!</v>
      </c>
      <c r="L8" t="e">
        <f t="shared" ca="1" si="5"/>
        <v>#VALUE!</v>
      </c>
      <c r="M8" t="e">
        <f t="shared" ca="1" si="2"/>
        <v>#VALUE!</v>
      </c>
      <c r="N8" t="e">
        <f t="shared" ca="1" si="2"/>
        <v>#VALUE!</v>
      </c>
      <c r="O8" t="e">
        <f t="shared" ca="1" si="2"/>
        <v>#VALUE!</v>
      </c>
      <c r="P8" s="32" t="e" cm="1">
        <f t="array" aca="1" ref="P8" ca="1">INDIRECT(CONCATENATE("'",HLOOKUP(P$1,$B$21:$E$23,3,FALSE),"'!",$B$25,ROW($A8)+5))*About!$A$27</f>
        <v>#VALUE!</v>
      </c>
      <c r="Q8" t="e" cm="1">
        <f t="array" aca="1" ref="Q8" ca="1">TREND($K8:$P8,$K$1:$P$1,Q$1)</f>
        <v>#VALUE!</v>
      </c>
      <c r="R8" t="e" cm="1">
        <f t="array" aca="1" ref="R8" ca="1">TREND($K8:$P8,$K$1:$P$1,R$1)</f>
        <v>#VALUE!</v>
      </c>
      <c r="S8" t="e" cm="1">
        <f t="array" aca="1" ref="S8" ca="1">TREND($K8:$P8,$K$1:$P$1,S$1)</f>
        <v>#VALUE!</v>
      </c>
      <c r="T8" t="e" cm="1">
        <f t="array" aca="1" ref="T8" ca="1">TREND($K8:$P8,$K$1:$P$1,T$1)</f>
        <v>#VALUE!</v>
      </c>
      <c r="U8" t="e" cm="1">
        <f t="array" aca="1" ref="U8" ca="1">TREND($K8:$P8,$K$1:$P$1,U$1)</f>
        <v>#VALUE!</v>
      </c>
      <c r="V8" t="e" cm="1">
        <f t="array" aca="1" ref="V8" ca="1">TREND($K8:$P8,$K$1:$P$1,V$1)</f>
        <v>#VALUE!</v>
      </c>
      <c r="W8" t="e" cm="1">
        <f t="array" aca="1" ref="W8" ca="1">TREND($K8:$P8,$K$1:$P$1,W$1)</f>
        <v>#VALUE!</v>
      </c>
      <c r="X8" t="e" cm="1">
        <f t="array" aca="1" ref="X8" ca="1">TREND($K8:$P8,$K$1:$P$1,X$1)</f>
        <v>#VALUE!</v>
      </c>
      <c r="Y8" t="e" cm="1">
        <f t="array" aca="1" ref="Y8" ca="1">TREND($K8:$P8,$K$1:$P$1,Y$1)</f>
        <v>#VALUE!</v>
      </c>
      <c r="Z8" t="e" cm="1">
        <f t="array" aca="1" ref="Z8" ca="1">TREND($K8:$P8,$K$1:$P$1,Z$1)</f>
        <v>#VALUE!</v>
      </c>
      <c r="AA8" t="e" cm="1">
        <f t="array" aca="1" ref="AA8" ca="1">TREND($K8:$P8,$K$1:$P$1,AA$1)</f>
        <v>#VALUE!</v>
      </c>
      <c r="AB8" t="e" cm="1">
        <f t="array" aca="1" ref="AB8" ca="1">TREND($K8:$P8,$K$1:$P$1,AB$1)</f>
        <v>#VALUE!</v>
      </c>
      <c r="AC8" t="e" cm="1">
        <f t="array" aca="1" ref="AC8" ca="1">TREND($K8:$P8,$K$1:$P$1,AC$1)</f>
        <v>#VALUE!</v>
      </c>
      <c r="AD8" t="e" cm="1">
        <f t="array" aca="1" ref="AD8" ca="1">TREND($K8:$P8,$K$1:$P$1,AD$1)</f>
        <v>#VALUE!</v>
      </c>
      <c r="AE8" t="e" cm="1">
        <f t="array" aca="1" ref="AE8" ca="1">TREND($K8:$P8,$K$1:$P$1,AE$1)</f>
        <v>#VALUE!</v>
      </c>
      <c r="AF8" t="e" cm="1">
        <f t="array" aca="1" ref="AF8" ca="1">TREND($K8:$P8,$K$1:$P$1,AF$1)</f>
        <v>#VALUE!</v>
      </c>
      <c r="AG8" t="e" cm="1">
        <f t="array" aca="1" ref="AG8" ca="1">TREND($K8:$P8,$K$1:$P$1,AG$1)</f>
        <v>#VALUE!</v>
      </c>
      <c r="AH8" t="e" cm="1">
        <f t="array" aca="1" ref="AH8" ca="1">TREND($K8:$P8,$K$1:$P$1,AH$1)</f>
        <v>#VALUE!</v>
      </c>
      <c r="AI8" t="e" cm="1">
        <f t="array" aca="1" ref="AI8" ca="1">TREND($K8:$P8,$K$1:$P$1,AI$1)</f>
        <v>#VALUE!</v>
      </c>
      <c r="AJ8" t="e" cm="1">
        <f t="array" aca="1" ref="AJ8" ca="1">TREND($K8:$P8,$K$1:$P$1,AJ$1)</f>
        <v>#VALUE!</v>
      </c>
    </row>
    <row r="9" spans="1:36">
      <c r="A9" t="s">
        <v>82</v>
      </c>
      <c r="B9" s="32" t="e" cm="1">
        <f t="array" aca="1" ref="B9" ca="1">INDIRECT(CONCATENATE("'",HLOOKUP(B$1,$B$21:$E$23,3,FALSE),"'!",$B$25,ROW($A9)+5))*About!$A$27</f>
        <v>#VALUE!</v>
      </c>
      <c r="C9" t="e">
        <f t="shared" ca="1" si="3"/>
        <v>#VALUE!</v>
      </c>
      <c r="D9" t="e">
        <f t="shared" ca="1" si="0"/>
        <v>#VALUE!</v>
      </c>
      <c r="E9" t="e">
        <f t="shared" ca="1" si="0"/>
        <v>#VALUE!</v>
      </c>
      <c r="F9" s="32" t="e" cm="1">
        <f t="array" aca="1" ref="F9" ca="1">INDIRECT(CONCATENATE("'",HLOOKUP(F$1,$B$21:$E$23,3,FALSE),"'!",$B$25,ROW($A9)+5))*About!$A$27</f>
        <v>#VALUE!</v>
      </c>
      <c r="G9" t="e">
        <f t="shared" ca="1" si="4"/>
        <v>#VALUE!</v>
      </c>
      <c r="H9" t="e">
        <f t="shared" ca="1" si="1"/>
        <v>#VALUE!</v>
      </c>
      <c r="I9" t="e">
        <f t="shared" ca="1" si="1"/>
        <v>#VALUE!</v>
      </c>
      <c r="J9" t="e">
        <f t="shared" ca="1" si="1"/>
        <v>#VALUE!</v>
      </c>
      <c r="K9" s="32" t="e" cm="1">
        <f t="array" aca="1" ref="K9" ca="1">INDIRECT(CONCATENATE("'",HLOOKUP(K$1,$B$21:$E$23,3,FALSE),"'!",$B$25,ROW($A9)+5))*About!$A$27</f>
        <v>#VALUE!</v>
      </c>
      <c r="L9" t="e">
        <f t="shared" ca="1" si="5"/>
        <v>#VALUE!</v>
      </c>
      <c r="M9" t="e">
        <f t="shared" ca="1" si="2"/>
        <v>#VALUE!</v>
      </c>
      <c r="N9" t="e">
        <f t="shared" ca="1" si="2"/>
        <v>#VALUE!</v>
      </c>
      <c r="O9" t="e">
        <f t="shared" ca="1" si="2"/>
        <v>#VALUE!</v>
      </c>
      <c r="P9" s="32" t="e" cm="1">
        <f t="array" aca="1" ref="P9" ca="1">INDIRECT(CONCATENATE("'",HLOOKUP(P$1,$B$21:$E$23,3,FALSE),"'!",$B$25,ROW($A9)+5))*About!$A$27</f>
        <v>#VALUE!</v>
      </c>
      <c r="Q9" t="e" cm="1">
        <f t="array" aca="1" ref="Q9" ca="1">TREND($K9:$P9,$K$1:$P$1,Q$1)</f>
        <v>#VALUE!</v>
      </c>
      <c r="R9" t="e" cm="1">
        <f t="array" aca="1" ref="R9" ca="1">TREND($K9:$P9,$K$1:$P$1,R$1)</f>
        <v>#VALUE!</v>
      </c>
      <c r="S9" t="e" cm="1">
        <f t="array" aca="1" ref="S9" ca="1">TREND($K9:$P9,$K$1:$P$1,S$1)</f>
        <v>#VALUE!</v>
      </c>
      <c r="T9" t="e" cm="1">
        <f t="array" aca="1" ref="T9" ca="1">TREND($K9:$P9,$K$1:$P$1,T$1)</f>
        <v>#VALUE!</v>
      </c>
      <c r="U9" t="e" cm="1">
        <f t="array" aca="1" ref="U9" ca="1">TREND($K9:$P9,$K$1:$P$1,U$1)</f>
        <v>#VALUE!</v>
      </c>
      <c r="V9" t="e" cm="1">
        <f t="array" aca="1" ref="V9" ca="1">TREND($K9:$P9,$K$1:$P$1,V$1)</f>
        <v>#VALUE!</v>
      </c>
      <c r="W9" t="e" cm="1">
        <f t="array" aca="1" ref="W9" ca="1">TREND($K9:$P9,$K$1:$P$1,W$1)</f>
        <v>#VALUE!</v>
      </c>
      <c r="X9" t="e" cm="1">
        <f t="array" aca="1" ref="X9" ca="1">TREND($K9:$P9,$K$1:$P$1,X$1)</f>
        <v>#VALUE!</v>
      </c>
      <c r="Y9" t="e" cm="1">
        <f t="array" aca="1" ref="Y9" ca="1">TREND($K9:$P9,$K$1:$P$1,Y$1)</f>
        <v>#VALUE!</v>
      </c>
      <c r="Z9" t="e" cm="1">
        <f t="array" aca="1" ref="Z9" ca="1">TREND($K9:$P9,$K$1:$P$1,Z$1)</f>
        <v>#VALUE!</v>
      </c>
      <c r="AA9" t="e" cm="1">
        <f t="array" aca="1" ref="AA9" ca="1">TREND($K9:$P9,$K$1:$P$1,AA$1)</f>
        <v>#VALUE!</v>
      </c>
      <c r="AB9" t="e" cm="1">
        <f t="array" aca="1" ref="AB9" ca="1">TREND($K9:$P9,$K$1:$P$1,AB$1)</f>
        <v>#VALUE!</v>
      </c>
      <c r="AC9" t="e" cm="1">
        <f t="array" aca="1" ref="AC9" ca="1">TREND($K9:$P9,$K$1:$P$1,AC$1)</f>
        <v>#VALUE!</v>
      </c>
      <c r="AD9" t="e" cm="1">
        <f t="array" aca="1" ref="AD9" ca="1">TREND($K9:$P9,$K$1:$P$1,AD$1)</f>
        <v>#VALUE!</v>
      </c>
      <c r="AE9" t="e" cm="1">
        <f t="array" aca="1" ref="AE9" ca="1">TREND($K9:$P9,$K$1:$P$1,AE$1)</f>
        <v>#VALUE!</v>
      </c>
      <c r="AF9" t="e" cm="1">
        <f t="array" aca="1" ref="AF9" ca="1">TREND($K9:$P9,$K$1:$P$1,AF$1)</f>
        <v>#VALUE!</v>
      </c>
      <c r="AG9" t="e" cm="1">
        <f t="array" aca="1" ref="AG9" ca="1">TREND($K9:$P9,$K$1:$P$1,AG$1)</f>
        <v>#VALUE!</v>
      </c>
      <c r="AH9" t="e" cm="1">
        <f t="array" aca="1" ref="AH9" ca="1">TREND($K9:$P9,$K$1:$P$1,AH$1)</f>
        <v>#VALUE!</v>
      </c>
      <c r="AI9" t="e" cm="1">
        <f t="array" aca="1" ref="AI9" ca="1">TREND($K9:$P9,$K$1:$P$1,AI$1)</f>
        <v>#VALUE!</v>
      </c>
      <c r="AJ9" t="e" cm="1">
        <f t="array" aca="1" ref="AJ9" ca="1">TREND($K9:$P9,$K$1:$P$1,AJ$1)</f>
        <v>#VALUE!</v>
      </c>
    </row>
    <row r="10" spans="1:36">
      <c r="A10" t="s">
        <v>83</v>
      </c>
      <c r="B10" s="32" t="e" cm="1">
        <f t="array" aca="1" ref="B10" ca="1">INDIRECT(CONCATENATE("'",HLOOKUP(B$1,$B$21:$E$23,3,FALSE),"'!",$B$25,ROW($A10)+5))*About!$A$27</f>
        <v>#VALUE!</v>
      </c>
      <c r="C10" t="e">
        <f t="shared" ca="1" si="3"/>
        <v>#VALUE!</v>
      </c>
      <c r="D10" t="e">
        <f t="shared" ca="1" si="0"/>
        <v>#VALUE!</v>
      </c>
      <c r="E10" t="e">
        <f t="shared" ca="1" si="0"/>
        <v>#VALUE!</v>
      </c>
      <c r="F10" s="32" t="e" cm="1">
        <f t="array" aca="1" ref="F10" ca="1">INDIRECT(CONCATENATE("'",HLOOKUP(F$1,$B$21:$E$23,3,FALSE),"'!",$B$25,ROW($A10)+5))*About!$A$27</f>
        <v>#VALUE!</v>
      </c>
      <c r="G10" t="e">
        <f t="shared" ca="1" si="4"/>
        <v>#VALUE!</v>
      </c>
      <c r="H10" t="e">
        <f t="shared" ca="1" si="1"/>
        <v>#VALUE!</v>
      </c>
      <c r="I10" t="e">
        <f t="shared" ca="1" si="1"/>
        <v>#VALUE!</v>
      </c>
      <c r="J10" t="e">
        <f t="shared" ca="1" si="1"/>
        <v>#VALUE!</v>
      </c>
      <c r="K10" s="32" t="e" cm="1">
        <f t="array" aca="1" ref="K10" ca="1">INDIRECT(CONCATENATE("'",HLOOKUP(K$1,$B$21:$E$23,3,FALSE),"'!",$B$25,ROW($A10)+5))*About!$A$27</f>
        <v>#VALUE!</v>
      </c>
      <c r="L10" t="e">
        <f t="shared" ca="1" si="5"/>
        <v>#VALUE!</v>
      </c>
      <c r="M10" t="e">
        <f t="shared" ca="1" si="2"/>
        <v>#VALUE!</v>
      </c>
      <c r="N10" t="e">
        <f t="shared" ca="1" si="2"/>
        <v>#VALUE!</v>
      </c>
      <c r="O10" t="e">
        <f t="shared" ca="1" si="2"/>
        <v>#VALUE!</v>
      </c>
      <c r="P10" s="32" t="e" cm="1">
        <f t="array" aca="1" ref="P10" ca="1">INDIRECT(CONCATENATE("'",HLOOKUP(P$1,$B$21:$E$23,3,FALSE),"'!",$B$25,ROW($A10)+5))*About!$A$27</f>
        <v>#VALUE!</v>
      </c>
      <c r="Q10" t="e" cm="1">
        <f t="array" aca="1" ref="Q10" ca="1">TREND($K10:$P10,$K$1:$P$1,Q$1)</f>
        <v>#VALUE!</v>
      </c>
      <c r="R10" t="e" cm="1">
        <f t="array" aca="1" ref="R10" ca="1">TREND($K10:$P10,$K$1:$P$1,R$1)</f>
        <v>#VALUE!</v>
      </c>
      <c r="S10" t="e" cm="1">
        <f t="array" aca="1" ref="S10" ca="1">TREND($K10:$P10,$K$1:$P$1,S$1)</f>
        <v>#VALUE!</v>
      </c>
      <c r="T10" t="e" cm="1">
        <f t="array" aca="1" ref="T10" ca="1">TREND($K10:$P10,$K$1:$P$1,T$1)</f>
        <v>#VALUE!</v>
      </c>
      <c r="U10" t="e" cm="1">
        <f t="array" aca="1" ref="U10" ca="1">TREND($K10:$P10,$K$1:$P$1,U$1)</f>
        <v>#VALUE!</v>
      </c>
      <c r="V10" t="e" cm="1">
        <f t="array" aca="1" ref="V10" ca="1">TREND($K10:$P10,$K$1:$P$1,V$1)</f>
        <v>#VALUE!</v>
      </c>
      <c r="W10" t="e" cm="1">
        <f t="array" aca="1" ref="W10" ca="1">TREND($K10:$P10,$K$1:$P$1,W$1)</f>
        <v>#VALUE!</v>
      </c>
      <c r="X10" t="e" cm="1">
        <f t="array" aca="1" ref="X10" ca="1">TREND($K10:$P10,$K$1:$P$1,X$1)</f>
        <v>#VALUE!</v>
      </c>
      <c r="Y10" t="e" cm="1">
        <f t="array" aca="1" ref="Y10" ca="1">TREND($K10:$P10,$K$1:$P$1,Y$1)</f>
        <v>#VALUE!</v>
      </c>
      <c r="Z10" t="e" cm="1">
        <f t="array" aca="1" ref="Z10" ca="1">TREND($K10:$P10,$K$1:$P$1,Z$1)</f>
        <v>#VALUE!</v>
      </c>
      <c r="AA10" t="e" cm="1">
        <f t="array" aca="1" ref="AA10" ca="1">TREND($K10:$P10,$K$1:$P$1,AA$1)</f>
        <v>#VALUE!</v>
      </c>
      <c r="AB10" t="e" cm="1">
        <f t="array" aca="1" ref="AB10" ca="1">TREND($K10:$P10,$K$1:$P$1,AB$1)</f>
        <v>#VALUE!</v>
      </c>
      <c r="AC10" t="e" cm="1">
        <f t="array" aca="1" ref="AC10" ca="1">TREND($K10:$P10,$K$1:$P$1,AC$1)</f>
        <v>#VALUE!</v>
      </c>
      <c r="AD10" t="e" cm="1">
        <f t="array" aca="1" ref="AD10" ca="1">TREND($K10:$P10,$K$1:$P$1,AD$1)</f>
        <v>#VALUE!</v>
      </c>
      <c r="AE10" t="e" cm="1">
        <f t="array" aca="1" ref="AE10" ca="1">TREND($K10:$P10,$K$1:$P$1,AE$1)</f>
        <v>#VALUE!</v>
      </c>
      <c r="AF10" t="e" cm="1">
        <f t="array" aca="1" ref="AF10" ca="1">TREND($K10:$P10,$K$1:$P$1,AF$1)</f>
        <v>#VALUE!</v>
      </c>
      <c r="AG10" t="e" cm="1">
        <f t="array" aca="1" ref="AG10" ca="1">TREND($K10:$P10,$K$1:$P$1,AG$1)</f>
        <v>#VALUE!</v>
      </c>
      <c r="AH10" t="e" cm="1">
        <f t="array" aca="1" ref="AH10" ca="1">TREND($K10:$P10,$K$1:$P$1,AH$1)</f>
        <v>#VALUE!</v>
      </c>
      <c r="AI10" t="e" cm="1">
        <f t="array" aca="1" ref="AI10" ca="1">TREND($K10:$P10,$K$1:$P$1,AI$1)</f>
        <v>#VALUE!</v>
      </c>
      <c r="AJ10" t="e" cm="1">
        <f t="array" aca="1" ref="AJ10" ca="1">TREND($K10:$P10,$K$1:$P$1,AJ$1)</f>
        <v>#VALUE!</v>
      </c>
    </row>
    <row r="11" spans="1:36">
      <c r="A11" t="s">
        <v>84</v>
      </c>
      <c r="B11" s="32" t="e" cm="1">
        <f t="array" aca="1" ref="B11" ca="1">INDIRECT(CONCATENATE("'",HLOOKUP(B$1,$B$21:$E$23,3,FALSE),"'!",$B$25,ROW($A11)+5))*About!$A$27</f>
        <v>#VALUE!</v>
      </c>
      <c r="C11" t="e">
        <f t="shared" ca="1" si="3"/>
        <v>#VALUE!</v>
      </c>
      <c r="D11" t="e">
        <f t="shared" ca="1" si="0"/>
        <v>#VALUE!</v>
      </c>
      <c r="E11" t="e">
        <f t="shared" ca="1" si="0"/>
        <v>#VALUE!</v>
      </c>
      <c r="F11" s="32" t="e" cm="1">
        <f t="array" aca="1" ref="F11" ca="1">INDIRECT(CONCATENATE("'",HLOOKUP(F$1,$B$21:$E$23,3,FALSE),"'!",$B$25,ROW($A11)+5))*About!$A$27</f>
        <v>#VALUE!</v>
      </c>
      <c r="G11" t="e">
        <f t="shared" ca="1" si="4"/>
        <v>#VALUE!</v>
      </c>
      <c r="H11" t="e">
        <f t="shared" ca="1" si="1"/>
        <v>#VALUE!</v>
      </c>
      <c r="I11" t="e">
        <f t="shared" ca="1" si="1"/>
        <v>#VALUE!</v>
      </c>
      <c r="J11" t="e">
        <f t="shared" ca="1" si="1"/>
        <v>#VALUE!</v>
      </c>
      <c r="K11" s="32" t="e" cm="1">
        <f t="array" aca="1" ref="K11" ca="1">INDIRECT(CONCATENATE("'",HLOOKUP(K$1,$B$21:$E$23,3,FALSE),"'!",$B$25,ROW($A11)+5))*About!$A$27</f>
        <v>#VALUE!</v>
      </c>
      <c r="L11" t="e">
        <f t="shared" ca="1" si="5"/>
        <v>#VALUE!</v>
      </c>
      <c r="M11" t="e">
        <f t="shared" ca="1" si="2"/>
        <v>#VALUE!</v>
      </c>
      <c r="N11" t="e">
        <f t="shared" ca="1" si="2"/>
        <v>#VALUE!</v>
      </c>
      <c r="O11" t="e">
        <f t="shared" ca="1" si="2"/>
        <v>#VALUE!</v>
      </c>
      <c r="P11" s="32" t="e" cm="1">
        <f t="array" aca="1" ref="P11" ca="1">INDIRECT(CONCATENATE("'",HLOOKUP(P$1,$B$21:$E$23,3,FALSE),"'!",$B$25,ROW($A11)+5))*About!$A$27</f>
        <v>#VALUE!</v>
      </c>
      <c r="Q11" t="e" cm="1">
        <f t="array" aca="1" ref="Q11" ca="1">TREND($K11:$P11,$K$1:$P$1,Q$1)</f>
        <v>#VALUE!</v>
      </c>
      <c r="R11" t="e" cm="1">
        <f t="array" aca="1" ref="R11" ca="1">TREND($K11:$P11,$K$1:$P$1,R$1)</f>
        <v>#VALUE!</v>
      </c>
      <c r="S11" t="e" cm="1">
        <f t="array" aca="1" ref="S11" ca="1">TREND($K11:$P11,$K$1:$P$1,S$1)</f>
        <v>#VALUE!</v>
      </c>
      <c r="T11" t="e" cm="1">
        <f t="array" aca="1" ref="T11" ca="1">TREND($K11:$P11,$K$1:$P$1,T$1)</f>
        <v>#VALUE!</v>
      </c>
      <c r="U11" t="e" cm="1">
        <f t="array" aca="1" ref="U11" ca="1">TREND($K11:$P11,$K$1:$P$1,U$1)</f>
        <v>#VALUE!</v>
      </c>
      <c r="V11" t="e" cm="1">
        <f t="array" aca="1" ref="V11" ca="1">TREND($K11:$P11,$K$1:$P$1,V$1)</f>
        <v>#VALUE!</v>
      </c>
      <c r="W11" t="e" cm="1">
        <f t="array" aca="1" ref="W11" ca="1">TREND($K11:$P11,$K$1:$P$1,W$1)</f>
        <v>#VALUE!</v>
      </c>
      <c r="X11" t="e" cm="1">
        <f t="array" aca="1" ref="X11" ca="1">TREND($K11:$P11,$K$1:$P$1,X$1)</f>
        <v>#VALUE!</v>
      </c>
      <c r="Y11" t="e" cm="1">
        <f t="array" aca="1" ref="Y11" ca="1">TREND($K11:$P11,$K$1:$P$1,Y$1)</f>
        <v>#VALUE!</v>
      </c>
      <c r="Z11" t="e" cm="1">
        <f t="array" aca="1" ref="Z11" ca="1">TREND($K11:$P11,$K$1:$P$1,Z$1)</f>
        <v>#VALUE!</v>
      </c>
      <c r="AA11" t="e" cm="1">
        <f t="array" aca="1" ref="AA11" ca="1">TREND($K11:$P11,$K$1:$P$1,AA$1)</f>
        <v>#VALUE!</v>
      </c>
      <c r="AB11" t="e" cm="1">
        <f t="array" aca="1" ref="AB11" ca="1">TREND($K11:$P11,$K$1:$P$1,AB$1)</f>
        <v>#VALUE!</v>
      </c>
      <c r="AC11" t="e" cm="1">
        <f t="array" aca="1" ref="AC11" ca="1">TREND($K11:$P11,$K$1:$P$1,AC$1)</f>
        <v>#VALUE!</v>
      </c>
      <c r="AD11" t="e" cm="1">
        <f t="array" aca="1" ref="AD11" ca="1">TREND($K11:$P11,$K$1:$P$1,AD$1)</f>
        <v>#VALUE!</v>
      </c>
      <c r="AE11" t="e" cm="1">
        <f t="array" aca="1" ref="AE11" ca="1">TREND($K11:$P11,$K$1:$P$1,AE$1)</f>
        <v>#VALUE!</v>
      </c>
      <c r="AF11" t="e" cm="1">
        <f t="array" aca="1" ref="AF11" ca="1">TREND($K11:$P11,$K$1:$P$1,AF$1)</f>
        <v>#VALUE!</v>
      </c>
      <c r="AG11" t="e" cm="1">
        <f t="array" aca="1" ref="AG11" ca="1">TREND($K11:$P11,$K$1:$P$1,AG$1)</f>
        <v>#VALUE!</v>
      </c>
      <c r="AH11" t="e" cm="1">
        <f t="array" aca="1" ref="AH11" ca="1">TREND($K11:$P11,$K$1:$P$1,AH$1)</f>
        <v>#VALUE!</v>
      </c>
      <c r="AI11" t="e" cm="1">
        <f t="array" aca="1" ref="AI11" ca="1">TREND($K11:$P11,$K$1:$P$1,AI$1)</f>
        <v>#VALUE!</v>
      </c>
      <c r="AJ11" t="e" cm="1">
        <f t="array" aca="1" ref="AJ11" ca="1">TREND($K11:$P11,$K$1:$P$1,AJ$1)</f>
        <v>#VALUE!</v>
      </c>
    </row>
    <row r="12" spans="1:36">
      <c r="A12" t="s">
        <v>85</v>
      </c>
      <c r="B12" s="33" t="e">
        <f ca="1">SUM(INDIRECT(CONCATENATE("'",HLOOKUP(B$1,$B$21:$E$23,3,FALSE),"'!",$B$25,ROW($A12)+5,":",$B$25,ROW($A12)+6)))*About!$A$27</f>
        <v>#VALUE!</v>
      </c>
      <c r="C12" t="e">
        <f t="shared" ca="1" si="3"/>
        <v>#VALUE!</v>
      </c>
      <c r="D12" t="e">
        <f t="shared" ca="1" si="0"/>
        <v>#VALUE!</v>
      </c>
      <c r="E12" t="e">
        <f t="shared" ca="1" si="0"/>
        <v>#VALUE!</v>
      </c>
      <c r="F12" s="33" t="e">
        <f ca="1">SUM(INDIRECT(CONCATENATE("'",HLOOKUP(F$1,$B$21:$E$23,3,FALSE),"'!",$B$25,ROW($A12)+5,":",$B$25,ROW($A12)+6)))*About!$A$27</f>
        <v>#VALUE!</v>
      </c>
      <c r="G12" t="e">
        <f t="shared" ca="1" si="4"/>
        <v>#VALUE!</v>
      </c>
      <c r="H12" t="e">
        <f t="shared" ca="1" si="1"/>
        <v>#VALUE!</v>
      </c>
      <c r="I12" t="e">
        <f t="shared" ca="1" si="1"/>
        <v>#VALUE!</v>
      </c>
      <c r="J12" t="e">
        <f t="shared" ca="1" si="1"/>
        <v>#VALUE!</v>
      </c>
      <c r="K12" s="33" t="e">
        <f ca="1">SUM(INDIRECT(CONCATENATE("'",HLOOKUP(K$1,$B$21:$E$23,3,FALSE),"'!",$B$25,ROW($A12)+5,":",$B$25,ROW($A12)+6)))*About!$A$27</f>
        <v>#VALUE!</v>
      </c>
      <c r="L12" t="e">
        <f t="shared" ca="1" si="5"/>
        <v>#VALUE!</v>
      </c>
      <c r="M12" t="e">
        <f t="shared" ca="1" si="2"/>
        <v>#VALUE!</v>
      </c>
      <c r="N12" t="e">
        <f t="shared" ca="1" si="2"/>
        <v>#VALUE!</v>
      </c>
      <c r="O12" t="e">
        <f t="shared" ca="1" si="2"/>
        <v>#VALUE!</v>
      </c>
      <c r="P12" s="33" t="e">
        <f ca="1">SUM(INDIRECT(CONCATENATE("'",HLOOKUP(P$1,$B$21:$E$23,3,FALSE),"'!",$B$25,ROW($A12)+5,":",$B$25,ROW($A12)+6)))*About!$A$27</f>
        <v>#VALUE!</v>
      </c>
      <c r="Q12" t="e" cm="1">
        <f t="array" aca="1" ref="Q12" ca="1">TREND($K12:$P12,$K$1:$P$1,Q$1)</f>
        <v>#VALUE!</v>
      </c>
      <c r="R12" t="e" cm="1">
        <f t="array" aca="1" ref="R12" ca="1">TREND($K12:$P12,$K$1:$P$1,R$1)</f>
        <v>#VALUE!</v>
      </c>
      <c r="S12" t="e" cm="1">
        <f t="array" aca="1" ref="S12" ca="1">TREND($K12:$P12,$K$1:$P$1,S$1)</f>
        <v>#VALUE!</v>
      </c>
      <c r="T12" t="e" cm="1">
        <f t="array" aca="1" ref="T12" ca="1">TREND($K12:$P12,$K$1:$P$1,T$1)</f>
        <v>#VALUE!</v>
      </c>
      <c r="U12" t="e" cm="1">
        <f t="array" aca="1" ref="U12" ca="1">TREND($K12:$P12,$K$1:$P$1,U$1)</f>
        <v>#VALUE!</v>
      </c>
      <c r="V12" t="e" cm="1">
        <f t="array" aca="1" ref="V12" ca="1">TREND($K12:$P12,$K$1:$P$1,V$1)</f>
        <v>#VALUE!</v>
      </c>
      <c r="W12" t="e" cm="1">
        <f t="array" aca="1" ref="W12" ca="1">TREND($K12:$P12,$K$1:$P$1,W$1)</f>
        <v>#VALUE!</v>
      </c>
      <c r="X12" t="e" cm="1">
        <f t="array" aca="1" ref="X12" ca="1">TREND($K12:$P12,$K$1:$P$1,X$1)</f>
        <v>#VALUE!</v>
      </c>
      <c r="Y12" t="e" cm="1">
        <f t="array" aca="1" ref="Y12" ca="1">TREND($K12:$P12,$K$1:$P$1,Y$1)</f>
        <v>#VALUE!</v>
      </c>
      <c r="Z12" t="e" cm="1">
        <f t="array" aca="1" ref="Z12" ca="1">TREND($K12:$P12,$K$1:$P$1,Z$1)</f>
        <v>#VALUE!</v>
      </c>
      <c r="AA12" t="e" cm="1">
        <f t="array" aca="1" ref="AA12" ca="1">TREND($K12:$P12,$K$1:$P$1,AA$1)</f>
        <v>#VALUE!</v>
      </c>
      <c r="AB12" t="e" cm="1">
        <f t="array" aca="1" ref="AB12" ca="1">TREND($K12:$P12,$K$1:$P$1,AB$1)</f>
        <v>#VALUE!</v>
      </c>
      <c r="AC12" t="e" cm="1">
        <f t="array" aca="1" ref="AC12" ca="1">TREND($K12:$P12,$K$1:$P$1,AC$1)</f>
        <v>#VALUE!</v>
      </c>
      <c r="AD12" t="e" cm="1">
        <f t="array" aca="1" ref="AD12" ca="1">TREND($K12:$P12,$K$1:$P$1,AD$1)</f>
        <v>#VALUE!</v>
      </c>
      <c r="AE12" t="e" cm="1">
        <f t="array" aca="1" ref="AE12" ca="1">TREND($K12:$P12,$K$1:$P$1,AE$1)</f>
        <v>#VALUE!</v>
      </c>
      <c r="AF12" t="e" cm="1">
        <f t="array" aca="1" ref="AF12" ca="1">TREND($K12:$P12,$K$1:$P$1,AF$1)</f>
        <v>#VALUE!</v>
      </c>
      <c r="AG12" t="e" cm="1">
        <f t="array" aca="1" ref="AG12" ca="1">TREND($K12:$P12,$K$1:$P$1,AG$1)</f>
        <v>#VALUE!</v>
      </c>
      <c r="AH12" t="e" cm="1">
        <f t="array" aca="1" ref="AH12" ca="1">TREND($K12:$P12,$K$1:$P$1,AH$1)</f>
        <v>#VALUE!</v>
      </c>
      <c r="AI12" t="e" cm="1">
        <f t="array" aca="1" ref="AI12" ca="1">TREND($K12:$P12,$K$1:$P$1,AI$1)</f>
        <v>#VALUE!</v>
      </c>
      <c r="AJ12" t="e" cm="1">
        <f t="array" aca="1" ref="AJ12" ca="1">TREND($K12:$P12,$K$1:$P$1,AJ$1)</f>
        <v>#VALUE!</v>
      </c>
    </row>
    <row r="16" spans="1:36">
      <c r="A16" s="20" t="s">
        <v>86</v>
      </c>
      <c r="B16" s="21"/>
      <c r="C16" s="21"/>
      <c r="D16" s="21"/>
    </row>
    <row r="17" spans="1:5">
      <c r="A17" t="s">
        <v>87</v>
      </c>
      <c r="B17" t="e" cm="1">
        <f t="array" aca="1" ref="B17" ca="1">MID(CELL("filename",A17),FIND("]",CELL("filename",A17))+1,255)</f>
        <v>#VALUE!</v>
      </c>
    </row>
    <row r="18" spans="1:5">
      <c r="A18" t="s">
        <v>88</v>
      </c>
      <c r="B18" t="e">
        <f ca="1">RIGHT(B17,LEN(B17)-7)</f>
        <v>#VALUE!</v>
      </c>
    </row>
    <row r="19" spans="1:5">
      <c r="A19" t="s">
        <v>89</v>
      </c>
      <c r="B19" t="e">
        <f ca="1">LEFT(B18,FIND("-",B18)-1)</f>
        <v>#VALUE!</v>
      </c>
    </row>
    <row r="20" spans="1:5">
      <c r="A20" t="s">
        <v>90</v>
      </c>
      <c r="B20" t="e">
        <f ca="1">VLOOKUP($B$19,Mappings!$A$22:$B$26,COLUMN(Mappings!$B$21),FALSE)</f>
        <v>#VALUE!</v>
      </c>
    </row>
    <row r="21" spans="1:5">
      <c r="A21" s="23"/>
      <c r="B21" s="24">
        <v>2016</v>
      </c>
      <c r="C21" s="24">
        <v>2020</v>
      </c>
      <c r="D21" s="24">
        <v>2025</v>
      </c>
      <c r="E21" s="25">
        <v>2030</v>
      </c>
    </row>
    <row r="22" spans="1:5">
      <c r="A22" s="26" t="s">
        <v>91</v>
      </c>
      <c r="B22" s="2" t="e">
        <f ca="1">VLOOKUP($B$20,Mappings!$A$3:$E$19,COLUMN(Mappings!B$2),FALSE)</f>
        <v>#VALUE!</v>
      </c>
      <c r="C22" s="2" t="e">
        <f ca="1">VLOOKUP($B$20,Mappings!$A$3:$E$19,COLUMN(Mappings!C$2),FALSE)</f>
        <v>#VALUE!</v>
      </c>
      <c r="D22" s="2" t="e">
        <f ca="1">VLOOKUP($B$20,Mappings!$A$3:$E$19,COLUMN(Mappings!D$2),FALSE)</f>
        <v>#VALUE!</v>
      </c>
      <c r="E22" s="27" t="e">
        <f ca="1">VLOOKUP($B$20,Mappings!$A$3:$E$19,COLUMN(Mappings!E$2),FALSE)</f>
        <v>#VALUE!</v>
      </c>
    </row>
    <row r="23" spans="1:5">
      <c r="A23" s="28" t="s">
        <v>87</v>
      </c>
      <c r="B23" s="29" t="e">
        <f ca="1">CONCATENATE("Table ",B22)</f>
        <v>#VALUE!</v>
      </c>
      <c r="C23" s="29" t="e">
        <f ca="1">CONCATENATE("Table ",C22)</f>
        <v>#VALUE!</v>
      </c>
      <c r="D23" s="29" t="e">
        <f ca="1">CONCATENATE("Table ",D22)</f>
        <v>#VALUE!</v>
      </c>
      <c r="E23" s="30" t="e">
        <f ca="1">CONCATENATE("Table ",E22)</f>
        <v>#VALUE!</v>
      </c>
    </row>
    <row r="24" spans="1:5">
      <c r="A24" t="s">
        <v>92</v>
      </c>
      <c r="B24" t="e">
        <f ca="1">REPLACE(B18,1,FIND("-",B18),"")</f>
        <v>#VALUE!</v>
      </c>
    </row>
    <row r="25" spans="1:5">
      <c r="A25" t="s">
        <v>93</v>
      </c>
      <c r="B25" s="2" t="e">
        <f ca="1">VLOOKUP($B$24,Mappings!$A$29:$B$31,COLUMN(Mappings!$B$29),FALSE)</f>
        <v>#VALUE!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A156B-D3F6-4121-BED7-F3065CFECF43}">
  <sheetPr>
    <tabColor theme="4" tint="-0.249977111117893"/>
  </sheetPr>
  <dimension ref="A1:AJ25"/>
  <sheetViews>
    <sheetView workbookViewId="0"/>
  </sheetViews>
  <sheetFormatPr defaultColWidth="8.7109375" defaultRowHeight="14.45"/>
  <cols>
    <col min="1" max="1" width="33.7109375" customWidth="1"/>
  </cols>
  <sheetData>
    <row r="1" spans="1:36" s="1" customFormat="1">
      <c r="A1" s="22" t="s">
        <v>74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>
      <c r="A2" t="s">
        <v>75</v>
      </c>
      <c r="B2" s="31" t="e" cm="1">
        <f t="array" aca="1" ref="B2" ca="1">INDIRECT(CONCATENATE("'",HLOOKUP(B$1,$B$21:$E$23,3,FALSE),"'!",$B$25,ROW($A2)+3))*About!$A$27</f>
        <v>#VALUE!</v>
      </c>
      <c r="C2" t="e">
        <f ca="1">$B2+($F2-$B2)*(C$1-$B$1)/($F$1-$B$1)</f>
        <v>#VALUE!</v>
      </c>
      <c r="D2" t="e">
        <f t="shared" ref="D2:E12" ca="1" si="0">$B2+($F2-$B2)*(D$1-$B$1)/($F$1-$B$1)</f>
        <v>#VALUE!</v>
      </c>
      <c r="E2" t="e">
        <f t="shared" ca="1" si="0"/>
        <v>#VALUE!</v>
      </c>
      <c r="F2" s="31" t="e" cm="1">
        <f t="array" aca="1" ref="F2" ca="1">INDIRECT(CONCATENATE("'",HLOOKUP(F$1,$B$21:$E$23,3,FALSE),"'!",$B$25,ROW($A2)+3))*About!$A$27</f>
        <v>#VALUE!</v>
      </c>
      <c r="G2" t="e">
        <f ca="1">$F2+($K2-$F2)*(G$1-$F$1)/($K$1-$F$1)</f>
        <v>#VALUE!</v>
      </c>
      <c r="H2" t="e">
        <f t="shared" ref="H2:J12" ca="1" si="1">$F2+($K2-$F2)*(H$1-$F$1)/($K$1-$F$1)</f>
        <v>#VALUE!</v>
      </c>
      <c r="I2" t="e">
        <f t="shared" ca="1" si="1"/>
        <v>#VALUE!</v>
      </c>
      <c r="J2" t="e">
        <f t="shared" ca="1" si="1"/>
        <v>#VALUE!</v>
      </c>
      <c r="K2" s="31" t="e" cm="1">
        <f t="array" aca="1" ref="K2" ca="1">INDIRECT(CONCATENATE("'",HLOOKUP(K$1,$B$21:$E$23,3,FALSE),"'!",$B$25,ROW($A2)+3))*About!$A$27</f>
        <v>#VALUE!</v>
      </c>
      <c r="L2" t="e">
        <f ca="1">$K2+($P2-$K2)*(L$1-$K$1)/($P$1-$K$1)</f>
        <v>#VALUE!</v>
      </c>
      <c r="M2" t="e">
        <f t="shared" ref="M2:O12" ca="1" si="2">$K2+($P2-$K2)*(M$1-$K$1)/($P$1-$K$1)</f>
        <v>#VALUE!</v>
      </c>
      <c r="N2" t="e">
        <f t="shared" ca="1" si="2"/>
        <v>#VALUE!</v>
      </c>
      <c r="O2" t="e">
        <f t="shared" ca="1" si="2"/>
        <v>#VALUE!</v>
      </c>
      <c r="P2" s="31" t="e" cm="1">
        <f t="array" aca="1" ref="P2" ca="1">INDIRECT(CONCATENATE("'",HLOOKUP(P$1,$B$21:$E$23,3,FALSE),"'!",$B$25,ROW($A2)+3))*About!$A$27</f>
        <v>#VALUE!</v>
      </c>
      <c r="Q2" t="e" cm="1">
        <f t="array" aca="1" ref="Q2" ca="1">TREND($K2:$P2,$K$1:$P$1,Q$1)</f>
        <v>#VALUE!</v>
      </c>
      <c r="R2" t="e" cm="1">
        <f t="array" aca="1" ref="R2" ca="1">TREND($K2:$P2,$K$1:$P$1,R$1)</f>
        <v>#VALUE!</v>
      </c>
      <c r="S2" t="e" cm="1">
        <f t="array" aca="1" ref="S2" ca="1">TREND($K2:$P2,$K$1:$P$1,S$1)</f>
        <v>#VALUE!</v>
      </c>
      <c r="T2" t="e" cm="1">
        <f t="array" aca="1" ref="T2" ca="1">TREND($K2:$P2,$K$1:$P$1,T$1)</f>
        <v>#VALUE!</v>
      </c>
      <c r="U2" t="e" cm="1">
        <f t="array" aca="1" ref="U2" ca="1">TREND($K2:$P2,$K$1:$P$1,U$1)</f>
        <v>#VALUE!</v>
      </c>
      <c r="V2" t="e" cm="1">
        <f t="array" aca="1" ref="V2" ca="1">TREND($K2:$P2,$K$1:$P$1,V$1)</f>
        <v>#VALUE!</v>
      </c>
      <c r="W2" t="e" cm="1">
        <f t="array" aca="1" ref="W2" ca="1">TREND($K2:$P2,$K$1:$P$1,W$1)</f>
        <v>#VALUE!</v>
      </c>
      <c r="X2" t="e" cm="1">
        <f t="array" aca="1" ref="X2" ca="1">TREND($K2:$P2,$K$1:$P$1,X$1)</f>
        <v>#VALUE!</v>
      </c>
      <c r="Y2" t="e" cm="1">
        <f t="array" aca="1" ref="Y2" ca="1">TREND($K2:$P2,$K$1:$P$1,Y$1)</f>
        <v>#VALUE!</v>
      </c>
      <c r="Z2" t="e" cm="1">
        <f t="array" aca="1" ref="Z2" ca="1">TREND($K2:$P2,$K$1:$P$1,Z$1)</f>
        <v>#VALUE!</v>
      </c>
      <c r="AA2" t="e" cm="1">
        <f t="array" aca="1" ref="AA2" ca="1">TREND($K2:$P2,$K$1:$P$1,AA$1)</f>
        <v>#VALUE!</v>
      </c>
      <c r="AB2" t="e" cm="1">
        <f t="array" aca="1" ref="AB2" ca="1">TREND($K2:$P2,$K$1:$P$1,AB$1)</f>
        <v>#VALUE!</v>
      </c>
      <c r="AC2" t="e" cm="1">
        <f t="array" aca="1" ref="AC2" ca="1">TREND($K2:$P2,$K$1:$P$1,AC$1)</f>
        <v>#VALUE!</v>
      </c>
      <c r="AD2" t="e" cm="1">
        <f t="array" aca="1" ref="AD2" ca="1">TREND($K2:$P2,$K$1:$P$1,AD$1)</f>
        <v>#VALUE!</v>
      </c>
      <c r="AE2" t="e" cm="1">
        <f t="array" aca="1" ref="AE2" ca="1">TREND($K2:$P2,$K$1:$P$1,AE$1)</f>
        <v>#VALUE!</v>
      </c>
      <c r="AF2" t="e" cm="1">
        <f t="array" aca="1" ref="AF2" ca="1">TREND($K2:$P2,$K$1:$P$1,AF$1)</f>
        <v>#VALUE!</v>
      </c>
      <c r="AG2" t="e" cm="1">
        <f t="array" aca="1" ref="AG2" ca="1">TREND($K2:$P2,$K$1:$P$1,AG$1)</f>
        <v>#VALUE!</v>
      </c>
      <c r="AH2" t="e" cm="1">
        <f t="array" aca="1" ref="AH2" ca="1">TREND($K2:$P2,$K$1:$P$1,AH$1)</f>
        <v>#VALUE!</v>
      </c>
      <c r="AI2" t="e" cm="1">
        <f t="array" aca="1" ref="AI2" ca="1">TREND($K2:$P2,$K$1:$P$1,AI$1)</f>
        <v>#VALUE!</v>
      </c>
      <c r="AJ2" t="e" cm="1">
        <f t="array" aca="1" ref="AJ2" ca="1">TREND($K2:$P2,$K$1:$P$1,AJ$1)</f>
        <v>#VALUE!</v>
      </c>
    </row>
    <row r="3" spans="1:36">
      <c r="A3" t="s">
        <v>76</v>
      </c>
      <c r="B3" s="32" t="e" cm="1">
        <f t="array" aca="1" ref="B3" ca="1">INDIRECT(CONCATENATE("'",HLOOKUP(B$1,$B$21:$E$23,3,FALSE),"'!",$B$25,ROW($A3)+5))*About!$A$27</f>
        <v>#VALUE!</v>
      </c>
      <c r="C3" t="e">
        <f t="shared" ref="C3:C12" ca="1" si="3">$B3+($F3-$B3)*(C$1-$B$1)/($F$1-$B$1)</f>
        <v>#VALUE!</v>
      </c>
      <c r="D3" t="e">
        <f t="shared" ca="1" si="0"/>
        <v>#VALUE!</v>
      </c>
      <c r="E3" t="e">
        <f t="shared" ca="1" si="0"/>
        <v>#VALUE!</v>
      </c>
      <c r="F3" s="32" t="e" cm="1">
        <f t="array" aca="1" ref="F3" ca="1">INDIRECT(CONCATENATE("'",HLOOKUP(F$1,$B$21:$E$23,3,FALSE),"'!",$B$25,ROW($A3)+5))*About!$A$27</f>
        <v>#VALUE!</v>
      </c>
      <c r="G3" t="e">
        <f t="shared" ref="G3:G12" ca="1" si="4">$F3+($K3-$F3)*(G$1-$F$1)/($K$1-$F$1)</f>
        <v>#VALUE!</v>
      </c>
      <c r="H3" t="e">
        <f t="shared" ca="1" si="1"/>
        <v>#VALUE!</v>
      </c>
      <c r="I3" t="e">
        <f t="shared" ca="1" si="1"/>
        <v>#VALUE!</v>
      </c>
      <c r="J3" t="e">
        <f t="shared" ca="1" si="1"/>
        <v>#VALUE!</v>
      </c>
      <c r="K3" s="32" t="e" cm="1">
        <f t="array" aca="1" ref="K3" ca="1">INDIRECT(CONCATENATE("'",HLOOKUP(K$1,$B$21:$E$23,3,FALSE),"'!",$B$25,ROW($A3)+5))*About!$A$27</f>
        <v>#VALUE!</v>
      </c>
      <c r="L3" t="e">
        <f t="shared" ref="L3:L12" ca="1" si="5">$K3+($P3-$K3)*(L$1-$K$1)/($P$1-$K$1)</f>
        <v>#VALUE!</v>
      </c>
      <c r="M3" t="e">
        <f t="shared" ca="1" si="2"/>
        <v>#VALUE!</v>
      </c>
      <c r="N3" t="e">
        <f t="shared" ca="1" si="2"/>
        <v>#VALUE!</v>
      </c>
      <c r="O3" t="e">
        <f t="shared" ca="1" si="2"/>
        <v>#VALUE!</v>
      </c>
      <c r="P3" s="32" t="e" cm="1">
        <f t="array" aca="1" ref="P3" ca="1">INDIRECT(CONCATENATE("'",HLOOKUP(P$1,$B$21:$E$23,3,FALSE),"'!",$B$25,ROW($A3)+5))*About!$A$27</f>
        <v>#VALUE!</v>
      </c>
      <c r="Q3" t="e" cm="1">
        <f t="array" aca="1" ref="Q3" ca="1">TREND($K3:$P3,$K$1:$P$1,Q$1)</f>
        <v>#VALUE!</v>
      </c>
      <c r="R3" t="e" cm="1">
        <f t="array" aca="1" ref="R3" ca="1">TREND($K3:$P3,$K$1:$P$1,R$1)</f>
        <v>#VALUE!</v>
      </c>
      <c r="S3" t="e" cm="1">
        <f t="array" aca="1" ref="S3" ca="1">TREND($K3:$P3,$K$1:$P$1,S$1)</f>
        <v>#VALUE!</v>
      </c>
      <c r="T3" t="e" cm="1">
        <f t="array" aca="1" ref="T3" ca="1">TREND($K3:$P3,$K$1:$P$1,T$1)</f>
        <v>#VALUE!</v>
      </c>
      <c r="U3" t="e" cm="1">
        <f t="array" aca="1" ref="U3" ca="1">TREND($K3:$P3,$K$1:$P$1,U$1)</f>
        <v>#VALUE!</v>
      </c>
      <c r="V3" t="e" cm="1">
        <f t="array" aca="1" ref="V3" ca="1">TREND($K3:$P3,$K$1:$P$1,V$1)</f>
        <v>#VALUE!</v>
      </c>
      <c r="W3" t="e" cm="1">
        <f t="array" aca="1" ref="W3" ca="1">TREND($K3:$P3,$K$1:$P$1,W$1)</f>
        <v>#VALUE!</v>
      </c>
      <c r="X3" t="e" cm="1">
        <f t="array" aca="1" ref="X3" ca="1">TREND($K3:$P3,$K$1:$P$1,X$1)</f>
        <v>#VALUE!</v>
      </c>
      <c r="Y3" t="e" cm="1">
        <f t="array" aca="1" ref="Y3" ca="1">TREND($K3:$P3,$K$1:$P$1,Y$1)</f>
        <v>#VALUE!</v>
      </c>
      <c r="Z3" t="e" cm="1">
        <f t="array" aca="1" ref="Z3" ca="1">TREND($K3:$P3,$K$1:$P$1,Z$1)</f>
        <v>#VALUE!</v>
      </c>
      <c r="AA3" t="e" cm="1">
        <f t="array" aca="1" ref="AA3" ca="1">TREND($K3:$P3,$K$1:$P$1,AA$1)</f>
        <v>#VALUE!</v>
      </c>
      <c r="AB3" t="e" cm="1">
        <f t="array" aca="1" ref="AB3" ca="1">TREND($K3:$P3,$K$1:$P$1,AB$1)</f>
        <v>#VALUE!</v>
      </c>
      <c r="AC3" t="e" cm="1">
        <f t="array" aca="1" ref="AC3" ca="1">TREND($K3:$P3,$K$1:$P$1,AC$1)</f>
        <v>#VALUE!</v>
      </c>
      <c r="AD3" t="e" cm="1">
        <f t="array" aca="1" ref="AD3" ca="1">TREND($K3:$P3,$K$1:$P$1,AD$1)</f>
        <v>#VALUE!</v>
      </c>
      <c r="AE3" t="e" cm="1">
        <f t="array" aca="1" ref="AE3" ca="1">TREND($K3:$P3,$K$1:$P$1,AE$1)</f>
        <v>#VALUE!</v>
      </c>
      <c r="AF3" t="e" cm="1">
        <f t="array" aca="1" ref="AF3" ca="1">TREND($K3:$P3,$K$1:$P$1,AF$1)</f>
        <v>#VALUE!</v>
      </c>
      <c r="AG3" t="e" cm="1">
        <f t="array" aca="1" ref="AG3" ca="1">TREND($K3:$P3,$K$1:$P$1,AG$1)</f>
        <v>#VALUE!</v>
      </c>
      <c r="AH3" t="e" cm="1">
        <f t="array" aca="1" ref="AH3" ca="1">TREND($K3:$P3,$K$1:$P$1,AH$1)</f>
        <v>#VALUE!</v>
      </c>
      <c r="AI3" t="e" cm="1">
        <f t="array" aca="1" ref="AI3" ca="1">TREND($K3:$P3,$K$1:$P$1,AI$1)</f>
        <v>#VALUE!</v>
      </c>
      <c r="AJ3" t="e" cm="1">
        <f t="array" aca="1" ref="AJ3" ca="1">TREND($K3:$P3,$K$1:$P$1,AJ$1)</f>
        <v>#VALUE!</v>
      </c>
    </row>
    <row r="4" spans="1:36">
      <c r="A4" t="s">
        <v>77</v>
      </c>
      <c r="B4" s="32" t="e" cm="1">
        <f t="array" aca="1" ref="B4" ca="1">INDIRECT(CONCATENATE("'",HLOOKUP(B$1,$B$21:$E$23,3,FALSE),"'!",$B$25,ROW($A4)+5))*About!$A$27</f>
        <v>#VALUE!</v>
      </c>
      <c r="C4" t="e">
        <f t="shared" ca="1" si="3"/>
        <v>#VALUE!</v>
      </c>
      <c r="D4" t="e">
        <f t="shared" ca="1" si="0"/>
        <v>#VALUE!</v>
      </c>
      <c r="E4" t="e">
        <f t="shared" ca="1" si="0"/>
        <v>#VALUE!</v>
      </c>
      <c r="F4" s="32" t="e" cm="1">
        <f t="array" aca="1" ref="F4" ca="1">INDIRECT(CONCATENATE("'",HLOOKUP(F$1,$B$21:$E$23,3,FALSE),"'!",$B$25,ROW($A4)+5))*About!$A$27</f>
        <v>#VALUE!</v>
      </c>
      <c r="G4" t="e">
        <f t="shared" ca="1" si="4"/>
        <v>#VALUE!</v>
      </c>
      <c r="H4" t="e">
        <f t="shared" ca="1" si="1"/>
        <v>#VALUE!</v>
      </c>
      <c r="I4" t="e">
        <f t="shared" ca="1" si="1"/>
        <v>#VALUE!</v>
      </c>
      <c r="J4" t="e">
        <f t="shared" ca="1" si="1"/>
        <v>#VALUE!</v>
      </c>
      <c r="K4" s="32" t="e" cm="1">
        <f t="array" aca="1" ref="K4" ca="1">INDIRECT(CONCATENATE("'",HLOOKUP(K$1,$B$21:$E$23,3,FALSE),"'!",$B$25,ROW($A4)+5))*About!$A$27</f>
        <v>#VALUE!</v>
      </c>
      <c r="L4" t="e">
        <f t="shared" ca="1" si="5"/>
        <v>#VALUE!</v>
      </c>
      <c r="M4" t="e">
        <f t="shared" ca="1" si="2"/>
        <v>#VALUE!</v>
      </c>
      <c r="N4" t="e">
        <f t="shared" ca="1" si="2"/>
        <v>#VALUE!</v>
      </c>
      <c r="O4" t="e">
        <f t="shared" ca="1" si="2"/>
        <v>#VALUE!</v>
      </c>
      <c r="P4" s="32" t="e" cm="1">
        <f t="array" aca="1" ref="P4" ca="1">INDIRECT(CONCATENATE("'",HLOOKUP(P$1,$B$21:$E$23,3,FALSE),"'!",$B$25,ROW($A4)+5))*About!$A$27</f>
        <v>#VALUE!</v>
      </c>
      <c r="Q4" t="e" cm="1">
        <f t="array" aca="1" ref="Q4" ca="1">TREND($K4:$P4,$K$1:$P$1,Q$1)</f>
        <v>#VALUE!</v>
      </c>
      <c r="R4" t="e" cm="1">
        <f t="array" aca="1" ref="R4" ca="1">TREND($K4:$P4,$K$1:$P$1,R$1)</f>
        <v>#VALUE!</v>
      </c>
      <c r="S4" t="e" cm="1">
        <f t="array" aca="1" ref="S4" ca="1">TREND($K4:$P4,$K$1:$P$1,S$1)</f>
        <v>#VALUE!</v>
      </c>
      <c r="T4" t="e" cm="1">
        <f t="array" aca="1" ref="T4" ca="1">TREND($K4:$P4,$K$1:$P$1,T$1)</f>
        <v>#VALUE!</v>
      </c>
      <c r="U4" t="e" cm="1">
        <f t="array" aca="1" ref="U4" ca="1">TREND($K4:$P4,$K$1:$P$1,U$1)</f>
        <v>#VALUE!</v>
      </c>
      <c r="V4" t="e" cm="1">
        <f t="array" aca="1" ref="V4" ca="1">TREND($K4:$P4,$K$1:$P$1,V$1)</f>
        <v>#VALUE!</v>
      </c>
      <c r="W4" t="e" cm="1">
        <f t="array" aca="1" ref="W4" ca="1">TREND($K4:$P4,$K$1:$P$1,W$1)</f>
        <v>#VALUE!</v>
      </c>
      <c r="X4" t="e" cm="1">
        <f t="array" aca="1" ref="X4" ca="1">TREND($K4:$P4,$K$1:$P$1,X$1)</f>
        <v>#VALUE!</v>
      </c>
      <c r="Y4" t="e" cm="1">
        <f t="array" aca="1" ref="Y4" ca="1">TREND($K4:$P4,$K$1:$P$1,Y$1)</f>
        <v>#VALUE!</v>
      </c>
      <c r="Z4" t="e" cm="1">
        <f t="array" aca="1" ref="Z4" ca="1">TREND($K4:$P4,$K$1:$P$1,Z$1)</f>
        <v>#VALUE!</v>
      </c>
      <c r="AA4" t="e" cm="1">
        <f t="array" aca="1" ref="AA4" ca="1">TREND($K4:$P4,$K$1:$P$1,AA$1)</f>
        <v>#VALUE!</v>
      </c>
      <c r="AB4" t="e" cm="1">
        <f t="array" aca="1" ref="AB4" ca="1">TREND($K4:$P4,$K$1:$P$1,AB$1)</f>
        <v>#VALUE!</v>
      </c>
      <c r="AC4" t="e" cm="1">
        <f t="array" aca="1" ref="AC4" ca="1">TREND($K4:$P4,$K$1:$P$1,AC$1)</f>
        <v>#VALUE!</v>
      </c>
      <c r="AD4" t="e" cm="1">
        <f t="array" aca="1" ref="AD4" ca="1">TREND($K4:$P4,$K$1:$P$1,AD$1)</f>
        <v>#VALUE!</v>
      </c>
      <c r="AE4" t="e" cm="1">
        <f t="array" aca="1" ref="AE4" ca="1">TREND($K4:$P4,$K$1:$P$1,AE$1)</f>
        <v>#VALUE!</v>
      </c>
      <c r="AF4" t="e" cm="1">
        <f t="array" aca="1" ref="AF4" ca="1">TREND($K4:$P4,$K$1:$P$1,AF$1)</f>
        <v>#VALUE!</v>
      </c>
      <c r="AG4" t="e" cm="1">
        <f t="array" aca="1" ref="AG4" ca="1">TREND($K4:$P4,$K$1:$P$1,AG$1)</f>
        <v>#VALUE!</v>
      </c>
      <c r="AH4" t="e" cm="1">
        <f t="array" aca="1" ref="AH4" ca="1">TREND($K4:$P4,$K$1:$P$1,AH$1)</f>
        <v>#VALUE!</v>
      </c>
      <c r="AI4" t="e" cm="1">
        <f t="array" aca="1" ref="AI4" ca="1">TREND($K4:$P4,$K$1:$P$1,AI$1)</f>
        <v>#VALUE!</v>
      </c>
      <c r="AJ4" t="e" cm="1">
        <f t="array" aca="1" ref="AJ4" ca="1">TREND($K4:$P4,$K$1:$P$1,AJ$1)</f>
        <v>#VALUE!</v>
      </c>
    </row>
    <row r="5" spans="1:36">
      <c r="A5" t="s">
        <v>78</v>
      </c>
      <c r="B5" s="32" t="e" cm="1">
        <f t="array" aca="1" ref="B5" ca="1">INDIRECT(CONCATENATE("'",HLOOKUP(B$1,$B$21:$E$23,3,FALSE),"'!",$B$25,ROW($A5)+5))*About!$A$27</f>
        <v>#VALUE!</v>
      </c>
      <c r="C5" t="e">
        <f t="shared" ca="1" si="3"/>
        <v>#VALUE!</v>
      </c>
      <c r="D5" t="e">
        <f t="shared" ca="1" si="0"/>
        <v>#VALUE!</v>
      </c>
      <c r="E5" t="e">
        <f t="shared" ca="1" si="0"/>
        <v>#VALUE!</v>
      </c>
      <c r="F5" s="32" t="e" cm="1">
        <f t="array" aca="1" ref="F5" ca="1">INDIRECT(CONCATENATE("'",HLOOKUP(F$1,$B$21:$E$23,3,FALSE),"'!",$B$25,ROW($A5)+5))*About!$A$27</f>
        <v>#VALUE!</v>
      </c>
      <c r="G5" t="e">
        <f t="shared" ca="1" si="4"/>
        <v>#VALUE!</v>
      </c>
      <c r="H5" t="e">
        <f t="shared" ca="1" si="1"/>
        <v>#VALUE!</v>
      </c>
      <c r="I5" t="e">
        <f t="shared" ca="1" si="1"/>
        <v>#VALUE!</v>
      </c>
      <c r="J5" t="e">
        <f t="shared" ca="1" si="1"/>
        <v>#VALUE!</v>
      </c>
      <c r="K5" s="32" t="e" cm="1">
        <f t="array" aca="1" ref="K5" ca="1">INDIRECT(CONCATENATE("'",HLOOKUP(K$1,$B$21:$E$23,3,FALSE),"'!",$B$25,ROW($A5)+5))*About!$A$27</f>
        <v>#VALUE!</v>
      </c>
      <c r="L5" t="e">
        <f t="shared" ca="1" si="5"/>
        <v>#VALUE!</v>
      </c>
      <c r="M5" t="e">
        <f t="shared" ca="1" si="2"/>
        <v>#VALUE!</v>
      </c>
      <c r="N5" t="e">
        <f t="shared" ca="1" si="2"/>
        <v>#VALUE!</v>
      </c>
      <c r="O5" t="e">
        <f t="shared" ca="1" si="2"/>
        <v>#VALUE!</v>
      </c>
      <c r="P5" s="32" t="e" cm="1">
        <f t="array" aca="1" ref="P5" ca="1">INDIRECT(CONCATENATE("'",HLOOKUP(P$1,$B$21:$E$23,3,FALSE),"'!",$B$25,ROW($A5)+5))*About!$A$27</f>
        <v>#VALUE!</v>
      </c>
      <c r="Q5" t="e" cm="1">
        <f t="array" aca="1" ref="Q5" ca="1">TREND($K5:$P5,$K$1:$P$1,Q$1)</f>
        <v>#VALUE!</v>
      </c>
      <c r="R5" t="e" cm="1">
        <f t="array" aca="1" ref="R5" ca="1">TREND($K5:$P5,$K$1:$P$1,R$1)</f>
        <v>#VALUE!</v>
      </c>
      <c r="S5" t="e" cm="1">
        <f t="array" aca="1" ref="S5" ca="1">TREND($K5:$P5,$K$1:$P$1,S$1)</f>
        <v>#VALUE!</v>
      </c>
      <c r="T5" t="e" cm="1">
        <f t="array" aca="1" ref="T5" ca="1">TREND($K5:$P5,$K$1:$P$1,T$1)</f>
        <v>#VALUE!</v>
      </c>
      <c r="U5" t="e" cm="1">
        <f t="array" aca="1" ref="U5" ca="1">TREND($K5:$P5,$K$1:$P$1,U$1)</f>
        <v>#VALUE!</v>
      </c>
      <c r="V5" t="e" cm="1">
        <f t="array" aca="1" ref="V5" ca="1">TREND($K5:$P5,$K$1:$P$1,V$1)</f>
        <v>#VALUE!</v>
      </c>
      <c r="W5" t="e" cm="1">
        <f t="array" aca="1" ref="W5" ca="1">TREND($K5:$P5,$K$1:$P$1,W$1)</f>
        <v>#VALUE!</v>
      </c>
      <c r="X5" t="e" cm="1">
        <f t="array" aca="1" ref="X5" ca="1">TREND($K5:$P5,$K$1:$P$1,X$1)</f>
        <v>#VALUE!</v>
      </c>
      <c r="Y5" t="e" cm="1">
        <f t="array" aca="1" ref="Y5" ca="1">TREND($K5:$P5,$K$1:$P$1,Y$1)</f>
        <v>#VALUE!</v>
      </c>
      <c r="Z5" t="e" cm="1">
        <f t="array" aca="1" ref="Z5" ca="1">TREND($K5:$P5,$K$1:$P$1,Z$1)</f>
        <v>#VALUE!</v>
      </c>
      <c r="AA5" t="e" cm="1">
        <f t="array" aca="1" ref="AA5" ca="1">TREND($K5:$P5,$K$1:$P$1,AA$1)</f>
        <v>#VALUE!</v>
      </c>
      <c r="AB5" t="e" cm="1">
        <f t="array" aca="1" ref="AB5" ca="1">TREND($K5:$P5,$K$1:$P$1,AB$1)</f>
        <v>#VALUE!</v>
      </c>
      <c r="AC5" t="e" cm="1">
        <f t="array" aca="1" ref="AC5" ca="1">TREND($K5:$P5,$K$1:$P$1,AC$1)</f>
        <v>#VALUE!</v>
      </c>
      <c r="AD5" t="e" cm="1">
        <f t="array" aca="1" ref="AD5" ca="1">TREND($K5:$P5,$K$1:$P$1,AD$1)</f>
        <v>#VALUE!</v>
      </c>
      <c r="AE5" t="e" cm="1">
        <f t="array" aca="1" ref="AE5" ca="1">TREND($K5:$P5,$K$1:$P$1,AE$1)</f>
        <v>#VALUE!</v>
      </c>
      <c r="AF5" t="e" cm="1">
        <f t="array" aca="1" ref="AF5" ca="1">TREND($K5:$P5,$K$1:$P$1,AF$1)</f>
        <v>#VALUE!</v>
      </c>
      <c r="AG5" t="e" cm="1">
        <f t="array" aca="1" ref="AG5" ca="1">TREND($K5:$P5,$K$1:$P$1,AG$1)</f>
        <v>#VALUE!</v>
      </c>
      <c r="AH5" t="e" cm="1">
        <f t="array" aca="1" ref="AH5" ca="1">TREND($K5:$P5,$K$1:$P$1,AH$1)</f>
        <v>#VALUE!</v>
      </c>
      <c r="AI5" t="e" cm="1">
        <f t="array" aca="1" ref="AI5" ca="1">TREND($K5:$P5,$K$1:$P$1,AI$1)</f>
        <v>#VALUE!</v>
      </c>
      <c r="AJ5" t="e" cm="1">
        <f t="array" aca="1" ref="AJ5" ca="1">TREND($K5:$P5,$K$1:$P$1,AJ$1)</f>
        <v>#VALUE!</v>
      </c>
    </row>
    <row r="6" spans="1:36">
      <c r="A6" t="s">
        <v>79</v>
      </c>
      <c r="B6" s="32" t="e" cm="1">
        <f t="array" aca="1" ref="B6" ca="1">INDIRECT(CONCATENATE("'",HLOOKUP(B$1,$B$21:$E$23,3,FALSE),"'!",$B$25,ROW($A6)+5))*About!$A$27</f>
        <v>#VALUE!</v>
      </c>
      <c r="C6" t="e">
        <f t="shared" ca="1" si="3"/>
        <v>#VALUE!</v>
      </c>
      <c r="D6" t="e">
        <f t="shared" ca="1" si="0"/>
        <v>#VALUE!</v>
      </c>
      <c r="E6" t="e">
        <f t="shared" ca="1" si="0"/>
        <v>#VALUE!</v>
      </c>
      <c r="F6" s="32" t="e" cm="1">
        <f t="array" aca="1" ref="F6" ca="1">INDIRECT(CONCATENATE("'",HLOOKUP(F$1,$B$21:$E$23,3,FALSE),"'!",$B$25,ROW($A6)+5))*About!$A$27</f>
        <v>#VALUE!</v>
      </c>
      <c r="G6" t="e">
        <f t="shared" ca="1" si="4"/>
        <v>#VALUE!</v>
      </c>
      <c r="H6" t="e">
        <f t="shared" ca="1" si="1"/>
        <v>#VALUE!</v>
      </c>
      <c r="I6" t="e">
        <f t="shared" ca="1" si="1"/>
        <v>#VALUE!</v>
      </c>
      <c r="J6" t="e">
        <f t="shared" ca="1" si="1"/>
        <v>#VALUE!</v>
      </c>
      <c r="K6" s="32" t="e" cm="1">
        <f t="array" aca="1" ref="K6" ca="1">INDIRECT(CONCATENATE("'",HLOOKUP(K$1,$B$21:$E$23,3,FALSE),"'!",$B$25,ROW($A6)+5))*About!$A$27</f>
        <v>#VALUE!</v>
      </c>
      <c r="L6" t="e">
        <f t="shared" ca="1" si="5"/>
        <v>#VALUE!</v>
      </c>
      <c r="M6" t="e">
        <f t="shared" ca="1" si="2"/>
        <v>#VALUE!</v>
      </c>
      <c r="N6" t="e">
        <f t="shared" ca="1" si="2"/>
        <v>#VALUE!</v>
      </c>
      <c r="O6" t="e">
        <f t="shared" ca="1" si="2"/>
        <v>#VALUE!</v>
      </c>
      <c r="P6" s="32" t="e" cm="1">
        <f t="array" aca="1" ref="P6" ca="1">INDIRECT(CONCATENATE("'",HLOOKUP(P$1,$B$21:$E$23,3,FALSE),"'!",$B$25,ROW($A6)+5))*About!$A$27</f>
        <v>#VALUE!</v>
      </c>
      <c r="Q6" t="e" cm="1">
        <f t="array" aca="1" ref="Q6" ca="1">TREND($K6:$P6,$K$1:$P$1,Q$1)</f>
        <v>#VALUE!</v>
      </c>
      <c r="R6" t="e" cm="1">
        <f t="array" aca="1" ref="R6" ca="1">TREND($K6:$P6,$K$1:$P$1,R$1)</f>
        <v>#VALUE!</v>
      </c>
      <c r="S6" t="e" cm="1">
        <f t="array" aca="1" ref="S6" ca="1">TREND($K6:$P6,$K$1:$P$1,S$1)</f>
        <v>#VALUE!</v>
      </c>
      <c r="T6" t="e" cm="1">
        <f t="array" aca="1" ref="T6" ca="1">TREND($K6:$P6,$K$1:$P$1,T$1)</f>
        <v>#VALUE!</v>
      </c>
      <c r="U6" t="e" cm="1">
        <f t="array" aca="1" ref="U6" ca="1">TREND($K6:$P6,$K$1:$P$1,U$1)</f>
        <v>#VALUE!</v>
      </c>
      <c r="V6" t="e" cm="1">
        <f t="array" aca="1" ref="V6" ca="1">TREND($K6:$P6,$K$1:$P$1,V$1)</f>
        <v>#VALUE!</v>
      </c>
      <c r="W6" t="e" cm="1">
        <f t="array" aca="1" ref="W6" ca="1">TREND($K6:$P6,$K$1:$P$1,W$1)</f>
        <v>#VALUE!</v>
      </c>
      <c r="X6" t="e" cm="1">
        <f t="array" aca="1" ref="X6" ca="1">TREND($K6:$P6,$K$1:$P$1,X$1)</f>
        <v>#VALUE!</v>
      </c>
      <c r="Y6" t="e" cm="1">
        <f t="array" aca="1" ref="Y6" ca="1">TREND($K6:$P6,$K$1:$P$1,Y$1)</f>
        <v>#VALUE!</v>
      </c>
      <c r="Z6" t="e" cm="1">
        <f t="array" aca="1" ref="Z6" ca="1">TREND($K6:$P6,$K$1:$P$1,Z$1)</f>
        <v>#VALUE!</v>
      </c>
      <c r="AA6" t="e" cm="1">
        <f t="array" aca="1" ref="AA6" ca="1">TREND($K6:$P6,$K$1:$P$1,AA$1)</f>
        <v>#VALUE!</v>
      </c>
      <c r="AB6" t="e" cm="1">
        <f t="array" aca="1" ref="AB6" ca="1">TREND($K6:$P6,$K$1:$P$1,AB$1)</f>
        <v>#VALUE!</v>
      </c>
      <c r="AC6" t="e" cm="1">
        <f t="array" aca="1" ref="AC6" ca="1">TREND($K6:$P6,$K$1:$P$1,AC$1)</f>
        <v>#VALUE!</v>
      </c>
      <c r="AD6" t="e" cm="1">
        <f t="array" aca="1" ref="AD6" ca="1">TREND($K6:$P6,$K$1:$P$1,AD$1)</f>
        <v>#VALUE!</v>
      </c>
      <c r="AE6" t="e" cm="1">
        <f t="array" aca="1" ref="AE6" ca="1">TREND($K6:$P6,$K$1:$P$1,AE$1)</f>
        <v>#VALUE!</v>
      </c>
      <c r="AF6" t="e" cm="1">
        <f t="array" aca="1" ref="AF6" ca="1">TREND($K6:$P6,$K$1:$P$1,AF$1)</f>
        <v>#VALUE!</v>
      </c>
      <c r="AG6" t="e" cm="1">
        <f t="array" aca="1" ref="AG6" ca="1">TREND($K6:$P6,$K$1:$P$1,AG$1)</f>
        <v>#VALUE!</v>
      </c>
      <c r="AH6" t="e" cm="1">
        <f t="array" aca="1" ref="AH6" ca="1">TREND($K6:$P6,$K$1:$P$1,AH$1)</f>
        <v>#VALUE!</v>
      </c>
      <c r="AI6" t="e" cm="1">
        <f t="array" aca="1" ref="AI6" ca="1">TREND($K6:$P6,$K$1:$P$1,AI$1)</f>
        <v>#VALUE!</v>
      </c>
      <c r="AJ6" t="e" cm="1">
        <f t="array" aca="1" ref="AJ6" ca="1">TREND($K6:$P6,$K$1:$P$1,AJ$1)</f>
        <v>#VALUE!</v>
      </c>
    </row>
    <row r="7" spans="1:36">
      <c r="A7" t="s">
        <v>80</v>
      </c>
      <c r="B7" s="32" t="e" cm="1">
        <f t="array" aca="1" ref="B7" ca="1">INDIRECT(CONCATENATE("'",HLOOKUP(B$1,$B$21:$E$23,3,FALSE),"'!",$B$25,ROW($A7)+5))*About!$A$27</f>
        <v>#VALUE!</v>
      </c>
      <c r="C7" t="e">
        <f t="shared" ca="1" si="3"/>
        <v>#VALUE!</v>
      </c>
      <c r="D7" t="e">
        <f t="shared" ca="1" si="0"/>
        <v>#VALUE!</v>
      </c>
      <c r="E7" t="e">
        <f t="shared" ca="1" si="0"/>
        <v>#VALUE!</v>
      </c>
      <c r="F7" s="32" t="e" cm="1">
        <f t="array" aca="1" ref="F7" ca="1">INDIRECT(CONCATENATE("'",HLOOKUP(F$1,$B$21:$E$23,3,FALSE),"'!",$B$25,ROW($A7)+5))*About!$A$27</f>
        <v>#VALUE!</v>
      </c>
      <c r="G7" t="e">
        <f t="shared" ca="1" si="4"/>
        <v>#VALUE!</v>
      </c>
      <c r="H7" t="e">
        <f t="shared" ca="1" si="1"/>
        <v>#VALUE!</v>
      </c>
      <c r="I7" t="e">
        <f t="shared" ca="1" si="1"/>
        <v>#VALUE!</v>
      </c>
      <c r="J7" t="e">
        <f t="shared" ca="1" si="1"/>
        <v>#VALUE!</v>
      </c>
      <c r="K7" s="32" t="e" cm="1">
        <f t="array" aca="1" ref="K7" ca="1">INDIRECT(CONCATENATE("'",HLOOKUP(K$1,$B$21:$E$23,3,FALSE),"'!",$B$25,ROW($A7)+5))*About!$A$27</f>
        <v>#VALUE!</v>
      </c>
      <c r="L7" t="e">
        <f t="shared" ca="1" si="5"/>
        <v>#VALUE!</v>
      </c>
      <c r="M7" t="e">
        <f t="shared" ca="1" si="2"/>
        <v>#VALUE!</v>
      </c>
      <c r="N7" t="e">
        <f t="shared" ca="1" si="2"/>
        <v>#VALUE!</v>
      </c>
      <c r="O7" t="e">
        <f t="shared" ca="1" si="2"/>
        <v>#VALUE!</v>
      </c>
      <c r="P7" s="32" t="e" cm="1">
        <f t="array" aca="1" ref="P7" ca="1">INDIRECT(CONCATENATE("'",HLOOKUP(P$1,$B$21:$E$23,3,FALSE),"'!",$B$25,ROW($A7)+5))*About!$A$27</f>
        <v>#VALUE!</v>
      </c>
      <c r="Q7" t="e" cm="1">
        <f t="array" aca="1" ref="Q7" ca="1">TREND($K7:$P7,$K$1:$P$1,Q$1)</f>
        <v>#VALUE!</v>
      </c>
      <c r="R7" t="e" cm="1">
        <f t="array" aca="1" ref="R7" ca="1">TREND($K7:$P7,$K$1:$P$1,R$1)</f>
        <v>#VALUE!</v>
      </c>
      <c r="S7" t="e" cm="1">
        <f t="array" aca="1" ref="S7" ca="1">TREND($K7:$P7,$K$1:$P$1,S$1)</f>
        <v>#VALUE!</v>
      </c>
      <c r="T7" t="e" cm="1">
        <f t="array" aca="1" ref="T7" ca="1">TREND($K7:$P7,$K$1:$P$1,T$1)</f>
        <v>#VALUE!</v>
      </c>
      <c r="U7" t="e" cm="1">
        <f t="array" aca="1" ref="U7" ca="1">TREND($K7:$P7,$K$1:$P$1,U$1)</f>
        <v>#VALUE!</v>
      </c>
      <c r="V7" t="e" cm="1">
        <f t="array" aca="1" ref="V7" ca="1">TREND($K7:$P7,$K$1:$P$1,V$1)</f>
        <v>#VALUE!</v>
      </c>
      <c r="W7" t="e" cm="1">
        <f t="array" aca="1" ref="W7" ca="1">TREND($K7:$P7,$K$1:$P$1,W$1)</f>
        <v>#VALUE!</v>
      </c>
      <c r="X7" t="e" cm="1">
        <f t="array" aca="1" ref="X7" ca="1">TREND($K7:$P7,$K$1:$P$1,X$1)</f>
        <v>#VALUE!</v>
      </c>
      <c r="Y7" t="e" cm="1">
        <f t="array" aca="1" ref="Y7" ca="1">TREND($K7:$P7,$K$1:$P$1,Y$1)</f>
        <v>#VALUE!</v>
      </c>
      <c r="Z7" t="e" cm="1">
        <f t="array" aca="1" ref="Z7" ca="1">TREND($K7:$P7,$K$1:$P$1,Z$1)</f>
        <v>#VALUE!</v>
      </c>
      <c r="AA7" t="e" cm="1">
        <f t="array" aca="1" ref="AA7" ca="1">TREND($K7:$P7,$K$1:$P$1,AA$1)</f>
        <v>#VALUE!</v>
      </c>
      <c r="AB7" t="e" cm="1">
        <f t="array" aca="1" ref="AB7" ca="1">TREND($K7:$P7,$K$1:$P$1,AB$1)</f>
        <v>#VALUE!</v>
      </c>
      <c r="AC7" t="e" cm="1">
        <f t="array" aca="1" ref="AC7" ca="1">TREND($K7:$P7,$K$1:$P$1,AC$1)</f>
        <v>#VALUE!</v>
      </c>
      <c r="AD7" t="e" cm="1">
        <f t="array" aca="1" ref="AD7" ca="1">TREND($K7:$P7,$K$1:$P$1,AD$1)</f>
        <v>#VALUE!</v>
      </c>
      <c r="AE7" t="e" cm="1">
        <f t="array" aca="1" ref="AE7" ca="1">TREND($K7:$P7,$K$1:$P$1,AE$1)</f>
        <v>#VALUE!</v>
      </c>
      <c r="AF7" t="e" cm="1">
        <f t="array" aca="1" ref="AF7" ca="1">TREND($K7:$P7,$K$1:$P$1,AF$1)</f>
        <v>#VALUE!</v>
      </c>
      <c r="AG7" t="e" cm="1">
        <f t="array" aca="1" ref="AG7" ca="1">TREND($K7:$P7,$K$1:$P$1,AG$1)</f>
        <v>#VALUE!</v>
      </c>
      <c r="AH7" t="e" cm="1">
        <f t="array" aca="1" ref="AH7" ca="1">TREND($K7:$P7,$K$1:$P$1,AH$1)</f>
        <v>#VALUE!</v>
      </c>
      <c r="AI7" t="e" cm="1">
        <f t="array" aca="1" ref="AI7" ca="1">TREND($K7:$P7,$K$1:$P$1,AI$1)</f>
        <v>#VALUE!</v>
      </c>
      <c r="AJ7" t="e" cm="1">
        <f t="array" aca="1" ref="AJ7" ca="1">TREND($K7:$P7,$K$1:$P$1,AJ$1)</f>
        <v>#VALUE!</v>
      </c>
    </row>
    <row r="8" spans="1:36">
      <c r="A8" t="s">
        <v>81</v>
      </c>
      <c r="B8" s="32" t="e" cm="1">
        <f t="array" aca="1" ref="B8" ca="1">INDIRECT(CONCATENATE("'",HLOOKUP(B$1,$B$21:$E$23,3,FALSE),"'!",$B$25,ROW($A8)+5))*About!$A$27</f>
        <v>#VALUE!</v>
      </c>
      <c r="C8" t="e">
        <f t="shared" ca="1" si="3"/>
        <v>#VALUE!</v>
      </c>
      <c r="D8" t="e">
        <f t="shared" ca="1" si="0"/>
        <v>#VALUE!</v>
      </c>
      <c r="E8" t="e">
        <f t="shared" ca="1" si="0"/>
        <v>#VALUE!</v>
      </c>
      <c r="F8" s="32" t="e" cm="1">
        <f t="array" aca="1" ref="F8" ca="1">INDIRECT(CONCATENATE("'",HLOOKUP(F$1,$B$21:$E$23,3,FALSE),"'!",$B$25,ROW($A8)+5))*About!$A$27</f>
        <v>#VALUE!</v>
      </c>
      <c r="G8" t="e">
        <f t="shared" ca="1" si="4"/>
        <v>#VALUE!</v>
      </c>
      <c r="H8" t="e">
        <f t="shared" ca="1" si="1"/>
        <v>#VALUE!</v>
      </c>
      <c r="I8" t="e">
        <f t="shared" ca="1" si="1"/>
        <v>#VALUE!</v>
      </c>
      <c r="J8" t="e">
        <f t="shared" ca="1" si="1"/>
        <v>#VALUE!</v>
      </c>
      <c r="K8" s="32" t="e" cm="1">
        <f t="array" aca="1" ref="K8" ca="1">INDIRECT(CONCATENATE("'",HLOOKUP(K$1,$B$21:$E$23,3,FALSE),"'!",$B$25,ROW($A8)+5))*About!$A$27</f>
        <v>#VALUE!</v>
      </c>
      <c r="L8" t="e">
        <f t="shared" ca="1" si="5"/>
        <v>#VALUE!</v>
      </c>
      <c r="M8" t="e">
        <f t="shared" ca="1" si="2"/>
        <v>#VALUE!</v>
      </c>
      <c r="N8" t="e">
        <f t="shared" ca="1" si="2"/>
        <v>#VALUE!</v>
      </c>
      <c r="O8" t="e">
        <f t="shared" ca="1" si="2"/>
        <v>#VALUE!</v>
      </c>
      <c r="P8" s="32" t="e" cm="1">
        <f t="array" aca="1" ref="P8" ca="1">INDIRECT(CONCATENATE("'",HLOOKUP(P$1,$B$21:$E$23,3,FALSE),"'!",$B$25,ROW($A8)+5))*About!$A$27</f>
        <v>#VALUE!</v>
      </c>
      <c r="Q8" t="e" cm="1">
        <f t="array" aca="1" ref="Q8" ca="1">TREND($K8:$P8,$K$1:$P$1,Q$1)</f>
        <v>#VALUE!</v>
      </c>
      <c r="R8" t="e" cm="1">
        <f t="array" aca="1" ref="R8" ca="1">TREND($K8:$P8,$K$1:$P$1,R$1)</f>
        <v>#VALUE!</v>
      </c>
      <c r="S8" t="e" cm="1">
        <f t="array" aca="1" ref="S8" ca="1">TREND($K8:$P8,$K$1:$P$1,S$1)</f>
        <v>#VALUE!</v>
      </c>
      <c r="T8" t="e" cm="1">
        <f t="array" aca="1" ref="T8" ca="1">TREND($K8:$P8,$K$1:$P$1,T$1)</f>
        <v>#VALUE!</v>
      </c>
      <c r="U8" t="e" cm="1">
        <f t="array" aca="1" ref="U8" ca="1">TREND($K8:$P8,$K$1:$P$1,U$1)</f>
        <v>#VALUE!</v>
      </c>
      <c r="V8" t="e" cm="1">
        <f t="array" aca="1" ref="V8" ca="1">TREND($K8:$P8,$K$1:$P$1,V$1)</f>
        <v>#VALUE!</v>
      </c>
      <c r="W8" t="e" cm="1">
        <f t="array" aca="1" ref="W8" ca="1">TREND($K8:$P8,$K$1:$P$1,W$1)</f>
        <v>#VALUE!</v>
      </c>
      <c r="X8" t="e" cm="1">
        <f t="array" aca="1" ref="X8" ca="1">TREND($K8:$P8,$K$1:$P$1,X$1)</f>
        <v>#VALUE!</v>
      </c>
      <c r="Y8" t="e" cm="1">
        <f t="array" aca="1" ref="Y8" ca="1">TREND($K8:$P8,$K$1:$P$1,Y$1)</f>
        <v>#VALUE!</v>
      </c>
      <c r="Z8" t="e" cm="1">
        <f t="array" aca="1" ref="Z8" ca="1">TREND($K8:$P8,$K$1:$P$1,Z$1)</f>
        <v>#VALUE!</v>
      </c>
      <c r="AA8" t="e" cm="1">
        <f t="array" aca="1" ref="AA8" ca="1">TREND($K8:$P8,$K$1:$P$1,AA$1)</f>
        <v>#VALUE!</v>
      </c>
      <c r="AB8" t="e" cm="1">
        <f t="array" aca="1" ref="AB8" ca="1">TREND($K8:$P8,$K$1:$P$1,AB$1)</f>
        <v>#VALUE!</v>
      </c>
      <c r="AC8" t="e" cm="1">
        <f t="array" aca="1" ref="AC8" ca="1">TREND($K8:$P8,$K$1:$P$1,AC$1)</f>
        <v>#VALUE!</v>
      </c>
      <c r="AD8" t="e" cm="1">
        <f t="array" aca="1" ref="AD8" ca="1">TREND($K8:$P8,$K$1:$P$1,AD$1)</f>
        <v>#VALUE!</v>
      </c>
      <c r="AE8" t="e" cm="1">
        <f t="array" aca="1" ref="AE8" ca="1">TREND($K8:$P8,$K$1:$P$1,AE$1)</f>
        <v>#VALUE!</v>
      </c>
      <c r="AF8" t="e" cm="1">
        <f t="array" aca="1" ref="AF8" ca="1">TREND($K8:$P8,$K$1:$P$1,AF$1)</f>
        <v>#VALUE!</v>
      </c>
      <c r="AG8" t="e" cm="1">
        <f t="array" aca="1" ref="AG8" ca="1">TREND($K8:$P8,$K$1:$P$1,AG$1)</f>
        <v>#VALUE!</v>
      </c>
      <c r="AH8" t="e" cm="1">
        <f t="array" aca="1" ref="AH8" ca="1">TREND($K8:$P8,$K$1:$P$1,AH$1)</f>
        <v>#VALUE!</v>
      </c>
      <c r="AI8" t="e" cm="1">
        <f t="array" aca="1" ref="AI8" ca="1">TREND($K8:$P8,$K$1:$P$1,AI$1)</f>
        <v>#VALUE!</v>
      </c>
      <c r="AJ8" t="e" cm="1">
        <f t="array" aca="1" ref="AJ8" ca="1">TREND($K8:$P8,$K$1:$P$1,AJ$1)</f>
        <v>#VALUE!</v>
      </c>
    </row>
    <row r="9" spans="1:36">
      <c r="A9" t="s">
        <v>82</v>
      </c>
      <c r="B9" s="32" t="e" cm="1">
        <f t="array" aca="1" ref="B9" ca="1">INDIRECT(CONCATENATE("'",HLOOKUP(B$1,$B$21:$E$23,3,FALSE),"'!",$B$25,ROW($A9)+5))*About!$A$27</f>
        <v>#VALUE!</v>
      </c>
      <c r="C9" t="e">
        <f t="shared" ca="1" si="3"/>
        <v>#VALUE!</v>
      </c>
      <c r="D9" t="e">
        <f t="shared" ca="1" si="0"/>
        <v>#VALUE!</v>
      </c>
      <c r="E9" t="e">
        <f t="shared" ca="1" si="0"/>
        <v>#VALUE!</v>
      </c>
      <c r="F9" s="32" t="e" cm="1">
        <f t="array" aca="1" ref="F9" ca="1">INDIRECT(CONCATENATE("'",HLOOKUP(F$1,$B$21:$E$23,3,FALSE),"'!",$B$25,ROW($A9)+5))*About!$A$27</f>
        <v>#VALUE!</v>
      </c>
      <c r="G9" t="e">
        <f t="shared" ca="1" si="4"/>
        <v>#VALUE!</v>
      </c>
      <c r="H9" t="e">
        <f t="shared" ca="1" si="1"/>
        <v>#VALUE!</v>
      </c>
      <c r="I9" t="e">
        <f t="shared" ca="1" si="1"/>
        <v>#VALUE!</v>
      </c>
      <c r="J9" t="e">
        <f t="shared" ca="1" si="1"/>
        <v>#VALUE!</v>
      </c>
      <c r="K9" s="32" t="e" cm="1">
        <f t="array" aca="1" ref="K9" ca="1">INDIRECT(CONCATENATE("'",HLOOKUP(K$1,$B$21:$E$23,3,FALSE),"'!",$B$25,ROW($A9)+5))*About!$A$27</f>
        <v>#VALUE!</v>
      </c>
      <c r="L9" t="e">
        <f t="shared" ca="1" si="5"/>
        <v>#VALUE!</v>
      </c>
      <c r="M9" t="e">
        <f t="shared" ca="1" si="2"/>
        <v>#VALUE!</v>
      </c>
      <c r="N9" t="e">
        <f t="shared" ca="1" si="2"/>
        <v>#VALUE!</v>
      </c>
      <c r="O9" t="e">
        <f t="shared" ca="1" si="2"/>
        <v>#VALUE!</v>
      </c>
      <c r="P9" s="32" t="e" cm="1">
        <f t="array" aca="1" ref="P9" ca="1">INDIRECT(CONCATENATE("'",HLOOKUP(P$1,$B$21:$E$23,3,FALSE),"'!",$B$25,ROW($A9)+5))*About!$A$27</f>
        <v>#VALUE!</v>
      </c>
      <c r="Q9" t="e" cm="1">
        <f t="array" aca="1" ref="Q9" ca="1">TREND($K9:$P9,$K$1:$P$1,Q$1)</f>
        <v>#VALUE!</v>
      </c>
      <c r="R9" t="e" cm="1">
        <f t="array" aca="1" ref="R9" ca="1">TREND($K9:$P9,$K$1:$P$1,R$1)</f>
        <v>#VALUE!</v>
      </c>
      <c r="S9" t="e" cm="1">
        <f t="array" aca="1" ref="S9" ca="1">TREND($K9:$P9,$K$1:$P$1,S$1)</f>
        <v>#VALUE!</v>
      </c>
      <c r="T9" t="e" cm="1">
        <f t="array" aca="1" ref="T9" ca="1">TREND($K9:$P9,$K$1:$P$1,T$1)</f>
        <v>#VALUE!</v>
      </c>
      <c r="U9" t="e" cm="1">
        <f t="array" aca="1" ref="U9" ca="1">TREND($K9:$P9,$K$1:$P$1,U$1)</f>
        <v>#VALUE!</v>
      </c>
      <c r="V9" t="e" cm="1">
        <f t="array" aca="1" ref="V9" ca="1">TREND($K9:$P9,$K$1:$P$1,V$1)</f>
        <v>#VALUE!</v>
      </c>
      <c r="W9" t="e" cm="1">
        <f t="array" aca="1" ref="W9" ca="1">TREND($K9:$P9,$K$1:$P$1,W$1)</f>
        <v>#VALUE!</v>
      </c>
      <c r="X9" t="e" cm="1">
        <f t="array" aca="1" ref="X9" ca="1">TREND($K9:$P9,$K$1:$P$1,X$1)</f>
        <v>#VALUE!</v>
      </c>
      <c r="Y9" t="e" cm="1">
        <f t="array" aca="1" ref="Y9" ca="1">TREND($K9:$P9,$K$1:$P$1,Y$1)</f>
        <v>#VALUE!</v>
      </c>
      <c r="Z9" t="e" cm="1">
        <f t="array" aca="1" ref="Z9" ca="1">TREND($K9:$P9,$K$1:$P$1,Z$1)</f>
        <v>#VALUE!</v>
      </c>
      <c r="AA9" t="e" cm="1">
        <f t="array" aca="1" ref="AA9" ca="1">TREND($K9:$P9,$K$1:$P$1,AA$1)</f>
        <v>#VALUE!</v>
      </c>
      <c r="AB9" t="e" cm="1">
        <f t="array" aca="1" ref="AB9" ca="1">TREND($K9:$P9,$K$1:$P$1,AB$1)</f>
        <v>#VALUE!</v>
      </c>
      <c r="AC9" t="e" cm="1">
        <f t="array" aca="1" ref="AC9" ca="1">TREND($K9:$P9,$K$1:$P$1,AC$1)</f>
        <v>#VALUE!</v>
      </c>
      <c r="AD9" t="e" cm="1">
        <f t="array" aca="1" ref="AD9" ca="1">TREND($K9:$P9,$K$1:$P$1,AD$1)</f>
        <v>#VALUE!</v>
      </c>
      <c r="AE9" t="e" cm="1">
        <f t="array" aca="1" ref="AE9" ca="1">TREND($K9:$P9,$K$1:$P$1,AE$1)</f>
        <v>#VALUE!</v>
      </c>
      <c r="AF9" t="e" cm="1">
        <f t="array" aca="1" ref="AF9" ca="1">TREND($K9:$P9,$K$1:$P$1,AF$1)</f>
        <v>#VALUE!</v>
      </c>
      <c r="AG9" t="e" cm="1">
        <f t="array" aca="1" ref="AG9" ca="1">TREND($K9:$P9,$K$1:$P$1,AG$1)</f>
        <v>#VALUE!</v>
      </c>
      <c r="AH9" t="e" cm="1">
        <f t="array" aca="1" ref="AH9" ca="1">TREND($K9:$P9,$K$1:$P$1,AH$1)</f>
        <v>#VALUE!</v>
      </c>
      <c r="AI9" t="e" cm="1">
        <f t="array" aca="1" ref="AI9" ca="1">TREND($K9:$P9,$K$1:$P$1,AI$1)</f>
        <v>#VALUE!</v>
      </c>
      <c r="AJ9" t="e" cm="1">
        <f t="array" aca="1" ref="AJ9" ca="1">TREND($K9:$P9,$K$1:$P$1,AJ$1)</f>
        <v>#VALUE!</v>
      </c>
    </row>
    <row r="10" spans="1:36">
      <c r="A10" t="s">
        <v>83</v>
      </c>
      <c r="B10" s="32" t="e" cm="1">
        <f t="array" aca="1" ref="B10" ca="1">INDIRECT(CONCATENATE("'",HLOOKUP(B$1,$B$21:$E$23,3,FALSE),"'!",$B$25,ROW($A10)+5))*About!$A$27</f>
        <v>#VALUE!</v>
      </c>
      <c r="C10" t="e">
        <f t="shared" ca="1" si="3"/>
        <v>#VALUE!</v>
      </c>
      <c r="D10" t="e">
        <f t="shared" ca="1" si="0"/>
        <v>#VALUE!</v>
      </c>
      <c r="E10" t="e">
        <f t="shared" ca="1" si="0"/>
        <v>#VALUE!</v>
      </c>
      <c r="F10" s="32" t="e" cm="1">
        <f t="array" aca="1" ref="F10" ca="1">INDIRECT(CONCATENATE("'",HLOOKUP(F$1,$B$21:$E$23,3,FALSE),"'!",$B$25,ROW($A10)+5))*About!$A$27</f>
        <v>#VALUE!</v>
      </c>
      <c r="G10" t="e">
        <f t="shared" ca="1" si="4"/>
        <v>#VALUE!</v>
      </c>
      <c r="H10" t="e">
        <f t="shared" ca="1" si="1"/>
        <v>#VALUE!</v>
      </c>
      <c r="I10" t="e">
        <f t="shared" ca="1" si="1"/>
        <v>#VALUE!</v>
      </c>
      <c r="J10" t="e">
        <f t="shared" ca="1" si="1"/>
        <v>#VALUE!</v>
      </c>
      <c r="K10" s="32" t="e" cm="1">
        <f t="array" aca="1" ref="K10" ca="1">INDIRECT(CONCATENATE("'",HLOOKUP(K$1,$B$21:$E$23,3,FALSE),"'!",$B$25,ROW($A10)+5))*About!$A$27</f>
        <v>#VALUE!</v>
      </c>
      <c r="L10" t="e">
        <f t="shared" ca="1" si="5"/>
        <v>#VALUE!</v>
      </c>
      <c r="M10" t="e">
        <f t="shared" ca="1" si="2"/>
        <v>#VALUE!</v>
      </c>
      <c r="N10" t="e">
        <f t="shared" ca="1" si="2"/>
        <v>#VALUE!</v>
      </c>
      <c r="O10" t="e">
        <f t="shared" ca="1" si="2"/>
        <v>#VALUE!</v>
      </c>
      <c r="P10" s="32" t="e" cm="1">
        <f t="array" aca="1" ref="P10" ca="1">INDIRECT(CONCATENATE("'",HLOOKUP(P$1,$B$21:$E$23,3,FALSE),"'!",$B$25,ROW($A10)+5))*About!$A$27</f>
        <v>#VALUE!</v>
      </c>
      <c r="Q10" t="e" cm="1">
        <f t="array" aca="1" ref="Q10" ca="1">TREND($K10:$P10,$K$1:$P$1,Q$1)</f>
        <v>#VALUE!</v>
      </c>
      <c r="R10" t="e" cm="1">
        <f t="array" aca="1" ref="R10" ca="1">TREND($K10:$P10,$K$1:$P$1,R$1)</f>
        <v>#VALUE!</v>
      </c>
      <c r="S10" t="e" cm="1">
        <f t="array" aca="1" ref="S10" ca="1">TREND($K10:$P10,$K$1:$P$1,S$1)</f>
        <v>#VALUE!</v>
      </c>
      <c r="T10" t="e" cm="1">
        <f t="array" aca="1" ref="T10" ca="1">TREND($K10:$P10,$K$1:$P$1,T$1)</f>
        <v>#VALUE!</v>
      </c>
      <c r="U10" t="e" cm="1">
        <f t="array" aca="1" ref="U10" ca="1">TREND($K10:$P10,$K$1:$P$1,U$1)</f>
        <v>#VALUE!</v>
      </c>
      <c r="V10" t="e" cm="1">
        <f t="array" aca="1" ref="V10" ca="1">TREND($K10:$P10,$K$1:$P$1,V$1)</f>
        <v>#VALUE!</v>
      </c>
      <c r="W10" t="e" cm="1">
        <f t="array" aca="1" ref="W10" ca="1">TREND($K10:$P10,$K$1:$P$1,W$1)</f>
        <v>#VALUE!</v>
      </c>
      <c r="X10" t="e" cm="1">
        <f t="array" aca="1" ref="X10" ca="1">TREND($K10:$P10,$K$1:$P$1,X$1)</f>
        <v>#VALUE!</v>
      </c>
      <c r="Y10" t="e" cm="1">
        <f t="array" aca="1" ref="Y10" ca="1">TREND($K10:$P10,$K$1:$P$1,Y$1)</f>
        <v>#VALUE!</v>
      </c>
      <c r="Z10" t="e" cm="1">
        <f t="array" aca="1" ref="Z10" ca="1">TREND($K10:$P10,$K$1:$P$1,Z$1)</f>
        <v>#VALUE!</v>
      </c>
      <c r="AA10" t="e" cm="1">
        <f t="array" aca="1" ref="AA10" ca="1">TREND($K10:$P10,$K$1:$P$1,AA$1)</f>
        <v>#VALUE!</v>
      </c>
      <c r="AB10" t="e" cm="1">
        <f t="array" aca="1" ref="AB10" ca="1">TREND($K10:$P10,$K$1:$P$1,AB$1)</f>
        <v>#VALUE!</v>
      </c>
      <c r="AC10" t="e" cm="1">
        <f t="array" aca="1" ref="AC10" ca="1">TREND($K10:$P10,$K$1:$P$1,AC$1)</f>
        <v>#VALUE!</v>
      </c>
      <c r="AD10" t="e" cm="1">
        <f t="array" aca="1" ref="AD10" ca="1">TREND($K10:$P10,$K$1:$P$1,AD$1)</f>
        <v>#VALUE!</v>
      </c>
      <c r="AE10" t="e" cm="1">
        <f t="array" aca="1" ref="AE10" ca="1">TREND($K10:$P10,$K$1:$P$1,AE$1)</f>
        <v>#VALUE!</v>
      </c>
      <c r="AF10" t="e" cm="1">
        <f t="array" aca="1" ref="AF10" ca="1">TREND($K10:$P10,$K$1:$P$1,AF$1)</f>
        <v>#VALUE!</v>
      </c>
      <c r="AG10" t="e" cm="1">
        <f t="array" aca="1" ref="AG10" ca="1">TREND($K10:$P10,$K$1:$P$1,AG$1)</f>
        <v>#VALUE!</v>
      </c>
      <c r="AH10" t="e" cm="1">
        <f t="array" aca="1" ref="AH10" ca="1">TREND($K10:$P10,$K$1:$P$1,AH$1)</f>
        <v>#VALUE!</v>
      </c>
      <c r="AI10" t="e" cm="1">
        <f t="array" aca="1" ref="AI10" ca="1">TREND($K10:$P10,$K$1:$P$1,AI$1)</f>
        <v>#VALUE!</v>
      </c>
      <c r="AJ10" t="e" cm="1">
        <f t="array" aca="1" ref="AJ10" ca="1">TREND($K10:$P10,$K$1:$P$1,AJ$1)</f>
        <v>#VALUE!</v>
      </c>
    </row>
    <row r="11" spans="1:36">
      <c r="A11" t="s">
        <v>84</v>
      </c>
      <c r="B11" s="32" t="e" cm="1">
        <f t="array" aca="1" ref="B11" ca="1">INDIRECT(CONCATENATE("'",HLOOKUP(B$1,$B$21:$E$23,3,FALSE),"'!",$B$25,ROW($A11)+5))*About!$A$27</f>
        <v>#VALUE!</v>
      </c>
      <c r="C11" t="e">
        <f t="shared" ca="1" si="3"/>
        <v>#VALUE!</v>
      </c>
      <c r="D11" t="e">
        <f t="shared" ca="1" si="0"/>
        <v>#VALUE!</v>
      </c>
      <c r="E11" t="e">
        <f t="shared" ca="1" si="0"/>
        <v>#VALUE!</v>
      </c>
      <c r="F11" s="32" t="e" cm="1">
        <f t="array" aca="1" ref="F11" ca="1">INDIRECT(CONCATENATE("'",HLOOKUP(F$1,$B$21:$E$23,3,FALSE),"'!",$B$25,ROW($A11)+5))*About!$A$27</f>
        <v>#VALUE!</v>
      </c>
      <c r="G11" t="e">
        <f t="shared" ca="1" si="4"/>
        <v>#VALUE!</v>
      </c>
      <c r="H11" t="e">
        <f t="shared" ca="1" si="1"/>
        <v>#VALUE!</v>
      </c>
      <c r="I11" t="e">
        <f t="shared" ca="1" si="1"/>
        <v>#VALUE!</v>
      </c>
      <c r="J11" t="e">
        <f t="shared" ca="1" si="1"/>
        <v>#VALUE!</v>
      </c>
      <c r="K11" s="32" t="e" cm="1">
        <f t="array" aca="1" ref="K11" ca="1">INDIRECT(CONCATENATE("'",HLOOKUP(K$1,$B$21:$E$23,3,FALSE),"'!",$B$25,ROW($A11)+5))*About!$A$27</f>
        <v>#VALUE!</v>
      </c>
      <c r="L11" t="e">
        <f t="shared" ca="1" si="5"/>
        <v>#VALUE!</v>
      </c>
      <c r="M11" t="e">
        <f t="shared" ca="1" si="2"/>
        <v>#VALUE!</v>
      </c>
      <c r="N11" t="e">
        <f t="shared" ca="1" si="2"/>
        <v>#VALUE!</v>
      </c>
      <c r="O11" t="e">
        <f t="shared" ca="1" si="2"/>
        <v>#VALUE!</v>
      </c>
      <c r="P11" s="32" t="e" cm="1">
        <f t="array" aca="1" ref="P11" ca="1">INDIRECT(CONCATENATE("'",HLOOKUP(P$1,$B$21:$E$23,3,FALSE),"'!",$B$25,ROW($A11)+5))*About!$A$27</f>
        <v>#VALUE!</v>
      </c>
      <c r="Q11" t="e" cm="1">
        <f t="array" aca="1" ref="Q11" ca="1">TREND($K11:$P11,$K$1:$P$1,Q$1)</f>
        <v>#VALUE!</v>
      </c>
      <c r="R11" t="e" cm="1">
        <f t="array" aca="1" ref="R11" ca="1">TREND($K11:$P11,$K$1:$P$1,R$1)</f>
        <v>#VALUE!</v>
      </c>
      <c r="S11" t="e" cm="1">
        <f t="array" aca="1" ref="S11" ca="1">TREND($K11:$P11,$K$1:$P$1,S$1)</f>
        <v>#VALUE!</v>
      </c>
      <c r="T11" t="e" cm="1">
        <f t="array" aca="1" ref="T11" ca="1">TREND($K11:$P11,$K$1:$P$1,T$1)</f>
        <v>#VALUE!</v>
      </c>
      <c r="U11" t="e" cm="1">
        <f t="array" aca="1" ref="U11" ca="1">TREND($K11:$P11,$K$1:$P$1,U$1)</f>
        <v>#VALUE!</v>
      </c>
      <c r="V11" t="e" cm="1">
        <f t="array" aca="1" ref="V11" ca="1">TREND($K11:$P11,$K$1:$P$1,V$1)</f>
        <v>#VALUE!</v>
      </c>
      <c r="W11" t="e" cm="1">
        <f t="array" aca="1" ref="W11" ca="1">TREND($K11:$P11,$K$1:$P$1,W$1)</f>
        <v>#VALUE!</v>
      </c>
      <c r="X11" t="e" cm="1">
        <f t="array" aca="1" ref="X11" ca="1">TREND($K11:$P11,$K$1:$P$1,X$1)</f>
        <v>#VALUE!</v>
      </c>
      <c r="Y11" t="e" cm="1">
        <f t="array" aca="1" ref="Y11" ca="1">TREND($K11:$P11,$K$1:$P$1,Y$1)</f>
        <v>#VALUE!</v>
      </c>
      <c r="Z11" t="e" cm="1">
        <f t="array" aca="1" ref="Z11" ca="1">TREND($K11:$P11,$K$1:$P$1,Z$1)</f>
        <v>#VALUE!</v>
      </c>
      <c r="AA11" t="e" cm="1">
        <f t="array" aca="1" ref="AA11" ca="1">TREND($K11:$P11,$K$1:$P$1,AA$1)</f>
        <v>#VALUE!</v>
      </c>
      <c r="AB11" t="e" cm="1">
        <f t="array" aca="1" ref="AB11" ca="1">TREND($K11:$P11,$K$1:$P$1,AB$1)</f>
        <v>#VALUE!</v>
      </c>
      <c r="AC11" t="e" cm="1">
        <f t="array" aca="1" ref="AC11" ca="1">TREND($K11:$P11,$K$1:$P$1,AC$1)</f>
        <v>#VALUE!</v>
      </c>
      <c r="AD11" t="e" cm="1">
        <f t="array" aca="1" ref="AD11" ca="1">TREND($K11:$P11,$K$1:$P$1,AD$1)</f>
        <v>#VALUE!</v>
      </c>
      <c r="AE11" t="e" cm="1">
        <f t="array" aca="1" ref="AE11" ca="1">TREND($K11:$P11,$K$1:$P$1,AE$1)</f>
        <v>#VALUE!</v>
      </c>
      <c r="AF11" t="e" cm="1">
        <f t="array" aca="1" ref="AF11" ca="1">TREND($K11:$P11,$K$1:$P$1,AF$1)</f>
        <v>#VALUE!</v>
      </c>
      <c r="AG11" t="e" cm="1">
        <f t="array" aca="1" ref="AG11" ca="1">TREND($K11:$P11,$K$1:$P$1,AG$1)</f>
        <v>#VALUE!</v>
      </c>
      <c r="AH11" t="e" cm="1">
        <f t="array" aca="1" ref="AH11" ca="1">TREND($K11:$P11,$K$1:$P$1,AH$1)</f>
        <v>#VALUE!</v>
      </c>
      <c r="AI11" t="e" cm="1">
        <f t="array" aca="1" ref="AI11" ca="1">TREND($K11:$P11,$K$1:$P$1,AI$1)</f>
        <v>#VALUE!</v>
      </c>
      <c r="AJ11" t="e" cm="1">
        <f t="array" aca="1" ref="AJ11" ca="1">TREND($K11:$P11,$K$1:$P$1,AJ$1)</f>
        <v>#VALUE!</v>
      </c>
    </row>
    <row r="12" spans="1:36">
      <c r="A12" t="s">
        <v>85</v>
      </c>
      <c r="B12" s="33" t="e">
        <f ca="1">SUM(INDIRECT(CONCATENATE("'",HLOOKUP(B$1,$B$21:$E$23,3,FALSE),"'!",$B$25,ROW($A12)+5,":",$B$25,ROW($A12)+6)))*About!$A$27</f>
        <v>#VALUE!</v>
      </c>
      <c r="C12" t="e">
        <f t="shared" ca="1" si="3"/>
        <v>#VALUE!</v>
      </c>
      <c r="D12" t="e">
        <f t="shared" ca="1" si="0"/>
        <v>#VALUE!</v>
      </c>
      <c r="E12" t="e">
        <f t="shared" ca="1" si="0"/>
        <v>#VALUE!</v>
      </c>
      <c r="F12" s="33" t="e">
        <f ca="1">SUM(INDIRECT(CONCATENATE("'",HLOOKUP(F$1,$B$21:$E$23,3,FALSE),"'!",$B$25,ROW($A12)+5,":",$B$25,ROW($A12)+6)))*About!$A$27</f>
        <v>#VALUE!</v>
      </c>
      <c r="G12" t="e">
        <f t="shared" ca="1" si="4"/>
        <v>#VALUE!</v>
      </c>
      <c r="H12" t="e">
        <f t="shared" ca="1" si="1"/>
        <v>#VALUE!</v>
      </c>
      <c r="I12" t="e">
        <f t="shared" ca="1" si="1"/>
        <v>#VALUE!</v>
      </c>
      <c r="J12" t="e">
        <f t="shared" ca="1" si="1"/>
        <v>#VALUE!</v>
      </c>
      <c r="K12" s="33" t="e">
        <f ca="1">SUM(INDIRECT(CONCATENATE("'",HLOOKUP(K$1,$B$21:$E$23,3,FALSE),"'!",$B$25,ROW($A12)+5,":",$B$25,ROW($A12)+6)))*About!$A$27</f>
        <v>#VALUE!</v>
      </c>
      <c r="L12" t="e">
        <f t="shared" ca="1" si="5"/>
        <v>#VALUE!</v>
      </c>
      <c r="M12" t="e">
        <f t="shared" ca="1" si="2"/>
        <v>#VALUE!</v>
      </c>
      <c r="N12" t="e">
        <f t="shared" ca="1" si="2"/>
        <v>#VALUE!</v>
      </c>
      <c r="O12" t="e">
        <f t="shared" ca="1" si="2"/>
        <v>#VALUE!</v>
      </c>
      <c r="P12" s="33" t="e">
        <f ca="1">SUM(INDIRECT(CONCATENATE("'",HLOOKUP(P$1,$B$21:$E$23,3,FALSE),"'!",$B$25,ROW($A12)+5,":",$B$25,ROW($A12)+6)))*About!$A$27</f>
        <v>#VALUE!</v>
      </c>
      <c r="Q12" t="e" cm="1">
        <f t="array" aca="1" ref="Q12" ca="1">TREND($K12:$P12,$K$1:$P$1,Q$1)</f>
        <v>#VALUE!</v>
      </c>
      <c r="R12" t="e" cm="1">
        <f t="array" aca="1" ref="R12" ca="1">TREND($K12:$P12,$K$1:$P$1,R$1)</f>
        <v>#VALUE!</v>
      </c>
      <c r="S12" t="e" cm="1">
        <f t="array" aca="1" ref="S12" ca="1">TREND($K12:$P12,$K$1:$P$1,S$1)</f>
        <v>#VALUE!</v>
      </c>
      <c r="T12" t="e" cm="1">
        <f t="array" aca="1" ref="T12" ca="1">TREND($K12:$P12,$K$1:$P$1,T$1)</f>
        <v>#VALUE!</v>
      </c>
      <c r="U12" t="e" cm="1">
        <f t="array" aca="1" ref="U12" ca="1">TREND($K12:$P12,$K$1:$P$1,U$1)</f>
        <v>#VALUE!</v>
      </c>
      <c r="V12" t="e" cm="1">
        <f t="array" aca="1" ref="V12" ca="1">TREND($K12:$P12,$K$1:$P$1,V$1)</f>
        <v>#VALUE!</v>
      </c>
      <c r="W12" t="e" cm="1">
        <f t="array" aca="1" ref="W12" ca="1">TREND($K12:$P12,$K$1:$P$1,W$1)</f>
        <v>#VALUE!</v>
      </c>
      <c r="X12" t="e" cm="1">
        <f t="array" aca="1" ref="X12" ca="1">TREND($K12:$P12,$K$1:$P$1,X$1)</f>
        <v>#VALUE!</v>
      </c>
      <c r="Y12" t="e" cm="1">
        <f t="array" aca="1" ref="Y12" ca="1">TREND($K12:$P12,$K$1:$P$1,Y$1)</f>
        <v>#VALUE!</v>
      </c>
      <c r="Z12" t="e" cm="1">
        <f t="array" aca="1" ref="Z12" ca="1">TREND($K12:$P12,$K$1:$P$1,Z$1)</f>
        <v>#VALUE!</v>
      </c>
      <c r="AA12" t="e" cm="1">
        <f t="array" aca="1" ref="AA12" ca="1">TREND($K12:$P12,$K$1:$P$1,AA$1)</f>
        <v>#VALUE!</v>
      </c>
      <c r="AB12" t="e" cm="1">
        <f t="array" aca="1" ref="AB12" ca="1">TREND($K12:$P12,$K$1:$P$1,AB$1)</f>
        <v>#VALUE!</v>
      </c>
      <c r="AC12" t="e" cm="1">
        <f t="array" aca="1" ref="AC12" ca="1">TREND($K12:$P12,$K$1:$P$1,AC$1)</f>
        <v>#VALUE!</v>
      </c>
      <c r="AD12" t="e" cm="1">
        <f t="array" aca="1" ref="AD12" ca="1">TREND($K12:$P12,$K$1:$P$1,AD$1)</f>
        <v>#VALUE!</v>
      </c>
      <c r="AE12" t="e" cm="1">
        <f t="array" aca="1" ref="AE12" ca="1">TREND($K12:$P12,$K$1:$P$1,AE$1)</f>
        <v>#VALUE!</v>
      </c>
      <c r="AF12" t="e" cm="1">
        <f t="array" aca="1" ref="AF12" ca="1">TREND($K12:$P12,$K$1:$P$1,AF$1)</f>
        <v>#VALUE!</v>
      </c>
      <c r="AG12" t="e" cm="1">
        <f t="array" aca="1" ref="AG12" ca="1">TREND($K12:$P12,$K$1:$P$1,AG$1)</f>
        <v>#VALUE!</v>
      </c>
      <c r="AH12" t="e" cm="1">
        <f t="array" aca="1" ref="AH12" ca="1">TREND($K12:$P12,$K$1:$P$1,AH$1)</f>
        <v>#VALUE!</v>
      </c>
      <c r="AI12" t="e" cm="1">
        <f t="array" aca="1" ref="AI12" ca="1">TREND($K12:$P12,$K$1:$P$1,AI$1)</f>
        <v>#VALUE!</v>
      </c>
      <c r="AJ12" t="e" cm="1">
        <f t="array" aca="1" ref="AJ12" ca="1">TREND($K12:$P12,$K$1:$P$1,AJ$1)</f>
        <v>#VALUE!</v>
      </c>
    </row>
    <row r="16" spans="1:36">
      <c r="A16" s="20" t="s">
        <v>86</v>
      </c>
      <c r="B16" s="21"/>
      <c r="C16" s="21"/>
      <c r="D16" s="21"/>
    </row>
    <row r="17" spans="1:5">
      <c r="A17" t="s">
        <v>87</v>
      </c>
      <c r="B17" t="e" cm="1">
        <f t="array" aca="1" ref="B17" ca="1">MID(CELL("filename",A17),FIND("]",CELL("filename",A17))+1,255)</f>
        <v>#VALUE!</v>
      </c>
    </row>
    <row r="18" spans="1:5">
      <c r="A18" t="s">
        <v>88</v>
      </c>
      <c r="B18" t="e">
        <f ca="1">RIGHT(B17,LEN(B17)-7)</f>
        <v>#VALUE!</v>
      </c>
    </row>
    <row r="19" spans="1:5">
      <c r="A19" t="s">
        <v>89</v>
      </c>
      <c r="B19" t="e">
        <f ca="1">LEFT(B18,FIND("-",B18)-1)</f>
        <v>#VALUE!</v>
      </c>
    </row>
    <row r="20" spans="1:5">
      <c r="A20" t="s">
        <v>90</v>
      </c>
      <c r="B20" t="e">
        <f ca="1">VLOOKUP($B$19,Mappings!$A$22:$B$26,COLUMN(Mappings!$B$21),FALSE)</f>
        <v>#VALUE!</v>
      </c>
    </row>
    <row r="21" spans="1:5">
      <c r="A21" s="23"/>
      <c r="B21" s="24">
        <v>2016</v>
      </c>
      <c r="C21" s="24">
        <v>2020</v>
      </c>
      <c r="D21" s="24">
        <v>2025</v>
      </c>
      <c r="E21" s="25">
        <v>2030</v>
      </c>
    </row>
    <row r="22" spans="1:5">
      <c r="A22" s="26" t="s">
        <v>91</v>
      </c>
      <c r="B22" s="2" t="e">
        <f ca="1">VLOOKUP($B$20,Mappings!$A$3:$E$19,COLUMN(Mappings!B$2),FALSE)</f>
        <v>#VALUE!</v>
      </c>
      <c r="C22" s="2" t="e">
        <f ca="1">VLOOKUP($B$20,Mappings!$A$3:$E$19,COLUMN(Mappings!C$2),FALSE)</f>
        <v>#VALUE!</v>
      </c>
      <c r="D22" s="2" t="e">
        <f ca="1">VLOOKUP($B$20,Mappings!$A$3:$E$19,COLUMN(Mappings!D$2),FALSE)</f>
        <v>#VALUE!</v>
      </c>
      <c r="E22" s="27" t="e">
        <f ca="1">VLOOKUP($B$20,Mappings!$A$3:$E$19,COLUMN(Mappings!E$2),FALSE)</f>
        <v>#VALUE!</v>
      </c>
    </row>
    <row r="23" spans="1:5">
      <c r="A23" s="28" t="s">
        <v>87</v>
      </c>
      <c r="B23" s="29" t="e">
        <f ca="1">CONCATENATE("Table ",B22)</f>
        <v>#VALUE!</v>
      </c>
      <c r="C23" s="29" t="e">
        <f ca="1">CONCATENATE("Table ",C22)</f>
        <v>#VALUE!</v>
      </c>
      <c r="D23" s="29" t="e">
        <f ca="1">CONCATENATE("Table ",D22)</f>
        <v>#VALUE!</v>
      </c>
      <c r="E23" s="30" t="e">
        <f ca="1">CONCATENATE("Table ",E22)</f>
        <v>#VALUE!</v>
      </c>
    </row>
    <row r="24" spans="1:5">
      <c r="A24" t="s">
        <v>92</v>
      </c>
      <c r="B24" t="e">
        <f ca="1">REPLACE(B18,1,FIND("-",B18),"")</f>
        <v>#VALUE!</v>
      </c>
    </row>
    <row r="25" spans="1:5">
      <c r="A25" t="s">
        <v>93</v>
      </c>
      <c r="B25" s="2" t="e">
        <f ca="1">VLOOKUP($B$24,Mappings!$A$29:$B$31,COLUMN(Mappings!$B$29),FALSE)</f>
        <v>#VALUE!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E66F7-AA2A-4ED8-A3BC-566EC5837B8D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1" t="s">
        <v>94</v>
      </c>
      <c r="B1" s="41"/>
      <c r="C1" s="41"/>
      <c r="D1" s="41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6.8000000000000005E-4</v>
      </c>
      <c r="C5" s="10">
        <v>5.1999999999999998E-3</v>
      </c>
      <c r="D5" s="10">
        <v>4.2000000000000003E-2</v>
      </c>
    </row>
    <row r="6" spans="1:4" ht="15" customHeight="1">
      <c r="A6" s="9" t="s">
        <v>99</v>
      </c>
      <c r="B6" s="10">
        <v>1.5E-3</v>
      </c>
      <c r="C6" s="10">
        <v>1.2E-2</v>
      </c>
      <c r="D6" s="10">
        <v>9.7000000000000003E-2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3.6999999999999999E-4</v>
      </c>
      <c r="C8" s="10">
        <v>2.8E-3</v>
      </c>
      <c r="D8" s="10">
        <v>2.3E-2</v>
      </c>
    </row>
    <row r="9" spans="1:4" ht="15" customHeight="1">
      <c r="A9" s="9" t="s">
        <v>77</v>
      </c>
      <c r="B9" s="10">
        <v>9.6000000000000002E-4</v>
      </c>
      <c r="C9" s="10">
        <v>6.7000000000000002E-3</v>
      </c>
      <c r="D9" s="10">
        <v>6.3E-2</v>
      </c>
    </row>
    <row r="10" spans="1:4" ht="15" customHeight="1">
      <c r="A10" s="9" t="s">
        <v>78</v>
      </c>
      <c r="B10" s="10">
        <v>1.2E-2</v>
      </c>
      <c r="C10" s="10">
        <v>8.5999999999999993E-2</v>
      </c>
      <c r="D10" s="10">
        <v>0.81</v>
      </c>
    </row>
    <row r="11" spans="1:4" ht="15" customHeight="1">
      <c r="A11" s="9" t="s">
        <v>79</v>
      </c>
      <c r="B11" s="10">
        <v>1.7000000000000001E-2</v>
      </c>
      <c r="C11" s="10">
        <v>0.12</v>
      </c>
      <c r="D11" s="10">
        <v>1.2</v>
      </c>
    </row>
    <row r="12" spans="1:4" ht="15" customHeight="1">
      <c r="A12" s="9" t="s">
        <v>80</v>
      </c>
      <c r="B12" s="10">
        <v>0.51</v>
      </c>
      <c r="C12" s="10">
        <v>3.7</v>
      </c>
      <c r="D12" s="10">
        <v>33</v>
      </c>
    </row>
    <row r="13" spans="1:4" ht="15" customHeight="1">
      <c r="A13" s="9" t="s">
        <v>81</v>
      </c>
      <c r="B13" s="10">
        <v>8.5999999999999993E-2</v>
      </c>
      <c r="C13" s="10">
        <v>0.61</v>
      </c>
      <c r="D13" s="10">
        <v>5.5</v>
      </c>
    </row>
    <row r="14" spans="1:4" ht="15" customHeight="1">
      <c r="A14" s="9" t="s">
        <v>82</v>
      </c>
      <c r="B14" s="10">
        <v>0.02</v>
      </c>
      <c r="C14" s="10">
        <v>0.14000000000000001</v>
      </c>
      <c r="D14" s="10">
        <v>1.4</v>
      </c>
    </row>
    <row r="15" spans="1:4" ht="15" customHeight="1">
      <c r="A15" s="9" t="s">
        <v>83</v>
      </c>
      <c r="B15" s="10">
        <v>1.6000000000000001E-4</v>
      </c>
      <c r="C15" s="10">
        <v>1.1999999999999999E-3</v>
      </c>
      <c r="D15" s="10">
        <v>9.9000000000000008E-3</v>
      </c>
    </row>
    <row r="16" spans="1:4" ht="15" customHeight="1">
      <c r="A16" s="9" t="s">
        <v>84</v>
      </c>
      <c r="B16" s="10">
        <v>1.4999999999999999E-4</v>
      </c>
      <c r="C16" s="10">
        <v>1.1999999999999999E-3</v>
      </c>
      <c r="D16" s="10">
        <v>8.9999999999999993E-3</v>
      </c>
    </row>
    <row r="17" spans="1:4" ht="15" customHeight="1">
      <c r="A17" s="9" t="s">
        <v>101</v>
      </c>
      <c r="B17" s="10">
        <v>6.3000000000000003E-4</v>
      </c>
      <c r="C17" s="10">
        <v>4.8999999999999998E-3</v>
      </c>
      <c r="D17" s="10">
        <v>4.1000000000000002E-2</v>
      </c>
    </row>
    <row r="18" spans="1:4" ht="15" customHeight="1">
      <c r="A18" s="16" t="s">
        <v>102</v>
      </c>
      <c r="B18" s="13">
        <v>6.7999999999999999E-5</v>
      </c>
      <c r="C18" s="13">
        <v>5.2999999999999998E-4</v>
      </c>
      <c r="D18" s="13">
        <v>4.4000000000000003E-3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05FE3-93E5-4401-B515-FC7BECD14F28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1" t="s">
        <v>103</v>
      </c>
      <c r="B1" s="41"/>
      <c r="C1" s="41"/>
      <c r="D1" s="41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4.4999999999999999E-4</v>
      </c>
      <c r="C5" s="10">
        <v>5.4999999999999997E-3</v>
      </c>
      <c r="D5" s="10">
        <v>1.7999999999999999E-2</v>
      </c>
    </row>
    <row r="6" spans="1:4" ht="15" customHeight="1">
      <c r="A6" s="9" t="s">
        <v>99</v>
      </c>
      <c r="B6" s="10">
        <v>1E-3</v>
      </c>
      <c r="C6" s="10">
        <v>1.2999999999999999E-2</v>
      </c>
      <c r="D6" s="10">
        <v>4.2000000000000003E-2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2.3000000000000001E-4</v>
      </c>
      <c r="C8" s="10">
        <v>2.7000000000000001E-3</v>
      </c>
      <c r="D8" s="10">
        <v>8.3000000000000001E-3</v>
      </c>
    </row>
    <row r="9" spans="1:4" ht="15" customHeight="1">
      <c r="A9" s="9" t="s">
        <v>77</v>
      </c>
      <c r="B9" s="10">
        <v>5.8E-4</v>
      </c>
      <c r="C9" s="10">
        <v>6.7999999999999996E-3</v>
      </c>
      <c r="D9" s="10">
        <v>2.3E-2</v>
      </c>
    </row>
    <row r="10" spans="1:4" ht="15" customHeight="1">
      <c r="A10" s="9" t="s">
        <v>78</v>
      </c>
      <c r="B10" s="10">
        <v>7.4000000000000003E-3</v>
      </c>
      <c r="C10" s="10">
        <v>8.6999999999999994E-2</v>
      </c>
      <c r="D10" s="10">
        <v>0.28999999999999998</v>
      </c>
    </row>
    <row r="11" spans="1:4" ht="15" customHeight="1">
      <c r="A11" s="9" t="s">
        <v>79</v>
      </c>
      <c r="B11" s="10">
        <v>1.0999999999999999E-2</v>
      </c>
      <c r="C11" s="10">
        <v>0.12</v>
      </c>
      <c r="D11" s="10">
        <v>0.41</v>
      </c>
    </row>
    <row r="12" spans="1:4" ht="15" customHeight="1">
      <c r="A12" s="9" t="s">
        <v>80</v>
      </c>
      <c r="B12" s="10">
        <v>0.32</v>
      </c>
      <c r="C12" s="10">
        <v>3.7</v>
      </c>
      <c r="D12" s="10">
        <v>12</v>
      </c>
    </row>
    <row r="13" spans="1:4" ht="15" customHeight="1">
      <c r="A13" s="9" t="s">
        <v>81</v>
      </c>
      <c r="B13" s="10">
        <v>5.2999999999999999E-2</v>
      </c>
      <c r="C13" s="10">
        <v>0.62</v>
      </c>
      <c r="D13" s="10">
        <v>2</v>
      </c>
    </row>
    <row r="14" spans="1:4" ht="15" customHeight="1">
      <c r="A14" s="9" t="s">
        <v>82</v>
      </c>
      <c r="B14" s="10">
        <v>1.2E-2</v>
      </c>
      <c r="C14" s="10">
        <v>0.15</v>
      </c>
      <c r="D14" s="10">
        <v>0.48</v>
      </c>
    </row>
    <row r="15" spans="1:4" ht="15" customHeight="1">
      <c r="A15" s="9" t="s">
        <v>83</v>
      </c>
      <c r="B15" s="10">
        <v>1E-4</v>
      </c>
      <c r="C15" s="10">
        <v>1.2999999999999999E-3</v>
      </c>
      <c r="D15" s="10">
        <v>4.4000000000000003E-3</v>
      </c>
    </row>
    <row r="16" spans="1:4" ht="15" customHeight="1">
      <c r="A16" s="9" t="s">
        <v>84</v>
      </c>
      <c r="B16" s="10">
        <v>9.5000000000000005E-5</v>
      </c>
      <c r="C16" s="10">
        <v>1.1999999999999999E-3</v>
      </c>
      <c r="D16" s="10">
        <v>4.1000000000000003E-3</v>
      </c>
    </row>
    <row r="17" spans="1:4" ht="15" customHeight="1">
      <c r="A17" s="9" t="s">
        <v>101</v>
      </c>
      <c r="B17" s="10">
        <v>4.0999999999999999E-4</v>
      </c>
      <c r="C17" s="10">
        <v>5.3E-3</v>
      </c>
      <c r="D17" s="10">
        <v>1.7999999999999999E-2</v>
      </c>
    </row>
    <row r="18" spans="1:4" ht="15" customHeight="1">
      <c r="A18" s="16" t="s">
        <v>102</v>
      </c>
      <c r="B18" s="13">
        <v>4.3999999999999999E-5</v>
      </c>
      <c r="C18" s="13">
        <v>5.6999999999999998E-4</v>
      </c>
      <c r="D18" s="13">
        <v>1.9E-3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D357A-7531-4086-80A0-FBB67BDD17E0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2" t="s">
        <v>104</v>
      </c>
      <c r="B1" s="42"/>
      <c r="C1" s="42"/>
      <c r="D1" s="42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7.9000000000000001E-4</v>
      </c>
      <c r="C5" s="10">
        <v>7.9000000000000008E-3</v>
      </c>
      <c r="D5" s="10">
        <v>3.6999999999999998E-2</v>
      </c>
    </row>
    <row r="6" spans="1:4" ht="15" customHeight="1">
      <c r="A6" s="9" t="s">
        <v>99</v>
      </c>
      <c r="B6" s="10">
        <v>1.8E-3</v>
      </c>
      <c r="C6" s="10">
        <v>1.7999999999999999E-2</v>
      </c>
      <c r="D6" s="10">
        <v>8.5000000000000006E-2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4.2000000000000002E-4</v>
      </c>
      <c r="C8" s="10">
        <v>4.4000000000000003E-3</v>
      </c>
      <c r="D8" s="10">
        <v>2.1999999999999999E-2</v>
      </c>
    </row>
    <row r="9" spans="1:4" ht="15" customHeight="1">
      <c r="A9" s="9" t="s">
        <v>77</v>
      </c>
      <c r="B9" s="10">
        <v>1.1999999999999999E-3</v>
      </c>
      <c r="C9" s="10">
        <v>1.2E-2</v>
      </c>
      <c r="D9" s="10">
        <v>5.8000000000000003E-2</v>
      </c>
    </row>
    <row r="10" spans="1:4" ht="15" customHeight="1">
      <c r="A10" s="9" t="s">
        <v>78</v>
      </c>
      <c r="B10" s="10">
        <v>1.6E-2</v>
      </c>
      <c r="C10" s="10">
        <v>0.16</v>
      </c>
      <c r="D10" s="10">
        <v>0.73</v>
      </c>
    </row>
    <row r="11" spans="1:4" ht="15" customHeight="1">
      <c r="A11" s="9" t="s">
        <v>79</v>
      </c>
      <c r="B11" s="10">
        <v>2.1999999999999999E-2</v>
      </c>
      <c r="C11" s="10">
        <v>0.22</v>
      </c>
      <c r="D11" s="10">
        <v>1</v>
      </c>
    </row>
    <row r="12" spans="1:4" ht="15" customHeight="1">
      <c r="A12" s="9" t="s">
        <v>80</v>
      </c>
      <c r="B12" s="10">
        <v>0.66</v>
      </c>
      <c r="C12" s="10">
        <v>6.6</v>
      </c>
      <c r="D12" s="10">
        <v>31</v>
      </c>
    </row>
    <row r="13" spans="1:4" ht="15" customHeight="1">
      <c r="A13" s="9" t="s">
        <v>81</v>
      </c>
      <c r="B13" s="10">
        <v>0.11</v>
      </c>
      <c r="C13" s="10">
        <v>1.1000000000000001</v>
      </c>
      <c r="D13" s="10">
        <v>5.2</v>
      </c>
    </row>
    <row r="14" spans="1:4" ht="15" customHeight="1">
      <c r="A14" s="9" t="s">
        <v>82</v>
      </c>
      <c r="B14" s="10">
        <v>2.5999999999999999E-2</v>
      </c>
      <c r="C14" s="10">
        <v>0.26</v>
      </c>
      <c r="D14" s="10">
        <v>1.2</v>
      </c>
    </row>
    <row r="15" spans="1:4" ht="15" customHeight="1">
      <c r="A15" s="9" t="s">
        <v>83</v>
      </c>
      <c r="B15" s="10">
        <v>1.9000000000000001E-4</v>
      </c>
      <c r="C15" s="10">
        <v>1.9E-3</v>
      </c>
      <c r="D15" s="10">
        <v>8.8000000000000005E-3</v>
      </c>
    </row>
    <row r="16" spans="1:4" ht="15" customHeight="1">
      <c r="A16" s="9" t="s">
        <v>84</v>
      </c>
      <c r="B16" s="10">
        <v>1.8000000000000001E-4</v>
      </c>
      <c r="C16" s="10">
        <v>1.8E-3</v>
      </c>
      <c r="D16" s="10">
        <v>8.2000000000000007E-3</v>
      </c>
    </row>
    <row r="17" spans="1:4" ht="15" customHeight="1">
      <c r="A17" s="9" t="s">
        <v>101</v>
      </c>
      <c r="B17" s="10">
        <v>7.5000000000000002E-4</v>
      </c>
      <c r="C17" s="10">
        <v>7.6E-3</v>
      </c>
      <c r="D17" s="10">
        <v>3.5000000000000003E-2</v>
      </c>
    </row>
    <row r="18" spans="1:4" ht="15" customHeight="1">
      <c r="A18" s="16" t="s">
        <v>102</v>
      </c>
      <c r="B18" s="13">
        <v>8.0000000000000007E-5</v>
      </c>
      <c r="C18" s="13">
        <v>8.1999999999999998E-4</v>
      </c>
      <c r="D18" s="13">
        <v>3.8E-3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D33D0-09F6-43B7-BC93-7A5A83D987BB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2" t="s">
        <v>105</v>
      </c>
      <c r="B1" s="42"/>
      <c r="C1" s="42"/>
      <c r="D1" s="42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1.2999999999999999E-3</v>
      </c>
      <c r="C5" s="10">
        <v>6.3E-3</v>
      </c>
      <c r="D5" s="10">
        <v>5.5E-2</v>
      </c>
    </row>
    <row r="6" spans="1:4" ht="15" customHeight="1">
      <c r="A6" s="9" t="s">
        <v>99</v>
      </c>
      <c r="B6" s="10">
        <v>3.0000000000000001E-3</v>
      </c>
      <c r="C6" s="10">
        <v>1.4E-2</v>
      </c>
      <c r="D6" s="10">
        <v>0.13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6.8000000000000005E-4</v>
      </c>
      <c r="C8" s="10">
        <v>3.0000000000000001E-3</v>
      </c>
      <c r="D8" s="10">
        <v>2.5000000000000001E-2</v>
      </c>
    </row>
    <row r="9" spans="1:4" ht="15" customHeight="1">
      <c r="A9" s="9" t="s">
        <v>77</v>
      </c>
      <c r="B9" s="10">
        <v>1.6000000000000001E-3</v>
      </c>
      <c r="C9" s="10">
        <v>7.6E-3</v>
      </c>
      <c r="D9" s="10">
        <v>6.3E-2</v>
      </c>
    </row>
    <row r="10" spans="1:4" ht="15" customHeight="1">
      <c r="A10" s="9" t="s">
        <v>78</v>
      </c>
      <c r="B10" s="10">
        <v>0.02</v>
      </c>
      <c r="C10" s="10">
        <v>9.7000000000000003E-2</v>
      </c>
      <c r="D10" s="10">
        <v>0.8</v>
      </c>
    </row>
    <row r="11" spans="1:4" ht="15" customHeight="1">
      <c r="A11" s="9" t="s">
        <v>79</v>
      </c>
      <c r="B11" s="10">
        <v>2.9000000000000001E-2</v>
      </c>
      <c r="C11" s="10">
        <v>0.14000000000000001</v>
      </c>
      <c r="D11" s="10">
        <v>1.1000000000000001</v>
      </c>
    </row>
    <row r="12" spans="1:4" ht="15" customHeight="1">
      <c r="A12" s="9" t="s">
        <v>80</v>
      </c>
      <c r="B12" s="10">
        <v>0.88</v>
      </c>
      <c r="C12" s="10">
        <v>4.2</v>
      </c>
      <c r="D12" s="10">
        <v>35</v>
      </c>
    </row>
    <row r="13" spans="1:4" ht="15" customHeight="1">
      <c r="A13" s="9" t="s">
        <v>81</v>
      </c>
      <c r="B13" s="10">
        <v>0.15</v>
      </c>
      <c r="C13" s="10">
        <v>0.7</v>
      </c>
      <c r="D13" s="10">
        <v>5.8</v>
      </c>
    </row>
    <row r="14" spans="1:4" ht="15" customHeight="1">
      <c r="A14" s="9" t="s">
        <v>82</v>
      </c>
      <c r="B14" s="10">
        <v>3.4000000000000002E-2</v>
      </c>
      <c r="C14" s="10">
        <v>0.16</v>
      </c>
      <c r="D14" s="10">
        <v>1.3</v>
      </c>
    </row>
    <row r="15" spans="1:4" ht="15" customHeight="1">
      <c r="A15" s="9" t="s">
        <v>83</v>
      </c>
      <c r="B15" s="10">
        <v>2.9999999999999997E-4</v>
      </c>
      <c r="C15" s="10">
        <v>1.5E-3</v>
      </c>
      <c r="D15" s="10">
        <v>1.2999999999999999E-2</v>
      </c>
    </row>
    <row r="16" spans="1:4" ht="15" customHeight="1">
      <c r="A16" s="9" t="s">
        <v>84</v>
      </c>
      <c r="B16" s="10">
        <v>2.7999999999999998E-4</v>
      </c>
      <c r="C16" s="10">
        <v>1.4E-3</v>
      </c>
      <c r="D16" s="10">
        <v>1.2E-2</v>
      </c>
    </row>
    <row r="17" spans="1:4" ht="15" customHeight="1">
      <c r="A17" s="9" t="s">
        <v>101</v>
      </c>
      <c r="B17" s="10">
        <v>1.1999999999999999E-3</v>
      </c>
      <c r="C17" s="10">
        <v>6.1000000000000004E-3</v>
      </c>
      <c r="D17" s="10">
        <v>5.0999999999999997E-2</v>
      </c>
    </row>
    <row r="18" spans="1:4" ht="15" customHeight="1">
      <c r="A18" s="16" t="s">
        <v>102</v>
      </c>
      <c r="B18" s="13">
        <v>1.2999999999999999E-4</v>
      </c>
      <c r="C18" s="13">
        <v>6.6E-4</v>
      </c>
      <c r="D18" s="13">
        <v>5.4999999999999997E-3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9B205-E3C4-4FA1-8032-6BA17437B6E2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1" t="s">
        <v>106</v>
      </c>
      <c r="B1" s="41"/>
      <c r="C1" s="41"/>
      <c r="D1" s="41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1.9E-3</v>
      </c>
      <c r="C5" s="10">
        <v>4.9000000000000002E-2</v>
      </c>
      <c r="D5" s="10">
        <v>0.06</v>
      </c>
    </row>
    <row r="6" spans="1:4" ht="15" customHeight="1">
      <c r="A6" s="9" t="s">
        <v>99</v>
      </c>
      <c r="B6" s="10">
        <v>4.4000000000000003E-3</v>
      </c>
      <c r="C6" s="10">
        <v>0.11</v>
      </c>
      <c r="D6" s="10">
        <v>0.14000000000000001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1.1000000000000001E-3</v>
      </c>
      <c r="C8" s="10">
        <v>2.4E-2</v>
      </c>
      <c r="D8" s="10">
        <v>2.9000000000000001E-2</v>
      </c>
    </row>
    <row r="9" spans="1:4" ht="15" customHeight="1">
      <c r="A9" s="9" t="s">
        <v>77</v>
      </c>
      <c r="B9" s="10">
        <v>3.0000000000000001E-3</v>
      </c>
      <c r="C9" s="10">
        <v>6.3E-2</v>
      </c>
      <c r="D9" s="10">
        <v>8.2000000000000003E-2</v>
      </c>
    </row>
    <row r="10" spans="1:4" ht="15" customHeight="1">
      <c r="A10" s="9" t="s">
        <v>78</v>
      </c>
      <c r="B10" s="10">
        <v>3.7999999999999999E-2</v>
      </c>
      <c r="C10" s="10">
        <v>0.8</v>
      </c>
      <c r="D10" s="10">
        <v>1</v>
      </c>
    </row>
    <row r="11" spans="1:4" ht="15" customHeight="1">
      <c r="A11" s="9" t="s">
        <v>79</v>
      </c>
      <c r="B11" s="10">
        <v>5.3999999999999999E-2</v>
      </c>
      <c r="C11" s="10">
        <v>1.1000000000000001</v>
      </c>
      <c r="D11" s="10">
        <v>1.5</v>
      </c>
    </row>
    <row r="12" spans="1:4" ht="15" customHeight="1">
      <c r="A12" s="9" t="s">
        <v>80</v>
      </c>
      <c r="B12" s="10">
        <v>1.6</v>
      </c>
      <c r="C12" s="10">
        <v>35</v>
      </c>
      <c r="D12" s="10">
        <v>45</v>
      </c>
    </row>
    <row r="13" spans="1:4" ht="15" customHeight="1">
      <c r="A13" s="9" t="s">
        <v>81</v>
      </c>
      <c r="B13" s="10">
        <v>0.27</v>
      </c>
      <c r="C13" s="10">
        <v>5.9</v>
      </c>
      <c r="D13" s="10">
        <v>7.5</v>
      </c>
    </row>
    <row r="14" spans="1:4" ht="15" customHeight="1">
      <c r="A14" s="9" t="s">
        <v>82</v>
      </c>
      <c r="B14" s="10">
        <v>6.4000000000000001E-2</v>
      </c>
      <c r="C14" s="10">
        <v>1.3</v>
      </c>
      <c r="D14" s="10">
        <v>1.8</v>
      </c>
    </row>
    <row r="15" spans="1:4" ht="15" customHeight="1">
      <c r="A15" s="9" t="s">
        <v>83</v>
      </c>
      <c r="B15" s="10">
        <v>4.6999999999999999E-4</v>
      </c>
      <c r="C15" s="10">
        <v>1.0999999999999999E-2</v>
      </c>
      <c r="D15" s="10">
        <v>1.4E-2</v>
      </c>
    </row>
    <row r="16" spans="1:4" ht="15" customHeight="1">
      <c r="A16" s="9" t="s">
        <v>84</v>
      </c>
      <c r="B16" s="10">
        <v>4.4000000000000002E-4</v>
      </c>
      <c r="C16" s="10">
        <v>1.0999999999999999E-2</v>
      </c>
      <c r="D16" s="10">
        <v>1.4E-2</v>
      </c>
    </row>
    <row r="17" spans="1:4" ht="15" customHeight="1">
      <c r="A17" s="9" t="s">
        <v>101</v>
      </c>
      <c r="B17" s="10">
        <v>1.9E-3</v>
      </c>
      <c r="C17" s="10">
        <v>4.7E-2</v>
      </c>
      <c r="D17" s="10">
        <v>5.8999999999999997E-2</v>
      </c>
    </row>
    <row r="18" spans="1:4" ht="15" customHeight="1">
      <c r="A18" s="16" t="s">
        <v>102</v>
      </c>
      <c r="B18" s="13">
        <v>2.0000000000000001E-4</v>
      </c>
      <c r="C18" s="13">
        <v>5.0000000000000001E-3</v>
      </c>
      <c r="D18" s="13">
        <v>6.4000000000000003E-3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BB367-D7BE-4A14-B662-7477992455C7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1" t="s">
        <v>107</v>
      </c>
      <c r="B1" s="41"/>
      <c r="C1" s="41"/>
      <c r="D1" s="41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1.6000000000000001E-3</v>
      </c>
      <c r="C5" s="10">
        <v>1.0999999999999999E-2</v>
      </c>
      <c r="D5" s="10">
        <v>5.8999999999999997E-2</v>
      </c>
    </row>
    <row r="6" spans="1:4" ht="15" customHeight="1">
      <c r="A6" s="9" t="s">
        <v>99</v>
      </c>
      <c r="B6" s="10">
        <v>3.8E-3</v>
      </c>
      <c r="C6" s="10">
        <v>2.4E-2</v>
      </c>
      <c r="D6" s="10">
        <v>0.13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8.3000000000000001E-4</v>
      </c>
      <c r="C8" s="10">
        <v>5.4999999999999997E-3</v>
      </c>
      <c r="D8" s="10">
        <v>2.8000000000000001E-2</v>
      </c>
    </row>
    <row r="9" spans="1:4" ht="15" customHeight="1">
      <c r="A9" s="9" t="s">
        <v>77</v>
      </c>
      <c r="B9" s="10">
        <v>2.0999999999999999E-3</v>
      </c>
      <c r="C9" s="10">
        <v>1.2999999999999999E-2</v>
      </c>
      <c r="D9" s="10">
        <v>7.1999999999999995E-2</v>
      </c>
    </row>
    <row r="10" spans="1:4" ht="15" customHeight="1">
      <c r="A10" s="9" t="s">
        <v>78</v>
      </c>
      <c r="B10" s="10">
        <v>2.5999999999999999E-2</v>
      </c>
      <c r="C10" s="10">
        <v>0.17</v>
      </c>
      <c r="D10" s="10">
        <v>0.91</v>
      </c>
    </row>
    <row r="11" spans="1:4" ht="15" customHeight="1">
      <c r="A11" s="9" t="s">
        <v>79</v>
      </c>
      <c r="B11" s="10">
        <v>3.7999999999999999E-2</v>
      </c>
      <c r="C11" s="10">
        <v>0.24</v>
      </c>
      <c r="D11" s="10">
        <v>1.3</v>
      </c>
    </row>
    <row r="12" spans="1:4" ht="15" customHeight="1">
      <c r="A12" s="9" t="s">
        <v>80</v>
      </c>
      <c r="B12" s="10">
        <v>1.1000000000000001</v>
      </c>
      <c r="C12" s="10">
        <v>7.2</v>
      </c>
      <c r="D12" s="10">
        <v>39</v>
      </c>
    </row>
    <row r="13" spans="1:4" ht="15" customHeight="1">
      <c r="A13" s="9" t="s">
        <v>81</v>
      </c>
      <c r="B13" s="10">
        <v>0.19</v>
      </c>
      <c r="C13" s="10">
        <v>1.2</v>
      </c>
      <c r="D13" s="10">
        <v>6.5</v>
      </c>
    </row>
    <row r="14" spans="1:4" ht="15" customHeight="1">
      <c r="A14" s="9" t="s">
        <v>82</v>
      </c>
      <c r="B14" s="10">
        <v>4.3999999999999997E-2</v>
      </c>
      <c r="C14" s="10">
        <v>0.28000000000000003</v>
      </c>
      <c r="D14" s="10">
        <v>1.5</v>
      </c>
    </row>
    <row r="15" spans="1:4" ht="15" customHeight="1">
      <c r="A15" s="9" t="s">
        <v>83</v>
      </c>
      <c r="B15" s="10">
        <v>3.8000000000000002E-4</v>
      </c>
      <c r="C15" s="10">
        <v>2.5000000000000001E-3</v>
      </c>
      <c r="D15" s="10">
        <v>1.4E-2</v>
      </c>
    </row>
    <row r="16" spans="1:4" ht="15" customHeight="1">
      <c r="A16" s="9" t="s">
        <v>84</v>
      </c>
      <c r="B16" s="10">
        <v>3.6000000000000002E-4</v>
      </c>
      <c r="C16" s="10">
        <v>2.5000000000000001E-3</v>
      </c>
      <c r="D16" s="10">
        <v>1.2999999999999999E-2</v>
      </c>
    </row>
    <row r="17" spans="1:4" ht="15" customHeight="1">
      <c r="A17" s="9" t="s">
        <v>101</v>
      </c>
      <c r="B17" s="10">
        <v>1.5E-3</v>
      </c>
      <c r="C17" s="10">
        <v>0.01</v>
      </c>
      <c r="D17" s="10">
        <v>5.6000000000000001E-2</v>
      </c>
    </row>
    <row r="18" spans="1:4" ht="15" customHeight="1">
      <c r="A18" s="16" t="s">
        <v>102</v>
      </c>
      <c r="B18" s="13">
        <v>1.6000000000000001E-4</v>
      </c>
      <c r="C18" s="13">
        <v>1.1000000000000001E-3</v>
      </c>
      <c r="D18" s="13">
        <v>6.0000000000000001E-3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CF7F8-3CED-4E9D-8811-BA4E6FC26CB7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1" t="s">
        <v>108</v>
      </c>
      <c r="B1" s="41"/>
      <c r="C1" s="41"/>
      <c r="D1" s="41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1.1999999999999999E-3</v>
      </c>
      <c r="C5" s="10">
        <v>9.7000000000000003E-3</v>
      </c>
      <c r="D5" s="10">
        <v>5.1999999999999998E-2</v>
      </c>
    </row>
    <row r="6" spans="1:4" ht="15" customHeight="1">
      <c r="A6" s="9" t="s">
        <v>99</v>
      </c>
      <c r="B6" s="10">
        <v>2.7000000000000001E-3</v>
      </c>
      <c r="C6" s="10">
        <v>2.1999999999999999E-2</v>
      </c>
      <c r="D6" s="10">
        <v>0.12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6.4000000000000005E-4</v>
      </c>
      <c r="C8" s="10">
        <v>4.7000000000000002E-3</v>
      </c>
      <c r="D8" s="10">
        <v>2.5999999999999999E-2</v>
      </c>
    </row>
    <row r="9" spans="1:4" ht="15" customHeight="1">
      <c r="A9" s="9" t="s">
        <v>77</v>
      </c>
      <c r="B9" s="10">
        <v>1.5E-3</v>
      </c>
      <c r="C9" s="10">
        <v>1.2E-2</v>
      </c>
      <c r="D9" s="10">
        <v>6.3E-2</v>
      </c>
    </row>
    <row r="10" spans="1:4" ht="15" customHeight="1">
      <c r="A10" s="9" t="s">
        <v>78</v>
      </c>
      <c r="B10" s="10">
        <v>1.9E-2</v>
      </c>
      <c r="C10" s="10">
        <v>0.15</v>
      </c>
      <c r="D10" s="10">
        <v>0.8</v>
      </c>
    </row>
    <row r="11" spans="1:4" ht="15" customHeight="1">
      <c r="A11" s="9" t="s">
        <v>79</v>
      </c>
      <c r="B11" s="10">
        <v>2.8000000000000001E-2</v>
      </c>
      <c r="C11" s="10">
        <v>0.21</v>
      </c>
      <c r="D11" s="10">
        <v>1.1000000000000001</v>
      </c>
    </row>
    <row r="12" spans="1:4" ht="15" customHeight="1">
      <c r="A12" s="9" t="s">
        <v>80</v>
      </c>
      <c r="B12" s="10">
        <v>0.82</v>
      </c>
      <c r="C12" s="10">
        <v>6.4</v>
      </c>
      <c r="D12" s="10">
        <v>34</v>
      </c>
    </row>
    <row r="13" spans="1:4" ht="15" customHeight="1">
      <c r="A13" s="9" t="s">
        <v>81</v>
      </c>
      <c r="B13" s="10">
        <v>0.14000000000000001</v>
      </c>
      <c r="C13" s="10">
        <v>1.1000000000000001</v>
      </c>
      <c r="D13" s="10">
        <v>5.7</v>
      </c>
    </row>
    <row r="14" spans="1:4" ht="15" customHeight="1">
      <c r="A14" s="9" t="s">
        <v>82</v>
      </c>
      <c r="B14" s="10">
        <v>3.3000000000000002E-2</v>
      </c>
      <c r="C14" s="10">
        <v>0.25</v>
      </c>
      <c r="D14" s="10">
        <v>1.3</v>
      </c>
    </row>
    <row r="15" spans="1:4" ht="15" customHeight="1">
      <c r="A15" s="9" t="s">
        <v>83</v>
      </c>
      <c r="B15" s="10">
        <v>2.7E-4</v>
      </c>
      <c r="C15" s="10">
        <v>2.3E-3</v>
      </c>
      <c r="D15" s="10">
        <v>1.2999999999999999E-2</v>
      </c>
    </row>
    <row r="16" spans="1:4" ht="15" customHeight="1">
      <c r="A16" s="9" t="s">
        <v>84</v>
      </c>
      <c r="B16" s="10">
        <v>2.5999999999999998E-4</v>
      </c>
      <c r="C16" s="10">
        <v>2.3E-3</v>
      </c>
      <c r="D16" s="10">
        <v>1.2E-2</v>
      </c>
    </row>
    <row r="17" spans="1:4" ht="15" customHeight="1">
      <c r="A17" s="9" t="s">
        <v>101</v>
      </c>
      <c r="B17" s="10">
        <v>1.1000000000000001E-3</v>
      </c>
      <c r="C17" s="10">
        <v>9.7999999999999997E-3</v>
      </c>
      <c r="D17" s="10">
        <v>5.3999999999999999E-2</v>
      </c>
    </row>
    <row r="18" spans="1:4" ht="15" customHeight="1">
      <c r="A18" s="16" t="s">
        <v>102</v>
      </c>
      <c r="B18" s="13">
        <v>1.2E-4</v>
      </c>
      <c r="C18" s="13">
        <v>1.1000000000000001E-3</v>
      </c>
      <c r="D18" s="13">
        <v>5.8999999999999999E-3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A6888-297E-4AFB-A3BE-EE3F405B679C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1" t="s">
        <v>109</v>
      </c>
      <c r="B1" s="41"/>
      <c r="C1" s="41"/>
      <c r="D1" s="41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7.5000000000000002E-4</v>
      </c>
      <c r="C5" s="10">
        <v>4.1000000000000003E-3</v>
      </c>
      <c r="D5" s="10">
        <v>0.01</v>
      </c>
    </row>
    <row r="6" spans="1:4" ht="15" customHeight="1">
      <c r="A6" s="9" t="s">
        <v>99</v>
      </c>
      <c r="B6" s="10">
        <v>1.6999999999999999E-3</v>
      </c>
      <c r="C6" s="10">
        <v>9.4000000000000004E-3</v>
      </c>
      <c r="D6" s="10">
        <v>2.4E-2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3.5E-4</v>
      </c>
      <c r="C8" s="10">
        <v>1.9E-3</v>
      </c>
      <c r="D8" s="10">
        <v>4.3E-3</v>
      </c>
    </row>
    <row r="9" spans="1:4" ht="15" customHeight="1">
      <c r="A9" s="9" t="s">
        <v>77</v>
      </c>
      <c r="B9" s="10">
        <v>9.6000000000000002E-4</v>
      </c>
      <c r="C9" s="10">
        <v>5.1000000000000004E-3</v>
      </c>
      <c r="D9" s="10">
        <v>1.2E-2</v>
      </c>
    </row>
    <row r="10" spans="1:4" ht="15" customHeight="1">
      <c r="A10" s="9" t="s">
        <v>78</v>
      </c>
      <c r="B10" s="10">
        <v>1.2E-2</v>
      </c>
      <c r="C10" s="10">
        <v>6.5000000000000002E-2</v>
      </c>
      <c r="D10" s="10">
        <v>0.16</v>
      </c>
    </row>
    <row r="11" spans="1:4" ht="15" customHeight="1">
      <c r="A11" s="9" t="s">
        <v>79</v>
      </c>
      <c r="B11" s="10">
        <v>1.7000000000000001E-2</v>
      </c>
      <c r="C11" s="10">
        <v>9.2999999999999999E-2</v>
      </c>
      <c r="D11" s="10">
        <v>0.22</v>
      </c>
    </row>
    <row r="12" spans="1:4" ht="15" customHeight="1">
      <c r="A12" s="9" t="s">
        <v>80</v>
      </c>
      <c r="B12" s="10">
        <v>0.53</v>
      </c>
      <c r="C12" s="10">
        <v>2.8</v>
      </c>
      <c r="D12" s="10">
        <v>6.7</v>
      </c>
    </row>
    <row r="13" spans="1:4" ht="15" customHeight="1">
      <c r="A13" s="9" t="s">
        <v>81</v>
      </c>
      <c r="B13" s="10">
        <v>8.7999999999999995E-2</v>
      </c>
      <c r="C13" s="10">
        <v>0.47</v>
      </c>
      <c r="D13" s="10">
        <v>1.1000000000000001</v>
      </c>
    </row>
    <row r="14" spans="1:4" ht="15" customHeight="1">
      <c r="A14" s="9" t="s">
        <v>82</v>
      </c>
      <c r="B14" s="10">
        <v>0.02</v>
      </c>
      <c r="C14" s="10">
        <v>0.11</v>
      </c>
      <c r="D14" s="10">
        <v>0.26</v>
      </c>
    </row>
    <row r="15" spans="1:4" ht="15" customHeight="1">
      <c r="A15" s="9" t="s">
        <v>83</v>
      </c>
      <c r="B15" s="10">
        <v>1.6000000000000001E-4</v>
      </c>
      <c r="C15" s="10">
        <v>9.2000000000000003E-4</v>
      </c>
      <c r="D15" s="10">
        <v>2.2000000000000001E-3</v>
      </c>
    </row>
    <row r="16" spans="1:4" ht="15" customHeight="1">
      <c r="A16" s="9" t="s">
        <v>84</v>
      </c>
      <c r="B16" s="10">
        <v>1.4999999999999999E-4</v>
      </c>
      <c r="C16" s="10">
        <v>8.8000000000000003E-4</v>
      </c>
      <c r="D16" s="10">
        <v>2.0999999999999999E-3</v>
      </c>
    </row>
    <row r="17" spans="1:4" ht="15" customHeight="1">
      <c r="A17" s="9" t="s">
        <v>101</v>
      </c>
      <c r="B17" s="10">
        <v>6.7000000000000002E-4</v>
      </c>
      <c r="C17" s="10">
        <v>3.8E-3</v>
      </c>
      <c r="D17" s="10">
        <v>9.5999999999999992E-3</v>
      </c>
    </row>
    <row r="18" spans="1:4" ht="15" customHeight="1">
      <c r="A18" s="16" t="s">
        <v>102</v>
      </c>
      <c r="B18" s="13">
        <v>7.2000000000000002E-5</v>
      </c>
      <c r="C18" s="13">
        <v>4.0999999999999999E-4</v>
      </c>
      <c r="D18" s="13">
        <v>1E-3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13B8F-4773-43A3-8792-30489CDDFBD4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1" t="s">
        <v>110</v>
      </c>
      <c r="B1" s="41"/>
      <c r="C1" s="41"/>
      <c r="D1" s="41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5.5000000000000003E-4</v>
      </c>
      <c r="C5" s="10">
        <v>5.4000000000000003E-3</v>
      </c>
      <c r="D5" s="10">
        <v>3.4000000000000002E-2</v>
      </c>
    </row>
    <row r="6" spans="1:4" ht="15" customHeight="1">
      <c r="A6" s="9" t="s">
        <v>99</v>
      </c>
      <c r="B6" s="10">
        <v>1.2999999999999999E-3</v>
      </c>
      <c r="C6" s="10">
        <v>1.2E-2</v>
      </c>
      <c r="D6" s="10">
        <v>7.9000000000000001E-2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2.3000000000000001E-4</v>
      </c>
      <c r="C8" s="10">
        <v>2.3999999999999998E-3</v>
      </c>
      <c r="D8" s="10">
        <v>1.6E-2</v>
      </c>
    </row>
    <row r="9" spans="1:4" ht="15" customHeight="1">
      <c r="A9" s="9" t="s">
        <v>77</v>
      </c>
      <c r="B9" s="10">
        <v>5.9999999999999995E-4</v>
      </c>
      <c r="C9" s="10">
        <v>6.3E-3</v>
      </c>
      <c r="D9" s="10">
        <v>0.04</v>
      </c>
    </row>
    <row r="10" spans="1:4" ht="15" customHeight="1">
      <c r="A10" s="9" t="s">
        <v>78</v>
      </c>
      <c r="B10" s="10">
        <v>7.7000000000000002E-3</v>
      </c>
      <c r="C10" s="10">
        <v>8.1000000000000003E-2</v>
      </c>
      <c r="D10" s="10">
        <v>0.51</v>
      </c>
    </row>
    <row r="11" spans="1:4" ht="15" customHeight="1">
      <c r="A11" s="9" t="s">
        <v>79</v>
      </c>
      <c r="B11" s="10">
        <v>1.0999999999999999E-2</v>
      </c>
      <c r="C11" s="10">
        <v>0.12</v>
      </c>
      <c r="D11" s="10">
        <v>0.73</v>
      </c>
    </row>
    <row r="12" spans="1:4" ht="15" customHeight="1">
      <c r="A12" s="9" t="s">
        <v>80</v>
      </c>
      <c r="B12" s="10">
        <v>0.34</v>
      </c>
      <c r="C12" s="10">
        <v>3.5</v>
      </c>
      <c r="D12" s="10">
        <v>22</v>
      </c>
    </row>
    <row r="13" spans="1:4" ht="15" customHeight="1">
      <c r="A13" s="9" t="s">
        <v>81</v>
      </c>
      <c r="B13" s="10">
        <v>5.7000000000000002E-2</v>
      </c>
      <c r="C13" s="10">
        <v>0.57999999999999996</v>
      </c>
      <c r="D13" s="10">
        <v>3.7</v>
      </c>
    </row>
    <row r="14" spans="1:4" ht="15" customHeight="1">
      <c r="A14" s="9" t="s">
        <v>82</v>
      </c>
      <c r="B14" s="10">
        <v>1.2999999999999999E-2</v>
      </c>
      <c r="C14" s="10">
        <v>0.14000000000000001</v>
      </c>
      <c r="D14" s="10">
        <v>0.86</v>
      </c>
    </row>
    <row r="15" spans="1:4" ht="15" customHeight="1">
      <c r="A15" s="9" t="s">
        <v>83</v>
      </c>
      <c r="B15" s="10">
        <v>1.2E-4</v>
      </c>
      <c r="C15" s="10">
        <v>1.2999999999999999E-3</v>
      </c>
      <c r="D15" s="10">
        <v>8.0999999999999996E-3</v>
      </c>
    </row>
    <row r="16" spans="1:4" ht="15" customHeight="1">
      <c r="A16" s="9" t="s">
        <v>84</v>
      </c>
      <c r="B16" s="10">
        <v>1.1E-4</v>
      </c>
      <c r="C16" s="10">
        <v>1.2999999999999999E-3</v>
      </c>
      <c r="D16" s="10">
        <v>7.9000000000000008E-3</v>
      </c>
    </row>
    <row r="17" spans="1:4" ht="15" customHeight="1">
      <c r="A17" s="9" t="s">
        <v>101</v>
      </c>
      <c r="B17" s="10">
        <v>5.0000000000000001E-4</v>
      </c>
      <c r="C17" s="10">
        <v>5.4999999999999997E-3</v>
      </c>
      <c r="D17" s="10">
        <v>3.5000000000000003E-2</v>
      </c>
    </row>
    <row r="18" spans="1:4" ht="15" customHeight="1">
      <c r="A18" s="16" t="s">
        <v>102</v>
      </c>
      <c r="B18" s="13">
        <v>5.3999999999999998E-5</v>
      </c>
      <c r="C18" s="13">
        <v>5.9000000000000003E-4</v>
      </c>
      <c r="D18" s="13">
        <v>3.8E-3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EDCC2-4FED-427A-A75D-4E54B5C80527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1" t="s">
        <v>111</v>
      </c>
      <c r="B1" s="41"/>
      <c r="C1" s="41"/>
      <c r="D1" s="41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1.6000000000000001E-3</v>
      </c>
      <c r="C5" s="10">
        <v>1.2E-2</v>
      </c>
      <c r="D5" s="10">
        <v>4.2999999999999997E-2</v>
      </c>
    </row>
    <row r="6" spans="1:4" ht="15" customHeight="1">
      <c r="A6" s="9" t="s">
        <v>99</v>
      </c>
      <c r="B6" s="10">
        <v>3.5999999999999999E-3</v>
      </c>
      <c r="C6" s="10">
        <v>2.7E-2</v>
      </c>
      <c r="D6" s="10">
        <v>9.8000000000000004E-2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8.4999999999999995E-4</v>
      </c>
      <c r="C8" s="10">
        <v>6.0000000000000001E-3</v>
      </c>
      <c r="D8" s="10">
        <v>2.1999999999999999E-2</v>
      </c>
    </row>
    <row r="9" spans="1:4" ht="15" customHeight="1">
      <c r="A9" s="9" t="s">
        <v>77</v>
      </c>
      <c r="B9" s="10">
        <v>2.3E-3</v>
      </c>
      <c r="C9" s="10">
        <v>1.6E-2</v>
      </c>
      <c r="D9" s="10">
        <v>6.0999999999999999E-2</v>
      </c>
    </row>
    <row r="10" spans="1:4" ht="15" customHeight="1">
      <c r="A10" s="9" t="s">
        <v>78</v>
      </c>
      <c r="B10" s="10">
        <v>2.9000000000000001E-2</v>
      </c>
      <c r="C10" s="10">
        <v>0.21</v>
      </c>
      <c r="D10" s="10">
        <v>0.77</v>
      </c>
    </row>
    <row r="11" spans="1:4" ht="15" customHeight="1">
      <c r="A11" s="9" t="s">
        <v>79</v>
      </c>
      <c r="B11" s="10">
        <v>4.2000000000000003E-2</v>
      </c>
      <c r="C11" s="10">
        <v>0.3</v>
      </c>
      <c r="D11" s="10">
        <v>1.1000000000000001</v>
      </c>
    </row>
    <row r="12" spans="1:4" ht="15" customHeight="1">
      <c r="A12" s="9" t="s">
        <v>80</v>
      </c>
      <c r="B12" s="10">
        <v>1.2</v>
      </c>
      <c r="C12" s="10">
        <v>9.1999999999999993</v>
      </c>
      <c r="D12" s="10">
        <v>34</v>
      </c>
    </row>
    <row r="13" spans="1:4" ht="15" customHeight="1">
      <c r="A13" s="9" t="s">
        <v>81</v>
      </c>
      <c r="B13" s="10">
        <v>0.21</v>
      </c>
      <c r="C13" s="10">
        <v>1.5</v>
      </c>
      <c r="D13" s="10">
        <v>5.7</v>
      </c>
    </row>
    <row r="14" spans="1:4" ht="15" customHeight="1">
      <c r="A14" s="9" t="s">
        <v>82</v>
      </c>
      <c r="B14" s="10">
        <v>4.9000000000000002E-2</v>
      </c>
      <c r="C14" s="10">
        <v>0.35</v>
      </c>
      <c r="D14" s="10">
        <v>1.3</v>
      </c>
    </row>
    <row r="15" spans="1:4" ht="15" customHeight="1">
      <c r="A15" s="9" t="s">
        <v>83</v>
      </c>
      <c r="B15" s="10">
        <v>3.5E-4</v>
      </c>
      <c r="C15" s="10">
        <v>2.5999999999999999E-3</v>
      </c>
      <c r="D15" s="10">
        <v>9.5999999999999992E-3</v>
      </c>
    </row>
    <row r="16" spans="1:4" ht="15" customHeight="1">
      <c r="A16" s="9" t="s">
        <v>84</v>
      </c>
      <c r="B16" s="10">
        <v>3.3E-4</v>
      </c>
      <c r="C16" s="10">
        <v>2.3999999999999998E-3</v>
      </c>
      <c r="D16" s="10">
        <v>8.8999999999999999E-3</v>
      </c>
    </row>
    <row r="17" spans="1:4" ht="15" customHeight="1">
      <c r="A17" s="9" t="s">
        <v>101</v>
      </c>
      <c r="B17" s="10">
        <v>1.4E-3</v>
      </c>
      <c r="C17" s="10">
        <v>1.0999999999999999E-2</v>
      </c>
      <c r="D17" s="10">
        <v>3.9E-2</v>
      </c>
    </row>
    <row r="18" spans="1:4" ht="15" customHeight="1">
      <c r="A18" s="16" t="s">
        <v>102</v>
      </c>
      <c r="B18" s="13">
        <v>1.6000000000000001E-4</v>
      </c>
      <c r="C18" s="13">
        <v>1.1000000000000001E-3</v>
      </c>
      <c r="D18" s="13">
        <v>4.3E-3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BD357-2213-4A63-AAB3-3B4629B9178B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1" t="s">
        <v>112</v>
      </c>
      <c r="B1" s="41"/>
      <c r="C1" s="41"/>
      <c r="D1" s="41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9.3000000000000005E-4</v>
      </c>
      <c r="C5" s="10">
        <v>5.7999999999999996E-3</v>
      </c>
      <c r="D5" s="10">
        <v>3.7999999999999999E-2</v>
      </c>
    </row>
    <row r="6" spans="1:4" ht="15" customHeight="1">
      <c r="A6" s="9" t="s">
        <v>99</v>
      </c>
      <c r="B6" s="10">
        <v>2.0999999999999999E-3</v>
      </c>
      <c r="C6" s="10">
        <v>1.2999999999999999E-2</v>
      </c>
      <c r="D6" s="10">
        <v>8.6999999999999994E-2</v>
      </c>
    </row>
    <row r="7" spans="1:4" ht="15" customHeight="1">
      <c r="A7" s="11" t="s">
        <v>100</v>
      </c>
      <c r="B7" s="15"/>
      <c r="C7" s="18"/>
      <c r="D7" s="14"/>
    </row>
    <row r="8" spans="1:4" ht="15" customHeight="1">
      <c r="A8" s="9" t="s">
        <v>76</v>
      </c>
      <c r="B8" s="10">
        <v>5.1999999999999995E-4</v>
      </c>
      <c r="C8" s="10">
        <v>3.3999999999999998E-3</v>
      </c>
      <c r="D8" s="10">
        <v>2.1999999999999999E-2</v>
      </c>
    </row>
    <row r="9" spans="1:4" ht="15" customHeight="1">
      <c r="A9" s="9" t="s">
        <v>77</v>
      </c>
      <c r="B9" s="10">
        <v>1.4E-3</v>
      </c>
      <c r="C9" s="10">
        <v>7.9000000000000008E-3</v>
      </c>
      <c r="D9" s="10">
        <v>5.3999999999999999E-2</v>
      </c>
    </row>
    <row r="10" spans="1:4" ht="15" customHeight="1">
      <c r="A10" s="9" t="s">
        <v>78</v>
      </c>
      <c r="B10" s="10">
        <v>1.7000000000000001E-2</v>
      </c>
      <c r="C10" s="10">
        <v>0.1</v>
      </c>
      <c r="D10" s="10">
        <v>0.69</v>
      </c>
    </row>
    <row r="11" spans="1:4" ht="15" customHeight="1">
      <c r="A11" s="9" t="s">
        <v>79</v>
      </c>
      <c r="B11" s="10">
        <v>2.5000000000000001E-2</v>
      </c>
      <c r="C11" s="10">
        <v>0.15</v>
      </c>
      <c r="D11" s="10">
        <v>0.99</v>
      </c>
    </row>
    <row r="12" spans="1:4" ht="15" customHeight="1">
      <c r="A12" s="9" t="s">
        <v>80</v>
      </c>
      <c r="B12" s="10">
        <v>0.72</v>
      </c>
      <c r="C12" s="10">
        <v>4.4000000000000004</v>
      </c>
      <c r="D12" s="10">
        <v>30</v>
      </c>
    </row>
    <row r="13" spans="1:4" ht="15" customHeight="1">
      <c r="A13" s="9" t="s">
        <v>81</v>
      </c>
      <c r="B13" s="10">
        <v>0.12</v>
      </c>
      <c r="C13" s="10">
        <v>0.74</v>
      </c>
      <c r="D13" s="10">
        <v>5.0999999999999996</v>
      </c>
    </row>
    <row r="14" spans="1:4" ht="15" customHeight="1">
      <c r="A14" s="9" t="s">
        <v>82</v>
      </c>
      <c r="B14" s="10">
        <v>2.9000000000000001E-2</v>
      </c>
      <c r="C14" s="10">
        <v>0.17</v>
      </c>
      <c r="D14" s="10">
        <v>1.2</v>
      </c>
    </row>
    <row r="15" spans="1:4" ht="15" customHeight="1">
      <c r="A15" s="9" t="s">
        <v>83</v>
      </c>
      <c r="B15" s="10">
        <v>2.1000000000000001E-4</v>
      </c>
      <c r="C15" s="10">
        <v>1.4E-3</v>
      </c>
      <c r="D15" s="10">
        <v>9.1000000000000004E-3</v>
      </c>
    </row>
    <row r="16" spans="1:4" ht="15" customHeight="1">
      <c r="A16" s="9" t="s">
        <v>84</v>
      </c>
      <c r="B16" s="10">
        <v>2.0000000000000001E-4</v>
      </c>
      <c r="C16" s="10">
        <v>1.2999999999999999E-3</v>
      </c>
      <c r="D16" s="10">
        <v>8.6E-3</v>
      </c>
    </row>
    <row r="17" spans="1:4" ht="15" customHeight="1">
      <c r="A17" s="9" t="s">
        <v>101</v>
      </c>
      <c r="B17" s="10">
        <v>8.5999999999999998E-4</v>
      </c>
      <c r="C17" s="10">
        <v>5.4999999999999997E-3</v>
      </c>
      <c r="D17" s="10">
        <v>3.5999999999999997E-2</v>
      </c>
    </row>
    <row r="18" spans="1:4" ht="15" customHeight="1">
      <c r="A18" s="16" t="s">
        <v>102</v>
      </c>
      <c r="B18" s="13">
        <v>9.2E-5</v>
      </c>
      <c r="C18" s="13">
        <v>5.9999999999999995E-4</v>
      </c>
      <c r="D18" s="13">
        <v>3.8999999999999998E-3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8F75F-0F60-4AED-9F1C-00A1E83F8F61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1" t="s">
        <v>113</v>
      </c>
      <c r="B1" s="41"/>
      <c r="C1" s="41"/>
      <c r="D1" s="41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7.6000000000000004E-4</v>
      </c>
      <c r="C5" s="10">
        <v>4.8999999999999998E-3</v>
      </c>
      <c r="D5" s="10">
        <v>3.1E-2</v>
      </c>
    </row>
    <row r="6" spans="1:4" ht="15" customHeight="1">
      <c r="A6" s="9" t="s">
        <v>99</v>
      </c>
      <c r="B6" s="10">
        <v>1.6999999999999999E-3</v>
      </c>
      <c r="C6" s="10">
        <v>1.0999999999999999E-2</v>
      </c>
      <c r="D6" s="10">
        <v>7.1999999999999995E-2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4.0000000000000002E-4</v>
      </c>
      <c r="C8" s="10">
        <v>2.5999999999999999E-3</v>
      </c>
      <c r="D8" s="10">
        <v>1.7000000000000001E-2</v>
      </c>
    </row>
    <row r="9" spans="1:4" ht="15" customHeight="1">
      <c r="A9" s="9" t="s">
        <v>77</v>
      </c>
      <c r="B9" s="10">
        <v>1.1000000000000001E-3</v>
      </c>
      <c r="C9" s="10">
        <v>6.4000000000000003E-3</v>
      </c>
      <c r="D9" s="10">
        <v>4.3999999999999997E-2</v>
      </c>
    </row>
    <row r="10" spans="1:4" ht="15" customHeight="1">
      <c r="A10" s="9" t="s">
        <v>78</v>
      </c>
      <c r="B10" s="10">
        <v>1.4E-2</v>
      </c>
      <c r="C10" s="10">
        <v>8.2000000000000003E-2</v>
      </c>
      <c r="D10" s="10">
        <v>0.56000000000000005</v>
      </c>
    </row>
    <row r="11" spans="1:4" ht="15" customHeight="1">
      <c r="A11" s="9" t="s">
        <v>79</v>
      </c>
      <c r="B11" s="10">
        <v>0.02</v>
      </c>
      <c r="C11" s="10">
        <v>0.12</v>
      </c>
      <c r="D11" s="10">
        <v>0.8</v>
      </c>
    </row>
    <row r="12" spans="1:4" ht="15" customHeight="1">
      <c r="A12" s="9" t="s">
        <v>80</v>
      </c>
      <c r="B12" s="10">
        <v>0.56999999999999995</v>
      </c>
      <c r="C12" s="10">
        <v>3.5</v>
      </c>
      <c r="D12" s="10">
        <v>24</v>
      </c>
    </row>
    <row r="13" spans="1:4" ht="15" customHeight="1">
      <c r="A13" s="9" t="s">
        <v>81</v>
      </c>
      <c r="B13" s="10">
        <v>9.6000000000000002E-2</v>
      </c>
      <c r="C13" s="10">
        <v>0.57999999999999996</v>
      </c>
      <c r="D13" s="10">
        <v>4</v>
      </c>
    </row>
    <row r="14" spans="1:4" ht="15" customHeight="1">
      <c r="A14" s="9" t="s">
        <v>82</v>
      </c>
      <c r="B14" s="10">
        <v>2.3E-2</v>
      </c>
      <c r="C14" s="10">
        <v>0.14000000000000001</v>
      </c>
      <c r="D14" s="10">
        <v>0.94</v>
      </c>
    </row>
    <row r="15" spans="1:4" ht="15" customHeight="1">
      <c r="A15" s="9" t="s">
        <v>83</v>
      </c>
      <c r="B15" s="10">
        <v>1.7000000000000001E-4</v>
      </c>
      <c r="C15" s="10">
        <v>1.1999999999999999E-3</v>
      </c>
      <c r="D15" s="10">
        <v>7.6E-3</v>
      </c>
    </row>
    <row r="16" spans="1:4" ht="15" customHeight="1">
      <c r="A16" s="9" t="s">
        <v>84</v>
      </c>
      <c r="B16" s="10">
        <v>1.7000000000000001E-4</v>
      </c>
      <c r="C16" s="10">
        <v>1.1000000000000001E-3</v>
      </c>
      <c r="D16" s="10">
        <v>7.1999999999999998E-3</v>
      </c>
    </row>
    <row r="17" spans="1:4" ht="15" customHeight="1">
      <c r="A17" s="9" t="s">
        <v>101</v>
      </c>
      <c r="B17" s="10">
        <v>7.1000000000000002E-4</v>
      </c>
      <c r="C17" s="10">
        <v>4.7000000000000002E-3</v>
      </c>
      <c r="D17" s="10">
        <v>3.1E-2</v>
      </c>
    </row>
    <row r="18" spans="1:4" ht="15" customHeight="1">
      <c r="A18" s="16" t="s">
        <v>102</v>
      </c>
      <c r="B18" s="13">
        <v>7.6000000000000004E-5</v>
      </c>
      <c r="C18" s="13">
        <v>5.1000000000000004E-4</v>
      </c>
      <c r="D18" s="13">
        <v>3.3E-3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69AB3-EC38-4D24-8D3C-3F31366FEB14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1" t="s">
        <v>114</v>
      </c>
      <c r="B1" s="41"/>
      <c r="C1" s="41"/>
      <c r="D1" s="41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8.4000000000000003E-4</v>
      </c>
      <c r="C5" s="10">
        <v>9.5999999999999992E-3</v>
      </c>
      <c r="D5" s="10">
        <v>2.8000000000000001E-2</v>
      </c>
    </row>
    <row r="6" spans="1:4" ht="15" customHeight="1">
      <c r="A6" s="9" t="s">
        <v>99</v>
      </c>
      <c r="B6" s="10">
        <v>1.9E-3</v>
      </c>
      <c r="C6" s="10">
        <v>2.1999999999999999E-2</v>
      </c>
      <c r="D6" s="10">
        <v>6.4000000000000001E-2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4.2999999999999999E-4</v>
      </c>
      <c r="C8" s="10">
        <v>5.1999999999999998E-3</v>
      </c>
      <c r="D8" s="10">
        <v>1.6E-2</v>
      </c>
    </row>
    <row r="9" spans="1:4" ht="15" customHeight="1">
      <c r="A9" s="9" t="s">
        <v>77</v>
      </c>
      <c r="B9" s="10">
        <v>1.1999999999999999E-3</v>
      </c>
      <c r="C9" s="10">
        <v>1.7000000000000001E-2</v>
      </c>
      <c r="D9" s="10">
        <v>0.04</v>
      </c>
    </row>
    <row r="10" spans="1:4" ht="15" customHeight="1">
      <c r="A10" s="9" t="s">
        <v>78</v>
      </c>
      <c r="B10" s="10">
        <v>1.6E-2</v>
      </c>
      <c r="C10" s="10">
        <v>0.22</v>
      </c>
      <c r="D10" s="10">
        <v>0.52</v>
      </c>
    </row>
    <row r="11" spans="1:4" ht="15" customHeight="1">
      <c r="A11" s="9" t="s">
        <v>79</v>
      </c>
      <c r="B11" s="10">
        <v>2.1999999999999999E-2</v>
      </c>
      <c r="C11" s="10">
        <v>0.31</v>
      </c>
      <c r="D11" s="10">
        <v>0.74</v>
      </c>
    </row>
    <row r="12" spans="1:4" ht="15" customHeight="1">
      <c r="A12" s="9" t="s">
        <v>80</v>
      </c>
      <c r="B12" s="10">
        <v>0.66</v>
      </c>
      <c r="C12" s="10">
        <v>9.6</v>
      </c>
      <c r="D12" s="10">
        <v>23</v>
      </c>
    </row>
    <row r="13" spans="1:4" ht="15" customHeight="1">
      <c r="A13" s="9" t="s">
        <v>81</v>
      </c>
      <c r="B13" s="10">
        <v>0.11</v>
      </c>
      <c r="C13" s="10">
        <v>1.6</v>
      </c>
      <c r="D13" s="10">
        <v>3.9</v>
      </c>
    </row>
    <row r="14" spans="1:4" ht="15" customHeight="1">
      <c r="A14" s="9" t="s">
        <v>82</v>
      </c>
      <c r="B14" s="10">
        <v>2.5999999999999999E-2</v>
      </c>
      <c r="C14" s="10">
        <v>0.37</v>
      </c>
      <c r="D14" s="10">
        <v>0.87</v>
      </c>
    </row>
    <row r="15" spans="1:4" ht="15" customHeight="1">
      <c r="A15" s="9" t="s">
        <v>83</v>
      </c>
      <c r="B15" s="10">
        <v>2.0000000000000001E-4</v>
      </c>
      <c r="C15" s="10">
        <v>2.5000000000000001E-3</v>
      </c>
      <c r="D15" s="10">
        <v>6.7999999999999996E-3</v>
      </c>
    </row>
    <row r="16" spans="1:4" ht="15" customHeight="1">
      <c r="A16" s="9" t="s">
        <v>84</v>
      </c>
      <c r="B16" s="10">
        <v>1.9000000000000001E-4</v>
      </c>
      <c r="C16" s="10">
        <v>2.2000000000000001E-3</v>
      </c>
      <c r="D16" s="10">
        <v>6.4000000000000003E-3</v>
      </c>
    </row>
    <row r="17" spans="1:4" ht="15" customHeight="1">
      <c r="A17" s="9" t="s">
        <v>101</v>
      </c>
      <c r="B17" s="10">
        <v>8.0000000000000004E-4</v>
      </c>
      <c r="C17" s="10">
        <v>9.4999999999999998E-3</v>
      </c>
      <c r="D17" s="10">
        <v>2.7E-2</v>
      </c>
    </row>
    <row r="18" spans="1:4" ht="15" customHeight="1">
      <c r="A18" s="16" t="s">
        <v>102</v>
      </c>
      <c r="B18" s="13">
        <v>8.6000000000000003E-5</v>
      </c>
      <c r="C18" s="13">
        <v>1E-3</v>
      </c>
      <c r="D18" s="13">
        <v>2.8999999999999998E-3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97D342-6CF9-4A7E-BAB5-C302958F3E28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1" t="s">
        <v>115</v>
      </c>
      <c r="B1" s="41"/>
      <c r="C1" s="41"/>
      <c r="D1" s="41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8.0000000000000004E-4</v>
      </c>
      <c r="C5" s="10">
        <v>5.1000000000000004E-3</v>
      </c>
      <c r="D5" s="10">
        <v>3.5999999999999997E-2</v>
      </c>
    </row>
    <row r="6" spans="1:4" ht="15" customHeight="1">
      <c r="A6" s="9" t="s">
        <v>99</v>
      </c>
      <c r="B6" s="10">
        <v>1.8E-3</v>
      </c>
      <c r="C6" s="10">
        <v>1.2E-2</v>
      </c>
      <c r="D6" s="10">
        <v>8.3000000000000004E-2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4.4000000000000002E-4</v>
      </c>
      <c r="C8" s="10">
        <v>2.8E-3</v>
      </c>
      <c r="D8" s="10">
        <v>2.1999999999999999E-2</v>
      </c>
    </row>
    <row r="9" spans="1:4" ht="15" customHeight="1">
      <c r="A9" s="9" t="s">
        <v>77</v>
      </c>
      <c r="B9" s="10">
        <v>1.1999999999999999E-3</v>
      </c>
      <c r="C9" s="10">
        <v>8.6999999999999994E-3</v>
      </c>
      <c r="D9" s="10">
        <v>5.2999999999999999E-2</v>
      </c>
    </row>
    <row r="10" spans="1:4" ht="15" customHeight="1">
      <c r="A10" s="9" t="s">
        <v>78</v>
      </c>
      <c r="B10" s="10">
        <v>1.6E-2</v>
      </c>
      <c r="C10" s="10">
        <v>0.11</v>
      </c>
      <c r="D10" s="10">
        <v>0.68</v>
      </c>
    </row>
    <row r="11" spans="1:4" ht="15" customHeight="1">
      <c r="A11" s="9" t="s">
        <v>79</v>
      </c>
      <c r="B11" s="10">
        <v>2.1999999999999999E-2</v>
      </c>
      <c r="C11" s="10">
        <v>0.16</v>
      </c>
      <c r="D11" s="10">
        <v>0.97</v>
      </c>
    </row>
    <row r="12" spans="1:4" ht="15" customHeight="1">
      <c r="A12" s="9" t="s">
        <v>80</v>
      </c>
      <c r="B12" s="10">
        <v>0.65</v>
      </c>
      <c r="C12" s="10">
        <v>4.3</v>
      </c>
      <c r="D12" s="10">
        <v>30</v>
      </c>
    </row>
    <row r="13" spans="1:4" ht="15" customHeight="1">
      <c r="A13" s="9" t="s">
        <v>81</v>
      </c>
      <c r="B13" s="10">
        <v>0.11</v>
      </c>
      <c r="C13" s="10">
        <v>0.73</v>
      </c>
      <c r="D13" s="10">
        <v>5</v>
      </c>
    </row>
    <row r="14" spans="1:4" ht="15" customHeight="1">
      <c r="A14" s="9" t="s">
        <v>82</v>
      </c>
      <c r="B14" s="10">
        <v>2.5999999999999999E-2</v>
      </c>
      <c r="C14" s="10">
        <v>0.18</v>
      </c>
      <c r="D14" s="10">
        <v>1.1000000000000001</v>
      </c>
    </row>
    <row r="15" spans="1:4" ht="15" customHeight="1">
      <c r="A15" s="9" t="s">
        <v>83</v>
      </c>
      <c r="B15" s="10">
        <v>1.9000000000000001E-4</v>
      </c>
      <c r="C15" s="10">
        <v>1.1000000000000001E-3</v>
      </c>
      <c r="D15" s="10">
        <v>8.8999999999999999E-3</v>
      </c>
    </row>
    <row r="16" spans="1:4" ht="15" customHeight="1">
      <c r="A16" s="9" t="s">
        <v>84</v>
      </c>
      <c r="B16" s="10">
        <v>1.8000000000000001E-4</v>
      </c>
      <c r="C16" s="10">
        <v>1E-3</v>
      </c>
      <c r="D16" s="10">
        <v>8.3000000000000001E-3</v>
      </c>
    </row>
    <row r="17" spans="1:4" ht="15" customHeight="1">
      <c r="A17" s="9" t="s">
        <v>101</v>
      </c>
      <c r="B17" s="10">
        <v>7.6000000000000004E-4</v>
      </c>
      <c r="C17" s="10">
        <v>4.4999999999999997E-3</v>
      </c>
      <c r="D17" s="10">
        <v>3.5000000000000003E-2</v>
      </c>
    </row>
    <row r="18" spans="1:4" ht="15" customHeight="1">
      <c r="A18" s="16" t="s">
        <v>102</v>
      </c>
      <c r="B18" s="13">
        <v>8.2000000000000001E-5</v>
      </c>
      <c r="C18" s="13">
        <v>4.8999999999999998E-4</v>
      </c>
      <c r="D18" s="13">
        <v>3.8E-3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91797-D0DA-4CC6-862A-0C1CA7C13646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1" t="s">
        <v>116</v>
      </c>
      <c r="B1" s="41"/>
      <c r="C1" s="41"/>
      <c r="D1" s="41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8.8999999999999995E-4</v>
      </c>
      <c r="C5" s="10">
        <v>2.3E-3</v>
      </c>
      <c r="D5" s="10">
        <v>4.2999999999999997E-2</v>
      </c>
    </row>
    <row r="6" spans="1:4" ht="15" customHeight="1">
      <c r="A6" s="9" t="s">
        <v>99</v>
      </c>
      <c r="B6" s="10">
        <v>2E-3</v>
      </c>
      <c r="C6" s="10">
        <v>5.1999999999999998E-3</v>
      </c>
      <c r="D6" s="10">
        <v>9.7000000000000003E-2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4.8999999999999998E-4</v>
      </c>
      <c r="C8" s="10">
        <v>1.1999999999999999E-3</v>
      </c>
      <c r="D8" s="10">
        <v>2.5000000000000001E-2</v>
      </c>
    </row>
    <row r="9" spans="1:4" ht="15" customHeight="1">
      <c r="A9" s="9" t="s">
        <v>77</v>
      </c>
      <c r="B9" s="10">
        <v>1.2999999999999999E-3</v>
      </c>
      <c r="C9" s="10">
        <v>3.8E-3</v>
      </c>
      <c r="D9" s="10">
        <v>6.4000000000000001E-2</v>
      </c>
    </row>
    <row r="10" spans="1:4" ht="15" customHeight="1">
      <c r="A10" s="9" t="s">
        <v>78</v>
      </c>
      <c r="B10" s="10">
        <v>1.6E-2</v>
      </c>
      <c r="C10" s="10">
        <v>4.8000000000000001E-2</v>
      </c>
      <c r="D10" s="10">
        <v>0.81</v>
      </c>
    </row>
    <row r="11" spans="1:4" ht="15" customHeight="1">
      <c r="A11" s="9" t="s">
        <v>79</v>
      </c>
      <c r="B11" s="10">
        <v>2.4E-2</v>
      </c>
      <c r="C11" s="10">
        <v>6.9000000000000006E-2</v>
      </c>
      <c r="D11" s="10">
        <v>1.2</v>
      </c>
    </row>
    <row r="12" spans="1:4" ht="15" customHeight="1">
      <c r="A12" s="9" t="s">
        <v>80</v>
      </c>
      <c r="B12" s="10">
        <v>0.69</v>
      </c>
      <c r="C12" s="10">
        <v>1.9</v>
      </c>
      <c r="D12" s="10">
        <v>35</v>
      </c>
    </row>
    <row r="13" spans="1:4" ht="15" customHeight="1">
      <c r="A13" s="9" t="s">
        <v>81</v>
      </c>
      <c r="B13" s="10">
        <v>0.12</v>
      </c>
      <c r="C13" s="10">
        <v>0.33</v>
      </c>
      <c r="D13" s="10">
        <v>5.9</v>
      </c>
    </row>
    <row r="14" spans="1:4" ht="15" customHeight="1">
      <c r="A14" s="9" t="s">
        <v>82</v>
      </c>
      <c r="B14" s="10">
        <v>2.8000000000000001E-2</v>
      </c>
      <c r="C14" s="10">
        <v>8.1000000000000003E-2</v>
      </c>
      <c r="D14" s="10">
        <v>1.4</v>
      </c>
    </row>
    <row r="15" spans="1:4" ht="15" customHeight="1">
      <c r="A15" s="9" t="s">
        <v>83</v>
      </c>
      <c r="B15" s="10">
        <v>2.1000000000000001E-4</v>
      </c>
      <c r="C15" s="10">
        <v>5.0000000000000001E-4</v>
      </c>
      <c r="D15" s="10">
        <v>0.01</v>
      </c>
    </row>
    <row r="16" spans="1:4" ht="15" customHeight="1">
      <c r="A16" s="9" t="s">
        <v>84</v>
      </c>
      <c r="B16" s="10">
        <v>2.0000000000000001E-4</v>
      </c>
      <c r="C16" s="10">
        <v>4.8000000000000001E-4</v>
      </c>
      <c r="D16" s="10">
        <v>9.7999999999999997E-3</v>
      </c>
    </row>
    <row r="17" spans="1:4" ht="15" customHeight="1">
      <c r="A17" s="9" t="s">
        <v>101</v>
      </c>
      <c r="B17" s="10">
        <v>8.4000000000000003E-4</v>
      </c>
      <c r="C17" s="10">
        <v>2E-3</v>
      </c>
      <c r="D17" s="10">
        <v>4.1000000000000002E-2</v>
      </c>
    </row>
    <row r="18" spans="1:4" ht="15" customHeight="1">
      <c r="A18" s="16" t="s">
        <v>102</v>
      </c>
      <c r="B18" s="13">
        <v>9.1000000000000003E-5</v>
      </c>
      <c r="C18" s="13">
        <v>2.2000000000000001E-4</v>
      </c>
      <c r="D18" s="13">
        <v>4.4999999999999997E-3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4C04B-56C2-4409-BE21-187E165E03E5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1" t="s">
        <v>117</v>
      </c>
      <c r="B1" s="41"/>
      <c r="C1" s="41"/>
      <c r="D1" s="41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6.4999999999999997E-4</v>
      </c>
      <c r="C5" s="10">
        <v>4.4000000000000003E-3</v>
      </c>
      <c r="D5" s="10">
        <v>1.6E-2</v>
      </c>
    </row>
    <row r="6" spans="1:4" ht="15" customHeight="1">
      <c r="A6" s="9" t="s">
        <v>99</v>
      </c>
      <c r="B6" s="10">
        <v>1.5E-3</v>
      </c>
      <c r="C6" s="10">
        <v>0.01</v>
      </c>
      <c r="D6" s="10">
        <v>3.5999999999999997E-2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3.2000000000000003E-4</v>
      </c>
      <c r="C8" s="10">
        <v>2.2000000000000001E-3</v>
      </c>
      <c r="D8" s="10">
        <v>8.8000000000000005E-3</v>
      </c>
    </row>
    <row r="9" spans="1:4" ht="15" customHeight="1">
      <c r="A9" s="9" t="s">
        <v>77</v>
      </c>
      <c r="B9" s="10">
        <v>8.4999999999999995E-4</v>
      </c>
      <c r="C9" s="10">
        <v>5.4000000000000003E-3</v>
      </c>
      <c r="D9" s="10">
        <v>2.1000000000000001E-2</v>
      </c>
    </row>
    <row r="10" spans="1:4" ht="15" customHeight="1">
      <c r="A10" s="9" t="s">
        <v>78</v>
      </c>
      <c r="B10" s="10">
        <v>1.0999999999999999E-2</v>
      </c>
      <c r="C10" s="10">
        <v>7.0000000000000007E-2</v>
      </c>
      <c r="D10" s="10">
        <v>0.27</v>
      </c>
    </row>
    <row r="11" spans="1:4" ht="15" customHeight="1">
      <c r="A11" s="9" t="s">
        <v>79</v>
      </c>
      <c r="B11" s="10">
        <v>1.6E-2</v>
      </c>
      <c r="C11" s="10">
        <v>0.1</v>
      </c>
      <c r="D11" s="10">
        <v>0.39</v>
      </c>
    </row>
    <row r="12" spans="1:4" ht="15" customHeight="1">
      <c r="A12" s="9" t="s">
        <v>80</v>
      </c>
      <c r="B12" s="10">
        <v>0.45</v>
      </c>
      <c r="C12" s="10">
        <v>3</v>
      </c>
      <c r="D12" s="10">
        <v>12</v>
      </c>
    </row>
    <row r="13" spans="1:4" ht="15" customHeight="1">
      <c r="A13" s="9" t="s">
        <v>81</v>
      </c>
      <c r="B13" s="10">
        <v>7.5999999999999998E-2</v>
      </c>
      <c r="C13" s="10">
        <v>0.5</v>
      </c>
      <c r="D13" s="10">
        <v>1.9</v>
      </c>
    </row>
    <row r="14" spans="1:4" ht="15" customHeight="1">
      <c r="A14" s="9" t="s">
        <v>82</v>
      </c>
      <c r="B14" s="10">
        <v>1.7999999999999999E-2</v>
      </c>
      <c r="C14" s="10">
        <v>0.12</v>
      </c>
      <c r="D14" s="10">
        <v>0.45</v>
      </c>
    </row>
    <row r="15" spans="1:4" ht="15" customHeight="1">
      <c r="A15" s="9" t="s">
        <v>83</v>
      </c>
      <c r="B15" s="10">
        <v>1.4999999999999999E-4</v>
      </c>
      <c r="C15" s="10">
        <v>1E-3</v>
      </c>
      <c r="D15" s="10">
        <v>3.7000000000000002E-3</v>
      </c>
    </row>
    <row r="16" spans="1:4" ht="15" customHeight="1">
      <c r="A16" s="9" t="s">
        <v>84</v>
      </c>
      <c r="B16" s="10">
        <v>1.3999999999999999E-4</v>
      </c>
      <c r="C16" s="10">
        <v>1E-3</v>
      </c>
      <c r="D16" s="10">
        <v>3.5000000000000001E-3</v>
      </c>
    </row>
    <row r="17" spans="1:4" ht="15" customHeight="1">
      <c r="A17" s="9" t="s">
        <v>101</v>
      </c>
      <c r="B17" s="10">
        <v>5.9999999999999995E-4</v>
      </c>
      <c r="C17" s="10">
        <v>4.1999999999999997E-3</v>
      </c>
      <c r="D17" s="10">
        <v>1.4999999999999999E-2</v>
      </c>
    </row>
    <row r="18" spans="1:4" ht="15" customHeight="1">
      <c r="A18" s="16" t="s">
        <v>102</v>
      </c>
      <c r="B18" s="13">
        <v>6.3999999999999997E-5</v>
      </c>
      <c r="C18" s="13">
        <v>4.6000000000000001E-4</v>
      </c>
      <c r="D18" s="13">
        <v>1.6000000000000001E-3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73F4D-55B8-497D-9C95-FE4667991A44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1" t="s">
        <v>118</v>
      </c>
      <c r="B1" s="41"/>
      <c r="C1" s="41"/>
      <c r="D1" s="41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2.1000000000000001E-4</v>
      </c>
      <c r="C5" s="10">
        <v>1.4E-3</v>
      </c>
      <c r="D5" s="10">
        <v>5.1999999999999998E-3</v>
      </c>
    </row>
    <row r="6" spans="1:4" ht="15" customHeight="1">
      <c r="A6" s="9" t="s">
        <v>99</v>
      </c>
      <c r="B6" s="10">
        <v>4.8000000000000001E-4</v>
      </c>
      <c r="C6" s="10">
        <v>3.0999999999999999E-3</v>
      </c>
      <c r="D6" s="10">
        <v>1.2E-2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1.2999999999999999E-4</v>
      </c>
      <c r="C8" s="10">
        <v>7.6000000000000004E-4</v>
      </c>
      <c r="D8" s="10">
        <v>2.8999999999999998E-3</v>
      </c>
    </row>
    <row r="9" spans="1:4" ht="15" customHeight="1">
      <c r="A9" s="9" t="s">
        <v>77</v>
      </c>
      <c r="B9" s="10">
        <v>3.6000000000000002E-4</v>
      </c>
      <c r="C9" s="10">
        <v>1.9E-3</v>
      </c>
      <c r="D9" s="10">
        <v>7.4999999999999997E-3</v>
      </c>
    </row>
    <row r="10" spans="1:4" ht="15" customHeight="1">
      <c r="A10" s="9" t="s">
        <v>78</v>
      </c>
      <c r="B10" s="10">
        <v>4.5999999999999999E-3</v>
      </c>
      <c r="C10" s="10">
        <v>2.4E-2</v>
      </c>
      <c r="D10" s="10">
        <v>9.5000000000000001E-2</v>
      </c>
    </row>
    <row r="11" spans="1:4" ht="15" customHeight="1">
      <c r="A11" s="9" t="s">
        <v>79</v>
      </c>
      <c r="B11" s="10">
        <v>6.6E-3</v>
      </c>
      <c r="C11" s="10">
        <v>3.4000000000000002E-2</v>
      </c>
      <c r="D11" s="10">
        <v>0.14000000000000001</v>
      </c>
    </row>
    <row r="12" spans="1:4" ht="15" customHeight="1">
      <c r="A12" s="9" t="s">
        <v>80</v>
      </c>
      <c r="B12" s="10">
        <v>0.2</v>
      </c>
      <c r="C12" s="10">
        <v>1.1000000000000001</v>
      </c>
      <c r="D12" s="10">
        <v>4.3</v>
      </c>
    </row>
    <row r="13" spans="1:4" ht="15" customHeight="1">
      <c r="A13" s="9" t="s">
        <v>81</v>
      </c>
      <c r="B13" s="10">
        <v>3.4000000000000002E-2</v>
      </c>
      <c r="C13" s="10">
        <v>0.18</v>
      </c>
      <c r="D13" s="10">
        <v>0.72</v>
      </c>
    </row>
    <row r="14" spans="1:4" ht="15" customHeight="1">
      <c r="A14" s="9" t="s">
        <v>82</v>
      </c>
      <c r="B14" s="10">
        <v>7.7999999999999996E-3</v>
      </c>
      <c r="C14" s="10">
        <v>0.04</v>
      </c>
      <c r="D14" s="10">
        <v>0.16</v>
      </c>
    </row>
    <row r="15" spans="1:4" ht="15" customHeight="1">
      <c r="A15" s="9" t="s">
        <v>83</v>
      </c>
      <c r="B15" s="10">
        <v>5.3999999999999998E-5</v>
      </c>
      <c r="C15" s="10">
        <v>3.4000000000000002E-4</v>
      </c>
      <c r="D15" s="10">
        <v>1.2999999999999999E-3</v>
      </c>
    </row>
    <row r="16" spans="1:4" ht="15" customHeight="1">
      <c r="A16" s="9" t="s">
        <v>84</v>
      </c>
      <c r="B16" s="10">
        <v>5.0000000000000002E-5</v>
      </c>
      <c r="C16" s="10">
        <v>3.2000000000000003E-4</v>
      </c>
      <c r="D16" s="10">
        <v>1.1999999999999999E-3</v>
      </c>
    </row>
    <row r="17" spans="1:4" ht="15" customHeight="1">
      <c r="A17" s="9" t="s">
        <v>101</v>
      </c>
      <c r="B17" s="10">
        <v>2.1000000000000001E-4</v>
      </c>
      <c r="C17" s="10">
        <v>1.2999999999999999E-3</v>
      </c>
      <c r="D17" s="10">
        <v>5.0000000000000001E-3</v>
      </c>
    </row>
    <row r="18" spans="1:4" ht="15" customHeight="1">
      <c r="A18" s="16" t="s">
        <v>102</v>
      </c>
      <c r="B18" s="13">
        <v>2.3E-5</v>
      </c>
      <c r="C18" s="13">
        <v>1.3999999999999999E-4</v>
      </c>
      <c r="D18" s="13">
        <v>5.4000000000000001E-4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C4A0E-10C6-4319-A8D5-B1EE3AA888EE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1" t="s">
        <v>119</v>
      </c>
      <c r="B1" s="41"/>
      <c r="C1" s="41"/>
      <c r="D1" s="41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6.9999999999999999E-4</v>
      </c>
      <c r="C5" s="10">
        <v>5.4000000000000003E-3</v>
      </c>
      <c r="D5" s="10">
        <v>4.3999999999999997E-2</v>
      </c>
    </row>
    <row r="6" spans="1:4" ht="15" customHeight="1">
      <c r="A6" s="9" t="s">
        <v>99</v>
      </c>
      <c r="B6" s="10">
        <v>1.6000000000000001E-3</v>
      </c>
      <c r="C6" s="10">
        <v>1.2E-2</v>
      </c>
      <c r="D6" s="10">
        <v>0.1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3.8000000000000002E-4</v>
      </c>
      <c r="C8" s="10">
        <v>2.8E-3</v>
      </c>
      <c r="D8" s="10">
        <v>2.3E-2</v>
      </c>
    </row>
    <row r="9" spans="1:4" ht="15" customHeight="1">
      <c r="A9" s="9" t="s">
        <v>77</v>
      </c>
      <c r="B9" s="10">
        <v>9.6000000000000002E-4</v>
      </c>
      <c r="C9" s="10">
        <v>6.7999999999999996E-3</v>
      </c>
      <c r="D9" s="10">
        <v>6.4000000000000001E-2</v>
      </c>
    </row>
    <row r="10" spans="1:4" ht="15" customHeight="1">
      <c r="A10" s="9" t="s">
        <v>78</v>
      </c>
      <c r="B10" s="10">
        <v>1.2E-2</v>
      </c>
      <c r="C10" s="10">
        <v>8.5999999999999993E-2</v>
      </c>
      <c r="D10" s="10">
        <v>0.81</v>
      </c>
    </row>
    <row r="11" spans="1:4" ht="15" customHeight="1">
      <c r="A11" s="9" t="s">
        <v>79</v>
      </c>
      <c r="B11" s="10">
        <v>1.7000000000000001E-2</v>
      </c>
      <c r="C11" s="10">
        <v>0.12</v>
      </c>
      <c r="D11" s="10">
        <v>1.2</v>
      </c>
    </row>
    <row r="12" spans="1:4" ht="15" customHeight="1">
      <c r="A12" s="9" t="s">
        <v>80</v>
      </c>
      <c r="B12" s="10">
        <v>0.52</v>
      </c>
      <c r="C12" s="10">
        <v>3.7</v>
      </c>
      <c r="D12" s="10">
        <v>34</v>
      </c>
    </row>
    <row r="13" spans="1:4" ht="15" customHeight="1">
      <c r="A13" s="9" t="s">
        <v>81</v>
      </c>
      <c r="B13" s="10">
        <v>8.7999999999999995E-2</v>
      </c>
      <c r="C13" s="10">
        <v>0.62</v>
      </c>
      <c r="D13" s="10">
        <v>5.7</v>
      </c>
    </row>
    <row r="14" spans="1:4" ht="15" customHeight="1">
      <c r="A14" s="9" t="s">
        <v>82</v>
      </c>
      <c r="B14" s="10">
        <v>0.02</v>
      </c>
      <c r="C14" s="10">
        <v>0.14000000000000001</v>
      </c>
      <c r="D14" s="10">
        <v>1.4</v>
      </c>
    </row>
    <row r="15" spans="1:4" ht="15" customHeight="1">
      <c r="A15" s="9" t="s">
        <v>83</v>
      </c>
      <c r="B15" s="10">
        <v>1.7000000000000001E-4</v>
      </c>
      <c r="C15" s="10">
        <v>1.2999999999999999E-3</v>
      </c>
      <c r="D15" s="10">
        <v>1.0999999999999999E-2</v>
      </c>
    </row>
    <row r="16" spans="1:4" ht="15" customHeight="1">
      <c r="A16" s="9" t="s">
        <v>84</v>
      </c>
      <c r="B16" s="10">
        <v>1.6000000000000001E-4</v>
      </c>
      <c r="C16" s="10">
        <v>1.2999999999999999E-3</v>
      </c>
      <c r="D16" s="10">
        <v>9.9000000000000008E-3</v>
      </c>
    </row>
    <row r="17" spans="1:4" ht="15" customHeight="1">
      <c r="A17" s="9" t="s">
        <v>101</v>
      </c>
      <c r="B17" s="10">
        <v>6.7000000000000002E-4</v>
      </c>
      <c r="C17" s="10">
        <v>5.3E-3</v>
      </c>
      <c r="D17" s="10">
        <v>4.3999999999999997E-2</v>
      </c>
    </row>
    <row r="18" spans="1:4" ht="15" customHeight="1">
      <c r="A18" s="16" t="s">
        <v>102</v>
      </c>
      <c r="B18" s="13">
        <v>7.2000000000000002E-5</v>
      </c>
      <c r="C18" s="13">
        <v>5.6999999999999998E-4</v>
      </c>
      <c r="D18" s="13">
        <v>4.7999999999999996E-3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BEEC7-AF94-43AB-8D0F-03D0FC037BD5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1" t="s">
        <v>120</v>
      </c>
      <c r="B1" s="41"/>
      <c r="C1" s="41"/>
      <c r="D1" s="41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4.6000000000000001E-4</v>
      </c>
      <c r="C5" s="10">
        <v>5.7000000000000002E-3</v>
      </c>
      <c r="D5" s="10">
        <v>1.9E-2</v>
      </c>
    </row>
    <row r="6" spans="1:4" ht="15" customHeight="1">
      <c r="A6" s="9" t="s">
        <v>99</v>
      </c>
      <c r="B6" s="10">
        <v>1.1000000000000001E-3</v>
      </c>
      <c r="C6" s="10">
        <v>1.2999999999999999E-2</v>
      </c>
      <c r="D6" s="10">
        <v>4.2999999999999997E-2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2.4000000000000001E-4</v>
      </c>
      <c r="C8" s="10">
        <v>2.8E-3</v>
      </c>
      <c r="D8" s="10">
        <v>8.6E-3</v>
      </c>
    </row>
    <row r="9" spans="1:4" ht="15" customHeight="1">
      <c r="A9" s="9" t="s">
        <v>77</v>
      </c>
      <c r="B9" s="10">
        <v>5.8E-4</v>
      </c>
      <c r="C9" s="10">
        <v>6.8999999999999999E-3</v>
      </c>
      <c r="D9" s="10">
        <v>2.3E-2</v>
      </c>
    </row>
    <row r="10" spans="1:4" ht="15" customHeight="1">
      <c r="A10" s="9" t="s">
        <v>78</v>
      </c>
      <c r="B10" s="10">
        <v>7.4000000000000003E-3</v>
      </c>
      <c r="C10" s="10">
        <v>8.7999999999999995E-2</v>
      </c>
      <c r="D10" s="10">
        <v>0.28999999999999998</v>
      </c>
    </row>
    <row r="11" spans="1:4" ht="15" customHeight="1">
      <c r="A11" s="9" t="s">
        <v>79</v>
      </c>
      <c r="B11" s="10">
        <v>1.0999999999999999E-2</v>
      </c>
      <c r="C11" s="10">
        <v>0.13</v>
      </c>
      <c r="D11" s="10">
        <v>0.42</v>
      </c>
    </row>
    <row r="12" spans="1:4" ht="15" customHeight="1">
      <c r="A12" s="9" t="s">
        <v>80</v>
      </c>
      <c r="B12" s="10">
        <v>0.32</v>
      </c>
      <c r="C12" s="10">
        <v>3.8</v>
      </c>
      <c r="D12" s="10">
        <v>12</v>
      </c>
    </row>
    <row r="13" spans="1:4" ht="15" customHeight="1">
      <c r="A13" s="9" t="s">
        <v>81</v>
      </c>
      <c r="B13" s="10">
        <v>5.3999999999999999E-2</v>
      </c>
      <c r="C13" s="10">
        <v>0.64</v>
      </c>
      <c r="D13" s="10">
        <v>2.1</v>
      </c>
    </row>
    <row r="14" spans="1:4" ht="15" customHeight="1">
      <c r="A14" s="9" t="s">
        <v>82</v>
      </c>
      <c r="B14" s="10">
        <v>1.2E-2</v>
      </c>
      <c r="C14" s="10">
        <v>0.15</v>
      </c>
      <c r="D14" s="10">
        <v>0.48</v>
      </c>
    </row>
    <row r="15" spans="1:4" ht="15" customHeight="1">
      <c r="A15" s="9" t="s">
        <v>83</v>
      </c>
      <c r="B15" s="10">
        <v>1.1E-4</v>
      </c>
      <c r="C15" s="10">
        <v>1.4E-3</v>
      </c>
      <c r="D15" s="10">
        <v>4.7000000000000002E-3</v>
      </c>
    </row>
    <row r="16" spans="1:4" ht="15" customHeight="1">
      <c r="A16" s="9" t="s">
        <v>84</v>
      </c>
      <c r="B16" s="10">
        <v>1E-4</v>
      </c>
      <c r="C16" s="10">
        <v>1.4E-3</v>
      </c>
      <c r="D16" s="10">
        <v>4.4999999999999997E-3</v>
      </c>
    </row>
    <row r="17" spans="1:4" ht="15" customHeight="1">
      <c r="A17" s="9" t="s">
        <v>101</v>
      </c>
      <c r="B17" s="10">
        <v>4.4000000000000002E-4</v>
      </c>
      <c r="C17" s="10">
        <v>5.7000000000000002E-3</v>
      </c>
      <c r="D17" s="10">
        <v>1.9E-2</v>
      </c>
    </row>
    <row r="18" spans="1:4" ht="15" customHeight="1">
      <c r="A18" s="16" t="s">
        <v>102</v>
      </c>
      <c r="B18" s="13">
        <v>4.6999999999999997E-5</v>
      </c>
      <c r="C18" s="13">
        <v>6.2E-4</v>
      </c>
      <c r="D18" s="13">
        <v>2.0999999999999999E-3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1E6A1-3F60-4BD4-9687-A2D52E987FB7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2" t="s">
        <v>121</v>
      </c>
      <c r="B1" s="42"/>
      <c r="C1" s="42"/>
      <c r="D1" s="42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8.1999999999999998E-4</v>
      </c>
      <c r="C5" s="10">
        <v>8.2000000000000007E-3</v>
      </c>
      <c r="D5" s="10">
        <v>3.9E-2</v>
      </c>
    </row>
    <row r="6" spans="1:4" ht="15" customHeight="1">
      <c r="A6" s="9" t="s">
        <v>99</v>
      </c>
      <c r="B6" s="10">
        <v>1.9E-3</v>
      </c>
      <c r="C6" s="10">
        <v>1.9E-2</v>
      </c>
      <c r="D6" s="10">
        <v>8.7999999999999995E-2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4.4000000000000002E-4</v>
      </c>
      <c r="C8" s="10">
        <v>4.4999999999999997E-3</v>
      </c>
      <c r="D8" s="10">
        <v>2.1999999999999999E-2</v>
      </c>
    </row>
    <row r="9" spans="1:4" ht="15" customHeight="1">
      <c r="A9" s="9" t="s">
        <v>77</v>
      </c>
      <c r="B9" s="10">
        <v>1.1999999999999999E-3</v>
      </c>
      <c r="C9" s="10">
        <v>1.2E-2</v>
      </c>
      <c r="D9" s="10">
        <v>5.8999999999999997E-2</v>
      </c>
    </row>
    <row r="10" spans="1:4" ht="15" customHeight="1">
      <c r="A10" s="9" t="s">
        <v>78</v>
      </c>
      <c r="B10" s="10">
        <v>1.6E-2</v>
      </c>
      <c r="C10" s="10">
        <v>0.16</v>
      </c>
      <c r="D10" s="10">
        <v>0.75</v>
      </c>
    </row>
    <row r="11" spans="1:4" ht="15" customHeight="1">
      <c r="A11" s="9" t="s">
        <v>79</v>
      </c>
      <c r="B11" s="10">
        <v>2.3E-2</v>
      </c>
      <c r="C11" s="10">
        <v>0.22</v>
      </c>
      <c r="D11" s="10">
        <v>1.1000000000000001</v>
      </c>
    </row>
    <row r="12" spans="1:4" ht="15" customHeight="1">
      <c r="A12" s="9" t="s">
        <v>80</v>
      </c>
      <c r="B12" s="10">
        <v>0.66</v>
      </c>
      <c r="C12" s="10">
        <v>6.7</v>
      </c>
      <c r="D12" s="10">
        <v>31</v>
      </c>
    </row>
    <row r="13" spans="1:4" ht="15" customHeight="1">
      <c r="A13" s="9" t="s">
        <v>81</v>
      </c>
      <c r="B13" s="10">
        <v>0.11</v>
      </c>
      <c r="C13" s="10">
        <v>1.1000000000000001</v>
      </c>
      <c r="D13" s="10">
        <v>5.3</v>
      </c>
    </row>
    <row r="14" spans="1:4" ht="15" customHeight="1">
      <c r="A14" s="9" t="s">
        <v>82</v>
      </c>
      <c r="B14" s="10">
        <v>2.5999999999999999E-2</v>
      </c>
      <c r="C14" s="10">
        <v>0.26</v>
      </c>
      <c r="D14" s="10">
        <v>1.2</v>
      </c>
    </row>
    <row r="15" spans="1:4" ht="15" customHeight="1">
      <c r="A15" s="9" t="s">
        <v>83</v>
      </c>
      <c r="B15" s="10">
        <v>2.0000000000000001E-4</v>
      </c>
      <c r="C15" s="10">
        <v>2.0999999999999999E-3</v>
      </c>
      <c r="D15" s="10">
        <v>9.4999999999999998E-3</v>
      </c>
    </row>
    <row r="16" spans="1:4" ht="15" customHeight="1">
      <c r="A16" s="9" t="s">
        <v>84</v>
      </c>
      <c r="B16" s="10">
        <v>1.9000000000000001E-4</v>
      </c>
      <c r="C16" s="10">
        <v>2E-3</v>
      </c>
      <c r="D16" s="10">
        <v>8.8999999999999999E-3</v>
      </c>
    </row>
    <row r="17" spans="1:4" ht="15" customHeight="1">
      <c r="A17" s="9" t="s">
        <v>101</v>
      </c>
      <c r="B17" s="10">
        <v>8.0000000000000004E-4</v>
      </c>
      <c r="C17" s="10">
        <v>8.2000000000000007E-3</v>
      </c>
      <c r="D17" s="10">
        <v>3.7999999999999999E-2</v>
      </c>
    </row>
    <row r="18" spans="1:4" ht="15" customHeight="1">
      <c r="A18" s="16" t="s">
        <v>102</v>
      </c>
      <c r="B18" s="13">
        <v>8.7000000000000001E-5</v>
      </c>
      <c r="C18" s="13">
        <v>8.8999999999999995E-4</v>
      </c>
      <c r="D18" s="13">
        <v>4.1000000000000003E-3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5ADE0-6663-4F97-A675-45578702863C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2" t="s">
        <v>122</v>
      </c>
      <c r="B1" s="42"/>
      <c r="C1" s="42"/>
      <c r="D1" s="42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1.2999999999999999E-3</v>
      </c>
      <c r="C5" s="10">
        <v>6.4000000000000003E-3</v>
      </c>
      <c r="D5" s="10">
        <v>5.6000000000000001E-2</v>
      </c>
    </row>
    <row r="6" spans="1:4" ht="15" customHeight="1">
      <c r="A6" s="9" t="s">
        <v>99</v>
      </c>
      <c r="B6" s="10">
        <v>3.0000000000000001E-3</v>
      </c>
      <c r="C6" s="10">
        <v>1.4999999999999999E-2</v>
      </c>
      <c r="D6" s="10">
        <v>0.13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6.8999999999999997E-4</v>
      </c>
      <c r="C8" s="10">
        <v>3.0999999999999999E-3</v>
      </c>
      <c r="D8" s="10">
        <v>2.5000000000000001E-2</v>
      </c>
    </row>
    <row r="9" spans="1:4" ht="15" customHeight="1">
      <c r="A9" s="9" t="s">
        <v>77</v>
      </c>
      <c r="B9" s="10">
        <v>1.6000000000000001E-3</v>
      </c>
      <c r="C9" s="10">
        <v>7.6E-3</v>
      </c>
      <c r="D9" s="10">
        <v>6.2E-2</v>
      </c>
    </row>
    <row r="10" spans="1:4" ht="15" customHeight="1">
      <c r="A10" s="9" t="s">
        <v>78</v>
      </c>
      <c r="B10" s="10">
        <v>0.02</v>
      </c>
      <c r="C10" s="10">
        <v>9.6000000000000002E-2</v>
      </c>
      <c r="D10" s="10">
        <v>0.8</v>
      </c>
    </row>
    <row r="11" spans="1:4" ht="15" customHeight="1">
      <c r="A11" s="9" t="s">
        <v>79</v>
      </c>
      <c r="B11" s="10">
        <v>2.8000000000000001E-2</v>
      </c>
      <c r="C11" s="10">
        <v>0.14000000000000001</v>
      </c>
      <c r="D11" s="10">
        <v>1.1000000000000001</v>
      </c>
    </row>
    <row r="12" spans="1:4" ht="15" customHeight="1">
      <c r="A12" s="9" t="s">
        <v>80</v>
      </c>
      <c r="B12" s="10">
        <v>0.87</v>
      </c>
      <c r="C12" s="10">
        <v>4.2</v>
      </c>
      <c r="D12" s="10">
        <v>34</v>
      </c>
    </row>
    <row r="13" spans="1:4" ht="15" customHeight="1">
      <c r="A13" s="9" t="s">
        <v>81</v>
      </c>
      <c r="B13" s="10">
        <v>0.15</v>
      </c>
      <c r="C13" s="10">
        <v>0.7</v>
      </c>
      <c r="D13" s="10">
        <v>5.8</v>
      </c>
    </row>
    <row r="14" spans="1:4" ht="15" customHeight="1">
      <c r="A14" s="9" t="s">
        <v>82</v>
      </c>
      <c r="B14" s="10">
        <v>3.3000000000000002E-2</v>
      </c>
      <c r="C14" s="10">
        <v>0.16</v>
      </c>
      <c r="D14" s="10">
        <v>1.3</v>
      </c>
    </row>
    <row r="15" spans="1:4" ht="15" customHeight="1">
      <c r="A15" s="9" t="s">
        <v>83</v>
      </c>
      <c r="B15" s="10">
        <v>3.1E-4</v>
      </c>
      <c r="C15" s="10">
        <v>1.6000000000000001E-3</v>
      </c>
      <c r="D15" s="10">
        <v>1.2999999999999999E-2</v>
      </c>
    </row>
    <row r="16" spans="1:4" ht="15" customHeight="1">
      <c r="A16" s="9" t="s">
        <v>84</v>
      </c>
      <c r="B16" s="10">
        <v>2.9999999999999997E-4</v>
      </c>
      <c r="C16" s="10">
        <v>1.6000000000000001E-3</v>
      </c>
      <c r="D16" s="10">
        <v>1.2999999999999999E-2</v>
      </c>
    </row>
    <row r="17" spans="1:4" ht="15" customHeight="1">
      <c r="A17" s="9" t="s">
        <v>101</v>
      </c>
      <c r="B17" s="10">
        <v>1.1999999999999999E-3</v>
      </c>
      <c r="C17" s="10">
        <v>6.4999999999999997E-3</v>
      </c>
      <c r="D17" s="10">
        <v>5.3999999999999999E-2</v>
      </c>
    </row>
    <row r="18" spans="1:4" ht="15" customHeight="1">
      <c r="A18" s="16" t="s">
        <v>102</v>
      </c>
      <c r="B18" s="13">
        <v>1.2999999999999999E-4</v>
      </c>
      <c r="C18" s="13">
        <v>6.9999999999999999E-4</v>
      </c>
      <c r="D18" s="13">
        <v>5.7999999999999996E-3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379FA-B898-4241-B083-BBAECFF03B43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1" t="s">
        <v>123</v>
      </c>
      <c r="B1" s="41"/>
      <c r="C1" s="41"/>
      <c r="D1" s="41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2E-3</v>
      </c>
      <c r="C5" s="10">
        <v>0.05</v>
      </c>
      <c r="D5" s="10">
        <v>6.2E-2</v>
      </c>
    </row>
    <row r="6" spans="1:4" ht="15" customHeight="1">
      <c r="A6" s="9" t="s">
        <v>99</v>
      </c>
      <c r="B6" s="10">
        <v>4.5999999999999999E-3</v>
      </c>
      <c r="C6" s="10">
        <v>0.11</v>
      </c>
      <c r="D6" s="10">
        <v>0.14000000000000001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1.1000000000000001E-3</v>
      </c>
      <c r="C8" s="10">
        <v>2.4E-2</v>
      </c>
      <c r="D8" s="10">
        <v>0.03</v>
      </c>
    </row>
    <row r="9" spans="1:4" ht="15" customHeight="1">
      <c r="A9" s="9" t="s">
        <v>77</v>
      </c>
      <c r="B9" s="10">
        <v>3.0000000000000001E-3</v>
      </c>
      <c r="C9" s="10">
        <v>6.3E-2</v>
      </c>
      <c r="D9" s="10">
        <v>8.2000000000000003E-2</v>
      </c>
    </row>
    <row r="10" spans="1:4" ht="15" customHeight="1">
      <c r="A10" s="9" t="s">
        <v>78</v>
      </c>
      <c r="B10" s="10">
        <v>3.7999999999999999E-2</v>
      </c>
      <c r="C10" s="10">
        <v>0.8</v>
      </c>
      <c r="D10" s="10">
        <v>1</v>
      </c>
    </row>
    <row r="11" spans="1:4" ht="15" customHeight="1">
      <c r="A11" s="9" t="s">
        <v>79</v>
      </c>
      <c r="B11" s="10">
        <v>5.5E-2</v>
      </c>
      <c r="C11" s="10">
        <v>1.1000000000000001</v>
      </c>
      <c r="D11" s="10">
        <v>1.5</v>
      </c>
    </row>
    <row r="12" spans="1:4" ht="15" customHeight="1">
      <c r="A12" s="9" t="s">
        <v>80</v>
      </c>
      <c r="B12" s="10">
        <v>1.6</v>
      </c>
      <c r="C12" s="10">
        <v>35</v>
      </c>
      <c r="D12" s="10">
        <v>45</v>
      </c>
    </row>
    <row r="13" spans="1:4" ht="15" customHeight="1">
      <c r="A13" s="9" t="s">
        <v>81</v>
      </c>
      <c r="B13" s="10">
        <v>0.27</v>
      </c>
      <c r="C13" s="10">
        <v>5.9</v>
      </c>
      <c r="D13" s="10">
        <v>7.6</v>
      </c>
    </row>
    <row r="14" spans="1:4" ht="15" customHeight="1">
      <c r="A14" s="9" t="s">
        <v>82</v>
      </c>
      <c r="B14" s="10">
        <v>6.4000000000000001E-2</v>
      </c>
      <c r="C14" s="10">
        <v>1.3</v>
      </c>
      <c r="D14" s="10">
        <v>1.8</v>
      </c>
    </row>
    <row r="15" spans="1:4" ht="15" customHeight="1">
      <c r="A15" s="9" t="s">
        <v>83</v>
      </c>
      <c r="B15" s="10">
        <v>5.1000000000000004E-4</v>
      </c>
      <c r="C15" s="10">
        <v>1.2E-2</v>
      </c>
      <c r="D15" s="10">
        <v>1.4999999999999999E-2</v>
      </c>
    </row>
    <row r="16" spans="1:4" ht="15" customHeight="1">
      <c r="A16" s="9" t="s">
        <v>84</v>
      </c>
      <c r="B16" s="10">
        <v>4.8000000000000001E-4</v>
      </c>
      <c r="C16" s="10">
        <v>1.2E-2</v>
      </c>
      <c r="D16" s="10">
        <v>1.4999999999999999E-2</v>
      </c>
    </row>
    <row r="17" spans="1:4" ht="15" customHeight="1">
      <c r="A17" s="9" t="s">
        <v>101</v>
      </c>
      <c r="B17" s="10">
        <v>2E-3</v>
      </c>
      <c r="C17" s="10">
        <v>0.05</v>
      </c>
      <c r="D17" s="10">
        <v>6.3E-2</v>
      </c>
    </row>
    <row r="18" spans="1:4" ht="15" customHeight="1">
      <c r="A18" s="16" t="s">
        <v>102</v>
      </c>
      <c r="B18" s="13">
        <v>2.2000000000000001E-4</v>
      </c>
      <c r="C18" s="13">
        <v>5.4000000000000003E-3</v>
      </c>
      <c r="D18" s="13">
        <v>6.7999999999999996E-3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9CA423-63AF-43BE-AE10-9D4726FDC396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1" t="s">
        <v>124</v>
      </c>
      <c r="B1" s="41"/>
      <c r="C1" s="41"/>
      <c r="D1" s="41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1.6999999999999999E-3</v>
      </c>
      <c r="C5" s="10">
        <v>1.0999999999999999E-2</v>
      </c>
      <c r="D5" s="10">
        <v>5.8999999999999997E-2</v>
      </c>
    </row>
    <row r="6" spans="1:4" ht="15" customHeight="1">
      <c r="A6" s="9" t="s">
        <v>99</v>
      </c>
      <c r="B6" s="10">
        <v>3.8E-3</v>
      </c>
      <c r="C6" s="10">
        <v>2.4E-2</v>
      </c>
      <c r="D6" s="10">
        <v>0.14000000000000001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8.4000000000000003E-4</v>
      </c>
      <c r="C8" s="10">
        <v>5.5999999999999999E-3</v>
      </c>
      <c r="D8" s="10">
        <v>2.9000000000000001E-2</v>
      </c>
    </row>
    <row r="9" spans="1:4" ht="15" customHeight="1">
      <c r="A9" s="9" t="s">
        <v>77</v>
      </c>
      <c r="B9" s="10">
        <v>2.0999999999999999E-3</v>
      </c>
      <c r="C9" s="10">
        <v>1.2999999999999999E-2</v>
      </c>
      <c r="D9" s="10">
        <v>7.0999999999999994E-2</v>
      </c>
    </row>
    <row r="10" spans="1:4" ht="15" customHeight="1">
      <c r="A10" s="9" t="s">
        <v>78</v>
      </c>
      <c r="B10" s="10">
        <v>2.5999999999999999E-2</v>
      </c>
      <c r="C10" s="10">
        <v>0.17</v>
      </c>
      <c r="D10" s="10">
        <v>0.9</v>
      </c>
    </row>
    <row r="11" spans="1:4" ht="15" customHeight="1">
      <c r="A11" s="9" t="s">
        <v>79</v>
      </c>
      <c r="B11" s="10">
        <v>3.6999999999999998E-2</v>
      </c>
      <c r="C11" s="10">
        <v>0.24</v>
      </c>
      <c r="D11" s="10">
        <v>1.3</v>
      </c>
    </row>
    <row r="12" spans="1:4" ht="15" customHeight="1">
      <c r="A12" s="9" t="s">
        <v>80</v>
      </c>
      <c r="B12" s="10">
        <v>1.1000000000000001</v>
      </c>
      <c r="C12" s="10">
        <v>7.1</v>
      </c>
      <c r="D12" s="10">
        <v>38</v>
      </c>
    </row>
    <row r="13" spans="1:4" ht="15" customHeight="1">
      <c r="A13" s="9" t="s">
        <v>81</v>
      </c>
      <c r="B13" s="10">
        <v>0.19</v>
      </c>
      <c r="C13" s="10">
        <v>1.2</v>
      </c>
      <c r="D13" s="10">
        <v>6.5</v>
      </c>
    </row>
    <row r="14" spans="1:4" ht="15" customHeight="1">
      <c r="A14" s="9" t="s">
        <v>82</v>
      </c>
      <c r="B14" s="10">
        <v>4.3999999999999997E-2</v>
      </c>
      <c r="C14" s="10">
        <v>0.28000000000000003</v>
      </c>
      <c r="D14" s="10">
        <v>1.5</v>
      </c>
    </row>
    <row r="15" spans="1:4" ht="15" customHeight="1">
      <c r="A15" s="9" t="s">
        <v>83</v>
      </c>
      <c r="B15" s="10">
        <v>4.0000000000000002E-4</v>
      </c>
      <c r="C15" s="10">
        <v>2.7000000000000001E-3</v>
      </c>
      <c r="D15" s="10">
        <v>1.4999999999999999E-2</v>
      </c>
    </row>
    <row r="16" spans="1:4" ht="15" customHeight="1">
      <c r="A16" s="9" t="s">
        <v>84</v>
      </c>
      <c r="B16" s="10">
        <v>3.8999999999999999E-4</v>
      </c>
      <c r="C16" s="10">
        <v>2.5999999999999999E-3</v>
      </c>
      <c r="D16" s="10">
        <v>1.4E-2</v>
      </c>
    </row>
    <row r="17" spans="1:4" ht="15" customHeight="1">
      <c r="A17" s="9" t="s">
        <v>101</v>
      </c>
      <c r="B17" s="10">
        <v>1.6000000000000001E-3</v>
      </c>
      <c r="C17" s="10">
        <v>1.0999999999999999E-2</v>
      </c>
      <c r="D17" s="10">
        <v>5.8999999999999997E-2</v>
      </c>
    </row>
    <row r="18" spans="1:4" ht="15" customHeight="1">
      <c r="A18" s="16" t="s">
        <v>102</v>
      </c>
      <c r="B18" s="13">
        <v>1.7000000000000001E-4</v>
      </c>
      <c r="C18" s="13">
        <v>1.1999999999999999E-3</v>
      </c>
      <c r="D18" s="13">
        <v>6.3E-3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68F10-4E87-4BCE-B58F-FA55D39CA19E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1" t="s">
        <v>125</v>
      </c>
      <c r="B1" s="41"/>
      <c r="C1" s="41"/>
      <c r="D1" s="41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1.1999999999999999E-3</v>
      </c>
      <c r="C5" s="10">
        <v>9.9000000000000008E-3</v>
      </c>
      <c r="D5" s="10">
        <v>5.2999999999999999E-2</v>
      </c>
    </row>
    <row r="6" spans="1:4" ht="15" customHeight="1">
      <c r="A6" s="9" t="s">
        <v>99</v>
      </c>
      <c r="B6" s="10">
        <v>2.7000000000000001E-3</v>
      </c>
      <c r="C6" s="10">
        <v>2.3E-2</v>
      </c>
      <c r="D6" s="10">
        <v>0.12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6.4999999999999997E-4</v>
      </c>
      <c r="C8" s="10">
        <v>4.7999999999999996E-3</v>
      </c>
      <c r="D8" s="10">
        <v>2.5999999999999999E-2</v>
      </c>
    </row>
    <row r="9" spans="1:4" ht="15" customHeight="1">
      <c r="A9" s="9" t="s">
        <v>77</v>
      </c>
      <c r="B9" s="10">
        <v>1.5E-3</v>
      </c>
      <c r="C9" s="10">
        <v>1.2E-2</v>
      </c>
      <c r="D9" s="10">
        <v>6.3E-2</v>
      </c>
    </row>
    <row r="10" spans="1:4" ht="15" customHeight="1">
      <c r="A10" s="9" t="s">
        <v>78</v>
      </c>
      <c r="B10" s="10">
        <v>1.9E-2</v>
      </c>
      <c r="C10" s="10">
        <v>0.15</v>
      </c>
      <c r="D10" s="10">
        <v>0.8</v>
      </c>
    </row>
    <row r="11" spans="1:4" ht="15" customHeight="1">
      <c r="A11" s="9" t="s">
        <v>79</v>
      </c>
      <c r="B11" s="10">
        <v>2.8000000000000001E-2</v>
      </c>
      <c r="C11" s="10">
        <v>0.21</v>
      </c>
      <c r="D11" s="10">
        <v>1.1000000000000001</v>
      </c>
    </row>
    <row r="12" spans="1:4" ht="15" customHeight="1">
      <c r="A12" s="9" t="s">
        <v>80</v>
      </c>
      <c r="B12" s="10">
        <v>0.83</v>
      </c>
      <c r="C12" s="10">
        <v>6.5</v>
      </c>
      <c r="D12" s="10">
        <v>34</v>
      </c>
    </row>
    <row r="13" spans="1:4" ht="15" customHeight="1">
      <c r="A13" s="9" t="s">
        <v>81</v>
      </c>
      <c r="B13" s="10">
        <v>0.14000000000000001</v>
      </c>
      <c r="C13" s="10">
        <v>1.1000000000000001</v>
      </c>
      <c r="D13" s="10">
        <v>5.8</v>
      </c>
    </row>
    <row r="14" spans="1:4" ht="15" customHeight="1">
      <c r="A14" s="9" t="s">
        <v>82</v>
      </c>
      <c r="B14" s="10">
        <v>3.2000000000000001E-2</v>
      </c>
      <c r="C14" s="10">
        <v>0.25</v>
      </c>
      <c r="D14" s="10">
        <v>1.3</v>
      </c>
    </row>
    <row r="15" spans="1:4" ht="15" customHeight="1">
      <c r="A15" s="9" t="s">
        <v>83</v>
      </c>
      <c r="B15" s="10">
        <v>2.9E-4</v>
      </c>
      <c r="C15" s="10">
        <v>2.5000000000000001E-3</v>
      </c>
      <c r="D15" s="10">
        <v>1.2999999999999999E-2</v>
      </c>
    </row>
    <row r="16" spans="1:4" ht="15" customHeight="1">
      <c r="A16" s="9" t="s">
        <v>84</v>
      </c>
      <c r="B16" s="10">
        <v>2.7999999999999998E-4</v>
      </c>
      <c r="C16" s="10">
        <v>2.3999999999999998E-3</v>
      </c>
      <c r="D16" s="10">
        <v>1.2999999999999999E-2</v>
      </c>
    </row>
    <row r="17" spans="1:4" ht="15" customHeight="1">
      <c r="A17" s="9" t="s">
        <v>101</v>
      </c>
      <c r="B17" s="10">
        <v>1.1999999999999999E-3</v>
      </c>
      <c r="C17" s="10">
        <v>0.01</v>
      </c>
      <c r="D17" s="10">
        <v>5.7000000000000002E-2</v>
      </c>
    </row>
    <row r="18" spans="1:4" ht="15" customHeight="1">
      <c r="A18" s="16" t="s">
        <v>102</v>
      </c>
      <c r="B18" s="13">
        <v>1.2E-4</v>
      </c>
      <c r="C18" s="13">
        <v>1.1000000000000001E-3</v>
      </c>
      <c r="D18" s="13">
        <v>6.1999999999999998E-3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03D7E-9387-4529-9A1C-6ABE77322109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1" t="s">
        <v>126</v>
      </c>
      <c r="B1" s="41"/>
      <c r="C1" s="41"/>
      <c r="D1" s="41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7.6999999999999996E-4</v>
      </c>
      <c r="C5" s="10">
        <v>4.1999999999999997E-3</v>
      </c>
      <c r="D5" s="10">
        <v>1.0999999999999999E-2</v>
      </c>
    </row>
    <row r="6" spans="1:4" ht="15" customHeight="1">
      <c r="A6" s="9" t="s">
        <v>99</v>
      </c>
      <c r="B6" s="10">
        <v>1.8E-3</v>
      </c>
      <c r="C6" s="10">
        <v>9.5999999999999992E-3</v>
      </c>
      <c r="D6" s="10">
        <v>2.4E-2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3.6000000000000002E-4</v>
      </c>
      <c r="C8" s="10">
        <v>2E-3</v>
      </c>
      <c r="D8" s="10">
        <v>4.4000000000000003E-3</v>
      </c>
    </row>
    <row r="9" spans="1:4" ht="15" customHeight="1">
      <c r="A9" s="9" t="s">
        <v>77</v>
      </c>
      <c r="B9" s="10">
        <v>9.5E-4</v>
      </c>
      <c r="C9" s="10">
        <v>5.1000000000000004E-3</v>
      </c>
      <c r="D9" s="10">
        <v>1.2E-2</v>
      </c>
    </row>
    <row r="10" spans="1:4" ht="15" customHeight="1">
      <c r="A10" s="9" t="s">
        <v>78</v>
      </c>
      <c r="B10" s="10">
        <v>1.2E-2</v>
      </c>
      <c r="C10" s="10">
        <v>6.5000000000000002E-2</v>
      </c>
      <c r="D10" s="10">
        <v>0.16</v>
      </c>
    </row>
    <row r="11" spans="1:4" ht="15" customHeight="1">
      <c r="A11" s="9" t="s">
        <v>79</v>
      </c>
      <c r="B11" s="10">
        <v>1.7000000000000001E-2</v>
      </c>
      <c r="C11" s="10">
        <v>9.1999999999999998E-2</v>
      </c>
      <c r="D11" s="10">
        <v>0.22</v>
      </c>
    </row>
    <row r="12" spans="1:4" ht="15" customHeight="1">
      <c r="A12" s="9" t="s">
        <v>80</v>
      </c>
      <c r="B12" s="10">
        <v>0.52</v>
      </c>
      <c r="C12" s="10">
        <v>2.8</v>
      </c>
      <c r="D12" s="10">
        <v>6.7</v>
      </c>
    </row>
    <row r="13" spans="1:4" ht="15" customHeight="1">
      <c r="A13" s="9" t="s">
        <v>81</v>
      </c>
      <c r="B13" s="10">
        <v>8.7999999999999995E-2</v>
      </c>
      <c r="C13" s="10">
        <v>0.47</v>
      </c>
      <c r="D13" s="10">
        <v>1.1000000000000001</v>
      </c>
    </row>
    <row r="14" spans="1:4" ht="15" customHeight="1">
      <c r="A14" s="9" t="s">
        <v>82</v>
      </c>
      <c r="B14" s="10">
        <v>0.02</v>
      </c>
      <c r="C14" s="10">
        <v>0.11</v>
      </c>
      <c r="D14" s="10">
        <v>0.26</v>
      </c>
    </row>
    <row r="15" spans="1:4" ht="15" customHeight="1">
      <c r="A15" s="9" t="s">
        <v>83</v>
      </c>
      <c r="B15" s="10">
        <v>1.7000000000000001E-4</v>
      </c>
      <c r="C15" s="10">
        <v>9.8999999999999999E-4</v>
      </c>
      <c r="D15" s="10">
        <v>2.3999999999999998E-3</v>
      </c>
    </row>
    <row r="16" spans="1:4" ht="15" customHeight="1">
      <c r="A16" s="9" t="s">
        <v>84</v>
      </c>
      <c r="B16" s="10">
        <v>1.6000000000000001E-4</v>
      </c>
      <c r="C16" s="10">
        <v>9.5E-4</v>
      </c>
      <c r="D16" s="10">
        <v>2.3E-3</v>
      </c>
    </row>
    <row r="17" spans="1:4" ht="15" customHeight="1">
      <c r="A17" s="9" t="s">
        <v>101</v>
      </c>
      <c r="B17" s="10">
        <v>7.1000000000000002E-4</v>
      </c>
      <c r="C17" s="10">
        <v>4.1000000000000003E-3</v>
      </c>
      <c r="D17" s="10">
        <v>0.01</v>
      </c>
    </row>
    <row r="18" spans="1:4" ht="15" customHeight="1">
      <c r="A18" s="16" t="s">
        <v>102</v>
      </c>
      <c r="B18" s="13">
        <v>7.6000000000000004E-5</v>
      </c>
      <c r="C18" s="13">
        <v>4.4000000000000002E-4</v>
      </c>
      <c r="D18" s="13">
        <v>1.1000000000000001E-3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8E921-76AE-442F-BA84-627DDA229032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1" t="s">
        <v>127</v>
      </c>
      <c r="B1" s="41"/>
      <c r="C1" s="41"/>
      <c r="D1" s="41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5.5999999999999995E-4</v>
      </c>
      <c r="C5" s="10">
        <v>5.5999999999999999E-3</v>
      </c>
      <c r="D5" s="10">
        <v>3.5000000000000003E-2</v>
      </c>
    </row>
    <row r="6" spans="1:4" ht="15" customHeight="1">
      <c r="A6" s="9" t="s">
        <v>99</v>
      </c>
      <c r="B6" s="10">
        <v>1.2999999999999999E-3</v>
      </c>
      <c r="C6" s="10">
        <v>1.2999999999999999E-2</v>
      </c>
      <c r="D6" s="10">
        <v>0.08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2.3000000000000001E-4</v>
      </c>
      <c r="C8" s="10">
        <v>2.5000000000000001E-3</v>
      </c>
      <c r="D8" s="10">
        <v>1.6E-2</v>
      </c>
    </row>
    <row r="9" spans="1:4" ht="15" customHeight="1">
      <c r="A9" s="9" t="s">
        <v>77</v>
      </c>
      <c r="B9" s="10">
        <v>5.9999999999999995E-4</v>
      </c>
      <c r="C9" s="10">
        <v>6.4000000000000003E-3</v>
      </c>
      <c r="D9" s="10">
        <v>0.04</v>
      </c>
    </row>
    <row r="10" spans="1:4" ht="15" customHeight="1">
      <c r="A10" s="9" t="s">
        <v>78</v>
      </c>
      <c r="B10" s="10">
        <v>7.7000000000000002E-3</v>
      </c>
      <c r="C10" s="10">
        <v>8.1000000000000003E-2</v>
      </c>
      <c r="D10" s="10">
        <v>0.51</v>
      </c>
    </row>
    <row r="11" spans="1:4" ht="15" customHeight="1">
      <c r="A11" s="9" t="s">
        <v>79</v>
      </c>
      <c r="B11" s="10">
        <v>1.0999999999999999E-2</v>
      </c>
      <c r="C11" s="10">
        <v>0.12</v>
      </c>
      <c r="D11" s="10">
        <v>0.73</v>
      </c>
    </row>
    <row r="12" spans="1:4" ht="15" customHeight="1">
      <c r="A12" s="9" t="s">
        <v>80</v>
      </c>
      <c r="B12" s="10">
        <v>0.34</v>
      </c>
      <c r="C12" s="10">
        <v>3.5</v>
      </c>
      <c r="D12" s="10">
        <v>22</v>
      </c>
    </row>
    <row r="13" spans="1:4" ht="15" customHeight="1">
      <c r="A13" s="9" t="s">
        <v>81</v>
      </c>
      <c r="B13" s="10">
        <v>5.8000000000000003E-2</v>
      </c>
      <c r="C13" s="10">
        <v>0.59</v>
      </c>
      <c r="D13" s="10">
        <v>3.7</v>
      </c>
    </row>
    <row r="14" spans="1:4" ht="15" customHeight="1">
      <c r="A14" s="9" t="s">
        <v>82</v>
      </c>
      <c r="B14" s="10">
        <v>1.2999999999999999E-2</v>
      </c>
      <c r="C14" s="10">
        <v>0.14000000000000001</v>
      </c>
      <c r="D14" s="10">
        <v>0.86</v>
      </c>
    </row>
    <row r="15" spans="1:4" ht="15" customHeight="1">
      <c r="A15" s="9" t="s">
        <v>83</v>
      </c>
      <c r="B15" s="10">
        <v>1.2999999999999999E-4</v>
      </c>
      <c r="C15" s="10">
        <v>1.4E-3</v>
      </c>
      <c r="D15" s="10">
        <v>8.6E-3</v>
      </c>
    </row>
    <row r="16" spans="1:4" ht="15" customHeight="1">
      <c r="A16" s="9" t="s">
        <v>84</v>
      </c>
      <c r="B16" s="10">
        <v>1.2E-4</v>
      </c>
      <c r="C16" s="10">
        <v>1.4E-3</v>
      </c>
      <c r="D16" s="10">
        <v>8.5000000000000006E-3</v>
      </c>
    </row>
    <row r="17" spans="1:4" ht="15" customHeight="1">
      <c r="A17" s="9" t="s">
        <v>101</v>
      </c>
      <c r="B17" s="10">
        <v>5.2999999999999998E-4</v>
      </c>
      <c r="C17" s="10">
        <v>5.8999999999999999E-3</v>
      </c>
      <c r="D17" s="10">
        <v>3.6999999999999998E-2</v>
      </c>
    </row>
    <row r="18" spans="1:4" ht="15" customHeight="1">
      <c r="A18" s="16" t="s">
        <v>102</v>
      </c>
      <c r="B18" s="13">
        <v>5.8E-5</v>
      </c>
      <c r="C18" s="13">
        <v>6.3000000000000003E-4</v>
      </c>
      <c r="D18" s="13">
        <v>4.0000000000000001E-3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B2C81-7A2F-492C-8781-77F4BE3C2215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1" t="s">
        <v>128</v>
      </c>
      <c r="B1" s="41"/>
      <c r="C1" s="41"/>
      <c r="D1" s="41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1.6000000000000001E-3</v>
      </c>
      <c r="C5" s="10">
        <v>1.2E-2</v>
      </c>
      <c r="D5" s="10">
        <v>4.4999999999999998E-2</v>
      </c>
    </row>
    <row r="6" spans="1:4" ht="15" customHeight="1">
      <c r="A6" s="9" t="s">
        <v>99</v>
      </c>
      <c r="B6" s="10">
        <v>3.7000000000000002E-3</v>
      </c>
      <c r="C6" s="10">
        <v>2.8000000000000001E-2</v>
      </c>
      <c r="D6" s="10">
        <v>0.1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8.7000000000000001E-4</v>
      </c>
      <c r="C8" s="10">
        <v>6.1999999999999998E-3</v>
      </c>
      <c r="D8" s="10">
        <v>2.3E-2</v>
      </c>
    </row>
    <row r="9" spans="1:4" ht="15" customHeight="1">
      <c r="A9" s="9" t="s">
        <v>77</v>
      </c>
      <c r="B9" s="10">
        <v>2.3E-3</v>
      </c>
      <c r="C9" s="10">
        <v>1.7000000000000001E-2</v>
      </c>
      <c r="D9" s="10">
        <v>6.0999999999999999E-2</v>
      </c>
    </row>
    <row r="10" spans="1:4" ht="15" customHeight="1">
      <c r="A10" s="9" t="s">
        <v>78</v>
      </c>
      <c r="B10" s="10">
        <v>2.9000000000000001E-2</v>
      </c>
      <c r="C10" s="10">
        <v>0.21</v>
      </c>
      <c r="D10" s="10">
        <v>0.78</v>
      </c>
    </row>
    <row r="11" spans="1:4" ht="15" customHeight="1">
      <c r="A11" s="9" t="s">
        <v>79</v>
      </c>
      <c r="B11" s="10">
        <v>4.2000000000000003E-2</v>
      </c>
      <c r="C11" s="10">
        <v>0.3</v>
      </c>
      <c r="D11" s="10">
        <v>1.1000000000000001</v>
      </c>
    </row>
    <row r="12" spans="1:4" ht="15" customHeight="1">
      <c r="A12" s="9" t="s">
        <v>80</v>
      </c>
      <c r="B12" s="10">
        <v>1.2</v>
      </c>
      <c r="C12" s="10">
        <v>9.3000000000000007</v>
      </c>
      <c r="D12" s="10">
        <v>34</v>
      </c>
    </row>
    <row r="13" spans="1:4" ht="15" customHeight="1">
      <c r="A13" s="9" t="s">
        <v>81</v>
      </c>
      <c r="B13" s="10">
        <v>0.21</v>
      </c>
      <c r="C13" s="10">
        <v>1.6</v>
      </c>
      <c r="D13" s="10">
        <v>5.8</v>
      </c>
    </row>
    <row r="14" spans="1:4" ht="15" customHeight="1">
      <c r="A14" s="9" t="s">
        <v>82</v>
      </c>
      <c r="B14" s="10">
        <v>4.9000000000000002E-2</v>
      </c>
      <c r="C14" s="10">
        <v>0.35</v>
      </c>
      <c r="D14" s="10">
        <v>1.3</v>
      </c>
    </row>
    <row r="15" spans="1:4" ht="15" customHeight="1">
      <c r="A15" s="9" t="s">
        <v>83</v>
      </c>
      <c r="B15" s="10">
        <v>3.8000000000000002E-4</v>
      </c>
      <c r="C15" s="10">
        <v>2.8E-3</v>
      </c>
      <c r="D15" s="10">
        <v>0.01</v>
      </c>
    </row>
    <row r="16" spans="1:4" ht="15" customHeight="1">
      <c r="A16" s="9" t="s">
        <v>84</v>
      </c>
      <c r="B16" s="10">
        <v>3.5E-4</v>
      </c>
      <c r="C16" s="10">
        <v>2.5999999999999999E-3</v>
      </c>
      <c r="D16" s="10">
        <v>9.7000000000000003E-3</v>
      </c>
    </row>
    <row r="17" spans="1:4" ht="15" customHeight="1">
      <c r="A17" s="9" t="s">
        <v>101</v>
      </c>
      <c r="B17" s="10">
        <v>1.6000000000000001E-3</v>
      </c>
      <c r="C17" s="10">
        <v>1.2E-2</v>
      </c>
      <c r="D17" s="10">
        <v>4.2999999999999997E-2</v>
      </c>
    </row>
    <row r="18" spans="1:4" ht="15" customHeight="1">
      <c r="A18" s="16" t="s">
        <v>102</v>
      </c>
      <c r="B18" s="13">
        <v>1.7000000000000001E-4</v>
      </c>
      <c r="C18" s="13">
        <v>1.1999999999999999E-3</v>
      </c>
      <c r="D18" s="13">
        <v>4.5999999999999999E-3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35B9B-737E-4036-9A34-00BB9A711582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1" t="s">
        <v>129</v>
      </c>
      <c r="B1" s="41"/>
      <c r="C1" s="41"/>
      <c r="D1" s="41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9.5E-4</v>
      </c>
      <c r="C5" s="10">
        <v>6.0000000000000001E-3</v>
      </c>
      <c r="D5" s="10">
        <v>0.04</v>
      </c>
    </row>
    <row r="6" spans="1:4" ht="15" customHeight="1">
      <c r="A6" s="9" t="s">
        <v>99</v>
      </c>
      <c r="B6" s="10">
        <v>2.2000000000000001E-3</v>
      </c>
      <c r="C6" s="10">
        <v>1.4E-2</v>
      </c>
      <c r="D6" s="10">
        <v>0.09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5.2999999999999998E-4</v>
      </c>
      <c r="C8" s="10">
        <v>3.5000000000000001E-3</v>
      </c>
      <c r="D8" s="10">
        <v>2.3E-2</v>
      </c>
    </row>
    <row r="9" spans="1:4" ht="15" customHeight="1">
      <c r="A9" s="9" t="s">
        <v>77</v>
      </c>
      <c r="B9" s="10">
        <v>1.4E-3</v>
      </c>
      <c r="C9" s="10">
        <v>8.0000000000000002E-3</v>
      </c>
      <c r="D9" s="10">
        <v>5.3999999999999999E-2</v>
      </c>
    </row>
    <row r="10" spans="1:4" ht="15" customHeight="1">
      <c r="A10" s="9" t="s">
        <v>78</v>
      </c>
      <c r="B10" s="10">
        <v>1.7000000000000001E-2</v>
      </c>
      <c r="C10" s="10">
        <v>0.1</v>
      </c>
      <c r="D10" s="10">
        <v>0.7</v>
      </c>
    </row>
    <row r="11" spans="1:4" ht="15" customHeight="1">
      <c r="A11" s="9" t="s">
        <v>79</v>
      </c>
      <c r="B11" s="10">
        <v>2.5000000000000001E-2</v>
      </c>
      <c r="C11" s="10">
        <v>0.15</v>
      </c>
      <c r="D11" s="10">
        <v>1</v>
      </c>
    </row>
    <row r="12" spans="1:4" ht="15" customHeight="1">
      <c r="A12" s="9" t="s">
        <v>80</v>
      </c>
      <c r="B12" s="10">
        <v>0.73</v>
      </c>
      <c r="C12" s="10">
        <v>4.5</v>
      </c>
      <c r="D12" s="10">
        <v>30</v>
      </c>
    </row>
    <row r="13" spans="1:4" ht="15" customHeight="1">
      <c r="A13" s="9" t="s">
        <v>81</v>
      </c>
      <c r="B13" s="10">
        <v>0.12</v>
      </c>
      <c r="C13" s="10">
        <v>0.76</v>
      </c>
      <c r="D13" s="10">
        <v>5.2</v>
      </c>
    </row>
    <row r="14" spans="1:4" ht="15" customHeight="1">
      <c r="A14" s="9" t="s">
        <v>82</v>
      </c>
      <c r="B14" s="10">
        <v>2.9000000000000001E-2</v>
      </c>
      <c r="C14" s="10">
        <v>0.17</v>
      </c>
      <c r="D14" s="10">
        <v>1.2</v>
      </c>
    </row>
    <row r="15" spans="1:4" ht="15" customHeight="1">
      <c r="A15" s="9" t="s">
        <v>83</v>
      </c>
      <c r="B15" s="10">
        <v>2.3000000000000001E-4</v>
      </c>
      <c r="C15" s="10">
        <v>1.5E-3</v>
      </c>
      <c r="D15" s="10">
        <v>9.7999999999999997E-3</v>
      </c>
    </row>
    <row r="16" spans="1:4" ht="15" customHeight="1">
      <c r="A16" s="9" t="s">
        <v>84</v>
      </c>
      <c r="B16" s="10">
        <v>2.2000000000000001E-4</v>
      </c>
      <c r="C16" s="10">
        <v>1.5E-3</v>
      </c>
      <c r="D16" s="10">
        <v>9.4000000000000004E-3</v>
      </c>
    </row>
    <row r="17" spans="1:4" ht="15" customHeight="1">
      <c r="A17" s="9" t="s">
        <v>101</v>
      </c>
      <c r="B17" s="10">
        <v>9.2000000000000003E-4</v>
      </c>
      <c r="C17" s="10">
        <v>6.0000000000000001E-3</v>
      </c>
      <c r="D17" s="10">
        <v>3.9E-2</v>
      </c>
    </row>
    <row r="18" spans="1:4" ht="15" customHeight="1">
      <c r="A18" s="16" t="s">
        <v>102</v>
      </c>
      <c r="B18" s="13">
        <v>9.8999999999999994E-5</v>
      </c>
      <c r="C18" s="13">
        <v>6.4999999999999997E-4</v>
      </c>
      <c r="D18" s="13">
        <v>4.1999999999999997E-3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D25BF-DED2-4181-8117-A6AB59B5AD20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1" t="s">
        <v>130</v>
      </c>
      <c r="B1" s="41"/>
      <c r="C1" s="41"/>
      <c r="D1" s="41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7.7999999999999999E-4</v>
      </c>
      <c r="C5" s="10">
        <v>5.0000000000000001E-3</v>
      </c>
      <c r="D5" s="10">
        <v>3.3000000000000002E-2</v>
      </c>
    </row>
    <row r="6" spans="1:4" ht="15" customHeight="1">
      <c r="A6" s="9" t="s">
        <v>99</v>
      </c>
      <c r="B6" s="10">
        <v>1.8E-3</v>
      </c>
      <c r="C6" s="10">
        <v>1.0999999999999999E-2</v>
      </c>
      <c r="D6" s="10">
        <v>7.3999999999999996E-2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4.0999999999999999E-4</v>
      </c>
      <c r="C8" s="10">
        <v>2.7000000000000001E-3</v>
      </c>
      <c r="D8" s="10">
        <v>1.7000000000000001E-2</v>
      </c>
    </row>
    <row r="9" spans="1:4" ht="15" customHeight="1">
      <c r="A9" s="9" t="s">
        <v>77</v>
      </c>
      <c r="B9" s="10">
        <v>1.1000000000000001E-3</v>
      </c>
      <c r="C9" s="10">
        <v>6.4000000000000003E-3</v>
      </c>
      <c r="D9" s="10">
        <v>4.3999999999999997E-2</v>
      </c>
    </row>
    <row r="10" spans="1:4" ht="15" customHeight="1">
      <c r="A10" s="9" t="s">
        <v>78</v>
      </c>
      <c r="B10" s="10">
        <v>1.4E-2</v>
      </c>
      <c r="C10" s="10">
        <v>8.2000000000000003E-2</v>
      </c>
      <c r="D10" s="10">
        <v>0.56000000000000005</v>
      </c>
    </row>
    <row r="11" spans="1:4" ht="15" customHeight="1">
      <c r="A11" s="9" t="s">
        <v>79</v>
      </c>
      <c r="B11" s="10">
        <v>0.02</v>
      </c>
      <c r="C11" s="10">
        <v>0.12</v>
      </c>
      <c r="D11" s="10">
        <v>0.81</v>
      </c>
    </row>
    <row r="12" spans="1:4" ht="15" customHeight="1">
      <c r="A12" s="9" t="s">
        <v>80</v>
      </c>
      <c r="B12" s="10">
        <v>0.56999999999999995</v>
      </c>
      <c r="C12" s="10">
        <v>3.5</v>
      </c>
      <c r="D12" s="10">
        <v>24</v>
      </c>
    </row>
    <row r="13" spans="1:4" ht="15" customHeight="1">
      <c r="A13" s="9" t="s">
        <v>81</v>
      </c>
      <c r="B13" s="10">
        <v>9.7000000000000003E-2</v>
      </c>
      <c r="C13" s="10">
        <v>0.59</v>
      </c>
      <c r="D13" s="10">
        <v>4.0999999999999996</v>
      </c>
    </row>
    <row r="14" spans="1:4" ht="15" customHeight="1">
      <c r="A14" s="9" t="s">
        <v>82</v>
      </c>
      <c r="B14" s="10">
        <v>2.3E-2</v>
      </c>
      <c r="C14" s="10">
        <v>0.14000000000000001</v>
      </c>
      <c r="D14" s="10">
        <v>0.94</v>
      </c>
    </row>
    <row r="15" spans="1:4" ht="15" customHeight="1">
      <c r="A15" s="9" t="s">
        <v>83</v>
      </c>
      <c r="B15" s="10">
        <v>1.9000000000000001E-4</v>
      </c>
      <c r="C15" s="10">
        <v>1.2999999999999999E-3</v>
      </c>
      <c r="D15" s="10">
        <v>8.2000000000000007E-3</v>
      </c>
    </row>
    <row r="16" spans="1:4" ht="15" customHeight="1">
      <c r="A16" s="9" t="s">
        <v>84</v>
      </c>
      <c r="B16" s="10">
        <v>1.8000000000000001E-4</v>
      </c>
      <c r="C16" s="10">
        <v>1.1999999999999999E-3</v>
      </c>
      <c r="D16" s="10">
        <v>7.9000000000000008E-3</v>
      </c>
    </row>
    <row r="17" spans="1:4" ht="15" customHeight="1">
      <c r="A17" s="9" t="s">
        <v>101</v>
      </c>
      <c r="B17" s="10">
        <v>7.5000000000000002E-4</v>
      </c>
      <c r="C17" s="10">
        <v>5.1000000000000004E-3</v>
      </c>
      <c r="D17" s="10">
        <v>3.3000000000000002E-2</v>
      </c>
    </row>
    <row r="18" spans="1:4" ht="15" customHeight="1">
      <c r="A18" s="16" t="s">
        <v>102</v>
      </c>
      <c r="B18" s="13">
        <v>8.1000000000000004E-5</v>
      </c>
      <c r="C18" s="13">
        <v>5.5000000000000003E-4</v>
      </c>
      <c r="D18" s="13">
        <v>3.5999999999999999E-3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DEBE1-2766-4145-9CAC-0BB5BF083376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1" t="s">
        <v>131</v>
      </c>
      <c r="B1" s="41"/>
      <c r="C1" s="41"/>
      <c r="D1" s="41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8.5999999999999998E-4</v>
      </c>
      <c r="C5" s="10">
        <v>0.01</v>
      </c>
      <c r="D5" s="10">
        <v>2.9000000000000001E-2</v>
      </c>
    </row>
    <row r="6" spans="1:4" ht="15" customHeight="1">
      <c r="A6" s="9" t="s">
        <v>99</v>
      </c>
      <c r="B6" s="10">
        <v>2E-3</v>
      </c>
      <c r="C6" s="10">
        <v>2.3E-2</v>
      </c>
      <c r="D6" s="10">
        <v>6.7000000000000004E-2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4.4999999999999999E-4</v>
      </c>
      <c r="C8" s="10">
        <v>5.4000000000000003E-3</v>
      </c>
      <c r="D8" s="10">
        <v>1.6E-2</v>
      </c>
    </row>
    <row r="9" spans="1:4" ht="15" customHeight="1">
      <c r="A9" s="9" t="s">
        <v>77</v>
      </c>
      <c r="B9" s="10">
        <v>1.1999999999999999E-3</v>
      </c>
      <c r="C9" s="10">
        <v>1.7999999999999999E-2</v>
      </c>
      <c r="D9" s="10">
        <v>4.1000000000000002E-2</v>
      </c>
    </row>
    <row r="10" spans="1:4" ht="15" customHeight="1">
      <c r="A10" s="9" t="s">
        <v>78</v>
      </c>
      <c r="B10" s="10">
        <v>1.6E-2</v>
      </c>
      <c r="C10" s="10">
        <v>0.22</v>
      </c>
      <c r="D10" s="10">
        <v>0.52</v>
      </c>
    </row>
    <row r="11" spans="1:4" ht="15" customHeight="1">
      <c r="A11" s="9" t="s">
        <v>79</v>
      </c>
      <c r="B11" s="10">
        <v>2.1999999999999999E-2</v>
      </c>
      <c r="C11" s="10">
        <v>0.32</v>
      </c>
      <c r="D11" s="10">
        <v>0.75</v>
      </c>
    </row>
    <row r="12" spans="1:4" ht="15" customHeight="1">
      <c r="A12" s="9" t="s">
        <v>80</v>
      </c>
      <c r="B12" s="10">
        <v>0.67</v>
      </c>
      <c r="C12" s="10">
        <v>9.8000000000000007</v>
      </c>
      <c r="D12" s="10">
        <v>23</v>
      </c>
    </row>
    <row r="13" spans="1:4" ht="15" customHeight="1">
      <c r="A13" s="9" t="s">
        <v>81</v>
      </c>
      <c r="B13" s="10">
        <v>0.11</v>
      </c>
      <c r="C13" s="10">
        <v>1.7</v>
      </c>
      <c r="D13" s="10">
        <v>3.9</v>
      </c>
    </row>
    <row r="14" spans="1:4" ht="15" customHeight="1">
      <c r="A14" s="9" t="s">
        <v>82</v>
      </c>
      <c r="B14" s="10">
        <v>2.5999999999999999E-2</v>
      </c>
      <c r="C14" s="10">
        <v>0.37</v>
      </c>
      <c r="D14" s="10">
        <v>0.88</v>
      </c>
    </row>
    <row r="15" spans="1:4" ht="15" customHeight="1">
      <c r="A15" s="9" t="s">
        <v>83</v>
      </c>
      <c r="B15" s="10">
        <v>2.1000000000000001E-4</v>
      </c>
      <c r="C15" s="10">
        <v>2.7000000000000001E-3</v>
      </c>
      <c r="D15" s="10">
        <v>7.3000000000000001E-3</v>
      </c>
    </row>
    <row r="16" spans="1:4" ht="15" customHeight="1">
      <c r="A16" s="9" t="s">
        <v>84</v>
      </c>
      <c r="B16" s="10">
        <v>2.0000000000000001E-4</v>
      </c>
      <c r="C16" s="10">
        <v>2.5000000000000001E-3</v>
      </c>
      <c r="D16" s="10">
        <v>7.0000000000000001E-3</v>
      </c>
    </row>
    <row r="17" spans="1:4" ht="15" customHeight="1">
      <c r="A17" s="9" t="s">
        <v>101</v>
      </c>
      <c r="B17" s="10">
        <v>8.5999999999999998E-4</v>
      </c>
      <c r="C17" s="10">
        <v>0.01</v>
      </c>
      <c r="D17" s="10">
        <v>2.9000000000000001E-2</v>
      </c>
    </row>
    <row r="18" spans="1:4" ht="15" customHeight="1">
      <c r="A18" s="16" t="s">
        <v>102</v>
      </c>
      <c r="B18" s="13">
        <v>9.2E-5</v>
      </c>
      <c r="C18" s="13">
        <v>1.1000000000000001E-3</v>
      </c>
      <c r="D18" s="13">
        <v>3.0999999999999999E-3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6CD5F-0113-4E0F-8D49-FD80D66ECCBB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1" t="s">
        <v>132</v>
      </c>
      <c r="B1" s="41"/>
      <c r="C1" s="41"/>
      <c r="D1" s="41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8.1999999999999998E-4</v>
      </c>
      <c r="C5" s="10">
        <v>5.4000000000000003E-3</v>
      </c>
      <c r="D5" s="10">
        <v>3.7999999999999999E-2</v>
      </c>
    </row>
    <row r="6" spans="1:4" ht="15" customHeight="1">
      <c r="A6" s="9" t="s">
        <v>99</v>
      </c>
      <c r="B6" s="10">
        <v>1.9E-3</v>
      </c>
      <c r="C6" s="10">
        <v>1.2E-2</v>
      </c>
      <c r="D6" s="10">
        <v>8.5999999999999993E-2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4.4999999999999999E-4</v>
      </c>
      <c r="C8" s="10">
        <v>3.0000000000000001E-3</v>
      </c>
      <c r="D8" s="10">
        <v>2.3E-2</v>
      </c>
    </row>
    <row r="9" spans="1:4" ht="15" customHeight="1">
      <c r="A9" s="9" t="s">
        <v>77</v>
      </c>
      <c r="B9" s="10">
        <v>1.1999999999999999E-3</v>
      </c>
      <c r="C9" s="10">
        <v>8.8000000000000005E-3</v>
      </c>
      <c r="D9" s="10">
        <v>5.3999999999999999E-2</v>
      </c>
    </row>
    <row r="10" spans="1:4" ht="15" customHeight="1">
      <c r="A10" s="9" t="s">
        <v>78</v>
      </c>
      <c r="B10" s="10">
        <v>1.6E-2</v>
      </c>
      <c r="C10" s="10">
        <v>0.11</v>
      </c>
      <c r="D10" s="10">
        <v>0.69</v>
      </c>
    </row>
    <row r="11" spans="1:4" ht="15" customHeight="1">
      <c r="A11" s="9" t="s">
        <v>79</v>
      </c>
      <c r="B11" s="10">
        <v>2.1999999999999999E-2</v>
      </c>
      <c r="C11" s="10">
        <v>0.16</v>
      </c>
      <c r="D11" s="10">
        <v>0.98</v>
      </c>
    </row>
    <row r="12" spans="1:4" ht="15" customHeight="1">
      <c r="A12" s="9" t="s">
        <v>80</v>
      </c>
      <c r="B12" s="10">
        <v>0.66</v>
      </c>
      <c r="C12" s="10">
        <v>4.5</v>
      </c>
      <c r="D12" s="10">
        <v>30</v>
      </c>
    </row>
    <row r="13" spans="1:4" ht="15" customHeight="1">
      <c r="A13" s="9" t="s">
        <v>81</v>
      </c>
      <c r="B13" s="10">
        <v>0.11</v>
      </c>
      <c r="C13" s="10">
        <v>0.76</v>
      </c>
      <c r="D13" s="10">
        <v>5.0999999999999996</v>
      </c>
    </row>
    <row r="14" spans="1:4" ht="15" customHeight="1">
      <c r="A14" s="9" t="s">
        <v>82</v>
      </c>
      <c r="B14" s="10">
        <v>2.5999999999999999E-2</v>
      </c>
      <c r="C14" s="10">
        <v>0.19</v>
      </c>
      <c r="D14" s="10">
        <v>1.2</v>
      </c>
    </row>
    <row r="15" spans="1:4" ht="15" customHeight="1">
      <c r="A15" s="9" t="s">
        <v>83</v>
      </c>
      <c r="B15" s="10">
        <v>2.0000000000000001E-4</v>
      </c>
      <c r="C15" s="10">
        <v>1.1999999999999999E-3</v>
      </c>
      <c r="D15" s="10">
        <v>9.5999999999999992E-3</v>
      </c>
    </row>
    <row r="16" spans="1:4" ht="15" customHeight="1">
      <c r="A16" s="9" t="s">
        <v>84</v>
      </c>
      <c r="B16" s="10">
        <v>1.9000000000000001E-4</v>
      </c>
      <c r="C16" s="10">
        <v>1.1000000000000001E-3</v>
      </c>
      <c r="D16" s="10">
        <v>8.9999999999999993E-3</v>
      </c>
    </row>
    <row r="17" spans="1:4" ht="15" customHeight="1">
      <c r="A17" s="9" t="s">
        <v>101</v>
      </c>
      <c r="B17" s="10">
        <v>8.1999999999999998E-4</v>
      </c>
      <c r="C17" s="10">
        <v>5.0000000000000001E-3</v>
      </c>
      <c r="D17" s="10">
        <v>3.7999999999999999E-2</v>
      </c>
    </row>
    <row r="18" spans="1:4" ht="15" customHeight="1">
      <c r="A18" s="16" t="s">
        <v>102</v>
      </c>
      <c r="B18" s="13">
        <v>8.7999999999999998E-5</v>
      </c>
      <c r="C18" s="13">
        <v>5.2999999999999998E-4</v>
      </c>
      <c r="D18" s="13">
        <v>4.1000000000000003E-3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EF65B-758F-426C-8EB1-28F6D7750742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1" t="s">
        <v>133</v>
      </c>
      <c r="B1" s="41"/>
      <c r="C1" s="41"/>
      <c r="D1" s="41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9.2000000000000003E-4</v>
      </c>
      <c r="C5" s="10">
        <v>2.3999999999999998E-3</v>
      </c>
      <c r="D5" s="10">
        <v>4.3999999999999997E-2</v>
      </c>
    </row>
    <row r="6" spans="1:4" ht="15" customHeight="1">
      <c r="A6" s="9" t="s">
        <v>99</v>
      </c>
      <c r="B6" s="10">
        <v>2.0999999999999999E-3</v>
      </c>
      <c r="C6" s="10">
        <v>5.4999999999999997E-3</v>
      </c>
      <c r="D6" s="10">
        <v>0.1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5.0000000000000001E-4</v>
      </c>
      <c r="C8" s="10">
        <v>1.2999999999999999E-3</v>
      </c>
      <c r="D8" s="10">
        <v>2.5999999999999999E-2</v>
      </c>
    </row>
    <row r="9" spans="1:4" ht="15" customHeight="1">
      <c r="A9" s="9" t="s">
        <v>77</v>
      </c>
      <c r="B9" s="10">
        <v>1.2999999999999999E-3</v>
      </c>
      <c r="C9" s="10">
        <v>3.8999999999999998E-3</v>
      </c>
      <c r="D9" s="10">
        <v>6.4000000000000001E-2</v>
      </c>
    </row>
    <row r="10" spans="1:4" ht="15" customHeight="1">
      <c r="A10" s="9" t="s">
        <v>78</v>
      </c>
      <c r="B10" s="10">
        <v>1.6E-2</v>
      </c>
      <c r="C10" s="10">
        <v>4.9000000000000002E-2</v>
      </c>
      <c r="D10" s="10">
        <v>0.82</v>
      </c>
    </row>
    <row r="11" spans="1:4" ht="15" customHeight="1">
      <c r="A11" s="9" t="s">
        <v>79</v>
      </c>
      <c r="B11" s="10">
        <v>2.4E-2</v>
      </c>
      <c r="C11" s="10">
        <v>7.0000000000000007E-2</v>
      </c>
      <c r="D11" s="10">
        <v>1.2</v>
      </c>
    </row>
    <row r="12" spans="1:4" ht="15" customHeight="1">
      <c r="A12" s="9" t="s">
        <v>80</v>
      </c>
      <c r="B12" s="10">
        <v>0.7</v>
      </c>
      <c r="C12" s="10">
        <v>2</v>
      </c>
      <c r="D12" s="10">
        <v>36</v>
      </c>
    </row>
    <row r="13" spans="1:4" ht="15" customHeight="1">
      <c r="A13" s="9" t="s">
        <v>81</v>
      </c>
      <c r="B13" s="10">
        <v>0.12</v>
      </c>
      <c r="C13" s="10">
        <v>0.34</v>
      </c>
      <c r="D13" s="10">
        <v>6.1</v>
      </c>
    </row>
    <row r="14" spans="1:4" ht="15" customHeight="1">
      <c r="A14" s="9" t="s">
        <v>82</v>
      </c>
      <c r="B14" s="10">
        <v>2.8000000000000001E-2</v>
      </c>
      <c r="C14" s="10">
        <v>8.2000000000000003E-2</v>
      </c>
      <c r="D14" s="10">
        <v>1.4</v>
      </c>
    </row>
    <row r="15" spans="1:4" ht="15" customHeight="1">
      <c r="A15" s="9" t="s">
        <v>83</v>
      </c>
      <c r="B15" s="10">
        <v>2.2000000000000001E-4</v>
      </c>
      <c r="C15" s="10">
        <v>5.5000000000000003E-4</v>
      </c>
      <c r="D15" s="10">
        <v>1.0999999999999999E-2</v>
      </c>
    </row>
    <row r="16" spans="1:4" ht="15" customHeight="1">
      <c r="A16" s="9" t="s">
        <v>84</v>
      </c>
      <c r="B16" s="10">
        <v>2.1000000000000001E-4</v>
      </c>
      <c r="C16" s="10">
        <v>5.2999999999999998E-4</v>
      </c>
      <c r="D16" s="10">
        <v>1.0999999999999999E-2</v>
      </c>
    </row>
    <row r="17" spans="1:4" ht="15" customHeight="1">
      <c r="A17" s="9" t="s">
        <v>101</v>
      </c>
      <c r="B17" s="10">
        <v>8.9999999999999998E-4</v>
      </c>
      <c r="C17" s="10">
        <v>2.2000000000000001E-3</v>
      </c>
      <c r="D17" s="10">
        <v>4.4999999999999998E-2</v>
      </c>
    </row>
    <row r="18" spans="1:4" ht="15" customHeight="1">
      <c r="A18" s="16" t="s">
        <v>102</v>
      </c>
      <c r="B18" s="13">
        <v>9.7E-5</v>
      </c>
      <c r="C18" s="13">
        <v>2.4000000000000001E-4</v>
      </c>
      <c r="D18" s="13">
        <v>4.7999999999999996E-3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0557E-9F09-4DD1-BD16-EB71A1E520CF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1" t="s">
        <v>134</v>
      </c>
      <c r="B1" s="41"/>
      <c r="C1" s="41"/>
      <c r="D1" s="41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6.6E-4</v>
      </c>
      <c r="C5" s="10">
        <v>4.4999999999999997E-3</v>
      </c>
      <c r="D5" s="10">
        <v>1.6E-2</v>
      </c>
    </row>
    <row r="6" spans="1:4" ht="15" customHeight="1">
      <c r="A6" s="9" t="s">
        <v>99</v>
      </c>
      <c r="B6" s="10">
        <v>1.5E-3</v>
      </c>
      <c r="C6" s="10">
        <v>0.01</v>
      </c>
      <c r="D6" s="10">
        <v>3.6999999999999998E-2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3.2000000000000003E-4</v>
      </c>
      <c r="C8" s="10">
        <v>2.2000000000000001E-3</v>
      </c>
      <c r="D8" s="10">
        <v>9.1000000000000004E-3</v>
      </c>
    </row>
    <row r="9" spans="1:4" ht="15" customHeight="1">
      <c r="A9" s="9" t="s">
        <v>77</v>
      </c>
      <c r="B9" s="10">
        <v>8.4999999999999995E-4</v>
      </c>
      <c r="C9" s="10">
        <v>5.4999999999999997E-3</v>
      </c>
      <c r="D9" s="10">
        <v>2.1000000000000001E-2</v>
      </c>
    </row>
    <row r="10" spans="1:4" ht="15" customHeight="1">
      <c r="A10" s="9" t="s">
        <v>78</v>
      </c>
      <c r="B10" s="10">
        <v>1.0999999999999999E-2</v>
      </c>
      <c r="C10" s="10">
        <v>7.0000000000000007E-2</v>
      </c>
      <c r="D10" s="10">
        <v>0.27</v>
      </c>
    </row>
    <row r="11" spans="1:4" ht="15" customHeight="1">
      <c r="A11" s="9" t="s">
        <v>79</v>
      </c>
      <c r="B11" s="10">
        <v>1.6E-2</v>
      </c>
      <c r="C11" s="10">
        <v>0.1</v>
      </c>
      <c r="D11" s="10">
        <v>0.39</v>
      </c>
    </row>
    <row r="12" spans="1:4" ht="15" customHeight="1">
      <c r="A12" s="9" t="s">
        <v>80</v>
      </c>
      <c r="B12" s="10">
        <v>0.46</v>
      </c>
      <c r="C12" s="10">
        <v>3</v>
      </c>
      <c r="D12" s="10">
        <v>12</v>
      </c>
    </row>
    <row r="13" spans="1:4" ht="15" customHeight="1">
      <c r="A13" s="9" t="s">
        <v>81</v>
      </c>
      <c r="B13" s="10">
        <v>7.6999999999999999E-2</v>
      </c>
      <c r="C13" s="10">
        <v>0.51</v>
      </c>
      <c r="D13" s="10">
        <v>2</v>
      </c>
    </row>
    <row r="14" spans="1:4" ht="15" customHeight="1">
      <c r="A14" s="9" t="s">
        <v>82</v>
      </c>
      <c r="B14" s="10">
        <v>1.7999999999999999E-2</v>
      </c>
      <c r="C14" s="10">
        <v>0.12</v>
      </c>
      <c r="D14" s="10">
        <v>0.46</v>
      </c>
    </row>
    <row r="15" spans="1:4" ht="15" customHeight="1">
      <c r="A15" s="9" t="s">
        <v>83</v>
      </c>
      <c r="B15" s="10">
        <v>1.6000000000000001E-4</v>
      </c>
      <c r="C15" s="10">
        <v>1.1000000000000001E-3</v>
      </c>
      <c r="D15" s="10">
        <v>4.0000000000000001E-3</v>
      </c>
    </row>
    <row r="16" spans="1:4" ht="15" customHeight="1">
      <c r="A16" s="9" t="s">
        <v>84</v>
      </c>
      <c r="B16" s="10">
        <v>1.4999999999999999E-4</v>
      </c>
      <c r="C16" s="10">
        <v>1.1000000000000001E-3</v>
      </c>
      <c r="D16" s="10">
        <v>3.8E-3</v>
      </c>
    </row>
    <row r="17" spans="1:4" ht="15" customHeight="1">
      <c r="A17" s="9" t="s">
        <v>101</v>
      </c>
      <c r="B17" s="10">
        <v>6.3000000000000003E-4</v>
      </c>
      <c r="C17" s="10">
        <v>4.4999999999999997E-3</v>
      </c>
      <c r="D17" s="10">
        <v>1.6E-2</v>
      </c>
    </row>
    <row r="18" spans="1:4" ht="15" customHeight="1">
      <c r="A18" s="16" t="s">
        <v>102</v>
      </c>
      <c r="B18" s="13">
        <v>6.7999999999999999E-5</v>
      </c>
      <c r="C18" s="13">
        <v>4.8999999999999998E-4</v>
      </c>
      <c r="D18" s="13">
        <v>1.6999999999999999E-3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7612C-5977-42D9-9D2A-CC7B4DC26E57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1" t="s">
        <v>135</v>
      </c>
      <c r="B1" s="41"/>
      <c r="C1" s="41"/>
      <c r="D1" s="41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2.2000000000000001E-4</v>
      </c>
      <c r="C5" s="10">
        <v>1.4E-3</v>
      </c>
      <c r="D5" s="10">
        <v>5.4999999999999997E-3</v>
      </c>
    </row>
    <row r="6" spans="1:4" ht="15" customHeight="1">
      <c r="A6" s="9" t="s">
        <v>99</v>
      </c>
      <c r="B6" s="10">
        <v>5.0000000000000001E-4</v>
      </c>
      <c r="C6" s="10">
        <v>3.3E-3</v>
      </c>
      <c r="D6" s="10">
        <v>1.2E-2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1.2999999999999999E-4</v>
      </c>
      <c r="C8" s="10">
        <v>7.9000000000000001E-4</v>
      </c>
      <c r="D8" s="10">
        <v>3.0000000000000001E-3</v>
      </c>
    </row>
    <row r="9" spans="1:4" ht="15" customHeight="1">
      <c r="A9" s="9" t="s">
        <v>77</v>
      </c>
      <c r="B9" s="10">
        <v>3.6999999999999999E-4</v>
      </c>
      <c r="C9" s="10">
        <v>1.9E-3</v>
      </c>
      <c r="D9" s="10">
        <v>7.6E-3</v>
      </c>
    </row>
    <row r="10" spans="1:4" ht="15" customHeight="1">
      <c r="A10" s="9" t="s">
        <v>78</v>
      </c>
      <c r="B10" s="10">
        <v>4.7000000000000002E-3</v>
      </c>
      <c r="C10" s="10">
        <v>2.4E-2</v>
      </c>
      <c r="D10" s="10">
        <v>9.7000000000000003E-2</v>
      </c>
    </row>
    <row r="11" spans="1:4" ht="15" customHeight="1">
      <c r="A11" s="9" t="s">
        <v>79</v>
      </c>
      <c r="B11" s="10">
        <v>6.7000000000000002E-3</v>
      </c>
      <c r="C11" s="10">
        <v>3.5000000000000003E-2</v>
      </c>
      <c r="D11" s="10">
        <v>0.14000000000000001</v>
      </c>
    </row>
    <row r="12" spans="1:4" ht="15" customHeight="1">
      <c r="A12" s="9" t="s">
        <v>80</v>
      </c>
      <c r="B12" s="10">
        <v>0.21</v>
      </c>
      <c r="C12" s="10">
        <v>1.1000000000000001</v>
      </c>
      <c r="D12" s="10">
        <v>4.3</v>
      </c>
    </row>
    <row r="13" spans="1:4" ht="15" customHeight="1">
      <c r="A13" s="9" t="s">
        <v>81</v>
      </c>
      <c r="B13" s="10">
        <v>3.5000000000000003E-2</v>
      </c>
      <c r="C13" s="10">
        <v>0.19</v>
      </c>
      <c r="D13" s="10">
        <v>0.74</v>
      </c>
    </row>
    <row r="14" spans="1:4" ht="15" customHeight="1">
      <c r="A14" s="9" t="s">
        <v>82</v>
      </c>
      <c r="B14" s="10">
        <v>7.7999999999999996E-3</v>
      </c>
      <c r="C14" s="10">
        <v>4.1000000000000002E-2</v>
      </c>
      <c r="D14" s="10">
        <v>0.16</v>
      </c>
    </row>
    <row r="15" spans="1:4" ht="15" customHeight="1">
      <c r="A15" s="9" t="s">
        <v>83</v>
      </c>
      <c r="B15" s="10">
        <v>5.8999999999999998E-5</v>
      </c>
      <c r="C15" s="10">
        <v>3.6999999999999999E-4</v>
      </c>
      <c r="D15" s="10">
        <v>1.4E-3</v>
      </c>
    </row>
    <row r="16" spans="1:4" ht="15" customHeight="1">
      <c r="A16" s="9" t="s">
        <v>84</v>
      </c>
      <c r="B16" s="10">
        <v>5.3999999999999998E-5</v>
      </c>
      <c r="C16" s="10">
        <v>3.5E-4</v>
      </c>
      <c r="D16" s="10">
        <v>1.2999999999999999E-3</v>
      </c>
    </row>
    <row r="17" spans="1:4" ht="15" customHeight="1">
      <c r="A17" s="9" t="s">
        <v>101</v>
      </c>
      <c r="B17" s="10">
        <v>2.3000000000000001E-4</v>
      </c>
      <c r="C17" s="10">
        <v>1.4E-3</v>
      </c>
      <c r="D17" s="10">
        <v>5.4000000000000003E-3</v>
      </c>
    </row>
    <row r="18" spans="1:4" ht="15" customHeight="1">
      <c r="A18" s="16" t="s">
        <v>102</v>
      </c>
      <c r="B18" s="13">
        <v>2.5000000000000001E-5</v>
      </c>
      <c r="C18" s="13">
        <v>1.4999999999999999E-4</v>
      </c>
      <c r="D18" s="13">
        <v>5.8E-4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3D475-C4FB-4027-948D-3326CC8B69D7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1" t="s">
        <v>136</v>
      </c>
      <c r="B1" s="41"/>
      <c r="C1" s="41"/>
      <c r="D1" s="41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7.3999999999999999E-4</v>
      </c>
      <c r="C5" s="10">
        <v>5.7000000000000002E-3</v>
      </c>
      <c r="D5" s="10">
        <v>4.8000000000000001E-2</v>
      </c>
    </row>
    <row r="6" spans="1:4" ht="15" customHeight="1">
      <c r="A6" s="9" t="s">
        <v>99</v>
      </c>
      <c r="B6" s="10">
        <v>1.6999999999999999E-3</v>
      </c>
      <c r="C6" s="10">
        <v>1.2999999999999999E-2</v>
      </c>
      <c r="D6" s="10">
        <v>0.11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4.0000000000000002E-4</v>
      </c>
      <c r="C8" s="10">
        <v>2.8999999999999998E-3</v>
      </c>
      <c r="D8" s="10">
        <v>2.5000000000000001E-2</v>
      </c>
    </row>
    <row r="9" spans="1:4" ht="15" customHeight="1">
      <c r="A9" s="9" t="s">
        <v>77</v>
      </c>
      <c r="B9" s="10">
        <v>1E-3</v>
      </c>
      <c r="C9" s="10">
        <v>7.1000000000000004E-3</v>
      </c>
      <c r="D9" s="10">
        <v>6.7000000000000004E-2</v>
      </c>
    </row>
    <row r="10" spans="1:4" ht="15" customHeight="1">
      <c r="A10" s="9" t="s">
        <v>78</v>
      </c>
      <c r="B10" s="10">
        <v>1.2999999999999999E-2</v>
      </c>
      <c r="C10" s="10">
        <v>0.09</v>
      </c>
      <c r="D10" s="10">
        <v>0.85</v>
      </c>
    </row>
    <row r="11" spans="1:4" ht="15" customHeight="1">
      <c r="A11" s="9" t="s">
        <v>79</v>
      </c>
      <c r="B11" s="10">
        <v>1.7999999999999999E-2</v>
      </c>
      <c r="C11" s="10">
        <v>0.13</v>
      </c>
      <c r="D11" s="10">
        <v>1.2</v>
      </c>
    </row>
    <row r="12" spans="1:4" ht="15" customHeight="1">
      <c r="A12" s="9" t="s">
        <v>80</v>
      </c>
      <c r="B12" s="10">
        <v>0.52</v>
      </c>
      <c r="C12" s="10">
        <v>3.7</v>
      </c>
      <c r="D12" s="10">
        <v>35</v>
      </c>
    </row>
    <row r="13" spans="1:4" ht="15" customHeight="1">
      <c r="A13" s="9" t="s">
        <v>81</v>
      </c>
      <c r="B13" s="10">
        <v>8.8999999999999996E-2</v>
      </c>
      <c r="C13" s="10">
        <v>0.64</v>
      </c>
      <c r="D13" s="10">
        <v>5.9</v>
      </c>
    </row>
    <row r="14" spans="1:4" ht="15" customHeight="1">
      <c r="A14" s="9" t="s">
        <v>82</v>
      </c>
      <c r="B14" s="10">
        <v>2.1000000000000001E-2</v>
      </c>
      <c r="C14" s="10">
        <v>0.15</v>
      </c>
      <c r="D14" s="10">
        <v>1.4</v>
      </c>
    </row>
    <row r="15" spans="1:4" ht="15" customHeight="1">
      <c r="A15" s="9" t="s">
        <v>83</v>
      </c>
      <c r="B15" s="10">
        <v>1.8000000000000001E-4</v>
      </c>
      <c r="C15" s="10">
        <v>1.5E-3</v>
      </c>
      <c r="D15" s="10">
        <v>1.2E-2</v>
      </c>
    </row>
    <row r="16" spans="1:4" ht="15" customHeight="1">
      <c r="A16" s="9" t="s">
        <v>84</v>
      </c>
      <c r="B16" s="10">
        <v>1.8000000000000001E-4</v>
      </c>
      <c r="C16" s="10">
        <v>1.4E-3</v>
      </c>
      <c r="D16" s="10">
        <v>1.0999999999999999E-2</v>
      </c>
    </row>
    <row r="17" spans="1:4" ht="15" customHeight="1">
      <c r="A17" s="9" t="s">
        <v>101</v>
      </c>
      <c r="B17" s="10">
        <v>7.2999999999999996E-4</v>
      </c>
      <c r="C17" s="10">
        <v>5.7999999999999996E-3</v>
      </c>
      <c r="D17" s="10">
        <v>4.9000000000000002E-2</v>
      </c>
    </row>
    <row r="18" spans="1:4" ht="15" customHeight="1">
      <c r="A18" s="16" t="s">
        <v>102</v>
      </c>
      <c r="B18" s="13">
        <v>7.8999999999999996E-5</v>
      </c>
      <c r="C18" s="13">
        <v>6.2E-4</v>
      </c>
      <c r="D18" s="13">
        <v>5.3E-3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FAFD3-DD57-461E-A92B-6A699979AE2D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1" t="s">
        <v>137</v>
      </c>
      <c r="B1" s="41"/>
      <c r="C1" s="41"/>
      <c r="D1" s="41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4.8999999999999998E-4</v>
      </c>
      <c r="C5" s="10">
        <v>6.0000000000000001E-3</v>
      </c>
      <c r="D5" s="10">
        <v>0.02</v>
      </c>
    </row>
    <row r="6" spans="1:4" ht="15" customHeight="1">
      <c r="A6" s="9" t="s">
        <v>99</v>
      </c>
      <c r="B6" s="10">
        <v>1.1000000000000001E-3</v>
      </c>
      <c r="C6" s="10">
        <v>1.4E-2</v>
      </c>
      <c r="D6" s="10">
        <v>4.5999999999999999E-2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2.4000000000000001E-4</v>
      </c>
      <c r="C8" s="10">
        <v>2.8999999999999998E-3</v>
      </c>
      <c r="D8" s="10">
        <v>8.9999999999999993E-3</v>
      </c>
    </row>
    <row r="9" spans="1:4" ht="15" customHeight="1">
      <c r="A9" s="9" t="s">
        <v>77</v>
      </c>
      <c r="B9" s="10">
        <v>6.0999999999999997E-4</v>
      </c>
      <c r="C9" s="10">
        <v>7.1999999999999998E-3</v>
      </c>
      <c r="D9" s="10">
        <v>2.4E-2</v>
      </c>
    </row>
    <row r="10" spans="1:4" ht="15" customHeight="1">
      <c r="A10" s="9" t="s">
        <v>78</v>
      </c>
      <c r="B10" s="10">
        <v>7.7999999999999996E-3</v>
      </c>
      <c r="C10" s="10">
        <v>9.1999999999999998E-2</v>
      </c>
      <c r="D10" s="10">
        <v>0.31</v>
      </c>
    </row>
    <row r="11" spans="1:4" ht="15" customHeight="1">
      <c r="A11" s="9" t="s">
        <v>79</v>
      </c>
      <c r="B11" s="10">
        <v>1.0999999999999999E-2</v>
      </c>
      <c r="C11" s="10">
        <v>0.13</v>
      </c>
      <c r="D11" s="10">
        <v>0.43</v>
      </c>
    </row>
    <row r="12" spans="1:4" ht="15" customHeight="1">
      <c r="A12" s="9" t="s">
        <v>80</v>
      </c>
      <c r="B12" s="10">
        <v>0.32</v>
      </c>
      <c r="C12" s="10">
        <v>3.8</v>
      </c>
      <c r="D12" s="10">
        <v>12</v>
      </c>
    </row>
    <row r="13" spans="1:4" ht="15" customHeight="1">
      <c r="A13" s="9" t="s">
        <v>81</v>
      </c>
      <c r="B13" s="10">
        <v>5.3999999999999999E-2</v>
      </c>
      <c r="C13" s="10">
        <v>0.65</v>
      </c>
      <c r="D13" s="10">
        <v>2.1</v>
      </c>
    </row>
    <row r="14" spans="1:4" ht="15" customHeight="1">
      <c r="A14" s="9" t="s">
        <v>82</v>
      </c>
      <c r="B14" s="10">
        <v>1.2999999999999999E-2</v>
      </c>
      <c r="C14" s="10">
        <v>0.15</v>
      </c>
      <c r="D14" s="10">
        <v>0.51</v>
      </c>
    </row>
    <row r="15" spans="1:4" ht="15" customHeight="1">
      <c r="A15" s="9" t="s">
        <v>83</v>
      </c>
      <c r="B15" s="10">
        <v>1.2E-4</v>
      </c>
      <c r="C15" s="10">
        <v>1.6000000000000001E-3</v>
      </c>
      <c r="D15" s="10">
        <v>5.1999999999999998E-3</v>
      </c>
    </row>
    <row r="16" spans="1:4" ht="15" customHeight="1">
      <c r="A16" s="9" t="s">
        <v>84</v>
      </c>
      <c r="B16" s="10">
        <v>1.1E-4</v>
      </c>
      <c r="C16" s="10">
        <v>1.5E-3</v>
      </c>
      <c r="D16" s="10">
        <v>5.0000000000000001E-3</v>
      </c>
    </row>
    <row r="17" spans="1:4" ht="15" customHeight="1">
      <c r="A17" s="9" t="s">
        <v>101</v>
      </c>
      <c r="B17" s="10">
        <v>4.8000000000000001E-4</v>
      </c>
      <c r="C17" s="10">
        <v>6.3E-3</v>
      </c>
      <c r="D17" s="10">
        <v>2.1000000000000001E-2</v>
      </c>
    </row>
    <row r="18" spans="1:4" ht="15" customHeight="1">
      <c r="A18" s="16" t="s">
        <v>102</v>
      </c>
      <c r="B18" s="13">
        <v>5.1999999999999997E-5</v>
      </c>
      <c r="C18" s="13">
        <v>6.7000000000000002E-4</v>
      </c>
      <c r="D18" s="13">
        <v>2.3E-3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A7235-F982-4D40-82A2-D05B926FE0DE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2" t="s">
        <v>138</v>
      </c>
      <c r="B1" s="42"/>
      <c r="C1" s="42"/>
      <c r="D1" s="42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8.7000000000000001E-4</v>
      </c>
      <c r="C5" s="10">
        <v>8.8000000000000005E-3</v>
      </c>
      <c r="D5" s="10">
        <v>4.1000000000000002E-2</v>
      </c>
    </row>
    <row r="6" spans="1:4" ht="15" customHeight="1">
      <c r="A6" s="9" t="s">
        <v>99</v>
      </c>
      <c r="B6" s="10">
        <v>2E-3</v>
      </c>
      <c r="C6" s="10">
        <v>0.02</v>
      </c>
      <c r="D6" s="10">
        <v>9.4E-2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4.4999999999999999E-4</v>
      </c>
      <c r="C8" s="10">
        <v>4.7000000000000002E-3</v>
      </c>
      <c r="D8" s="10">
        <v>2.3E-2</v>
      </c>
    </row>
    <row r="9" spans="1:4" ht="15" customHeight="1">
      <c r="A9" s="9" t="s">
        <v>77</v>
      </c>
      <c r="B9" s="10">
        <v>1.2999999999999999E-3</v>
      </c>
      <c r="C9" s="10">
        <v>1.2999999999999999E-2</v>
      </c>
      <c r="D9" s="10">
        <v>6.0999999999999999E-2</v>
      </c>
    </row>
    <row r="10" spans="1:4" ht="15" customHeight="1">
      <c r="A10" s="9" t="s">
        <v>78</v>
      </c>
      <c r="B10" s="10">
        <v>1.6E-2</v>
      </c>
      <c r="C10" s="10">
        <v>0.16</v>
      </c>
      <c r="D10" s="10">
        <v>0.78</v>
      </c>
    </row>
    <row r="11" spans="1:4" ht="15" customHeight="1">
      <c r="A11" s="9" t="s">
        <v>79</v>
      </c>
      <c r="B11" s="10">
        <v>2.3E-2</v>
      </c>
      <c r="C11" s="10">
        <v>0.23</v>
      </c>
      <c r="D11" s="10">
        <v>1.1000000000000001</v>
      </c>
    </row>
    <row r="12" spans="1:4" ht="15" customHeight="1">
      <c r="A12" s="9" t="s">
        <v>80</v>
      </c>
      <c r="B12" s="10">
        <v>0.67</v>
      </c>
      <c r="C12" s="10">
        <v>6.8</v>
      </c>
      <c r="D12" s="10">
        <v>32</v>
      </c>
    </row>
    <row r="13" spans="1:4" ht="15" customHeight="1">
      <c r="A13" s="9" t="s">
        <v>81</v>
      </c>
      <c r="B13" s="10">
        <v>0.11</v>
      </c>
      <c r="C13" s="10">
        <v>1.2</v>
      </c>
      <c r="D13" s="10">
        <v>5.4</v>
      </c>
    </row>
    <row r="14" spans="1:4" ht="15" customHeight="1">
      <c r="A14" s="9" t="s">
        <v>82</v>
      </c>
      <c r="B14" s="10">
        <v>2.7E-2</v>
      </c>
      <c r="C14" s="10">
        <v>0.28000000000000003</v>
      </c>
      <c r="D14" s="10">
        <v>1.3</v>
      </c>
    </row>
    <row r="15" spans="1:4" ht="15" customHeight="1">
      <c r="A15" s="9" t="s">
        <v>83</v>
      </c>
      <c r="B15" s="10">
        <v>2.2000000000000001E-4</v>
      </c>
      <c r="C15" s="10">
        <v>2.3E-3</v>
      </c>
      <c r="D15" s="10">
        <v>0.01</v>
      </c>
    </row>
    <row r="16" spans="1:4" ht="15" customHeight="1">
      <c r="A16" s="9" t="s">
        <v>84</v>
      </c>
      <c r="B16" s="10">
        <v>2.1000000000000001E-4</v>
      </c>
      <c r="C16" s="10">
        <v>2.2000000000000001E-3</v>
      </c>
      <c r="D16" s="10">
        <v>0.01</v>
      </c>
    </row>
    <row r="17" spans="1:4" ht="15" customHeight="1">
      <c r="A17" s="9" t="s">
        <v>101</v>
      </c>
      <c r="B17" s="10">
        <v>8.8000000000000003E-4</v>
      </c>
      <c r="C17" s="10">
        <v>9.1000000000000004E-3</v>
      </c>
      <c r="D17" s="10">
        <v>4.1000000000000002E-2</v>
      </c>
    </row>
    <row r="18" spans="1:4" ht="15" customHeight="1">
      <c r="A18" s="16" t="s">
        <v>102</v>
      </c>
      <c r="B18" s="13">
        <v>9.5000000000000005E-5</v>
      </c>
      <c r="C18" s="13">
        <v>9.8999999999999999E-4</v>
      </c>
      <c r="D18" s="13">
        <v>4.4999999999999997E-3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97CDE-F5EB-445D-A3FE-92C443FC835C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2" t="s">
        <v>139</v>
      </c>
      <c r="B1" s="42"/>
      <c r="C1" s="42"/>
      <c r="D1" s="42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1.4E-3</v>
      </c>
      <c r="C5" s="10">
        <v>6.7000000000000002E-3</v>
      </c>
      <c r="D5" s="10">
        <v>5.8000000000000003E-2</v>
      </c>
    </row>
    <row r="6" spans="1:4" ht="15" customHeight="1">
      <c r="A6" s="9" t="s">
        <v>99</v>
      </c>
      <c r="B6" s="10">
        <v>3.0999999999999999E-3</v>
      </c>
      <c r="C6" s="10">
        <v>1.4999999999999999E-2</v>
      </c>
      <c r="D6" s="10">
        <v>0.13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6.9999999999999999E-4</v>
      </c>
      <c r="C8" s="10">
        <v>3.2000000000000002E-3</v>
      </c>
      <c r="D8" s="10">
        <v>2.5000000000000001E-2</v>
      </c>
    </row>
    <row r="9" spans="1:4" ht="15" customHeight="1">
      <c r="A9" s="9" t="s">
        <v>77</v>
      </c>
      <c r="B9" s="10">
        <v>1.6000000000000001E-3</v>
      </c>
      <c r="C9" s="10">
        <v>7.9000000000000008E-3</v>
      </c>
      <c r="D9" s="10">
        <v>6.5000000000000002E-2</v>
      </c>
    </row>
    <row r="10" spans="1:4" ht="15" customHeight="1">
      <c r="A10" s="9" t="s">
        <v>78</v>
      </c>
      <c r="B10" s="10">
        <v>2.1000000000000001E-2</v>
      </c>
      <c r="C10" s="10">
        <v>0.1</v>
      </c>
      <c r="D10" s="10">
        <v>0.82</v>
      </c>
    </row>
    <row r="11" spans="1:4" ht="15" customHeight="1">
      <c r="A11" s="9" t="s">
        <v>79</v>
      </c>
      <c r="B11" s="10">
        <v>2.9000000000000001E-2</v>
      </c>
      <c r="C11" s="10">
        <v>0.14000000000000001</v>
      </c>
      <c r="D11" s="10">
        <v>1.2</v>
      </c>
    </row>
    <row r="12" spans="1:4" ht="15" customHeight="1">
      <c r="A12" s="9" t="s">
        <v>80</v>
      </c>
      <c r="B12" s="10">
        <v>0.86</v>
      </c>
      <c r="C12" s="10">
        <v>4.2</v>
      </c>
      <c r="D12" s="10">
        <v>34</v>
      </c>
    </row>
    <row r="13" spans="1:4" ht="15" customHeight="1">
      <c r="A13" s="9" t="s">
        <v>81</v>
      </c>
      <c r="B13" s="10">
        <v>0.15</v>
      </c>
      <c r="C13" s="10">
        <v>0.71</v>
      </c>
      <c r="D13" s="10">
        <v>5.7</v>
      </c>
    </row>
    <row r="14" spans="1:4" ht="15" customHeight="1">
      <c r="A14" s="9" t="s">
        <v>82</v>
      </c>
      <c r="B14" s="10">
        <v>3.5000000000000003E-2</v>
      </c>
      <c r="C14" s="10">
        <v>0.17</v>
      </c>
      <c r="D14" s="10">
        <v>1.4</v>
      </c>
    </row>
    <row r="15" spans="1:4" ht="15" customHeight="1">
      <c r="A15" s="9" t="s">
        <v>83</v>
      </c>
      <c r="B15" s="10">
        <v>3.4000000000000002E-4</v>
      </c>
      <c r="C15" s="10">
        <v>1.6999999999999999E-3</v>
      </c>
      <c r="D15" s="10">
        <v>1.4E-2</v>
      </c>
    </row>
    <row r="16" spans="1:4" ht="15" customHeight="1">
      <c r="A16" s="9" t="s">
        <v>84</v>
      </c>
      <c r="B16" s="10">
        <v>3.3E-4</v>
      </c>
      <c r="C16" s="10">
        <v>1.6999999999999999E-3</v>
      </c>
      <c r="D16" s="10">
        <v>1.4E-2</v>
      </c>
    </row>
    <row r="17" spans="1:4" ht="15" customHeight="1">
      <c r="A17" s="9" t="s">
        <v>101</v>
      </c>
      <c r="B17" s="10">
        <v>1.2999999999999999E-3</v>
      </c>
      <c r="C17" s="10">
        <v>7.0000000000000001E-3</v>
      </c>
      <c r="D17" s="10">
        <v>5.7000000000000002E-2</v>
      </c>
    </row>
    <row r="18" spans="1:4" ht="15" customHeight="1">
      <c r="A18" s="16" t="s">
        <v>102</v>
      </c>
      <c r="B18" s="13">
        <v>1.3999999999999999E-4</v>
      </c>
      <c r="C18" s="13">
        <v>7.5000000000000002E-4</v>
      </c>
      <c r="D18" s="13">
        <v>6.1000000000000004E-3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4C09-99B3-4FB2-87BA-CF6F679CA93C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1" t="s">
        <v>140</v>
      </c>
      <c r="B1" s="41"/>
      <c r="C1" s="41"/>
      <c r="D1" s="41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2.0999999999999999E-3</v>
      </c>
      <c r="C5" s="10">
        <v>5.2999999999999999E-2</v>
      </c>
      <c r="D5" s="10">
        <v>6.5000000000000002E-2</v>
      </c>
    </row>
    <row r="6" spans="1:4" ht="15" customHeight="1">
      <c r="A6" s="9" t="s">
        <v>99</v>
      </c>
      <c r="B6" s="10">
        <v>4.8999999999999998E-3</v>
      </c>
      <c r="C6" s="10">
        <v>0.12</v>
      </c>
      <c r="D6" s="10">
        <v>0.15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1.1000000000000001E-3</v>
      </c>
      <c r="C8" s="10">
        <v>2.5000000000000001E-2</v>
      </c>
      <c r="D8" s="10">
        <v>3.1E-2</v>
      </c>
    </row>
    <row r="9" spans="1:4" ht="15" customHeight="1">
      <c r="A9" s="9" t="s">
        <v>77</v>
      </c>
      <c r="B9" s="10">
        <v>3.0999999999999999E-3</v>
      </c>
      <c r="C9" s="10">
        <v>6.6000000000000003E-2</v>
      </c>
      <c r="D9" s="10">
        <v>8.5999999999999993E-2</v>
      </c>
    </row>
    <row r="10" spans="1:4" ht="15" customHeight="1">
      <c r="A10" s="9" t="s">
        <v>78</v>
      </c>
      <c r="B10" s="10">
        <v>0.04</v>
      </c>
      <c r="C10" s="10">
        <v>0.84</v>
      </c>
      <c r="D10" s="10">
        <v>1.1000000000000001</v>
      </c>
    </row>
    <row r="11" spans="1:4" ht="15" customHeight="1">
      <c r="A11" s="9" t="s">
        <v>79</v>
      </c>
      <c r="B11" s="10">
        <v>5.6000000000000001E-2</v>
      </c>
      <c r="C11" s="10">
        <v>1.2</v>
      </c>
      <c r="D11" s="10">
        <v>1.6</v>
      </c>
    </row>
    <row r="12" spans="1:4" ht="15" customHeight="1">
      <c r="A12" s="9" t="s">
        <v>80</v>
      </c>
      <c r="B12" s="10">
        <v>1.6</v>
      </c>
      <c r="C12" s="10">
        <v>35</v>
      </c>
      <c r="D12" s="10">
        <v>45</v>
      </c>
    </row>
    <row r="13" spans="1:4" ht="15" customHeight="1">
      <c r="A13" s="9" t="s">
        <v>81</v>
      </c>
      <c r="B13" s="10">
        <v>0.28000000000000003</v>
      </c>
      <c r="C13" s="10">
        <v>5.9</v>
      </c>
      <c r="D13" s="10">
        <v>7.7</v>
      </c>
    </row>
    <row r="14" spans="1:4" ht="15" customHeight="1">
      <c r="A14" s="9" t="s">
        <v>82</v>
      </c>
      <c r="B14" s="10">
        <v>6.6000000000000003E-2</v>
      </c>
      <c r="C14" s="10">
        <v>1.4</v>
      </c>
      <c r="D14" s="10">
        <v>1.8</v>
      </c>
    </row>
    <row r="15" spans="1:4" ht="15" customHeight="1">
      <c r="A15" s="9" t="s">
        <v>83</v>
      </c>
      <c r="B15" s="10">
        <v>5.5999999999999995E-4</v>
      </c>
      <c r="C15" s="10">
        <v>1.2999999999999999E-2</v>
      </c>
      <c r="D15" s="10">
        <v>1.7000000000000001E-2</v>
      </c>
    </row>
    <row r="16" spans="1:4" ht="15" customHeight="1">
      <c r="A16" s="9" t="s">
        <v>84</v>
      </c>
      <c r="B16" s="10">
        <v>5.2999999999999998E-4</v>
      </c>
      <c r="C16" s="10">
        <v>1.2999999999999999E-2</v>
      </c>
      <c r="D16" s="10">
        <v>1.6E-2</v>
      </c>
    </row>
    <row r="17" spans="1:4" ht="15" customHeight="1">
      <c r="A17" s="9" t="s">
        <v>101</v>
      </c>
      <c r="B17" s="10">
        <v>2.2000000000000001E-3</v>
      </c>
      <c r="C17" s="10">
        <v>5.3999999999999999E-2</v>
      </c>
      <c r="D17" s="10">
        <v>6.9000000000000006E-2</v>
      </c>
    </row>
    <row r="18" spans="1:4" ht="15" customHeight="1">
      <c r="A18" s="16" t="s">
        <v>102</v>
      </c>
      <c r="B18" s="13">
        <v>2.4000000000000001E-4</v>
      </c>
      <c r="C18" s="13">
        <v>5.7999999999999996E-3</v>
      </c>
      <c r="D18" s="13">
        <v>7.4000000000000003E-3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88290-7FCB-4CA6-B192-398AC979EB8B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1" t="s">
        <v>141</v>
      </c>
      <c r="B1" s="41"/>
      <c r="C1" s="41"/>
      <c r="D1" s="41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1.8E-3</v>
      </c>
      <c r="C5" s="10">
        <v>1.0999999999999999E-2</v>
      </c>
      <c r="D5" s="10">
        <v>6.2E-2</v>
      </c>
    </row>
    <row r="6" spans="1:4" ht="15" customHeight="1">
      <c r="A6" s="9" t="s">
        <v>99</v>
      </c>
      <c r="B6" s="10">
        <v>4.0000000000000001E-3</v>
      </c>
      <c r="C6" s="10">
        <v>2.5999999999999999E-2</v>
      </c>
      <c r="D6" s="10">
        <v>0.14000000000000001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8.5999999999999998E-4</v>
      </c>
      <c r="C8" s="10">
        <v>5.7000000000000002E-3</v>
      </c>
      <c r="D8" s="10">
        <v>2.9000000000000001E-2</v>
      </c>
    </row>
    <row r="9" spans="1:4" ht="15" customHeight="1">
      <c r="A9" s="9" t="s">
        <v>77</v>
      </c>
      <c r="B9" s="10">
        <v>2.0999999999999999E-3</v>
      </c>
      <c r="C9" s="10">
        <v>1.4E-2</v>
      </c>
      <c r="D9" s="10">
        <v>7.2999999999999995E-2</v>
      </c>
    </row>
    <row r="10" spans="1:4" ht="15" customHeight="1">
      <c r="A10" s="9" t="s">
        <v>78</v>
      </c>
      <c r="B10" s="10">
        <v>2.7E-2</v>
      </c>
      <c r="C10" s="10">
        <v>0.17</v>
      </c>
      <c r="D10" s="10">
        <v>0.93</v>
      </c>
    </row>
    <row r="11" spans="1:4" ht="15" customHeight="1">
      <c r="A11" s="9" t="s">
        <v>79</v>
      </c>
      <c r="B11" s="10">
        <v>3.7999999999999999E-2</v>
      </c>
      <c r="C11" s="10">
        <v>0.25</v>
      </c>
      <c r="D11" s="10">
        <v>1.3</v>
      </c>
    </row>
    <row r="12" spans="1:4" ht="15" customHeight="1">
      <c r="A12" s="9" t="s">
        <v>80</v>
      </c>
      <c r="B12" s="10">
        <v>1.1000000000000001</v>
      </c>
      <c r="C12" s="10">
        <v>7.1</v>
      </c>
      <c r="D12" s="10">
        <v>38</v>
      </c>
    </row>
    <row r="13" spans="1:4" ht="15" customHeight="1">
      <c r="A13" s="9" t="s">
        <v>81</v>
      </c>
      <c r="B13" s="10">
        <v>0.19</v>
      </c>
      <c r="C13" s="10">
        <v>1.2</v>
      </c>
      <c r="D13" s="10">
        <v>6.4</v>
      </c>
    </row>
    <row r="14" spans="1:4" ht="15" customHeight="1">
      <c r="A14" s="9" t="s">
        <v>82</v>
      </c>
      <c r="B14" s="10">
        <v>4.4999999999999998E-2</v>
      </c>
      <c r="C14" s="10">
        <v>0.28999999999999998</v>
      </c>
      <c r="D14" s="10">
        <v>1.6</v>
      </c>
    </row>
    <row r="15" spans="1:4" ht="15" customHeight="1">
      <c r="A15" s="9" t="s">
        <v>83</v>
      </c>
      <c r="B15" s="10">
        <v>4.4000000000000002E-4</v>
      </c>
      <c r="C15" s="10">
        <v>2.8999999999999998E-3</v>
      </c>
      <c r="D15" s="10">
        <v>1.6E-2</v>
      </c>
    </row>
    <row r="16" spans="1:4" ht="15" customHeight="1">
      <c r="A16" s="9" t="s">
        <v>84</v>
      </c>
      <c r="B16" s="10">
        <v>4.2000000000000002E-4</v>
      </c>
      <c r="C16" s="10">
        <v>2.8999999999999998E-3</v>
      </c>
      <c r="D16" s="10">
        <v>1.4999999999999999E-2</v>
      </c>
    </row>
    <row r="17" spans="1:4" ht="15" customHeight="1">
      <c r="A17" s="9" t="s">
        <v>101</v>
      </c>
      <c r="B17" s="10">
        <v>1.6999999999999999E-3</v>
      </c>
      <c r="C17" s="10">
        <v>1.2E-2</v>
      </c>
      <c r="D17" s="10">
        <v>6.3E-2</v>
      </c>
    </row>
    <row r="18" spans="1:4" ht="15" customHeight="1">
      <c r="A18" s="16" t="s">
        <v>102</v>
      </c>
      <c r="B18" s="13">
        <v>1.9000000000000001E-4</v>
      </c>
      <c r="C18" s="13">
        <v>1.1999999999999999E-3</v>
      </c>
      <c r="D18" s="13">
        <v>6.7999999999999996E-3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423C-55A4-45FC-B7DB-3FF5999E02EE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1" t="s">
        <v>142</v>
      </c>
      <c r="B1" s="41"/>
      <c r="C1" s="41"/>
      <c r="D1" s="41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1.2999999999999999E-3</v>
      </c>
      <c r="C5" s="10">
        <v>0.01</v>
      </c>
      <c r="D5" s="10">
        <v>5.6000000000000001E-2</v>
      </c>
    </row>
    <row r="6" spans="1:4" ht="15" customHeight="1">
      <c r="A6" s="9" t="s">
        <v>99</v>
      </c>
      <c r="B6" s="10">
        <v>2.8999999999999998E-3</v>
      </c>
      <c r="C6" s="10">
        <v>2.4E-2</v>
      </c>
      <c r="D6" s="10">
        <v>0.13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6.7000000000000002E-4</v>
      </c>
      <c r="C8" s="10">
        <v>5.0000000000000001E-3</v>
      </c>
      <c r="D8" s="10">
        <v>2.7E-2</v>
      </c>
    </row>
    <row r="9" spans="1:4" ht="15" customHeight="1">
      <c r="A9" s="9" t="s">
        <v>77</v>
      </c>
      <c r="B9" s="10">
        <v>1.6000000000000001E-3</v>
      </c>
      <c r="C9" s="10">
        <v>1.2E-2</v>
      </c>
      <c r="D9" s="10">
        <v>6.6000000000000003E-2</v>
      </c>
    </row>
    <row r="10" spans="1:4" ht="15" customHeight="1">
      <c r="A10" s="9" t="s">
        <v>78</v>
      </c>
      <c r="B10" s="10">
        <v>0.02</v>
      </c>
      <c r="C10" s="10">
        <v>0.16</v>
      </c>
      <c r="D10" s="10">
        <v>0.83</v>
      </c>
    </row>
    <row r="11" spans="1:4" ht="15" customHeight="1">
      <c r="A11" s="9" t="s">
        <v>79</v>
      </c>
      <c r="B11" s="10">
        <v>2.9000000000000001E-2</v>
      </c>
      <c r="C11" s="10">
        <v>0.22</v>
      </c>
      <c r="D11" s="10">
        <v>1.2</v>
      </c>
    </row>
    <row r="12" spans="1:4" ht="15" customHeight="1">
      <c r="A12" s="9" t="s">
        <v>80</v>
      </c>
      <c r="B12" s="10">
        <v>0.82</v>
      </c>
      <c r="C12" s="10">
        <v>6.5</v>
      </c>
      <c r="D12" s="10">
        <v>34</v>
      </c>
    </row>
    <row r="13" spans="1:4" ht="15" customHeight="1">
      <c r="A13" s="9" t="s">
        <v>81</v>
      </c>
      <c r="B13" s="10">
        <v>0.14000000000000001</v>
      </c>
      <c r="C13" s="10">
        <v>1.1000000000000001</v>
      </c>
      <c r="D13" s="10">
        <v>5.8</v>
      </c>
    </row>
    <row r="14" spans="1:4" ht="15" customHeight="1">
      <c r="A14" s="9" t="s">
        <v>82</v>
      </c>
      <c r="B14" s="10">
        <v>3.4000000000000002E-2</v>
      </c>
      <c r="C14" s="10">
        <v>0.26</v>
      </c>
      <c r="D14" s="10">
        <v>1.4</v>
      </c>
    </row>
    <row r="15" spans="1:4" ht="15" customHeight="1">
      <c r="A15" s="9" t="s">
        <v>83</v>
      </c>
      <c r="B15" s="10">
        <v>3.1E-4</v>
      </c>
      <c r="C15" s="10">
        <v>2.7000000000000001E-3</v>
      </c>
      <c r="D15" s="10">
        <v>1.4999999999999999E-2</v>
      </c>
    </row>
    <row r="16" spans="1:4" ht="15" customHeight="1">
      <c r="A16" s="9" t="s">
        <v>84</v>
      </c>
      <c r="B16" s="10">
        <v>2.9999999999999997E-4</v>
      </c>
      <c r="C16" s="10">
        <v>2.7000000000000001E-3</v>
      </c>
      <c r="D16" s="10">
        <v>1.4E-2</v>
      </c>
    </row>
    <row r="17" spans="1:4" ht="15" customHeight="1">
      <c r="A17" s="9" t="s">
        <v>101</v>
      </c>
      <c r="B17" s="10">
        <v>1.1999999999999999E-3</v>
      </c>
      <c r="C17" s="10">
        <v>1.0999999999999999E-2</v>
      </c>
      <c r="D17" s="10">
        <v>6.2E-2</v>
      </c>
    </row>
    <row r="18" spans="1:4" ht="15" customHeight="1">
      <c r="A18" s="16" t="s">
        <v>102</v>
      </c>
      <c r="B18" s="13">
        <v>1.2999999999999999E-4</v>
      </c>
      <c r="C18" s="13">
        <v>1.1999999999999999E-3</v>
      </c>
      <c r="D18" s="13">
        <v>6.6E-3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68A03-F3E3-4DFD-8C7D-34FC35305A0C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1" t="s">
        <v>143</v>
      </c>
      <c r="B1" s="41"/>
      <c r="C1" s="41"/>
      <c r="D1" s="41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8.0000000000000004E-4</v>
      </c>
      <c r="C5" s="10">
        <v>4.4999999999999997E-3</v>
      </c>
      <c r="D5" s="10">
        <v>1.0999999999999999E-2</v>
      </c>
    </row>
    <row r="6" spans="1:4" ht="15" customHeight="1">
      <c r="A6" s="9" t="s">
        <v>99</v>
      </c>
      <c r="B6" s="10">
        <v>1.8E-3</v>
      </c>
      <c r="C6" s="10">
        <v>0.01</v>
      </c>
      <c r="D6" s="10">
        <v>2.5000000000000001E-2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3.6999999999999999E-4</v>
      </c>
      <c r="C8" s="10">
        <v>2E-3</v>
      </c>
      <c r="D8" s="10">
        <v>4.5999999999999999E-3</v>
      </c>
    </row>
    <row r="9" spans="1:4" ht="15" customHeight="1">
      <c r="A9" s="9" t="s">
        <v>77</v>
      </c>
      <c r="B9" s="10">
        <v>1E-3</v>
      </c>
      <c r="C9" s="10">
        <v>5.3E-3</v>
      </c>
      <c r="D9" s="10">
        <v>1.2999999999999999E-2</v>
      </c>
    </row>
    <row r="10" spans="1:4" ht="15" customHeight="1">
      <c r="A10" s="9" t="s">
        <v>78</v>
      </c>
      <c r="B10" s="10">
        <v>1.2999999999999999E-2</v>
      </c>
      <c r="C10" s="10">
        <v>6.7000000000000004E-2</v>
      </c>
      <c r="D10" s="10">
        <v>0.16</v>
      </c>
    </row>
    <row r="11" spans="1:4" ht="15" customHeight="1">
      <c r="A11" s="9" t="s">
        <v>79</v>
      </c>
      <c r="B11" s="10">
        <v>1.7999999999999999E-2</v>
      </c>
      <c r="C11" s="10">
        <v>9.6000000000000002E-2</v>
      </c>
      <c r="D11" s="10">
        <v>0.23</v>
      </c>
    </row>
    <row r="12" spans="1:4" ht="15" customHeight="1">
      <c r="A12" s="9" t="s">
        <v>80</v>
      </c>
      <c r="B12" s="10">
        <v>0.52</v>
      </c>
      <c r="C12" s="10">
        <v>2.8</v>
      </c>
      <c r="D12" s="10">
        <v>6.7</v>
      </c>
    </row>
    <row r="13" spans="1:4" ht="15" customHeight="1">
      <c r="A13" s="9" t="s">
        <v>81</v>
      </c>
      <c r="B13" s="10">
        <v>8.7999999999999995E-2</v>
      </c>
      <c r="C13" s="10">
        <v>0.47</v>
      </c>
      <c r="D13" s="10">
        <v>1.1000000000000001</v>
      </c>
    </row>
    <row r="14" spans="1:4" ht="15" customHeight="1">
      <c r="A14" s="9" t="s">
        <v>82</v>
      </c>
      <c r="B14" s="10">
        <v>2.1000000000000001E-2</v>
      </c>
      <c r="C14" s="10">
        <v>0.11</v>
      </c>
      <c r="D14" s="10">
        <v>0.27</v>
      </c>
    </row>
    <row r="15" spans="1:4" ht="15" customHeight="1">
      <c r="A15" s="9" t="s">
        <v>83</v>
      </c>
      <c r="B15" s="10">
        <v>1.9000000000000001E-4</v>
      </c>
      <c r="C15" s="10">
        <v>1.1000000000000001E-3</v>
      </c>
      <c r="D15" s="10">
        <v>2.5999999999999999E-3</v>
      </c>
    </row>
    <row r="16" spans="1:4" ht="15" customHeight="1">
      <c r="A16" s="9" t="s">
        <v>84</v>
      </c>
      <c r="B16" s="10">
        <v>1.8000000000000001E-4</v>
      </c>
      <c r="C16" s="10">
        <v>1E-3</v>
      </c>
      <c r="D16" s="10">
        <v>2.5000000000000001E-3</v>
      </c>
    </row>
    <row r="17" spans="1:4" ht="15" customHeight="1">
      <c r="A17" s="9" t="s">
        <v>101</v>
      </c>
      <c r="B17" s="10">
        <v>7.6999999999999996E-4</v>
      </c>
      <c r="C17" s="10">
        <v>4.4000000000000003E-3</v>
      </c>
      <c r="D17" s="10">
        <v>1.0999999999999999E-2</v>
      </c>
    </row>
    <row r="18" spans="1:4" ht="15" customHeight="1">
      <c r="A18" s="16" t="s">
        <v>102</v>
      </c>
      <c r="B18" s="13">
        <v>8.2000000000000001E-5</v>
      </c>
      <c r="C18" s="13">
        <v>4.8000000000000001E-4</v>
      </c>
      <c r="D18" s="13">
        <v>1.1999999999999999E-3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683D03-4C0C-467D-B593-7B6D0F6CC623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1" t="s">
        <v>144</v>
      </c>
      <c r="B1" s="41"/>
      <c r="C1" s="41"/>
      <c r="D1" s="41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5.9000000000000003E-4</v>
      </c>
      <c r="C5" s="10">
        <v>5.8999999999999999E-3</v>
      </c>
      <c r="D5" s="10">
        <v>3.6999999999999998E-2</v>
      </c>
    </row>
    <row r="6" spans="1:4" ht="15" customHeight="1">
      <c r="A6" s="9" t="s">
        <v>99</v>
      </c>
      <c r="B6" s="10">
        <v>1.2999999999999999E-3</v>
      </c>
      <c r="C6" s="10">
        <v>1.2999999999999999E-2</v>
      </c>
      <c r="D6" s="10">
        <v>8.4000000000000005E-2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2.4000000000000001E-4</v>
      </c>
      <c r="C8" s="10">
        <v>2.5999999999999999E-3</v>
      </c>
      <c r="D8" s="10">
        <v>1.7000000000000001E-2</v>
      </c>
    </row>
    <row r="9" spans="1:4" ht="15" customHeight="1">
      <c r="A9" s="9" t="s">
        <v>77</v>
      </c>
      <c r="B9" s="10">
        <v>6.3000000000000003E-4</v>
      </c>
      <c r="C9" s="10">
        <v>6.7000000000000002E-3</v>
      </c>
      <c r="D9" s="10">
        <v>4.2000000000000003E-2</v>
      </c>
    </row>
    <row r="10" spans="1:4" ht="15" customHeight="1">
      <c r="A10" s="9" t="s">
        <v>78</v>
      </c>
      <c r="B10" s="10">
        <v>8.0000000000000002E-3</v>
      </c>
      <c r="C10" s="10">
        <v>8.5000000000000006E-2</v>
      </c>
      <c r="D10" s="10">
        <v>0.54</v>
      </c>
    </row>
    <row r="11" spans="1:4" ht="15" customHeight="1">
      <c r="A11" s="9" t="s">
        <v>79</v>
      </c>
      <c r="B11" s="10">
        <v>1.0999999999999999E-2</v>
      </c>
      <c r="C11" s="10">
        <v>0.12</v>
      </c>
      <c r="D11" s="10">
        <v>0.76</v>
      </c>
    </row>
    <row r="12" spans="1:4" ht="15" customHeight="1">
      <c r="A12" s="9" t="s">
        <v>80</v>
      </c>
      <c r="B12" s="10">
        <v>0.34</v>
      </c>
      <c r="C12" s="10">
        <v>3.5</v>
      </c>
      <c r="D12" s="10">
        <v>22</v>
      </c>
    </row>
    <row r="13" spans="1:4" ht="15" customHeight="1">
      <c r="A13" s="9" t="s">
        <v>81</v>
      </c>
      <c r="B13" s="10">
        <v>5.8000000000000003E-2</v>
      </c>
      <c r="C13" s="10">
        <v>0.6</v>
      </c>
      <c r="D13" s="10">
        <v>3.7</v>
      </c>
    </row>
    <row r="14" spans="1:4" ht="15" customHeight="1">
      <c r="A14" s="9" t="s">
        <v>82</v>
      </c>
      <c r="B14" s="10">
        <v>1.2999999999999999E-2</v>
      </c>
      <c r="C14" s="10">
        <v>0.14000000000000001</v>
      </c>
      <c r="D14" s="10">
        <v>0.9</v>
      </c>
    </row>
    <row r="15" spans="1:4" ht="15" customHeight="1">
      <c r="A15" s="9" t="s">
        <v>83</v>
      </c>
      <c r="B15" s="10">
        <v>1.3999999999999999E-4</v>
      </c>
      <c r="C15" s="10">
        <v>1.5E-3</v>
      </c>
      <c r="D15" s="10">
        <v>9.4000000000000004E-3</v>
      </c>
    </row>
    <row r="16" spans="1:4" ht="15" customHeight="1">
      <c r="A16" s="9" t="s">
        <v>84</v>
      </c>
      <c r="B16" s="10">
        <v>1.3999999999999999E-4</v>
      </c>
      <c r="C16" s="10">
        <v>1.5E-3</v>
      </c>
      <c r="D16" s="10">
        <v>9.4000000000000004E-3</v>
      </c>
    </row>
    <row r="17" spans="1:4" ht="15" customHeight="1">
      <c r="A17" s="9" t="s">
        <v>101</v>
      </c>
      <c r="B17" s="10">
        <v>5.8E-4</v>
      </c>
      <c r="C17" s="10">
        <v>6.4000000000000003E-3</v>
      </c>
      <c r="D17" s="10">
        <v>0.04</v>
      </c>
    </row>
    <row r="18" spans="1:4" ht="15" customHeight="1">
      <c r="A18" s="16" t="s">
        <v>102</v>
      </c>
      <c r="B18" s="13">
        <v>6.2000000000000003E-5</v>
      </c>
      <c r="C18" s="13">
        <v>6.8999999999999997E-4</v>
      </c>
      <c r="D18" s="13">
        <v>4.3E-3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C17B3-0E44-4182-A97C-5EFFDFD8838E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1" t="s">
        <v>145</v>
      </c>
      <c r="B1" s="41"/>
      <c r="C1" s="41"/>
      <c r="D1" s="41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1.6999999999999999E-3</v>
      </c>
      <c r="C5" s="10">
        <v>1.2999999999999999E-2</v>
      </c>
      <c r="D5" s="10">
        <v>4.8000000000000001E-2</v>
      </c>
    </row>
    <row r="6" spans="1:4" ht="15" customHeight="1">
      <c r="A6" s="9" t="s">
        <v>99</v>
      </c>
      <c r="B6" s="10">
        <v>4.0000000000000001E-3</v>
      </c>
      <c r="C6" s="10">
        <v>0.03</v>
      </c>
      <c r="D6" s="10">
        <v>0.11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8.9999999999999998E-4</v>
      </c>
      <c r="C8" s="10">
        <v>6.4999999999999997E-3</v>
      </c>
      <c r="D8" s="10">
        <v>2.4E-2</v>
      </c>
    </row>
    <row r="9" spans="1:4" ht="15" customHeight="1">
      <c r="A9" s="9" t="s">
        <v>77</v>
      </c>
      <c r="B9" s="10">
        <v>2.3999999999999998E-3</v>
      </c>
      <c r="C9" s="10">
        <v>1.7000000000000001E-2</v>
      </c>
      <c r="D9" s="10">
        <v>6.4000000000000001E-2</v>
      </c>
    </row>
    <row r="10" spans="1:4" ht="15" customHeight="1">
      <c r="A10" s="9" t="s">
        <v>78</v>
      </c>
      <c r="B10" s="10">
        <v>3.1E-2</v>
      </c>
      <c r="C10" s="10">
        <v>0.22</v>
      </c>
      <c r="D10" s="10">
        <v>0.82</v>
      </c>
    </row>
    <row r="11" spans="1:4" ht="15" customHeight="1">
      <c r="A11" s="9" t="s">
        <v>79</v>
      </c>
      <c r="B11" s="10">
        <v>4.3999999999999997E-2</v>
      </c>
      <c r="C11" s="10">
        <v>0.31</v>
      </c>
      <c r="D11" s="10">
        <v>1.2</v>
      </c>
    </row>
    <row r="12" spans="1:4" ht="15" customHeight="1">
      <c r="A12" s="9" t="s">
        <v>80</v>
      </c>
      <c r="B12" s="10">
        <v>1.3</v>
      </c>
      <c r="C12" s="10">
        <v>9.5</v>
      </c>
      <c r="D12" s="10">
        <v>35</v>
      </c>
    </row>
    <row r="13" spans="1:4" ht="15" customHeight="1">
      <c r="A13" s="9" t="s">
        <v>81</v>
      </c>
      <c r="B13" s="10">
        <v>0.21</v>
      </c>
      <c r="C13" s="10">
        <v>1.6</v>
      </c>
      <c r="D13" s="10">
        <v>5.9</v>
      </c>
    </row>
    <row r="14" spans="1:4" ht="15" customHeight="1">
      <c r="A14" s="9" t="s">
        <v>82</v>
      </c>
      <c r="B14" s="10">
        <v>5.0999999999999997E-2</v>
      </c>
      <c r="C14" s="10">
        <v>0.37</v>
      </c>
      <c r="D14" s="10">
        <v>1.4</v>
      </c>
    </row>
    <row r="15" spans="1:4" ht="15" customHeight="1">
      <c r="A15" s="9" t="s">
        <v>83</v>
      </c>
      <c r="B15" s="10">
        <v>4.2000000000000002E-4</v>
      </c>
      <c r="C15" s="10">
        <v>3.0999999999999999E-3</v>
      </c>
      <c r="D15" s="10">
        <v>1.2E-2</v>
      </c>
    </row>
    <row r="16" spans="1:4" ht="15" customHeight="1">
      <c r="A16" s="9" t="s">
        <v>84</v>
      </c>
      <c r="B16" s="10">
        <v>3.8999999999999999E-4</v>
      </c>
      <c r="C16" s="10">
        <v>2.8999999999999998E-3</v>
      </c>
      <c r="D16" s="10">
        <v>1.0999999999999999E-2</v>
      </c>
    </row>
    <row r="17" spans="1:4" ht="15" customHeight="1">
      <c r="A17" s="9" t="s">
        <v>101</v>
      </c>
      <c r="B17" s="10">
        <v>1.6999999999999999E-3</v>
      </c>
      <c r="C17" s="10">
        <v>1.2999999999999999E-2</v>
      </c>
      <c r="D17" s="10">
        <v>4.7E-2</v>
      </c>
    </row>
    <row r="18" spans="1:4" ht="15" customHeight="1">
      <c r="A18" s="16" t="s">
        <v>102</v>
      </c>
      <c r="B18" s="13">
        <v>1.8000000000000001E-4</v>
      </c>
      <c r="C18" s="13">
        <v>1.4E-3</v>
      </c>
      <c r="D18" s="13">
        <v>5.1000000000000004E-3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E2A9F-4C66-4140-9816-AB80D7B8B503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1" t="s">
        <v>146</v>
      </c>
      <c r="B1" s="41"/>
      <c r="C1" s="41"/>
      <c r="D1" s="41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1E-3</v>
      </c>
      <c r="C5" s="10">
        <v>6.4000000000000003E-3</v>
      </c>
      <c r="D5" s="10">
        <v>4.2999999999999997E-2</v>
      </c>
    </row>
    <row r="6" spans="1:4" ht="15" customHeight="1">
      <c r="A6" s="9" t="s">
        <v>99</v>
      </c>
      <c r="B6" s="10">
        <v>2.3E-3</v>
      </c>
      <c r="C6" s="10">
        <v>1.4999999999999999E-2</v>
      </c>
      <c r="D6" s="10">
        <v>9.6000000000000002E-2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5.5000000000000003E-4</v>
      </c>
      <c r="C8" s="10">
        <v>3.7000000000000002E-3</v>
      </c>
      <c r="D8" s="10">
        <v>2.4E-2</v>
      </c>
    </row>
    <row r="9" spans="1:4" ht="15" customHeight="1">
      <c r="A9" s="9" t="s">
        <v>77</v>
      </c>
      <c r="B9" s="10">
        <v>1.4E-3</v>
      </c>
      <c r="C9" s="10">
        <v>8.3999999999999995E-3</v>
      </c>
      <c r="D9" s="10">
        <v>5.7000000000000002E-2</v>
      </c>
    </row>
    <row r="10" spans="1:4" ht="15" customHeight="1">
      <c r="A10" s="9" t="s">
        <v>78</v>
      </c>
      <c r="B10" s="10">
        <v>1.7999999999999999E-2</v>
      </c>
      <c r="C10" s="10">
        <v>0.11</v>
      </c>
      <c r="D10" s="10">
        <v>0.73</v>
      </c>
    </row>
    <row r="11" spans="1:4" ht="15" customHeight="1">
      <c r="A11" s="9" t="s">
        <v>79</v>
      </c>
      <c r="B11" s="10">
        <v>2.5999999999999999E-2</v>
      </c>
      <c r="C11" s="10">
        <v>0.15</v>
      </c>
      <c r="D11" s="10">
        <v>1</v>
      </c>
    </row>
    <row r="12" spans="1:4" ht="15" customHeight="1">
      <c r="A12" s="9" t="s">
        <v>80</v>
      </c>
      <c r="B12" s="10">
        <v>0.73</v>
      </c>
      <c r="C12" s="10">
        <v>4.5</v>
      </c>
      <c r="D12" s="10">
        <v>31</v>
      </c>
    </row>
    <row r="13" spans="1:4" ht="15" customHeight="1">
      <c r="A13" s="9" t="s">
        <v>81</v>
      </c>
      <c r="B13" s="10">
        <v>0.12</v>
      </c>
      <c r="C13" s="10">
        <v>0.77</v>
      </c>
      <c r="D13" s="10">
        <v>5.3</v>
      </c>
    </row>
    <row r="14" spans="1:4" ht="15" customHeight="1">
      <c r="A14" s="9" t="s">
        <v>82</v>
      </c>
      <c r="B14" s="10">
        <v>0.03</v>
      </c>
      <c r="C14" s="10">
        <v>0.18</v>
      </c>
      <c r="D14" s="10">
        <v>1.2</v>
      </c>
    </row>
    <row r="15" spans="1:4" ht="15" customHeight="1">
      <c r="A15" s="9" t="s">
        <v>83</v>
      </c>
      <c r="B15" s="10">
        <v>2.5000000000000001E-4</v>
      </c>
      <c r="C15" s="10">
        <v>1.6999999999999999E-3</v>
      </c>
      <c r="D15" s="10">
        <v>1.0999999999999999E-2</v>
      </c>
    </row>
    <row r="16" spans="1:4" ht="15" customHeight="1">
      <c r="A16" s="9" t="s">
        <v>84</v>
      </c>
      <c r="B16" s="10">
        <v>2.4000000000000001E-4</v>
      </c>
      <c r="C16" s="10">
        <v>1.6000000000000001E-3</v>
      </c>
      <c r="D16" s="10">
        <v>1.0999999999999999E-2</v>
      </c>
    </row>
    <row r="17" spans="1:4" ht="15" customHeight="1">
      <c r="A17" s="9" t="s">
        <v>101</v>
      </c>
      <c r="B17" s="10">
        <v>1E-3</v>
      </c>
      <c r="C17" s="10">
        <v>6.4999999999999997E-3</v>
      </c>
      <c r="D17" s="10">
        <v>4.2999999999999997E-2</v>
      </c>
    </row>
    <row r="18" spans="1:4" ht="15" customHeight="1">
      <c r="A18" s="16" t="s">
        <v>102</v>
      </c>
      <c r="B18" s="13">
        <v>1.1E-4</v>
      </c>
      <c r="C18" s="13">
        <v>7.1000000000000002E-4</v>
      </c>
      <c r="D18" s="13">
        <v>4.7000000000000002E-3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DD9F2-55D9-4961-BA6F-11382F4CA736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1" t="s">
        <v>147</v>
      </c>
      <c r="B1" s="41"/>
      <c r="C1" s="41"/>
      <c r="D1" s="41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8.1999999999999998E-4</v>
      </c>
      <c r="C5" s="10">
        <v>5.4000000000000003E-3</v>
      </c>
      <c r="D5" s="10">
        <v>3.5000000000000003E-2</v>
      </c>
    </row>
    <row r="6" spans="1:4" ht="15" customHeight="1">
      <c r="A6" s="9" t="s">
        <v>99</v>
      </c>
      <c r="B6" s="10">
        <v>1.9E-3</v>
      </c>
      <c r="C6" s="10">
        <v>1.2E-2</v>
      </c>
      <c r="D6" s="10">
        <v>7.9000000000000001E-2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4.2000000000000002E-4</v>
      </c>
      <c r="C8" s="10">
        <v>2.8E-3</v>
      </c>
      <c r="D8" s="10">
        <v>1.7999999999999999E-2</v>
      </c>
    </row>
    <row r="9" spans="1:4" ht="15" customHeight="1">
      <c r="A9" s="9" t="s">
        <v>77</v>
      </c>
      <c r="B9" s="10">
        <v>1.1000000000000001E-3</v>
      </c>
      <c r="C9" s="10">
        <v>6.7999999999999996E-3</v>
      </c>
      <c r="D9" s="10">
        <v>4.7E-2</v>
      </c>
    </row>
    <row r="10" spans="1:4" ht="15" customHeight="1">
      <c r="A10" s="9" t="s">
        <v>78</v>
      </c>
      <c r="B10" s="10">
        <v>1.4E-2</v>
      </c>
      <c r="C10" s="10">
        <v>8.5999999999999993E-2</v>
      </c>
      <c r="D10" s="10">
        <v>0.59</v>
      </c>
    </row>
    <row r="11" spans="1:4" ht="15" customHeight="1">
      <c r="A11" s="9" t="s">
        <v>79</v>
      </c>
      <c r="B11" s="10">
        <v>0.02</v>
      </c>
      <c r="C11" s="10">
        <v>0.12</v>
      </c>
      <c r="D11" s="10">
        <v>0.84</v>
      </c>
    </row>
    <row r="12" spans="1:4" ht="15" customHeight="1">
      <c r="A12" s="9" t="s">
        <v>80</v>
      </c>
      <c r="B12" s="10">
        <v>0.57999999999999996</v>
      </c>
      <c r="C12" s="10">
        <v>3.6</v>
      </c>
      <c r="D12" s="10">
        <v>25</v>
      </c>
    </row>
    <row r="13" spans="1:4" ht="15" customHeight="1">
      <c r="A13" s="9" t="s">
        <v>81</v>
      </c>
      <c r="B13" s="10">
        <v>9.8000000000000004E-2</v>
      </c>
      <c r="C13" s="10">
        <v>0.61</v>
      </c>
      <c r="D13" s="10">
        <v>4.2</v>
      </c>
    </row>
    <row r="14" spans="1:4" ht="15" customHeight="1">
      <c r="A14" s="9" t="s">
        <v>82</v>
      </c>
      <c r="B14" s="10">
        <v>2.4E-2</v>
      </c>
      <c r="C14" s="10">
        <v>0.14000000000000001</v>
      </c>
      <c r="D14" s="10">
        <v>0.99</v>
      </c>
    </row>
    <row r="15" spans="1:4" ht="15" customHeight="1">
      <c r="A15" s="9" t="s">
        <v>83</v>
      </c>
      <c r="B15" s="10">
        <v>2.0000000000000001E-4</v>
      </c>
      <c r="C15" s="10">
        <v>1.4E-3</v>
      </c>
      <c r="D15" s="10">
        <v>9.1000000000000004E-3</v>
      </c>
    </row>
    <row r="16" spans="1:4" ht="15" customHeight="1">
      <c r="A16" s="9" t="s">
        <v>84</v>
      </c>
      <c r="B16" s="10">
        <v>2.0000000000000001E-4</v>
      </c>
      <c r="C16" s="10">
        <v>1.4E-3</v>
      </c>
      <c r="D16" s="10">
        <v>8.8000000000000005E-3</v>
      </c>
    </row>
    <row r="17" spans="1:4" ht="15" customHeight="1">
      <c r="A17" s="9" t="s">
        <v>101</v>
      </c>
      <c r="B17" s="10">
        <v>8.1999999999999998E-4</v>
      </c>
      <c r="C17" s="10">
        <v>5.4999999999999997E-3</v>
      </c>
      <c r="D17" s="10">
        <v>3.5999999999999997E-2</v>
      </c>
    </row>
    <row r="18" spans="1:4" ht="15" customHeight="1">
      <c r="A18" s="16" t="s">
        <v>102</v>
      </c>
      <c r="B18" s="13">
        <v>8.7999999999999998E-5</v>
      </c>
      <c r="C18" s="13">
        <v>5.9999999999999995E-4</v>
      </c>
      <c r="D18" s="13">
        <v>3.8999999999999998E-3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059AC-4CC7-4A2C-B5C7-F77B9DF0E6E8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1" t="s">
        <v>148</v>
      </c>
      <c r="B1" s="41"/>
      <c r="C1" s="41"/>
      <c r="D1" s="41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9.2000000000000003E-4</v>
      </c>
      <c r="C5" s="10">
        <v>1.0999999999999999E-2</v>
      </c>
      <c r="D5" s="10">
        <v>3.1E-2</v>
      </c>
    </row>
    <row r="6" spans="1:4" ht="15" customHeight="1">
      <c r="A6" s="9" t="s">
        <v>99</v>
      </c>
      <c r="B6" s="10">
        <v>2.0999999999999999E-3</v>
      </c>
      <c r="C6" s="10">
        <v>2.5000000000000001E-2</v>
      </c>
      <c r="D6" s="10">
        <v>7.0999999999999994E-2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4.6000000000000001E-4</v>
      </c>
      <c r="C8" s="10">
        <v>5.7000000000000002E-3</v>
      </c>
      <c r="D8" s="10">
        <v>1.7000000000000001E-2</v>
      </c>
    </row>
    <row r="9" spans="1:4" ht="15" customHeight="1">
      <c r="A9" s="9" t="s">
        <v>77</v>
      </c>
      <c r="B9" s="10">
        <v>1.2999999999999999E-3</v>
      </c>
      <c r="C9" s="10">
        <v>1.7999999999999999E-2</v>
      </c>
      <c r="D9" s="10">
        <v>4.2999999999999997E-2</v>
      </c>
    </row>
    <row r="10" spans="1:4" ht="15" customHeight="1">
      <c r="A10" s="9" t="s">
        <v>78</v>
      </c>
      <c r="B10" s="10">
        <v>1.6E-2</v>
      </c>
      <c r="C10" s="10">
        <v>0.23</v>
      </c>
      <c r="D10" s="10">
        <v>0.55000000000000004</v>
      </c>
    </row>
    <row r="11" spans="1:4" ht="15" customHeight="1">
      <c r="A11" s="9" t="s">
        <v>79</v>
      </c>
      <c r="B11" s="10">
        <v>2.3E-2</v>
      </c>
      <c r="C11" s="10">
        <v>0.33</v>
      </c>
      <c r="D11" s="10">
        <v>0.78</v>
      </c>
    </row>
    <row r="12" spans="1:4" ht="15" customHeight="1">
      <c r="A12" s="9" t="s">
        <v>80</v>
      </c>
      <c r="B12" s="10">
        <v>0.67</v>
      </c>
      <c r="C12" s="10">
        <v>10</v>
      </c>
      <c r="D12" s="10">
        <v>23</v>
      </c>
    </row>
    <row r="13" spans="1:4" ht="15" customHeight="1">
      <c r="A13" s="9" t="s">
        <v>81</v>
      </c>
      <c r="B13" s="10">
        <v>0.11</v>
      </c>
      <c r="C13" s="10">
        <v>1.7</v>
      </c>
      <c r="D13" s="10">
        <v>4</v>
      </c>
    </row>
    <row r="14" spans="1:4" ht="15" customHeight="1">
      <c r="A14" s="9" t="s">
        <v>82</v>
      </c>
      <c r="B14" s="10">
        <v>2.7E-2</v>
      </c>
      <c r="C14" s="10">
        <v>0.39</v>
      </c>
      <c r="D14" s="10">
        <v>0.92</v>
      </c>
    </row>
    <row r="15" spans="1:4" ht="15" customHeight="1">
      <c r="A15" s="9" t="s">
        <v>83</v>
      </c>
      <c r="B15" s="10">
        <v>2.3000000000000001E-4</v>
      </c>
      <c r="C15" s="10">
        <v>3.0999999999999999E-3</v>
      </c>
      <c r="D15" s="10">
        <v>8.0999999999999996E-3</v>
      </c>
    </row>
    <row r="16" spans="1:4" ht="15" customHeight="1">
      <c r="A16" s="9" t="s">
        <v>84</v>
      </c>
      <c r="B16" s="10">
        <v>2.3000000000000001E-4</v>
      </c>
      <c r="C16" s="10">
        <v>2.8E-3</v>
      </c>
      <c r="D16" s="10">
        <v>7.7999999999999996E-3</v>
      </c>
    </row>
    <row r="17" spans="1:4" ht="15" customHeight="1">
      <c r="A17" s="9" t="s">
        <v>101</v>
      </c>
      <c r="B17" s="10">
        <v>9.3999999999999997E-4</v>
      </c>
      <c r="C17" s="10">
        <v>1.2E-2</v>
      </c>
      <c r="D17" s="10">
        <v>3.2000000000000001E-2</v>
      </c>
    </row>
    <row r="18" spans="1:4" ht="15" customHeight="1">
      <c r="A18" s="16" t="s">
        <v>102</v>
      </c>
      <c r="B18" s="13">
        <v>1E-4</v>
      </c>
      <c r="C18" s="13">
        <v>1.2999999999999999E-3</v>
      </c>
      <c r="D18" s="13">
        <v>3.3999999999999998E-3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23A82-068B-4C4E-81AF-125ED6670642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1" t="s">
        <v>149</v>
      </c>
      <c r="B1" s="41"/>
      <c r="C1" s="41"/>
      <c r="D1" s="41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8.8000000000000003E-4</v>
      </c>
      <c r="C5" s="10">
        <v>5.8999999999999999E-3</v>
      </c>
      <c r="D5" s="10">
        <v>4.1000000000000002E-2</v>
      </c>
    </row>
    <row r="6" spans="1:4" ht="15" customHeight="1">
      <c r="A6" s="9" t="s">
        <v>99</v>
      </c>
      <c r="B6" s="10">
        <v>2E-3</v>
      </c>
      <c r="C6" s="10">
        <v>1.2999999999999999E-2</v>
      </c>
      <c r="D6" s="10">
        <v>9.1999999999999998E-2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4.6999999999999999E-4</v>
      </c>
      <c r="C8" s="10">
        <v>3.2000000000000002E-3</v>
      </c>
      <c r="D8" s="10">
        <v>2.4E-2</v>
      </c>
    </row>
    <row r="9" spans="1:4" ht="15" customHeight="1">
      <c r="A9" s="9" t="s">
        <v>77</v>
      </c>
      <c r="B9" s="10">
        <v>1.2999999999999999E-3</v>
      </c>
      <c r="C9" s="10">
        <v>9.2999999999999992E-3</v>
      </c>
      <c r="D9" s="10">
        <v>5.7000000000000002E-2</v>
      </c>
    </row>
    <row r="10" spans="1:4" ht="15" customHeight="1">
      <c r="A10" s="9" t="s">
        <v>78</v>
      </c>
      <c r="B10" s="10">
        <v>1.6E-2</v>
      </c>
      <c r="C10" s="10">
        <v>0.12</v>
      </c>
      <c r="D10" s="10">
        <v>0.72</v>
      </c>
    </row>
    <row r="11" spans="1:4" ht="15" customHeight="1">
      <c r="A11" s="9" t="s">
        <v>79</v>
      </c>
      <c r="B11" s="10">
        <v>2.3E-2</v>
      </c>
      <c r="C11" s="10">
        <v>0.17</v>
      </c>
      <c r="D11" s="10">
        <v>1</v>
      </c>
    </row>
    <row r="12" spans="1:4" ht="15" customHeight="1">
      <c r="A12" s="9" t="s">
        <v>80</v>
      </c>
      <c r="B12" s="10">
        <v>0.67</v>
      </c>
      <c r="C12" s="10">
        <v>4.7</v>
      </c>
      <c r="D12" s="10">
        <v>31</v>
      </c>
    </row>
    <row r="13" spans="1:4" ht="15" customHeight="1">
      <c r="A13" s="9" t="s">
        <v>81</v>
      </c>
      <c r="B13" s="10">
        <v>0.11</v>
      </c>
      <c r="C13" s="10">
        <v>0.8</v>
      </c>
      <c r="D13" s="10">
        <v>5.3</v>
      </c>
    </row>
    <row r="14" spans="1:4" ht="15" customHeight="1">
      <c r="A14" s="9" t="s">
        <v>82</v>
      </c>
      <c r="B14" s="10">
        <v>2.7E-2</v>
      </c>
      <c r="C14" s="10">
        <v>0.2</v>
      </c>
      <c r="D14" s="10">
        <v>1.2</v>
      </c>
    </row>
    <row r="15" spans="1:4" ht="15" customHeight="1">
      <c r="A15" s="9" t="s">
        <v>83</v>
      </c>
      <c r="B15" s="10">
        <v>2.2000000000000001E-4</v>
      </c>
      <c r="C15" s="10">
        <v>1.2999999999999999E-3</v>
      </c>
      <c r="D15" s="10">
        <v>1.0999999999999999E-2</v>
      </c>
    </row>
    <row r="16" spans="1:4" ht="15" customHeight="1">
      <c r="A16" s="9" t="s">
        <v>84</v>
      </c>
      <c r="B16" s="10">
        <v>2.1000000000000001E-4</v>
      </c>
      <c r="C16" s="10">
        <v>1.2999999999999999E-3</v>
      </c>
      <c r="D16" s="10">
        <v>0.01</v>
      </c>
    </row>
    <row r="17" spans="1:4" ht="15" customHeight="1">
      <c r="A17" s="9" t="s">
        <v>101</v>
      </c>
      <c r="B17" s="10">
        <v>8.9999999999999998E-4</v>
      </c>
      <c r="C17" s="10">
        <v>5.5999999999999999E-3</v>
      </c>
      <c r="D17" s="10">
        <v>4.1000000000000002E-2</v>
      </c>
    </row>
    <row r="18" spans="1:4" ht="15" customHeight="1">
      <c r="A18" s="16" t="s">
        <v>102</v>
      </c>
      <c r="B18" s="13">
        <v>9.7E-5</v>
      </c>
      <c r="C18" s="13">
        <v>5.9999999999999995E-4</v>
      </c>
      <c r="D18" s="13">
        <v>4.4999999999999997E-3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AB416-EB77-4C21-AD57-94D5905FB3FE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1" t="s">
        <v>150</v>
      </c>
      <c r="B1" s="41"/>
      <c r="C1" s="41"/>
      <c r="D1" s="41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9.7999999999999997E-4</v>
      </c>
      <c r="C5" s="10">
        <v>2.5999999999999999E-3</v>
      </c>
      <c r="D5" s="10">
        <v>4.8000000000000001E-2</v>
      </c>
    </row>
    <row r="6" spans="1:4" ht="15" customHeight="1">
      <c r="A6" s="9" t="s">
        <v>99</v>
      </c>
      <c r="B6" s="10">
        <v>2.2000000000000001E-3</v>
      </c>
      <c r="C6" s="10">
        <v>6.0000000000000001E-3</v>
      </c>
      <c r="D6" s="10">
        <v>0.11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5.1999999999999995E-4</v>
      </c>
      <c r="C8" s="10">
        <v>1.4E-3</v>
      </c>
      <c r="D8" s="10">
        <v>2.7E-2</v>
      </c>
    </row>
    <row r="9" spans="1:4" ht="15" customHeight="1">
      <c r="A9" s="9" t="s">
        <v>77</v>
      </c>
      <c r="B9" s="10">
        <v>1.2999999999999999E-3</v>
      </c>
      <c r="C9" s="10">
        <v>4.1000000000000003E-3</v>
      </c>
      <c r="D9" s="10">
        <v>6.7000000000000004E-2</v>
      </c>
    </row>
    <row r="10" spans="1:4" ht="15" customHeight="1">
      <c r="A10" s="9" t="s">
        <v>78</v>
      </c>
      <c r="B10" s="10">
        <v>1.7000000000000001E-2</v>
      </c>
      <c r="C10" s="10">
        <v>5.1999999999999998E-2</v>
      </c>
      <c r="D10" s="10">
        <v>0.86</v>
      </c>
    </row>
    <row r="11" spans="1:4" ht="15" customHeight="1">
      <c r="A11" s="9" t="s">
        <v>79</v>
      </c>
      <c r="B11" s="10">
        <v>2.5000000000000001E-2</v>
      </c>
      <c r="C11" s="10">
        <v>7.3999999999999996E-2</v>
      </c>
      <c r="D11" s="10">
        <v>1.2</v>
      </c>
    </row>
    <row r="12" spans="1:4" ht="15" customHeight="1">
      <c r="A12" s="9" t="s">
        <v>80</v>
      </c>
      <c r="B12" s="10">
        <v>0.7</v>
      </c>
      <c r="C12" s="10">
        <v>2.1</v>
      </c>
      <c r="D12" s="10">
        <v>36</v>
      </c>
    </row>
    <row r="13" spans="1:4" ht="15" customHeight="1">
      <c r="A13" s="9" t="s">
        <v>81</v>
      </c>
      <c r="B13" s="10">
        <v>0.12</v>
      </c>
      <c r="C13" s="10">
        <v>0.35</v>
      </c>
      <c r="D13" s="10">
        <v>6.2</v>
      </c>
    </row>
    <row r="14" spans="1:4" ht="15" customHeight="1">
      <c r="A14" s="9" t="s">
        <v>82</v>
      </c>
      <c r="B14" s="10">
        <v>2.9000000000000001E-2</v>
      </c>
      <c r="C14" s="10">
        <v>8.6999999999999994E-2</v>
      </c>
      <c r="D14" s="10">
        <v>1.4</v>
      </c>
    </row>
    <row r="15" spans="1:4" ht="15" customHeight="1">
      <c r="A15" s="9" t="s">
        <v>83</v>
      </c>
      <c r="B15" s="10">
        <v>2.5000000000000001E-4</v>
      </c>
      <c r="C15" s="10">
        <v>6.2E-4</v>
      </c>
      <c r="D15" s="10">
        <v>1.2E-2</v>
      </c>
    </row>
    <row r="16" spans="1:4" ht="15" customHeight="1">
      <c r="A16" s="9" t="s">
        <v>84</v>
      </c>
      <c r="B16" s="10">
        <v>2.4000000000000001E-4</v>
      </c>
      <c r="C16" s="10">
        <v>5.9999999999999995E-4</v>
      </c>
      <c r="D16" s="10">
        <v>1.2E-2</v>
      </c>
    </row>
    <row r="17" spans="1:4" ht="15" customHeight="1">
      <c r="A17" s="9" t="s">
        <v>101</v>
      </c>
      <c r="B17" s="10">
        <v>9.7999999999999997E-4</v>
      </c>
      <c r="C17" s="10">
        <v>2.5000000000000001E-3</v>
      </c>
      <c r="D17" s="10">
        <v>4.9000000000000002E-2</v>
      </c>
    </row>
    <row r="18" spans="1:4" ht="15" customHeight="1">
      <c r="A18" s="16" t="s">
        <v>102</v>
      </c>
      <c r="B18" s="13">
        <v>1.1E-4</v>
      </c>
      <c r="C18" s="13">
        <v>2.7E-4</v>
      </c>
      <c r="D18" s="13">
        <v>5.3E-3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EC6C5-1B48-4C4D-8759-BF473743C953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1" t="s">
        <v>151</v>
      </c>
      <c r="B1" s="41"/>
      <c r="C1" s="41"/>
      <c r="D1" s="41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6.9999999999999999E-4</v>
      </c>
      <c r="C5" s="10">
        <v>4.7999999999999996E-3</v>
      </c>
      <c r="D5" s="10">
        <v>1.7000000000000001E-2</v>
      </c>
    </row>
    <row r="6" spans="1:4" ht="15" customHeight="1">
      <c r="A6" s="9" t="s">
        <v>99</v>
      </c>
      <c r="B6" s="10">
        <v>1.6000000000000001E-3</v>
      </c>
      <c r="C6" s="10">
        <v>1.0999999999999999E-2</v>
      </c>
      <c r="D6" s="10">
        <v>3.9E-2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3.3E-4</v>
      </c>
      <c r="C8" s="10">
        <v>2.3E-3</v>
      </c>
      <c r="D8" s="10">
        <v>9.4000000000000004E-3</v>
      </c>
    </row>
    <row r="9" spans="1:4" ht="15" customHeight="1">
      <c r="A9" s="9" t="s">
        <v>77</v>
      </c>
      <c r="B9" s="10">
        <v>8.8999999999999995E-4</v>
      </c>
      <c r="C9" s="10">
        <v>5.7000000000000002E-3</v>
      </c>
      <c r="D9" s="10">
        <v>2.1999999999999999E-2</v>
      </c>
    </row>
    <row r="10" spans="1:4" ht="15" customHeight="1">
      <c r="A10" s="9" t="s">
        <v>78</v>
      </c>
      <c r="B10" s="10">
        <v>1.0999999999999999E-2</v>
      </c>
      <c r="C10" s="10">
        <v>7.2999999999999995E-2</v>
      </c>
      <c r="D10" s="10">
        <v>0.28999999999999998</v>
      </c>
    </row>
    <row r="11" spans="1:4" ht="15" customHeight="1">
      <c r="A11" s="9" t="s">
        <v>79</v>
      </c>
      <c r="B11" s="10">
        <v>1.6E-2</v>
      </c>
      <c r="C11" s="10">
        <v>0.1</v>
      </c>
      <c r="D11" s="10">
        <v>0.41</v>
      </c>
    </row>
    <row r="12" spans="1:4" ht="15" customHeight="1">
      <c r="A12" s="9" t="s">
        <v>80</v>
      </c>
      <c r="B12" s="10">
        <v>0.46</v>
      </c>
      <c r="C12" s="10">
        <v>3</v>
      </c>
      <c r="D12" s="10">
        <v>12</v>
      </c>
    </row>
    <row r="13" spans="1:4" ht="15" customHeight="1">
      <c r="A13" s="9" t="s">
        <v>81</v>
      </c>
      <c r="B13" s="10">
        <v>7.6999999999999999E-2</v>
      </c>
      <c r="C13" s="10">
        <v>0.52</v>
      </c>
      <c r="D13" s="10">
        <v>2</v>
      </c>
    </row>
    <row r="14" spans="1:4" ht="15" customHeight="1">
      <c r="A14" s="9" t="s">
        <v>82</v>
      </c>
      <c r="B14" s="10">
        <v>1.9E-2</v>
      </c>
      <c r="C14" s="10">
        <v>0.12</v>
      </c>
      <c r="D14" s="10">
        <v>0.48</v>
      </c>
    </row>
    <row r="15" spans="1:4" ht="15" customHeight="1">
      <c r="A15" s="9" t="s">
        <v>83</v>
      </c>
      <c r="B15" s="10">
        <v>1.7000000000000001E-4</v>
      </c>
      <c r="C15" s="10">
        <v>1.1999999999999999E-3</v>
      </c>
      <c r="D15" s="10">
        <v>4.4000000000000003E-3</v>
      </c>
    </row>
    <row r="16" spans="1:4" ht="15" customHeight="1">
      <c r="A16" s="9" t="s">
        <v>84</v>
      </c>
      <c r="B16" s="10">
        <v>1.7000000000000001E-4</v>
      </c>
      <c r="C16" s="10">
        <v>1.1999999999999999E-3</v>
      </c>
      <c r="D16" s="10">
        <v>4.3E-3</v>
      </c>
    </row>
    <row r="17" spans="1:4" ht="15" customHeight="1">
      <c r="A17" s="9" t="s">
        <v>101</v>
      </c>
      <c r="B17" s="10">
        <v>6.8000000000000005E-4</v>
      </c>
      <c r="C17" s="10">
        <v>4.8999999999999998E-3</v>
      </c>
      <c r="D17" s="10">
        <v>1.7999999999999999E-2</v>
      </c>
    </row>
    <row r="18" spans="1:4" ht="15" customHeight="1">
      <c r="A18" s="16" t="s">
        <v>102</v>
      </c>
      <c r="B18" s="13">
        <v>7.3999999999999996E-5</v>
      </c>
      <c r="C18" s="13">
        <v>5.4000000000000001E-4</v>
      </c>
      <c r="D18" s="13">
        <v>1.9E-3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391E4-3C1D-4007-A247-2746F525BCFB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1" t="s">
        <v>152</v>
      </c>
      <c r="B1" s="41"/>
      <c r="C1" s="41"/>
      <c r="D1" s="41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2.4000000000000001E-4</v>
      </c>
      <c r="C5" s="10">
        <v>1.6000000000000001E-3</v>
      </c>
      <c r="D5" s="10">
        <v>5.8999999999999999E-3</v>
      </c>
    </row>
    <row r="6" spans="1:4" ht="15" customHeight="1">
      <c r="A6" s="9" t="s">
        <v>99</v>
      </c>
      <c r="B6" s="10">
        <v>5.4000000000000001E-4</v>
      </c>
      <c r="C6" s="10">
        <v>3.5000000000000001E-3</v>
      </c>
      <c r="D6" s="10">
        <v>1.2999999999999999E-2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1.3999999999999999E-4</v>
      </c>
      <c r="C8" s="10">
        <v>8.4000000000000003E-4</v>
      </c>
      <c r="D8" s="10">
        <v>3.2000000000000002E-3</v>
      </c>
    </row>
    <row r="9" spans="1:4" ht="15" customHeight="1">
      <c r="A9" s="9" t="s">
        <v>77</v>
      </c>
      <c r="B9" s="10">
        <v>3.8000000000000002E-4</v>
      </c>
      <c r="C9" s="10">
        <v>2E-3</v>
      </c>
      <c r="D9" s="10">
        <v>8.0000000000000002E-3</v>
      </c>
    </row>
    <row r="10" spans="1:4" ht="15" customHeight="1">
      <c r="A10" s="9" t="s">
        <v>78</v>
      </c>
      <c r="B10" s="10">
        <v>4.8999999999999998E-3</v>
      </c>
      <c r="C10" s="10">
        <v>2.5999999999999999E-2</v>
      </c>
      <c r="D10" s="10">
        <v>0.1</v>
      </c>
    </row>
    <row r="11" spans="1:4" ht="15" customHeight="1">
      <c r="A11" s="9" t="s">
        <v>79</v>
      </c>
      <c r="B11" s="10">
        <v>7.0000000000000001E-3</v>
      </c>
      <c r="C11" s="10">
        <v>3.6999999999999998E-2</v>
      </c>
      <c r="D11" s="10">
        <v>0.14000000000000001</v>
      </c>
    </row>
    <row r="12" spans="1:4" ht="15" customHeight="1">
      <c r="A12" s="9" t="s">
        <v>80</v>
      </c>
      <c r="B12" s="10">
        <v>0.21</v>
      </c>
      <c r="C12" s="10">
        <v>1.1000000000000001</v>
      </c>
      <c r="D12" s="10">
        <v>4.4000000000000004</v>
      </c>
    </row>
    <row r="13" spans="1:4" ht="15" customHeight="1">
      <c r="A13" s="9" t="s">
        <v>81</v>
      </c>
      <c r="B13" s="10">
        <v>3.5999999999999997E-2</v>
      </c>
      <c r="C13" s="10">
        <v>0.19</v>
      </c>
      <c r="D13" s="10">
        <v>0.75</v>
      </c>
    </row>
    <row r="14" spans="1:4" ht="15" customHeight="1">
      <c r="A14" s="9" t="s">
        <v>82</v>
      </c>
      <c r="B14" s="10">
        <v>8.2000000000000007E-3</v>
      </c>
      <c r="C14" s="10">
        <v>4.2999999999999997E-2</v>
      </c>
      <c r="D14" s="10">
        <v>0.17</v>
      </c>
    </row>
    <row r="15" spans="1:4" ht="15" customHeight="1">
      <c r="A15" s="9" t="s">
        <v>83</v>
      </c>
      <c r="B15" s="10">
        <v>6.6000000000000005E-5</v>
      </c>
      <c r="C15" s="10">
        <v>4.2000000000000002E-4</v>
      </c>
      <c r="D15" s="10">
        <v>1.5E-3</v>
      </c>
    </row>
    <row r="16" spans="1:4" ht="15" customHeight="1">
      <c r="A16" s="9" t="s">
        <v>84</v>
      </c>
      <c r="B16" s="10">
        <v>6.2000000000000003E-5</v>
      </c>
      <c r="C16" s="10">
        <v>4.0000000000000002E-4</v>
      </c>
      <c r="D16" s="10">
        <v>1.4E-3</v>
      </c>
    </row>
    <row r="17" spans="1:4" ht="15" customHeight="1">
      <c r="A17" s="9" t="s">
        <v>101</v>
      </c>
      <c r="B17" s="10">
        <v>2.5999999999999998E-4</v>
      </c>
      <c r="C17" s="10">
        <v>1.6000000000000001E-3</v>
      </c>
      <c r="D17" s="10">
        <v>6.0000000000000001E-3</v>
      </c>
    </row>
    <row r="18" spans="1:4" ht="15" customHeight="1">
      <c r="A18" s="16" t="s">
        <v>102</v>
      </c>
      <c r="B18" s="13">
        <v>2.8E-5</v>
      </c>
      <c r="C18" s="13">
        <v>1.7000000000000001E-4</v>
      </c>
      <c r="D18" s="13">
        <v>6.4999999999999997E-4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60BE0-19D7-4309-B448-EA6F7FA60F9A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1" t="s">
        <v>153</v>
      </c>
      <c r="B1" s="41"/>
      <c r="C1" s="41"/>
      <c r="D1" s="41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7.7999999999999999E-4</v>
      </c>
      <c r="C5" s="10">
        <v>6.1000000000000004E-3</v>
      </c>
      <c r="D5" s="10">
        <v>5.1999999999999998E-2</v>
      </c>
    </row>
    <row r="6" spans="1:4" ht="15" customHeight="1">
      <c r="A6" s="9" t="s">
        <v>99</v>
      </c>
      <c r="B6" s="10">
        <v>1.8E-3</v>
      </c>
      <c r="C6" s="10">
        <v>1.4E-2</v>
      </c>
      <c r="D6" s="10">
        <v>0.12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4.0999999999999999E-4</v>
      </c>
      <c r="C8" s="10">
        <v>3.0999999999999999E-3</v>
      </c>
      <c r="D8" s="10">
        <v>2.5999999999999999E-2</v>
      </c>
    </row>
    <row r="9" spans="1:4" ht="15" customHeight="1">
      <c r="A9" s="9" t="s">
        <v>77</v>
      </c>
      <c r="B9" s="10">
        <v>1.1000000000000001E-3</v>
      </c>
      <c r="C9" s="10">
        <v>7.7000000000000002E-3</v>
      </c>
      <c r="D9" s="10">
        <v>7.3999999999999996E-2</v>
      </c>
    </row>
    <row r="10" spans="1:4" ht="15" customHeight="1">
      <c r="A10" s="9" t="s">
        <v>78</v>
      </c>
      <c r="B10" s="10">
        <v>1.4E-2</v>
      </c>
      <c r="C10" s="10">
        <v>9.8000000000000004E-2</v>
      </c>
      <c r="D10" s="10">
        <v>0.94</v>
      </c>
    </row>
    <row r="11" spans="1:4" ht="15" customHeight="1">
      <c r="A11" s="9" t="s">
        <v>79</v>
      </c>
      <c r="B11" s="10">
        <v>0.02</v>
      </c>
      <c r="C11" s="10">
        <v>0.14000000000000001</v>
      </c>
      <c r="D11" s="10">
        <v>1.3</v>
      </c>
    </row>
    <row r="12" spans="1:4" ht="15" customHeight="1">
      <c r="A12" s="9" t="s">
        <v>80</v>
      </c>
      <c r="B12" s="10">
        <v>0.53</v>
      </c>
      <c r="C12" s="10">
        <v>3.8</v>
      </c>
      <c r="D12" s="10">
        <v>36</v>
      </c>
    </row>
    <row r="13" spans="1:4" ht="15" customHeight="1">
      <c r="A13" s="9" t="s">
        <v>81</v>
      </c>
      <c r="B13" s="10">
        <v>0.09</v>
      </c>
      <c r="C13" s="10">
        <v>0.65</v>
      </c>
      <c r="D13" s="10">
        <v>6.1</v>
      </c>
    </row>
    <row r="14" spans="1:4" ht="15" customHeight="1">
      <c r="A14" s="9" t="s">
        <v>82</v>
      </c>
      <c r="B14" s="10">
        <v>2.3E-2</v>
      </c>
      <c r="C14" s="10">
        <v>0.16</v>
      </c>
      <c r="D14" s="10">
        <v>1.5</v>
      </c>
    </row>
    <row r="15" spans="1:4" ht="15" customHeight="1">
      <c r="A15" s="9" t="s">
        <v>83</v>
      </c>
      <c r="B15" s="10">
        <v>2.0000000000000001E-4</v>
      </c>
      <c r="C15" s="10">
        <v>1.6000000000000001E-3</v>
      </c>
      <c r="D15" s="10">
        <v>1.2999999999999999E-2</v>
      </c>
    </row>
    <row r="16" spans="1:4" ht="15" customHeight="1">
      <c r="A16" s="9" t="s">
        <v>84</v>
      </c>
      <c r="B16" s="10">
        <v>2.0000000000000001E-4</v>
      </c>
      <c r="C16" s="10">
        <v>1.5E-3</v>
      </c>
      <c r="D16" s="10">
        <v>1.2999999999999999E-2</v>
      </c>
    </row>
    <row r="17" spans="1:4" ht="15" customHeight="1">
      <c r="A17" s="9" t="s">
        <v>101</v>
      </c>
      <c r="B17" s="10">
        <v>8.0000000000000004E-4</v>
      </c>
      <c r="C17" s="10">
        <v>6.3E-3</v>
      </c>
      <c r="D17" s="10">
        <v>5.5E-2</v>
      </c>
    </row>
    <row r="18" spans="1:4" ht="15" customHeight="1">
      <c r="A18" s="16" t="s">
        <v>102</v>
      </c>
      <c r="B18" s="13">
        <v>8.6000000000000003E-5</v>
      </c>
      <c r="C18" s="13">
        <v>6.8000000000000005E-4</v>
      </c>
      <c r="D18" s="13">
        <v>5.8999999999999999E-3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61E72-C283-45B7-B2E2-6AF5EE27ACF9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1" t="s">
        <v>154</v>
      </c>
      <c r="B1" s="41"/>
      <c r="C1" s="41"/>
      <c r="D1" s="41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5.1999999999999995E-4</v>
      </c>
      <c r="C5" s="10">
        <v>6.4999999999999997E-3</v>
      </c>
      <c r="D5" s="10">
        <v>2.1000000000000001E-2</v>
      </c>
    </row>
    <row r="6" spans="1:4" ht="15" customHeight="1">
      <c r="A6" s="9" t="s">
        <v>99</v>
      </c>
      <c r="B6" s="10">
        <v>1.1999999999999999E-3</v>
      </c>
      <c r="C6" s="10">
        <v>1.4999999999999999E-2</v>
      </c>
      <c r="D6" s="10">
        <v>4.9000000000000002E-2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2.5000000000000001E-4</v>
      </c>
      <c r="C8" s="10">
        <v>3.0000000000000001E-3</v>
      </c>
      <c r="D8" s="10">
        <v>9.2999999999999992E-3</v>
      </c>
    </row>
    <row r="9" spans="1:4" ht="15" customHeight="1">
      <c r="A9" s="9" t="s">
        <v>77</v>
      </c>
      <c r="B9" s="10">
        <v>6.6E-4</v>
      </c>
      <c r="C9" s="10">
        <v>7.7999999999999996E-3</v>
      </c>
      <c r="D9" s="10">
        <v>2.5999999999999999E-2</v>
      </c>
    </row>
    <row r="10" spans="1:4" ht="15" customHeight="1">
      <c r="A10" s="9" t="s">
        <v>78</v>
      </c>
      <c r="B10" s="10">
        <v>8.3999999999999995E-3</v>
      </c>
      <c r="C10" s="10">
        <v>0.1</v>
      </c>
      <c r="D10" s="10">
        <v>0.33</v>
      </c>
    </row>
    <row r="11" spans="1:4" ht="15" customHeight="1">
      <c r="A11" s="9" t="s">
        <v>79</v>
      </c>
      <c r="B11" s="10">
        <v>1.2E-2</v>
      </c>
      <c r="C11" s="10">
        <v>0.14000000000000001</v>
      </c>
      <c r="D11" s="10">
        <v>0.47</v>
      </c>
    </row>
    <row r="12" spans="1:4" ht="15" customHeight="1">
      <c r="A12" s="9" t="s">
        <v>80</v>
      </c>
      <c r="B12" s="10">
        <v>0.32</v>
      </c>
      <c r="C12" s="10">
        <v>3.9</v>
      </c>
      <c r="D12" s="10">
        <v>13</v>
      </c>
    </row>
    <row r="13" spans="1:4" ht="15" customHeight="1">
      <c r="A13" s="9" t="s">
        <v>81</v>
      </c>
      <c r="B13" s="10">
        <v>5.5E-2</v>
      </c>
      <c r="C13" s="10">
        <v>0.67</v>
      </c>
      <c r="D13" s="10">
        <v>2.2000000000000002</v>
      </c>
    </row>
    <row r="14" spans="1:4" ht="15" customHeight="1">
      <c r="A14" s="9" t="s">
        <v>82</v>
      </c>
      <c r="B14" s="10">
        <v>1.4E-2</v>
      </c>
      <c r="C14" s="10">
        <v>0.16</v>
      </c>
      <c r="D14" s="10">
        <v>0.54</v>
      </c>
    </row>
    <row r="15" spans="1:4" ht="15" customHeight="1">
      <c r="A15" s="9" t="s">
        <v>83</v>
      </c>
      <c r="B15" s="10">
        <v>1.2999999999999999E-4</v>
      </c>
      <c r="C15" s="10">
        <v>1.6999999999999999E-3</v>
      </c>
      <c r="D15" s="10">
        <v>5.7000000000000002E-3</v>
      </c>
    </row>
    <row r="16" spans="1:4" ht="15" customHeight="1">
      <c r="A16" s="9" t="s">
        <v>84</v>
      </c>
      <c r="B16" s="10">
        <v>1.2E-4</v>
      </c>
      <c r="C16" s="10">
        <v>1.6999999999999999E-3</v>
      </c>
      <c r="D16" s="10">
        <v>5.4999999999999997E-3</v>
      </c>
    </row>
    <row r="17" spans="1:4" ht="15" customHeight="1">
      <c r="A17" s="9" t="s">
        <v>101</v>
      </c>
      <c r="B17" s="10">
        <v>5.1999999999999995E-4</v>
      </c>
      <c r="C17" s="10">
        <v>6.7999999999999996E-3</v>
      </c>
      <c r="D17" s="10">
        <v>2.3E-2</v>
      </c>
    </row>
    <row r="18" spans="1:4" ht="15" customHeight="1">
      <c r="A18" s="16" t="s">
        <v>102</v>
      </c>
      <c r="B18" s="13">
        <v>5.5999999999999999E-5</v>
      </c>
      <c r="C18" s="13">
        <v>7.2999999999999996E-4</v>
      </c>
      <c r="D18" s="13">
        <v>2.5000000000000001E-3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433855-403F-480E-B65E-B197E579CA66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2" t="s">
        <v>155</v>
      </c>
      <c r="B1" s="42"/>
      <c r="C1" s="42"/>
      <c r="D1" s="42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9.3999999999999997E-4</v>
      </c>
      <c r="C5" s="10">
        <v>9.4999999999999998E-3</v>
      </c>
      <c r="D5" s="10">
        <v>4.3999999999999997E-2</v>
      </c>
    </row>
    <row r="6" spans="1:4" ht="15" customHeight="1">
      <c r="A6" s="9" t="s">
        <v>99</v>
      </c>
      <c r="B6" s="10">
        <v>2.0999999999999999E-3</v>
      </c>
      <c r="C6" s="10">
        <v>2.1999999999999999E-2</v>
      </c>
      <c r="D6" s="10">
        <v>0.1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4.6999999999999999E-4</v>
      </c>
      <c r="C8" s="10">
        <v>4.8999999999999998E-3</v>
      </c>
      <c r="D8" s="10">
        <v>2.4E-2</v>
      </c>
    </row>
    <row r="9" spans="1:4" ht="15" customHeight="1">
      <c r="A9" s="9" t="s">
        <v>77</v>
      </c>
      <c r="B9" s="10">
        <v>1.4E-3</v>
      </c>
      <c r="C9" s="10">
        <v>1.4E-2</v>
      </c>
      <c r="D9" s="10">
        <v>6.6000000000000003E-2</v>
      </c>
    </row>
    <row r="10" spans="1:4" ht="15" customHeight="1">
      <c r="A10" s="9" t="s">
        <v>78</v>
      </c>
      <c r="B10" s="10">
        <v>1.7999999999999999E-2</v>
      </c>
      <c r="C10" s="10">
        <v>0.18</v>
      </c>
      <c r="D10" s="10">
        <v>0.84</v>
      </c>
    </row>
    <row r="11" spans="1:4" ht="15" customHeight="1">
      <c r="A11" s="9" t="s">
        <v>79</v>
      </c>
      <c r="B11" s="10">
        <v>2.5000000000000001E-2</v>
      </c>
      <c r="C11" s="10">
        <v>0.25</v>
      </c>
      <c r="D11" s="10">
        <v>1.2</v>
      </c>
    </row>
    <row r="12" spans="1:4" ht="15" customHeight="1">
      <c r="A12" s="9" t="s">
        <v>80</v>
      </c>
      <c r="B12" s="10">
        <v>0.68</v>
      </c>
      <c r="C12" s="10">
        <v>7</v>
      </c>
      <c r="D12" s="10">
        <v>33</v>
      </c>
    </row>
    <row r="13" spans="1:4" ht="15" customHeight="1">
      <c r="A13" s="9" t="s">
        <v>81</v>
      </c>
      <c r="B13" s="10">
        <v>0.12</v>
      </c>
      <c r="C13" s="10">
        <v>1.2</v>
      </c>
      <c r="D13" s="10">
        <v>5.6</v>
      </c>
    </row>
    <row r="14" spans="1:4" ht="15" customHeight="1">
      <c r="A14" s="9" t="s">
        <v>82</v>
      </c>
      <c r="B14" s="10">
        <v>2.9000000000000001E-2</v>
      </c>
      <c r="C14" s="10">
        <v>0.28999999999999998</v>
      </c>
      <c r="D14" s="10">
        <v>1.4</v>
      </c>
    </row>
    <row r="15" spans="1:4" ht="15" customHeight="1">
      <c r="A15" s="9" t="s">
        <v>83</v>
      </c>
      <c r="B15" s="10">
        <v>2.5000000000000001E-4</v>
      </c>
      <c r="C15" s="10">
        <v>2.5999999999999999E-3</v>
      </c>
      <c r="D15" s="10">
        <v>1.2E-2</v>
      </c>
    </row>
    <row r="16" spans="1:4" ht="15" customHeight="1">
      <c r="A16" s="9" t="s">
        <v>84</v>
      </c>
      <c r="B16" s="10">
        <v>2.4000000000000001E-4</v>
      </c>
      <c r="C16" s="10">
        <v>2.5000000000000001E-3</v>
      </c>
      <c r="D16" s="10">
        <v>1.0999999999999999E-2</v>
      </c>
    </row>
    <row r="17" spans="1:4" ht="15" customHeight="1">
      <c r="A17" s="9" t="s">
        <v>101</v>
      </c>
      <c r="B17" s="10">
        <v>9.7000000000000005E-4</v>
      </c>
      <c r="C17" s="10">
        <v>0.01</v>
      </c>
      <c r="D17" s="10">
        <v>4.4999999999999998E-2</v>
      </c>
    </row>
    <row r="18" spans="1:4" ht="15" customHeight="1">
      <c r="A18" s="16" t="s">
        <v>102</v>
      </c>
      <c r="B18" s="13">
        <v>1E-4</v>
      </c>
      <c r="C18" s="13">
        <v>1.1000000000000001E-3</v>
      </c>
      <c r="D18" s="13">
        <v>4.8999999999999998E-3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2D0F9-E3A4-4853-9F71-64C295318CC0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2" t="s">
        <v>156</v>
      </c>
      <c r="B1" s="42"/>
      <c r="C1" s="42"/>
      <c r="D1" s="42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1.4E-3</v>
      </c>
      <c r="C5" s="10">
        <v>7.1000000000000004E-3</v>
      </c>
      <c r="D5" s="10">
        <v>6.0999999999999999E-2</v>
      </c>
    </row>
    <row r="6" spans="1:4" ht="15" customHeight="1">
      <c r="A6" s="9" t="s">
        <v>99</v>
      </c>
      <c r="B6" s="10">
        <v>3.3E-3</v>
      </c>
      <c r="C6" s="10">
        <v>1.6E-2</v>
      </c>
      <c r="D6" s="10">
        <v>0.14000000000000001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7.1000000000000002E-4</v>
      </c>
      <c r="C8" s="10">
        <v>3.3E-3</v>
      </c>
      <c r="D8" s="10">
        <v>2.5999999999999999E-2</v>
      </c>
    </row>
    <row r="9" spans="1:4" ht="15" customHeight="1">
      <c r="A9" s="9" t="s">
        <v>77</v>
      </c>
      <c r="B9" s="10">
        <v>1.6999999999999999E-3</v>
      </c>
      <c r="C9" s="10">
        <v>8.3999999999999995E-3</v>
      </c>
      <c r="D9" s="10">
        <v>6.8000000000000005E-2</v>
      </c>
    </row>
    <row r="10" spans="1:4" ht="15" customHeight="1">
      <c r="A10" s="9" t="s">
        <v>78</v>
      </c>
      <c r="B10" s="10">
        <v>2.1999999999999999E-2</v>
      </c>
      <c r="C10" s="10">
        <v>0.11</v>
      </c>
      <c r="D10" s="10">
        <v>0.87</v>
      </c>
    </row>
    <row r="11" spans="1:4" ht="15" customHeight="1">
      <c r="A11" s="9" t="s">
        <v>79</v>
      </c>
      <c r="B11" s="10">
        <v>3.1E-2</v>
      </c>
      <c r="C11" s="10">
        <v>0.15</v>
      </c>
      <c r="D11" s="10">
        <v>1.2</v>
      </c>
    </row>
    <row r="12" spans="1:4" ht="15" customHeight="1">
      <c r="A12" s="9" t="s">
        <v>80</v>
      </c>
      <c r="B12" s="10">
        <v>0.86</v>
      </c>
      <c r="C12" s="10">
        <v>4.2</v>
      </c>
      <c r="D12" s="10">
        <v>34</v>
      </c>
    </row>
    <row r="13" spans="1:4" ht="15" customHeight="1">
      <c r="A13" s="9" t="s">
        <v>81</v>
      </c>
      <c r="B13" s="10">
        <v>0.15</v>
      </c>
      <c r="C13" s="10">
        <v>0.71</v>
      </c>
      <c r="D13" s="10">
        <v>5.7</v>
      </c>
    </row>
    <row r="14" spans="1:4" ht="15" customHeight="1">
      <c r="A14" s="9" t="s">
        <v>82</v>
      </c>
      <c r="B14" s="10">
        <v>3.5999999999999997E-2</v>
      </c>
      <c r="C14" s="10">
        <v>0.18</v>
      </c>
      <c r="D14" s="10">
        <v>1.4</v>
      </c>
    </row>
    <row r="15" spans="1:4" ht="15" customHeight="1">
      <c r="A15" s="9" t="s">
        <v>83</v>
      </c>
      <c r="B15" s="10">
        <v>3.6000000000000002E-4</v>
      </c>
      <c r="C15" s="10">
        <v>1.9E-3</v>
      </c>
      <c r="D15" s="10">
        <v>1.4999999999999999E-2</v>
      </c>
    </row>
    <row r="16" spans="1:4" ht="15" customHeight="1">
      <c r="A16" s="9" t="s">
        <v>84</v>
      </c>
      <c r="B16" s="10">
        <v>3.6000000000000002E-4</v>
      </c>
      <c r="C16" s="10">
        <v>1.9E-3</v>
      </c>
      <c r="D16" s="10">
        <v>1.4999999999999999E-2</v>
      </c>
    </row>
    <row r="17" spans="1:4" ht="15" customHeight="1">
      <c r="A17" s="9" t="s">
        <v>101</v>
      </c>
      <c r="B17" s="10">
        <v>1.4E-3</v>
      </c>
      <c r="C17" s="10">
        <v>7.4999999999999997E-3</v>
      </c>
      <c r="D17" s="10">
        <v>0.06</v>
      </c>
    </row>
    <row r="18" spans="1:4" ht="15" customHeight="1">
      <c r="A18" s="16" t="s">
        <v>102</v>
      </c>
      <c r="B18" s="13">
        <v>1.4999999999999999E-4</v>
      </c>
      <c r="C18" s="13">
        <v>8.0999999999999996E-4</v>
      </c>
      <c r="D18" s="13">
        <v>6.4999999999999997E-3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7C1AA-D34C-455B-B07E-8A06EBCE4710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1" t="s">
        <v>157</v>
      </c>
      <c r="B1" s="41"/>
      <c r="C1" s="41"/>
      <c r="D1" s="41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2.3E-3</v>
      </c>
      <c r="C5" s="10">
        <v>5.6000000000000001E-2</v>
      </c>
      <c r="D5" s="10">
        <v>6.9000000000000006E-2</v>
      </c>
    </row>
    <row r="6" spans="1:4" ht="15" customHeight="1">
      <c r="A6" s="9" t="s">
        <v>99</v>
      </c>
      <c r="B6" s="10">
        <v>5.1999999999999998E-3</v>
      </c>
      <c r="C6" s="10">
        <v>0.13</v>
      </c>
      <c r="D6" s="10">
        <v>0.16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1.1999999999999999E-3</v>
      </c>
      <c r="C8" s="10">
        <v>2.5999999999999999E-2</v>
      </c>
      <c r="D8" s="10">
        <v>3.2000000000000001E-2</v>
      </c>
    </row>
    <row r="9" spans="1:4" ht="15" customHeight="1">
      <c r="A9" s="9" t="s">
        <v>77</v>
      </c>
      <c r="B9" s="10">
        <v>3.3E-3</v>
      </c>
      <c r="C9" s="10">
        <v>7.0000000000000007E-2</v>
      </c>
      <c r="D9" s="10">
        <v>9.1999999999999998E-2</v>
      </c>
    </row>
    <row r="10" spans="1:4" ht="15" customHeight="1">
      <c r="A10" s="9" t="s">
        <v>78</v>
      </c>
      <c r="B10" s="10">
        <v>4.2000000000000003E-2</v>
      </c>
      <c r="C10" s="10">
        <v>0.9</v>
      </c>
      <c r="D10" s="10">
        <v>1.2</v>
      </c>
    </row>
    <row r="11" spans="1:4" ht="15" customHeight="1">
      <c r="A11" s="9" t="s">
        <v>79</v>
      </c>
      <c r="B11" s="10">
        <v>6.0999999999999999E-2</v>
      </c>
      <c r="C11" s="10">
        <v>1.3</v>
      </c>
      <c r="D11" s="10">
        <v>1.7</v>
      </c>
    </row>
    <row r="12" spans="1:4" ht="15" customHeight="1">
      <c r="A12" s="9" t="s">
        <v>80</v>
      </c>
      <c r="B12" s="10">
        <v>1.6</v>
      </c>
      <c r="C12" s="10">
        <v>35</v>
      </c>
      <c r="D12" s="10">
        <v>46</v>
      </c>
    </row>
    <row r="13" spans="1:4" ht="15" customHeight="1">
      <c r="A13" s="9" t="s">
        <v>81</v>
      </c>
      <c r="B13" s="10">
        <v>0.28000000000000003</v>
      </c>
      <c r="C13" s="10">
        <v>6</v>
      </c>
      <c r="D13" s="10">
        <v>7.8</v>
      </c>
    </row>
    <row r="14" spans="1:4" ht="15" customHeight="1">
      <c r="A14" s="9" t="s">
        <v>82</v>
      </c>
      <c r="B14" s="10">
        <v>7.0000000000000007E-2</v>
      </c>
      <c r="C14" s="10">
        <v>1.5</v>
      </c>
      <c r="D14" s="10">
        <v>1.9</v>
      </c>
    </row>
    <row r="15" spans="1:4" ht="15" customHeight="1">
      <c r="A15" s="9" t="s">
        <v>83</v>
      </c>
      <c r="B15" s="10">
        <v>6.0999999999999997E-4</v>
      </c>
      <c r="C15" s="10">
        <v>1.4E-2</v>
      </c>
      <c r="D15" s="10">
        <v>1.7999999999999999E-2</v>
      </c>
    </row>
    <row r="16" spans="1:4" ht="15" customHeight="1">
      <c r="A16" s="9" t="s">
        <v>84</v>
      </c>
      <c r="B16" s="10">
        <v>5.9000000000000003E-4</v>
      </c>
      <c r="C16" s="10">
        <v>1.4E-2</v>
      </c>
      <c r="D16" s="10">
        <v>1.7999999999999999E-2</v>
      </c>
    </row>
    <row r="17" spans="1:4" ht="15" customHeight="1">
      <c r="A17" s="9" t="s">
        <v>101</v>
      </c>
      <c r="B17" s="10">
        <v>2.3999999999999998E-3</v>
      </c>
      <c r="C17" s="10">
        <v>5.8000000000000003E-2</v>
      </c>
      <c r="D17" s="10">
        <v>7.3999999999999996E-2</v>
      </c>
    </row>
    <row r="18" spans="1:4" ht="15" customHeight="1">
      <c r="A18" s="16" t="s">
        <v>102</v>
      </c>
      <c r="B18" s="13">
        <v>2.5999999999999998E-4</v>
      </c>
      <c r="C18" s="13">
        <v>6.1999999999999998E-3</v>
      </c>
      <c r="D18" s="13">
        <v>8.0000000000000002E-3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14880-B9D2-442D-BDFA-1C1BEE693BA3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1" t="s">
        <v>158</v>
      </c>
      <c r="B1" s="41"/>
      <c r="C1" s="41"/>
      <c r="D1" s="41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1.9E-3</v>
      </c>
      <c r="C5" s="10">
        <v>1.2E-2</v>
      </c>
      <c r="D5" s="10">
        <v>6.5000000000000002E-2</v>
      </c>
    </row>
    <row r="6" spans="1:4" ht="15" customHeight="1">
      <c r="A6" s="9" t="s">
        <v>99</v>
      </c>
      <c r="B6" s="10">
        <v>4.1999999999999997E-3</v>
      </c>
      <c r="C6" s="10">
        <v>2.7E-2</v>
      </c>
      <c r="D6" s="10">
        <v>0.15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8.8000000000000003E-4</v>
      </c>
      <c r="C8" s="10">
        <v>5.7999999999999996E-3</v>
      </c>
      <c r="D8" s="10">
        <v>2.9000000000000001E-2</v>
      </c>
    </row>
    <row r="9" spans="1:4" ht="15" customHeight="1">
      <c r="A9" s="9" t="s">
        <v>77</v>
      </c>
      <c r="B9" s="10">
        <v>2.3E-3</v>
      </c>
      <c r="C9" s="10">
        <v>1.4E-2</v>
      </c>
      <c r="D9" s="10">
        <v>7.6999999999999999E-2</v>
      </c>
    </row>
    <row r="10" spans="1:4" ht="15" customHeight="1">
      <c r="A10" s="9" t="s">
        <v>78</v>
      </c>
      <c r="B10" s="10">
        <v>2.9000000000000001E-2</v>
      </c>
      <c r="C10" s="10">
        <v>0.18</v>
      </c>
      <c r="D10" s="10">
        <v>0.98</v>
      </c>
    </row>
    <row r="11" spans="1:4" ht="15" customHeight="1">
      <c r="A11" s="9" t="s">
        <v>79</v>
      </c>
      <c r="B11" s="10">
        <v>4.1000000000000002E-2</v>
      </c>
      <c r="C11" s="10">
        <v>0.26</v>
      </c>
      <c r="D11" s="10">
        <v>1.4</v>
      </c>
    </row>
    <row r="12" spans="1:4" ht="15" customHeight="1">
      <c r="A12" s="9" t="s">
        <v>80</v>
      </c>
      <c r="B12" s="10">
        <v>1.1000000000000001</v>
      </c>
      <c r="C12" s="10">
        <v>7.1</v>
      </c>
      <c r="D12" s="10">
        <v>38</v>
      </c>
    </row>
    <row r="13" spans="1:4" ht="15" customHeight="1">
      <c r="A13" s="9" t="s">
        <v>81</v>
      </c>
      <c r="B13" s="10">
        <v>0.19</v>
      </c>
      <c r="C13" s="10">
        <v>1.2</v>
      </c>
      <c r="D13" s="10">
        <v>6.4</v>
      </c>
    </row>
    <row r="14" spans="1:4" ht="15" customHeight="1">
      <c r="A14" s="9" t="s">
        <v>82</v>
      </c>
      <c r="B14" s="10">
        <v>4.7E-2</v>
      </c>
      <c r="C14" s="10">
        <v>0.3</v>
      </c>
      <c r="D14" s="10">
        <v>1.6</v>
      </c>
    </row>
    <row r="15" spans="1:4" ht="15" customHeight="1">
      <c r="A15" s="9" t="s">
        <v>83</v>
      </c>
      <c r="B15" s="10">
        <v>4.6999999999999999E-4</v>
      </c>
      <c r="C15" s="10">
        <v>3.0999999999999999E-3</v>
      </c>
      <c r="D15" s="10">
        <v>1.7000000000000001E-2</v>
      </c>
    </row>
    <row r="16" spans="1:4" ht="15" customHeight="1">
      <c r="A16" s="9" t="s">
        <v>84</v>
      </c>
      <c r="B16" s="10">
        <v>4.6000000000000001E-4</v>
      </c>
      <c r="C16" s="10">
        <v>3.0999999999999999E-3</v>
      </c>
      <c r="D16" s="10">
        <v>1.7000000000000001E-2</v>
      </c>
    </row>
    <row r="17" spans="1:4" ht="15" customHeight="1">
      <c r="A17" s="9" t="s">
        <v>101</v>
      </c>
      <c r="B17" s="10">
        <v>1.9E-3</v>
      </c>
      <c r="C17" s="10">
        <v>1.2E-2</v>
      </c>
      <c r="D17" s="10">
        <v>6.6000000000000003E-2</v>
      </c>
    </row>
    <row r="18" spans="1:4" ht="15" customHeight="1">
      <c r="A18" s="16" t="s">
        <v>102</v>
      </c>
      <c r="B18" s="13">
        <v>2.0000000000000001E-4</v>
      </c>
      <c r="C18" s="13">
        <v>1.2999999999999999E-3</v>
      </c>
      <c r="D18" s="13">
        <v>7.1999999999999998E-3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9578C-DC77-4E73-BB3E-8CD147CFFD44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1" t="s">
        <v>159</v>
      </c>
      <c r="B1" s="41"/>
      <c r="C1" s="41"/>
      <c r="D1" s="41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1.2999999999999999E-3</v>
      </c>
      <c r="C5" s="10">
        <v>1.0999999999999999E-2</v>
      </c>
      <c r="D5" s="10">
        <v>5.8999999999999997E-2</v>
      </c>
    </row>
    <row r="6" spans="1:4" ht="15" customHeight="1">
      <c r="A6" s="9" t="s">
        <v>99</v>
      </c>
      <c r="B6" s="10">
        <v>3.0000000000000001E-3</v>
      </c>
      <c r="C6" s="10">
        <v>2.5000000000000001E-2</v>
      </c>
      <c r="D6" s="10">
        <v>0.13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6.8999999999999997E-4</v>
      </c>
      <c r="C8" s="10">
        <v>5.1999999999999998E-3</v>
      </c>
      <c r="D8" s="10">
        <v>2.8000000000000001E-2</v>
      </c>
    </row>
    <row r="9" spans="1:4" ht="15" customHeight="1">
      <c r="A9" s="9" t="s">
        <v>77</v>
      </c>
      <c r="B9" s="10">
        <v>1.6999999999999999E-3</v>
      </c>
      <c r="C9" s="10">
        <v>1.2999999999999999E-2</v>
      </c>
      <c r="D9" s="10">
        <v>7.0000000000000007E-2</v>
      </c>
    </row>
    <row r="10" spans="1:4" ht="15" customHeight="1">
      <c r="A10" s="9" t="s">
        <v>78</v>
      </c>
      <c r="B10" s="10">
        <v>2.1999999999999999E-2</v>
      </c>
      <c r="C10" s="10">
        <v>0.17</v>
      </c>
      <c r="D10" s="10">
        <v>0.9</v>
      </c>
    </row>
    <row r="11" spans="1:4" ht="15" customHeight="1">
      <c r="A11" s="9" t="s">
        <v>79</v>
      </c>
      <c r="B11" s="10">
        <v>3.1E-2</v>
      </c>
      <c r="C11" s="10">
        <v>0.24</v>
      </c>
      <c r="D11" s="10">
        <v>1.3</v>
      </c>
    </row>
    <row r="12" spans="1:4" ht="15" customHeight="1">
      <c r="A12" s="9" t="s">
        <v>80</v>
      </c>
      <c r="B12" s="10">
        <v>0.83</v>
      </c>
      <c r="C12" s="10">
        <v>6.6</v>
      </c>
      <c r="D12" s="10">
        <v>35</v>
      </c>
    </row>
    <row r="13" spans="1:4" ht="15" customHeight="1">
      <c r="A13" s="9" t="s">
        <v>81</v>
      </c>
      <c r="B13" s="10">
        <v>0.14000000000000001</v>
      </c>
      <c r="C13" s="10">
        <v>1.1000000000000001</v>
      </c>
      <c r="D13" s="10">
        <v>5.9</v>
      </c>
    </row>
    <row r="14" spans="1:4" ht="15" customHeight="1">
      <c r="A14" s="9" t="s">
        <v>82</v>
      </c>
      <c r="B14" s="10">
        <v>3.5999999999999997E-2</v>
      </c>
      <c r="C14" s="10">
        <v>0.28000000000000003</v>
      </c>
      <c r="D14" s="10">
        <v>1.5</v>
      </c>
    </row>
    <row r="15" spans="1:4" ht="15" customHeight="1">
      <c r="A15" s="9" t="s">
        <v>83</v>
      </c>
      <c r="B15" s="10">
        <v>3.4000000000000002E-4</v>
      </c>
      <c r="C15" s="10">
        <v>2.8999999999999998E-3</v>
      </c>
      <c r="D15" s="10">
        <v>1.6E-2</v>
      </c>
    </row>
    <row r="16" spans="1:4" ht="15" customHeight="1">
      <c r="A16" s="9" t="s">
        <v>84</v>
      </c>
      <c r="B16" s="10">
        <v>3.3E-4</v>
      </c>
      <c r="C16" s="10">
        <v>2.8999999999999998E-3</v>
      </c>
      <c r="D16" s="10">
        <v>1.6E-2</v>
      </c>
    </row>
    <row r="17" spans="1:4" ht="15" customHeight="1">
      <c r="A17" s="9" t="s">
        <v>101</v>
      </c>
      <c r="B17" s="10">
        <v>1.2999999999999999E-3</v>
      </c>
      <c r="C17" s="10">
        <v>1.2E-2</v>
      </c>
      <c r="D17" s="10">
        <v>6.6000000000000003E-2</v>
      </c>
    </row>
    <row r="18" spans="1:4" ht="15" customHeight="1">
      <c r="A18" s="16" t="s">
        <v>102</v>
      </c>
      <c r="B18" s="13">
        <v>1.3999999999999999E-4</v>
      </c>
      <c r="C18" s="13">
        <v>1.2999999999999999E-3</v>
      </c>
      <c r="D18" s="13">
        <v>7.1000000000000004E-3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1805A-3ABE-4414-A28B-619393BB75CD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1" t="s">
        <v>160</v>
      </c>
      <c r="B1" s="41"/>
      <c r="C1" s="41"/>
      <c r="D1" s="41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8.4999999999999995E-4</v>
      </c>
      <c r="C5" s="10">
        <v>4.7000000000000002E-3</v>
      </c>
      <c r="D5" s="10">
        <v>1.2E-2</v>
      </c>
    </row>
    <row r="6" spans="1:4" ht="15" customHeight="1">
      <c r="A6" s="9" t="s">
        <v>99</v>
      </c>
      <c r="B6" s="10">
        <v>1.9E-3</v>
      </c>
      <c r="C6" s="10">
        <v>1.0999999999999999E-2</v>
      </c>
      <c r="D6" s="10">
        <v>2.7E-2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3.8000000000000002E-4</v>
      </c>
      <c r="C8" s="10">
        <v>2.0999999999999999E-3</v>
      </c>
      <c r="D8" s="10">
        <v>4.7000000000000002E-3</v>
      </c>
    </row>
    <row r="9" spans="1:4" ht="15" customHeight="1">
      <c r="A9" s="9" t="s">
        <v>77</v>
      </c>
      <c r="B9" s="10">
        <v>1.1000000000000001E-3</v>
      </c>
      <c r="C9" s="10">
        <v>5.7000000000000002E-3</v>
      </c>
      <c r="D9" s="10">
        <v>1.4E-2</v>
      </c>
    </row>
    <row r="10" spans="1:4" ht="15" customHeight="1">
      <c r="A10" s="9" t="s">
        <v>78</v>
      </c>
      <c r="B10" s="10">
        <v>1.4E-2</v>
      </c>
      <c r="C10" s="10">
        <v>7.1999999999999995E-2</v>
      </c>
      <c r="D10" s="10">
        <v>0.18</v>
      </c>
    </row>
    <row r="11" spans="1:4" ht="15" customHeight="1">
      <c r="A11" s="9" t="s">
        <v>79</v>
      </c>
      <c r="B11" s="10">
        <v>1.9E-2</v>
      </c>
      <c r="C11" s="10">
        <v>0.1</v>
      </c>
      <c r="D11" s="10">
        <v>0.25</v>
      </c>
    </row>
    <row r="12" spans="1:4" ht="15" customHeight="1">
      <c r="A12" s="9" t="s">
        <v>80</v>
      </c>
      <c r="B12" s="10">
        <v>0.52</v>
      </c>
      <c r="C12" s="10">
        <v>2.8</v>
      </c>
      <c r="D12" s="10">
        <v>6.7</v>
      </c>
    </row>
    <row r="13" spans="1:4" ht="15" customHeight="1">
      <c r="A13" s="9" t="s">
        <v>81</v>
      </c>
      <c r="B13" s="10">
        <v>8.7999999999999995E-2</v>
      </c>
      <c r="C13" s="10">
        <v>0.48</v>
      </c>
      <c r="D13" s="10">
        <v>1.1000000000000001</v>
      </c>
    </row>
    <row r="14" spans="1:4" ht="15" customHeight="1">
      <c r="A14" s="9" t="s">
        <v>82</v>
      </c>
      <c r="B14" s="10">
        <v>2.1999999999999999E-2</v>
      </c>
      <c r="C14" s="10">
        <v>0.12</v>
      </c>
      <c r="D14" s="10">
        <v>0.28999999999999998</v>
      </c>
    </row>
    <row r="15" spans="1:4" ht="15" customHeight="1">
      <c r="A15" s="9" t="s">
        <v>83</v>
      </c>
      <c r="B15" s="10">
        <v>2.0000000000000001E-4</v>
      </c>
      <c r="C15" s="10">
        <v>1.1999999999999999E-3</v>
      </c>
      <c r="D15" s="10">
        <v>2.8E-3</v>
      </c>
    </row>
    <row r="16" spans="1:4" ht="15" customHeight="1">
      <c r="A16" s="9" t="s">
        <v>84</v>
      </c>
      <c r="B16" s="10">
        <v>1.9000000000000001E-4</v>
      </c>
      <c r="C16" s="10">
        <v>1.1999999999999999E-3</v>
      </c>
      <c r="D16" s="10">
        <v>2.8E-3</v>
      </c>
    </row>
    <row r="17" spans="1:4" ht="15" customHeight="1">
      <c r="A17" s="9" t="s">
        <v>101</v>
      </c>
      <c r="B17" s="10">
        <v>8.1999999999999998E-4</v>
      </c>
      <c r="C17" s="10">
        <v>4.7999999999999996E-3</v>
      </c>
      <c r="D17" s="10">
        <v>1.2E-2</v>
      </c>
    </row>
    <row r="18" spans="1:4" ht="15" customHeight="1">
      <c r="A18" s="16" t="s">
        <v>102</v>
      </c>
      <c r="B18" s="13">
        <v>8.8999999999999995E-5</v>
      </c>
      <c r="C18" s="13">
        <v>5.1999999999999995E-4</v>
      </c>
      <c r="D18" s="13">
        <v>1.2999999999999999E-3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CC2C0-6788-4229-ACBB-0188F5570463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1" t="s">
        <v>161</v>
      </c>
      <c r="B1" s="41"/>
      <c r="C1" s="41"/>
      <c r="D1" s="41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6.2E-4</v>
      </c>
      <c r="C5" s="10">
        <v>6.3E-3</v>
      </c>
      <c r="D5" s="10">
        <v>3.9E-2</v>
      </c>
    </row>
    <row r="6" spans="1:4" ht="15" customHeight="1">
      <c r="A6" s="9" t="s">
        <v>99</v>
      </c>
      <c r="B6" s="10">
        <v>1.4E-3</v>
      </c>
      <c r="C6" s="10">
        <v>1.4E-2</v>
      </c>
      <c r="D6" s="10">
        <v>8.7999999999999995E-2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2.5000000000000001E-4</v>
      </c>
      <c r="C8" s="10">
        <v>2.7000000000000001E-3</v>
      </c>
      <c r="D8" s="10">
        <v>1.7000000000000001E-2</v>
      </c>
    </row>
    <row r="9" spans="1:4" ht="15" customHeight="1">
      <c r="A9" s="9" t="s">
        <v>77</v>
      </c>
      <c r="B9" s="10">
        <v>6.8000000000000005E-4</v>
      </c>
      <c r="C9" s="10">
        <v>7.1999999999999998E-3</v>
      </c>
      <c r="D9" s="10">
        <v>4.4999999999999998E-2</v>
      </c>
    </row>
    <row r="10" spans="1:4" ht="15" customHeight="1">
      <c r="A10" s="9" t="s">
        <v>78</v>
      </c>
      <c r="B10" s="10">
        <v>8.6E-3</v>
      </c>
      <c r="C10" s="10">
        <v>9.1999999999999998E-2</v>
      </c>
      <c r="D10" s="10">
        <v>0.57999999999999996</v>
      </c>
    </row>
    <row r="11" spans="1:4" ht="15" customHeight="1">
      <c r="A11" s="9" t="s">
        <v>79</v>
      </c>
      <c r="B11" s="10">
        <v>1.2E-2</v>
      </c>
      <c r="C11" s="10">
        <v>0.13</v>
      </c>
      <c r="D11" s="10">
        <v>0.82</v>
      </c>
    </row>
    <row r="12" spans="1:4" ht="15" customHeight="1">
      <c r="A12" s="9" t="s">
        <v>80</v>
      </c>
      <c r="B12" s="10">
        <v>0.34</v>
      </c>
      <c r="C12" s="10">
        <v>3.6</v>
      </c>
      <c r="D12" s="10">
        <v>22</v>
      </c>
    </row>
    <row r="13" spans="1:4" ht="15" customHeight="1">
      <c r="A13" s="9" t="s">
        <v>81</v>
      </c>
      <c r="B13" s="10">
        <v>5.8000000000000003E-2</v>
      </c>
      <c r="C13" s="10">
        <v>0.61</v>
      </c>
      <c r="D13" s="10">
        <v>3.8</v>
      </c>
    </row>
    <row r="14" spans="1:4" ht="15" customHeight="1">
      <c r="A14" s="9" t="s">
        <v>82</v>
      </c>
      <c r="B14" s="10">
        <v>1.4E-2</v>
      </c>
      <c r="C14" s="10">
        <v>0.15</v>
      </c>
      <c r="D14" s="10">
        <v>0.95</v>
      </c>
    </row>
    <row r="15" spans="1:4" ht="15" customHeight="1">
      <c r="A15" s="9" t="s">
        <v>83</v>
      </c>
      <c r="B15" s="10">
        <v>1.4999999999999999E-4</v>
      </c>
      <c r="C15" s="10">
        <v>1.6999999999999999E-3</v>
      </c>
      <c r="D15" s="10">
        <v>0.01</v>
      </c>
    </row>
    <row r="16" spans="1:4" ht="15" customHeight="1">
      <c r="A16" s="9" t="s">
        <v>84</v>
      </c>
      <c r="B16" s="10">
        <v>1.4999999999999999E-4</v>
      </c>
      <c r="C16" s="10">
        <v>1.6999999999999999E-3</v>
      </c>
      <c r="D16" s="10">
        <v>0.01</v>
      </c>
    </row>
    <row r="17" spans="1:4" ht="15" customHeight="1">
      <c r="A17" s="9" t="s">
        <v>101</v>
      </c>
      <c r="B17" s="10">
        <v>6.2E-4</v>
      </c>
      <c r="C17" s="10">
        <v>6.8999999999999999E-3</v>
      </c>
      <c r="D17" s="10">
        <v>4.2999999999999997E-2</v>
      </c>
    </row>
    <row r="18" spans="1:4" ht="15" customHeight="1">
      <c r="A18" s="16" t="s">
        <v>102</v>
      </c>
      <c r="B18" s="13">
        <v>6.7000000000000002E-5</v>
      </c>
      <c r="C18" s="13">
        <v>7.3999999999999999E-4</v>
      </c>
      <c r="D18" s="13">
        <v>4.5999999999999999E-3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7DFBC-15D5-4602-B9AD-901C130FD31D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1" t="s">
        <v>162</v>
      </c>
      <c r="B1" s="41"/>
      <c r="C1" s="41"/>
      <c r="D1" s="41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1.9E-3</v>
      </c>
      <c r="C5" s="10">
        <v>1.4E-2</v>
      </c>
      <c r="D5" s="10">
        <v>5.1999999999999998E-2</v>
      </c>
    </row>
    <row r="6" spans="1:4" ht="15" customHeight="1">
      <c r="A6" s="9" t="s">
        <v>99</v>
      </c>
      <c r="B6" s="10">
        <v>4.1999999999999997E-3</v>
      </c>
      <c r="C6" s="10">
        <v>3.2000000000000001E-2</v>
      </c>
      <c r="D6" s="10">
        <v>0.12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9.3000000000000005E-4</v>
      </c>
      <c r="C8" s="10">
        <v>6.7999999999999996E-3</v>
      </c>
      <c r="D8" s="10">
        <v>2.5000000000000001E-2</v>
      </c>
    </row>
    <row r="9" spans="1:4" ht="15" customHeight="1">
      <c r="A9" s="9" t="s">
        <v>77</v>
      </c>
      <c r="B9" s="10">
        <v>2.5999999999999999E-3</v>
      </c>
      <c r="C9" s="10">
        <v>1.9E-2</v>
      </c>
      <c r="D9" s="10">
        <v>7.0000000000000007E-2</v>
      </c>
    </row>
    <row r="10" spans="1:4" ht="15" customHeight="1">
      <c r="A10" s="9" t="s">
        <v>78</v>
      </c>
      <c r="B10" s="10">
        <v>3.3000000000000002E-2</v>
      </c>
      <c r="C10" s="10">
        <v>0.24</v>
      </c>
      <c r="D10" s="10">
        <v>0.89</v>
      </c>
    </row>
    <row r="11" spans="1:4" ht="15" customHeight="1">
      <c r="A11" s="9" t="s">
        <v>79</v>
      </c>
      <c r="B11" s="10">
        <v>4.7E-2</v>
      </c>
      <c r="C11" s="10">
        <v>0.34</v>
      </c>
      <c r="D11" s="10">
        <v>1.3</v>
      </c>
    </row>
    <row r="12" spans="1:4" ht="15" customHeight="1">
      <c r="A12" s="9" t="s">
        <v>80</v>
      </c>
      <c r="B12" s="10">
        <v>1.3</v>
      </c>
      <c r="C12" s="10">
        <v>9.6999999999999993</v>
      </c>
      <c r="D12" s="10">
        <v>35</v>
      </c>
    </row>
    <row r="13" spans="1:4" ht="15" customHeight="1">
      <c r="A13" s="9" t="s">
        <v>81</v>
      </c>
      <c r="B13" s="10">
        <v>0.22</v>
      </c>
      <c r="C13" s="10">
        <v>1.6</v>
      </c>
      <c r="D13" s="10">
        <v>6</v>
      </c>
    </row>
    <row r="14" spans="1:4" ht="15" customHeight="1">
      <c r="A14" s="9" t="s">
        <v>82</v>
      </c>
      <c r="B14" s="10">
        <v>5.3999999999999999E-2</v>
      </c>
      <c r="C14" s="10">
        <v>0.4</v>
      </c>
      <c r="D14" s="10">
        <v>1.5</v>
      </c>
    </row>
    <row r="15" spans="1:4" ht="15" customHeight="1">
      <c r="A15" s="9" t="s">
        <v>83</v>
      </c>
      <c r="B15" s="10">
        <v>4.4999999999999999E-4</v>
      </c>
      <c r="C15" s="10">
        <v>3.3999999999999998E-3</v>
      </c>
      <c r="D15" s="10">
        <v>1.2999999999999999E-2</v>
      </c>
    </row>
    <row r="16" spans="1:4" ht="15" customHeight="1">
      <c r="A16" s="9" t="s">
        <v>84</v>
      </c>
      <c r="B16" s="10">
        <v>4.2999999999999999E-4</v>
      </c>
      <c r="C16" s="10">
        <v>3.2000000000000002E-3</v>
      </c>
      <c r="D16" s="10">
        <v>1.2E-2</v>
      </c>
    </row>
    <row r="17" spans="1:4" ht="15" customHeight="1">
      <c r="A17" s="9" t="s">
        <v>101</v>
      </c>
      <c r="B17" s="10">
        <v>1.8E-3</v>
      </c>
      <c r="C17" s="10">
        <v>1.4E-2</v>
      </c>
      <c r="D17" s="10">
        <v>5.0999999999999997E-2</v>
      </c>
    </row>
    <row r="18" spans="1:4" ht="15" customHeight="1">
      <c r="A18" s="16" t="s">
        <v>102</v>
      </c>
      <c r="B18" s="13">
        <v>2.0000000000000001E-4</v>
      </c>
      <c r="C18" s="13">
        <v>1.5E-3</v>
      </c>
      <c r="D18" s="13">
        <v>5.5999999999999999E-3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06569-703F-4DFF-80D6-D233BF8EC1AC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1" t="s">
        <v>163</v>
      </c>
      <c r="B1" s="41"/>
      <c r="C1" s="41"/>
      <c r="D1" s="41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1.1000000000000001E-3</v>
      </c>
      <c r="C5" s="10">
        <v>6.7999999999999996E-3</v>
      </c>
      <c r="D5" s="10">
        <v>4.5999999999999999E-2</v>
      </c>
    </row>
    <row r="6" spans="1:4" ht="15" customHeight="1">
      <c r="A6" s="9" t="s">
        <v>99</v>
      </c>
      <c r="B6" s="10">
        <v>2.3999999999999998E-3</v>
      </c>
      <c r="C6" s="10">
        <v>1.4999999999999999E-2</v>
      </c>
      <c r="D6" s="10">
        <v>0.1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5.6999999999999998E-4</v>
      </c>
      <c r="C8" s="10">
        <v>3.8E-3</v>
      </c>
      <c r="D8" s="10">
        <v>2.5000000000000001E-2</v>
      </c>
    </row>
    <row r="9" spans="1:4" ht="15" customHeight="1">
      <c r="A9" s="9" t="s">
        <v>77</v>
      </c>
      <c r="B9" s="10">
        <v>1.5E-3</v>
      </c>
      <c r="C9" s="10">
        <v>8.9999999999999993E-3</v>
      </c>
      <c r="D9" s="10">
        <v>6.2E-2</v>
      </c>
    </row>
    <row r="10" spans="1:4" ht="15" customHeight="1">
      <c r="A10" s="9" t="s">
        <v>78</v>
      </c>
      <c r="B10" s="10">
        <v>0.02</v>
      </c>
      <c r="C10" s="10">
        <v>0.12</v>
      </c>
      <c r="D10" s="10">
        <v>0.79</v>
      </c>
    </row>
    <row r="11" spans="1:4" ht="15" customHeight="1">
      <c r="A11" s="9" t="s">
        <v>79</v>
      </c>
      <c r="B11" s="10">
        <v>2.8000000000000001E-2</v>
      </c>
      <c r="C11" s="10">
        <v>0.17</v>
      </c>
      <c r="D11" s="10">
        <v>1.1000000000000001</v>
      </c>
    </row>
    <row r="12" spans="1:4" ht="15" customHeight="1">
      <c r="A12" s="9" t="s">
        <v>80</v>
      </c>
      <c r="B12" s="10">
        <v>0.74</v>
      </c>
      <c r="C12" s="10">
        <v>4.5999999999999996</v>
      </c>
      <c r="D12" s="10">
        <v>32</v>
      </c>
    </row>
    <row r="13" spans="1:4" ht="15" customHeight="1">
      <c r="A13" s="9" t="s">
        <v>81</v>
      </c>
      <c r="B13" s="10">
        <v>0.13</v>
      </c>
      <c r="C13" s="10">
        <v>0.79</v>
      </c>
      <c r="D13" s="10">
        <v>5.4</v>
      </c>
    </row>
    <row r="14" spans="1:4" ht="15" customHeight="1">
      <c r="A14" s="9" t="s">
        <v>82</v>
      </c>
      <c r="B14" s="10">
        <v>3.2000000000000001E-2</v>
      </c>
      <c r="C14" s="10">
        <v>0.19</v>
      </c>
      <c r="D14" s="10">
        <v>1.3</v>
      </c>
    </row>
    <row r="15" spans="1:4" ht="15" customHeight="1">
      <c r="A15" s="9" t="s">
        <v>83</v>
      </c>
      <c r="B15" s="10">
        <v>2.7E-4</v>
      </c>
      <c r="C15" s="10">
        <v>1.8E-3</v>
      </c>
      <c r="D15" s="10">
        <v>1.2E-2</v>
      </c>
    </row>
    <row r="16" spans="1:4" ht="15" customHeight="1">
      <c r="A16" s="9" t="s">
        <v>84</v>
      </c>
      <c r="B16" s="10">
        <v>2.7E-4</v>
      </c>
      <c r="C16" s="10">
        <v>1.8E-3</v>
      </c>
      <c r="D16" s="10">
        <v>1.2E-2</v>
      </c>
    </row>
    <row r="17" spans="1:4" ht="15" customHeight="1">
      <c r="A17" s="9" t="s">
        <v>101</v>
      </c>
      <c r="B17" s="10">
        <v>1.1000000000000001E-3</v>
      </c>
      <c r="C17" s="10">
        <v>7.1000000000000004E-3</v>
      </c>
      <c r="D17" s="10">
        <v>4.7E-2</v>
      </c>
    </row>
    <row r="18" spans="1:4" ht="15" customHeight="1">
      <c r="A18" s="16" t="s">
        <v>102</v>
      </c>
      <c r="B18" s="13">
        <v>1.2E-4</v>
      </c>
      <c r="C18" s="13">
        <v>7.6999999999999996E-4</v>
      </c>
      <c r="D18" s="13">
        <v>5.1000000000000004E-3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F7D15-E52B-41AB-9BF2-200277E02849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1" t="s">
        <v>164</v>
      </c>
      <c r="B1" s="41"/>
      <c r="C1" s="41"/>
      <c r="D1" s="41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8.8000000000000003E-4</v>
      </c>
      <c r="C5" s="10">
        <v>5.7000000000000002E-3</v>
      </c>
      <c r="D5" s="10">
        <v>3.6999999999999998E-2</v>
      </c>
    </row>
    <row r="6" spans="1:4" ht="15" customHeight="1">
      <c r="A6" s="9" t="s">
        <v>99</v>
      </c>
      <c r="B6" s="10">
        <v>2E-3</v>
      </c>
      <c r="C6" s="10">
        <v>1.2999999999999999E-2</v>
      </c>
      <c r="D6" s="10">
        <v>8.5000000000000006E-2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4.2999999999999999E-4</v>
      </c>
      <c r="C8" s="10">
        <v>2.8999999999999998E-3</v>
      </c>
      <c r="D8" s="10">
        <v>1.9E-2</v>
      </c>
    </row>
    <row r="9" spans="1:4" ht="15" customHeight="1">
      <c r="A9" s="9" t="s">
        <v>77</v>
      </c>
      <c r="B9" s="10">
        <v>1.1999999999999999E-3</v>
      </c>
      <c r="C9" s="10">
        <v>7.3000000000000001E-3</v>
      </c>
      <c r="D9" s="10">
        <v>0.05</v>
      </c>
    </row>
    <row r="10" spans="1:4" ht="15" customHeight="1">
      <c r="A10" s="9" t="s">
        <v>78</v>
      </c>
      <c r="B10" s="10">
        <v>1.4999999999999999E-2</v>
      </c>
      <c r="C10" s="10">
        <v>9.2999999999999999E-2</v>
      </c>
      <c r="D10" s="10">
        <v>0.64</v>
      </c>
    </row>
    <row r="11" spans="1:4" ht="15" customHeight="1">
      <c r="A11" s="9" t="s">
        <v>79</v>
      </c>
      <c r="B11" s="10">
        <v>2.1999999999999999E-2</v>
      </c>
      <c r="C11" s="10">
        <v>0.13</v>
      </c>
      <c r="D11" s="10">
        <v>0.92</v>
      </c>
    </row>
    <row r="12" spans="1:4" ht="15" customHeight="1">
      <c r="A12" s="9" t="s">
        <v>80</v>
      </c>
      <c r="B12" s="10">
        <v>0.57999999999999996</v>
      </c>
      <c r="C12" s="10">
        <v>3.6</v>
      </c>
      <c r="D12" s="10">
        <v>25</v>
      </c>
    </row>
    <row r="13" spans="1:4" ht="15" customHeight="1">
      <c r="A13" s="9" t="s">
        <v>81</v>
      </c>
      <c r="B13" s="10">
        <v>9.9000000000000005E-2</v>
      </c>
      <c r="C13" s="10">
        <v>0.62</v>
      </c>
      <c r="D13" s="10">
        <v>4.3</v>
      </c>
    </row>
    <row r="14" spans="1:4" ht="15" customHeight="1">
      <c r="A14" s="9" t="s">
        <v>82</v>
      </c>
      <c r="B14" s="10">
        <v>2.5000000000000001E-2</v>
      </c>
      <c r="C14" s="10">
        <v>0.15</v>
      </c>
      <c r="D14" s="10">
        <v>1.1000000000000001</v>
      </c>
    </row>
    <row r="15" spans="1:4" ht="15" customHeight="1">
      <c r="A15" s="9" t="s">
        <v>83</v>
      </c>
      <c r="B15" s="10">
        <v>2.2000000000000001E-4</v>
      </c>
      <c r="C15" s="10">
        <v>1.5E-3</v>
      </c>
      <c r="D15" s="10">
        <v>0.01</v>
      </c>
    </row>
    <row r="16" spans="1:4" ht="15" customHeight="1">
      <c r="A16" s="9" t="s">
        <v>84</v>
      </c>
      <c r="B16" s="10">
        <v>2.2000000000000001E-4</v>
      </c>
      <c r="C16" s="10">
        <v>1.5E-3</v>
      </c>
      <c r="D16" s="10">
        <v>9.7999999999999997E-3</v>
      </c>
    </row>
    <row r="17" spans="1:4" ht="15" customHeight="1">
      <c r="A17" s="9" t="s">
        <v>101</v>
      </c>
      <c r="B17" s="10">
        <v>8.8999999999999995E-4</v>
      </c>
      <c r="C17" s="10">
        <v>6.0000000000000001E-3</v>
      </c>
      <c r="D17" s="10">
        <v>0.04</v>
      </c>
    </row>
    <row r="18" spans="1:4" ht="15" customHeight="1">
      <c r="A18" s="16" t="s">
        <v>102</v>
      </c>
      <c r="B18" s="13">
        <v>9.6000000000000002E-5</v>
      </c>
      <c r="C18" s="13">
        <v>6.4999999999999997E-4</v>
      </c>
      <c r="D18" s="13">
        <v>4.3E-3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12999-D3B8-49CD-882F-F7E1D6B0A74B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1" t="s">
        <v>165</v>
      </c>
      <c r="B1" s="41"/>
      <c r="C1" s="41"/>
      <c r="D1" s="41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9.7999999999999997E-4</v>
      </c>
      <c r="C5" s="10">
        <v>1.2E-2</v>
      </c>
      <c r="D5" s="10">
        <v>3.3000000000000002E-2</v>
      </c>
    </row>
    <row r="6" spans="1:4" ht="15" customHeight="1">
      <c r="A6" s="9" t="s">
        <v>99</v>
      </c>
      <c r="B6" s="10">
        <v>2.2000000000000001E-3</v>
      </c>
      <c r="C6" s="10">
        <v>2.8000000000000001E-2</v>
      </c>
      <c r="D6" s="10">
        <v>7.5999999999999998E-2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4.8000000000000001E-4</v>
      </c>
      <c r="C8" s="10">
        <v>6.0000000000000001E-3</v>
      </c>
      <c r="D8" s="10">
        <v>1.7999999999999999E-2</v>
      </c>
    </row>
    <row r="9" spans="1:4" ht="15" customHeight="1">
      <c r="A9" s="9" t="s">
        <v>77</v>
      </c>
      <c r="B9" s="10">
        <v>1.4E-3</v>
      </c>
      <c r="C9" s="10">
        <v>0.02</v>
      </c>
      <c r="D9" s="10">
        <v>4.5999999999999999E-2</v>
      </c>
    </row>
    <row r="10" spans="1:4" ht="15" customHeight="1">
      <c r="A10" s="9" t="s">
        <v>78</v>
      </c>
      <c r="B10" s="10">
        <v>1.7999999999999999E-2</v>
      </c>
      <c r="C10" s="10">
        <v>0.25</v>
      </c>
      <c r="D10" s="10">
        <v>0.59</v>
      </c>
    </row>
    <row r="11" spans="1:4" ht="15" customHeight="1">
      <c r="A11" s="9" t="s">
        <v>79</v>
      </c>
      <c r="B11" s="10">
        <v>2.5000000000000001E-2</v>
      </c>
      <c r="C11" s="10">
        <v>0.36</v>
      </c>
      <c r="D11" s="10">
        <v>0.84</v>
      </c>
    </row>
    <row r="12" spans="1:4" ht="15" customHeight="1">
      <c r="A12" s="9" t="s">
        <v>80</v>
      </c>
      <c r="B12" s="10">
        <v>0.68</v>
      </c>
      <c r="C12" s="10">
        <v>10</v>
      </c>
      <c r="D12" s="10">
        <v>24</v>
      </c>
    </row>
    <row r="13" spans="1:4" ht="15" customHeight="1">
      <c r="A13" s="9" t="s">
        <v>81</v>
      </c>
      <c r="B13" s="10">
        <v>0.12</v>
      </c>
      <c r="C13" s="10">
        <v>1.7</v>
      </c>
      <c r="D13" s="10">
        <v>4.0999999999999996</v>
      </c>
    </row>
    <row r="14" spans="1:4" ht="15" customHeight="1">
      <c r="A14" s="9" t="s">
        <v>82</v>
      </c>
      <c r="B14" s="10">
        <v>2.9000000000000001E-2</v>
      </c>
      <c r="C14" s="10">
        <v>0.41</v>
      </c>
      <c r="D14" s="10">
        <v>0.98</v>
      </c>
    </row>
    <row r="15" spans="1:4" ht="15" customHeight="1">
      <c r="A15" s="9" t="s">
        <v>83</v>
      </c>
      <c r="B15" s="10">
        <v>2.5999999999999998E-4</v>
      </c>
      <c r="C15" s="10">
        <v>3.5000000000000001E-3</v>
      </c>
      <c r="D15" s="10">
        <v>8.8999999999999999E-3</v>
      </c>
    </row>
    <row r="16" spans="1:4" ht="15" customHeight="1">
      <c r="A16" s="9" t="s">
        <v>84</v>
      </c>
      <c r="B16" s="10">
        <v>2.5000000000000001E-4</v>
      </c>
      <c r="C16" s="10">
        <v>3.2000000000000002E-3</v>
      </c>
      <c r="D16" s="10">
        <v>8.6E-3</v>
      </c>
    </row>
    <row r="17" spans="1:4" ht="15" customHeight="1">
      <c r="A17" s="9" t="s">
        <v>101</v>
      </c>
      <c r="B17" s="10">
        <v>1E-3</v>
      </c>
      <c r="C17" s="10">
        <v>1.2999999999999999E-2</v>
      </c>
      <c r="D17" s="10">
        <v>3.5000000000000003E-2</v>
      </c>
    </row>
    <row r="18" spans="1:4" ht="15" customHeight="1">
      <c r="A18" s="16" t="s">
        <v>102</v>
      </c>
      <c r="B18" s="13">
        <v>1.1E-4</v>
      </c>
      <c r="C18" s="13">
        <v>1.4E-3</v>
      </c>
      <c r="D18" s="13">
        <v>3.8E-3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1849D-8E62-4953-9280-A30398726579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1" t="s">
        <v>166</v>
      </c>
      <c r="B1" s="41"/>
      <c r="C1" s="41"/>
      <c r="D1" s="41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9.3999999999999997E-4</v>
      </c>
      <c r="C5" s="10">
        <v>6.4999999999999997E-3</v>
      </c>
      <c r="D5" s="10">
        <v>4.3999999999999997E-2</v>
      </c>
    </row>
    <row r="6" spans="1:4" ht="15" customHeight="1">
      <c r="A6" s="9" t="s">
        <v>99</v>
      </c>
      <c r="B6" s="10">
        <v>2.0999999999999999E-3</v>
      </c>
      <c r="C6" s="10">
        <v>1.4999999999999999E-2</v>
      </c>
      <c r="D6" s="10">
        <v>9.9000000000000005E-2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4.8000000000000001E-4</v>
      </c>
      <c r="C8" s="10">
        <v>3.3999999999999998E-3</v>
      </c>
      <c r="D8" s="10">
        <v>2.5000000000000001E-2</v>
      </c>
    </row>
    <row r="9" spans="1:4" ht="15" customHeight="1">
      <c r="A9" s="9" t="s">
        <v>77</v>
      </c>
      <c r="B9" s="10">
        <v>1.4E-3</v>
      </c>
      <c r="C9" s="10">
        <v>0.01</v>
      </c>
      <c r="D9" s="10">
        <v>6.0999999999999999E-2</v>
      </c>
    </row>
    <row r="10" spans="1:4" ht="15" customHeight="1">
      <c r="A10" s="9" t="s">
        <v>78</v>
      </c>
      <c r="B10" s="10">
        <v>1.7999999999999999E-2</v>
      </c>
      <c r="C10" s="10">
        <v>0.13</v>
      </c>
      <c r="D10" s="10">
        <v>0.78</v>
      </c>
    </row>
    <row r="11" spans="1:4" ht="15" customHeight="1">
      <c r="A11" s="9" t="s">
        <v>79</v>
      </c>
      <c r="B11" s="10">
        <v>2.5000000000000001E-2</v>
      </c>
      <c r="C11" s="10">
        <v>0.19</v>
      </c>
      <c r="D11" s="10">
        <v>1.1000000000000001</v>
      </c>
    </row>
    <row r="12" spans="1:4" ht="15" customHeight="1">
      <c r="A12" s="9" t="s">
        <v>80</v>
      </c>
      <c r="B12" s="10">
        <v>0.68</v>
      </c>
      <c r="C12" s="10">
        <v>4.9000000000000004</v>
      </c>
      <c r="D12" s="10">
        <v>32</v>
      </c>
    </row>
    <row r="13" spans="1:4" ht="15" customHeight="1">
      <c r="A13" s="9" t="s">
        <v>81</v>
      </c>
      <c r="B13" s="10">
        <v>0.12</v>
      </c>
      <c r="C13" s="10">
        <v>0.84</v>
      </c>
      <c r="D13" s="10">
        <v>5.4</v>
      </c>
    </row>
    <row r="14" spans="1:4" ht="15" customHeight="1">
      <c r="A14" s="9" t="s">
        <v>82</v>
      </c>
      <c r="B14" s="10">
        <v>2.9000000000000001E-2</v>
      </c>
      <c r="C14" s="10">
        <v>0.21</v>
      </c>
      <c r="D14" s="10">
        <v>1.3</v>
      </c>
    </row>
    <row r="15" spans="1:4" ht="15" customHeight="1">
      <c r="A15" s="9" t="s">
        <v>83</v>
      </c>
      <c r="B15" s="10">
        <v>2.5000000000000001E-4</v>
      </c>
      <c r="C15" s="10">
        <v>1.5E-3</v>
      </c>
      <c r="D15" s="10">
        <v>1.2E-2</v>
      </c>
    </row>
    <row r="16" spans="1:4" ht="15" customHeight="1">
      <c r="A16" s="9" t="s">
        <v>84</v>
      </c>
      <c r="B16" s="10">
        <v>2.4000000000000001E-4</v>
      </c>
      <c r="C16" s="10">
        <v>1.5E-3</v>
      </c>
      <c r="D16" s="10">
        <v>1.0999999999999999E-2</v>
      </c>
    </row>
    <row r="17" spans="1:4" ht="15" customHeight="1">
      <c r="A17" s="9" t="s">
        <v>101</v>
      </c>
      <c r="B17" s="10">
        <v>9.7999999999999997E-4</v>
      </c>
      <c r="C17" s="10">
        <v>6.1999999999999998E-3</v>
      </c>
      <c r="D17" s="10">
        <v>4.4999999999999998E-2</v>
      </c>
    </row>
    <row r="18" spans="1:4" ht="15" customHeight="1">
      <c r="A18" s="16" t="s">
        <v>102</v>
      </c>
      <c r="B18" s="13">
        <v>1.1E-4</v>
      </c>
      <c r="C18" s="13">
        <v>6.7000000000000002E-4</v>
      </c>
      <c r="D18" s="13">
        <v>4.8999999999999998E-3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18747-DBCA-4D94-BA24-6EA89320BAC7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1" t="s">
        <v>167</v>
      </c>
      <c r="B1" s="41"/>
      <c r="C1" s="41"/>
      <c r="D1" s="41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1E-3</v>
      </c>
      <c r="C5" s="10">
        <v>2.8999999999999998E-3</v>
      </c>
      <c r="D5" s="10">
        <v>5.0999999999999997E-2</v>
      </c>
    </row>
    <row r="6" spans="1:4" ht="15" customHeight="1">
      <c r="A6" s="9" t="s">
        <v>99</v>
      </c>
      <c r="B6" s="10">
        <v>2.3999999999999998E-3</v>
      </c>
      <c r="C6" s="10">
        <v>6.4999999999999997E-3</v>
      </c>
      <c r="D6" s="10">
        <v>0.12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5.2999999999999998E-4</v>
      </c>
      <c r="C8" s="10">
        <v>1.5E-3</v>
      </c>
      <c r="D8" s="10">
        <v>2.8000000000000001E-2</v>
      </c>
    </row>
    <row r="9" spans="1:4" ht="15" customHeight="1">
      <c r="A9" s="9" t="s">
        <v>77</v>
      </c>
      <c r="B9" s="10">
        <v>1.4E-3</v>
      </c>
      <c r="C9" s="10">
        <v>4.4999999999999997E-3</v>
      </c>
      <c r="D9" s="10">
        <v>7.2999999999999995E-2</v>
      </c>
    </row>
    <row r="10" spans="1:4" ht="15" customHeight="1">
      <c r="A10" s="9" t="s">
        <v>78</v>
      </c>
      <c r="B10" s="10">
        <v>1.7999999999999999E-2</v>
      </c>
      <c r="C10" s="10">
        <v>5.7000000000000002E-2</v>
      </c>
      <c r="D10" s="10">
        <v>0.93</v>
      </c>
    </row>
    <row r="11" spans="1:4" ht="15" customHeight="1">
      <c r="A11" s="9" t="s">
        <v>79</v>
      </c>
      <c r="B11" s="10">
        <v>2.5999999999999999E-2</v>
      </c>
      <c r="C11" s="10">
        <v>8.2000000000000003E-2</v>
      </c>
      <c r="D11" s="10">
        <v>1.3</v>
      </c>
    </row>
    <row r="12" spans="1:4" ht="15" customHeight="1">
      <c r="A12" s="9" t="s">
        <v>80</v>
      </c>
      <c r="B12" s="10">
        <v>0.71</v>
      </c>
      <c r="C12" s="10">
        <v>2.1</v>
      </c>
      <c r="D12" s="10">
        <v>37</v>
      </c>
    </row>
    <row r="13" spans="1:4" ht="15" customHeight="1">
      <c r="A13" s="9" t="s">
        <v>81</v>
      </c>
      <c r="B13" s="10">
        <v>0.12</v>
      </c>
      <c r="C13" s="10">
        <v>0.37</v>
      </c>
      <c r="D13" s="10">
        <v>6.3</v>
      </c>
    </row>
    <row r="14" spans="1:4" ht="15" customHeight="1">
      <c r="A14" s="9" t="s">
        <v>82</v>
      </c>
      <c r="B14" s="10">
        <v>3.1E-2</v>
      </c>
      <c r="C14" s="10">
        <v>9.4E-2</v>
      </c>
      <c r="D14" s="10">
        <v>1.5</v>
      </c>
    </row>
    <row r="15" spans="1:4" ht="15" customHeight="1">
      <c r="A15" s="9" t="s">
        <v>83</v>
      </c>
      <c r="B15" s="10">
        <v>2.7E-4</v>
      </c>
      <c r="C15" s="10">
        <v>6.9999999999999999E-4</v>
      </c>
      <c r="D15" s="10">
        <v>1.4E-2</v>
      </c>
    </row>
    <row r="16" spans="1:4" ht="15" customHeight="1">
      <c r="A16" s="9" t="s">
        <v>84</v>
      </c>
      <c r="B16" s="10">
        <v>2.5999999999999998E-4</v>
      </c>
      <c r="C16" s="10">
        <v>6.8000000000000005E-4</v>
      </c>
      <c r="D16" s="10">
        <v>1.2999999999999999E-2</v>
      </c>
    </row>
    <row r="17" spans="1:4" ht="15" customHeight="1">
      <c r="A17" s="9" t="s">
        <v>101</v>
      </c>
      <c r="B17" s="10">
        <v>1.1000000000000001E-3</v>
      </c>
      <c r="C17" s="10">
        <v>2.8E-3</v>
      </c>
      <c r="D17" s="10">
        <v>5.3999999999999999E-2</v>
      </c>
    </row>
    <row r="18" spans="1:4" ht="15" customHeight="1">
      <c r="A18" s="16" t="s">
        <v>102</v>
      </c>
      <c r="B18" s="13">
        <v>1.1E-4</v>
      </c>
      <c r="C18" s="13">
        <v>2.9999999999999997E-4</v>
      </c>
      <c r="D18" s="13">
        <v>5.7999999999999996E-3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53B23-BF6E-4D7B-9540-BAE382AEBFF7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1" t="s">
        <v>168</v>
      </c>
      <c r="B1" s="41"/>
      <c r="C1" s="41"/>
      <c r="D1" s="41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7.3999999999999999E-4</v>
      </c>
      <c r="C5" s="10">
        <v>5.1000000000000004E-3</v>
      </c>
      <c r="D5" s="10">
        <v>1.7999999999999999E-2</v>
      </c>
    </row>
    <row r="6" spans="1:4" ht="15" customHeight="1">
      <c r="A6" s="9" t="s">
        <v>99</v>
      </c>
      <c r="B6" s="10">
        <v>1.6999999999999999E-3</v>
      </c>
      <c r="C6" s="10">
        <v>1.0999999999999999E-2</v>
      </c>
      <c r="D6" s="10">
        <v>4.2000000000000003E-2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3.4000000000000002E-4</v>
      </c>
      <c r="C8" s="10">
        <v>2.3999999999999998E-3</v>
      </c>
      <c r="D8" s="10">
        <v>9.7999999999999997E-3</v>
      </c>
    </row>
    <row r="9" spans="1:4" ht="15" customHeight="1">
      <c r="A9" s="9" t="s">
        <v>77</v>
      </c>
      <c r="B9" s="10">
        <v>9.6000000000000002E-4</v>
      </c>
      <c r="C9" s="10">
        <v>6.1999999999999998E-3</v>
      </c>
      <c r="D9" s="10">
        <v>2.4E-2</v>
      </c>
    </row>
    <row r="10" spans="1:4" ht="15" customHeight="1">
      <c r="A10" s="9" t="s">
        <v>78</v>
      </c>
      <c r="B10" s="10">
        <v>1.2E-2</v>
      </c>
      <c r="C10" s="10">
        <v>7.9000000000000001E-2</v>
      </c>
      <c r="D10" s="10">
        <v>0.31</v>
      </c>
    </row>
    <row r="11" spans="1:4" ht="15" customHeight="1">
      <c r="A11" s="9" t="s">
        <v>79</v>
      </c>
      <c r="B11" s="10">
        <v>1.7000000000000001E-2</v>
      </c>
      <c r="C11" s="10">
        <v>0.11</v>
      </c>
      <c r="D11" s="10">
        <v>0.44</v>
      </c>
    </row>
    <row r="12" spans="1:4" ht="15" customHeight="1">
      <c r="A12" s="9" t="s">
        <v>80</v>
      </c>
      <c r="B12" s="10">
        <v>0.46</v>
      </c>
      <c r="C12" s="10">
        <v>3.1</v>
      </c>
      <c r="D12" s="10">
        <v>12</v>
      </c>
    </row>
    <row r="13" spans="1:4" ht="15" customHeight="1">
      <c r="A13" s="9" t="s">
        <v>81</v>
      </c>
      <c r="B13" s="10">
        <v>7.8E-2</v>
      </c>
      <c r="C13" s="10">
        <v>0.53</v>
      </c>
      <c r="D13" s="10">
        <v>2.1</v>
      </c>
    </row>
    <row r="14" spans="1:4" ht="15" customHeight="1">
      <c r="A14" s="9" t="s">
        <v>82</v>
      </c>
      <c r="B14" s="10">
        <v>0.02</v>
      </c>
      <c r="C14" s="10">
        <v>0.13</v>
      </c>
      <c r="D14" s="10">
        <v>0.51</v>
      </c>
    </row>
    <row r="15" spans="1:4" ht="15" customHeight="1">
      <c r="A15" s="9" t="s">
        <v>83</v>
      </c>
      <c r="B15" s="10">
        <v>1.8000000000000001E-4</v>
      </c>
      <c r="C15" s="10">
        <v>1.4E-3</v>
      </c>
      <c r="D15" s="10">
        <v>4.7999999999999996E-3</v>
      </c>
    </row>
    <row r="16" spans="1:4" ht="15" customHeight="1">
      <c r="A16" s="9" t="s">
        <v>84</v>
      </c>
      <c r="B16" s="10">
        <v>1.8000000000000001E-4</v>
      </c>
      <c r="C16" s="10">
        <v>1.2999999999999999E-3</v>
      </c>
      <c r="D16" s="10">
        <v>4.7000000000000002E-3</v>
      </c>
    </row>
    <row r="17" spans="1:4" ht="15" customHeight="1">
      <c r="A17" s="9" t="s">
        <v>101</v>
      </c>
      <c r="B17" s="10">
        <v>7.3999999999999999E-4</v>
      </c>
      <c r="C17" s="10">
        <v>5.3E-3</v>
      </c>
      <c r="D17" s="10">
        <v>1.9E-2</v>
      </c>
    </row>
    <row r="18" spans="1:4" ht="15" customHeight="1">
      <c r="A18" s="16" t="s">
        <v>102</v>
      </c>
      <c r="B18" s="13">
        <v>7.8999999999999996E-5</v>
      </c>
      <c r="C18" s="13">
        <v>5.8E-4</v>
      </c>
      <c r="D18" s="13">
        <v>2.0999999999999999E-3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9B7CC-6991-41E2-B3B2-C03FE774A01B}">
  <dimension ref="A1:D18"/>
  <sheetViews>
    <sheetView workbookViewId="0">
      <selection sqref="A1:D1"/>
    </sheetView>
  </sheetViews>
  <sheetFormatPr defaultColWidth="9.140625" defaultRowHeight="14.4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>
      <c r="A1" s="41" t="s">
        <v>169</v>
      </c>
      <c r="B1" s="41"/>
      <c r="C1" s="41"/>
      <c r="D1" s="41"/>
    </row>
    <row r="2" spans="1:4" ht="15" customHeight="1">
      <c r="A2" s="19"/>
      <c r="B2" s="40" t="s">
        <v>95</v>
      </c>
      <c r="C2" s="40"/>
      <c r="D2" s="40"/>
    </row>
    <row r="3" spans="1:4" ht="29.25" customHeight="1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>
      <c r="A4" s="7" t="s">
        <v>75</v>
      </c>
      <c r="B4" s="8"/>
      <c r="C4" s="8"/>
      <c r="D4" s="8"/>
    </row>
    <row r="5" spans="1:4" ht="15" customHeight="1">
      <c r="A5" s="9" t="s">
        <v>98</v>
      </c>
      <c r="B5" s="10">
        <v>2.5999999999999998E-4</v>
      </c>
      <c r="C5" s="10">
        <v>1.6999999999999999E-3</v>
      </c>
      <c r="D5" s="10">
        <v>6.4000000000000003E-3</v>
      </c>
    </row>
    <row r="6" spans="1:4" ht="15" customHeight="1">
      <c r="A6" s="9" t="s">
        <v>99</v>
      </c>
      <c r="B6" s="10">
        <v>5.9000000000000003E-4</v>
      </c>
      <c r="C6" s="10">
        <v>3.8999999999999998E-3</v>
      </c>
      <c r="D6" s="10">
        <v>1.4999999999999999E-2</v>
      </c>
    </row>
    <row r="7" spans="1:4" ht="15" customHeight="1">
      <c r="A7" s="11" t="s">
        <v>100</v>
      </c>
      <c r="B7" s="12"/>
      <c r="C7" s="12"/>
      <c r="D7" s="12"/>
    </row>
    <row r="8" spans="1:4" ht="15" customHeight="1">
      <c r="A8" s="9" t="s">
        <v>76</v>
      </c>
      <c r="B8" s="10">
        <v>1.3999999999999999E-4</v>
      </c>
      <c r="C8" s="10">
        <v>8.8000000000000003E-4</v>
      </c>
      <c r="D8" s="10">
        <v>3.3E-3</v>
      </c>
    </row>
    <row r="9" spans="1:4" ht="15" customHeight="1">
      <c r="A9" s="9" t="s">
        <v>77</v>
      </c>
      <c r="B9" s="10">
        <v>4.0999999999999999E-4</v>
      </c>
      <c r="C9" s="10">
        <v>2.2000000000000001E-3</v>
      </c>
      <c r="D9" s="10">
        <v>8.6E-3</v>
      </c>
    </row>
    <row r="10" spans="1:4" ht="15" customHeight="1">
      <c r="A10" s="9" t="s">
        <v>78</v>
      </c>
      <c r="B10" s="10">
        <v>5.1999999999999998E-3</v>
      </c>
      <c r="C10" s="10">
        <v>2.8000000000000001E-2</v>
      </c>
      <c r="D10" s="10">
        <v>0.11</v>
      </c>
    </row>
    <row r="11" spans="1:4" ht="15" customHeight="1">
      <c r="A11" s="9" t="s">
        <v>79</v>
      </c>
      <c r="B11" s="10">
        <v>7.4999999999999997E-3</v>
      </c>
      <c r="C11" s="10">
        <v>0.04</v>
      </c>
      <c r="D11" s="10">
        <v>0.16</v>
      </c>
    </row>
    <row r="12" spans="1:4" ht="15" customHeight="1">
      <c r="A12" s="9" t="s">
        <v>80</v>
      </c>
      <c r="B12" s="10">
        <v>0.21</v>
      </c>
      <c r="C12" s="10">
        <v>1.2</v>
      </c>
      <c r="D12" s="10">
        <v>4.5</v>
      </c>
    </row>
    <row r="13" spans="1:4" ht="15" customHeight="1">
      <c r="A13" s="9" t="s">
        <v>81</v>
      </c>
      <c r="B13" s="10">
        <v>3.5999999999999997E-2</v>
      </c>
      <c r="C13" s="10">
        <v>0.2</v>
      </c>
      <c r="D13" s="10">
        <v>0.77</v>
      </c>
    </row>
    <row r="14" spans="1:4" ht="15" customHeight="1">
      <c r="A14" s="9" t="s">
        <v>82</v>
      </c>
      <c r="B14" s="10">
        <v>8.6E-3</v>
      </c>
      <c r="C14" s="10">
        <v>4.5999999999999999E-2</v>
      </c>
      <c r="D14" s="10">
        <v>0.18</v>
      </c>
    </row>
    <row r="15" spans="1:4" ht="15" customHeight="1">
      <c r="A15" s="9" t="s">
        <v>83</v>
      </c>
      <c r="B15" s="10">
        <v>7.3999999999999996E-5</v>
      </c>
      <c r="C15" s="10">
        <v>4.6999999999999999E-4</v>
      </c>
      <c r="D15" s="10">
        <v>1.6999999999999999E-3</v>
      </c>
    </row>
    <row r="16" spans="1:4" ht="15" customHeight="1">
      <c r="A16" s="9" t="s">
        <v>84</v>
      </c>
      <c r="B16" s="10">
        <v>6.9999999999999994E-5</v>
      </c>
      <c r="C16" s="10">
        <v>4.4999999999999999E-4</v>
      </c>
      <c r="D16" s="10">
        <v>1.6000000000000001E-3</v>
      </c>
    </row>
    <row r="17" spans="1:4" ht="15" customHeight="1">
      <c r="A17" s="9" t="s">
        <v>101</v>
      </c>
      <c r="B17" s="10">
        <v>2.7999999999999998E-4</v>
      </c>
      <c r="C17" s="10">
        <v>1.8E-3</v>
      </c>
      <c r="D17" s="10">
        <v>6.6E-3</v>
      </c>
    </row>
    <row r="18" spans="1:4" ht="15" customHeight="1">
      <c r="A18" s="16" t="s">
        <v>102</v>
      </c>
      <c r="B18" s="13">
        <v>3.1000000000000001E-5</v>
      </c>
      <c r="C18" s="13">
        <v>1.9000000000000001E-4</v>
      </c>
      <c r="D18" s="13">
        <v>7.1000000000000002E-4</v>
      </c>
    </row>
  </sheetData>
  <mergeCells count="2">
    <mergeCell ref="B2:D2"/>
    <mergeCell ref="A1:D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A9DAB439B36DB4795F39C4E722C7BC4" ma:contentTypeVersion="4" ma:contentTypeDescription="Create a new document." ma:contentTypeScope="" ma:versionID="44674c89fa9bc5e97a878a6680c46188">
  <xsd:schema xmlns:xsd="http://www.w3.org/2001/XMLSchema" xmlns:xs="http://www.w3.org/2001/XMLSchema" xmlns:p="http://schemas.microsoft.com/office/2006/metadata/properties" xmlns:ns2="79748b23-d81a-423e-9112-21109dc864e6" targetNamespace="http://schemas.microsoft.com/office/2006/metadata/properties" ma:root="true" ma:fieldsID="447839a363ea5a12024b5bf1ab53ed90" ns2:_="">
    <xsd:import namespace="79748b23-d81a-423e-9112-21109dc864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48b23-d81a-423e-9112-21109dc864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1FEA679-3520-4E33-9184-DEF1223B3BA4}"/>
</file>

<file path=customXml/itemProps2.xml><?xml version="1.0" encoding="utf-8"?>
<ds:datastoreItem xmlns:ds="http://schemas.openxmlformats.org/officeDocument/2006/customXml" ds:itemID="{00D0E287-F7C3-4E2C-812B-64E64238A025}"/>
</file>

<file path=customXml/itemProps3.xml><?xml version="1.0" encoding="utf-8"?>
<ds:datastoreItem xmlns:ds="http://schemas.openxmlformats.org/officeDocument/2006/customXml" ds:itemID="{5A31095D-81C8-4532-9365-728DD9AABAA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ferolea@gmail.com</cp:lastModifiedBy>
  <cp:revision/>
  <dcterms:created xsi:type="dcterms:W3CDTF">2020-07-06T23:53:13Z</dcterms:created>
  <dcterms:modified xsi:type="dcterms:W3CDTF">2025-04-30T18:01:30Z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0x0101009A9DAB439B36DB4795F39C4E722C7BC4</vt:lpwstr>
  </property>
</Properties>
</file>