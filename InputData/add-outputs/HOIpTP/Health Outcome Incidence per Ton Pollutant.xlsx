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add-outputs\HOIpTP\"/>
    </mc:Choice>
  </mc:AlternateContent>
  <xr:revisionPtr revIDLastSave="0" documentId="13_ncr:1_{95EF45B6-76E1-4579-B96A-F41340803208}" xr6:coauthVersionLast="47" xr6:coauthVersionMax="47" xr10:uidLastSave="{00000000-0000-0000-0000-000000000000}"/>
  <bookViews>
    <workbookView xWindow="4296" yWindow="1224" windowWidth="17268" windowHeight="12312" firstSheet="13" activeTab="15" xr2:uid="{86292C8D-3CA1-4858-AA87-6B74F5B88277}"/>
  </bookViews>
  <sheets>
    <sheet name="About" sheetId="1" r:id="rId1"/>
    <sheet name="Mappings" sheetId="70" r:id="rId2"/>
    <sheet name="HOIpTP-transport-NOx" sheetId="73" r:id="rId3"/>
    <sheet name="HOIpTP-transport-PM25" sheetId="71" r:id="rId4"/>
    <sheet name="HOIpTP-transport-SO2" sheetId="74" r:id="rId5"/>
    <sheet name="HOIpTP-electricity-NOx" sheetId="76" r:id="rId6"/>
    <sheet name="HOIpTP-electricity-PM25" sheetId="75" r:id="rId7"/>
    <sheet name="HOIpTP-electricity-SO2" sheetId="77" r:id="rId8"/>
    <sheet name="HOIpTP-buildings-NOx" sheetId="78" r:id="rId9"/>
    <sheet name="HOIpTP-buildings-PM25" sheetId="79" r:id="rId10"/>
    <sheet name="HOIpTP-buildings-SO2" sheetId="80" r:id="rId11"/>
    <sheet name="HOIpTP-industry-NOx" sheetId="81" r:id="rId12"/>
    <sheet name="HOIpTP-industry-PM25" sheetId="82" r:id="rId13"/>
    <sheet name="HOIpTP-industry-SO2" sheetId="83" r:id="rId14"/>
    <sheet name="HOIpTP-LULUCF-NOx" sheetId="84" r:id="rId15"/>
    <sheet name="HOIpTP-LULUCF-PM25" sheetId="85" r:id="rId16"/>
    <sheet name="HOIpTP-LULUCF-SO2" sheetId="86" r:id="rId17"/>
    <sheet name="Table 1" sheetId="2" r:id="rId18"/>
    <sheet name="Table 2" sheetId="3" r:id="rId19"/>
    <sheet name="Table 3" sheetId="4" r:id="rId20"/>
    <sheet name="Table 4" sheetId="5" r:id="rId21"/>
    <sheet name="Table 5" sheetId="6" r:id="rId22"/>
    <sheet name="Table 6" sheetId="7" r:id="rId23"/>
    <sheet name="Table 7" sheetId="8" r:id="rId24"/>
    <sheet name="Table 8" sheetId="9" r:id="rId25"/>
    <sheet name="Table 9" sheetId="10" r:id="rId26"/>
    <sheet name="Table 10" sheetId="11" r:id="rId27"/>
    <sheet name="Table 11" sheetId="12" r:id="rId28"/>
    <sheet name="Table 12" sheetId="13" r:id="rId29"/>
    <sheet name="Table 13" sheetId="14" r:id="rId30"/>
    <sheet name="Table 14" sheetId="15" r:id="rId31"/>
    <sheet name="Table 15" sheetId="16" r:id="rId32"/>
    <sheet name="Table 16" sheetId="17" r:id="rId33"/>
    <sheet name="Table 17" sheetId="18" r:id="rId34"/>
    <sheet name="Table 18" sheetId="19" r:id="rId35"/>
    <sheet name="Table 19" sheetId="20" r:id="rId36"/>
    <sheet name="Table 20" sheetId="21" r:id="rId37"/>
    <sheet name="Table 21" sheetId="22" r:id="rId38"/>
    <sheet name="Table 22" sheetId="23" r:id="rId39"/>
    <sheet name="Table 23" sheetId="24" r:id="rId40"/>
    <sheet name="Table 24" sheetId="25" r:id="rId41"/>
    <sheet name="Table 25" sheetId="26" r:id="rId42"/>
    <sheet name="Table 26" sheetId="27" r:id="rId43"/>
    <sheet name="Table 27" sheetId="28" r:id="rId44"/>
    <sheet name="Table 28" sheetId="29" r:id="rId45"/>
    <sheet name="Table 29" sheetId="30" r:id="rId46"/>
    <sheet name="Table 30" sheetId="31" r:id="rId47"/>
    <sheet name="Table 31" sheetId="32" r:id="rId48"/>
    <sheet name="Table 32" sheetId="33" r:id="rId49"/>
    <sheet name="Table 33" sheetId="34" r:id="rId50"/>
    <sheet name="Table 34" sheetId="35" r:id="rId51"/>
    <sheet name="Table 35" sheetId="36" r:id="rId52"/>
    <sheet name="Table 36" sheetId="37" r:id="rId53"/>
    <sheet name="Table 37" sheetId="38" r:id="rId54"/>
    <sheet name="Table 38" sheetId="39" r:id="rId55"/>
    <sheet name="Table 39" sheetId="40" r:id="rId56"/>
    <sheet name="Table 40" sheetId="41" r:id="rId57"/>
    <sheet name="Table 41" sheetId="42" r:id="rId58"/>
    <sheet name="Table 42" sheetId="43" r:id="rId59"/>
    <sheet name="Table 43" sheetId="44" r:id="rId60"/>
    <sheet name="Table 44" sheetId="45" r:id="rId61"/>
    <sheet name="Table 45" sheetId="46" r:id="rId62"/>
    <sheet name="Table 46" sheetId="47" r:id="rId63"/>
    <sheet name="Table 47" sheetId="48" r:id="rId64"/>
    <sheet name="Table 48" sheetId="49" r:id="rId65"/>
    <sheet name="Table 49" sheetId="50" r:id="rId66"/>
    <sheet name="Table 50" sheetId="51" r:id="rId67"/>
    <sheet name="Table 51" sheetId="52" r:id="rId68"/>
    <sheet name="Table 52" sheetId="53" r:id="rId69"/>
    <sheet name="Table 53" sheetId="54" r:id="rId70"/>
    <sheet name="Table 54" sheetId="55" r:id="rId71"/>
    <sheet name="Table 55" sheetId="56" r:id="rId72"/>
    <sheet name="Table 56" sheetId="57" r:id="rId73"/>
    <sheet name="Table 57" sheetId="58" r:id="rId74"/>
    <sheet name="Table 58" sheetId="59" r:id="rId75"/>
    <sheet name="Table 59" sheetId="60" r:id="rId76"/>
    <sheet name="Table 60" sheetId="61" r:id="rId77"/>
    <sheet name="Table 61" sheetId="62" r:id="rId78"/>
    <sheet name="Table 62" sheetId="63" r:id="rId79"/>
    <sheet name="Table 63" sheetId="64" r:id="rId80"/>
    <sheet name="Table 64" sheetId="65" r:id="rId81"/>
    <sheet name="Table 65" sheetId="66" r:id="rId82"/>
    <sheet name="Table 66" sheetId="67" r:id="rId83"/>
    <sheet name="Table 67" sheetId="68" r:id="rId84"/>
    <sheet name="Table 68" sheetId="69" r:id="rId85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1" l="1"/>
  <c r="B17" i="86" a="1"/>
  <c r="B17" i="86" s="1"/>
  <c r="B18" i="86" s="1"/>
  <c r="B17" i="85" a="1"/>
  <c r="B17" i="85" s="1"/>
  <c r="B18" i="85" s="1"/>
  <c r="B17" i="84" a="1"/>
  <c r="B17" i="84" s="1"/>
  <c r="B18" i="84" s="1"/>
  <c r="B17" i="83" a="1"/>
  <c r="B17" i="83" s="1"/>
  <c r="B18" i="83" s="1"/>
  <c r="B17" i="82" a="1"/>
  <c r="B17" i="82" s="1"/>
  <c r="B18" i="82" s="1"/>
  <c r="B17" i="81" a="1"/>
  <c r="B17" i="81" s="1"/>
  <c r="B18" i="81" s="1"/>
  <c r="B17" i="80" a="1"/>
  <c r="B17" i="80" s="1"/>
  <c r="B18" i="80" s="1"/>
  <c r="B24" i="80" s="1"/>
  <c r="B25" i="80" s="1"/>
  <c r="B17" i="79" a="1"/>
  <c r="B17" i="79" s="1"/>
  <c r="B18" i="79" s="1"/>
  <c r="B17" i="78" a="1"/>
  <c r="B17" i="78" s="1"/>
  <c r="B18" i="78" s="1"/>
  <c r="B17" i="77" a="1"/>
  <c r="B17" i="77" s="1"/>
  <c r="B18" i="77" s="1"/>
  <c r="B17" i="76" a="1"/>
  <c r="B17" i="76" s="1"/>
  <c r="B18" i="76" s="1"/>
  <c r="B24" i="76" s="1"/>
  <c r="B25" i="76" s="1"/>
  <c r="B17" i="75" a="1"/>
  <c r="B17" i="75" s="1"/>
  <c r="B18" i="75" s="1"/>
  <c r="B17" i="74" a="1"/>
  <c r="B17" i="74" s="1"/>
  <c r="B18" i="74" s="1"/>
  <c r="B17" i="73" a="1"/>
  <c r="B17" i="73" s="1"/>
  <c r="B18" i="73" s="1"/>
  <c r="B26" i="70"/>
  <c r="B25" i="70"/>
  <c r="B24" i="70"/>
  <c r="B23" i="70"/>
  <c r="B22" i="70"/>
  <c r="B17" i="71" a="1"/>
  <c r="B17" i="71" s="1"/>
  <c r="B18" i="71" s="1"/>
  <c r="B19" i="71" s="1"/>
  <c r="B20" i="71" s="1"/>
  <c r="B19" i="84" l="1"/>
  <c r="B20" i="84" s="1"/>
  <c r="B24" i="84"/>
  <c r="B25" i="84" s="1"/>
  <c r="B19" i="85"/>
  <c r="B20" i="85" s="1"/>
  <c r="B24" i="85"/>
  <c r="B25" i="85" s="1"/>
  <c r="B24" i="86"/>
  <c r="B25" i="86" s="1"/>
  <c r="B19" i="86"/>
  <c r="B20" i="86" s="1"/>
  <c r="B24" i="81"/>
  <c r="B25" i="81" s="1"/>
  <c r="B19" i="81"/>
  <c r="B20" i="81" s="1"/>
  <c r="B24" i="82"/>
  <c r="B25" i="82" s="1"/>
  <c r="B19" i="82"/>
  <c r="B20" i="82" s="1"/>
  <c r="B24" i="83"/>
  <c r="B25" i="83" s="1"/>
  <c r="B19" i="83"/>
  <c r="B20" i="83" s="1"/>
  <c r="B19" i="78"/>
  <c r="B20" i="78" s="1"/>
  <c r="B24" i="78"/>
  <c r="B25" i="78" s="1"/>
  <c r="B19" i="79"/>
  <c r="B20" i="79" s="1"/>
  <c r="B24" i="79"/>
  <c r="B25" i="79" s="1"/>
  <c r="B19" i="80"/>
  <c r="B20" i="80" s="1"/>
  <c r="B24" i="77"/>
  <c r="B25" i="77" s="1"/>
  <c r="B19" i="77"/>
  <c r="B20" i="77" s="1"/>
  <c r="B19" i="76"/>
  <c r="B20" i="76" s="1"/>
  <c r="B24" i="75"/>
  <c r="B25" i="75" s="1"/>
  <c r="B19" i="75"/>
  <c r="B20" i="75" s="1"/>
  <c r="B24" i="74"/>
  <c r="B25" i="74" s="1"/>
  <c r="B19" i="74"/>
  <c r="B20" i="74" s="1"/>
  <c r="B24" i="73"/>
  <c r="B25" i="73" s="1"/>
  <c r="B19" i="73"/>
  <c r="B20" i="73" s="1"/>
  <c r="B24" i="71"/>
  <c r="B25" i="71" s="1"/>
  <c r="D22" i="85" l="1"/>
  <c r="D23" i="85" s="1"/>
  <c r="C22" i="85"/>
  <c r="C23" i="85" s="1"/>
  <c r="B22" i="85"/>
  <c r="B23" i="85" s="1"/>
  <c r="E22" i="85"/>
  <c r="E23" i="85" s="1"/>
  <c r="C22" i="86"/>
  <c r="C23" i="86" s="1"/>
  <c r="B22" i="86"/>
  <c r="B23" i="86" s="1"/>
  <c r="E22" i="86"/>
  <c r="E23" i="86" s="1"/>
  <c r="D22" i="86"/>
  <c r="D23" i="86" s="1"/>
  <c r="D22" i="84"/>
  <c r="D23" i="84" s="1"/>
  <c r="C22" i="84"/>
  <c r="C23" i="84" s="1"/>
  <c r="B22" i="84"/>
  <c r="B23" i="84" s="1"/>
  <c r="E22" i="84"/>
  <c r="E23" i="84" s="1"/>
  <c r="B22" i="82"/>
  <c r="B23" i="82" s="1"/>
  <c r="E22" i="82"/>
  <c r="E23" i="82" s="1"/>
  <c r="D22" i="82"/>
  <c r="D23" i="82" s="1"/>
  <c r="C22" i="82"/>
  <c r="C23" i="82" s="1"/>
  <c r="C22" i="83"/>
  <c r="C23" i="83" s="1"/>
  <c r="B22" i="83"/>
  <c r="B23" i="83" s="1"/>
  <c r="E22" i="83"/>
  <c r="E23" i="83" s="1"/>
  <c r="D22" i="83"/>
  <c r="D23" i="83" s="1"/>
  <c r="B22" i="81"/>
  <c r="B23" i="81" s="1"/>
  <c r="E22" i="81"/>
  <c r="E23" i="81" s="1"/>
  <c r="D22" i="81"/>
  <c r="D23" i="81" s="1"/>
  <c r="C22" i="81"/>
  <c r="C23" i="81" s="1"/>
  <c r="C22" i="80"/>
  <c r="C23" i="80" s="1"/>
  <c r="B22" i="80"/>
  <c r="B23" i="80" s="1"/>
  <c r="E22" i="80"/>
  <c r="E23" i="80" s="1"/>
  <c r="D22" i="80"/>
  <c r="D23" i="80" s="1"/>
  <c r="D22" i="79"/>
  <c r="D23" i="79" s="1"/>
  <c r="C22" i="79"/>
  <c r="C23" i="79" s="1"/>
  <c r="B22" i="79"/>
  <c r="B23" i="79" s="1"/>
  <c r="E22" i="79"/>
  <c r="E23" i="79" s="1"/>
  <c r="D22" i="78"/>
  <c r="D23" i="78" s="1"/>
  <c r="C22" i="78"/>
  <c r="C23" i="78" s="1"/>
  <c r="B22" i="78"/>
  <c r="B23" i="78" s="1"/>
  <c r="E22" i="78"/>
  <c r="E23" i="78" s="1"/>
  <c r="C22" i="77"/>
  <c r="C23" i="77" s="1"/>
  <c r="B22" i="77"/>
  <c r="B23" i="77" s="1"/>
  <c r="E22" i="77"/>
  <c r="E23" i="77" s="1"/>
  <c r="D22" i="77"/>
  <c r="D23" i="77" s="1"/>
  <c r="C22" i="76"/>
  <c r="C23" i="76" s="1"/>
  <c r="B22" i="76"/>
  <c r="B23" i="76" s="1"/>
  <c r="E22" i="76"/>
  <c r="E23" i="76" s="1"/>
  <c r="D22" i="76"/>
  <c r="D23" i="76" s="1"/>
  <c r="C22" i="75"/>
  <c r="C23" i="75" s="1"/>
  <c r="B22" i="75"/>
  <c r="B23" i="75" s="1"/>
  <c r="E22" i="75"/>
  <c r="E23" i="75" s="1"/>
  <c r="D22" i="75"/>
  <c r="D23" i="75" s="1"/>
  <c r="C22" i="74"/>
  <c r="C23" i="74" s="1"/>
  <c r="B22" i="74"/>
  <c r="B23" i="74" s="1"/>
  <c r="D22" i="74"/>
  <c r="D23" i="74" s="1"/>
  <c r="E22" i="74"/>
  <c r="E23" i="74" s="1"/>
  <c r="C22" i="73"/>
  <c r="C23" i="73" s="1"/>
  <c r="B22" i="73"/>
  <c r="B23" i="73" s="1"/>
  <c r="E22" i="73"/>
  <c r="E23" i="73" s="1"/>
  <c r="D22" i="73"/>
  <c r="D23" i="73" s="1"/>
  <c r="D22" i="71"/>
  <c r="D23" i="71" s="1"/>
  <c r="E22" i="71"/>
  <c r="E23" i="71" s="1"/>
  <c r="B22" i="71"/>
  <c r="B23" i="71" s="1"/>
  <c r="C22" i="71"/>
  <c r="C23" i="71" s="1"/>
  <c r="B12" i="85"/>
  <c r="F12" i="77"/>
  <c r="F12" i="74"/>
  <c r="F12" i="83"/>
  <c r="B12" i="78"/>
  <c r="F12" i="78"/>
  <c r="K12" i="84"/>
  <c r="B12" i="77"/>
  <c r="K12" i="71"/>
  <c r="B12" i="83"/>
  <c r="B12" i="71"/>
  <c r="F12" i="84"/>
  <c r="B12" i="84"/>
  <c r="K12" i="78"/>
  <c r="B12" i="81"/>
  <c r="F12" i="85"/>
  <c r="F12" i="71"/>
  <c r="B12" i="79"/>
  <c r="K12" i="85"/>
  <c r="B12" i="82"/>
  <c r="B12" i="74"/>
  <c r="F12" i="75"/>
  <c r="F12" i="86"/>
  <c r="K12" i="79"/>
  <c r="K12" i="83"/>
  <c r="B12" i="86"/>
  <c r="B12" i="75"/>
  <c r="B12" i="73"/>
  <c r="F12" i="79"/>
  <c r="D12" i="86" l="1"/>
  <c r="C12" i="86"/>
  <c r="E12" i="86"/>
  <c r="H12" i="85"/>
  <c r="G12" i="85"/>
  <c r="J12" i="85"/>
  <c r="I12" i="85"/>
  <c r="D12" i="85"/>
  <c r="C12" i="85"/>
  <c r="E12" i="85"/>
  <c r="D12" i="84"/>
  <c r="C12" i="84"/>
  <c r="E12" i="84"/>
  <c r="H12" i="84"/>
  <c r="G12" i="84"/>
  <c r="J12" i="84"/>
  <c r="I12" i="84"/>
  <c r="H12" i="83"/>
  <c r="G12" i="83"/>
  <c r="J12" i="83"/>
  <c r="I12" i="83"/>
  <c r="D12" i="83"/>
  <c r="C12" i="83"/>
  <c r="E12" i="83"/>
  <c r="H12" i="79"/>
  <c r="G12" i="79"/>
  <c r="J12" i="79"/>
  <c r="I12" i="79"/>
  <c r="D12" i="79"/>
  <c r="C12" i="79"/>
  <c r="E12" i="79"/>
  <c r="D12" i="78"/>
  <c r="C12" i="78"/>
  <c r="E12" i="78"/>
  <c r="H12" i="78"/>
  <c r="G12" i="78"/>
  <c r="J12" i="78"/>
  <c r="I12" i="78"/>
  <c r="D12" i="77"/>
  <c r="C12" i="77"/>
  <c r="E12" i="77"/>
  <c r="D12" i="75"/>
  <c r="C12" i="75"/>
  <c r="E12" i="75"/>
  <c r="D12" i="74"/>
  <c r="C12" i="74"/>
  <c r="E12" i="74"/>
  <c r="H12" i="71"/>
  <c r="G12" i="71"/>
  <c r="I12" i="71"/>
  <c r="J12" i="71"/>
  <c r="D12" i="71"/>
  <c r="C12" i="71"/>
  <c r="E12" i="71"/>
  <c r="B3" i="73" a="1"/>
  <c r="P6" i="85" a="1"/>
  <c r="P12" i="84"/>
  <c r="F4" i="85" a="1"/>
  <c r="B11" i="73" a="1"/>
  <c r="K6" i="83" a="1"/>
  <c r="B11" i="75" a="1"/>
  <c r="K2" i="73" a="1"/>
  <c r="P11" i="82" a="1"/>
  <c r="B9" i="79" a="1"/>
  <c r="P9" i="77" a="1"/>
  <c r="K9" i="77" a="1"/>
  <c r="F12" i="73"/>
  <c r="B7" i="74" a="1"/>
  <c r="B5" i="85" a="1"/>
  <c r="K4" i="83" a="1"/>
  <c r="F5" i="82" a="1"/>
  <c r="B11" i="76" a="1"/>
  <c r="B2" i="76" a="1"/>
  <c r="K12" i="82"/>
  <c r="B6" i="80" a="1"/>
  <c r="F6" i="71" a="1"/>
  <c r="B9" i="74" a="1"/>
  <c r="K2" i="74" a="1"/>
  <c r="F9" i="78" a="1"/>
  <c r="P5" i="75" a="1"/>
  <c r="P6" i="75" a="1"/>
  <c r="F5" i="79" a="1"/>
  <c r="K3" i="75" a="1"/>
  <c r="P3" i="78" a="1"/>
  <c r="B3" i="76" a="1"/>
  <c r="K11" i="78" a="1"/>
  <c r="K11" i="79" a="1"/>
  <c r="B4" i="80" a="1"/>
  <c r="B9" i="78" a="1"/>
  <c r="B5" i="81" a="1"/>
  <c r="B6" i="84" a="1"/>
  <c r="F7" i="79" a="1"/>
  <c r="P10" i="84" a="1"/>
  <c r="B7" i="83" a="1"/>
  <c r="K12" i="73"/>
  <c r="P10" i="86" a="1"/>
  <c r="P7" i="77" a="1"/>
  <c r="K3" i="73" a="1"/>
  <c r="K9" i="78" a="1"/>
  <c r="K3" i="85" a="1"/>
  <c r="K5" i="73" a="1"/>
  <c r="B4" i="73" a="1"/>
  <c r="K2" i="77" a="1"/>
  <c r="K10" i="79" a="1"/>
  <c r="K12" i="80"/>
  <c r="B10" i="73" a="1"/>
  <c r="B10" i="76" a="1"/>
  <c r="P6" i="84" a="1"/>
  <c r="P12" i="77"/>
  <c r="B2" i="74" a="1"/>
  <c r="P6" i="82" a="1"/>
  <c r="F9" i="86" a="1"/>
  <c r="F11" i="81" a="1"/>
  <c r="F10" i="79" a="1"/>
  <c r="B7" i="82" a="1"/>
  <c r="B2" i="73" a="1"/>
  <c r="F10" i="76" a="1"/>
  <c r="B3" i="79" a="1"/>
  <c r="F3" i="78" a="1"/>
  <c r="B4" i="71" a="1"/>
  <c r="F7" i="86" a="1"/>
  <c r="P11" i="75" a="1"/>
  <c r="B2" i="79" a="1"/>
  <c r="K9" i="86" a="1"/>
  <c r="K6" i="82" a="1"/>
  <c r="K3" i="79" a="1"/>
  <c r="F2" i="81" a="1"/>
  <c r="F10" i="71" a="1"/>
  <c r="K6" i="77" a="1"/>
  <c r="K2" i="80" a="1"/>
  <c r="K11" i="76" a="1"/>
  <c r="B9" i="82" a="1"/>
  <c r="P2" i="83" a="1"/>
  <c r="F4" i="75" a="1"/>
  <c r="K7" i="83" a="1"/>
  <c r="K4" i="85" a="1"/>
  <c r="P11" i="71" a="1"/>
  <c r="P9" i="85" a="1"/>
  <c r="B9" i="76" a="1"/>
  <c r="K2" i="83" a="1"/>
  <c r="B12" i="76"/>
  <c r="B2" i="71" a="1"/>
  <c r="P7" i="71" a="1"/>
  <c r="P5" i="76" a="1"/>
  <c r="K9" i="84" a="1"/>
  <c r="K2" i="82" a="1"/>
  <c r="P11" i="77" a="1"/>
  <c r="B5" i="86" a="1"/>
  <c r="B8" i="86" a="1"/>
  <c r="K9" i="73" a="1"/>
  <c r="F3" i="80" a="1"/>
  <c r="K9" i="75" a="1"/>
  <c r="B5" i="71" a="1"/>
  <c r="K11" i="73" a="1"/>
  <c r="K8" i="84" a="1"/>
  <c r="P6" i="79" a="1"/>
  <c r="B7" i="78" a="1"/>
  <c r="B3" i="82" a="1"/>
  <c r="K8" i="78" a="1"/>
  <c r="F7" i="71" a="1"/>
  <c r="F11" i="77" a="1"/>
  <c r="F6" i="77" a="1"/>
  <c r="F8" i="76" a="1"/>
  <c r="F4" i="80" a="1"/>
  <c r="F7" i="80" a="1"/>
  <c r="P4" i="81" a="1"/>
  <c r="F7" i="81" a="1"/>
  <c r="K10" i="75" a="1"/>
  <c r="K4" i="79" a="1"/>
  <c r="K2" i="78" a="1"/>
  <c r="K6" i="75" a="1"/>
  <c r="F5" i="77" a="1"/>
  <c r="B2" i="82" a="1"/>
  <c r="F2" i="78" a="1"/>
  <c r="F11" i="78" a="1"/>
  <c r="K10" i="82" a="1"/>
  <c r="K3" i="78" a="1"/>
  <c r="F11" i="80" a="1"/>
  <c r="B9" i="81" a="1"/>
  <c r="K7" i="75" a="1"/>
  <c r="K9" i="74" a="1"/>
  <c r="F5" i="83" a="1"/>
  <c r="F8" i="74" a="1"/>
  <c r="K7" i="80" a="1"/>
  <c r="B8" i="84" a="1"/>
  <c r="B10" i="82" a="1"/>
  <c r="K6" i="86" a="1"/>
  <c r="F6" i="81" a="1"/>
  <c r="B8" i="77" a="1"/>
  <c r="B4" i="82" a="1"/>
  <c r="F2" i="82" a="1"/>
  <c r="B3" i="85" a="1"/>
  <c r="K7" i="81" a="1"/>
  <c r="B4" i="77" a="1"/>
  <c r="P3" i="82" a="1"/>
  <c r="B4" i="83" a="1"/>
  <c r="K2" i="84" a="1"/>
  <c r="F2" i="75" a="1"/>
  <c r="P11" i="86" a="1"/>
  <c r="P10" i="78" a="1"/>
  <c r="K10" i="73" a="1"/>
  <c r="F11" i="83" a="1"/>
  <c r="F8" i="86" a="1"/>
  <c r="F7" i="77" a="1"/>
  <c r="B3" i="83" a="1"/>
  <c r="K9" i="82" a="1"/>
  <c r="P10" i="76" a="1"/>
  <c r="F3" i="74" a="1"/>
  <c r="F8" i="75" a="1"/>
  <c r="P4" i="84" a="1"/>
  <c r="K7" i="82" a="1"/>
  <c r="P2" i="71" a="1"/>
  <c r="F10" i="82" a="1"/>
  <c r="B9" i="71" a="1"/>
  <c r="B8" i="76" a="1"/>
  <c r="P3" i="73" a="1"/>
  <c r="K8" i="76" a="1"/>
  <c r="B11" i="79" a="1"/>
  <c r="K9" i="71" a="1"/>
  <c r="F2" i="76" a="1"/>
  <c r="B7" i="80" a="1"/>
  <c r="P5" i="80" a="1"/>
  <c r="B4" i="76" a="1"/>
  <c r="F4" i="76" a="1"/>
  <c r="K5" i="79" a="1"/>
  <c r="P4" i="74" a="1"/>
  <c r="K9" i="85" a="1"/>
  <c r="P10" i="83" a="1"/>
  <c r="F6" i="75" a="1"/>
  <c r="K4" i="81" a="1"/>
  <c r="B7" i="73" a="1"/>
  <c r="F3" i="71" a="1"/>
  <c r="P11" i="74" a="1"/>
  <c r="F10" i="83" a="1"/>
  <c r="P5" i="73" a="1"/>
  <c r="P5" i="74" a="1"/>
  <c r="K8" i="74" a="1"/>
  <c r="B11" i="81" a="1"/>
  <c r="B7" i="77" a="1"/>
  <c r="P9" i="81" a="1"/>
  <c r="K9" i="83" a="1"/>
  <c r="K12" i="81"/>
  <c r="K5" i="86" a="1"/>
  <c r="B2" i="81" a="1"/>
  <c r="F9" i="83" a="1"/>
  <c r="P10" i="75" a="1"/>
  <c r="F8" i="85" a="1"/>
  <c r="F2" i="71" a="1"/>
  <c r="B5" i="84" a="1"/>
  <c r="P2" i="86" a="1"/>
  <c r="F5" i="84" a="1"/>
  <c r="P10" i="73" a="1"/>
  <c r="P11" i="78" a="1"/>
  <c r="F9" i="79" a="1"/>
  <c r="F6" i="76" a="1"/>
  <c r="P2" i="84" a="1"/>
  <c r="F8" i="73" a="1"/>
  <c r="P4" i="77" a="1"/>
  <c r="P8" i="75" a="1"/>
  <c r="B6" i="73" a="1"/>
  <c r="P10" i="80" a="1"/>
  <c r="K11" i="84" a="1"/>
  <c r="F2" i="86" a="1"/>
  <c r="P4" i="76" a="1"/>
  <c r="F9" i="76" a="1"/>
  <c r="F11" i="85" a="1"/>
  <c r="F8" i="81" a="1"/>
  <c r="P12" i="71"/>
  <c r="P8" i="83" a="1"/>
  <c r="K5" i="82" a="1"/>
  <c r="K8" i="82" a="1"/>
  <c r="P6" i="73" a="1"/>
  <c r="K4" i="80" a="1"/>
  <c r="K10" i="74" a="1"/>
  <c r="F7" i="84" a="1"/>
  <c r="P12" i="78"/>
  <c r="P11" i="76" a="1"/>
  <c r="F3" i="73" a="1"/>
  <c r="K7" i="77" a="1"/>
  <c r="F4" i="71" a="1"/>
  <c r="B4" i="86" a="1"/>
  <c r="K4" i="74" a="1"/>
  <c r="F10" i="75" a="1"/>
  <c r="P3" i="76" a="1"/>
  <c r="K8" i="81" a="1"/>
  <c r="F9" i="85" a="1"/>
  <c r="P5" i="84" a="1"/>
  <c r="K7" i="84" a="1"/>
  <c r="F5" i="71" a="1"/>
  <c r="P2" i="73" a="1"/>
  <c r="F12" i="82"/>
  <c r="B9" i="80" a="1"/>
  <c r="P6" i="74" a="1"/>
  <c r="K4" i="82" a="1"/>
  <c r="B6" i="82" a="1"/>
  <c r="P12" i="83"/>
  <c r="B10" i="77" a="1"/>
  <c r="K7" i="71" a="1"/>
  <c r="P3" i="71" a="1"/>
  <c r="B3" i="80" a="1"/>
  <c r="B5" i="76" a="1"/>
  <c r="B11" i="78" a="1"/>
  <c r="F12" i="81"/>
  <c r="P10" i="81" a="1"/>
  <c r="B5" i="80" a="1"/>
  <c r="F3" i="84" a="1"/>
  <c r="B10" i="74" a="1"/>
  <c r="B6" i="78" a="1"/>
  <c r="B11" i="83" a="1"/>
  <c r="K2" i="71" a="1"/>
  <c r="F7" i="83" a="1"/>
  <c r="B9" i="85" a="1"/>
  <c r="F4" i="82" a="1"/>
  <c r="B6" i="85" a="1"/>
  <c r="K5" i="81" a="1"/>
  <c r="K6" i="85" a="1"/>
  <c r="F6" i="82" a="1"/>
  <c r="B6" i="86" a="1"/>
  <c r="B12" i="80"/>
  <c r="P11" i="85" a="1"/>
  <c r="F8" i="77" a="1"/>
  <c r="F6" i="79" a="1"/>
  <c r="K5" i="77" a="1"/>
  <c r="P6" i="83" a="1"/>
  <c r="F6" i="85" a="1"/>
  <c r="K4" i="73" a="1"/>
  <c r="B8" i="78" a="1"/>
  <c r="F7" i="78" a="1"/>
  <c r="P8" i="78" a="1"/>
  <c r="F3" i="85" a="1"/>
  <c r="P7" i="79" a="1"/>
  <c r="K7" i="73" a="1"/>
  <c r="B10" i="85" a="1"/>
  <c r="B7" i="86" a="1"/>
  <c r="P9" i="76" a="1"/>
  <c r="P8" i="74" a="1"/>
  <c r="B4" i="78" a="1"/>
  <c r="P11" i="73" a="1"/>
  <c r="P8" i="71" a="1"/>
  <c r="P3" i="83" a="1"/>
  <c r="P8" i="76" a="1"/>
  <c r="P4" i="79" a="1"/>
  <c r="F3" i="76" a="1"/>
  <c r="F4" i="83" a="1"/>
  <c r="F8" i="79" a="1"/>
  <c r="K4" i="77" a="1"/>
  <c r="B9" i="86" a="1"/>
  <c r="B7" i="71" a="1"/>
  <c r="K6" i="79" a="1"/>
  <c r="B9" i="84" a="1"/>
  <c r="P9" i="80" a="1"/>
  <c r="K11" i="77" a="1"/>
  <c r="P9" i="73" a="1"/>
  <c r="P5" i="82" a="1"/>
  <c r="B11" i="82" a="1"/>
  <c r="K10" i="84" a="1"/>
  <c r="P7" i="80" a="1"/>
  <c r="F2" i="80" a="1"/>
  <c r="B7" i="81" a="1"/>
  <c r="F10" i="80" a="1"/>
  <c r="B5" i="79" a="1"/>
  <c r="K7" i="78" a="1"/>
  <c r="K10" i="80" a="1"/>
  <c r="K7" i="86" a="1"/>
  <c r="P7" i="75" a="1"/>
  <c r="F11" i="86" a="1"/>
  <c r="F11" i="82" a="1"/>
  <c r="K6" i="84" a="1"/>
  <c r="B9" i="77" a="1"/>
  <c r="F5" i="74" a="1"/>
  <c r="P8" i="81" a="1"/>
  <c r="K3" i="80" a="1"/>
  <c r="P3" i="79" a="1"/>
  <c r="P6" i="76" a="1"/>
  <c r="F9" i="75" a="1"/>
  <c r="K3" i="86" a="1"/>
  <c r="B6" i="83" a="1"/>
  <c r="K3" i="76" a="1"/>
  <c r="B9" i="83" a="1"/>
  <c r="B5" i="78" a="1"/>
  <c r="P5" i="83" a="1"/>
  <c r="K11" i="81" a="1"/>
  <c r="K12" i="75"/>
  <c r="P12" i="73"/>
  <c r="B7" i="85" a="1"/>
  <c r="B3" i="75" a="1"/>
  <c r="K12" i="77"/>
  <c r="K4" i="71" a="1"/>
  <c r="B10" i="79" a="1"/>
  <c r="F2" i="85" a="1"/>
  <c r="B4" i="84" a="1"/>
  <c r="F2" i="74" a="1"/>
  <c r="K10" i="71" a="1"/>
  <c r="P12" i="82"/>
  <c r="F10" i="77" a="1"/>
  <c r="K5" i="85" a="1"/>
  <c r="B8" i="81" a="1"/>
  <c r="K12" i="86"/>
  <c r="P9" i="83" a="1"/>
  <c r="B4" i="75" a="1"/>
  <c r="P10" i="71" a="1"/>
  <c r="P5" i="71" a="1"/>
  <c r="F2" i="84" a="1"/>
  <c r="B9" i="73" a="1"/>
  <c r="K10" i="83" a="1"/>
  <c r="P3" i="85" a="1"/>
  <c r="P2" i="78" a="1"/>
  <c r="K3" i="71" a="1"/>
  <c r="P2" i="79" a="1"/>
  <c r="P3" i="86" a="1"/>
  <c r="P7" i="78" a="1"/>
  <c r="P7" i="82" a="1"/>
  <c r="K9" i="79" a="1"/>
  <c r="P2" i="82" a="1"/>
  <c r="B8" i="75" a="1"/>
  <c r="P5" i="77" a="1"/>
  <c r="F6" i="78" a="1"/>
  <c r="K3" i="83" a="1"/>
  <c r="F5" i="80" a="1"/>
  <c r="K10" i="76" a="1"/>
  <c r="K10" i="81" a="1"/>
  <c r="K10" i="85" a="1"/>
  <c r="P4" i="86" a="1"/>
  <c r="P6" i="80" a="1"/>
  <c r="B5" i="83" a="1"/>
  <c r="F11" i="84" a="1"/>
  <c r="B2" i="83" a="1"/>
  <c r="K4" i="75" a="1"/>
  <c r="P7" i="73" a="1"/>
  <c r="B4" i="85" a="1"/>
  <c r="F4" i="77" a="1"/>
  <c r="F3" i="75" a="1"/>
  <c r="F3" i="83" a="1"/>
  <c r="F10" i="86" a="1"/>
  <c r="F3" i="82" a="1"/>
  <c r="F3" i="81" a="1"/>
  <c r="B11" i="86" a="1"/>
  <c r="B2" i="78" a="1"/>
  <c r="K6" i="73" a="1"/>
  <c r="B7" i="84" a="1"/>
  <c r="P11" i="83" a="1"/>
  <c r="K8" i="85" a="1"/>
  <c r="P7" i="86" a="1"/>
  <c r="B10" i="80" a="1"/>
  <c r="B8" i="71" a="1"/>
  <c r="K11" i="83" a="1"/>
  <c r="F8" i="71" a="1"/>
  <c r="F11" i="76" a="1"/>
  <c r="P7" i="81" a="1"/>
  <c r="B5" i="82" a="1"/>
  <c r="P6" i="81" a="1"/>
  <c r="P10" i="74" a="1"/>
  <c r="B8" i="82" a="1"/>
  <c r="P12" i="75"/>
  <c r="F3" i="79" a="1"/>
  <c r="K12" i="76"/>
  <c r="B3" i="84" a="1"/>
  <c r="P7" i="83" a="1"/>
  <c r="P9" i="75" a="1"/>
  <c r="F11" i="75" a="1"/>
  <c r="P2" i="77" a="1"/>
  <c r="F7" i="76" a="1"/>
  <c r="F8" i="83" a="1"/>
  <c r="F9" i="80" a="1"/>
  <c r="P9" i="79" a="1"/>
  <c r="F9" i="77" a="1"/>
  <c r="F9" i="73" a="1"/>
  <c r="P9" i="86" a="1"/>
  <c r="B3" i="77" a="1"/>
  <c r="K8" i="80" a="1"/>
  <c r="F12" i="76"/>
  <c r="K7" i="74" a="1"/>
  <c r="K4" i="78" a="1"/>
  <c r="B6" i="75" a="1"/>
  <c r="B7" i="76" a="1"/>
  <c r="P9" i="82" a="1"/>
  <c r="K6" i="71" a="1"/>
  <c r="P6" i="78" a="1"/>
  <c r="K2" i="85" a="1"/>
  <c r="F4" i="79" a="1"/>
  <c r="P2" i="74" a="1"/>
  <c r="F7" i="75" a="1"/>
  <c r="P4" i="82" a="1"/>
  <c r="F5" i="75" a="1"/>
  <c r="B11" i="77" a="1"/>
  <c r="K11" i="86" a="1"/>
  <c r="B10" i="86" a="1"/>
  <c r="B10" i="81" a="1"/>
  <c r="F5" i="76" a="1"/>
  <c r="P8" i="73" a="1"/>
  <c r="K8" i="79" a="1"/>
  <c r="B11" i="80" a="1"/>
  <c r="F9" i="71" a="1"/>
  <c r="P6" i="71" a="1"/>
  <c r="P3" i="84" a="1"/>
  <c r="K8" i="77" a="1"/>
  <c r="B4" i="79" a="1"/>
  <c r="B10" i="84" a="1"/>
  <c r="F7" i="85" a="1"/>
  <c r="B4" i="81" a="1"/>
  <c r="P4" i="75" a="1"/>
  <c r="K9" i="80" a="1"/>
  <c r="P2" i="85" a="1"/>
  <c r="K3" i="84" a="1"/>
  <c r="K10" i="86" a="1"/>
  <c r="K2" i="76" a="1"/>
  <c r="P2" i="76" a="1"/>
  <c r="P12" i="79"/>
  <c r="B8" i="74" a="1"/>
  <c r="K5" i="78" a="1"/>
  <c r="F11" i="79" a="1"/>
  <c r="F11" i="74" a="1"/>
  <c r="K8" i="71" a="1"/>
  <c r="F4" i="84" a="1"/>
  <c r="F3" i="86" a="1"/>
  <c r="B5" i="77" a="1"/>
  <c r="F4" i="73" a="1"/>
  <c r="F7" i="74" a="1"/>
  <c r="P10" i="77" a="1"/>
  <c r="K3" i="74" a="1"/>
  <c r="P8" i="86" a="1"/>
  <c r="K3" i="81" a="1"/>
  <c r="P8" i="79" a="1"/>
  <c r="F4" i="81" a="1"/>
  <c r="F6" i="83" a="1"/>
  <c r="K11" i="85" a="1"/>
  <c r="F2" i="83" a="1"/>
  <c r="F9" i="84" a="1"/>
  <c r="P5" i="86" a="1"/>
  <c r="F4" i="78" a="1"/>
  <c r="P12" i="80"/>
  <c r="K2" i="75" a="1"/>
  <c r="K5" i="71" a="1"/>
  <c r="K2" i="81" a="1"/>
  <c r="K5" i="84" a="1"/>
  <c r="B6" i="77" a="1"/>
  <c r="P4" i="78" a="1"/>
  <c r="B10" i="71" a="1"/>
  <c r="K11" i="75" a="1"/>
  <c r="P3" i="74" a="1"/>
  <c r="K7" i="79" a="1"/>
  <c r="B11" i="71" a="1"/>
  <c r="F2" i="77" a="1"/>
  <c r="F8" i="82" a="1"/>
  <c r="F10" i="78" a="1"/>
  <c r="B11" i="85" a="1"/>
  <c r="K6" i="81" a="1"/>
  <c r="P9" i="84" a="1"/>
  <c r="P2" i="81" a="1"/>
  <c r="F3" i="77" a="1"/>
  <c r="B6" i="71" a="1"/>
  <c r="P5" i="85" a="1"/>
  <c r="P7" i="85" a="1"/>
  <c r="P3" i="80" a="1"/>
  <c r="B11" i="74" a="1"/>
  <c r="B2" i="85" a="1"/>
  <c r="P6" i="77" a="1"/>
  <c r="P5" i="81" a="1"/>
  <c r="P2" i="80" a="1"/>
  <c r="P11" i="81" a="1"/>
  <c r="F4" i="86" a="1"/>
  <c r="F10" i="81" a="1"/>
  <c r="K3" i="77" a="1"/>
  <c r="F8" i="78" a="1"/>
  <c r="F10" i="85" a="1"/>
  <c r="K4" i="84" a="1"/>
  <c r="B3" i="78" a="1"/>
  <c r="K8" i="73" a="1"/>
  <c r="B7" i="79" a="1"/>
  <c r="B9" i="75" a="1"/>
  <c r="P9" i="71" a="1"/>
  <c r="P12" i="74"/>
  <c r="K6" i="78" a="1"/>
  <c r="B2" i="75" a="1"/>
  <c r="K9" i="81" a="1"/>
  <c r="K11" i="80" a="1"/>
  <c r="K5" i="83" a="1"/>
  <c r="B5" i="74" a="1"/>
  <c r="K8" i="86" a="1"/>
  <c r="K6" i="76" a="1"/>
  <c r="K10" i="77" a="1"/>
  <c r="F5" i="78" a="1"/>
  <c r="F6" i="84" a="1"/>
  <c r="P8" i="80" a="1"/>
  <c r="P4" i="85" a="1"/>
  <c r="F5" i="85" a="1"/>
  <c r="B6" i="76" a="1"/>
  <c r="P10" i="85" a="1"/>
  <c r="B6" i="74" a="1"/>
  <c r="F2" i="73" a="1"/>
  <c r="B11" i="84" a="1"/>
  <c r="B3" i="86" a="1"/>
  <c r="F2" i="79" a="1"/>
  <c r="K6" i="74" a="1"/>
  <c r="F9" i="74" a="1"/>
  <c r="P8" i="84" a="1"/>
  <c r="K10" i="78" a="1"/>
  <c r="B2" i="80" a="1"/>
  <c r="K8" i="75" a="1"/>
  <c r="K6" i="80" a="1"/>
  <c r="P8" i="85" a="1"/>
  <c r="F9" i="82" a="1"/>
  <c r="B2" i="84" a="1"/>
  <c r="F6" i="74" a="1"/>
  <c r="F6" i="86" a="1"/>
  <c r="B6" i="79" a="1"/>
  <c r="B10" i="83" a="1"/>
  <c r="K2" i="86" a="1"/>
  <c r="K5" i="75" a="1"/>
  <c r="F7" i="73" a="1"/>
  <c r="B3" i="71" a="1"/>
  <c r="F10" i="73" a="1"/>
  <c r="P4" i="80" a="1"/>
  <c r="F4" i="74" a="1"/>
  <c r="P10" i="79" a="1"/>
  <c r="F5" i="86" a="1"/>
  <c r="B8" i="85" a="1"/>
  <c r="F6" i="80" a="1"/>
  <c r="P11" i="84" a="1"/>
  <c r="B2" i="77" a="1"/>
  <c r="F9" i="81" a="1"/>
  <c r="P3" i="75" a="1"/>
  <c r="B7" i="75" a="1"/>
  <c r="F7" i="82" a="1"/>
  <c r="P12" i="76"/>
  <c r="F5" i="73" a="1"/>
  <c r="K11" i="82" a="1"/>
  <c r="B8" i="80" a="1"/>
  <c r="P12" i="85"/>
  <c r="B5" i="75" a="1"/>
  <c r="P4" i="73" a="1"/>
  <c r="P3" i="77" a="1"/>
  <c r="K4" i="76" a="1"/>
  <c r="P5" i="78" a="1"/>
  <c r="B8" i="79" a="1"/>
  <c r="K5" i="80" a="1"/>
  <c r="B8" i="83" a="1"/>
  <c r="K7" i="76" a="1"/>
  <c r="B8" i="73" a="1"/>
  <c r="P9" i="74" a="1"/>
  <c r="F11" i="73" a="1"/>
  <c r="F10" i="74" a="1"/>
  <c r="B10" i="78" a="1"/>
  <c r="P10" i="82" a="1"/>
  <c r="P4" i="71" a="1"/>
  <c r="F5" i="81" a="1"/>
  <c r="K5" i="76" a="1"/>
  <c r="P8" i="77" a="1"/>
  <c r="F12" i="80"/>
  <c r="P11" i="80" a="1"/>
  <c r="F8" i="80" a="1"/>
  <c r="P7" i="76" a="1"/>
  <c r="P11" i="79" a="1"/>
  <c r="P7" i="74" a="1"/>
  <c r="P3" i="81" a="1"/>
  <c r="F10" i="84" a="1"/>
  <c r="P6" i="86" a="1"/>
  <c r="K11" i="74" a="1"/>
  <c r="B2" i="86" a="1"/>
  <c r="F11" i="71" a="1"/>
  <c r="P7" i="84" a="1"/>
  <c r="P12" i="86"/>
  <c r="F8" i="84" a="1"/>
  <c r="B6" i="81" a="1"/>
  <c r="B4" i="74" a="1"/>
  <c r="B5" i="73" a="1"/>
  <c r="P2" i="75" a="1"/>
  <c r="P12" i="81"/>
  <c r="K3" i="82" a="1"/>
  <c r="B10" i="75" a="1"/>
  <c r="B3" i="74" a="1"/>
  <c r="F6" i="73" a="1"/>
  <c r="K7" i="85" a="1"/>
  <c r="K4" i="86" a="1"/>
  <c r="P9" i="78" a="1"/>
  <c r="P4" i="83" a="1"/>
  <c r="K9" i="76" a="1"/>
  <c r="P5" i="79" a="1"/>
  <c r="K11" i="71" a="1"/>
  <c r="B3" i="81" a="1"/>
  <c r="P8" i="82" a="1"/>
  <c r="K2" i="79" a="1"/>
  <c r="K5" i="74" a="1"/>
  <c r="K12" i="74"/>
  <c r="K8" i="83" a="1"/>
  <c r="B2" i="73" l="1"/>
  <c r="B3" i="73"/>
  <c r="F6" i="86"/>
  <c r="F4" i="86"/>
  <c r="F7" i="86"/>
  <c r="B4" i="86"/>
  <c r="B11" i="86"/>
  <c r="B10" i="86"/>
  <c r="K7" i="86"/>
  <c r="K10" i="86"/>
  <c r="P10" i="86"/>
  <c r="P8" i="86"/>
  <c r="P11" i="86"/>
  <c r="F10" i="86"/>
  <c r="F8" i="86"/>
  <c r="F11" i="86"/>
  <c r="B8" i="86"/>
  <c r="B5" i="86"/>
  <c r="K4" i="86"/>
  <c r="K11" i="86"/>
  <c r="K5" i="86"/>
  <c r="P5" i="86"/>
  <c r="P6" i="86"/>
  <c r="F5" i="86"/>
  <c r="F2" i="86"/>
  <c r="L12" i="86"/>
  <c r="O12" i="86"/>
  <c r="N12" i="86"/>
  <c r="M12" i="86"/>
  <c r="H12" i="86"/>
  <c r="G12" i="86"/>
  <c r="J12" i="86"/>
  <c r="I12" i="86"/>
  <c r="B3" i="86"/>
  <c r="B2" i="86"/>
  <c r="K8" i="86"/>
  <c r="K2" i="86"/>
  <c r="K9" i="86"/>
  <c r="P9" i="86"/>
  <c r="P3" i="86"/>
  <c r="F9" i="86"/>
  <c r="F3" i="86"/>
  <c r="B9" i="86"/>
  <c r="B7" i="86"/>
  <c r="B6" i="86"/>
  <c r="K3" i="86"/>
  <c r="K6" i="86"/>
  <c r="P2" i="86"/>
  <c r="P4" i="86"/>
  <c r="P7" i="86"/>
  <c r="K10" i="85"/>
  <c r="F11" i="85"/>
  <c r="P3" i="85"/>
  <c r="B10" i="85"/>
  <c r="K3" i="85"/>
  <c r="K8" i="85"/>
  <c r="K5" i="85"/>
  <c r="F5" i="85"/>
  <c r="F8" i="85"/>
  <c r="P10" i="85"/>
  <c r="P6" i="85"/>
  <c r="P7" i="85"/>
  <c r="B8" i="85"/>
  <c r="B5" i="85"/>
  <c r="L12" i="85"/>
  <c r="O12" i="85"/>
  <c r="M12" i="85"/>
  <c r="N12" i="85"/>
  <c r="F4" i="85"/>
  <c r="B4" i="85"/>
  <c r="K7" i="85"/>
  <c r="K2" i="85"/>
  <c r="K9" i="85"/>
  <c r="F9" i="85"/>
  <c r="F3" i="85"/>
  <c r="P5" i="85"/>
  <c r="P4" i="85"/>
  <c r="P11" i="85"/>
  <c r="B3" i="85"/>
  <c r="B2" i="85"/>
  <c r="K4" i="85"/>
  <c r="F6" i="85"/>
  <c r="P2" i="85"/>
  <c r="B11" i="85"/>
  <c r="K11" i="85"/>
  <c r="K6" i="85"/>
  <c r="F2" i="85"/>
  <c r="F10" i="85"/>
  <c r="F7" i="85"/>
  <c r="P9" i="85"/>
  <c r="P8" i="85"/>
  <c r="B9" i="85"/>
  <c r="B7" i="85"/>
  <c r="B6" i="85"/>
  <c r="L12" i="84"/>
  <c r="M12" i="84"/>
  <c r="N12" i="84"/>
  <c r="O12" i="84"/>
  <c r="K11" i="84"/>
  <c r="K4" i="84"/>
  <c r="B8" i="84"/>
  <c r="B7" i="84"/>
  <c r="B10" i="84"/>
  <c r="P2" i="84"/>
  <c r="P3" i="84"/>
  <c r="F6" i="84"/>
  <c r="F4" i="84"/>
  <c r="F11" i="84"/>
  <c r="K8" i="84"/>
  <c r="K2" i="84"/>
  <c r="K5" i="84"/>
  <c r="B5" i="84"/>
  <c r="B11" i="84"/>
  <c r="P10" i="84"/>
  <c r="P6" i="84"/>
  <c r="P7" i="84"/>
  <c r="F5" i="84"/>
  <c r="F8" i="84"/>
  <c r="K3" i="84"/>
  <c r="K6" i="84"/>
  <c r="K9" i="84"/>
  <c r="B9" i="84"/>
  <c r="B2" i="84"/>
  <c r="P5" i="84"/>
  <c r="P4" i="84"/>
  <c r="P11" i="84"/>
  <c r="F9" i="84"/>
  <c r="F3" i="84"/>
  <c r="K7" i="84"/>
  <c r="K10" i="84"/>
  <c r="B4" i="84"/>
  <c r="B3" i="84"/>
  <c r="B6" i="84"/>
  <c r="P9" i="84"/>
  <c r="P8" i="84"/>
  <c r="F2" i="84"/>
  <c r="F10" i="84"/>
  <c r="F7" i="84"/>
  <c r="L12" i="83"/>
  <c r="O12" i="83"/>
  <c r="N12" i="83"/>
  <c r="M12" i="83"/>
  <c r="K8" i="83"/>
  <c r="K9" i="83"/>
  <c r="P6" i="83"/>
  <c r="P8" i="83"/>
  <c r="P11" i="83"/>
  <c r="F2" i="83"/>
  <c r="F9" i="83"/>
  <c r="F7" i="83"/>
  <c r="K11" i="83"/>
  <c r="K3" i="83"/>
  <c r="B9" i="83"/>
  <c r="B3" i="83"/>
  <c r="B6" i="83"/>
  <c r="P10" i="83"/>
  <c r="P5" i="83"/>
  <c r="F5" i="83"/>
  <c r="B8" i="83"/>
  <c r="F6" i="83"/>
  <c r="F4" i="83"/>
  <c r="F11" i="83"/>
  <c r="K2" i="83"/>
  <c r="K7" i="83"/>
  <c r="B5" i="83"/>
  <c r="B7" i="83"/>
  <c r="B10" i="83"/>
  <c r="P9" i="83"/>
  <c r="P3" i="83"/>
  <c r="F3" i="83"/>
  <c r="K10" i="83"/>
  <c r="B2" i="83"/>
  <c r="F10" i="83"/>
  <c r="F8" i="83"/>
  <c r="K4" i="83"/>
  <c r="K6" i="83"/>
  <c r="K5" i="83"/>
  <c r="B4" i="83"/>
  <c r="B11" i="83"/>
  <c r="P2" i="83"/>
  <c r="P4" i="83"/>
  <c r="P7" i="83"/>
  <c r="B9" i="82"/>
  <c r="B7" i="82"/>
  <c r="B10" i="82"/>
  <c r="P10" i="82"/>
  <c r="P8" i="82"/>
  <c r="H12" i="82"/>
  <c r="G12" i="82"/>
  <c r="J12" i="82"/>
  <c r="I12" i="82"/>
  <c r="D12" i="82"/>
  <c r="C12" i="82"/>
  <c r="E12" i="82"/>
  <c r="K7" i="82"/>
  <c r="K10" i="82"/>
  <c r="F6" i="82"/>
  <c r="F4" i="82"/>
  <c r="F11" i="82"/>
  <c r="B4" i="82"/>
  <c r="B11" i="82"/>
  <c r="L12" i="82"/>
  <c r="O12" i="82"/>
  <c r="N12" i="82"/>
  <c r="M12" i="82"/>
  <c r="P5" i="82"/>
  <c r="P3" i="82"/>
  <c r="K4" i="82"/>
  <c r="K11" i="82"/>
  <c r="K5" i="82"/>
  <c r="F10" i="82"/>
  <c r="F8" i="82"/>
  <c r="B8" i="82"/>
  <c r="B2" i="82"/>
  <c r="P2" i="82"/>
  <c r="P9" i="82"/>
  <c r="P7" i="82"/>
  <c r="K8" i="82"/>
  <c r="K2" i="82"/>
  <c r="K9" i="82"/>
  <c r="F5" i="82"/>
  <c r="F3" i="82"/>
  <c r="B5" i="82"/>
  <c r="B3" i="82"/>
  <c r="B6" i="82"/>
  <c r="P6" i="82"/>
  <c r="P4" i="82"/>
  <c r="P11" i="82"/>
  <c r="K3" i="82"/>
  <c r="K6" i="82"/>
  <c r="F2" i="82"/>
  <c r="F9" i="82"/>
  <c r="F7" i="82"/>
  <c r="B9" i="81"/>
  <c r="B7" i="81"/>
  <c r="B10" i="81"/>
  <c r="P10" i="81"/>
  <c r="P8" i="81"/>
  <c r="H12" i="81"/>
  <c r="G12" i="81"/>
  <c r="J12" i="81"/>
  <c r="I12" i="81"/>
  <c r="D12" i="81"/>
  <c r="C12" i="81"/>
  <c r="E12" i="81"/>
  <c r="K7" i="81"/>
  <c r="K10" i="81"/>
  <c r="F6" i="81"/>
  <c r="F4" i="81"/>
  <c r="F11" i="81"/>
  <c r="B4" i="81"/>
  <c r="B11" i="81"/>
  <c r="L12" i="81"/>
  <c r="O12" i="81"/>
  <c r="N12" i="81"/>
  <c r="M12" i="81"/>
  <c r="P5" i="81"/>
  <c r="P3" i="81"/>
  <c r="K4" i="81"/>
  <c r="K11" i="81"/>
  <c r="K5" i="81"/>
  <c r="F10" i="81"/>
  <c r="F8" i="81"/>
  <c r="B8" i="81"/>
  <c r="B2" i="81"/>
  <c r="P2" i="81"/>
  <c r="P9" i="81"/>
  <c r="P7" i="81"/>
  <c r="K8" i="81"/>
  <c r="K2" i="81"/>
  <c r="K9" i="81"/>
  <c r="F5" i="81"/>
  <c r="F3" i="81"/>
  <c r="B5" i="81"/>
  <c r="B3" i="81"/>
  <c r="B6" i="81"/>
  <c r="P6" i="81"/>
  <c r="P4" i="81"/>
  <c r="P11" i="81"/>
  <c r="K3" i="81"/>
  <c r="K6" i="81"/>
  <c r="F2" i="81"/>
  <c r="F9" i="81"/>
  <c r="F7" i="81"/>
  <c r="F6" i="80"/>
  <c r="B3" i="80"/>
  <c r="K3" i="80"/>
  <c r="P10" i="80"/>
  <c r="P8" i="80"/>
  <c r="F5" i="80"/>
  <c r="F10" i="80"/>
  <c r="F7" i="80"/>
  <c r="B4" i="80"/>
  <c r="B7" i="80"/>
  <c r="B10" i="80"/>
  <c r="K7" i="80"/>
  <c r="K6" i="80"/>
  <c r="P5" i="80"/>
  <c r="P3" i="80"/>
  <c r="F3" i="80"/>
  <c r="K2" i="80"/>
  <c r="F9" i="80"/>
  <c r="F4" i="80"/>
  <c r="F11" i="80"/>
  <c r="B8" i="80"/>
  <c r="B11" i="80"/>
  <c r="L12" i="80"/>
  <c r="O12" i="80"/>
  <c r="M12" i="80"/>
  <c r="N12" i="80"/>
  <c r="K11" i="80"/>
  <c r="K10" i="80"/>
  <c r="P2" i="80"/>
  <c r="P9" i="80"/>
  <c r="P7" i="80"/>
  <c r="H12" i="80"/>
  <c r="G12" i="80"/>
  <c r="J12" i="80"/>
  <c r="I12" i="80"/>
  <c r="B5" i="80"/>
  <c r="B6" i="80"/>
  <c r="K9" i="80"/>
  <c r="F2" i="80"/>
  <c r="F8" i="80"/>
  <c r="D12" i="80"/>
  <c r="C12" i="80"/>
  <c r="E12" i="80"/>
  <c r="B9" i="80"/>
  <c r="B2" i="80"/>
  <c r="K8" i="80"/>
  <c r="K4" i="80"/>
  <c r="K5" i="80"/>
  <c r="P6" i="80"/>
  <c r="P4" i="80"/>
  <c r="P11" i="80"/>
  <c r="K10" i="79"/>
  <c r="P4" i="79"/>
  <c r="F5" i="79"/>
  <c r="B9" i="79"/>
  <c r="B7" i="79"/>
  <c r="B10" i="79"/>
  <c r="K8" i="79"/>
  <c r="K4" i="79"/>
  <c r="K5" i="79"/>
  <c r="P10" i="79"/>
  <c r="P8" i="79"/>
  <c r="F2" i="79"/>
  <c r="F9" i="79"/>
  <c r="F7" i="79"/>
  <c r="B4" i="79"/>
  <c r="B11" i="79"/>
  <c r="L12" i="79"/>
  <c r="O12" i="79"/>
  <c r="N12" i="79"/>
  <c r="M12" i="79"/>
  <c r="P11" i="79"/>
  <c r="K3" i="79"/>
  <c r="K2" i="79"/>
  <c r="K9" i="79"/>
  <c r="P5" i="79"/>
  <c r="P3" i="79"/>
  <c r="F6" i="79"/>
  <c r="F4" i="79"/>
  <c r="F11" i="79"/>
  <c r="B8" i="79"/>
  <c r="B2" i="79"/>
  <c r="K11" i="79"/>
  <c r="P6" i="79"/>
  <c r="F3" i="79"/>
  <c r="K7" i="79"/>
  <c r="K6" i="79"/>
  <c r="P2" i="79"/>
  <c r="P9" i="79"/>
  <c r="P7" i="79"/>
  <c r="F10" i="79"/>
  <c r="F8" i="79"/>
  <c r="B5" i="79"/>
  <c r="B3" i="79"/>
  <c r="B6" i="79"/>
  <c r="K7" i="78"/>
  <c r="F4" i="78"/>
  <c r="P6" i="78"/>
  <c r="K4" i="78"/>
  <c r="K2" i="78"/>
  <c r="K9" i="78"/>
  <c r="F5" i="78"/>
  <c r="F3" i="78"/>
  <c r="B5" i="78"/>
  <c r="B4" i="78"/>
  <c r="B10" i="78"/>
  <c r="P5" i="78"/>
  <c r="P3" i="78"/>
  <c r="L12" i="78"/>
  <c r="N12" i="78"/>
  <c r="M12" i="78"/>
  <c r="O12" i="78"/>
  <c r="K10" i="78"/>
  <c r="F6" i="78"/>
  <c r="F11" i="78"/>
  <c r="B7" i="78"/>
  <c r="B2" i="78"/>
  <c r="P4" i="78"/>
  <c r="P11" i="78"/>
  <c r="K8" i="78"/>
  <c r="K11" i="78"/>
  <c r="K5" i="78"/>
  <c r="F2" i="78"/>
  <c r="F8" i="78"/>
  <c r="B9" i="78"/>
  <c r="B11" i="78"/>
  <c r="B6" i="78"/>
  <c r="P10" i="78"/>
  <c r="P8" i="78"/>
  <c r="K3" i="78"/>
  <c r="K6" i="78"/>
  <c r="F10" i="78"/>
  <c r="F9" i="78"/>
  <c r="F7" i="78"/>
  <c r="B3" i="78"/>
  <c r="B8" i="78"/>
  <c r="P2" i="78"/>
  <c r="P9" i="78"/>
  <c r="P7" i="78"/>
  <c r="F2" i="77"/>
  <c r="B4" i="77"/>
  <c r="B10" i="77"/>
  <c r="K11" i="77"/>
  <c r="P2" i="77"/>
  <c r="P11" i="77"/>
  <c r="F10" i="77"/>
  <c r="F4" i="77"/>
  <c r="F11" i="77"/>
  <c r="B8" i="77"/>
  <c r="B11" i="77"/>
  <c r="K8" i="77"/>
  <c r="K4" i="77"/>
  <c r="K5" i="77"/>
  <c r="P9" i="77"/>
  <c r="P6" i="77"/>
  <c r="F7" i="77"/>
  <c r="K10" i="77"/>
  <c r="F5" i="77"/>
  <c r="F8" i="77"/>
  <c r="L12" i="77"/>
  <c r="O12" i="77"/>
  <c r="N12" i="77"/>
  <c r="M12" i="77"/>
  <c r="H12" i="77"/>
  <c r="G12" i="77"/>
  <c r="J12" i="77"/>
  <c r="I12" i="77"/>
  <c r="B9" i="77"/>
  <c r="B2" i="77"/>
  <c r="K3" i="77"/>
  <c r="K2" i="77"/>
  <c r="K9" i="77"/>
  <c r="P4" i="77"/>
  <c r="P3" i="77"/>
  <c r="F6" i="77"/>
  <c r="B7" i="77"/>
  <c r="P5" i="77"/>
  <c r="F9" i="77"/>
  <c r="F3" i="77"/>
  <c r="B5" i="77"/>
  <c r="B3" i="77"/>
  <c r="B6" i="77"/>
  <c r="K7" i="77"/>
  <c r="K6" i="77"/>
  <c r="P10" i="77"/>
  <c r="P8" i="77"/>
  <c r="P7" i="77"/>
  <c r="F7" i="75"/>
  <c r="B7" i="75"/>
  <c r="K11" i="75"/>
  <c r="P8" i="75"/>
  <c r="P11" i="75"/>
  <c r="F6" i="75"/>
  <c r="F4" i="75"/>
  <c r="F11" i="75"/>
  <c r="B4" i="75"/>
  <c r="B11" i="75"/>
  <c r="K8" i="75"/>
  <c r="K2" i="75"/>
  <c r="K5" i="75"/>
  <c r="P9" i="75"/>
  <c r="P6" i="75"/>
  <c r="F9" i="75"/>
  <c r="K4" i="75"/>
  <c r="F10" i="75"/>
  <c r="F8" i="75"/>
  <c r="L12" i="75"/>
  <c r="O12" i="75"/>
  <c r="N12" i="75"/>
  <c r="M12" i="75"/>
  <c r="H12" i="75"/>
  <c r="G12" i="75"/>
  <c r="J12" i="75"/>
  <c r="I12" i="75"/>
  <c r="B8" i="75"/>
  <c r="B2" i="75"/>
  <c r="K3" i="75"/>
  <c r="K6" i="75"/>
  <c r="K9" i="75"/>
  <c r="P2" i="75"/>
  <c r="P3" i="75"/>
  <c r="F2" i="75"/>
  <c r="B9" i="75"/>
  <c r="B10" i="75"/>
  <c r="P5" i="75"/>
  <c r="F5" i="75"/>
  <c r="F3" i="75"/>
  <c r="B5" i="75"/>
  <c r="B3" i="75"/>
  <c r="B6" i="75"/>
  <c r="K7" i="75"/>
  <c r="K10" i="75"/>
  <c r="P10" i="75"/>
  <c r="P4" i="75"/>
  <c r="P7" i="75"/>
  <c r="H12" i="76"/>
  <c r="G12" i="76"/>
  <c r="J12" i="76"/>
  <c r="I12" i="76"/>
  <c r="F5" i="76"/>
  <c r="B9" i="76"/>
  <c r="B6" i="76"/>
  <c r="P2" i="76"/>
  <c r="P11" i="76"/>
  <c r="K3" i="76"/>
  <c r="F2" i="76"/>
  <c r="F7" i="76"/>
  <c r="B5" i="76"/>
  <c r="B11" i="76"/>
  <c r="B10" i="76"/>
  <c r="P5" i="76"/>
  <c r="L12" i="76"/>
  <c r="O12" i="76"/>
  <c r="N12" i="76"/>
  <c r="M12" i="76"/>
  <c r="K7" i="76"/>
  <c r="K10" i="76"/>
  <c r="F10" i="76"/>
  <c r="F4" i="76"/>
  <c r="F11" i="76"/>
  <c r="B8" i="76"/>
  <c r="B4" i="76"/>
  <c r="P9" i="76"/>
  <c r="P3" i="76"/>
  <c r="K8" i="76"/>
  <c r="K11" i="76"/>
  <c r="K5" i="76"/>
  <c r="F3" i="76"/>
  <c r="B7" i="76"/>
  <c r="P8" i="76"/>
  <c r="K6" i="76"/>
  <c r="F9" i="76"/>
  <c r="P10" i="76"/>
  <c r="F6" i="76"/>
  <c r="F8" i="76"/>
  <c r="D12" i="76"/>
  <c r="C12" i="76"/>
  <c r="E12" i="76"/>
  <c r="B3" i="76"/>
  <c r="B2" i="76"/>
  <c r="P6" i="76"/>
  <c r="P4" i="76"/>
  <c r="P7" i="76"/>
  <c r="K4" i="76"/>
  <c r="K2" i="76"/>
  <c r="K9" i="76"/>
  <c r="F7" i="74"/>
  <c r="B10" i="74"/>
  <c r="K10" i="74"/>
  <c r="P11" i="74"/>
  <c r="F10" i="74"/>
  <c r="F4" i="74"/>
  <c r="F11" i="74"/>
  <c r="B8" i="74"/>
  <c r="B5" i="74"/>
  <c r="K3" i="74"/>
  <c r="K8" i="74"/>
  <c r="K5" i="74"/>
  <c r="P5" i="74"/>
  <c r="P2" i="74"/>
  <c r="F2" i="74"/>
  <c r="B4" i="74"/>
  <c r="P10" i="74"/>
  <c r="F5" i="74"/>
  <c r="F8" i="74"/>
  <c r="L12" i="74"/>
  <c r="O12" i="74"/>
  <c r="N12" i="74"/>
  <c r="M12" i="74"/>
  <c r="H12" i="74"/>
  <c r="G12" i="74"/>
  <c r="J12" i="74"/>
  <c r="I12" i="74"/>
  <c r="B3" i="74"/>
  <c r="B2" i="74"/>
  <c r="K7" i="74"/>
  <c r="K2" i="74"/>
  <c r="K9" i="74"/>
  <c r="P9" i="74"/>
  <c r="P3" i="74"/>
  <c r="F6" i="74"/>
  <c r="B11" i="74"/>
  <c r="K4" i="74"/>
  <c r="P8" i="74"/>
  <c r="F9" i="74"/>
  <c r="F3" i="74"/>
  <c r="B9" i="74"/>
  <c r="B7" i="74"/>
  <c r="B6" i="74"/>
  <c r="K11" i="74"/>
  <c r="K6" i="74"/>
  <c r="P6" i="74"/>
  <c r="P4" i="74"/>
  <c r="P7" i="74"/>
  <c r="L12" i="71"/>
  <c r="O12" i="71"/>
  <c r="N12" i="71"/>
  <c r="M12" i="71"/>
  <c r="K11" i="71"/>
  <c r="K10" i="71"/>
  <c r="P6" i="71"/>
  <c r="P4" i="71"/>
  <c r="P11" i="71"/>
  <c r="B9" i="71"/>
  <c r="B2" i="71"/>
  <c r="F5" i="71"/>
  <c r="F2" i="71"/>
  <c r="F11" i="71"/>
  <c r="K8" i="71"/>
  <c r="K4" i="71"/>
  <c r="K5" i="71"/>
  <c r="P10" i="71"/>
  <c r="P8" i="71"/>
  <c r="B5" i="71"/>
  <c r="B3" i="71"/>
  <c r="B6" i="71"/>
  <c r="F9" i="71"/>
  <c r="F6" i="71"/>
  <c r="K3" i="71"/>
  <c r="K2" i="71"/>
  <c r="K9" i="71"/>
  <c r="P5" i="71"/>
  <c r="P3" i="71"/>
  <c r="B4" i="71"/>
  <c r="B7" i="71"/>
  <c r="B10" i="71"/>
  <c r="F4" i="71"/>
  <c r="F3" i="71"/>
  <c r="K7" i="71"/>
  <c r="K6" i="71"/>
  <c r="P2" i="71"/>
  <c r="P9" i="71"/>
  <c r="P7" i="71"/>
  <c r="B8" i="71"/>
  <c r="B11" i="71"/>
  <c r="F10" i="71"/>
  <c r="F8" i="71"/>
  <c r="F7" i="71"/>
  <c r="P5" i="73"/>
  <c r="P7" i="73"/>
  <c r="P4" i="73"/>
  <c r="P9" i="73"/>
  <c r="P6" i="73"/>
  <c r="P3" i="73"/>
  <c r="P11" i="73"/>
  <c r="P8" i="73"/>
  <c r="P2" i="73"/>
  <c r="P10" i="73"/>
  <c r="K7" i="73"/>
  <c r="K4" i="73"/>
  <c r="K9" i="73"/>
  <c r="K6" i="73"/>
  <c r="K3" i="73"/>
  <c r="K11" i="73"/>
  <c r="K8" i="73"/>
  <c r="K5" i="73"/>
  <c r="K2" i="73"/>
  <c r="K10" i="73"/>
  <c r="F7" i="73"/>
  <c r="F4" i="73"/>
  <c r="D12" i="73"/>
  <c r="E12" i="73"/>
  <c r="C12" i="73"/>
  <c r="F9" i="73"/>
  <c r="F6" i="73"/>
  <c r="F3" i="73"/>
  <c r="F11" i="73"/>
  <c r="F8" i="73"/>
  <c r="F5" i="73"/>
  <c r="F2" i="73"/>
  <c r="F10" i="73"/>
  <c r="B10" i="73"/>
  <c r="B9" i="73"/>
  <c r="B8" i="73"/>
  <c r="B7" i="73"/>
  <c r="B6" i="73"/>
  <c r="B11" i="73"/>
  <c r="B5" i="73"/>
  <c r="B4" i="73"/>
  <c r="O12" i="73"/>
  <c r="N12" i="73"/>
  <c r="M12" i="73"/>
  <c r="L12" i="73"/>
  <c r="J12" i="73"/>
  <c r="G12" i="73"/>
  <c r="I12" i="73"/>
  <c r="H12" i="73"/>
  <c r="AG12" i="82" l="1" a="1"/>
  <c r="AG12" i="82" s="1"/>
  <c r="AG12" i="75" a="1"/>
  <c r="AG12" i="75" s="1"/>
  <c r="AD12" i="81" a="1"/>
  <c r="AD12" i="81" s="1"/>
  <c r="AG12" i="83" a="1"/>
  <c r="AG12" i="83" s="1"/>
  <c r="I3" i="86"/>
  <c r="J3" i="86"/>
  <c r="H3" i="86"/>
  <c r="G3" i="86"/>
  <c r="N9" i="86"/>
  <c r="M9" i="86"/>
  <c r="L9" i="86"/>
  <c r="O9" i="86"/>
  <c r="C4" i="86"/>
  <c r="D4" i="86"/>
  <c r="E4" i="86"/>
  <c r="E6" i="86"/>
  <c r="D6" i="86"/>
  <c r="C6" i="86"/>
  <c r="G9" i="86"/>
  <c r="J9" i="86"/>
  <c r="I9" i="86"/>
  <c r="H9" i="86"/>
  <c r="O2" i="86"/>
  <c r="N2" i="86"/>
  <c r="L2" i="86"/>
  <c r="M2" i="86"/>
  <c r="H2" i="86"/>
  <c r="I2" i="86"/>
  <c r="G2" i="86"/>
  <c r="J2" i="86"/>
  <c r="N5" i="86"/>
  <c r="O5" i="86"/>
  <c r="M5" i="86"/>
  <c r="L5" i="86"/>
  <c r="C8" i="86"/>
  <c r="D8" i="86"/>
  <c r="E8" i="86"/>
  <c r="L7" i="86"/>
  <c r="M7" i="86"/>
  <c r="O7" i="86"/>
  <c r="N7" i="86"/>
  <c r="I7" i="86"/>
  <c r="H7" i="86"/>
  <c r="G7" i="86"/>
  <c r="J7" i="86"/>
  <c r="D5" i="86"/>
  <c r="C5" i="86"/>
  <c r="E5" i="86"/>
  <c r="H10" i="86"/>
  <c r="G10" i="86"/>
  <c r="J10" i="86"/>
  <c r="I10" i="86"/>
  <c r="E7" i="86"/>
  <c r="D7" i="86"/>
  <c r="C7" i="86"/>
  <c r="M8" i="86"/>
  <c r="N8" i="86"/>
  <c r="L8" i="86"/>
  <c r="O8" i="86"/>
  <c r="G5" i="86"/>
  <c r="H5" i="86"/>
  <c r="J5" i="86"/>
  <c r="I5" i="86"/>
  <c r="L11" i="86"/>
  <c r="O11" i="86"/>
  <c r="N11" i="86"/>
  <c r="M11" i="86"/>
  <c r="I11" i="86"/>
  <c r="H11" i="86"/>
  <c r="G11" i="86"/>
  <c r="J11" i="86"/>
  <c r="E10" i="86"/>
  <c r="D10" i="86"/>
  <c r="C10" i="86"/>
  <c r="J4" i="86"/>
  <c r="I4" i="86"/>
  <c r="G4" i="86"/>
  <c r="H4" i="86"/>
  <c r="L3" i="86"/>
  <c r="O3" i="86"/>
  <c r="N3" i="86"/>
  <c r="M3" i="86"/>
  <c r="C3" i="86"/>
  <c r="E3" i="86"/>
  <c r="D3" i="86"/>
  <c r="O10" i="86"/>
  <c r="N10" i="86"/>
  <c r="M10" i="86"/>
  <c r="L10" i="86"/>
  <c r="O6" i="86"/>
  <c r="N6" i="86"/>
  <c r="M6" i="86"/>
  <c r="L6" i="86"/>
  <c r="D9" i="86"/>
  <c r="C9" i="86"/>
  <c r="E9" i="86"/>
  <c r="E2" i="86"/>
  <c r="D2" i="86"/>
  <c r="C2" i="86"/>
  <c r="M4" i="86"/>
  <c r="L4" i="86"/>
  <c r="O4" i="86"/>
  <c r="N4" i="86"/>
  <c r="J8" i="86"/>
  <c r="G8" i="86"/>
  <c r="I8" i="86"/>
  <c r="H8" i="86"/>
  <c r="E11" i="86"/>
  <c r="D11" i="86"/>
  <c r="C11" i="86"/>
  <c r="H6" i="86"/>
  <c r="G6" i="86"/>
  <c r="J6" i="86"/>
  <c r="I6" i="86"/>
  <c r="E10" i="85"/>
  <c r="D10" i="85"/>
  <c r="C10" i="85"/>
  <c r="E7" i="85"/>
  <c r="D7" i="85"/>
  <c r="C7" i="85"/>
  <c r="I7" i="85"/>
  <c r="H7" i="85"/>
  <c r="G7" i="85"/>
  <c r="J7" i="85"/>
  <c r="L11" i="85"/>
  <c r="O11" i="85"/>
  <c r="N11" i="85"/>
  <c r="M11" i="85"/>
  <c r="M4" i="85"/>
  <c r="L4" i="85"/>
  <c r="O4" i="85"/>
  <c r="N4" i="85"/>
  <c r="N9" i="85"/>
  <c r="M9" i="85"/>
  <c r="O9" i="85"/>
  <c r="L9" i="85"/>
  <c r="J4" i="85"/>
  <c r="I4" i="85"/>
  <c r="H4" i="85"/>
  <c r="G4" i="85"/>
  <c r="N5" i="85"/>
  <c r="O5" i="85"/>
  <c r="M5" i="85"/>
  <c r="L5" i="85"/>
  <c r="D9" i="85"/>
  <c r="C9" i="85"/>
  <c r="E9" i="85"/>
  <c r="H10" i="85"/>
  <c r="G10" i="85"/>
  <c r="I10" i="85"/>
  <c r="J10" i="85"/>
  <c r="E11" i="85"/>
  <c r="C11" i="85"/>
  <c r="D11" i="85"/>
  <c r="E2" i="85"/>
  <c r="D2" i="85"/>
  <c r="C2" i="85"/>
  <c r="O2" i="85"/>
  <c r="N2" i="85"/>
  <c r="M2" i="85"/>
  <c r="L2" i="85"/>
  <c r="D5" i="85"/>
  <c r="E5" i="85"/>
  <c r="C5" i="85"/>
  <c r="M8" i="85"/>
  <c r="L8" i="85"/>
  <c r="N8" i="85"/>
  <c r="O8" i="85"/>
  <c r="I11" i="85"/>
  <c r="H11" i="85"/>
  <c r="J11" i="85"/>
  <c r="G11" i="85"/>
  <c r="E6" i="85"/>
  <c r="D6" i="85"/>
  <c r="C6" i="85"/>
  <c r="O6" i="85"/>
  <c r="L6" i="85"/>
  <c r="N6" i="85"/>
  <c r="M6" i="85"/>
  <c r="H6" i="85"/>
  <c r="G6" i="85"/>
  <c r="J6" i="85"/>
  <c r="I6" i="85"/>
  <c r="G9" i="85"/>
  <c r="J9" i="85"/>
  <c r="I9" i="85"/>
  <c r="H9" i="85"/>
  <c r="C4" i="85"/>
  <c r="E4" i="85"/>
  <c r="D4" i="85"/>
  <c r="G5" i="85"/>
  <c r="J5" i="85"/>
  <c r="H5" i="85"/>
  <c r="I5" i="85"/>
  <c r="H2" i="85"/>
  <c r="I2" i="85"/>
  <c r="G2" i="85"/>
  <c r="J2" i="85"/>
  <c r="E3" i="85"/>
  <c r="D3" i="85"/>
  <c r="C3" i="85"/>
  <c r="I3" i="85"/>
  <c r="H3" i="85"/>
  <c r="G3" i="85"/>
  <c r="J3" i="85"/>
  <c r="L7" i="85"/>
  <c r="O7" i="85"/>
  <c r="M7" i="85"/>
  <c r="N7" i="85"/>
  <c r="C8" i="85"/>
  <c r="D8" i="85"/>
  <c r="E8" i="85"/>
  <c r="J8" i="85"/>
  <c r="I8" i="85"/>
  <c r="H8" i="85"/>
  <c r="G8" i="85"/>
  <c r="L3" i="85"/>
  <c r="O3" i="85"/>
  <c r="N3" i="85"/>
  <c r="M3" i="85"/>
  <c r="O10" i="85"/>
  <c r="N10" i="85"/>
  <c r="L10" i="85"/>
  <c r="M10" i="85"/>
  <c r="R12" i="81" a="1"/>
  <c r="R12" i="81" s="1"/>
  <c r="H10" i="84"/>
  <c r="G10" i="84"/>
  <c r="I10" i="84"/>
  <c r="J10" i="84"/>
  <c r="E6" i="84"/>
  <c r="D6" i="84"/>
  <c r="C6" i="84"/>
  <c r="L7" i="84"/>
  <c r="M7" i="84"/>
  <c r="O7" i="84"/>
  <c r="N7" i="84"/>
  <c r="N9" i="84"/>
  <c r="M9" i="84"/>
  <c r="L9" i="84"/>
  <c r="O9" i="84"/>
  <c r="G5" i="84"/>
  <c r="H5" i="84"/>
  <c r="J5" i="84"/>
  <c r="I5" i="84"/>
  <c r="E11" i="84"/>
  <c r="C11" i="84"/>
  <c r="D11" i="84"/>
  <c r="M8" i="84"/>
  <c r="L8" i="84"/>
  <c r="O8" i="84"/>
  <c r="N8" i="84"/>
  <c r="C8" i="84"/>
  <c r="E8" i="84"/>
  <c r="D8" i="84"/>
  <c r="H6" i="84"/>
  <c r="G6" i="84"/>
  <c r="J6" i="84"/>
  <c r="I6" i="84"/>
  <c r="H2" i="84"/>
  <c r="I2" i="84"/>
  <c r="G2" i="84"/>
  <c r="J2" i="84"/>
  <c r="E3" i="84"/>
  <c r="D3" i="84"/>
  <c r="C3" i="84"/>
  <c r="I3" i="84"/>
  <c r="H3" i="84"/>
  <c r="J3" i="84"/>
  <c r="G3" i="84"/>
  <c r="O6" i="84"/>
  <c r="N6" i="84"/>
  <c r="M6" i="84"/>
  <c r="L6" i="84"/>
  <c r="D5" i="84"/>
  <c r="C5" i="84"/>
  <c r="E5" i="84"/>
  <c r="I11" i="84"/>
  <c r="H11" i="84"/>
  <c r="J11" i="84"/>
  <c r="G11" i="84"/>
  <c r="M4" i="84"/>
  <c r="L4" i="84"/>
  <c r="O4" i="84"/>
  <c r="N4" i="84"/>
  <c r="I7" i="84"/>
  <c r="H7" i="84"/>
  <c r="J7" i="84"/>
  <c r="G7" i="84"/>
  <c r="O10" i="84"/>
  <c r="N10" i="84"/>
  <c r="L10" i="84"/>
  <c r="M10" i="84"/>
  <c r="D9" i="84"/>
  <c r="C9" i="84"/>
  <c r="E9" i="84"/>
  <c r="J8" i="84"/>
  <c r="I8" i="84"/>
  <c r="G8" i="84"/>
  <c r="H8" i="84"/>
  <c r="O2" i="84"/>
  <c r="N2" i="84"/>
  <c r="M2" i="84"/>
  <c r="L2" i="84"/>
  <c r="E7" i="84"/>
  <c r="D7" i="84"/>
  <c r="C7" i="84"/>
  <c r="V12" i="82" a="1"/>
  <c r="V12" i="82" s="1"/>
  <c r="C4" i="84"/>
  <c r="D4" i="84"/>
  <c r="E4" i="84"/>
  <c r="G9" i="84"/>
  <c r="J9" i="84"/>
  <c r="H9" i="84"/>
  <c r="I9" i="84"/>
  <c r="E2" i="84"/>
  <c r="D2" i="84"/>
  <c r="C2" i="84"/>
  <c r="L3" i="84"/>
  <c r="O3" i="84"/>
  <c r="N3" i="84"/>
  <c r="M3" i="84"/>
  <c r="N5" i="84"/>
  <c r="M5" i="84"/>
  <c r="O5" i="84"/>
  <c r="L5" i="84"/>
  <c r="J4" i="84"/>
  <c r="I4" i="84"/>
  <c r="H4" i="84"/>
  <c r="G4" i="84"/>
  <c r="E10" i="84"/>
  <c r="D10" i="84"/>
  <c r="C10" i="84"/>
  <c r="L11" i="84"/>
  <c r="O11" i="84"/>
  <c r="N11" i="84"/>
  <c r="M11" i="84"/>
  <c r="S12" i="82" a="1"/>
  <c r="S12" i="82" s="1"/>
  <c r="AA12" i="83" a="1"/>
  <c r="AA12" i="83" s="1"/>
  <c r="AD12" i="83" a="1"/>
  <c r="AD12" i="83" s="1"/>
  <c r="Q12" i="83" a="1"/>
  <c r="Q12" i="83" s="1"/>
  <c r="AJ12" i="82" a="1"/>
  <c r="AJ12" i="82" s="1"/>
  <c r="C4" i="83"/>
  <c r="E4" i="83"/>
  <c r="D4" i="83"/>
  <c r="J8" i="83"/>
  <c r="H8" i="83"/>
  <c r="I8" i="83"/>
  <c r="G8" i="83"/>
  <c r="I3" i="83"/>
  <c r="H3" i="83"/>
  <c r="G3" i="83"/>
  <c r="J3" i="83"/>
  <c r="E7" i="83"/>
  <c r="D7" i="83"/>
  <c r="C7" i="83"/>
  <c r="I11" i="83"/>
  <c r="H11" i="83"/>
  <c r="G11" i="83"/>
  <c r="J11" i="83"/>
  <c r="G5" i="83"/>
  <c r="J5" i="83"/>
  <c r="I5" i="83"/>
  <c r="H5" i="83"/>
  <c r="D3" i="83"/>
  <c r="E3" i="83"/>
  <c r="C3" i="83"/>
  <c r="V12" i="81" a="1"/>
  <c r="V12" i="81" s="1"/>
  <c r="Y12" i="82" a="1"/>
  <c r="Y12" i="82" s="1"/>
  <c r="X12" i="83" a="1"/>
  <c r="X12" i="83" s="1"/>
  <c r="V12" i="83" a="1"/>
  <c r="V12" i="83" s="1"/>
  <c r="Z12" i="83" a="1"/>
  <c r="Z12" i="83" s="1"/>
  <c r="AI12" i="83" a="1"/>
  <c r="AI12" i="83" s="1"/>
  <c r="T12" i="83" a="1"/>
  <c r="T12" i="83" s="1"/>
  <c r="AJ12" i="83" a="1"/>
  <c r="AJ12" i="83" s="1"/>
  <c r="AF12" i="81" a="1"/>
  <c r="AF12" i="81" s="1"/>
  <c r="N5" i="83"/>
  <c r="M5" i="83"/>
  <c r="L5" i="83"/>
  <c r="O5" i="83"/>
  <c r="H10" i="83"/>
  <c r="G10" i="83"/>
  <c r="J10" i="83"/>
  <c r="I10" i="83"/>
  <c r="D5" i="83"/>
  <c r="C5" i="83"/>
  <c r="E5" i="83"/>
  <c r="J4" i="83"/>
  <c r="I4" i="83"/>
  <c r="H4" i="83"/>
  <c r="G4" i="83"/>
  <c r="D9" i="83"/>
  <c r="C9" i="83"/>
  <c r="E9" i="83"/>
  <c r="G9" i="83"/>
  <c r="J9" i="83"/>
  <c r="I9" i="83"/>
  <c r="H9" i="83"/>
  <c r="I7" i="83"/>
  <c r="H7" i="83"/>
  <c r="G7" i="83"/>
  <c r="J7" i="83"/>
  <c r="AJ12" i="81" a="1"/>
  <c r="AJ12" i="81" s="1"/>
  <c r="AE12" i="83" a="1"/>
  <c r="AE12" i="83" s="1"/>
  <c r="S12" i="83" a="1"/>
  <c r="S12" i="83" s="1"/>
  <c r="AH12" i="83" a="1"/>
  <c r="AH12" i="83" s="1"/>
  <c r="O6" i="83"/>
  <c r="N6" i="83"/>
  <c r="M6" i="83"/>
  <c r="L6" i="83"/>
  <c r="E2" i="83"/>
  <c r="D2" i="83"/>
  <c r="C2" i="83"/>
  <c r="L7" i="83"/>
  <c r="N7" i="83"/>
  <c r="O7" i="83"/>
  <c r="M7" i="83"/>
  <c r="H6" i="83"/>
  <c r="G6" i="83"/>
  <c r="J6" i="83"/>
  <c r="I6" i="83"/>
  <c r="L3" i="83"/>
  <c r="N3" i="83"/>
  <c r="O3" i="83"/>
  <c r="M3" i="83"/>
  <c r="H2" i="83"/>
  <c r="J2" i="83"/>
  <c r="G2" i="83"/>
  <c r="I2" i="83"/>
  <c r="N9" i="83"/>
  <c r="L9" i="83"/>
  <c r="M9" i="83"/>
  <c r="O9" i="83"/>
  <c r="R12" i="82" a="1"/>
  <c r="R12" i="82" s="1"/>
  <c r="AC12" i="83" a="1"/>
  <c r="AC12" i="83" s="1"/>
  <c r="Y12" i="83" a="1"/>
  <c r="Y12" i="83" s="1"/>
  <c r="R12" i="83" a="1"/>
  <c r="R12" i="83" s="1"/>
  <c r="Y12" i="81" a="1"/>
  <c r="Y12" i="81" s="1"/>
  <c r="AE12" i="82" a="1"/>
  <c r="AE12" i="82" s="1"/>
  <c r="W12" i="83" a="1"/>
  <c r="W12" i="83" s="1"/>
  <c r="U12" i="83" a="1"/>
  <c r="U12" i="83" s="1"/>
  <c r="AF12" i="83" a="1"/>
  <c r="AF12" i="83" s="1"/>
  <c r="AB12" i="83" a="1"/>
  <c r="AB12" i="83" s="1"/>
  <c r="E11" i="83"/>
  <c r="D11" i="83"/>
  <c r="C11" i="83"/>
  <c r="M4" i="83"/>
  <c r="O4" i="83"/>
  <c r="L4" i="83"/>
  <c r="N4" i="83"/>
  <c r="O10" i="83"/>
  <c r="N10" i="83"/>
  <c r="M10" i="83"/>
  <c r="L10" i="83"/>
  <c r="E10" i="83"/>
  <c r="D10" i="83"/>
  <c r="C10" i="83"/>
  <c r="O2" i="83"/>
  <c r="N2" i="83"/>
  <c r="M2" i="83"/>
  <c r="L2" i="83"/>
  <c r="C8" i="83"/>
  <c r="E8" i="83"/>
  <c r="D8" i="83"/>
  <c r="E6" i="83"/>
  <c r="D6" i="83"/>
  <c r="C6" i="83"/>
  <c r="L11" i="83"/>
  <c r="O11" i="83"/>
  <c r="N11" i="83"/>
  <c r="M11" i="83"/>
  <c r="M8" i="83"/>
  <c r="O8" i="83"/>
  <c r="L8" i="83"/>
  <c r="N8" i="83"/>
  <c r="E6" i="82"/>
  <c r="D6" i="82"/>
  <c r="C6" i="82"/>
  <c r="E11" i="82"/>
  <c r="D11" i="82"/>
  <c r="C11" i="82"/>
  <c r="H6" i="82"/>
  <c r="G6" i="82"/>
  <c r="J6" i="82"/>
  <c r="I6" i="82"/>
  <c r="O6" i="82"/>
  <c r="N6" i="82"/>
  <c r="M6" i="82"/>
  <c r="L6" i="82"/>
  <c r="I3" i="82"/>
  <c r="H3" i="82"/>
  <c r="G3" i="82"/>
  <c r="J3" i="82"/>
  <c r="M8" i="82"/>
  <c r="L8" i="82"/>
  <c r="O8" i="82"/>
  <c r="N8" i="82"/>
  <c r="E2" i="82"/>
  <c r="D2" i="82"/>
  <c r="C2" i="82"/>
  <c r="N5" i="82"/>
  <c r="M5" i="82"/>
  <c r="L5" i="82"/>
  <c r="O5" i="82"/>
  <c r="J4" i="82"/>
  <c r="I4" i="82"/>
  <c r="H4" i="82"/>
  <c r="G4" i="82"/>
  <c r="AB12" i="81" a="1"/>
  <c r="AB12" i="81" s="1"/>
  <c r="AE12" i="81" a="1"/>
  <c r="AE12" i="81" s="1"/>
  <c r="W12" i="82" a="1"/>
  <c r="W12" i="82" s="1"/>
  <c r="AB12" i="82" a="1"/>
  <c r="AB12" i="82" s="1"/>
  <c r="I7" i="82"/>
  <c r="H7" i="82"/>
  <c r="G7" i="82"/>
  <c r="J7" i="82"/>
  <c r="L3" i="82"/>
  <c r="O3" i="82"/>
  <c r="N3" i="82"/>
  <c r="M3" i="82"/>
  <c r="G5" i="82"/>
  <c r="J5" i="82"/>
  <c r="I5" i="82"/>
  <c r="H5" i="82"/>
  <c r="C8" i="82"/>
  <c r="E8" i="82"/>
  <c r="D8" i="82"/>
  <c r="L11" i="82"/>
  <c r="O11" i="82"/>
  <c r="N11" i="82"/>
  <c r="M11" i="82"/>
  <c r="E10" i="82"/>
  <c r="D10" i="82"/>
  <c r="C10" i="82"/>
  <c r="AA12" i="81" a="1"/>
  <c r="AA12" i="81" s="1"/>
  <c r="T12" i="81" a="1"/>
  <c r="T12" i="81" s="1"/>
  <c r="AH12" i="81" a="1"/>
  <c r="AH12" i="81" s="1"/>
  <c r="W12" i="81" a="1"/>
  <c r="W12" i="81" s="1"/>
  <c r="AH12" i="82" a="1"/>
  <c r="AH12" i="82" s="1"/>
  <c r="U12" i="82" a="1"/>
  <c r="U12" i="82" s="1"/>
  <c r="AF12" i="82" a="1"/>
  <c r="AF12" i="82" s="1"/>
  <c r="AI12" i="82" a="1"/>
  <c r="AI12" i="82" s="1"/>
  <c r="AC12" i="81" a="1"/>
  <c r="AC12" i="81" s="1"/>
  <c r="G9" i="82"/>
  <c r="J9" i="82"/>
  <c r="I9" i="82"/>
  <c r="H9" i="82"/>
  <c r="E3" i="82"/>
  <c r="D3" i="82"/>
  <c r="C3" i="82"/>
  <c r="N9" i="82"/>
  <c r="M9" i="82"/>
  <c r="L9" i="82"/>
  <c r="O9" i="82"/>
  <c r="J8" i="82"/>
  <c r="I8" i="82"/>
  <c r="H8" i="82"/>
  <c r="G8" i="82"/>
  <c r="M4" i="82"/>
  <c r="L4" i="82"/>
  <c r="O4" i="82"/>
  <c r="N4" i="82"/>
  <c r="C4" i="82"/>
  <c r="E4" i="82"/>
  <c r="D4" i="82"/>
  <c r="O10" i="82"/>
  <c r="N10" i="82"/>
  <c r="M10" i="82"/>
  <c r="L10" i="82"/>
  <c r="E7" i="82"/>
  <c r="D7" i="82"/>
  <c r="C7" i="82"/>
  <c r="AI12" i="81" a="1"/>
  <c r="AI12" i="81" s="1"/>
  <c r="Q12" i="81" a="1"/>
  <c r="Q12" i="81" s="1"/>
  <c r="Q12" i="82" a="1"/>
  <c r="Q12" i="82" s="1"/>
  <c r="AC12" i="82" a="1"/>
  <c r="AC12" i="82" s="1"/>
  <c r="AD12" i="82" a="1"/>
  <c r="AD12" i="82" s="1"/>
  <c r="U12" i="81" a="1"/>
  <c r="U12" i="81" s="1"/>
  <c r="S12" i="81" a="1"/>
  <c r="S12" i="81" s="1"/>
  <c r="AG12" i="81" a="1"/>
  <c r="AG12" i="81" s="1"/>
  <c r="Z12" i="81" a="1"/>
  <c r="Z12" i="81" s="1"/>
  <c r="X12" i="81" a="1"/>
  <c r="X12" i="81" s="1"/>
  <c r="Z12" i="82" a="1"/>
  <c r="Z12" i="82" s="1"/>
  <c r="X12" i="82" a="1"/>
  <c r="X12" i="82" s="1"/>
  <c r="AA12" i="82" a="1"/>
  <c r="AA12" i="82" s="1"/>
  <c r="T12" i="82" a="1"/>
  <c r="T12" i="82" s="1"/>
  <c r="H2" i="82"/>
  <c r="G2" i="82"/>
  <c r="J2" i="82"/>
  <c r="I2" i="82"/>
  <c r="D5" i="82"/>
  <c r="C5" i="82"/>
  <c r="E5" i="82"/>
  <c r="O2" i="82"/>
  <c r="N2" i="82"/>
  <c r="M2" i="82"/>
  <c r="L2" i="82"/>
  <c r="H10" i="82"/>
  <c r="G10" i="82"/>
  <c r="J10" i="82"/>
  <c r="I10" i="82"/>
  <c r="I11" i="82"/>
  <c r="H11" i="82"/>
  <c r="G11" i="82"/>
  <c r="J11" i="82"/>
  <c r="L7" i="82"/>
  <c r="O7" i="82"/>
  <c r="N7" i="82"/>
  <c r="M7" i="82"/>
  <c r="D9" i="82"/>
  <c r="C9" i="82"/>
  <c r="E9" i="82"/>
  <c r="O6" i="81"/>
  <c r="N6" i="81"/>
  <c r="M6" i="81"/>
  <c r="L6" i="81"/>
  <c r="I3" i="81"/>
  <c r="H3" i="81"/>
  <c r="G3" i="81"/>
  <c r="J3" i="81"/>
  <c r="M8" i="81"/>
  <c r="L8" i="81"/>
  <c r="O8" i="81"/>
  <c r="N8" i="81"/>
  <c r="E2" i="81"/>
  <c r="D2" i="81"/>
  <c r="C2" i="81"/>
  <c r="N5" i="81"/>
  <c r="M5" i="81"/>
  <c r="L5" i="81"/>
  <c r="O5" i="81"/>
  <c r="J4" i="81"/>
  <c r="I4" i="81"/>
  <c r="H4" i="81"/>
  <c r="G4" i="81"/>
  <c r="I7" i="81"/>
  <c r="H7" i="81"/>
  <c r="G7" i="81"/>
  <c r="J7" i="81"/>
  <c r="L3" i="81"/>
  <c r="O3" i="81"/>
  <c r="N3" i="81"/>
  <c r="M3" i="81"/>
  <c r="E6" i="81"/>
  <c r="D6" i="81"/>
  <c r="C6" i="81"/>
  <c r="G5" i="81"/>
  <c r="J5" i="81"/>
  <c r="I5" i="81"/>
  <c r="H5" i="81"/>
  <c r="C8" i="81"/>
  <c r="E8" i="81"/>
  <c r="D8" i="81"/>
  <c r="L11" i="81"/>
  <c r="O11" i="81"/>
  <c r="N11" i="81"/>
  <c r="M11" i="81"/>
  <c r="E11" i="81"/>
  <c r="D11" i="81"/>
  <c r="C11" i="81"/>
  <c r="H6" i="81"/>
  <c r="G6" i="81"/>
  <c r="J6" i="81"/>
  <c r="I6" i="81"/>
  <c r="E10" i="81"/>
  <c r="D10" i="81"/>
  <c r="C10" i="81"/>
  <c r="G9" i="81"/>
  <c r="J9" i="81"/>
  <c r="I9" i="81"/>
  <c r="H9" i="81"/>
  <c r="E3" i="81"/>
  <c r="D3" i="81"/>
  <c r="C3" i="81"/>
  <c r="N9" i="81"/>
  <c r="M9" i="81"/>
  <c r="L9" i="81"/>
  <c r="O9" i="81"/>
  <c r="J8" i="81"/>
  <c r="I8" i="81"/>
  <c r="H8" i="81"/>
  <c r="G8" i="81"/>
  <c r="M4" i="81"/>
  <c r="L4" i="81"/>
  <c r="O4" i="81"/>
  <c r="N4" i="81"/>
  <c r="C4" i="81"/>
  <c r="E4" i="81"/>
  <c r="D4" i="81"/>
  <c r="O10" i="81"/>
  <c r="N10" i="81"/>
  <c r="M10" i="81"/>
  <c r="L10" i="81"/>
  <c r="E7" i="81"/>
  <c r="D7" i="81"/>
  <c r="C7" i="81"/>
  <c r="H2" i="81"/>
  <c r="G2" i="81"/>
  <c r="J2" i="81"/>
  <c r="I2" i="81"/>
  <c r="D5" i="81"/>
  <c r="C5" i="81"/>
  <c r="E5" i="81"/>
  <c r="O2" i="81"/>
  <c r="N2" i="81"/>
  <c r="M2" i="81"/>
  <c r="L2" i="81"/>
  <c r="H10" i="81"/>
  <c r="G10" i="81"/>
  <c r="J10" i="81"/>
  <c r="I10" i="81"/>
  <c r="I11" i="81"/>
  <c r="H11" i="81"/>
  <c r="G11" i="81"/>
  <c r="J11" i="81"/>
  <c r="L7" i="81"/>
  <c r="O7" i="81"/>
  <c r="N7" i="81"/>
  <c r="M7" i="81"/>
  <c r="D9" i="81"/>
  <c r="C9" i="81"/>
  <c r="E9" i="81"/>
  <c r="AH12" i="75" a="1"/>
  <c r="AH12" i="75" s="1"/>
  <c r="M4" i="80"/>
  <c r="L4" i="80"/>
  <c r="N4" i="80"/>
  <c r="O4" i="80"/>
  <c r="H2" i="80"/>
  <c r="G2" i="80"/>
  <c r="I2" i="80"/>
  <c r="J2" i="80"/>
  <c r="L11" i="80"/>
  <c r="O11" i="80"/>
  <c r="N11" i="80"/>
  <c r="M11" i="80"/>
  <c r="J4" i="80"/>
  <c r="I4" i="80"/>
  <c r="H4" i="80"/>
  <c r="G4" i="80"/>
  <c r="E10" i="80"/>
  <c r="D10" i="80"/>
  <c r="C10" i="80"/>
  <c r="H10" i="80"/>
  <c r="G10" i="80"/>
  <c r="I10" i="80"/>
  <c r="J10" i="80"/>
  <c r="L3" i="80"/>
  <c r="O3" i="80"/>
  <c r="N3" i="80"/>
  <c r="M3" i="80"/>
  <c r="D9" i="80"/>
  <c r="C9" i="80"/>
  <c r="E9" i="80"/>
  <c r="J8" i="80"/>
  <c r="I8" i="80"/>
  <c r="G8" i="80"/>
  <c r="H8" i="80"/>
  <c r="O10" i="80"/>
  <c r="N10" i="80"/>
  <c r="L10" i="80"/>
  <c r="M10" i="80"/>
  <c r="I3" i="80"/>
  <c r="H3" i="80"/>
  <c r="J3" i="80"/>
  <c r="G3" i="80"/>
  <c r="I7" i="80"/>
  <c r="H7" i="80"/>
  <c r="J7" i="80"/>
  <c r="G7" i="80"/>
  <c r="M8" i="80"/>
  <c r="L8" i="80"/>
  <c r="O8" i="80"/>
  <c r="N8" i="80"/>
  <c r="N9" i="80"/>
  <c r="M9" i="80"/>
  <c r="O9" i="80"/>
  <c r="L9" i="80"/>
  <c r="E11" i="80"/>
  <c r="C11" i="80"/>
  <c r="D11" i="80"/>
  <c r="G9" i="80"/>
  <c r="J9" i="80"/>
  <c r="H9" i="80"/>
  <c r="I9" i="80"/>
  <c r="E7" i="80"/>
  <c r="C7" i="80"/>
  <c r="D7" i="80"/>
  <c r="G5" i="80"/>
  <c r="J5" i="80"/>
  <c r="I5" i="80"/>
  <c r="H5" i="80"/>
  <c r="E3" i="80"/>
  <c r="C3" i="80"/>
  <c r="D3" i="80"/>
  <c r="N5" i="80"/>
  <c r="M5" i="80"/>
  <c r="L5" i="80"/>
  <c r="O5" i="80"/>
  <c r="D5" i="80"/>
  <c r="C5" i="80"/>
  <c r="E5" i="80"/>
  <c r="I11" i="80"/>
  <c r="H11" i="80"/>
  <c r="J11" i="80"/>
  <c r="G11" i="80"/>
  <c r="L7" i="80"/>
  <c r="O7" i="80"/>
  <c r="N7" i="80"/>
  <c r="M7" i="80"/>
  <c r="E2" i="80"/>
  <c r="D2" i="80"/>
  <c r="C2" i="80"/>
  <c r="E6" i="80"/>
  <c r="D6" i="80"/>
  <c r="C6" i="80"/>
  <c r="C8" i="80"/>
  <c r="D8" i="80"/>
  <c r="E8" i="80"/>
  <c r="O2" i="80"/>
  <c r="N2" i="80"/>
  <c r="L2" i="80"/>
  <c r="M2" i="80"/>
  <c r="O6" i="80"/>
  <c r="N6" i="80"/>
  <c r="L6" i="80"/>
  <c r="M6" i="80"/>
  <c r="C4" i="80"/>
  <c r="D4" i="80"/>
  <c r="E4" i="80"/>
  <c r="H6" i="80"/>
  <c r="G6" i="80"/>
  <c r="I6" i="80"/>
  <c r="J6" i="80"/>
  <c r="E6" i="79"/>
  <c r="D6" i="79"/>
  <c r="C6" i="79"/>
  <c r="H10" i="79"/>
  <c r="G10" i="79"/>
  <c r="J10" i="79"/>
  <c r="I10" i="79"/>
  <c r="O6" i="79"/>
  <c r="N6" i="79"/>
  <c r="M6" i="79"/>
  <c r="L6" i="79"/>
  <c r="L11" i="79"/>
  <c r="O11" i="79"/>
  <c r="N11" i="79"/>
  <c r="M11" i="79"/>
  <c r="J4" i="79"/>
  <c r="G4" i="79"/>
  <c r="I4" i="79"/>
  <c r="H4" i="79"/>
  <c r="E11" i="79"/>
  <c r="D11" i="79"/>
  <c r="C11" i="79"/>
  <c r="H2" i="79"/>
  <c r="G2" i="79"/>
  <c r="J2" i="79"/>
  <c r="I2" i="79"/>
  <c r="D9" i="79"/>
  <c r="C9" i="79"/>
  <c r="E9" i="79"/>
  <c r="E3" i="79"/>
  <c r="D3" i="79"/>
  <c r="C3" i="79"/>
  <c r="L7" i="79"/>
  <c r="O7" i="79"/>
  <c r="N7" i="79"/>
  <c r="M7" i="79"/>
  <c r="E2" i="79"/>
  <c r="D2" i="79"/>
  <c r="C2" i="79"/>
  <c r="H6" i="79"/>
  <c r="G6" i="79"/>
  <c r="I6" i="79"/>
  <c r="J6" i="79"/>
  <c r="O2" i="79"/>
  <c r="N2" i="79"/>
  <c r="M2" i="79"/>
  <c r="L2" i="79"/>
  <c r="C4" i="79"/>
  <c r="D4" i="79"/>
  <c r="E4" i="79"/>
  <c r="M8" i="79"/>
  <c r="L8" i="79"/>
  <c r="O8" i="79"/>
  <c r="N8" i="79"/>
  <c r="G5" i="79"/>
  <c r="H5" i="79"/>
  <c r="J5" i="79"/>
  <c r="I5" i="79"/>
  <c r="N9" i="79"/>
  <c r="M9" i="79"/>
  <c r="L9" i="79"/>
  <c r="O9" i="79"/>
  <c r="D5" i="79"/>
  <c r="C5" i="79"/>
  <c r="E5" i="79"/>
  <c r="I3" i="79"/>
  <c r="H3" i="79"/>
  <c r="G3" i="79"/>
  <c r="J3" i="79"/>
  <c r="C8" i="79"/>
  <c r="E8" i="79"/>
  <c r="D8" i="79"/>
  <c r="L3" i="79"/>
  <c r="M3" i="79"/>
  <c r="O3" i="79"/>
  <c r="N3" i="79"/>
  <c r="I7" i="79"/>
  <c r="H7" i="79"/>
  <c r="G7" i="79"/>
  <c r="J7" i="79"/>
  <c r="E10" i="79"/>
  <c r="D10" i="79"/>
  <c r="C10" i="79"/>
  <c r="M4" i="79"/>
  <c r="N4" i="79"/>
  <c r="L4" i="79"/>
  <c r="O4" i="79"/>
  <c r="J8" i="79"/>
  <c r="I8" i="79"/>
  <c r="H8" i="79"/>
  <c r="G8" i="79"/>
  <c r="I11" i="79"/>
  <c r="H11" i="79"/>
  <c r="G11" i="79"/>
  <c r="J11" i="79"/>
  <c r="G9" i="79"/>
  <c r="J9" i="79"/>
  <c r="I9" i="79"/>
  <c r="H9" i="79"/>
  <c r="N5" i="79"/>
  <c r="M5" i="79"/>
  <c r="L5" i="79"/>
  <c r="O5" i="79"/>
  <c r="E7" i="79"/>
  <c r="D7" i="79"/>
  <c r="C7" i="79"/>
  <c r="O10" i="79"/>
  <c r="N10" i="79"/>
  <c r="M10" i="79"/>
  <c r="L10" i="79"/>
  <c r="I7" i="78"/>
  <c r="H7" i="78"/>
  <c r="G7" i="78"/>
  <c r="J7" i="78"/>
  <c r="L3" i="78"/>
  <c r="O3" i="78"/>
  <c r="N3" i="78"/>
  <c r="M3" i="78"/>
  <c r="E11" i="78"/>
  <c r="D11" i="78"/>
  <c r="C11" i="78"/>
  <c r="N5" i="78"/>
  <c r="M5" i="78"/>
  <c r="L5" i="78"/>
  <c r="O5" i="78"/>
  <c r="H6" i="78"/>
  <c r="G6" i="78"/>
  <c r="J6" i="78"/>
  <c r="I6" i="78"/>
  <c r="E10" i="78"/>
  <c r="D10" i="78"/>
  <c r="C10" i="78"/>
  <c r="G5" i="78"/>
  <c r="J5" i="78"/>
  <c r="I5" i="78"/>
  <c r="H5" i="78"/>
  <c r="E3" i="78"/>
  <c r="D3" i="78"/>
  <c r="C3" i="78"/>
  <c r="O6" i="78"/>
  <c r="N6" i="78"/>
  <c r="M6" i="78"/>
  <c r="L6" i="78"/>
  <c r="E6" i="78"/>
  <c r="D6" i="78"/>
  <c r="C6" i="78"/>
  <c r="H2" i="78"/>
  <c r="G2" i="78"/>
  <c r="J2" i="78"/>
  <c r="I2" i="78"/>
  <c r="I11" i="78"/>
  <c r="G11" i="78"/>
  <c r="H11" i="78"/>
  <c r="J11" i="78"/>
  <c r="I3" i="78"/>
  <c r="H3" i="78"/>
  <c r="J3" i="78"/>
  <c r="G3" i="78"/>
  <c r="G9" i="78"/>
  <c r="J9" i="78"/>
  <c r="I9" i="78"/>
  <c r="H9" i="78"/>
  <c r="D9" i="78"/>
  <c r="C9" i="78"/>
  <c r="E9" i="78"/>
  <c r="L11" i="78"/>
  <c r="O11" i="78"/>
  <c r="N11" i="78"/>
  <c r="M11" i="78"/>
  <c r="E2" i="78"/>
  <c r="D2" i="78"/>
  <c r="C2" i="78"/>
  <c r="O10" i="78"/>
  <c r="N10" i="78"/>
  <c r="M10" i="78"/>
  <c r="L10" i="78"/>
  <c r="C4" i="78"/>
  <c r="E4" i="78"/>
  <c r="D4" i="78"/>
  <c r="N9" i="78"/>
  <c r="M9" i="78"/>
  <c r="L9" i="78"/>
  <c r="O9" i="78"/>
  <c r="J4" i="78"/>
  <c r="H4" i="78"/>
  <c r="I4" i="78"/>
  <c r="G4" i="78"/>
  <c r="M4" i="78"/>
  <c r="L4" i="78"/>
  <c r="O4" i="78"/>
  <c r="N4" i="78"/>
  <c r="AF12" i="75" a="1"/>
  <c r="AF12" i="75" s="1"/>
  <c r="C8" i="78"/>
  <c r="E8" i="78"/>
  <c r="D8" i="78"/>
  <c r="H10" i="78"/>
  <c r="G10" i="78"/>
  <c r="J10" i="78"/>
  <c r="I10" i="78"/>
  <c r="J8" i="78"/>
  <c r="H8" i="78"/>
  <c r="I8" i="78"/>
  <c r="G8" i="78"/>
  <c r="M8" i="78"/>
  <c r="O8" i="78"/>
  <c r="L8" i="78"/>
  <c r="N8" i="78"/>
  <c r="E7" i="78"/>
  <c r="D7" i="78"/>
  <c r="C7" i="78"/>
  <c r="D5" i="78"/>
  <c r="C5" i="78"/>
  <c r="E5" i="78"/>
  <c r="O2" i="78"/>
  <c r="N2" i="78"/>
  <c r="M2" i="78"/>
  <c r="L2" i="78"/>
  <c r="L7" i="78"/>
  <c r="O7" i="78"/>
  <c r="N7" i="78"/>
  <c r="M7" i="78"/>
  <c r="M8" i="77"/>
  <c r="L8" i="77"/>
  <c r="O8" i="77"/>
  <c r="N8" i="77"/>
  <c r="E6" i="77"/>
  <c r="D6" i="77"/>
  <c r="C6" i="77"/>
  <c r="G9" i="77"/>
  <c r="J9" i="77"/>
  <c r="H9" i="77"/>
  <c r="I9" i="77"/>
  <c r="L3" i="77"/>
  <c r="M3" i="77"/>
  <c r="O3" i="77"/>
  <c r="N3" i="77"/>
  <c r="G5" i="77"/>
  <c r="J5" i="77"/>
  <c r="I5" i="77"/>
  <c r="H5" i="77"/>
  <c r="E11" i="77"/>
  <c r="D11" i="77"/>
  <c r="C11" i="77"/>
  <c r="H10" i="77"/>
  <c r="G10" i="77"/>
  <c r="I10" i="77"/>
  <c r="J10" i="77"/>
  <c r="E10" i="77"/>
  <c r="D10" i="77"/>
  <c r="C10" i="77"/>
  <c r="I3" i="77"/>
  <c r="H3" i="77"/>
  <c r="G3" i="77"/>
  <c r="J3" i="77"/>
  <c r="O2" i="77"/>
  <c r="N2" i="77"/>
  <c r="L2" i="77"/>
  <c r="M2" i="77"/>
  <c r="J8" i="77"/>
  <c r="G8" i="77"/>
  <c r="I8" i="77"/>
  <c r="H8" i="77"/>
  <c r="L11" i="77"/>
  <c r="O11" i="77"/>
  <c r="N11" i="77"/>
  <c r="M11" i="77"/>
  <c r="AI12" i="75" a="1"/>
  <c r="AI12" i="75" s="1"/>
  <c r="E3" i="77"/>
  <c r="D3" i="77"/>
  <c r="C3" i="77"/>
  <c r="E2" i="77"/>
  <c r="D2" i="77"/>
  <c r="C2" i="77"/>
  <c r="O10" i="77"/>
  <c r="N10" i="77"/>
  <c r="L10" i="77"/>
  <c r="M10" i="77"/>
  <c r="N5" i="77"/>
  <c r="M5" i="77"/>
  <c r="L5" i="77"/>
  <c r="O5" i="77"/>
  <c r="C8" i="77"/>
  <c r="E8" i="77"/>
  <c r="D8" i="77"/>
  <c r="C4" i="77"/>
  <c r="D4" i="77"/>
  <c r="E4" i="77"/>
  <c r="L7" i="77"/>
  <c r="O7" i="77"/>
  <c r="N7" i="77"/>
  <c r="M7" i="77"/>
  <c r="H6" i="77"/>
  <c r="G6" i="77"/>
  <c r="J6" i="77"/>
  <c r="I6" i="77"/>
  <c r="J4" i="77"/>
  <c r="G4" i="77"/>
  <c r="I4" i="77"/>
  <c r="H4" i="77"/>
  <c r="V12" i="75" a="1"/>
  <c r="V12" i="75" s="1"/>
  <c r="Y12" i="75" a="1"/>
  <c r="Y12" i="75" s="1"/>
  <c r="O6" i="77"/>
  <c r="N6" i="77"/>
  <c r="L6" i="77"/>
  <c r="M6" i="77"/>
  <c r="D5" i="77"/>
  <c r="E5" i="77"/>
  <c r="C5" i="77"/>
  <c r="E7" i="77"/>
  <c r="D7" i="77"/>
  <c r="C7" i="77"/>
  <c r="N9" i="77"/>
  <c r="M9" i="77"/>
  <c r="O9" i="77"/>
  <c r="L9" i="77"/>
  <c r="D9" i="77"/>
  <c r="C9" i="77"/>
  <c r="E9" i="77"/>
  <c r="I7" i="77"/>
  <c r="H7" i="77"/>
  <c r="G7" i="77"/>
  <c r="J7" i="77"/>
  <c r="M4" i="77"/>
  <c r="N4" i="77"/>
  <c r="L4" i="77"/>
  <c r="O4" i="77"/>
  <c r="I11" i="77"/>
  <c r="H11" i="77"/>
  <c r="G11" i="77"/>
  <c r="J11" i="77"/>
  <c r="H2" i="77"/>
  <c r="G2" i="77"/>
  <c r="J2" i="77"/>
  <c r="I2" i="77"/>
  <c r="I3" i="75"/>
  <c r="H3" i="75"/>
  <c r="G3" i="75"/>
  <c r="J3" i="75"/>
  <c r="D9" i="75"/>
  <c r="C9" i="75"/>
  <c r="E9" i="75"/>
  <c r="N9" i="75"/>
  <c r="M9" i="75"/>
  <c r="L9" i="75"/>
  <c r="O9" i="75"/>
  <c r="C8" i="75"/>
  <c r="D8" i="75"/>
  <c r="E8" i="75"/>
  <c r="G9" i="75"/>
  <c r="J9" i="75"/>
  <c r="I9" i="75"/>
  <c r="H9" i="75"/>
  <c r="Z12" i="75" a="1"/>
  <c r="Z12" i="75" s="1"/>
  <c r="X12" i="75" a="1"/>
  <c r="X12" i="75" s="1"/>
  <c r="W12" i="75" a="1"/>
  <c r="W12" i="75" s="1"/>
  <c r="U12" i="75" a="1"/>
  <c r="U12" i="75" s="1"/>
  <c r="Q12" i="75" a="1"/>
  <c r="Q12" i="75" s="1"/>
  <c r="E6" i="75"/>
  <c r="D6" i="75"/>
  <c r="C6" i="75"/>
  <c r="G5" i="75"/>
  <c r="J5" i="75"/>
  <c r="H5" i="75"/>
  <c r="I5" i="75"/>
  <c r="H2" i="75"/>
  <c r="I2" i="75"/>
  <c r="G2" i="75"/>
  <c r="J2" i="75"/>
  <c r="O6" i="75"/>
  <c r="N6" i="75"/>
  <c r="M6" i="75"/>
  <c r="L6" i="75"/>
  <c r="J8" i="75"/>
  <c r="I8" i="75"/>
  <c r="G8" i="75"/>
  <c r="H8" i="75"/>
  <c r="M8" i="75"/>
  <c r="L8" i="75"/>
  <c r="O8" i="75"/>
  <c r="N8" i="75"/>
  <c r="J4" i="75"/>
  <c r="I4" i="75"/>
  <c r="G4" i="75"/>
  <c r="H4" i="75"/>
  <c r="L11" i="75"/>
  <c r="O11" i="75"/>
  <c r="N11" i="75"/>
  <c r="M11" i="75"/>
  <c r="O2" i="75"/>
  <c r="N2" i="75"/>
  <c r="M2" i="75"/>
  <c r="L2" i="75"/>
  <c r="T12" i="75" a="1"/>
  <c r="T12" i="75" s="1"/>
  <c r="C3" i="75"/>
  <c r="E3" i="75"/>
  <c r="D3" i="75"/>
  <c r="L3" i="75"/>
  <c r="O3" i="75"/>
  <c r="M3" i="75"/>
  <c r="N3" i="75"/>
  <c r="H10" i="75"/>
  <c r="G10" i="75"/>
  <c r="J10" i="75"/>
  <c r="I10" i="75"/>
  <c r="E11" i="75"/>
  <c r="D11" i="75"/>
  <c r="C11" i="75"/>
  <c r="H6" i="75"/>
  <c r="G6" i="75"/>
  <c r="I6" i="75"/>
  <c r="J6" i="75"/>
  <c r="E7" i="75"/>
  <c r="D7" i="75"/>
  <c r="C7" i="75"/>
  <c r="L7" i="75"/>
  <c r="O7" i="75"/>
  <c r="N7" i="75"/>
  <c r="M7" i="75"/>
  <c r="I11" i="75"/>
  <c r="H11" i="75"/>
  <c r="G11" i="75"/>
  <c r="J11" i="75"/>
  <c r="R12" i="75" a="1"/>
  <c r="R12" i="75" s="1"/>
  <c r="AA12" i="75" a="1"/>
  <c r="AA12" i="75" s="1"/>
  <c r="AC12" i="75" a="1"/>
  <c r="AC12" i="75" s="1"/>
  <c r="AJ12" i="75" a="1"/>
  <c r="AJ12" i="75" s="1"/>
  <c r="AE12" i="75" a="1"/>
  <c r="AE12" i="75" s="1"/>
  <c r="AD12" i="75" a="1"/>
  <c r="AD12" i="75" s="1"/>
  <c r="AB12" i="75" a="1"/>
  <c r="AB12" i="75" s="1"/>
  <c r="S12" i="75" a="1"/>
  <c r="S12" i="75" s="1"/>
  <c r="O10" i="75"/>
  <c r="N10" i="75"/>
  <c r="M10" i="75"/>
  <c r="L10" i="75"/>
  <c r="D5" i="75"/>
  <c r="E5" i="75"/>
  <c r="C5" i="75"/>
  <c r="E10" i="75"/>
  <c r="D10" i="75"/>
  <c r="C10" i="75"/>
  <c r="E2" i="75"/>
  <c r="D2" i="75"/>
  <c r="C2" i="75"/>
  <c r="M4" i="75"/>
  <c r="L4" i="75"/>
  <c r="N4" i="75"/>
  <c r="O4" i="75"/>
  <c r="N5" i="75"/>
  <c r="M5" i="75"/>
  <c r="O5" i="75"/>
  <c r="L5" i="75"/>
  <c r="C4" i="75"/>
  <c r="D4" i="75"/>
  <c r="E4" i="75"/>
  <c r="I7" i="75"/>
  <c r="H7" i="75"/>
  <c r="G7" i="75"/>
  <c r="J7" i="75"/>
  <c r="D3" i="76"/>
  <c r="E3" i="76"/>
  <c r="C3" i="76"/>
  <c r="J8" i="76"/>
  <c r="I8" i="76"/>
  <c r="H8" i="76"/>
  <c r="G8" i="76"/>
  <c r="O6" i="76"/>
  <c r="M6" i="76"/>
  <c r="N6" i="76"/>
  <c r="L6" i="76"/>
  <c r="N5" i="76"/>
  <c r="M5" i="76"/>
  <c r="L5" i="76"/>
  <c r="O5" i="76"/>
  <c r="J4" i="76"/>
  <c r="H4" i="76"/>
  <c r="I4" i="76"/>
  <c r="G4" i="76"/>
  <c r="I7" i="76"/>
  <c r="G7" i="76"/>
  <c r="H7" i="76"/>
  <c r="J7" i="76"/>
  <c r="N9" i="76"/>
  <c r="M9" i="76"/>
  <c r="L9" i="76"/>
  <c r="O9" i="76"/>
  <c r="H6" i="76"/>
  <c r="G6" i="76"/>
  <c r="J6" i="76"/>
  <c r="I6" i="76"/>
  <c r="L11" i="76"/>
  <c r="O11" i="76"/>
  <c r="N11" i="76"/>
  <c r="M11" i="76"/>
  <c r="C4" i="76"/>
  <c r="E4" i="76"/>
  <c r="D4" i="76"/>
  <c r="H10" i="76"/>
  <c r="G10" i="76"/>
  <c r="J10" i="76"/>
  <c r="I10" i="76"/>
  <c r="E10" i="76"/>
  <c r="D10" i="76"/>
  <c r="C10" i="76"/>
  <c r="H2" i="76"/>
  <c r="G2" i="76"/>
  <c r="J2" i="76"/>
  <c r="I2" i="76"/>
  <c r="E6" i="76"/>
  <c r="D6" i="76"/>
  <c r="C6" i="76"/>
  <c r="O2" i="76"/>
  <c r="M2" i="76"/>
  <c r="N2" i="76"/>
  <c r="L2" i="76"/>
  <c r="D7" i="76"/>
  <c r="E7" i="76"/>
  <c r="C7" i="76"/>
  <c r="M8" i="76"/>
  <c r="L8" i="76"/>
  <c r="O8" i="76"/>
  <c r="N8" i="76"/>
  <c r="C8" i="76"/>
  <c r="E8" i="76"/>
  <c r="D8" i="76"/>
  <c r="O10" i="76"/>
  <c r="N10" i="76"/>
  <c r="M10" i="76"/>
  <c r="L10" i="76"/>
  <c r="E11" i="76"/>
  <c r="D11" i="76"/>
  <c r="C11" i="76"/>
  <c r="L3" i="76"/>
  <c r="O3" i="76"/>
  <c r="N3" i="76"/>
  <c r="M3" i="76"/>
  <c r="D9" i="76"/>
  <c r="C9" i="76"/>
  <c r="E9" i="76"/>
  <c r="M4" i="76"/>
  <c r="O4" i="76"/>
  <c r="L4" i="76"/>
  <c r="N4" i="76"/>
  <c r="E2" i="76"/>
  <c r="D2" i="76"/>
  <c r="C2" i="76"/>
  <c r="G9" i="76"/>
  <c r="J9" i="76"/>
  <c r="I9" i="76"/>
  <c r="H9" i="76"/>
  <c r="I3" i="76"/>
  <c r="G3" i="76"/>
  <c r="H3" i="76"/>
  <c r="J3" i="76"/>
  <c r="I11" i="76"/>
  <c r="H11" i="76"/>
  <c r="G11" i="76"/>
  <c r="J11" i="76"/>
  <c r="L7" i="76"/>
  <c r="N7" i="76"/>
  <c r="O7" i="76"/>
  <c r="M7" i="76"/>
  <c r="D5" i="76"/>
  <c r="C5" i="76"/>
  <c r="E5" i="76"/>
  <c r="G5" i="76"/>
  <c r="J5" i="76"/>
  <c r="I5" i="76"/>
  <c r="H5" i="76"/>
  <c r="N5" i="74"/>
  <c r="M5" i="74"/>
  <c r="L5" i="74"/>
  <c r="O5" i="74"/>
  <c r="E6" i="74"/>
  <c r="D6" i="74"/>
  <c r="C6" i="74"/>
  <c r="G9" i="74"/>
  <c r="J9" i="74"/>
  <c r="I9" i="74"/>
  <c r="H9" i="74"/>
  <c r="H6" i="74"/>
  <c r="I6" i="74"/>
  <c r="G6" i="74"/>
  <c r="J6" i="74"/>
  <c r="O2" i="74"/>
  <c r="N2" i="74"/>
  <c r="L2" i="74"/>
  <c r="M2" i="74"/>
  <c r="J8" i="74"/>
  <c r="I8" i="74"/>
  <c r="H8" i="74"/>
  <c r="G8" i="74"/>
  <c r="H2" i="74"/>
  <c r="G2" i="74"/>
  <c r="J2" i="74"/>
  <c r="I2" i="74"/>
  <c r="M8" i="74"/>
  <c r="L8" i="74"/>
  <c r="N8" i="74"/>
  <c r="O8" i="74"/>
  <c r="I11" i="74"/>
  <c r="H11" i="74"/>
  <c r="G11" i="74"/>
  <c r="J11" i="74"/>
  <c r="O10" i="74"/>
  <c r="N10" i="74"/>
  <c r="L10" i="74"/>
  <c r="M10" i="74"/>
  <c r="I3" i="74"/>
  <c r="J3" i="74"/>
  <c r="H3" i="74"/>
  <c r="G3" i="74"/>
  <c r="N9" i="74"/>
  <c r="M9" i="74"/>
  <c r="L9" i="74"/>
  <c r="O9" i="74"/>
  <c r="C8" i="74"/>
  <c r="E8" i="74"/>
  <c r="D8" i="74"/>
  <c r="E7" i="74"/>
  <c r="D7" i="74"/>
  <c r="C7" i="74"/>
  <c r="L7" i="74"/>
  <c r="M7" i="74"/>
  <c r="O7" i="74"/>
  <c r="N7" i="74"/>
  <c r="G5" i="74"/>
  <c r="H5" i="74"/>
  <c r="J5" i="74"/>
  <c r="I5" i="74"/>
  <c r="L3" i="74"/>
  <c r="O3" i="74"/>
  <c r="N3" i="74"/>
  <c r="M3" i="74"/>
  <c r="J4" i="74"/>
  <c r="I4" i="74"/>
  <c r="H4" i="74"/>
  <c r="G4" i="74"/>
  <c r="E10" i="74"/>
  <c r="D10" i="74"/>
  <c r="C10" i="74"/>
  <c r="L11" i="74"/>
  <c r="O11" i="74"/>
  <c r="N11" i="74"/>
  <c r="M11" i="74"/>
  <c r="E11" i="74"/>
  <c r="D11" i="74"/>
  <c r="C11" i="74"/>
  <c r="E3" i="74"/>
  <c r="D3" i="74"/>
  <c r="C3" i="74"/>
  <c r="C4" i="74"/>
  <c r="E4" i="74"/>
  <c r="D4" i="74"/>
  <c r="O6" i="74"/>
  <c r="N6" i="74"/>
  <c r="L6" i="74"/>
  <c r="M6" i="74"/>
  <c r="D9" i="74"/>
  <c r="C9" i="74"/>
  <c r="E9" i="74"/>
  <c r="M4" i="74"/>
  <c r="L4" i="74"/>
  <c r="O4" i="74"/>
  <c r="N4" i="74"/>
  <c r="E2" i="74"/>
  <c r="D2" i="74"/>
  <c r="C2" i="74"/>
  <c r="D5" i="74"/>
  <c r="C5" i="74"/>
  <c r="E5" i="74"/>
  <c r="H10" i="74"/>
  <c r="G10" i="74"/>
  <c r="J10" i="74"/>
  <c r="I10" i="74"/>
  <c r="I7" i="74"/>
  <c r="H7" i="74"/>
  <c r="G7" i="74"/>
  <c r="J7" i="74"/>
  <c r="I7" i="71"/>
  <c r="H7" i="71"/>
  <c r="J7" i="71"/>
  <c r="G7" i="71"/>
  <c r="C8" i="71"/>
  <c r="E8" i="71"/>
  <c r="D8" i="71"/>
  <c r="O6" i="71"/>
  <c r="L6" i="71"/>
  <c r="N6" i="71"/>
  <c r="M6" i="71"/>
  <c r="E10" i="71"/>
  <c r="D10" i="71"/>
  <c r="C10" i="71"/>
  <c r="H6" i="71"/>
  <c r="G6" i="71"/>
  <c r="I6" i="71"/>
  <c r="J6" i="71"/>
  <c r="D5" i="71"/>
  <c r="C5" i="71"/>
  <c r="E5" i="71"/>
  <c r="M4" i="71"/>
  <c r="L4" i="71"/>
  <c r="N4" i="71"/>
  <c r="O4" i="71"/>
  <c r="G5" i="71"/>
  <c r="J5" i="71"/>
  <c r="I5" i="71"/>
  <c r="H5" i="71"/>
  <c r="J8" i="71"/>
  <c r="G8" i="71"/>
  <c r="I8" i="71"/>
  <c r="H8" i="71"/>
  <c r="L7" i="71"/>
  <c r="O7" i="71"/>
  <c r="N7" i="71"/>
  <c r="M7" i="71"/>
  <c r="C7" i="71"/>
  <c r="E7" i="71"/>
  <c r="D7" i="71"/>
  <c r="N9" i="71"/>
  <c r="M9" i="71"/>
  <c r="O9" i="71"/>
  <c r="L9" i="71"/>
  <c r="G9" i="71"/>
  <c r="J9" i="71"/>
  <c r="H9" i="71"/>
  <c r="I9" i="71"/>
  <c r="M8" i="71"/>
  <c r="L8" i="71"/>
  <c r="O8" i="71"/>
  <c r="N8" i="71"/>
  <c r="E2" i="71"/>
  <c r="D2" i="71"/>
  <c r="C2" i="71"/>
  <c r="H10" i="71"/>
  <c r="G10" i="71"/>
  <c r="I10" i="71"/>
  <c r="J10" i="71"/>
  <c r="I3" i="71"/>
  <c r="J3" i="71"/>
  <c r="H3" i="71"/>
  <c r="G3" i="71"/>
  <c r="C4" i="71"/>
  <c r="E4" i="71"/>
  <c r="D4" i="71"/>
  <c r="O2" i="71"/>
  <c r="N2" i="71"/>
  <c r="L2" i="71"/>
  <c r="M2" i="71"/>
  <c r="E6" i="71"/>
  <c r="D6" i="71"/>
  <c r="C6" i="71"/>
  <c r="I11" i="71"/>
  <c r="H11" i="71"/>
  <c r="G11" i="71"/>
  <c r="J11" i="71"/>
  <c r="D9" i="71"/>
  <c r="C9" i="71"/>
  <c r="E9" i="71"/>
  <c r="O10" i="71"/>
  <c r="N10" i="71"/>
  <c r="M10" i="71"/>
  <c r="L10" i="71"/>
  <c r="E11" i="71"/>
  <c r="D11" i="71"/>
  <c r="C11" i="71"/>
  <c r="J4" i="71"/>
  <c r="G4" i="71"/>
  <c r="I4" i="71"/>
  <c r="H4" i="71"/>
  <c r="L3" i="71"/>
  <c r="O3" i="71"/>
  <c r="N3" i="71"/>
  <c r="M3" i="71"/>
  <c r="C3" i="71"/>
  <c r="E3" i="71"/>
  <c r="D3" i="71"/>
  <c r="N5" i="71"/>
  <c r="M5" i="71"/>
  <c r="L5" i="71"/>
  <c r="O5" i="71"/>
  <c r="H2" i="71"/>
  <c r="I2" i="71"/>
  <c r="G2" i="71"/>
  <c r="J2" i="71"/>
  <c r="L11" i="71"/>
  <c r="O11" i="71"/>
  <c r="N11" i="71"/>
  <c r="M11" i="71"/>
  <c r="AD12" i="86" a="1"/>
  <c r="AD12" i="86" s="1"/>
  <c r="AF12" i="86" a="1"/>
  <c r="AF12" i="86" s="1"/>
  <c r="W12" i="86" a="1"/>
  <c r="W12" i="86" s="1"/>
  <c r="X12" i="86" a="1"/>
  <c r="X12" i="86" s="1"/>
  <c r="Q12" i="86" a="1"/>
  <c r="Q12" i="86" s="1"/>
  <c r="Y12" i="86" a="1"/>
  <c r="Y12" i="86" s="1"/>
  <c r="AG12" i="86" a="1"/>
  <c r="AG12" i="86" s="1"/>
  <c r="R12" i="86" a="1"/>
  <c r="R12" i="86" s="1"/>
  <c r="Z12" i="86" a="1"/>
  <c r="Z12" i="86" s="1"/>
  <c r="AH12" i="86" a="1"/>
  <c r="AH12" i="86" s="1"/>
  <c r="AE12" i="86" a="1"/>
  <c r="AE12" i="86" s="1"/>
  <c r="S12" i="86" a="1"/>
  <c r="S12" i="86" s="1"/>
  <c r="AA12" i="86" a="1"/>
  <c r="AA12" i="86" s="1"/>
  <c r="AI12" i="86" a="1"/>
  <c r="AI12" i="86" s="1"/>
  <c r="T12" i="86" a="1"/>
  <c r="T12" i="86" s="1"/>
  <c r="AB12" i="86" a="1"/>
  <c r="AB12" i="86" s="1"/>
  <c r="AJ12" i="86" a="1"/>
  <c r="AJ12" i="86" s="1"/>
  <c r="U12" i="86" a="1"/>
  <c r="U12" i="86" s="1"/>
  <c r="AC12" i="86" a="1"/>
  <c r="AC12" i="86" s="1"/>
  <c r="V12" i="86" a="1"/>
  <c r="V12" i="86" s="1"/>
  <c r="AJ12" i="85" a="1"/>
  <c r="AJ12" i="85" s="1"/>
  <c r="AB12" i="85" a="1"/>
  <c r="AB12" i="85" s="1"/>
  <c r="T12" i="85" a="1"/>
  <c r="T12" i="85" s="1"/>
  <c r="AE12" i="85" a="1"/>
  <c r="AE12" i="85" s="1"/>
  <c r="W12" i="85" a="1"/>
  <c r="W12" i="85" s="1"/>
  <c r="AG12" i="85" a="1"/>
  <c r="AG12" i="85" s="1"/>
  <c r="Q12" i="85" a="1"/>
  <c r="Q12" i="85" s="1"/>
  <c r="AH12" i="85" a="1"/>
  <c r="AH12" i="85" s="1"/>
  <c r="Z12" i="85" a="1"/>
  <c r="Z12" i="85" s="1"/>
  <c r="R12" i="85" a="1"/>
  <c r="R12" i="85" s="1"/>
  <c r="AC12" i="85" a="1"/>
  <c r="AC12" i="85" s="1"/>
  <c r="U12" i="85" a="1"/>
  <c r="U12" i="85" s="1"/>
  <c r="V12" i="85" a="1"/>
  <c r="V12" i="85" s="1"/>
  <c r="AF12" i="85" a="1"/>
  <c r="AF12" i="85" s="1"/>
  <c r="X12" i="85" a="1"/>
  <c r="X12" i="85" s="1"/>
  <c r="AI12" i="85" a="1"/>
  <c r="AI12" i="85" s="1"/>
  <c r="AA12" i="85" a="1"/>
  <c r="AA12" i="85" s="1"/>
  <c r="S12" i="85" a="1"/>
  <c r="S12" i="85" s="1"/>
  <c r="AD12" i="85" a="1"/>
  <c r="AD12" i="85" s="1"/>
  <c r="Y12" i="85" a="1"/>
  <c r="Y12" i="85" s="1"/>
  <c r="AJ12" i="84" a="1"/>
  <c r="AJ12" i="84" s="1"/>
  <c r="AB12" i="84" a="1"/>
  <c r="AB12" i="84" s="1"/>
  <c r="T12" i="84" a="1"/>
  <c r="T12" i="84" s="1"/>
  <c r="AE12" i="84" a="1"/>
  <c r="AE12" i="84" s="1"/>
  <c r="W12" i="84" a="1"/>
  <c r="W12" i="84" s="1"/>
  <c r="AH12" i="84" a="1"/>
  <c r="AH12" i="84" s="1"/>
  <c r="Z12" i="84" a="1"/>
  <c r="Z12" i="84" s="1"/>
  <c r="R12" i="84" a="1"/>
  <c r="R12" i="84" s="1"/>
  <c r="AC12" i="84" a="1"/>
  <c r="AC12" i="84" s="1"/>
  <c r="U12" i="84" a="1"/>
  <c r="U12" i="84" s="1"/>
  <c r="AD12" i="84" a="1"/>
  <c r="AD12" i="84" s="1"/>
  <c r="AG12" i="84" a="1"/>
  <c r="AG12" i="84" s="1"/>
  <c r="Q12" i="84" a="1"/>
  <c r="Q12" i="84" s="1"/>
  <c r="AF12" i="84" a="1"/>
  <c r="AF12" i="84" s="1"/>
  <c r="X12" i="84" a="1"/>
  <c r="X12" i="84" s="1"/>
  <c r="AI12" i="84" a="1"/>
  <c r="AI12" i="84" s="1"/>
  <c r="AA12" i="84" a="1"/>
  <c r="AA12" i="84" s="1"/>
  <c r="S12" i="84" a="1"/>
  <c r="S12" i="84" s="1"/>
  <c r="V12" i="84" a="1"/>
  <c r="V12" i="84" s="1"/>
  <c r="Y12" i="84" a="1"/>
  <c r="Y12" i="84" s="1"/>
  <c r="Y12" i="77" a="1"/>
  <c r="Y12" i="77" s="1"/>
  <c r="AJ12" i="80" a="1"/>
  <c r="AJ12" i="80" s="1"/>
  <c r="AC12" i="80" a="1"/>
  <c r="AC12" i="80" s="1"/>
  <c r="V12" i="80" a="1"/>
  <c r="V12" i="80" s="1"/>
  <c r="W12" i="80" a="1"/>
  <c r="W12" i="80" s="1"/>
  <c r="AE12" i="80" a="1"/>
  <c r="AE12" i="80" s="1"/>
  <c r="X12" i="80" a="1"/>
  <c r="X12" i="80" s="1"/>
  <c r="AF12" i="80" a="1"/>
  <c r="AF12" i="80" s="1"/>
  <c r="Q12" i="80" a="1"/>
  <c r="Q12" i="80" s="1"/>
  <c r="Y12" i="80" a="1"/>
  <c r="Y12" i="80" s="1"/>
  <c r="AG12" i="80" a="1"/>
  <c r="AG12" i="80" s="1"/>
  <c r="R12" i="80" a="1"/>
  <c r="R12" i="80" s="1"/>
  <c r="Z12" i="80" a="1"/>
  <c r="Z12" i="80" s="1"/>
  <c r="AH12" i="80" a="1"/>
  <c r="AH12" i="80" s="1"/>
  <c r="U12" i="80" a="1"/>
  <c r="U12" i="80" s="1"/>
  <c r="AD12" i="80" a="1"/>
  <c r="AD12" i="80" s="1"/>
  <c r="S12" i="80" a="1"/>
  <c r="S12" i="80" s="1"/>
  <c r="AA12" i="80" a="1"/>
  <c r="AA12" i="80" s="1"/>
  <c r="AI12" i="80" a="1"/>
  <c r="AI12" i="80" s="1"/>
  <c r="T12" i="80" a="1"/>
  <c r="T12" i="80" s="1"/>
  <c r="AB12" i="80" a="1"/>
  <c r="AB12" i="80" s="1"/>
  <c r="AF12" i="79" a="1"/>
  <c r="AF12" i="79" s="1"/>
  <c r="X12" i="79" a="1"/>
  <c r="X12" i="79" s="1"/>
  <c r="AI12" i="79" a="1"/>
  <c r="AI12" i="79" s="1"/>
  <c r="AA12" i="79" a="1"/>
  <c r="AA12" i="79" s="1"/>
  <c r="Q12" i="79" a="1"/>
  <c r="Q12" i="79" s="1"/>
  <c r="U12" i="79" a="1"/>
  <c r="U12" i="79" s="1"/>
  <c r="AD12" i="79" a="1"/>
  <c r="AD12" i="79" s="1"/>
  <c r="V12" i="79" a="1"/>
  <c r="V12" i="79" s="1"/>
  <c r="AG12" i="79" a="1"/>
  <c r="AG12" i="79" s="1"/>
  <c r="Y12" i="79" a="1"/>
  <c r="Y12" i="79" s="1"/>
  <c r="S12" i="79" a="1"/>
  <c r="S12" i="79" s="1"/>
  <c r="Z12" i="79" a="1"/>
  <c r="Z12" i="79" s="1"/>
  <c r="AC12" i="79" a="1"/>
  <c r="AC12" i="79" s="1"/>
  <c r="AJ12" i="79" a="1"/>
  <c r="AJ12" i="79" s="1"/>
  <c r="AB12" i="79" a="1"/>
  <c r="AB12" i="79" s="1"/>
  <c r="T12" i="79" a="1"/>
  <c r="T12" i="79" s="1"/>
  <c r="AE12" i="79" a="1"/>
  <c r="AE12" i="79" s="1"/>
  <c r="W12" i="79" a="1"/>
  <c r="W12" i="79" s="1"/>
  <c r="AH12" i="79" a="1"/>
  <c r="AH12" i="79" s="1"/>
  <c r="R12" i="79" a="1"/>
  <c r="R12" i="79" s="1"/>
  <c r="AJ12" i="78" a="1"/>
  <c r="AJ12" i="78" s="1"/>
  <c r="AB12" i="78" a="1"/>
  <c r="AB12" i="78" s="1"/>
  <c r="T12" i="78" a="1"/>
  <c r="T12" i="78" s="1"/>
  <c r="AE12" i="78" a="1"/>
  <c r="AE12" i="78" s="1"/>
  <c r="W12" i="78" a="1"/>
  <c r="W12" i="78" s="1"/>
  <c r="AH12" i="78" a="1"/>
  <c r="AH12" i="78" s="1"/>
  <c r="Z12" i="78" a="1"/>
  <c r="Z12" i="78" s="1"/>
  <c r="R12" i="78" a="1"/>
  <c r="R12" i="78" s="1"/>
  <c r="AC12" i="78" a="1"/>
  <c r="AC12" i="78" s="1"/>
  <c r="U12" i="78" a="1"/>
  <c r="U12" i="78" s="1"/>
  <c r="V12" i="78" a="1"/>
  <c r="V12" i="78" s="1"/>
  <c r="AG12" i="78" a="1"/>
  <c r="AG12" i="78" s="1"/>
  <c r="Q12" i="78" a="1"/>
  <c r="Q12" i="78" s="1"/>
  <c r="AF12" i="78" a="1"/>
  <c r="AF12" i="78" s="1"/>
  <c r="X12" i="78" a="1"/>
  <c r="X12" i="78" s="1"/>
  <c r="AI12" i="78" a="1"/>
  <c r="AI12" i="78" s="1"/>
  <c r="AA12" i="78" a="1"/>
  <c r="AA12" i="78" s="1"/>
  <c r="S12" i="78" a="1"/>
  <c r="S12" i="78" s="1"/>
  <c r="AD12" i="78" a="1"/>
  <c r="AD12" i="78" s="1"/>
  <c r="Y12" i="78" a="1"/>
  <c r="Y12" i="78" s="1"/>
  <c r="Q12" i="77" a="1"/>
  <c r="Q12" i="77" s="1"/>
  <c r="U12" i="77" a="1"/>
  <c r="U12" i="77" s="1"/>
  <c r="AG12" i="77" a="1"/>
  <c r="AG12" i="77" s="1"/>
  <c r="AC12" i="77" a="1"/>
  <c r="AC12" i="77" s="1"/>
  <c r="AF12" i="77" a="1"/>
  <c r="AF12" i="77" s="1"/>
  <c r="AJ12" i="76" a="1"/>
  <c r="AJ12" i="76" s="1"/>
  <c r="AE12" i="77" a="1"/>
  <c r="AE12" i="77" s="1"/>
  <c r="R12" i="77" a="1"/>
  <c r="R12" i="77" s="1"/>
  <c r="Z12" i="77" a="1"/>
  <c r="Z12" i="77" s="1"/>
  <c r="AH12" i="77" a="1"/>
  <c r="AH12" i="77" s="1"/>
  <c r="S12" i="77" a="1"/>
  <c r="S12" i="77" s="1"/>
  <c r="AI12" i="77" a="1"/>
  <c r="AI12" i="77" s="1"/>
  <c r="T12" i="77" a="1"/>
  <c r="T12" i="77" s="1"/>
  <c r="AB12" i="77" a="1"/>
  <c r="AB12" i="77" s="1"/>
  <c r="AJ12" i="77" a="1"/>
  <c r="AJ12" i="77" s="1"/>
  <c r="W12" i="77" a="1"/>
  <c r="W12" i="77" s="1"/>
  <c r="V12" i="77" a="1"/>
  <c r="V12" i="77" s="1"/>
  <c r="AD12" i="77" a="1"/>
  <c r="AD12" i="77" s="1"/>
  <c r="AA12" i="77" a="1"/>
  <c r="AA12" i="77" s="1"/>
  <c r="X12" i="77" a="1"/>
  <c r="X12" i="77" s="1"/>
  <c r="AC12" i="76" a="1"/>
  <c r="AC12" i="76" s="1"/>
  <c r="U12" i="76" a="1"/>
  <c r="U12" i="76" s="1"/>
  <c r="AF12" i="76" a="1"/>
  <c r="AF12" i="76" s="1"/>
  <c r="Q12" i="76" a="1"/>
  <c r="Q12" i="76" s="1"/>
  <c r="AG12" i="76" a="1"/>
  <c r="AG12" i="76" s="1"/>
  <c r="W12" i="76" a="1"/>
  <c r="W12" i="76" s="1"/>
  <c r="V12" i="76" a="1"/>
  <c r="V12" i="76" s="1"/>
  <c r="AD12" i="76" a="1"/>
  <c r="AD12" i="76" s="1"/>
  <c r="Y12" i="76" a="1"/>
  <c r="Y12" i="76" s="1"/>
  <c r="AA12" i="76" a="1"/>
  <c r="AA12" i="76" s="1"/>
  <c r="X12" i="76" a="1"/>
  <c r="X12" i="76" s="1"/>
  <c r="AE12" i="76" a="1"/>
  <c r="AE12" i="76" s="1"/>
  <c r="R12" i="76" a="1"/>
  <c r="R12" i="76" s="1"/>
  <c r="Z12" i="76" a="1"/>
  <c r="Z12" i="76" s="1"/>
  <c r="AH12" i="76" a="1"/>
  <c r="AH12" i="76" s="1"/>
  <c r="S12" i="76" a="1"/>
  <c r="S12" i="76" s="1"/>
  <c r="AI12" i="76" a="1"/>
  <c r="AI12" i="76" s="1"/>
  <c r="T12" i="76" a="1"/>
  <c r="T12" i="76" s="1"/>
  <c r="AB12" i="76" a="1"/>
  <c r="AB12" i="76" s="1"/>
  <c r="U12" i="74" a="1"/>
  <c r="U12" i="74" s="1"/>
  <c r="AF12" i="74" a="1"/>
  <c r="AF12" i="74" s="1"/>
  <c r="AJ12" i="74" a="1"/>
  <c r="AJ12" i="74" s="1"/>
  <c r="Q12" i="74" a="1"/>
  <c r="Q12" i="74" s="1"/>
  <c r="AE12" i="73" a="1"/>
  <c r="AE12" i="73" s="1"/>
  <c r="AC12" i="74" a="1"/>
  <c r="AC12" i="74" s="1"/>
  <c r="Y12" i="74" a="1"/>
  <c r="Y12" i="74" s="1"/>
  <c r="W12" i="74" a="1"/>
  <c r="W12" i="74" s="1"/>
  <c r="V12" i="74" a="1"/>
  <c r="V12" i="74" s="1"/>
  <c r="AD12" i="74" a="1"/>
  <c r="AD12" i="74" s="1"/>
  <c r="S12" i="74" a="1"/>
  <c r="S12" i="74" s="1"/>
  <c r="AG12" i="74" a="1"/>
  <c r="AG12" i="74" s="1"/>
  <c r="AA12" i="74" a="1"/>
  <c r="AA12" i="74" s="1"/>
  <c r="X12" i="74" a="1"/>
  <c r="X12" i="74" s="1"/>
  <c r="AE12" i="74" a="1"/>
  <c r="AE12" i="74" s="1"/>
  <c r="R12" i="74" a="1"/>
  <c r="R12" i="74" s="1"/>
  <c r="Z12" i="74" a="1"/>
  <c r="Z12" i="74" s="1"/>
  <c r="AH12" i="74" a="1"/>
  <c r="AH12" i="74" s="1"/>
  <c r="AI12" i="74" a="1"/>
  <c r="AI12" i="74" s="1"/>
  <c r="T12" i="74" a="1"/>
  <c r="T12" i="74" s="1"/>
  <c r="AB12" i="74" a="1"/>
  <c r="AB12" i="74" s="1"/>
  <c r="Q12" i="73" a="1"/>
  <c r="Q12" i="73" s="1"/>
  <c r="AF12" i="73" a="1"/>
  <c r="AF12" i="73" s="1"/>
  <c r="AC12" i="73" a="1"/>
  <c r="AC12" i="73" s="1"/>
  <c r="R12" i="73" a="1"/>
  <c r="R12" i="73" s="1"/>
  <c r="Y12" i="73" a="1"/>
  <c r="Y12" i="73" s="1"/>
  <c r="S12" i="73" a="1"/>
  <c r="S12" i="73" s="1"/>
  <c r="AI12" i="73" a="1"/>
  <c r="AI12" i="73" s="1"/>
  <c r="T12" i="73" a="1"/>
  <c r="T12" i="73" s="1"/>
  <c r="AB12" i="73" a="1"/>
  <c r="AB12" i="73" s="1"/>
  <c r="AJ12" i="73" a="1"/>
  <c r="AJ12" i="73" s="1"/>
  <c r="AH12" i="73" a="1"/>
  <c r="AH12" i="73" s="1"/>
  <c r="U12" i="73" a="1"/>
  <c r="U12" i="73" s="1"/>
  <c r="AG12" i="73" a="1"/>
  <c r="AG12" i="73" s="1"/>
  <c r="W12" i="73" a="1"/>
  <c r="W12" i="73" s="1"/>
  <c r="V12" i="73" a="1"/>
  <c r="V12" i="73" s="1"/>
  <c r="AD12" i="73" a="1"/>
  <c r="AD12" i="73" s="1"/>
  <c r="Z12" i="73" a="1"/>
  <c r="Z12" i="73" s="1"/>
  <c r="AA12" i="73" a="1"/>
  <c r="AA12" i="73" s="1"/>
  <c r="X12" i="73" a="1"/>
  <c r="X12" i="73" s="1"/>
  <c r="E5" i="73"/>
  <c r="C5" i="73"/>
  <c r="D5" i="73"/>
  <c r="L6" i="73"/>
  <c r="O6" i="73"/>
  <c r="N6" i="73"/>
  <c r="M6" i="73"/>
  <c r="J7" i="73"/>
  <c r="I7" i="73"/>
  <c r="H7" i="73"/>
  <c r="G7" i="73"/>
  <c r="D10" i="73"/>
  <c r="E10" i="73"/>
  <c r="C10" i="73"/>
  <c r="I8" i="73"/>
  <c r="J8" i="73"/>
  <c r="H8" i="73"/>
  <c r="G8" i="73"/>
  <c r="N3" i="73"/>
  <c r="L3" i="73"/>
  <c r="M3" i="73"/>
  <c r="O3" i="73"/>
  <c r="G10" i="73"/>
  <c r="I10" i="73"/>
  <c r="H10" i="73"/>
  <c r="J10" i="73"/>
  <c r="D3" i="73"/>
  <c r="C3" i="73"/>
  <c r="E3" i="73"/>
  <c r="E8" i="73"/>
  <c r="D8" i="73"/>
  <c r="C8" i="73"/>
  <c r="C2" i="73"/>
  <c r="E2" i="73"/>
  <c r="D2" i="73"/>
  <c r="H11" i="73"/>
  <c r="I11" i="73"/>
  <c r="G11" i="73"/>
  <c r="J11" i="73"/>
  <c r="O5" i="73"/>
  <c r="L5" i="73"/>
  <c r="N5" i="73"/>
  <c r="M5" i="73"/>
  <c r="H5" i="73"/>
  <c r="G5" i="73"/>
  <c r="J5" i="73"/>
  <c r="I5" i="73"/>
  <c r="M2" i="73"/>
  <c r="L2" i="73"/>
  <c r="O2" i="73"/>
  <c r="N2" i="73"/>
  <c r="E11" i="73"/>
  <c r="D11" i="73"/>
  <c r="C11" i="73"/>
  <c r="I6" i="73"/>
  <c r="H6" i="73"/>
  <c r="G6" i="73"/>
  <c r="J6" i="73"/>
  <c r="E4" i="73"/>
  <c r="D4" i="73"/>
  <c r="C4" i="73"/>
  <c r="O11" i="73"/>
  <c r="M11" i="73"/>
  <c r="L11" i="73"/>
  <c r="N11" i="73"/>
  <c r="C9" i="73"/>
  <c r="E9" i="73"/>
  <c r="D9" i="73"/>
  <c r="J9" i="73"/>
  <c r="I9" i="73"/>
  <c r="H9" i="73"/>
  <c r="G9" i="73"/>
  <c r="G3" i="73"/>
  <c r="I3" i="73"/>
  <c r="J3" i="73"/>
  <c r="H3" i="73"/>
  <c r="N10" i="73"/>
  <c r="M10" i="73"/>
  <c r="L10" i="73"/>
  <c r="O10" i="73"/>
  <c r="M7" i="73"/>
  <c r="L7" i="73"/>
  <c r="N7" i="73"/>
  <c r="O7" i="73"/>
  <c r="O4" i="73"/>
  <c r="N4" i="73"/>
  <c r="M4" i="73"/>
  <c r="L4" i="73"/>
  <c r="L8" i="73"/>
  <c r="N8" i="73"/>
  <c r="M8" i="73"/>
  <c r="O8" i="73"/>
  <c r="E6" i="73"/>
  <c r="D6" i="73"/>
  <c r="C6" i="73"/>
  <c r="M9" i="73"/>
  <c r="N9" i="73"/>
  <c r="L9" i="73"/>
  <c r="O9" i="73"/>
  <c r="J2" i="73"/>
  <c r="H2" i="73"/>
  <c r="I2" i="73"/>
  <c r="G2" i="73"/>
  <c r="C7" i="73"/>
  <c r="E7" i="73"/>
  <c r="D7" i="73"/>
  <c r="H4" i="73"/>
  <c r="J4" i="73"/>
  <c r="G4" i="73"/>
  <c r="I4" i="73"/>
  <c r="Q12" i="71" a="1"/>
  <c r="Q12" i="71" s="1"/>
  <c r="AD12" i="71" a="1"/>
  <c r="AD12" i="71" s="1"/>
  <c r="Y12" i="71" a="1"/>
  <c r="Y12" i="71" s="1"/>
  <c r="AJ12" i="71" a="1"/>
  <c r="AJ12" i="71" s="1"/>
  <c r="AE12" i="71" a="1"/>
  <c r="AE12" i="71" s="1"/>
  <c r="X12" i="71" a="1"/>
  <c r="X12" i="71" s="1"/>
  <c r="V12" i="71" a="1"/>
  <c r="V12" i="71" s="1"/>
  <c r="T12" i="71" a="1"/>
  <c r="T12" i="71" s="1"/>
  <c r="AF12" i="71" a="1"/>
  <c r="AF12" i="71" s="1"/>
  <c r="AB12" i="71" a="1"/>
  <c r="AB12" i="71" s="1"/>
  <c r="AA12" i="71" a="1"/>
  <c r="AA12" i="71" s="1"/>
  <c r="AH12" i="71" a="1"/>
  <c r="AH12" i="71" s="1"/>
  <c r="AG12" i="71" a="1"/>
  <c r="AG12" i="71" s="1"/>
  <c r="U12" i="71" a="1"/>
  <c r="U12" i="71" s="1"/>
  <c r="AI12" i="71" a="1"/>
  <c r="AI12" i="71" s="1"/>
  <c r="R12" i="71" a="1"/>
  <c r="R12" i="71" s="1"/>
  <c r="W12" i="71" a="1"/>
  <c r="W12" i="71" s="1"/>
  <c r="Z12" i="71" a="1"/>
  <c r="Z12" i="71" s="1"/>
  <c r="AC12" i="71" a="1"/>
  <c r="AC12" i="71" s="1"/>
  <c r="S12" i="71" a="1"/>
  <c r="S12" i="71" s="1"/>
  <c r="U8" i="86" l="1" a="1"/>
  <c r="U8" i="86" s="1"/>
  <c r="Z5" i="85" a="1"/>
  <c r="Z5" i="85" s="1"/>
  <c r="AE6" i="85" a="1"/>
  <c r="AE6" i="85" s="1"/>
  <c r="AB8" i="85" a="1"/>
  <c r="AB8" i="85" s="1"/>
  <c r="S2" i="86" a="1"/>
  <c r="S2" i="86" s="1"/>
  <c r="Q2" i="86" a="1"/>
  <c r="Q2" i="86" s="1"/>
  <c r="Y9" i="86" a="1"/>
  <c r="Y9" i="86" s="1"/>
  <c r="T2" i="86" a="1"/>
  <c r="T2" i="86" s="1"/>
  <c r="V2" i="86" a="1"/>
  <c r="V2" i="86" s="1"/>
  <c r="AB2" i="86" a="1"/>
  <c r="AB2" i="86" s="1"/>
  <c r="S2" i="82" a="1"/>
  <c r="S2" i="82" s="1"/>
  <c r="AB9" i="86" a="1"/>
  <c r="AB9" i="86" s="1"/>
  <c r="AG11" i="84" a="1"/>
  <c r="AG11" i="84" s="1"/>
  <c r="Q8" i="85" a="1"/>
  <c r="Q8" i="85" s="1"/>
  <c r="AH10" i="86" a="1"/>
  <c r="AH10" i="86" s="1"/>
  <c r="X9" i="84" a="1"/>
  <c r="X9" i="84" s="1"/>
  <c r="Q9" i="86" a="1"/>
  <c r="Q9" i="86" s="1"/>
  <c r="T9" i="86" a="1"/>
  <c r="T9" i="86" s="1"/>
  <c r="Y2" i="86" a="1"/>
  <c r="Y2" i="86" s="1"/>
  <c r="AE2" i="86" a="1"/>
  <c r="AE2" i="86" s="1"/>
  <c r="T11" i="84" a="1"/>
  <c r="T11" i="84" s="1"/>
  <c r="X10" i="82" a="1"/>
  <c r="X10" i="82" s="1"/>
  <c r="AH3" i="84" a="1"/>
  <c r="AH3" i="84" s="1"/>
  <c r="Q11" i="84" a="1"/>
  <c r="Q11" i="84" s="1"/>
  <c r="R11" i="84" a="1"/>
  <c r="R11" i="84" s="1"/>
  <c r="AE3" i="86" a="1"/>
  <c r="AE3" i="86" s="1"/>
  <c r="AG8" i="85" a="1"/>
  <c r="AG8" i="85" s="1"/>
  <c r="AH2" i="86" a="1"/>
  <c r="AH2" i="86" s="1"/>
  <c r="AJ7" i="84" a="1"/>
  <c r="AJ7" i="84" s="1"/>
  <c r="AJ5" i="86" a="1"/>
  <c r="AJ5" i="86" s="1"/>
  <c r="AG4" i="86" a="1"/>
  <c r="AG4" i="86" s="1"/>
  <c r="AJ9" i="86" a="1"/>
  <c r="AJ9" i="86" s="1"/>
  <c r="Y7" i="85" a="1"/>
  <c r="Y7" i="85" s="1"/>
  <c r="Y5" i="85" a="1"/>
  <c r="Y5" i="85" s="1"/>
  <c r="R2" i="86" a="1"/>
  <c r="R2" i="86" s="1"/>
  <c r="Z2" i="86" a="1"/>
  <c r="Z2" i="86" s="1"/>
  <c r="AH9" i="86" a="1"/>
  <c r="AH9" i="86" s="1"/>
  <c r="AI7" i="85" a="1"/>
  <c r="AI7" i="85" s="1"/>
  <c r="V4" i="86" a="1"/>
  <c r="V4" i="86" s="1"/>
  <c r="AE4" i="85" a="1"/>
  <c r="AE4" i="85" s="1"/>
  <c r="AE7" i="86" a="1"/>
  <c r="AE7" i="86" s="1"/>
  <c r="AF8" i="86" a="1"/>
  <c r="AF8" i="86" s="1"/>
  <c r="AA3" i="84" a="1"/>
  <c r="AA3" i="84" s="1"/>
  <c r="AD6" i="86" a="1"/>
  <c r="AD6" i="86" s="1"/>
  <c r="AJ5" i="85" a="1"/>
  <c r="AJ5" i="85" s="1"/>
  <c r="AE9" i="85" a="1"/>
  <c r="AE9" i="85" s="1"/>
  <c r="AD10" i="84" a="1"/>
  <c r="AD10" i="84" s="1"/>
  <c r="R3" i="86" a="1"/>
  <c r="R3" i="86" s="1"/>
  <c r="AF11" i="85" a="1"/>
  <c r="AF11" i="85" s="1"/>
  <c r="AG3" i="86" a="1"/>
  <c r="AG3" i="86" s="1"/>
  <c r="R6" i="82" a="1"/>
  <c r="R6" i="82" s="1"/>
  <c r="AE2" i="81" a="1"/>
  <c r="AE2" i="81" s="1"/>
  <c r="AC8" i="81" a="1"/>
  <c r="AC8" i="81" s="1"/>
  <c r="AC3" i="83" a="1"/>
  <c r="AC3" i="83" s="1"/>
  <c r="AI11" i="83" a="1"/>
  <c r="AI11" i="83" s="1"/>
  <c r="X8" i="83" a="1"/>
  <c r="X8" i="83" s="1"/>
  <c r="Y9" i="83" a="1"/>
  <c r="Y9" i="83" s="1"/>
  <c r="AF2" i="86" a="1"/>
  <c r="AF2" i="86" s="1"/>
  <c r="AG2" i="86" a="1"/>
  <c r="AG2" i="86" s="1"/>
  <c r="AJ2" i="86" a="1"/>
  <c r="AJ2" i="86" s="1"/>
  <c r="Z10" i="86" a="1"/>
  <c r="Z10" i="86" s="1"/>
  <c r="AD4" i="86" a="1"/>
  <c r="AD4" i="86" s="1"/>
  <c r="AG9" i="86" a="1"/>
  <c r="AG9" i="86" s="1"/>
  <c r="R7" i="86" a="1"/>
  <c r="R7" i="86" s="1"/>
  <c r="AE8" i="86" a="1"/>
  <c r="AE8" i="86" s="1"/>
  <c r="AE11" i="86" a="1"/>
  <c r="AE11" i="86" s="1"/>
  <c r="Q3" i="84" a="1"/>
  <c r="Q3" i="84" s="1"/>
  <c r="R3" i="84" a="1"/>
  <c r="R3" i="84" s="1"/>
  <c r="Z3" i="86" a="1"/>
  <c r="Z3" i="86" s="1"/>
  <c r="Q3" i="86" a="1"/>
  <c r="Q3" i="86" s="1"/>
  <c r="Q11" i="85" a="1"/>
  <c r="Q11" i="85" s="1"/>
  <c r="R11" i="85" a="1"/>
  <c r="R11" i="85" s="1"/>
  <c r="V8" i="84" a="1"/>
  <c r="V8" i="84" s="1"/>
  <c r="W2" i="86" a="1"/>
  <c r="W2" i="86" s="1"/>
  <c r="AF5" i="86" a="1"/>
  <c r="AF5" i="86" s="1"/>
  <c r="AF2" i="84" a="1"/>
  <c r="AF2" i="84" s="1"/>
  <c r="AI4" i="86" a="1"/>
  <c r="AI4" i="86" s="1"/>
  <c r="AF9" i="86" a="1"/>
  <c r="AF9" i="86" s="1"/>
  <c r="AG7" i="86" a="1"/>
  <c r="AG7" i="86" s="1"/>
  <c r="AH8" i="86" a="1"/>
  <c r="AH8" i="86" s="1"/>
  <c r="AI11" i="86" a="1"/>
  <c r="AI11" i="86" s="1"/>
  <c r="Z7" i="85" a="1"/>
  <c r="Z7" i="85" s="1"/>
  <c r="AG3" i="84" a="1"/>
  <c r="AG3" i="84" s="1"/>
  <c r="W6" i="86" a="1"/>
  <c r="W6" i="86" s="1"/>
  <c r="AH3" i="86" a="1"/>
  <c r="AH3" i="86" s="1"/>
  <c r="Y3" i="86" a="1"/>
  <c r="Y3" i="86" s="1"/>
  <c r="Y11" i="85" a="1"/>
  <c r="Y11" i="85" s="1"/>
  <c r="U8" i="84" a="1"/>
  <c r="U8" i="84" s="1"/>
  <c r="AE10" i="86" a="1"/>
  <c r="AE10" i="86" s="1"/>
  <c r="W10" i="86" a="1"/>
  <c r="W10" i="86" s="1"/>
  <c r="AF10" i="86" a="1"/>
  <c r="AF10" i="86" s="1"/>
  <c r="X10" i="86" a="1"/>
  <c r="X10" i="86" s="1"/>
  <c r="T10" i="86" a="1"/>
  <c r="T10" i="86" s="1"/>
  <c r="AG10" i="86" a="1"/>
  <c r="AG10" i="86" s="1"/>
  <c r="Q10" i="86" a="1"/>
  <c r="Q10" i="86" s="1"/>
  <c r="AC10" i="86" a="1"/>
  <c r="AC10" i="86" s="1"/>
  <c r="U10" i="86" a="1"/>
  <c r="U10" i="86" s="1"/>
  <c r="AD10" i="86" a="1"/>
  <c r="AD10" i="86" s="1"/>
  <c r="V10" i="86" a="1"/>
  <c r="V10" i="86" s="1"/>
  <c r="R10" i="86" a="1"/>
  <c r="R10" i="86" s="1"/>
  <c r="Y10" i="86" a="1"/>
  <c r="Y10" i="86" s="1"/>
  <c r="AI10" i="86" a="1"/>
  <c r="AI10" i="86" s="1"/>
  <c r="AA10" i="86" a="1"/>
  <c r="AA10" i="86" s="1"/>
  <c r="S10" i="86" a="1"/>
  <c r="S10" i="86" s="1"/>
  <c r="AJ10" i="86" a="1"/>
  <c r="AJ10" i="86" s="1"/>
  <c r="AB10" i="86" a="1"/>
  <c r="AB10" i="86" s="1"/>
  <c r="AC5" i="86" a="1"/>
  <c r="AC5" i="86" s="1"/>
  <c r="AD5" i="86" a="1"/>
  <c r="AD5" i="86" s="1"/>
  <c r="U4" i="86" a="1"/>
  <c r="U4" i="86" s="1"/>
  <c r="T8" i="86" a="1"/>
  <c r="T8" i="86" s="1"/>
  <c r="V11" i="86" a="1"/>
  <c r="V11" i="86" s="1"/>
  <c r="AC11" i="86" a="1"/>
  <c r="AC11" i="86" s="1"/>
  <c r="AE6" i="86" a="1"/>
  <c r="AE6" i="86" s="1"/>
  <c r="X6" i="86" a="1"/>
  <c r="X6" i="86" s="1"/>
  <c r="AI8" i="85" a="1"/>
  <c r="AI8" i="85" s="1"/>
  <c r="AJ8" i="85" a="1"/>
  <c r="AJ8" i="85" s="1"/>
  <c r="U2" i="86" a="1"/>
  <c r="U2" i="86" s="1"/>
  <c r="AA2" i="86" a="1"/>
  <c r="AA2" i="86" s="1"/>
  <c r="AI2" i="86" a="1"/>
  <c r="AI2" i="86" s="1"/>
  <c r="AD2" i="86" a="1"/>
  <c r="AD2" i="86" s="1"/>
  <c r="W5" i="86" a="1"/>
  <c r="W5" i="86" s="1"/>
  <c r="AE5" i="86" a="1"/>
  <c r="AE5" i="86" s="1"/>
  <c r="X5" i="86" a="1"/>
  <c r="X5" i="86" s="1"/>
  <c r="X4" i="86" a="1"/>
  <c r="X4" i="86" s="1"/>
  <c r="AF4" i="86" a="1"/>
  <c r="AF4" i="86" s="1"/>
  <c r="W4" i="86" a="1"/>
  <c r="W4" i="86" s="1"/>
  <c r="AE4" i="86" a="1"/>
  <c r="AE4" i="86" s="1"/>
  <c r="AA4" i="85" a="1"/>
  <c r="AA4" i="85" s="1"/>
  <c r="AF4" i="85" a="1"/>
  <c r="AF4" i="85" s="1"/>
  <c r="AB4" i="85" a="1"/>
  <c r="AB4" i="85" s="1"/>
  <c r="S9" i="86" a="1"/>
  <c r="S9" i="86" s="1"/>
  <c r="AA9" i="86" a="1"/>
  <c r="AA9" i="86" s="1"/>
  <c r="AI9" i="86" a="1"/>
  <c r="AI9" i="86" s="1"/>
  <c r="V9" i="86" a="1"/>
  <c r="V9" i="86" s="1"/>
  <c r="AD9" i="86" a="1"/>
  <c r="AD9" i="86" s="1"/>
  <c r="T7" i="86" a="1"/>
  <c r="T7" i="86" s="1"/>
  <c r="Z7" i="86" a="1"/>
  <c r="Z7" i="86" s="1"/>
  <c r="AJ7" i="86" a="1"/>
  <c r="AJ7" i="86" s="1"/>
  <c r="AA7" i="86" a="1"/>
  <c r="AA7" i="86" s="1"/>
  <c r="AI7" i="86" a="1"/>
  <c r="AI7" i="86" s="1"/>
  <c r="S8" i="86" a="1"/>
  <c r="S8" i="86" s="1"/>
  <c r="AC8" i="86" a="1"/>
  <c r="AC8" i="86" s="1"/>
  <c r="Q8" i="86" a="1"/>
  <c r="Q8" i="86" s="1"/>
  <c r="V8" i="86" a="1"/>
  <c r="V8" i="86" s="1"/>
  <c r="AD8" i="86" a="1"/>
  <c r="AD8" i="86" s="1"/>
  <c r="X11" i="86" a="1"/>
  <c r="X11" i="86" s="1"/>
  <c r="AF11" i="86" a="1"/>
  <c r="AF11" i="86" s="1"/>
  <c r="W11" i="86" a="1"/>
  <c r="W11" i="86" s="1"/>
  <c r="AE7" i="85" a="1"/>
  <c r="AE7" i="85" s="1"/>
  <c r="AB7" i="85" a="1"/>
  <c r="AB7" i="85" s="1"/>
  <c r="AA7" i="85" a="1"/>
  <c r="AA7" i="85" s="1"/>
  <c r="Q6" i="86" a="1"/>
  <c r="Q6" i="86" s="1"/>
  <c r="Y6" i="86" a="1"/>
  <c r="Y6" i="86" s="1"/>
  <c r="AG6" i="86" a="1"/>
  <c r="AG6" i="86" s="1"/>
  <c r="R6" i="86" a="1"/>
  <c r="R6" i="86" s="1"/>
  <c r="Z6" i="86" a="1"/>
  <c r="Z6" i="86" s="1"/>
  <c r="AH6" i="86" a="1"/>
  <c r="AH6" i="86" s="1"/>
  <c r="AE5" i="85" a="1"/>
  <c r="AE5" i="85" s="1"/>
  <c r="AA5" i="85" a="1"/>
  <c r="AA5" i="85" s="1"/>
  <c r="AF5" i="85" a="1"/>
  <c r="AF5" i="85" s="1"/>
  <c r="AB5" i="85" a="1"/>
  <c r="AB5" i="85" s="1"/>
  <c r="R9" i="85" a="1"/>
  <c r="R9" i="85" s="1"/>
  <c r="T3" i="86" a="1"/>
  <c r="T3" i="86" s="1"/>
  <c r="AB3" i="86" a="1"/>
  <c r="AB3" i="86" s="1"/>
  <c r="AJ3" i="86" a="1"/>
  <c r="AJ3" i="86" s="1"/>
  <c r="S3" i="86" a="1"/>
  <c r="S3" i="86" s="1"/>
  <c r="AA3" i="86" a="1"/>
  <c r="AA3" i="86" s="1"/>
  <c r="AI3" i="86" a="1"/>
  <c r="AI3" i="86" s="1"/>
  <c r="AG11" i="85" a="1"/>
  <c r="AG11" i="85" s="1"/>
  <c r="Z11" i="85" a="1"/>
  <c r="Z11" i="85" s="1"/>
  <c r="R6" i="85" a="1"/>
  <c r="R6" i="85" s="1"/>
  <c r="U5" i="86" a="1"/>
  <c r="U5" i="86" s="1"/>
  <c r="V5" i="86" a="1"/>
  <c r="V5" i="86" s="1"/>
  <c r="Z4" i="85" a="1"/>
  <c r="Z4" i="85" s="1"/>
  <c r="AJ8" i="86" a="1"/>
  <c r="AJ8" i="86" s="1"/>
  <c r="AD11" i="86" a="1"/>
  <c r="AD11" i="86" s="1"/>
  <c r="U11" i="86" a="1"/>
  <c r="U11" i="86" s="1"/>
  <c r="AF6" i="86" a="1"/>
  <c r="AF6" i="86" s="1"/>
  <c r="AG9" i="85" a="1"/>
  <c r="AG9" i="85" s="1"/>
  <c r="AG6" i="85" a="1"/>
  <c r="AG6" i="85" s="1"/>
  <c r="V8" i="85" a="1"/>
  <c r="V8" i="85" s="1"/>
  <c r="AC2" i="86" a="1"/>
  <c r="AC2" i="86" s="1"/>
  <c r="X2" i="86" a="1"/>
  <c r="X2" i="86" s="1"/>
  <c r="Q5" i="86" a="1"/>
  <c r="Q5" i="86" s="1"/>
  <c r="Y5" i="86" a="1"/>
  <c r="Y5" i="86" s="1"/>
  <c r="AG5" i="86" a="1"/>
  <c r="AG5" i="86" s="1"/>
  <c r="R5" i="86" a="1"/>
  <c r="R5" i="86" s="1"/>
  <c r="Z5" i="86" a="1"/>
  <c r="Z5" i="86" s="1"/>
  <c r="AH5" i="86" a="1"/>
  <c r="AH5" i="86" s="1"/>
  <c r="AE10" i="85" a="1"/>
  <c r="AE10" i="85" s="1"/>
  <c r="R4" i="86" a="1"/>
  <c r="R4" i="86" s="1"/>
  <c r="Z4" i="86" a="1"/>
  <c r="Z4" i="86" s="1"/>
  <c r="AH4" i="86" a="1"/>
  <c r="AH4" i="86" s="1"/>
  <c r="Q4" i="86" a="1"/>
  <c r="Q4" i="86" s="1"/>
  <c r="Y4" i="86" a="1"/>
  <c r="Y4" i="86" s="1"/>
  <c r="Q4" i="85" a="1"/>
  <c r="Q4" i="85" s="1"/>
  <c r="AG4" i="85" a="1"/>
  <c r="AG4" i="85" s="1"/>
  <c r="R4" i="85" a="1"/>
  <c r="R4" i="85" s="1"/>
  <c r="AH4" i="85" a="1"/>
  <c r="AH4" i="85" s="1"/>
  <c r="AC9" i="84" a="1"/>
  <c r="AC9" i="84" s="1"/>
  <c r="U9" i="86" a="1"/>
  <c r="U9" i="86" s="1"/>
  <c r="AC9" i="86" a="1"/>
  <c r="AC9" i="86" s="1"/>
  <c r="X9" i="86" a="1"/>
  <c r="X9" i="86" s="1"/>
  <c r="X7" i="86" a="1"/>
  <c r="X7" i="86" s="1"/>
  <c r="Q7" i="86" a="1"/>
  <c r="Q7" i="86" s="1"/>
  <c r="AD7" i="86" a="1"/>
  <c r="AD7" i="86" s="1"/>
  <c r="U7" i="86" a="1"/>
  <c r="U7" i="86" s="1"/>
  <c r="AC7" i="86" a="1"/>
  <c r="AC7" i="86" s="1"/>
  <c r="AA8" i="86" a="1"/>
  <c r="AA8" i="86" s="1"/>
  <c r="Y8" i="86" a="1"/>
  <c r="Y8" i="86" s="1"/>
  <c r="X8" i="86" a="1"/>
  <c r="X8" i="86" s="1"/>
  <c r="R11" i="86" a="1"/>
  <c r="R11" i="86" s="1"/>
  <c r="Z11" i="86" a="1"/>
  <c r="Z11" i="86" s="1"/>
  <c r="AH11" i="86" a="1"/>
  <c r="AH11" i="86" s="1"/>
  <c r="Q11" i="86" a="1"/>
  <c r="Q11" i="86" s="1"/>
  <c r="Y11" i="86" a="1"/>
  <c r="Y11" i="86" s="1"/>
  <c r="AG11" i="86" a="1"/>
  <c r="AG11" i="86" s="1"/>
  <c r="R7" i="85" a="1"/>
  <c r="R7" i="85" s="1"/>
  <c r="AH7" i="85" a="1"/>
  <c r="AH7" i="85" s="1"/>
  <c r="Q7" i="85" a="1"/>
  <c r="Q7" i="85" s="1"/>
  <c r="AG7" i="85" a="1"/>
  <c r="AG7" i="85" s="1"/>
  <c r="Z3" i="84" a="1"/>
  <c r="Z3" i="84" s="1"/>
  <c r="S6" i="86" a="1"/>
  <c r="S6" i="86" s="1"/>
  <c r="AA6" i="86" a="1"/>
  <c r="AA6" i="86" s="1"/>
  <c r="AI6" i="86" a="1"/>
  <c r="AI6" i="86" s="1"/>
  <c r="T6" i="86" a="1"/>
  <c r="T6" i="86" s="1"/>
  <c r="AB6" i="86" a="1"/>
  <c r="AB6" i="86" s="1"/>
  <c r="AJ6" i="86" a="1"/>
  <c r="AJ6" i="86" s="1"/>
  <c r="Q5" i="85" a="1"/>
  <c r="Q5" i="85" s="1"/>
  <c r="AG5" i="85" a="1"/>
  <c r="AG5" i="85" s="1"/>
  <c r="R5" i="85" a="1"/>
  <c r="R5" i="85" s="1"/>
  <c r="AH5" i="85" a="1"/>
  <c r="AH5" i="85" s="1"/>
  <c r="AH11" i="84" a="1"/>
  <c r="AH11" i="84" s="1"/>
  <c r="Z9" i="85" a="1"/>
  <c r="Z9" i="85" s="1"/>
  <c r="Q9" i="85" a="1"/>
  <c r="Q9" i="85" s="1"/>
  <c r="V10" i="84" a="1"/>
  <c r="V10" i="84" s="1"/>
  <c r="V3" i="86" a="1"/>
  <c r="V3" i="86" s="1"/>
  <c r="AD3" i="86" a="1"/>
  <c r="AD3" i="86" s="1"/>
  <c r="U3" i="86" a="1"/>
  <c r="U3" i="86" s="1"/>
  <c r="AC3" i="86" a="1"/>
  <c r="AC3" i="86" s="1"/>
  <c r="AE11" i="85" a="1"/>
  <c r="AE11" i="85" s="1"/>
  <c r="AH11" i="85" a="1"/>
  <c r="AH11" i="85" s="1"/>
  <c r="Z6" i="85" a="1"/>
  <c r="Z6" i="85" s="1"/>
  <c r="Q6" i="85" a="1"/>
  <c r="Q6" i="85" s="1"/>
  <c r="Y4" i="84" a="1"/>
  <c r="Y4" i="84" s="1"/>
  <c r="AC4" i="86" a="1"/>
  <c r="AC4" i="86" s="1"/>
  <c r="Y4" i="85" a="1"/>
  <c r="Y4" i="85" s="1"/>
  <c r="V7" i="86" a="1"/>
  <c r="V7" i="86" s="1"/>
  <c r="AH7" i="86" a="1"/>
  <c r="AH7" i="86" s="1"/>
  <c r="Y7" i="86" a="1"/>
  <c r="Y7" i="86" s="1"/>
  <c r="AB8" i="86" a="1"/>
  <c r="AB8" i="86" s="1"/>
  <c r="AA8" i="85" a="1"/>
  <c r="AA8" i="85" s="1"/>
  <c r="AC8" i="84" a="1"/>
  <c r="AC8" i="84" s="1"/>
  <c r="S5" i="86" a="1"/>
  <c r="S5" i="86" s="1"/>
  <c r="AA5" i="86" a="1"/>
  <c r="AA5" i="86" s="1"/>
  <c r="AI5" i="86" a="1"/>
  <c r="AI5" i="86" s="1"/>
  <c r="T5" i="86" a="1"/>
  <c r="T5" i="86" s="1"/>
  <c r="AB5" i="86" a="1"/>
  <c r="AB5" i="86" s="1"/>
  <c r="AC2" i="84" a="1"/>
  <c r="AC2" i="84" s="1"/>
  <c r="T4" i="86" a="1"/>
  <c r="T4" i="86" s="1"/>
  <c r="AB4" i="86" a="1"/>
  <c r="AB4" i="86" s="1"/>
  <c r="AJ4" i="86" a="1"/>
  <c r="AJ4" i="86" s="1"/>
  <c r="S4" i="86" a="1"/>
  <c r="S4" i="86" s="1"/>
  <c r="AA4" i="86" a="1"/>
  <c r="AA4" i="86" s="1"/>
  <c r="S4" i="85" a="1"/>
  <c r="S4" i="85" s="1"/>
  <c r="AI4" i="85" a="1"/>
  <c r="AI4" i="85" s="1"/>
  <c r="T4" i="85" a="1"/>
  <c r="T4" i="85" s="1"/>
  <c r="AJ4" i="85" a="1"/>
  <c r="AJ4" i="85" s="1"/>
  <c r="AI2" i="85" a="1"/>
  <c r="AI2" i="85" s="1"/>
  <c r="W9" i="86" a="1"/>
  <c r="W9" i="86" s="1"/>
  <c r="AE9" i="86" a="1"/>
  <c r="AE9" i="86" s="1"/>
  <c r="R9" i="86" a="1"/>
  <c r="R9" i="86" s="1"/>
  <c r="Z9" i="86" a="1"/>
  <c r="Z9" i="86" s="1"/>
  <c r="AC5" i="84" a="1"/>
  <c r="AC5" i="84" s="1"/>
  <c r="AB7" i="86" a="1"/>
  <c r="AB7" i="86" s="1"/>
  <c r="S7" i="86" a="1"/>
  <c r="S7" i="86" s="1"/>
  <c r="AF7" i="86" a="1"/>
  <c r="AF7" i="86" s="1"/>
  <c r="W7" i="86" a="1"/>
  <c r="W7" i="86" s="1"/>
  <c r="AI8" i="86" a="1"/>
  <c r="AI8" i="86" s="1"/>
  <c r="W8" i="86" a="1"/>
  <c r="W8" i="86" s="1"/>
  <c r="AG8" i="86" a="1"/>
  <c r="AG8" i="86" s="1"/>
  <c r="R8" i="86" a="1"/>
  <c r="R8" i="86" s="1"/>
  <c r="Z8" i="86" a="1"/>
  <c r="Z8" i="86" s="1"/>
  <c r="T11" i="86" a="1"/>
  <c r="T11" i="86" s="1"/>
  <c r="AB11" i="86" a="1"/>
  <c r="AB11" i="86" s="1"/>
  <c r="AJ11" i="86" a="1"/>
  <c r="AJ11" i="86" s="1"/>
  <c r="S11" i="86" a="1"/>
  <c r="S11" i="86" s="1"/>
  <c r="AA11" i="86" a="1"/>
  <c r="AA11" i="86" s="1"/>
  <c r="T7" i="85" a="1"/>
  <c r="T7" i="85" s="1"/>
  <c r="AJ7" i="85" a="1"/>
  <c r="AJ7" i="85" s="1"/>
  <c r="S7" i="85" a="1"/>
  <c r="S7" i="85" s="1"/>
  <c r="U6" i="86" a="1"/>
  <c r="U6" i="86" s="1"/>
  <c r="AC6" i="86" a="1"/>
  <c r="AC6" i="86" s="1"/>
  <c r="V6" i="86" a="1"/>
  <c r="V6" i="86" s="1"/>
  <c r="S5" i="85" a="1"/>
  <c r="S5" i="85" s="1"/>
  <c r="AI5" i="85" a="1"/>
  <c r="AI5" i="85" s="1"/>
  <c r="T5" i="85" a="1"/>
  <c r="T5" i="85" s="1"/>
  <c r="AC3" i="85" a="1"/>
  <c r="AC3" i="85" s="1"/>
  <c r="AH9" i="85" a="1"/>
  <c r="AH9" i="85" s="1"/>
  <c r="Y9" i="85" a="1"/>
  <c r="Y9" i="85" s="1"/>
  <c r="X3" i="86" a="1"/>
  <c r="X3" i="86" s="1"/>
  <c r="AF3" i="86" a="1"/>
  <c r="AF3" i="86" s="1"/>
  <c r="W3" i="86" a="1"/>
  <c r="W3" i="86" s="1"/>
  <c r="AH6" i="85" a="1"/>
  <c r="AH6" i="85" s="1"/>
  <c r="Y6" i="85" a="1"/>
  <c r="Y6" i="85" s="1"/>
  <c r="AH10" i="85" a="1"/>
  <c r="AH10" i="85" s="1"/>
  <c r="AG10" i="85" a="1"/>
  <c r="AG10" i="85" s="1"/>
  <c r="X2" i="85" a="1"/>
  <c r="X2" i="85" s="1"/>
  <c r="AF3" i="85" a="1"/>
  <c r="AF3" i="85" s="1"/>
  <c r="W3" i="85" a="1"/>
  <c r="W3" i="85" s="1"/>
  <c r="AH4" i="83" a="1"/>
  <c r="AH4" i="83" s="1"/>
  <c r="T8" i="85" a="1"/>
  <c r="T8" i="85" s="1"/>
  <c r="AE8" i="85" a="1"/>
  <c r="AE8" i="85" s="1"/>
  <c r="AF8" i="85" a="1"/>
  <c r="AF8" i="85" s="1"/>
  <c r="Y8" i="85" a="1"/>
  <c r="Y8" i="85" s="1"/>
  <c r="AH8" i="85" a="1"/>
  <c r="AH8" i="85" s="1"/>
  <c r="AE8" i="84" a="1"/>
  <c r="AE8" i="84" s="1"/>
  <c r="V7" i="84" a="1"/>
  <c r="V7" i="84" s="1"/>
  <c r="T2" i="84" a="1"/>
  <c r="T2" i="84" s="1"/>
  <c r="T10" i="85" a="1"/>
  <c r="T10" i="85" s="1"/>
  <c r="AB10" i="85" a="1"/>
  <c r="AB10" i="85" s="1"/>
  <c r="AJ10" i="85" a="1"/>
  <c r="AJ10" i="85" s="1"/>
  <c r="S10" i="85" a="1"/>
  <c r="S10" i="85" s="1"/>
  <c r="AA10" i="85" a="1"/>
  <c r="AA10" i="85" s="1"/>
  <c r="AI10" i="85" a="1"/>
  <c r="AI10" i="85" s="1"/>
  <c r="U4" i="85" a="1"/>
  <c r="U4" i="85" s="1"/>
  <c r="AC4" i="85" a="1"/>
  <c r="AC4" i="85" s="1"/>
  <c r="V4" i="85" a="1"/>
  <c r="V4" i="85" s="1"/>
  <c r="AD4" i="85" a="1"/>
  <c r="AD4" i="85" s="1"/>
  <c r="R2" i="85" a="1"/>
  <c r="R2" i="85" s="1"/>
  <c r="Z2" i="85" a="1"/>
  <c r="Z2" i="85" s="1"/>
  <c r="AH2" i="85" a="1"/>
  <c r="AH2" i="85" s="1"/>
  <c r="W2" i="85" a="1"/>
  <c r="W2" i="85" s="1"/>
  <c r="AE2" i="85" a="1"/>
  <c r="AE2" i="85" s="1"/>
  <c r="V7" i="85" a="1"/>
  <c r="V7" i="85" s="1"/>
  <c r="AD7" i="85" a="1"/>
  <c r="AD7" i="85" s="1"/>
  <c r="U7" i="85" a="1"/>
  <c r="U7" i="85" s="1"/>
  <c r="AC7" i="85" a="1"/>
  <c r="AC7" i="85" s="1"/>
  <c r="S3" i="84" a="1"/>
  <c r="S3" i="84" s="1"/>
  <c r="AI3" i="84" a="1"/>
  <c r="AI3" i="84" s="1"/>
  <c r="T3" i="84" a="1"/>
  <c r="T3" i="84" s="1"/>
  <c r="AJ3" i="84" a="1"/>
  <c r="AJ3" i="84" s="1"/>
  <c r="U5" i="85" a="1"/>
  <c r="U5" i="85" s="1"/>
  <c r="AC5" i="85" a="1"/>
  <c r="AC5" i="85" s="1"/>
  <c r="V5" i="85" a="1"/>
  <c r="V5" i="85" s="1"/>
  <c r="AD5" i="85" a="1"/>
  <c r="AD5" i="85" s="1"/>
  <c r="R3" i="85" a="1"/>
  <c r="R3" i="85" s="1"/>
  <c r="Z3" i="85" a="1"/>
  <c r="Z3" i="85" s="1"/>
  <c r="AH3" i="85" a="1"/>
  <c r="AH3" i="85" s="1"/>
  <c r="Q3" i="85" a="1"/>
  <c r="Q3" i="85" s="1"/>
  <c r="Y3" i="85" a="1"/>
  <c r="Y3" i="85" s="1"/>
  <c r="AG3" i="85" a="1"/>
  <c r="AG3" i="85" s="1"/>
  <c r="S11" i="84" a="1"/>
  <c r="S11" i="84" s="1"/>
  <c r="AI11" i="84" a="1"/>
  <c r="AI11" i="84" s="1"/>
  <c r="Z11" i="84" a="1"/>
  <c r="Z11" i="84" s="1"/>
  <c r="T9" i="85" a="1"/>
  <c r="T9" i="85" s="1"/>
  <c r="AB9" i="85" a="1"/>
  <c r="AB9" i="85" s="1"/>
  <c r="AJ9" i="85" a="1"/>
  <c r="AJ9" i="85" s="1"/>
  <c r="S9" i="85" a="1"/>
  <c r="S9" i="85" s="1"/>
  <c r="AA9" i="85" a="1"/>
  <c r="AA9" i="85" s="1"/>
  <c r="AI9" i="85" a="1"/>
  <c r="AI9" i="85" s="1"/>
  <c r="U10" i="84" a="1"/>
  <c r="U10" i="84" s="1"/>
  <c r="S11" i="85" a="1"/>
  <c r="S11" i="85" s="1"/>
  <c r="AA11" i="85" a="1"/>
  <c r="AA11" i="85" s="1"/>
  <c r="AI11" i="85" a="1"/>
  <c r="AI11" i="85" s="1"/>
  <c r="T11" i="85" a="1"/>
  <c r="T11" i="85" s="1"/>
  <c r="AB11" i="85" a="1"/>
  <c r="AB11" i="85" s="1"/>
  <c r="AJ11" i="85" a="1"/>
  <c r="AJ11" i="85" s="1"/>
  <c r="T6" i="85" a="1"/>
  <c r="T6" i="85" s="1"/>
  <c r="AB6" i="85" a="1"/>
  <c r="AB6" i="85" s="1"/>
  <c r="AJ6" i="85" a="1"/>
  <c r="AJ6" i="85" s="1"/>
  <c r="S6" i="85" a="1"/>
  <c r="S6" i="85" s="1"/>
  <c r="AA6" i="85" a="1"/>
  <c r="AA6" i="85" s="1"/>
  <c r="AI6" i="85" a="1"/>
  <c r="AI6" i="85" s="1"/>
  <c r="AF4" i="84" a="1"/>
  <c r="AF4" i="84" s="1"/>
  <c r="Z10" i="85" a="1"/>
  <c r="Z10" i="85" s="1"/>
  <c r="Y10" i="85" a="1"/>
  <c r="Y10" i="85" s="1"/>
  <c r="AF2" i="85" a="1"/>
  <c r="AF2" i="85" s="1"/>
  <c r="U2" i="85" a="1"/>
  <c r="U2" i="85" s="1"/>
  <c r="AC2" i="85" a="1"/>
  <c r="AC2" i="85" s="1"/>
  <c r="X3" i="85" a="1"/>
  <c r="X3" i="85" s="1"/>
  <c r="AE3" i="85" a="1"/>
  <c r="AE3" i="85" s="1"/>
  <c r="T2" i="83" a="1"/>
  <c r="T2" i="83" s="1"/>
  <c r="Z8" i="85" a="1"/>
  <c r="Z8" i="85" s="1"/>
  <c r="R8" i="85" a="1"/>
  <c r="R8" i="85" s="1"/>
  <c r="U8" i="85" a="1"/>
  <c r="U8" i="85" s="1"/>
  <c r="AC8" i="85" a="1"/>
  <c r="AC8" i="85" s="1"/>
  <c r="AD8" i="84" a="1"/>
  <c r="AD8" i="84" s="1"/>
  <c r="W2" i="84" a="1"/>
  <c r="W2" i="84" s="1"/>
  <c r="AI2" i="84" a="1"/>
  <c r="AI2" i="84" s="1"/>
  <c r="S2" i="84" a="1"/>
  <c r="S2" i="84" s="1"/>
  <c r="V10" i="85" a="1"/>
  <c r="V10" i="85" s="1"/>
  <c r="AD10" i="85" a="1"/>
  <c r="AD10" i="85" s="1"/>
  <c r="U10" i="85" a="1"/>
  <c r="U10" i="85" s="1"/>
  <c r="AC10" i="85" a="1"/>
  <c r="AC10" i="85" s="1"/>
  <c r="W4" i="85" a="1"/>
  <c r="W4" i="85" s="1"/>
  <c r="X4" i="85" a="1"/>
  <c r="X4" i="85" s="1"/>
  <c r="T2" i="85" a="1"/>
  <c r="T2" i="85" s="1"/>
  <c r="AB2" i="85" a="1"/>
  <c r="AB2" i="85" s="1"/>
  <c r="AJ2" i="85" a="1"/>
  <c r="AJ2" i="85" s="1"/>
  <c r="Y2" i="85" a="1"/>
  <c r="Y2" i="85" s="1"/>
  <c r="AG2" i="85" a="1"/>
  <c r="AG2" i="85" s="1"/>
  <c r="X7" i="85" a="1"/>
  <c r="X7" i="85" s="1"/>
  <c r="AF7" i="85" a="1"/>
  <c r="AF7" i="85" s="1"/>
  <c r="W7" i="85" a="1"/>
  <c r="W7" i="85" s="1"/>
  <c r="AE3" i="84" a="1"/>
  <c r="AE3" i="84" s="1"/>
  <c r="Y3" i="84" a="1"/>
  <c r="Y3" i="84" s="1"/>
  <c r="W5" i="85" a="1"/>
  <c r="W5" i="85" s="1"/>
  <c r="X5" i="85" a="1"/>
  <c r="X5" i="85" s="1"/>
  <c r="T3" i="85" a="1"/>
  <c r="T3" i="85" s="1"/>
  <c r="AB3" i="85" a="1"/>
  <c r="AB3" i="85" s="1"/>
  <c r="AJ3" i="85" a="1"/>
  <c r="AJ3" i="85" s="1"/>
  <c r="S3" i="85" a="1"/>
  <c r="S3" i="85" s="1"/>
  <c r="AA3" i="85" a="1"/>
  <c r="AA3" i="85" s="1"/>
  <c r="AI3" i="85" a="1"/>
  <c r="AI3" i="85" s="1"/>
  <c r="AE11" i="84" a="1"/>
  <c r="AE11" i="84" s="1"/>
  <c r="Y11" i="84" a="1"/>
  <c r="Y11" i="84" s="1"/>
  <c r="V9" i="85" a="1"/>
  <c r="V9" i="85" s="1"/>
  <c r="AD9" i="85" a="1"/>
  <c r="AD9" i="85" s="1"/>
  <c r="U9" i="85" a="1"/>
  <c r="U9" i="85" s="1"/>
  <c r="AC9" i="85" a="1"/>
  <c r="AC9" i="85" s="1"/>
  <c r="AI10" i="84" a="1"/>
  <c r="AI10" i="84" s="1"/>
  <c r="U11" i="85" a="1"/>
  <c r="U11" i="85" s="1"/>
  <c r="AC11" i="85" a="1"/>
  <c r="AC11" i="85" s="1"/>
  <c r="V11" i="85" a="1"/>
  <c r="V11" i="85" s="1"/>
  <c r="AD11" i="85" a="1"/>
  <c r="AD11" i="85" s="1"/>
  <c r="V6" i="85" a="1"/>
  <c r="V6" i="85" s="1"/>
  <c r="AD6" i="85" a="1"/>
  <c r="AD6" i="85" s="1"/>
  <c r="U6" i="85" a="1"/>
  <c r="U6" i="85" s="1"/>
  <c r="AC6" i="85" a="1"/>
  <c r="AC6" i="85" s="1"/>
  <c r="AE4" i="84" a="1"/>
  <c r="AE4" i="84" s="1"/>
  <c r="Q10" i="85" a="1"/>
  <c r="Q10" i="85" s="1"/>
  <c r="AD8" i="85" a="1"/>
  <c r="AD8" i="85" s="1"/>
  <c r="W8" i="85" a="1"/>
  <c r="W8" i="85" s="1"/>
  <c r="X8" i="85" a="1"/>
  <c r="X8" i="85" s="1"/>
  <c r="S8" i="85" a="1"/>
  <c r="S8" i="85" s="1"/>
  <c r="AJ8" i="84" a="1"/>
  <c r="AJ8" i="84" s="1"/>
  <c r="AD2" i="84" a="1"/>
  <c r="AD2" i="84" s="1"/>
  <c r="R2" i="84" a="1"/>
  <c r="R2" i="84" s="1"/>
  <c r="AG2" i="84" a="1"/>
  <c r="AG2" i="84" s="1"/>
  <c r="R10" i="85" a="1"/>
  <c r="R10" i="85" s="1"/>
  <c r="X10" i="85" a="1"/>
  <c r="X10" i="85" s="1"/>
  <c r="AF10" i="85" a="1"/>
  <c r="AF10" i="85" s="1"/>
  <c r="W10" i="85" a="1"/>
  <c r="W10" i="85" s="1"/>
  <c r="AC6" i="84" a="1"/>
  <c r="AC6" i="84" s="1"/>
  <c r="Q2" i="85" a="1"/>
  <c r="Q2" i="85" s="1"/>
  <c r="V2" i="85" a="1"/>
  <c r="V2" i="85" s="1"/>
  <c r="AD2" i="85" a="1"/>
  <c r="AD2" i="85" s="1"/>
  <c r="S2" i="85" a="1"/>
  <c r="S2" i="85" s="1"/>
  <c r="AA2" i="85" a="1"/>
  <c r="AA2" i="85" s="1"/>
  <c r="AF3" i="84" a="1"/>
  <c r="AF3" i="84" s="1"/>
  <c r="AB3" i="84" a="1"/>
  <c r="AB3" i="84" s="1"/>
  <c r="V3" i="85" a="1"/>
  <c r="V3" i="85" s="1"/>
  <c r="AD3" i="85" a="1"/>
  <c r="AD3" i="85" s="1"/>
  <c r="U3" i="85" a="1"/>
  <c r="U3" i="85" s="1"/>
  <c r="AA11" i="84" a="1"/>
  <c r="AA11" i="84" s="1"/>
  <c r="AF11" i="84" a="1"/>
  <c r="AF11" i="84" s="1"/>
  <c r="X9" i="85" a="1"/>
  <c r="X9" i="85" s="1"/>
  <c r="AF9" i="85" a="1"/>
  <c r="AF9" i="85" s="1"/>
  <c r="W9" i="85" a="1"/>
  <c r="W9" i="85" s="1"/>
  <c r="W11" i="85" a="1"/>
  <c r="W11" i="85" s="1"/>
  <c r="X11" i="85" a="1"/>
  <c r="X11" i="85" s="1"/>
  <c r="X6" i="85" a="1"/>
  <c r="X6" i="85" s="1"/>
  <c r="AF6" i="85" a="1"/>
  <c r="AF6" i="85" s="1"/>
  <c r="W6" i="85" a="1"/>
  <c r="W6" i="85" s="1"/>
  <c r="AC7" i="84" a="1"/>
  <c r="AC7" i="84" s="1"/>
  <c r="AD7" i="84" a="1"/>
  <c r="AD7" i="84" s="1"/>
  <c r="W6" i="84" a="1"/>
  <c r="W6" i="84" s="1"/>
  <c r="W5" i="84" a="1"/>
  <c r="W5" i="84" s="1"/>
  <c r="AC10" i="84" a="1"/>
  <c r="AC10" i="84" s="1"/>
  <c r="R4" i="84" a="1"/>
  <c r="R4" i="84" s="1"/>
  <c r="Y4" i="82" a="1"/>
  <c r="Y4" i="82" s="1"/>
  <c r="AG5" i="82" a="1"/>
  <c r="AG5" i="82" s="1"/>
  <c r="AG6" i="83" a="1"/>
  <c r="AG6" i="83" s="1"/>
  <c r="AH6" i="82" a="1"/>
  <c r="AH6" i="82" s="1"/>
  <c r="Y4" i="83" a="1"/>
  <c r="Y4" i="83" s="1"/>
  <c r="W8" i="84" a="1"/>
  <c r="W8" i="84" s="1"/>
  <c r="X8" i="84" a="1"/>
  <c r="X8" i="84" s="1"/>
  <c r="AF8" i="84" a="1"/>
  <c r="AF8" i="84" s="1"/>
  <c r="W7" i="84" a="1"/>
  <c r="W7" i="84" s="1"/>
  <c r="AE7" i="84" a="1"/>
  <c r="AE7" i="84" s="1"/>
  <c r="X7" i="84" a="1"/>
  <c r="X7" i="84" s="1"/>
  <c r="AF7" i="84" a="1"/>
  <c r="AF7" i="84" s="1"/>
  <c r="AH2" i="84" a="1"/>
  <c r="AH2" i="84" s="1"/>
  <c r="AJ2" i="84" a="1"/>
  <c r="AJ2" i="84" s="1"/>
  <c r="U2" i="84" a="1"/>
  <c r="U2" i="84" s="1"/>
  <c r="R6" i="84" a="1"/>
  <c r="R6" i="84" s="1"/>
  <c r="Z6" i="84" a="1"/>
  <c r="Z6" i="84" s="1"/>
  <c r="AH6" i="84" a="1"/>
  <c r="AH6" i="84" s="1"/>
  <c r="Q6" i="84" a="1"/>
  <c r="Q6" i="84" s="1"/>
  <c r="Y6" i="84" a="1"/>
  <c r="Y6" i="84" s="1"/>
  <c r="AG6" i="84" a="1"/>
  <c r="AG6" i="84" s="1"/>
  <c r="R9" i="84" a="1"/>
  <c r="R9" i="84" s="1"/>
  <c r="Z9" i="84" a="1"/>
  <c r="Z9" i="84" s="1"/>
  <c r="AH9" i="84" a="1"/>
  <c r="AH9" i="84" s="1"/>
  <c r="Q9" i="84" a="1"/>
  <c r="Q9" i="84" s="1"/>
  <c r="Y9" i="84" a="1"/>
  <c r="Y9" i="84" s="1"/>
  <c r="AG9" i="84" a="1"/>
  <c r="AG9" i="84" s="1"/>
  <c r="R5" i="84" a="1"/>
  <c r="R5" i="84" s="1"/>
  <c r="Z5" i="84" a="1"/>
  <c r="Z5" i="84" s="1"/>
  <c r="AH5" i="84" a="1"/>
  <c r="AH5" i="84" s="1"/>
  <c r="Q5" i="84" a="1"/>
  <c r="Q5" i="84" s="1"/>
  <c r="Y5" i="84" a="1"/>
  <c r="Y5" i="84" s="1"/>
  <c r="AG5" i="84" a="1"/>
  <c r="AG5" i="84" s="1"/>
  <c r="AB11" i="84" a="1"/>
  <c r="AB11" i="84" s="1"/>
  <c r="AJ11" i="84" a="1"/>
  <c r="AJ11" i="84" s="1"/>
  <c r="X10" i="84" a="1"/>
  <c r="X10" i="84" s="1"/>
  <c r="AF10" i="84" a="1"/>
  <c r="AF10" i="84" s="1"/>
  <c r="W10" i="84" a="1"/>
  <c r="W10" i="84" s="1"/>
  <c r="AE10" i="84" a="1"/>
  <c r="AE10" i="84" s="1"/>
  <c r="Q4" i="84" a="1"/>
  <c r="Q4" i="84" s="1"/>
  <c r="AA4" i="84" a="1"/>
  <c r="AA4" i="84" s="1"/>
  <c r="AI4" i="84" a="1"/>
  <c r="AI4" i="84" s="1"/>
  <c r="T4" i="84" a="1"/>
  <c r="T4" i="84" s="1"/>
  <c r="AB4" i="84" a="1"/>
  <c r="AB4" i="84" s="1"/>
  <c r="AJ4" i="84" a="1"/>
  <c r="AJ4" i="84" s="1"/>
  <c r="U7" i="84" a="1"/>
  <c r="U7" i="84" s="1"/>
  <c r="AF6" i="84" a="1"/>
  <c r="AF6" i="84" s="1"/>
  <c r="AE6" i="84" a="1"/>
  <c r="AE6" i="84" s="1"/>
  <c r="W9" i="84" a="1"/>
  <c r="W9" i="84" s="1"/>
  <c r="AF5" i="84" a="1"/>
  <c r="AF5" i="84" s="1"/>
  <c r="AE5" i="84" a="1"/>
  <c r="AE5" i="84" s="1"/>
  <c r="Y6" i="82" a="1"/>
  <c r="Y6" i="82" s="1"/>
  <c r="V4" i="83" a="1"/>
  <c r="V4" i="83" s="1"/>
  <c r="AE9" i="83" a="1"/>
  <c r="AE9" i="83" s="1"/>
  <c r="R9" i="83" a="1"/>
  <c r="R9" i="83" s="1"/>
  <c r="Q8" i="84" a="1"/>
  <c r="Q8" i="84" s="1"/>
  <c r="Y8" i="84" a="1"/>
  <c r="Y8" i="84" s="1"/>
  <c r="AG8" i="84" a="1"/>
  <c r="AG8" i="84" s="1"/>
  <c r="R8" i="84" a="1"/>
  <c r="R8" i="84" s="1"/>
  <c r="Z8" i="84" a="1"/>
  <c r="Z8" i="84" s="1"/>
  <c r="AH8" i="84" a="1"/>
  <c r="AH8" i="84" s="1"/>
  <c r="Q7" i="84" a="1"/>
  <c r="Q7" i="84" s="1"/>
  <c r="Y7" i="84" a="1"/>
  <c r="Y7" i="84" s="1"/>
  <c r="AG7" i="84" a="1"/>
  <c r="AG7" i="84" s="1"/>
  <c r="R7" i="84" a="1"/>
  <c r="R7" i="84" s="1"/>
  <c r="Z7" i="84" a="1"/>
  <c r="Z7" i="84" s="1"/>
  <c r="AH7" i="84" a="1"/>
  <c r="AH7" i="84" s="1"/>
  <c r="V2" i="84" a="1"/>
  <c r="V2" i="84" s="1"/>
  <c r="AA2" i="84" a="1"/>
  <c r="AA2" i="84" s="1"/>
  <c r="X2" i="84" a="1"/>
  <c r="X2" i="84" s="1"/>
  <c r="Y2" i="84" a="1"/>
  <c r="Y2" i="84" s="1"/>
  <c r="T6" i="84" a="1"/>
  <c r="T6" i="84" s="1"/>
  <c r="AB6" i="84" a="1"/>
  <c r="AB6" i="84" s="1"/>
  <c r="AJ6" i="84" a="1"/>
  <c r="AJ6" i="84" s="1"/>
  <c r="S6" i="84" a="1"/>
  <c r="S6" i="84" s="1"/>
  <c r="AA6" i="84" a="1"/>
  <c r="AA6" i="84" s="1"/>
  <c r="AI6" i="84" a="1"/>
  <c r="AI6" i="84" s="1"/>
  <c r="T9" i="84" a="1"/>
  <c r="T9" i="84" s="1"/>
  <c r="AB9" i="84" a="1"/>
  <c r="AB9" i="84" s="1"/>
  <c r="AJ9" i="84" a="1"/>
  <c r="AJ9" i="84" s="1"/>
  <c r="S9" i="84" a="1"/>
  <c r="S9" i="84" s="1"/>
  <c r="AA9" i="84" a="1"/>
  <c r="AA9" i="84" s="1"/>
  <c r="AI9" i="84" a="1"/>
  <c r="AI9" i="84" s="1"/>
  <c r="T5" i="84" a="1"/>
  <c r="T5" i="84" s="1"/>
  <c r="AB5" i="84" a="1"/>
  <c r="AB5" i="84" s="1"/>
  <c r="AJ5" i="84" a="1"/>
  <c r="AJ5" i="84" s="1"/>
  <c r="S5" i="84" a="1"/>
  <c r="S5" i="84" s="1"/>
  <c r="AA5" i="84" a="1"/>
  <c r="AA5" i="84" s="1"/>
  <c r="AI5" i="84" a="1"/>
  <c r="AI5" i="84" s="1"/>
  <c r="U3" i="84" a="1"/>
  <c r="U3" i="84" s="1"/>
  <c r="AC3" i="84" a="1"/>
  <c r="AC3" i="84" s="1"/>
  <c r="V3" i="84" a="1"/>
  <c r="V3" i="84" s="1"/>
  <c r="AD3" i="84" a="1"/>
  <c r="AD3" i="84" s="1"/>
  <c r="U11" i="84" a="1"/>
  <c r="U11" i="84" s="1"/>
  <c r="AC11" i="84" a="1"/>
  <c r="AC11" i="84" s="1"/>
  <c r="V11" i="84" a="1"/>
  <c r="V11" i="84" s="1"/>
  <c r="AD11" i="84" a="1"/>
  <c r="AD11" i="84" s="1"/>
  <c r="R10" i="84" a="1"/>
  <c r="R10" i="84" s="1"/>
  <c r="Z10" i="84" a="1"/>
  <c r="Z10" i="84" s="1"/>
  <c r="AH10" i="84" a="1"/>
  <c r="AH10" i="84" s="1"/>
  <c r="Q10" i="84" a="1"/>
  <c r="Q10" i="84" s="1"/>
  <c r="Y10" i="84" a="1"/>
  <c r="Y10" i="84" s="1"/>
  <c r="AG10" i="84" a="1"/>
  <c r="AG10" i="84" s="1"/>
  <c r="U4" i="84" a="1"/>
  <c r="U4" i="84" s="1"/>
  <c r="AC4" i="84" a="1"/>
  <c r="AC4" i="84" s="1"/>
  <c r="V4" i="84" a="1"/>
  <c r="V4" i="84" s="1"/>
  <c r="AD4" i="84" a="1"/>
  <c r="AD4" i="84" s="1"/>
  <c r="X6" i="84" a="1"/>
  <c r="X6" i="84" s="1"/>
  <c r="AF9" i="84" a="1"/>
  <c r="AF9" i="84" s="1"/>
  <c r="AE9" i="84" a="1"/>
  <c r="AE9" i="84" s="1"/>
  <c r="X5" i="84" a="1"/>
  <c r="X5" i="84" s="1"/>
  <c r="AG4" i="84" a="1"/>
  <c r="AG4" i="84" s="1"/>
  <c r="Z4" i="84" a="1"/>
  <c r="Z4" i="84" s="1"/>
  <c r="AH4" i="84" a="1"/>
  <c r="AH4" i="84" s="1"/>
  <c r="AG10" i="83" a="1"/>
  <c r="AG10" i="83" s="1"/>
  <c r="AG4" i="83" a="1"/>
  <c r="AG4" i="83" s="1"/>
  <c r="AI5" i="83" a="1"/>
  <c r="AI5" i="83" s="1"/>
  <c r="Y8" i="83" a="1"/>
  <c r="Y8" i="83" s="1"/>
  <c r="S8" i="84" a="1"/>
  <c r="S8" i="84" s="1"/>
  <c r="AA8" i="84" a="1"/>
  <c r="AA8" i="84" s="1"/>
  <c r="AI8" i="84" a="1"/>
  <c r="AI8" i="84" s="1"/>
  <c r="T8" i="84" a="1"/>
  <c r="T8" i="84" s="1"/>
  <c r="AB8" i="84" a="1"/>
  <c r="AB8" i="84" s="1"/>
  <c r="S7" i="84" a="1"/>
  <c r="S7" i="84" s="1"/>
  <c r="AA7" i="84" a="1"/>
  <c r="AA7" i="84" s="1"/>
  <c r="AI7" i="84" a="1"/>
  <c r="AI7" i="84" s="1"/>
  <c r="T7" i="84" a="1"/>
  <c r="T7" i="84" s="1"/>
  <c r="AB7" i="84" a="1"/>
  <c r="AB7" i="84" s="1"/>
  <c r="Z2" i="84" a="1"/>
  <c r="Z2" i="84" s="1"/>
  <c r="AE2" i="84" a="1"/>
  <c r="AE2" i="84" s="1"/>
  <c r="AB2" i="84" a="1"/>
  <c r="AB2" i="84" s="1"/>
  <c r="Q2" i="84" a="1"/>
  <c r="Q2" i="84" s="1"/>
  <c r="V6" i="84" a="1"/>
  <c r="V6" i="84" s="1"/>
  <c r="AD6" i="84" a="1"/>
  <c r="AD6" i="84" s="1"/>
  <c r="U6" i="84" a="1"/>
  <c r="U6" i="84" s="1"/>
  <c r="V9" i="84" a="1"/>
  <c r="V9" i="84" s="1"/>
  <c r="AD9" i="84" a="1"/>
  <c r="AD9" i="84" s="1"/>
  <c r="U9" i="84" a="1"/>
  <c r="U9" i="84" s="1"/>
  <c r="V5" i="84" a="1"/>
  <c r="V5" i="84" s="1"/>
  <c r="AD5" i="84" a="1"/>
  <c r="AD5" i="84" s="1"/>
  <c r="U5" i="84" a="1"/>
  <c r="U5" i="84" s="1"/>
  <c r="W3" i="84" a="1"/>
  <c r="W3" i="84" s="1"/>
  <c r="X3" i="84" a="1"/>
  <c r="X3" i="84" s="1"/>
  <c r="W11" i="84" a="1"/>
  <c r="W11" i="84" s="1"/>
  <c r="X11" i="84" a="1"/>
  <c r="X11" i="84" s="1"/>
  <c r="T10" i="84" a="1"/>
  <c r="T10" i="84" s="1"/>
  <c r="AB10" i="84" a="1"/>
  <c r="AB10" i="84" s="1"/>
  <c r="AJ10" i="84" a="1"/>
  <c r="AJ10" i="84" s="1"/>
  <c r="S10" i="84" a="1"/>
  <c r="S10" i="84" s="1"/>
  <c r="AA10" i="84" a="1"/>
  <c r="AA10" i="84" s="1"/>
  <c r="S4" i="84" a="1"/>
  <c r="S4" i="84" s="1"/>
  <c r="W4" i="84" a="1"/>
  <c r="W4" i="84" s="1"/>
  <c r="X4" i="84" a="1"/>
  <c r="X4" i="84" s="1"/>
  <c r="AI10" i="83" a="1"/>
  <c r="AI10" i="83" s="1"/>
  <c r="AI6" i="83" a="1"/>
  <c r="AI6" i="83" s="1"/>
  <c r="AA9" i="80" a="1"/>
  <c r="AA9" i="80" s="1"/>
  <c r="AF4" i="82" a="1"/>
  <c r="AF4" i="82" s="1"/>
  <c r="T10" i="83" a="1"/>
  <c r="T10" i="83" s="1"/>
  <c r="T6" i="83" a="1"/>
  <c r="T6" i="83" s="1"/>
  <c r="Z6" i="82" a="1"/>
  <c r="Z6" i="82" s="1"/>
  <c r="AG10" i="82" a="1"/>
  <c r="AG10" i="82" s="1"/>
  <c r="AE10" i="81" a="1"/>
  <c r="AE10" i="81" s="1"/>
  <c r="V11" i="83" a="1"/>
  <c r="V11" i="83" s="1"/>
  <c r="AC5" i="83" a="1"/>
  <c r="AC5" i="83" s="1"/>
  <c r="AI7" i="83" a="1"/>
  <c r="AI7" i="83" s="1"/>
  <c r="AB7" i="82" a="1"/>
  <c r="AB7" i="82" s="1"/>
  <c r="AF8" i="83" a="1"/>
  <c r="AF8" i="83" s="1"/>
  <c r="AH8" i="82" a="1"/>
  <c r="AH8" i="82" s="1"/>
  <c r="AG9" i="83" a="1"/>
  <c r="AG9" i="83" s="1"/>
  <c r="Z9" i="83" a="1"/>
  <c r="Z9" i="83" s="1"/>
  <c r="AC9" i="82" a="1"/>
  <c r="AC9" i="82" s="1"/>
  <c r="T6" i="78" a="1"/>
  <c r="T6" i="78" s="1"/>
  <c r="AE5" i="79" a="1"/>
  <c r="AE5" i="79" s="1"/>
  <c r="AB10" i="83" a="1"/>
  <c r="AB10" i="83" s="1"/>
  <c r="S10" i="83" a="1"/>
  <c r="S10" i="83" s="1"/>
  <c r="AF3" i="82" a="1"/>
  <c r="AF3" i="82" s="1"/>
  <c r="AB6" i="83" a="1"/>
  <c r="AB6" i="83" s="1"/>
  <c r="S6" i="83" a="1"/>
  <c r="S6" i="83" s="1"/>
  <c r="AD11" i="83" a="1"/>
  <c r="AD11" i="83" s="1"/>
  <c r="T3" i="81" a="1"/>
  <c r="T3" i="81" s="1"/>
  <c r="AC7" i="83" a="1"/>
  <c r="AC7" i="83" s="1"/>
  <c r="AE7" i="82" a="1"/>
  <c r="AE7" i="82" s="1"/>
  <c r="R8" i="83" a="1"/>
  <c r="R8" i="83" s="1"/>
  <c r="AD8" i="83" a="1"/>
  <c r="AD8" i="83" s="1"/>
  <c r="AH9" i="83" a="1"/>
  <c r="AH9" i="83" s="1"/>
  <c r="AJ2" i="83" a="1"/>
  <c r="AJ2" i="83" s="1"/>
  <c r="AJ10" i="83" a="1"/>
  <c r="AJ10" i="83" s="1"/>
  <c r="AA10" i="83" a="1"/>
  <c r="AA10" i="83" s="1"/>
  <c r="AJ6" i="83" a="1"/>
  <c r="AJ6" i="83" s="1"/>
  <c r="AA6" i="83" a="1"/>
  <c r="AA6" i="83" s="1"/>
  <c r="AE6" i="82" a="1"/>
  <c r="AE6" i="82" s="1"/>
  <c r="U2" i="82" a="1"/>
  <c r="U2" i="82" s="1"/>
  <c r="AC11" i="83" a="1"/>
  <c r="AC11" i="83" s="1"/>
  <c r="AF4" i="83" a="1"/>
  <c r="AF4" i="83" s="1"/>
  <c r="Q4" i="83" a="1"/>
  <c r="Q4" i="83" s="1"/>
  <c r="Z4" i="83" a="1"/>
  <c r="Z4" i="83" s="1"/>
  <c r="AD5" i="83" a="1"/>
  <c r="AD5" i="83" s="1"/>
  <c r="AE4" i="81" a="1"/>
  <c r="AE4" i="81" s="1"/>
  <c r="S8" i="83" a="1"/>
  <c r="S8" i="83" s="1"/>
  <c r="V8" i="83" a="1"/>
  <c r="V8" i="83" s="1"/>
  <c r="R8" i="82" a="1"/>
  <c r="R8" i="82" s="1"/>
  <c r="Q9" i="83" a="1"/>
  <c r="Q9" i="83" s="1"/>
  <c r="AF9" i="83" a="1"/>
  <c r="AF9" i="83" s="1"/>
  <c r="AI2" i="83" a="1"/>
  <c r="AI2" i="83" s="1"/>
  <c r="AJ5" i="79" a="1"/>
  <c r="AJ5" i="79" s="1"/>
  <c r="AC4" i="82" a="1"/>
  <c r="AC4" i="82" s="1"/>
  <c r="R4" i="82" a="1"/>
  <c r="R4" i="82" s="1"/>
  <c r="V10" i="83" a="1"/>
  <c r="V10" i="83" s="1"/>
  <c r="AD10" i="83" a="1"/>
  <c r="AD10" i="83" s="1"/>
  <c r="U10" i="83" a="1"/>
  <c r="U10" i="83" s="1"/>
  <c r="AC10" i="83" a="1"/>
  <c r="AC10" i="83" s="1"/>
  <c r="T5" i="82" a="1"/>
  <c r="T5" i="82" s="1"/>
  <c r="V6" i="83" a="1"/>
  <c r="V6" i="83" s="1"/>
  <c r="AD6" i="83" a="1"/>
  <c r="AD6" i="83" s="1"/>
  <c r="U6" i="83" a="1"/>
  <c r="U6" i="83" s="1"/>
  <c r="AC6" i="83" a="1"/>
  <c r="AC6" i="83" s="1"/>
  <c r="V6" i="82" a="1"/>
  <c r="V6" i="82" s="1"/>
  <c r="AC6" i="82" a="1"/>
  <c r="AC6" i="82" s="1"/>
  <c r="AG6" i="82" a="1"/>
  <c r="AG6" i="82" s="1"/>
  <c r="R3" i="83" a="1"/>
  <c r="R3" i="83" s="1"/>
  <c r="AH3" i="83" a="1"/>
  <c r="AH3" i="83" s="1"/>
  <c r="AB3" i="83" a="1"/>
  <c r="AB3" i="83" s="1"/>
  <c r="W3" i="83" a="1"/>
  <c r="W3" i="83" s="1"/>
  <c r="AE3" i="83" a="1"/>
  <c r="AE3" i="83" s="1"/>
  <c r="R10" i="82" a="1"/>
  <c r="R10" i="82" s="1"/>
  <c r="V10" i="82" a="1"/>
  <c r="V10" i="82" s="1"/>
  <c r="AI10" i="82" a="1"/>
  <c r="AI10" i="82" s="1"/>
  <c r="AH2" i="82" a="1"/>
  <c r="AH2" i="82" s="1"/>
  <c r="X11" i="83" a="1"/>
  <c r="X11" i="83" s="1"/>
  <c r="AF11" i="83" a="1"/>
  <c r="AF11" i="83" s="1"/>
  <c r="W11" i="83" a="1"/>
  <c r="W11" i="83" s="1"/>
  <c r="AE11" i="83" a="1"/>
  <c r="AE11" i="83" s="1"/>
  <c r="S4" i="83" a="1"/>
  <c r="S4" i="83" s="1"/>
  <c r="AA4" i="83" a="1"/>
  <c r="AA4" i="83" s="1"/>
  <c r="AI4" i="83" a="1"/>
  <c r="AI4" i="83" s="1"/>
  <c r="AB4" i="83" a="1"/>
  <c r="AB4" i="83" s="1"/>
  <c r="AJ4" i="83" a="1"/>
  <c r="AJ4" i="83" s="1"/>
  <c r="X5" i="83" a="1"/>
  <c r="X5" i="83" s="1"/>
  <c r="AF5" i="83" a="1"/>
  <c r="AF5" i="83" s="1"/>
  <c r="W5" i="83" a="1"/>
  <c r="W5" i="83" s="1"/>
  <c r="AE5" i="83" a="1"/>
  <c r="AE5" i="83" s="1"/>
  <c r="U7" i="83" a="1"/>
  <c r="U7" i="83" s="1"/>
  <c r="V7" i="83" a="1"/>
  <c r="V7" i="83" s="1"/>
  <c r="AD7" i="83" a="1"/>
  <c r="AD7" i="83" s="1"/>
  <c r="W7" i="83" a="1"/>
  <c r="W7" i="83" s="1"/>
  <c r="AE7" i="83" a="1"/>
  <c r="AE7" i="83" s="1"/>
  <c r="S7" i="82" a="1"/>
  <c r="S7" i="82" s="1"/>
  <c r="AH7" i="82" a="1"/>
  <c r="AH7" i="82" s="1"/>
  <c r="S11" i="81" a="1"/>
  <c r="S11" i="81" s="1"/>
  <c r="W8" i="83" a="1"/>
  <c r="W8" i="83" s="1"/>
  <c r="AE8" i="83" a="1"/>
  <c r="AE8" i="83" s="1"/>
  <c r="AG8" i="83" a="1"/>
  <c r="AG8" i="83" s="1"/>
  <c r="AA8" i="83" a="1"/>
  <c r="AA8" i="83" s="1"/>
  <c r="Z8" i="83" a="1"/>
  <c r="Z8" i="83" s="1"/>
  <c r="AH8" i="83" a="1"/>
  <c r="AH8" i="83" s="1"/>
  <c r="Q8" i="82" a="1"/>
  <c r="Q8" i="82" s="1"/>
  <c r="AG8" i="82" a="1"/>
  <c r="AG8" i="82" s="1"/>
  <c r="Z8" i="82" a="1"/>
  <c r="Z8" i="82" s="1"/>
  <c r="S9" i="83" a="1"/>
  <c r="S9" i="83" s="1"/>
  <c r="AA9" i="83" a="1"/>
  <c r="AA9" i="83" s="1"/>
  <c r="AI9" i="83" a="1"/>
  <c r="AI9" i="83" s="1"/>
  <c r="T9" i="83" a="1"/>
  <c r="T9" i="83" s="1"/>
  <c r="AB9" i="83" a="1"/>
  <c r="AB9" i="83" s="1"/>
  <c r="AJ9" i="83" a="1"/>
  <c r="AJ9" i="83" s="1"/>
  <c r="AD9" i="82" a="1"/>
  <c r="AD9" i="82" s="1"/>
  <c r="S2" i="83" a="1"/>
  <c r="S2" i="83" s="1"/>
  <c r="AG2" i="83" a="1"/>
  <c r="AG2" i="83" s="1"/>
  <c r="W2" i="83" a="1"/>
  <c r="W2" i="83" s="1"/>
  <c r="U2" i="83" a="1"/>
  <c r="U2" i="83" s="1"/>
  <c r="AH2" i="83" a="1"/>
  <c r="AH2" i="83" s="1"/>
  <c r="AF6" i="80" a="1"/>
  <c r="AF6" i="80" s="1"/>
  <c r="AE10" i="80" a="1"/>
  <c r="AE10" i="80" s="1"/>
  <c r="AE2" i="79" a="1"/>
  <c r="AE2" i="79" s="1"/>
  <c r="AI2" i="79" a="1"/>
  <c r="AI2" i="79" s="1"/>
  <c r="AC2" i="80" a="1"/>
  <c r="AC2" i="80" s="1"/>
  <c r="Q4" i="82" a="1"/>
  <c r="Q4" i="82" s="1"/>
  <c r="AG4" i="82" a="1"/>
  <c r="AG4" i="82" s="1"/>
  <c r="Z4" i="82" a="1"/>
  <c r="Z4" i="82" s="1"/>
  <c r="X10" i="83" a="1"/>
  <c r="X10" i="83" s="1"/>
  <c r="AF10" i="83" a="1"/>
  <c r="AF10" i="83" s="1"/>
  <c r="W10" i="83" a="1"/>
  <c r="W10" i="83" s="1"/>
  <c r="AE10" i="83" a="1"/>
  <c r="AE10" i="83" s="1"/>
  <c r="AB5" i="82" a="1"/>
  <c r="AB5" i="82" s="1"/>
  <c r="S5" i="82" a="1"/>
  <c r="S5" i="82" s="1"/>
  <c r="AD6" i="81" a="1"/>
  <c r="AD6" i="81" s="1"/>
  <c r="Z3" i="82" a="1"/>
  <c r="Z3" i="82" s="1"/>
  <c r="R7" i="81" a="1"/>
  <c r="R7" i="81" s="1"/>
  <c r="X6" i="83" a="1"/>
  <c r="X6" i="83" s="1"/>
  <c r="AF6" i="83" a="1"/>
  <c r="AF6" i="83" s="1"/>
  <c r="W6" i="83" a="1"/>
  <c r="W6" i="83" s="1"/>
  <c r="AE6" i="83" a="1"/>
  <c r="AE6" i="83" s="1"/>
  <c r="V3" i="83" a="1"/>
  <c r="V3" i="83" s="1"/>
  <c r="AF3" i="83" a="1"/>
  <c r="AF3" i="83" s="1"/>
  <c r="Q3" i="83" a="1"/>
  <c r="Q3" i="83" s="1"/>
  <c r="Y3" i="83" a="1"/>
  <c r="Y3" i="83" s="1"/>
  <c r="AG3" i="83" a="1"/>
  <c r="AG3" i="83" s="1"/>
  <c r="AH10" i="82" a="1"/>
  <c r="AH10" i="82" s="1"/>
  <c r="Z10" i="82" a="1"/>
  <c r="Z10" i="82" s="1"/>
  <c r="V2" i="82" a="1"/>
  <c r="V2" i="82" s="1"/>
  <c r="R11" i="83" a="1"/>
  <c r="R11" i="83" s="1"/>
  <c r="Z11" i="83" a="1"/>
  <c r="Z11" i="83" s="1"/>
  <c r="AH11" i="83" a="1"/>
  <c r="AH11" i="83" s="1"/>
  <c r="Q11" i="83" a="1"/>
  <c r="Q11" i="83" s="1"/>
  <c r="Y11" i="83" a="1"/>
  <c r="Y11" i="83" s="1"/>
  <c r="AG11" i="83" a="1"/>
  <c r="AG11" i="83" s="1"/>
  <c r="T4" i="83" a="1"/>
  <c r="T4" i="83" s="1"/>
  <c r="U4" i="83" a="1"/>
  <c r="U4" i="83" s="1"/>
  <c r="AC4" i="83" a="1"/>
  <c r="AC4" i="83" s="1"/>
  <c r="AD4" i="83" a="1"/>
  <c r="AD4" i="83" s="1"/>
  <c r="R5" i="83" a="1"/>
  <c r="R5" i="83" s="1"/>
  <c r="Z5" i="83" a="1"/>
  <c r="Z5" i="83" s="1"/>
  <c r="AH5" i="83" a="1"/>
  <c r="AH5" i="83" s="1"/>
  <c r="Q5" i="83" a="1"/>
  <c r="Q5" i="83" s="1"/>
  <c r="Y5" i="83" a="1"/>
  <c r="Y5" i="83" s="1"/>
  <c r="AG5" i="83" a="1"/>
  <c r="AG5" i="83" s="1"/>
  <c r="AC3" i="81" a="1"/>
  <c r="AC3" i="81" s="1"/>
  <c r="X7" i="83" a="1"/>
  <c r="X7" i="83" s="1"/>
  <c r="AF7" i="83" a="1"/>
  <c r="AF7" i="83" s="1"/>
  <c r="Y7" i="83" a="1"/>
  <c r="Y7" i="83" s="1"/>
  <c r="AG7" i="83" a="1"/>
  <c r="AG7" i="83" s="1"/>
  <c r="AA7" i="82" a="1"/>
  <c r="AA7" i="82" s="1"/>
  <c r="T7" i="82" a="1"/>
  <c r="T7" i="82" s="1"/>
  <c r="AC8" i="83" a="1"/>
  <c r="AC8" i="83" s="1"/>
  <c r="Q8" i="83" a="1"/>
  <c r="Q8" i="83" s="1"/>
  <c r="AI8" i="83" a="1"/>
  <c r="AI8" i="83" s="1"/>
  <c r="AB8" i="83" a="1"/>
  <c r="AB8" i="83" s="1"/>
  <c r="AJ8" i="83" a="1"/>
  <c r="AJ8" i="83" s="1"/>
  <c r="U8" i="82" a="1"/>
  <c r="U8" i="82" s="1"/>
  <c r="AD8" i="82" a="1"/>
  <c r="AD8" i="82" s="1"/>
  <c r="U9" i="83" a="1"/>
  <c r="U9" i="83" s="1"/>
  <c r="AC9" i="83" a="1"/>
  <c r="AC9" i="83" s="1"/>
  <c r="V9" i="83" a="1"/>
  <c r="V9" i="83" s="1"/>
  <c r="AD9" i="83" a="1"/>
  <c r="AD9" i="83" s="1"/>
  <c r="AF9" i="82" a="1"/>
  <c r="AF9" i="82" s="1"/>
  <c r="X2" i="83" a="1"/>
  <c r="X2" i="83" s="1"/>
  <c r="V2" i="83" a="1"/>
  <c r="V2" i="83" s="1"/>
  <c r="AB2" i="83" a="1"/>
  <c r="AB2" i="83" s="1"/>
  <c r="Z2" i="83" a="1"/>
  <c r="Z2" i="83" s="1"/>
  <c r="AJ2" i="79" a="1"/>
  <c r="AJ2" i="79" s="1"/>
  <c r="U4" i="82" a="1"/>
  <c r="U4" i="82" s="1"/>
  <c r="AD4" i="82" a="1"/>
  <c r="AD4" i="82" s="1"/>
  <c r="AH4" i="82" a="1"/>
  <c r="AH4" i="82" s="1"/>
  <c r="R10" i="83" a="1"/>
  <c r="R10" i="83" s="1"/>
  <c r="Z10" i="83" a="1"/>
  <c r="Z10" i="83" s="1"/>
  <c r="AH10" i="83" a="1"/>
  <c r="AH10" i="83" s="1"/>
  <c r="Q10" i="83" a="1"/>
  <c r="Q10" i="83" s="1"/>
  <c r="Y10" i="83" a="1"/>
  <c r="Y10" i="83" s="1"/>
  <c r="AJ5" i="82" a="1"/>
  <c r="AJ5" i="82" s="1"/>
  <c r="AA5" i="82" a="1"/>
  <c r="AA5" i="82" s="1"/>
  <c r="R6" i="83" a="1"/>
  <c r="R6" i="83" s="1"/>
  <c r="Z6" i="83" a="1"/>
  <c r="Z6" i="83" s="1"/>
  <c r="AH6" i="83" a="1"/>
  <c r="AH6" i="83" s="1"/>
  <c r="Q6" i="83" a="1"/>
  <c r="Q6" i="83" s="1"/>
  <c r="Y6" i="83" a="1"/>
  <c r="Y6" i="83" s="1"/>
  <c r="AD6" i="82" a="1"/>
  <c r="AD6" i="82" s="1"/>
  <c r="Q6" i="82" a="1"/>
  <c r="Q6" i="82" s="1"/>
  <c r="Z3" i="83" a="1"/>
  <c r="Z3" i="83" s="1"/>
  <c r="T3" i="83" a="1"/>
  <c r="T3" i="83" s="1"/>
  <c r="AJ3" i="83" a="1"/>
  <c r="AJ3" i="83" s="1"/>
  <c r="S3" i="83" a="1"/>
  <c r="S3" i="83" s="1"/>
  <c r="AA3" i="83" a="1"/>
  <c r="AA3" i="83" s="1"/>
  <c r="AI3" i="83" a="1"/>
  <c r="AI3" i="83" s="1"/>
  <c r="AB10" i="82" a="1"/>
  <c r="AB10" i="82" s="1"/>
  <c r="S10" i="82" a="1"/>
  <c r="S10" i="82" s="1"/>
  <c r="AE2" i="82" a="1"/>
  <c r="AE2" i="82" s="1"/>
  <c r="T11" i="83" a="1"/>
  <c r="T11" i="83" s="1"/>
  <c r="AB11" i="83" a="1"/>
  <c r="AB11" i="83" s="1"/>
  <c r="AJ11" i="83" a="1"/>
  <c r="AJ11" i="83" s="1"/>
  <c r="S11" i="83" a="1"/>
  <c r="S11" i="83" s="1"/>
  <c r="AA11" i="83" a="1"/>
  <c r="AA11" i="83" s="1"/>
  <c r="AC11" i="82" a="1"/>
  <c r="AC11" i="82" s="1"/>
  <c r="AE9" i="81" a="1"/>
  <c r="AE9" i="81" s="1"/>
  <c r="R4" i="83" a="1"/>
  <c r="R4" i="83" s="1"/>
  <c r="W4" i="83" a="1"/>
  <c r="W4" i="83" s="1"/>
  <c r="AE4" i="83" a="1"/>
  <c r="AE4" i="83" s="1"/>
  <c r="X4" i="83" a="1"/>
  <c r="X4" i="83" s="1"/>
  <c r="T5" i="83" a="1"/>
  <c r="T5" i="83" s="1"/>
  <c r="AB5" i="83" a="1"/>
  <c r="AB5" i="83" s="1"/>
  <c r="AJ5" i="83" a="1"/>
  <c r="AJ5" i="83" s="1"/>
  <c r="S5" i="83" a="1"/>
  <c r="S5" i="83" s="1"/>
  <c r="AA5" i="83" a="1"/>
  <c r="AA5" i="83" s="1"/>
  <c r="Q7" i="83" a="1"/>
  <c r="Q7" i="83" s="1"/>
  <c r="R7" i="83" a="1"/>
  <c r="R7" i="83" s="1"/>
  <c r="Z7" i="83" a="1"/>
  <c r="Z7" i="83" s="1"/>
  <c r="AH7" i="83" a="1"/>
  <c r="AH7" i="83" s="1"/>
  <c r="AA7" i="83" a="1"/>
  <c r="AA7" i="83" s="1"/>
  <c r="AI7" i="82" a="1"/>
  <c r="AI7" i="82" s="1"/>
  <c r="AF4" i="81" a="1"/>
  <c r="AF4" i="81" s="1"/>
  <c r="T8" i="83" a="1"/>
  <c r="T8" i="83" s="1"/>
  <c r="U8" i="83" a="1"/>
  <c r="U8" i="83" s="1"/>
  <c r="Y8" i="82" a="1"/>
  <c r="Y8" i="82" s="1"/>
  <c r="AF8" i="82" a="1"/>
  <c r="AF8" i="82" s="1"/>
  <c r="AE8" i="82" a="1"/>
  <c r="AE8" i="82" s="1"/>
  <c r="W9" i="83" a="1"/>
  <c r="W9" i="83" s="1"/>
  <c r="X9" i="83" a="1"/>
  <c r="X9" i="83" s="1"/>
  <c r="AA2" i="83" a="1"/>
  <c r="AA2" i="83" s="1"/>
  <c r="Y2" i="83" a="1"/>
  <c r="Y2" i="83" s="1"/>
  <c r="R2" i="83" a="1"/>
  <c r="R2" i="83" s="1"/>
  <c r="AE2" i="83" a="1"/>
  <c r="AE2" i="83" s="1"/>
  <c r="AC2" i="83" a="1"/>
  <c r="AC2" i="83" s="1"/>
  <c r="AI5" i="79" a="1"/>
  <c r="AI5" i="79" s="1"/>
  <c r="AE4" i="82" a="1"/>
  <c r="AE4" i="82" s="1"/>
  <c r="AI5" i="82" a="1"/>
  <c r="AI5" i="82" s="1"/>
  <c r="AD3" i="83" a="1"/>
  <c r="AD3" i="83" s="1"/>
  <c r="X3" i="83" a="1"/>
  <c r="X3" i="83" s="1"/>
  <c r="U3" i="83" a="1"/>
  <c r="U3" i="83" s="1"/>
  <c r="AA10" i="82" a="1"/>
  <c r="AA10" i="82" s="1"/>
  <c r="U11" i="83" a="1"/>
  <c r="U11" i="83" s="1"/>
  <c r="V5" i="83" a="1"/>
  <c r="V5" i="83" s="1"/>
  <c r="U5" i="83" a="1"/>
  <c r="U5" i="83" s="1"/>
  <c r="S7" i="83" a="1"/>
  <c r="S7" i="83" s="1"/>
  <c r="T7" i="83" a="1"/>
  <c r="T7" i="83" s="1"/>
  <c r="AB7" i="83" a="1"/>
  <c r="AB7" i="83" s="1"/>
  <c r="AJ7" i="83" a="1"/>
  <c r="AJ7" i="83" s="1"/>
  <c r="AJ7" i="82" a="1"/>
  <c r="AJ7" i="82" s="1"/>
  <c r="AC8" i="82" a="1"/>
  <c r="AC8" i="82" s="1"/>
  <c r="Q2" i="83" a="1"/>
  <c r="Q2" i="83" s="1"/>
  <c r="AF2" i="83" a="1"/>
  <c r="AF2" i="83" s="1"/>
  <c r="AD2" i="83" a="1"/>
  <c r="AD2" i="83" s="1"/>
  <c r="AC3" i="82" a="1"/>
  <c r="AC3" i="82" s="1"/>
  <c r="AH3" i="82" a="1"/>
  <c r="AH3" i="82" s="1"/>
  <c r="Y7" i="81" a="1"/>
  <c r="Y7" i="81" s="1"/>
  <c r="AB2" i="82" a="1"/>
  <c r="AB2" i="82" s="1"/>
  <c r="AB4" i="81" a="1"/>
  <c r="AB4" i="81" s="1"/>
  <c r="W9" i="82" a="1"/>
  <c r="W9" i="82" s="1"/>
  <c r="AE9" i="82" a="1"/>
  <c r="AE9" i="82" s="1"/>
  <c r="R9" i="82" a="1"/>
  <c r="R9" i="82" s="1"/>
  <c r="Z9" i="82" a="1"/>
  <c r="Z9" i="82" s="1"/>
  <c r="AH9" i="82" a="1"/>
  <c r="AH9" i="82" s="1"/>
  <c r="S4" i="82" a="1"/>
  <c r="S4" i="82" s="1"/>
  <c r="AA4" i="82" a="1"/>
  <c r="AA4" i="82" s="1"/>
  <c r="AI4" i="82" a="1"/>
  <c r="AI4" i="82" s="1"/>
  <c r="T4" i="82" a="1"/>
  <c r="T4" i="82" s="1"/>
  <c r="AB4" i="82" a="1"/>
  <c r="AB4" i="82" s="1"/>
  <c r="AJ4" i="82" a="1"/>
  <c r="AJ4" i="82" s="1"/>
  <c r="V5" i="82" a="1"/>
  <c r="V5" i="82" s="1"/>
  <c r="AD5" i="82" a="1"/>
  <c r="AD5" i="82" s="1"/>
  <c r="U5" i="82" a="1"/>
  <c r="U5" i="82" s="1"/>
  <c r="AC5" i="82" a="1"/>
  <c r="AC5" i="82" s="1"/>
  <c r="AH6" i="81" a="1"/>
  <c r="AH6" i="81" s="1"/>
  <c r="W3" i="82" a="1"/>
  <c r="W3" i="82" s="1"/>
  <c r="AE3" i="82" a="1"/>
  <c r="AE3" i="82" s="1"/>
  <c r="T3" i="82" a="1"/>
  <c r="T3" i="82" s="1"/>
  <c r="AB3" i="82" a="1"/>
  <c r="AB3" i="82" s="1"/>
  <c r="AJ3" i="82" a="1"/>
  <c r="AJ3" i="82" s="1"/>
  <c r="AE7" i="81" a="1"/>
  <c r="AE7" i="81" s="1"/>
  <c r="AG7" i="81" a="1"/>
  <c r="AG7" i="81" s="1"/>
  <c r="T6" i="82" a="1"/>
  <c r="T6" i="82" s="1"/>
  <c r="AB6" i="82" a="1"/>
  <c r="AB6" i="82" s="1"/>
  <c r="AJ6" i="82" a="1"/>
  <c r="AJ6" i="82" s="1"/>
  <c r="S6" i="82" a="1"/>
  <c r="S6" i="82" s="1"/>
  <c r="AA6" i="82" a="1"/>
  <c r="AA6" i="82" s="1"/>
  <c r="AI6" i="82" a="1"/>
  <c r="AI6" i="82" s="1"/>
  <c r="AF10" i="82" a="1"/>
  <c r="AF10" i="82" s="1"/>
  <c r="T10" i="82" a="1"/>
  <c r="T10" i="82" s="1"/>
  <c r="AD10" i="82" a="1"/>
  <c r="AD10" i="82" s="1"/>
  <c r="U10" i="82" a="1"/>
  <c r="U10" i="82" s="1"/>
  <c r="AC10" i="82" a="1"/>
  <c r="AC10" i="82" s="1"/>
  <c r="AA2" i="82" a="1"/>
  <c r="AA2" i="82" s="1"/>
  <c r="X2" i="82" a="1"/>
  <c r="X2" i="82" s="1"/>
  <c r="Y2" i="82" a="1"/>
  <c r="Y2" i="82" s="1"/>
  <c r="T2" i="82" a="1"/>
  <c r="T2" i="82" s="1"/>
  <c r="AD2" i="82" a="1"/>
  <c r="AD2" i="82" s="1"/>
  <c r="R11" i="82" a="1"/>
  <c r="R11" i="82" s="1"/>
  <c r="Z11" i="82" a="1"/>
  <c r="Z11" i="82" s="1"/>
  <c r="AH11" i="82" a="1"/>
  <c r="AH11" i="82" s="1"/>
  <c r="Q11" i="82" a="1"/>
  <c r="Q11" i="82" s="1"/>
  <c r="Y11" i="82" a="1"/>
  <c r="Y11" i="82" s="1"/>
  <c r="AG11" i="82" a="1"/>
  <c r="AG11" i="82" s="1"/>
  <c r="AI3" i="81" a="1"/>
  <c r="AI3" i="81" s="1"/>
  <c r="U7" i="82" a="1"/>
  <c r="U7" i="82" s="1"/>
  <c r="AC7" i="82" a="1"/>
  <c r="AC7" i="82" s="1"/>
  <c r="V7" i="82" a="1"/>
  <c r="V7" i="82" s="1"/>
  <c r="AD7" i="82" a="1"/>
  <c r="AD7" i="82" s="1"/>
  <c r="U4" i="81" a="1"/>
  <c r="U4" i="81" s="1"/>
  <c r="Q4" i="81" a="1"/>
  <c r="Q4" i="81" s="1"/>
  <c r="R4" i="81" a="1"/>
  <c r="R4" i="81" s="1"/>
  <c r="AH4" i="81" a="1"/>
  <c r="AH4" i="81" s="1"/>
  <c r="S8" i="82" a="1"/>
  <c r="S8" i="82" s="1"/>
  <c r="AA8" i="82" a="1"/>
  <c r="AA8" i="82" s="1"/>
  <c r="AI8" i="82" a="1"/>
  <c r="AI8" i="82" s="1"/>
  <c r="T8" i="82" a="1"/>
  <c r="T8" i="82" s="1"/>
  <c r="AB8" i="82" a="1"/>
  <c r="AB8" i="82" s="1"/>
  <c r="AJ8" i="82" a="1"/>
  <c r="AJ8" i="82" s="1"/>
  <c r="Q9" i="82" a="1"/>
  <c r="Q9" i="82" s="1"/>
  <c r="Y9" i="82" a="1"/>
  <c r="Y9" i="82" s="1"/>
  <c r="AG9" i="82" a="1"/>
  <c r="AG9" i="82" s="1"/>
  <c r="T9" i="82" a="1"/>
  <c r="T9" i="82" s="1"/>
  <c r="AB9" i="82" a="1"/>
  <c r="AB9" i="82" s="1"/>
  <c r="AJ9" i="82" a="1"/>
  <c r="AJ9" i="82" s="1"/>
  <c r="AJ5" i="81" a="1"/>
  <c r="AJ5" i="81" s="1"/>
  <c r="R3" i="82" a="1"/>
  <c r="R3" i="82" s="1"/>
  <c r="AH7" i="81" a="1"/>
  <c r="AH7" i="81" s="1"/>
  <c r="AJ2" i="82" a="1"/>
  <c r="AJ2" i="82" s="1"/>
  <c r="X11" i="82" a="1"/>
  <c r="X11" i="82" s="1"/>
  <c r="W11" i="82" a="1"/>
  <c r="W11" i="82" s="1"/>
  <c r="V4" i="82" a="1"/>
  <c r="V4" i="82" s="1"/>
  <c r="X5" i="82" a="1"/>
  <c r="X5" i="82" s="1"/>
  <c r="AF5" i="82" a="1"/>
  <c r="AF5" i="82" s="1"/>
  <c r="W5" i="82" a="1"/>
  <c r="W5" i="82" s="1"/>
  <c r="AE5" i="82" a="1"/>
  <c r="AE5" i="82" s="1"/>
  <c r="U6" i="81" a="1"/>
  <c r="U6" i="81" s="1"/>
  <c r="AJ6" i="81" a="1"/>
  <c r="AJ6" i="81" s="1"/>
  <c r="Q3" i="82" a="1"/>
  <c r="Q3" i="82" s="1"/>
  <c r="Y3" i="82" a="1"/>
  <c r="Y3" i="82" s="1"/>
  <c r="AG3" i="82" a="1"/>
  <c r="AG3" i="82" s="1"/>
  <c r="V3" i="82" a="1"/>
  <c r="V3" i="82" s="1"/>
  <c r="AD3" i="82" a="1"/>
  <c r="AD3" i="82" s="1"/>
  <c r="U6" i="82" a="1"/>
  <c r="U6" i="82" s="1"/>
  <c r="AI2" i="81" a="1"/>
  <c r="AI2" i="81" s="1"/>
  <c r="W10" i="82" a="1"/>
  <c r="W10" i="82" s="1"/>
  <c r="AE10" i="82" a="1"/>
  <c r="AE10" i="82" s="1"/>
  <c r="AJ10" i="82" a="1"/>
  <c r="AJ10" i="82" s="1"/>
  <c r="AD10" i="81" a="1"/>
  <c r="AD10" i="81" s="1"/>
  <c r="AC2" i="82" a="1"/>
  <c r="AC2" i="82" s="1"/>
  <c r="W2" i="82" a="1"/>
  <c r="W2" i="82" s="1"/>
  <c r="AF2" i="82" a="1"/>
  <c r="AF2" i="82" s="1"/>
  <c r="T11" i="82" a="1"/>
  <c r="T11" i="82" s="1"/>
  <c r="AB11" i="82" a="1"/>
  <c r="AB11" i="82" s="1"/>
  <c r="AJ11" i="82" a="1"/>
  <c r="AJ11" i="82" s="1"/>
  <c r="S11" i="82" a="1"/>
  <c r="S11" i="82" s="1"/>
  <c r="AA11" i="82" a="1"/>
  <c r="AA11" i="82" s="1"/>
  <c r="AI11" i="82" a="1"/>
  <c r="AI11" i="82" s="1"/>
  <c r="AD9" i="81" a="1"/>
  <c r="AD9" i="81" s="1"/>
  <c r="R3" i="81" a="1"/>
  <c r="R3" i="81" s="1"/>
  <c r="W7" i="82" a="1"/>
  <c r="W7" i="82" s="1"/>
  <c r="X7" i="82" a="1"/>
  <c r="X7" i="82" s="1"/>
  <c r="AF7" i="82" a="1"/>
  <c r="AF7" i="82" s="1"/>
  <c r="AC4" i="81" a="1"/>
  <c r="AC4" i="81" s="1"/>
  <c r="S4" i="81" a="1"/>
  <c r="S4" i="81" s="1"/>
  <c r="T4" i="81" a="1"/>
  <c r="T4" i="81" s="1"/>
  <c r="AJ4" i="81" a="1"/>
  <c r="AJ4" i="81" s="1"/>
  <c r="AD11" i="81" a="1"/>
  <c r="AD11" i="81" s="1"/>
  <c r="V8" i="82" a="1"/>
  <c r="V8" i="82" s="1"/>
  <c r="S9" i="82" a="1"/>
  <c r="S9" i="82" s="1"/>
  <c r="AA9" i="82" a="1"/>
  <c r="AA9" i="82" s="1"/>
  <c r="AI9" i="82" a="1"/>
  <c r="AI9" i="82" s="1"/>
  <c r="V9" i="82" a="1"/>
  <c r="V9" i="82" s="1"/>
  <c r="Q5" i="81" a="1"/>
  <c r="Q5" i="81" s="1"/>
  <c r="U3" i="82" a="1"/>
  <c r="U3" i="82" s="1"/>
  <c r="AF11" i="82" a="1"/>
  <c r="AF11" i="82" s="1"/>
  <c r="AE11" i="82" a="1"/>
  <c r="AE11" i="82" s="1"/>
  <c r="T5" i="79" a="1"/>
  <c r="T5" i="79" s="1"/>
  <c r="S5" i="79" a="1"/>
  <c r="S5" i="79" s="1"/>
  <c r="T2" i="79" a="1"/>
  <c r="T2" i="79" s="1"/>
  <c r="S2" i="79" a="1"/>
  <c r="S2" i="79" s="1"/>
  <c r="W4" i="82" a="1"/>
  <c r="W4" i="82" s="1"/>
  <c r="X4" i="82" a="1"/>
  <c r="X4" i="82" s="1"/>
  <c r="R5" i="82" a="1"/>
  <c r="R5" i="82" s="1"/>
  <c r="Z5" i="82" a="1"/>
  <c r="Z5" i="82" s="1"/>
  <c r="AH5" i="82" a="1"/>
  <c r="AH5" i="82" s="1"/>
  <c r="Q5" i="82" a="1"/>
  <c r="Q5" i="82" s="1"/>
  <c r="Y5" i="82" a="1"/>
  <c r="Y5" i="82" s="1"/>
  <c r="AC6" i="81" a="1"/>
  <c r="AC6" i="81" s="1"/>
  <c r="S3" i="82" a="1"/>
  <c r="S3" i="82" s="1"/>
  <c r="AA3" i="82" a="1"/>
  <c r="AA3" i="82" s="1"/>
  <c r="AI3" i="82" a="1"/>
  <c r="AI3" i="82" s="1"/>
  <c r="X3" i="82" a="1"/>
  <c r="X3" i="82" s="1"/>
  <c r="Z7" i="81" a="1"/>
  <c r="Z7" i="81" s="1"/>
  <c r="Q7" i="81" a="1"/>
  <c r="Q7" i="81" s="1"/>
  <c r="X6" i="82" a="1"/>
  <c r="X6" i="82" s="1"/>
  <c r="AF6" i="82" a="1"/>
  <c r="AF6" i="82" s="1"/>
  <c r="W6" i="82" a="1"/>
  <c r="W6" i="82" s="1"/>
  <c r="AC2" i="81" a="1"/>
  <c r="AC2" i="81" s="1"/>
  <c r="Q10" i="82" a="1"/>
  <c r="Q10" i="82" s="1"/>
  <c r="Y10" i="82" a="1"/>
  <c r="Y10" i="82" s="1"/>
  <c r="R2" i="82" a="1"/>
  <c r="R2" i="82" s="1"/>
  <c r="AI2" i="82" a="1"/>
  <c r="AI2" i="82" s="1"/>
  <c r="Q2" i="82" a="1"/>
  <c r="Q2" i="82" s="1"/>
  <c r="AG2" i="82" a="1"/>
  <c r="AG2" i="82" s="1"/>
  <c r="Z2" i="82" a="1"/>
  <c r="Z2" i="82" s="1"/>
  <c r="V11" i="82" a="1"/>
  <c r="V11" i="82" s="1"/>
  <c r="AD11" i="82" a="1"/>
  <c r="AD11" i="82" s="1"/>
  <c r="U11" i="82" a="1"/>
  <c r="U11" i="82" s="1"/>
  <c r="Q7" i="82" a="1"/>
  <c r="Q7" i="82" s="1"/>
  <c r="Y7" i="82" a="1"/>
  <c r="Y7" i="82" s="1"/>
  <c r="AG7" i="82" a="1"/>
  <c r="AG7" i="82" s="1"/>
  <c r="R7" i="82" a="1"/>
  <c r="R7" i="82" s="1"/>
  <c r="Z7" i="82" a="1"/>
  <c r="Z7" i="82" s="1"/>
  <c r="AG4" i="81" a="1"/>
  <c r="AG4" i="81" s="1"/>
  <c r="AA4" i="81" a="1"/>
  <c r="AA4" i="81" s="1"/>
  <c r="Z4" i="81" a="1"/>
  <c r="Z4" i="81" s="1"/>
  <c r="AI11" i="81" a="1"/>
  <c r="AI11" i="81" s="1"/>
  <c r="W8" i="82" a="1"/>
  <c r="W8" i="82" s="1"/>
  <c r="X8" i="82" a="1"/>
  <c r="X8" i="82" s="1"/>
  <c r="U9" i="82" a="1"/>
  <c r="U9" i="82" s="1"/>
  <c r="X9" i="82" a="1"/>
  <c r="X9" i="82" s="1"/>
  <c r="AG5" i="81" a="1"/>
  <c r="AG5" i="81" s="1"/>
  <c r="V6" i="81" a="1"/>
  <c r="V6" i="81" s="1"/>
  <c r="W2" i="81" a="1"/>
  <c r="W2" i="81" s="1"/>
  <c r="T2" i="81" a="1"/>
  <c r="T2" i="81" s="1"/>
  <c r="AF2" i="81" a="1"/>
  <c r="AF2" i="81" s="1"/>
  <c r="X8" i="81" a="1"/>
  <c r="X8" i="81" s="1"/>
  <c r="AF8" i="81" a="1"/>
  <c r="AF8" i="81" s="1"/>
  <c r="W8" i="81" a="1"/>
  <c r="W8" i="81" s="1"/>
  <c r="AE8" i="81" a="1"/>
  <c r="AE8" i="81" s="1"/>
  <c r="W10" i="81" a="1"/>
  <c r="W10" i="81" s="1"/>
  <c r="X10" i="81" a="1"/>
  <c r="X10" i="81" s="1"/>
  <c r="AF10" i="81" a="1"/>
  <c r="AF10" i="81" s="1"/>
  <c r="W9" i="81" a="1"/>
  <c r="W9" i="81" s="1"/>
  <c r="X9" i="81" a="1"/>
  <c r="X9" i="81" s="1"/>
  <c r="AF9" i="81" a="1"/>
  <c r="AF9" i="81" s="1"/>
  <c r="AJ3" i="81" a="1"/>
  <c r="AJ3" i="81" s="1"/>
  <c r="U3" i="81" a="1"/>
  <c r="U3" i="81" s="1"/>
  <c r="V11" i="81" a="1"/>
  <c r="V11" i="81" s="1"/>
  <c r="U11" i="81" a="1"/>
  <c r="U11" i="81" s="1"/>
  <c r="AC11" i="81" a="1"/>
  <c r="AC11" i="81" s="1"/>
  <c r="S5" i="81" a="1"/>
  <c r="S5" i="81" s="1"/>
  <c r="AA5" i="81" a="1"/>
  <c r="AA5" i="81" s="1"/>
  <c r="AI5" i="81" a="1"/>
  <c r="AI5" i="81" s="1"/>
  <c r="V5" i="81" a="1"/>
  <c r="V5" i="81" s="1"/>
  <c r="AD5" i="81" a="1"/>
  <c r="AD5" i="81" s="1"/>
  <c r="T6" i="80" a="1"/>
  <c r="T6" i="80" s="1"/>
  <c r="AD10" i="79" a="1"/>
  <c r="AD10" i="79" s="1"/>
  <c r="V9" i="80" a="1"/>
  <c r="V9" i="80" s="1"/>
  <c r="W6" i="81" a="1"/>
  <c r="W6" i="81" s="1"/>
  <c r="AE6" i="81" a="1"/>
  <c r="AE6" i="81" s="1"/>
  <c r="X6" i="81" a="1"/>
  <c r="X6" i="81" s="1"/>
  <c r="AF6" i="81" a="1"/>
  <c r="AF6" i="81" s="1"/>
  <c r="T7" i="81" a="1"/>
  <c r="T7" i="81" s="1"/>
  <c r="AB7" i="81" a="1"/>
  <c r="AB7" i="81" s="1"/>
  <c r="AJ7" i="81" a="1"/>
  <c r="AJ7" i="81" s="1"/>
  <c r="S7" i="81" a="1"/>
  <c r="S7" i="81" s="1"/>
  <c r="AA7" i="81" a="1"/>
  <c r="AA7" i="81" s="1"/>
  <c r="AI7" i="81" a="1"/>
  <c r="AI7" i="81" s="1"/>
  <c r="Q2" i="81" a="1"/>
  <c r="Q2" i="81" s="1"/>
  <c r="Y2" i="81" a="1"/>
  <c r="Y2" i="81" s="1"/>
  <c r="AB2" i="81" a="1"/>
  <c r="AB2" i="81" s="1"/>
  <c r="V2" i="81" a="1"/>
  <c r="V2" i="81" s="1"/>
  <c r="AJ2" i="81" a="1"/>
  <c r="AJ2" i="81" s="1"/>
  <c r="AG2" i="81" a="1"/>
  <c r="AG2" i="81" s="1"/>
  <c r="R8" i="81" a="1"/>
  <c r="R8" i="81" s="1"/>
  <c r="Z8" i="81" a="1"/>
  <c r="Z8" i="81" s="1"/>
  <c r="AH8" i="81" a="1"/>
  <c r="AH8" i="81" s="1"/>
  <c r="Q8" i="81" a="1"/>
  <c r="Q8" i="81" s="1"/>
  <c r="Y8" i="81" a="1"/>
  <c r="Y8" i="81" s="1"/>
  <c r="AG8" i="81" a="1"/>
  <c r="AG8" i="81" s="1"/>
  <c r="Q10" i="81" a="1"/>
  <c r="Q10" i="81" s="1"/>
  <c r="Y10" i="81" a="1"/>
  <c r="Y10" i="81" s="1"/>
  <c r="AG10" i="81" a="1"/>
  <c r="AG10" i="81" s="1"/>
  <c r="R10" i="81" a="1"/>
  <c r="R10" i="81" s="1"/>
  <c r="Z10" i="81" a="1"/>
  <c r="Z10" i="81" s="1"/>
  <c r="AH10" i="81" a="1"/>
  <c r="AH10" i="81" s="1"/>
  <c r="Q9" i="81" a="1"/>
  <c r="Q9" i="81" s="1"/>
  <c r="Y9" i="81" a="1"/>
  <c r="Y9" i="81" s="1"/>
  <c r="AG9" i="81" a="1"/>
  <c r="AG9" i="81" s="1"/>
  <c r="R9" i="81" a="1"/>
  <c r="R9" i="81" s="1"/>
  <c r="Z9" i="81" a="1"/>
  <c r="Z9" i="81" s="1"/>
  <c r="AH9" i="81" a="1"/>
  <c r="AH9" i="81" s="1"/>
  <c r="X3" i="81" a="1"/>
  <c r="X3" i="81" s="1"/>
  <c r="V3" i="81" a="1"/>
  <c r="V3" i="81" s="1"/>
  <c r="AD3" i="81" a="1"/>
  <c r="AD3" i="81" s="1"/>
  <c r="W3" i="81" a="1"/>
  <c r="W3" i="81" s="1"/>
  <c r="AE3" i="81" a="1"/>
  <c r="AE3" i="81" s="1"/>
  <c r="Y4" i="81" a="1"/>
  <c r="Y4" i="81" s="1"/>
  <c r="AI4" i="81" a="1"/>
  <c r="AI4" i="81" s="1"/>
  <c r="V4" i="81" a="1"/>
  <c r="V4" i="81" s="1"/>
  <c r="AD4" i="81" a="1"/>
  <c r="AD4" i="81" s="1"/>
  <c r="X11" i="81" a="1"/>
  <c r="X11" i="81" s="1"/>
  <c r="AF11" i="81" a="1"/>
  <c r="AF11" i="81" s="1"/>
  <c r="W11" i="81" a="1"/>
  <c r="W11" i="81" s="1"/>
  <c r="AE11" i="81" a="1"/>
  <c r="AE11" i="81" s="1"/>
  <c r="U5" i="81" a="1"/>
  <c r="U5" i="81" s="1"/>
  <c r="AC5" i="81" a="1"/>
  <c r="AC5" i="81" s="1"/>
  <c r="X5" i="81" a="1"/>
  <c r="X5" i="81" s="1"/>
  <c r="AF5" i="81" a="1"/>
  <c r="AF5" i="81" s="1"/>
  <c r="AD6" i="80" a="1"/>
  <c r="AD6" i="80" s="1"/>
  <c r="Z3" i="78" a="1"/>
  <c r="Z3" i="78" s="1"/>
  <c r="AJ3" i="80" a="1"/>
  <c r="AJ3" i="80" s="1"/>
  <c r="Q6" i="81" a="1"/>
  <c r="Q6" i="81" s="1"/>
  <c r="Y6" i="81" a="1"/>
  <c r="Y6" i="81" s="1"/>
  <c r="AG6" i="81" a="1"/>
  <c r="AG6" i="81" s="1"/>
  <c r="R6" i="81" a="1"/>
  <c r="R6" i="81" s="1"/>
  <c r="Z6" i="81" a="1"/>
  <c r="Z6" i="81" s="1"/>
  <c r="V7" i="81" a="1"/>
  <c r="V7" i="81" s="1"/>
  <c r="AD7" i="81" a="1"/>
  <c r="AD7" i="81" s="1"/>
  <c r="U7" i="81" a="1"/>
  <c r="U7" i="81" s="1"/>
  <c r="AC7" i="81" a="1"/>
  <c r="AC7" i="81" s="1"/>
  <c r="S2" i="81" a="1"/>
  <c r="S2" i="81" s="1"/>
  <c r="AD2" i="81" a="1"/>
  <c r="AD2" i="81" s="1"/>
  <c r="X2" i="81" a="1"/>
  <c r="X2" i="81" s="1"/>
  <c r="AA2" i="81" a="1"/>
  <c r="AA2" i="81" s="1"/>
  <c r="T8" i="81" a="1"/>
  <c r="T8" i="81" s="1"/>
  <c r="AB8" i="81" a="1"/>
  <c r="AB8" i="81" s="1"/>
  <c r="AJ8" i="81" a="1"/>
  <c r="AJ8" i="81" s="1"/>
  <c r="S8" i="81" a="1"/>
  <c r="S8" i="81" s="1"/>
  <c r="AA8" i="81" a="1"/>
  <c r="AA8" i="81" s="1"/>
  <c r="AI8" i="81" a="1"/>
  <c r="AI8" i="81" s="1"/>
  <c r="S10" i="81" a="1"/>
  <c r="S10" i="81" s="1"/>
  <c r="AA10" i="81" a="1"/>
  <c r="AA10" i="81" s="1"/>
  <c r="AI10" i="81" a="1"/>
  <c r="AI10" i="81" s="1"/>
  <c r="T10" i="81" a="1"/>
  <c r="T10" i="81" s="1"/>
  <c r="AB10" i="81" a="1"/>
  <c r="AB10" i="81" s="1"/>
  <c r="AJ10" i="81" a="1"/>
  <c r="AJ10" i="81" s="1"/>
  <c r="S9" i="81" a="1"/>
  <c r="S9" i="81" s="1"/>
  <c r="AA9" i="81" a="1"/>
  <c r="AA9" i="81" s="1"/>
  <c r="AI9" i="81" a="1"/>
  <c r="AI9" i="81" s="1"/>
  <c r="T9" i="81" a="1"/>
  <c r="T9" i="81" s="1"/>
  <c r="AB9" i="81" a="1"/>
  <c r="AB9" i="81" s="1"/>
  <c r="AJ9" i="81" a="1"/>
  <c r="AJ9" i="81" s="1"/>
  <c r="AB3" i="81" a="1"/>
  <c r="AB3" i="81" s="1"/>
  <c r="Z3" i="81" a="1"/>
  <c r="Z3" i="81" s="1"/>
  <c r="AF3" i="81" a="1"/>
  <c r="AF3" i="81" s="1"/>
  <c r="Q3" i="81" a="1"/>
  <c r="Q3" i="81" s="1"/>
  <c r="Y3" i="81" a="1"/>
  <c r="Y3" i="81" s="1"/>
  <c r="AG3" i="81" a="1"/>
  <c r="AG3" i="81" s="1"/>
  <c r="W4" i="81" a="1"/>
  <c r="W4" i="81" s="1"/>
  <c r="X4" i="81" a="1"/>
  <c r="X4" i="81" s="1"/>
  <c r="R11" i="81" a="1"/>
  <c r="R11" i="81" s="1"/>
  <c r="Z11" i="81" a="1"/>
  <c r="Z11" i="81" s="1"/>
  <c r="AH11" i="81" a="1"/>
  <c r="AH11" i="81" s="1"/>
  <c r="Q11" i="81" a="1"/>
  <c r="Q11" i="81" s="1"/>
  <c r="Y11" i="81" a="1"/>
  <c r="Y11" i="81" s="1"/>
  <c r="AG11" i="81" a="1"/>
  <c r="AG11" i="81" s="1"/>
  <c r="W5" i="81" a="1"/>
  <c r="W5" i="81" s="1"/>
  <c r="AE5" i="81" a="1"/>
  <c r="AE5" i="81" s="1"/>
  <c r="R5" i="81" a="1"/>
  <c r="R5" i="81" s="1"/>
  <c r="Z5" i="81" a="1"/>
  <c r="Z5" i="81" s="1"/>
  <c r="AH5" i="81" a="1"/>
  <c r="AH5" i="81" s="1"/>
  <c r="AA10" i="78" a="1"/>
  <c r="AA10" i="78" s="1"/>
  <c r="AE7" i="79" a="1"/>
  <c r="AE7" i="79" s="1"/>
  <c r="AC5" i="80" a="1"/>
  <c r="AC5" i="80" s="1"/>
  <c r="AF8" i="80" a="1"/>
  <c r="AF8" i="80" s="1"/>
  <c r="S3" i="80" a="1"/>
  <c r="S3" i="80" s="1"/>
  <c r="S6" i="81" a="1"/>
  <c r="S6" i="81" s="1"/>
  <c r="AA6" i="81" a="1"/>
  <c r="AA6" i="81" s="1"/>
  <c r="AI6" i="81" a="1"/>
  <c r="AI6" i="81" s="1"/>
  <c r="T6" i="81" a="1"/>
  <c r="T6" i="81" s="1"/>
  <c r="AB6" i="81" a="1"/>
  <c r="AB6" i="81" s="1"/>
  <c r="X7" i="81" a="1"/>
  <c r="X7" i="81" s="1"/>
  <c r="AF7" i="81" a="1"/>
  <c r="AF7" i="81" s="1"/>
  <c r="W7" i="81" a="1"/>
  <c r="W7" i="81" s="1"/>
  <c r="U2" i="81" a="1"/>
  <c r="U2" i="81" s="1"/>
  <c r="AH2" i="81" a="1"/>
  <c r="AH2" i="81" s="1"/>
  <c r="R2" i="81" a="1"/>
  <c r="R2" i="81" s="1"/>
  <c r="Z2" i="81" a="1"/>
  <c r="Z2" i="81" s="1"/>
  <c r="V8" i="81" a="1"/>
  <c r="V8" i="81" s="1"/>
  <c r="AD8" i="81" a="1"/>
  <c r="AD8" i="81" s="1"/>
  <c r="U8" i="81" a="1"/>
  <c r="U8" i="81" s="1"/>
  <c r="U10" i="81" a="1"/>
  <c r="U10" i="81" s="1"/>
  <c r="AC10" i="81" a="1"/>
  <c r="AC10" i="81" s="1"/>
  <c r="V10" i="81" a="1"/>
  <c r="V10" i="81" s="1"/>
  <c r="U9" i="81" a="1"/>
  <c r="U9" i="81" s="1"/>
  <c r="AC9" i="81" a="1"/>
  <c r="AC9" i="81" s="1"/>
  <c r="V9" i="81" a="1"/>
  <c r="V9" i="81" s="1"/>
  <c r="AH3" i="81" a="1"/>
  <c r="AH3" i="81" s="1"/>
  <c r="S3" i="81" a="1"/>
  <c r="S3" i="81" s="1"/>
  <c r="AA3" i="81" a="1"/>
  <c r="AA3" i="81" s="1"/>
  <c r="T11" i="81" a="1"/>
  <c r="T11" i="81" s="1"/>
  <c r="AB11" i="81" a="1"/>
  <c r="AB11" i="81" s="1"/>
  <c r="AJ11" i="81" a="1"/>
  <c r="AJ11" i="81" s="1"/>
  <c r="AA11" i="81" a="1"/>
  <c r="AA11" i="81" s="1"/>
  <c r="Y5" i="81" a="1"/>
  <c r="Y5" i="81" s="1"/>
  <c r="T5" i="81" a="1"/>
  <c r="T5" i="81" s="1"/>
  <c r="AB5" i="81" a="1"/>
  <c r="AB5" i="81" s="1"/>
  <c r="X7" i="80" a="1"/>
  <c r="X7" i="80" s="1"/>
  <c r="AF4" i="80" a="1"/>
  <c r="AF4" i="80" s="1"/>
  <c r="AG11" i="80" a="1"/>
  <c r="AG11" i="80" s="1"/>
  <c r="AH3" i="79" a="1"/>
  <c r="AH3" i="79" s="1"/>
  <c r="T9" i="79" a="1"/>
  <c r="T9" i="79" s="1"/>
  <c r="AG9" i="80" a="1"/>
  <c r="AG9" i="80" s="1"/>
  <c r="AJ9" i="80" a="1"/>
  <c r="AJ9" i="80" s="1"/>
  <c r="T4" i="78" a="1"/>
  <c r="T4" i="78" s="1"/>
  <c r="AH8" i="80" a="1"/>
  <c r="AH8" i="80" s="1"/>
  <c r="AA3" i="80" a="1"/>
  <c r="AA3" i="80" s="1"/>
  <c r="T3" i="80" a="1"/>
  <c r="T3" i="80" s="1"/>
  <c r="AI3" i="80" a="1"/>
  <c r="AI3" i="80" s="1"/>
  <c r="AB3" i="80" a="1"/>
  <c r="AB3" i="80" s="1"/>
  <c r="AI11" i="78" a="1"/>
  <c r="AI11" i="78" s="1"/>
  <c r="Y7" i="80" a="1"/>
  <c r="Y7" i="80" s="1"/>
  <c r="T10" i="79" a="1"/>
  <c r="T10" i="79" s="1"/>
  <c r="X2" i="80" a="1"/>
  <c r="X2" i="80" s="1"/>
  <c r="X5" i="80" a="1"/>
  <c r="X5" i="80" s="1"/>
  <c r="AC8" i="79" a="1"/>
  <c r="AC8" i="79" s="1"/>
  <c r="S3" i="79" a="1"/>
  <c r="S3" i="79" s="1"/>
  <c r="X9" i="80" a="1"/>
  <c r="X9" i="80" s="1"/>
  <c r="Z9" i="80" a="1"/>
  <c r="Z9" i="80" s="1"/>
  <c r="AC8" i="80" a="1"/>
  <c r="AC8" i="80" s="1"/>
  <c r="AE3" i="80" a="1"/>
  <c r="AE3" i="80" s="1"/>
  <c r="AC6" i="80" a="1"/>
  <c r="AC6" i="80" s="1"/>
  <c r="AE6" i="80" a="1"/>
  <c r="AE6" i="80" s="1"/>
  <c r="V7" i="80" a="1"/>
  <c r="V7" i="80" s="1"/>
  <c r="U4" i="80" a="1"/>
  <c r="U4" i="80" s="1"/>
  <c r="AJ6" i="78" a="1"/>
  <c r="AJ6" i="78" s="1"/>
  <c r="AJ11" i="80" a="1"/>
  <c r="AJ11" i="80" s="1"/>
  <c r="Q9" i="80" a="1"/>
  <c r="Q9" i="80" s="1"/>
  <c r="AH3" i="80" a="1"/>
  <c r="AH3" i="80" s="1"/>
  <c r="W6" i="80" a="1"/>
  <c r="W6" i="80" s="1"/>
  <c r="AF10" i="80" a="1"/>
  <c r="AF10" i="80" s="1"/>
  <c r="AG10" i="80" a="1"/>
  <c r="AG10" i="80" s="1"/>
  <c r="AF2" i="80" a="1"/>
  <c r="AF2" i="80" s="1"/>
  <c r="W2" i="80" a="1"/>
  <c r="W2" i="80" s="1"/>
  <c r="AE2" i="80" a="1"/>
  <c r="AE2" i="80" s="1"/>
  <c r="W8" i="80" a="1"/>
  <c r="W8" i="80" s="1"/>
  <c r="R8" i="80" a="1"/>
  <c r="R8" i="80" s="1"/>
  <c r="AD4" i="79" a="1"/>
  <c r="AD4" i="79" s="1"/>
  <c r="T11" i="78" a="1"/>
  <c r="T11" i="78" s="1"/>
  <c r="AB6" i="80" a="1"/>
  <c r="AB6" i="80" s="1"/>
  <c r="X6" i="80" a="1"/>
  <c r="X6" i="80" s="1"/>
  <c r="AH6" i="80" a="1"/>
  <c r="AH6" i="80" s="1"/>
  <c r="Q6" i="80" a="1"/>
  <c r="Q6" i="80" s="1"/>
  <c r="Y6" i="80" a="1"/>
  <c r="Y6" i="80" s="1"/>
  <c r="AG6" i="80" a="1"/>
  <c r="AG6" i="80" s="1"/>
  <c r="T10" i="78" a="1"/>
  <c r="T10" i="78" s="1"/>
  <c r="Z7" i="80" a="1"/>
  <c r="Z7" i="80" s="1"/>
  <c r="Q7" i="80" a="1"/>
  <c r="Q7" i="80" s="1"/>
  <c r="AI7" i="80" a="1"/>
  <c r="AI7" i="80" s="1"/>
  <c r="AB7" i="80" a="1"/>
  <c r="AB7" i="80" s="1"/>
  <c r="R7" i="80" a="1"/>
  <c r="R7" i="80" s="1"/>
  <c r="AG7" i="80" a="1"/>
  <c r="AG7" i="80" s="1"/>
  <c r="AE10" i="79" a="1"/>
  <c r="AE10" i="79" s="1"/>
  <c r="W6" i="79" a="1"/>
  <c r="W6" i="79" s="1"/>
  <c r="AC9" i="78" a="1"/>
  <c r="AC9" i="78" s="1"/>
  <c r="Y4" i="80" a="1"/>
  <c r="Y4" i="80" s="1"/>
  <c r="R4" i="80" a="1"/>
  <c r="R4" i="80" s="1"/>
  <c r="AH4" i="80" a="1"/>
  <c r="AH4" i="80" s="1"/>
  <c r="AA4" i="80" a="1"/>
  <c r="AA4" i="80" s="1"/>
  <c r="X4" i="80" a="1"/>
  <c r="X4" i="80" s="1"/>
  <c r="AJ4" i="80" a="1"/>
  <c r="AJ4" i="80" s="1"/>
  <c r="R10" i="80" a="1"/>
  <c r="R10" i="80" s="1"/>
  <c r="Z10" i="80" a="1"/>
  <c r="Z10" i="80" s="1"/>
  <c r="AH10" i="80" a="1"/>
  <c r="AH10" i="80" s="1"/>
  <c r="S10" i="80" a="1"/>
  <c r="S10" i="80" s="1"/>
  <c r="AA10" i="80" a="1"/>
  <c r="AA10" i="80" s="1"/>
  <c r="AI10" i="80" a="1"/>
  <c r="AI10" i="80" s="1"/>
  <c r="Z5" i="79" a="1"/>
  <c r="Z5" i="79" s="1"/>
  <c r="Y5" i="79" a="1"/>
  <c r="Y5" i="79" s="1"/>
  <c r="Z2" i="79" a="1"/>
  <c r="Z2" i="79" s="1"/>
  <c r="Y2" i="79" a="1"/>
  <c r="Y2" i="79" s="1"/>
  <c r="R2" i="80" a="1"/>
  <c r="R2" i="80" s="1"/>
  <c r="Z2" i="80" a="1"/>
  <c r="Z2" i="80" s="1"/>
  <c r="AH2" i="80" a="1"/>
  <c r="AH2" i="80" s="1"/>
  <c r="Q2" i="80" a="1"/>
  <c r="Q2" i="80" s="1"/>
  <c r="Y2" i="80" a="1"/>
  <c r="Y2" i="80" s="1"/>
  <c r="AG2" i="80" a="1"/>
  <c r="AG2" i="80" s="1"/>
  <c r="U7" i="79" a="1"/>
  <c r="U7" i="79" s="1"/>
  <c r="R5" i="80" a="1"/>
  <c r="R5" i="80" s="1"/>
  <c r="Z5" i="80" a="1"/>
  <c r="Z5" i="80" s="1"/>
  <c r="AH5" i="80" a="1"/>
  <c r="AH5" i="80" s="1"/>
  <c r="Q5" i="80" a="1"/>
  <c r="Q5" i="80" s="1"/>
  <c r="Y5" i="80" a="1"/>
  <c r="Y5" i="80" s="1"/>
  <c r="AG5" i="80" a="1"/>
  <c r="AG5" i="80" s="1"/>
  <c r="X8" i="79" a="1"/>
  <c r="X8" i="79" s="1"/>
  <c r="Q11" i="80" a="1"/>
  <c r="Q11" i="80" s="1"/>
  <c r="R11" i="80" a="1"/>
  <c r="R11" i="80" s="1"/>
  <c r="S11" i="80" a="1"/>
  <c r="S11" i="80" s="1"/>
  <c r="U11" i="80" a="1"/>
  <c r="U11" i="80" s="1"/>
  <c r="AC11" i="80" a="1"/>
  <c r="AC11" i="80" s="1"/>
  <c r="AA3" i="79" a="1"/>
  <c r="AA3" i="79" s="1"/>
  <c r="T3" i="79" a="1"/>
  <c r="T3" i="79" s="1"/>
  <c r="AE9" i="79" a="1"/>
  <c r="AE9" i="79" s="1"/>
  <c r="Q9" i="79" a="1"/>
  <c r="Q9" i="79" s="1"/>
  <c r="AE9" i="80" a="1"/>
  <c r="AE9" i="80" s="1"/>
  <c r="AB9" i="80" a="1"/>
  <c r="AB9" i="80" s="1"/>
  <c r="U9" i="80" a="1"/>
  <c r="U9" i="80" s="1"/>
  <c r="AD9" i="80" a="1"/>
  <c r="AD9" i="80" s="1"/>
  <c r="S4" i="78" a="1"/>
  <c r="S4" i="78" s="1"/>
  <c r="Q8" i="80" a="1"/>
  <c r="Q8" i="80" s="1"/>
  <c r="Y8" i="80" a="1"/>
  <c r="Y8" i="80" s="1"/>
  <c r="AG8" i="80" a="1"/>
  <c r="AG8" i="80" s="1"/>
  <c r="T8" i="80" a="1"/>
  <c r="T8" i="80" s="1"/>
  <c r="AB8" i="80" a="1"/>
  <c r="AB8" i="80" s="1"/>
  <c r="AJ8" i="80" a="1"/>
  <c r="AJ8" i="80" s="1"/>
  <c r="AD11" i="79" a="1"/>
  <c r="AD11" i="79" s="1"/>
  <c r="U3" i="80" a="1"/>
  <c r="U3" i="80" s="1"/>
  <c r="AC3" i="80" a="1"/>
  <c r="AC3" i="80" s="1"/>
  <c r="V3" i="80" a="1"/>
  <c r="V3" i="80" s="1"/>
  <c r="AD3" i="80" a="1"/>
  <c r="AD3" i="80" s="1"/>
  <c r="AE7" i="80" a="1"/>
  <c r="AE7" i="80" s="1"/>
  <c r="AC7" i="80" a="1"/>
  <c r="AC7" i="80" s="1"/>
  <c r="AD4" i="80" a="1"/>
  <c r="AD4" i="80" s="1"/>
  <c r="T4" i="80" a="1"/>
  <c r="T4" i="80" s="1"/>
  <c r="Q10" i="80" a="1"/>
  <c r="Q10" i="80" s="1"/>
  <c r="AA11" i="80" a="1"/>
  <c r="AA11" i="80" s="1"/>
  <c r="AI11" i="80" a="1"/>
  <c r="AI11" i="80" s="1"/>
  <c r="Z8" i="80" a="1"/>
  <c r="Z8" i="80" s="1"/>
  <c r="AB11" i="78" a="1"/>
  <c r="AB11" i="78" s="1"/>
  <c r="R6" i="80" a="1"/>
  <c r="R6" i="80" s="1"/>
  <c r="AJ6" i="80" a="1"/>
  <c r="AJ6" i="80" s="1"/>
  <c r="S6" i="80" a="1"/>
  <c r="S6" i="80" s="1"/>
  <c r="AA6" i="80" a="1"/>
  <c r="AA6" i="80" s="1"/>
  <c r="AI6" i="80" a="1"/>
  <c r="AI6" i="80" s="1"/>
  <c r="AD7" i="80" a="1"/>
  <c r="AD7" i="80" s="1"/>
  <c r="W7" i="80" a="1"/>
  <c r="W7" i="80" s="1"/>
  <c r="AF7" i="80" a="1"/>
  <c r="AF7" i="80" s="1"/>
  <c r="U7" i="80" a="1"/>
  <c r="U7" i="80" s="1"/>
  <c r="AC4" i="80" a="1"/>
  <c r="AC4" i="80" s="1"/>
  <c r="V4" i="80" a="1"/>
  <c r="V4" i="80" s="1"/>
  <c r="AE4" i="80" a="1"/>
  <c r="AE4" i="80" s="1"/>
  <c r="AB4" i="80" a="1"/>
  <c r="AB4" i="80" s="1"/>
  <c r="T10" i="80" a="1"/>
  <c r="T10" i="80" s="1"/>
  <c r="AB10" i="80" a="1"/>
  <c r="AB10" i="80" s="1"/>
  <c r="AJ10" i="80" a="1"/>
  <c r="AJ10" i="80" s="1"/>
  <c r="U10" i="80" a="1"/>
  <c r="U10" i="80" s="1"/>
  <c r="AC10" i="80" a="1"/>
  <c r="AC10" i="80" s="1"/>
  <c r="AB5" i="79" a="1"/>
  <c r="AB5" i="79" s="1"/>
  <c r="AA5" i="79" a="1"/>
  <c r="AA5" i="79" s="1"/>
  <c r="AB2" i="79" a="1"/>
  <c r="AB2" i="79" s="1"/>
  <c r="AA2" i="79" a="1"/>
  <c r="AA2" i="79" s="1"/>
  <c r="T2" i="80" a="1"/>
  <c r="T2" i="80" s="1"/>
  <c r="AB2" i="80" a="1"/>
  <c r="AB2" i="80" s="1"/>
  <c r="AJ2" i="80" a="1"/>
  <c r="AJ2" i="80" s="1"/>
  <c r="S2" i="80" a="1"/>
  <c r="S2" i="80" s="1"/>
  <c r="AA2" i="80" a="1"/>
  <c r="AA2" i="80" s="1"/>
  <c r="AI2" i="80" a="1"/>
  <c r="AI2" i="80" s="1"/>
  <c r="V7" i="79" a="1"/>
  <c r="V7" i="79" s="1"/>
  <c r="T5" i="80" a="1"/>
  <c r="T5" i="80" s="1"/>
  <c r="AB5" i="80" a="1"/>
  <c r="AB5" i="80" s="1"/>
  <c r="AJ5" i="80" a="1"/>
  <c r="AJ5" i="80" s="1"/>
  <c r="S5" i="80" a="1"/>
  <c r="S5" i="80" s="1"/>
  <c r="AA5" i="80" a="1"/>
  <c r="AA5" i="80" s="1"/>
  <c r="AI5" i="80" a="1"/>
  <c r="AI5" i="80" s="1"/>
  <c r="T11" i="80" a="1"/>
  <c r="T11" i="80" s="1"/>
  <c r="V11" i="80" a="1"/>
  <c r="V11" i="80" s="1"/>
  <c r="X11" i="80" a="1"/>
  <c r="X11" i="80" s="1"/>
  <c r="Z11" i="80" a="1"/>
  <c r="Z11" i="80" s="1"/>
  <c r="W11" i="80" a="1"/>
  <c r="W11" i="80" s="1"/>
  <c r="AE11" i="80" a="1"/>
  <c r="AE11" i="80" s="1"/>
  <c r="R3" i="79" a="1"/>
  <c r="R3" i="79" s="1"/>
  <c r="AI3" i="79" a="1"/>
  <c r="AI3" i="79" s="1"/>
  <c r="AB3" i="79" a="1"/>
  <c r="AB3" i="79" s="1"/>
  <c r="R9" i="79" a="1"/>
  <c r="R9" i="79" s="1"/>
  <c r="S9" i="80" a="1"/>
  <c r="S9" i="80" s="1"/>
  <c r="AI9" i="80" a="1"/>
  <c r="AI9" i="80" s="1"/>
  <c r="AF9" i="80" a="1"/>
  <c r="AF9" i="80" s="1"/>
  <c r="Y9" i="80" a="1"/>
  <c r="Y9" i="80" s="1"/>
  <c r="R9" i="80" a="1"/>
  <c r="R9" i="80" s="1"/>
  <c r="AH9" i="80" a="1"/>
  <c r="AH9" i="80" s="1"/>
  <c r="S8" i="80" a="1"/>
  <c r="S8" i="80" s="1"/>
  <c r="AA8" i="80" a="1"/>
  <c r="AA8" i="80" s="1"/>
  <c r="AI8" i="80" a="1"/>
  <c r="AI8" i="80" s="1"/>
  <c r="V8" i="80" a="1"/>
  <c r="V8" i="80" s="1"/>
  <c r="AD8" i="80" a="1"/>
  <c r="AD8" i="80" s="1"/>
  <c r="W3" i="80" a="1"/>
  <c r="W3" i="80" s="1"/>
  <c r="X3" i="80" a="1"/>
  <c r="X3" i="80" s="1"/>
  <c r="AF3" i="80" a="1"/>
  <c r="AF3" i="80" s="1"/>
  <c r="W4" i="80" a="1"/>
  <c r="W4" i="80" s="1"/>
  <c r="X10" i="80" a="1"/>
  <c r="X10" i="80" s="1"/>
  <c r="Y10" i="80" a="1"/>
  <c r="Y10" i="80" s="1"/>
  <c r="AF5" i="80" a="1"/>
  <c r="AF5" i="80" s="1"/>
  <c r="W5" i="80" a="1"/>
  <c r="W5" i="80" s="1"/>
  <c r="AE5" i="80" a="1"/>
  <c r="AE5" i="80" s="1"/>
  <c r="AE8" i="80" a="1"/>
  <c r="AE8" i="80" s="1"/>
  <c r="AI4" i="79" a="1"/>
  <c r="AI4" i="79" s="1"/>
  <c r="V6" i="80" a="1"/>
  <c r="V6" i="80" s="1"/>
  <c r="Z6" i="80" a="1"/>
  <c r="Z6" i="80" s="1"/>
  <c r="U6" i="80" a="1"/>
  <c r="U6" i="80" s="1"/>
  <c r="S10" i="78" a="1"/>
  <c r="S10" i="78" s="1"/>
  <c r="S7" i="80" a="1"/>
  <c r="S7" i="80" s="1"/>
  <c r="AH7" i="80" a="1"/>
  <c r="AH7" i="80" s="1"/>
  <c r="AA7" i="80" a="1"/>
  <c r="AA7" i="80" s="1"/>
  <c r="T7" i="80" a="1"/>
  <c r="T7" i="80" s="1"/>
  <c r="AJ7" i="80" a="1"/>
  <c r="AJ7" i="80" s="1"/>
  <c r="AD6" i="79" a="1"/>
  <c r="AD6" i="79" s="1"/>
  <c r="Q4" i="80" a="1"/>
  <c r="Q4" i="80" s="1"/>
  <c r="AG4" i="80" a="1"/>
  <c r="AG4" i="80" s="1"/>
  <c r="Z4" i="80" a="1"/>
  <c r="Z4" i="80" s="1"/>
  <c r="S4" i="80" a="1"/>
  <c r="S4" i="80" s="1"/>
  <c r="AI4" i="80" a="1"/>
  <c r="AI4" i="80" s="1"/>
  <c r="AA6" i="78" a="1"/>
  <c r="AA6" i="78" s="1"/>
  <c r="V10" i="80" a="1"/>
  <c r="V10" i="80" s="1"/>
  <c r="AD10" i="80" a="1"/>
  <c r="AD10" i="80" s="1"/>
  <c r="W10" i="80" a="1"/>
  <c r="W10" i="80" s="1"/>
  <c r="R5" i="79" a="1"/>
  <c r="R5" i="79" s="1"/>
  <c r="AH5" i="79" a="1"/>
  <c r="AH5" i="79" s="1"/>
  <c r="Q5" i="79" a="1"/>
  <c r="Q5" i="79" s="1"/>
  <c r="AG5" i="79" a="1"/>
  <c r="AG5" i="79" s="1"/>
  <c r="R2" i="79" a="1"/>
  <c r="R2" i="79" s="1"/>
  <c r="AH2" i="79" a="1"/>
  <c r="AH2" i="79" s="1"/>
  <c r="Q2" i="79" a="1"/>
  <c r="Q2" i="79" s="1"/>
  <c r="AG2" i="79" a="1"/>
  <c r="AG2" i="79" s="1"/>
  <c r="V2" i="80" a="1"/>
  <c r="V2" i="80" s="1"/>
  <c r="AD2" i="80" a="1"/>
  <c r="AD2" i="80" s="1"/>
  <c r="U2" i="80" a="1"/>
  <c r="U2" i="80" s="1"/>
  <c r="AJ7" i="79" a="1"/>
  <c r="AJ7" i="79" s="1"/>
  <c r="V5" i="80" a="1"/>
  <c r="V5" i="80" s="1"/>
  <c r="AD5" i="80" a="1"/>
  <c r="AD5" i="80" s="1"/>
  <c r="U5" i="80" a="1"/>
  <c r="U5" i="80" s="1"/>
  <c r="AB11" i="80" a="1"/>
  <c r="AB11" i="80" s="1"/>
  <c r="AD11" i="80" a="1"/>
  <c r="AD11" i="80" s="1"/>
  <c r="AF11" i="80" a="1"/>
  <c r="AF11" i="80" s="1"/>
  <c r="AH11" i="80" a="1"/>
  <c r="AH11" i="80" s="1"/>
  <c r="Y11" i="80" a="1"/>
  <c r="Y11" i="80" s="1"/>
  <c r="AJ3" i="79" a="1"/>
  <c r="AJ3" i="79" s="1"/>
  <c r="W9" i="80" a="1"/>
  <c r="W9" i="80" s="1"/>
  <c r="T9" i="80" a="1"/>
  <c r="T9" i="80" s="1"/>
  <c r="AC9" i="80" a="1"/>
  <c r="AC9" i="80" s="1"/>
  <c r="U8" i="80" a="1"/>
  <c r="U8" i="80" s="1"/>
  <c r="X8" i="80" a="1"/>
  <c r="X8" i="80" s="1"/>
  <c r="W11" i="79" a="1"/>
  <c r="W11" i="79" s="1"/>
  <c r="Q3" i="80" a="1"/>
  <c r="Q3" i="80" s="1"/>
  <c r="Y3" i="80" a="1"/>
  <c r="Y3" i="80" s="1"/>
  <c r="AG3" i="80" a="1"/>
  <c r="AG3" i="80" s="1"/>
  <c r="R3" i="80" a="1"/>
  <c r="R3" i="80" s="1"/>
  <c r="Z3" i="80" a="1"/>
  <c r="Z3" i="80" s="1"/>
  <c r="AD8" i="78" a="1"/>
  <c r="AD8" i="78" s="1"/>
  <c r="AE7" i="78" a="1"/>
  <c r="AE7" i="78" s="1"/>
  <c r="Y10" i="79" a="1"/>
  <c r="Y10" i="79" s="1"/>
  <c r="AE6" i="79" a="1"/>
  <c r="AE6" i="79" s="1"/>
  <c r="X6" i="79" a="1"/>
  <c r="X6" i="79" s="1"/>
  <c r="W8" i="79" a="1"/>
  <c r="W8" i="79" s="1"/>
  <c r="AG9" i="79" a="1"/>
  <c r="AG9" i="79" s="1"/>
  <c r="X11" i="79" a="1"/>
  <c r="X11" i="79" s="1"/>
  <c r="Q4" i="79" a="1"/>
  <c r="Q4" i="79" s="1"/>
  <c r="Y4" i="79" a="1"/>
  <c r="Y4" i="79" s="1"/>
  <c r="T4" i="79" a="1"/>
  <c r="T4" i="79" s="1"/>
  <c r="AB4" i="79" a="1"/>
  <c r="AB4" i="79" s="1"/>
  <c r="AG4" i="79" a="1"/>
  <c r="AG4" i="79" s="1"/>
  <c r="AE11" i="78" a="1"/>
  <c r="AE11" i="78" s="1"/>
  <c r="AJ11" i="78" a="1"/>
  <c r="AJ11" i="78" s="1"/>
  <c r="AC2" i="78" a="1"/>
  <c r="AC2" i="78" s="1"/>
  <c r="AB10" i="78" a="1"/>
  <c r="AB10" i="78" s="1"/>
  <c r="AI5" i="78" a="1"/>
  <c r="AI5" i="78" s="1"/>
  <c r="AB10" i="79" a="1"/>
  <c r="AB10" i="79" s="1"/>
  <c r="Q10" i="79" a="1"/>
  <c r="Q10" i="79" s="1"/>
  <c r="R10" i="79" a="1"/>
  <c r="R10" i="79" s="1"/>
  <c r="S10" i="79" a="1"/>
  <c r="S10" i="79" s="1"/>
  <c r="AA10" i="79" a="1"/>
  <c r="AA10" i="79" s="1"/>
  <c r="AI10" i="79" a="1"/>
  <c r="AI10" i="79" s="1"/>
  <c r="Q6" i="79" a="1"/>
  <c r="Q6" i="79" s="1"/>
  <c r="Y6" i="79" a="1"/>
  <c r="Y6" i="79" s="1"/>
  <c r="AG6" i="79" a="1"/>
  <c r="AG6" i="79" s="1"/>
  <c r="R6" i="79" a="1"/>
  <c r="R6" i="79" s="1"/>
  <c r="Z6" i="79" a="1"/>
  <c r="Z6" i="79" s="1"/>
  <c r="AH6" i="79" a="1"/>
  <c r="AH6" i="79" s="1"/>
  <c r="AF9" i="78" a="1"/>
  <c r="AF9" i="78" s="1"/>
  <c r="AB6" i="78" a="1"/>
  <c r="AB6" i="78" s="1"/>
  <c r="S6" i="78" a="1"/>
  <c r="S6" i="78" s="1"/>
  <c r="W7" i="79" a="1"/>
  <c r="W7" i="79" s="1"/>
  <c r="X7" i="79" a="1"/>
  <c r="X7" i="79" s="1"/>
  <c r="AF7" i="79" a="1"/>
  <c r="AF7" i="79" s="1"/>
  <c r="R8" i="79" a="1"/>
  <c r="R8" i="79" s="1"/>
  <c r="Z8" i="79" a="1"/>
  <c r="Z8" i="79" s="1"/>
  <c r="AH8" i="79" a="1"/>
  <c r="AH8" i="79" s="1"/>
  <c r="Q8" i="79" a="1"/>
  <c r="Q8" i="79" s="1"/>
  <c r="Y8" i="79" a="1"/>
  <c r="Y8" i="79" s="1"/>
  <c r="AG8" i="79" a="1"/>
  <c r="AG8" i="79" s="1"/>
  <c r="U3" i="79" a="1"/>
  <c r="U3" i="79" s="1"/>
  <c r="AC3" i="79" a="1"/>
  <c r="AC3" i="79" s="1"/>
  <c r="V3" i="79" a="1"/>
  <c r="V3" i="79" s="1"/>
  <c r="AD3" i="79" a="1"/>
  <c r="AD3" i="79" s="1"/>
  <c r="V9" i="79" a="1"/>
  <c r="V9" i="79" s="1"/>
  <c r="S9" i="79" a="1"/>
  <c r="S9" i="79" s="1"/>
  <c r="X9" i="79" a="1"/>
  <c r="X9" i="79" s="1"/>
  <c r="AF9" i="79" a="1"/>
  <c r="AF9" i="79" s="1"/>
  <c r="AA9" i="79" a="1"/>
  <c r="AA9" i="79" s="1"/>
  <c r="AI9" i="79" a="1"/>
  <c r="AI9" i="79" s="1"/>
  <c r="X4" i="78" a="1"/>
  <c r="X4" i="78" s="1"/>
  <c r="AG4" i="78" a="1"/>
  <c r="AG4" i="78" s="1"/>
  <c r="AE3" i="78" a="1"/>
  <c r="AE3" i="78" s="1"/>
  <c r="AD3" i="78" a="1"/>
  <c r="AD3" i="78" s="1"/>
  <c r="Q3" i="78" a="1"/>
  <c r="Q3" i="78" s="1"/>
  <c r="Q11" i="79" a="1"/>
  <c r="Q11" i="79" s="1"/>
  <c r="Y11" i="79" a="1"/>
  <c r="Y11" i="79" s="1"/>
  <c r="AG11" i="79" a="1"/>
  <c r="AG11" i="79" s="1"/>
  <c r="R11" i="79" a="1"/>
  <c r="R11" i="79" s="1"/>
  <c r="Z11" i="79" a="1"/>
  <c r="Z11" i="79" s="1"/>
  <c r="AH11" i="79" a="1"/>
  <c r="AH11" i="79" s="1"/>
  <c r="AH7" i="78" a="1"/>
  <c r="AH7" i="78" s="1"/>
  <c r="AD7" i="79" a="1"/>
  <c r="AD7" i="79" s="1"/>
  <c r="AD9" i="79" a="1"/>
  <c r="AD9" i="79" s="1"/>
  <c r="AE4" i="78" a="1"/>
  <c r="AE4" i="78" s="1"/>
  <c r="AE11" i="79" a="1"/>
  <c r="AE11" i="79" s="1"/>
  <c r="AG7" i="78" a="1"/>
  <c r="AG7" i="78" s="1"/>
  <c r="Z7" i="78" a="1"/>
  <c r="Z7" i="78" s="1"/>
  <c r="S4" i="79" a="1"/>
  <c r="S4" i="79" s="1"/>
  <c r="AA4" i="79" a="1"/>
  <c r="AA4" i="79" s="1"/>
  <c r="AE4" i="79" a="1"/>
  <c r="AE4" i="79" s="1"/>
  <c r="V4" i="79" a="1"/>
  <c r="V4" i="79" s="1"/>
  <c r="AF4" i="79" a="1"/>
  <c r="AF4" i="79" s="1"/>
  <c r="AJ4" i="79" a="1"/>
  <c r="AJ4" i="79" s="1"/>
  <c r="S11" i="78" a="1"/>
  <c r="S11" i="78" s="1"/>
  <c r="AH11" i="78" a="1"/>
  <c r="AH11" i="78" s="1"/>
  <c r="AJ10" i="78" a="1"/>
  <c r="AJ10" i="78" s="1"/>
  <c r="T5" i="78" a="1"/>
  <c r="T5" i="78" s="1"/>
  <c r="AJ10" i="79" a="1"/>
  <c r="AJ10" i="79" s="1"/>
  <c r="X10" i="79" a="1"/>
  <c r="X10" i="79" s="1"/>
  <c r="Z10" i="79" a="1"/>
  <c r="Z10" i="79" s="1"/>
  <c r="U10" i="79" a="1"/>
  <c r="U10" i="79" s="1"/>
  <c r="AC10" i="79" a="1"/>
  <c r="AC10" i="79" s="1"/>
  <c r="S6" i="79" a="1"/>
  <c r="S6" i="79" s="1"/>
  <c r="AA6" i="79" a="1"/>
  <c r="AA6" i="79" s="1"/>
  <c r="AI6" i="79" a="1"/>
  <c r="AI6" i="79" s="1"/>
  <c r="T6" i="79" a="1"/>
  <c r="T6" i="79" s="1"/>
  <c r="AB6" i="79" a="1"/>
  <c r="AB6" i="79" s="1"/>
  <c r="AJ6" i="79" a="1"/>
  <c r="AJ6" i="79" s="1"/>
  <c r="V5" i="79" a="1"/>
  <c r="V5" i="79" s="1"/>
  <c r="AD5" i="79" a="1"/>
  <c r="AD5" i="79" s="1"/>
  <c r="U5" i="79" a="1"/>
  <c r="U5" i="79" s="1"/>
  <c r="AC5" i="79" a="1"/>
  <c r="AC5" i="79" s="1"/>
  <c r="V2" i="79" a="1"/>
  <c r="V2" i="79" s="1"/>
  <c r="AD2" i="79" a="1"/>
  <c r="AD2" i="79" s="1"/>
  <c r="U2" i="79" a="1"/>
  <c r="U2" i="79" s="1"/>
  <c r="AC2" i="79" a="1"/>
  <c r="AC2" i="79" s="1"/>
  <c r="Q7" i="79" a="1"/>
  <c r="Q7" i="79" s="1"/>
  <c r="Y7" i="79" a="1"/>
  <c r="Y7" i="79" s="1"/>
  <c r="AG7" i="79" a="1"/>
  <c r="AG7" i="79" s="1"/>
  <c r="R7" i="79" a="1"/>
  <c r="R7" i="79" s="1"/>
  <c r="Z7" i="79" a="1"/>
  <c r="Z7" i="79" s="1"/>
  <c r="AH7" i="79" a="1"/>
  <c r="AH7" i="79" s="1"/>
  <c r="T8" i="79" a="1"/>
  <c r="T8" i="79" s="1"/>
  <c r="AB8" i="79" a="1"/>
  <c r="AB8" i="79" s="1"/>
  <c r="AJ8" i="79" a="1"/>
  <c r="AJ8" i="79" s="1"/>
  <c r="S8" i="79" a="1"/>
  <c r="S8" i="79" s="1"/>
  <c r="AA8" i="79" a="1"/>
  <c r="AA8" i="79" s="1"/>
  <c r="AI8" i="79" a="1"/>
  <c r="AI8" i="79" s="1"/>
  <c r="W3" i="79" a="1"/>
  <c r="W3" i="79" s="1"/>
  <c r="AE3" i="79" a="1"/>
  <c r="AE3" i="79" s="1"/>
  <c r="X3" i="79" a="1"/>
  <c r="X3" i="79" s="1"/>
  <c r="AF3" i="79" a="1"/>
  <c r="AF3" i="79" s="1"/>
  <c r="U9" i="79" a="1"/>
  <c r="U9" i="79" s="1"/>
  <c r="Z9" i="79" a="1"/>
  <c r="Z9" i="79" s="1"/>
  <c r="AH9" i="79" a="1"/>
  <c r="AH9" i="79" s="1"/>
  <c r="AC9" i="79" a="1"/>
  <c r="AC9" i="79" s="1"/>
  <c r="AF4" i="78" a="1"/>
  <c r="AF4" i="78" s="1"/>
  <c r="AI4" i="78" a="1"/>
  <c r="AI4" i="78" s="1"/>
  <c r="R3" i="78" a="1"/>
  <c r="R3" i="78" s="1"/>
  <c r="AH3" i="78" a="1"/>
  <c r="AH3" i="78" s="1"/>
  <c r="Y3" i="78" a="1"/>
  <c r="Y3" i="78" s="1"/>
  <c r="S11" i="79" a="1"/>
  <c r="S11" i="79" s="1"/>
  <c r="AA11" i="79" a="1"/>
  <c r="AA11" i="79" s="1"/>
  <c r="AI11" i="79" a="1"/>
  <c r="AI11" i="79" s="1"/>
  <c r="T11" i="79" a="1"/>
  <c r="T11" i="79" s="1"/>
  <c r="AB11" i="79" a="1"/>
  <c r="AB11" i="79" s="1"/>
  <c r="AJ11" i="79" a="1"/>
  <c r="AJ11" i="79" s="1"/>
  <c r="AE8" i="78" a="1"/>
  <c r="AE8" i="78" s="1"/>
  <c r="Q7" i="78" a="1"/>
  <c r="Q7" i="78" s="1"/>
  <c r="AF7" i="78" a="1"/>
  <c r="AF7" i="78" s="1"/>
  <c r="W4" i="79" a="1"/>
  <c r="W4" i="79" s="1"/>
  <c r="AH4" i="79" a="1"/>
  <c r="AH4" i="79" s="1"/>
  <c r="R4" i="79" a="1"/>
  <c r="R4" i="79" s="1"/>
  <c r="Z4" i="79" a="1"/>
  <c r="Z4" i="79" s="1"/>
  <c r="AC4" i="79" a="1"/>
  <c r="AC4" i="79" s="1"/>
  <c r="AG10" i="79" a="1"/>
  <c r="AG10" i="79" s="1"/>
  <c r="AF6" i="79" a="1"/>
  <c r="AF6" i="79" s="1"/>
  <c r="AC7" i="79" a="1"/>
  <c r="AC7" i="79" s="1"/>
  <c r="AF8" i="79" a="1"/>
  <c r="AF8" i="79" s="1"/>
  <c r="AE8" i="79" a="1"/>
  <c r="AE8" i="79" s="1"/>
  <c r="Y9" i="79" a="1"/>
  <c r="Y9" i="79" s="1"/>
  <c r="AF11" i="79" a="1"/>
  <c r="AF11" i="79" s="1"/>
  <c r="X5" i="77" a="1"/>
  <c r="X5" i="77" s="1"/>
  <c r="AI3" i="77" a="1"/>
  <c r="AI3" i="77" s="1"/>
  <c r="U4" i="79" a="1"/>
  <c r="U4" i="79" s="1"/>
  <c r="X4" i="79" a="1"/>
  <c r="X4" i="79" s="1"/>
  <c r="AA11" i="78" a="1"/>
  <c r="AA11" i="78" s="1"/>
  <c r="AG10" i="78" a="1"/>
  <c r="AG10" i="78" s="1"/>
  <c r="AI10" i="78" a="1"/>
  <c r="AI10" i="78" s="1"/>
  <c r="AJ5" i="78" a="1"/>
  <c r="AJ5" i="78" s="1"/>
  <c r="V10" i="79" a="1"/>
  <c r="V10" i="79" s="1"/>
  <c r="AF10" i="79" a="1"/>
  <c r="AF10" i="79" s="1"/>
  <c r="AH10" i="79" a="1"/>
  <c r="AH10" i="79" s="1"/>
  <c r="W10" i="79" a="1"/>
  <c r="W10" i="79" s="1"/>
  <c r="U6" i="79" a="1"/>
  <c r="U6" i="79" s="1"/>
  <c r="AC6" i="79" a="1"/>
  <c r="AC6" i="79" s="1"/>
  <c r="V6" i="79" a="1"/>
  <c r="V6" i="79" s="1"/>
  <c r="AG6" i="78" a="1"/>
  <c r="AG6" i="78" s="1"/>
  <c r="AI6" i="78" a="1"/>
  <c r="AI6" i="78" s="1"/>
  <c r="X5" i="79" a="1"/>
  <c r="X5" i="79" s="1"/>
  <c r="AF5" i="79" a="1"/>
  <c r="AF5" i="79" s="1"/>
  <c r="W5" i="79" a="1"/>
  <c r="W5" i="79" s="1"/>
  <c r="X2" i="79" a="1"/>
  <c r="X2" i="79" s="1"/>
  <c r="AF2" i="79" a="1"/>
  <c r="AF2" i="79" s="1"/>
  <c r="W2" i="79" a="1"/>
  <c r="W2" i="79" s="1"/>
  <c r="S7" i="79" a="1"/>
  <c r="S7" i="79" s="1"/>
  <c r="AA7" i="79" a="1"/>
  <c r="AA7" i="79" s="1"/>
  <c r="AI7" i="79" a="1"/>
  <c r="AI7" i="79" s="1"/>
  <c r="T7" i="79" a="1"/>
  <c r="T7" i="79" s="1"/>
  <c r="AB7" i="79" a="1"/>
  <c r="AB7" i="79" s="1"/>
  <c r="V8" i="79" a="1"/>
  <c r="V8" i="79" s="1"/>
  <c r="AD8" i="79" a="1"/>
  <c r="AD8" i="79" s="1"/>
  <c r="U8" i="79" a="1"/>
  <c r="U8" i="79" s="1"/>
  <c r="Q3" i="79" a="1"/>
  <c r="Q3" i="79" s="1"/>
  <c r="Y3" i="79" a="1"/>
  <c r="Y3" i="79" s="1"/>
  <c r="AG3" i="79" a="1"/>
  <c r="AG3" i="79" s="1"/>
  <c r="Z3" i="79" a="1"/>
  <c r="Z3" i="79" s="1"/>
  <c r="W9" i="79" a="1"/>
  <c r="W9" i="79" s="1"/>
  <c r="AB9" i="79" a="1"/>
  <c r="AB9" i="79" s="1"/>
  <c r="AJ9" i="79" a="1"/>
  <c r="AJ9" i="79" s="1"/>
  <c r="V4" i="78" a="1"/>
  <c r="V4" i="78" s="1"/>
  <c r="AD4" i="78" a="1"/>
  <c r="AD4" i="78" s="1"/>
  <c r="V3" i="78" a="1"/>
  <c r="V3" i="78" s="1"/>
  <c r="AC3" i="78" a="1"/>
  <c r="AC3" i="78" s="1"/>
  <c r="AG3" i="78" a="1"/>
  <c r="AG3" i="78" s="1"/>
  <c r="U11" i="79" a="1"/>
  <c r="U11" i="79" s="1"/>
  <c r="AC11" i="79" a="1"/>
  <c r="AC11" i="79" s="1"/>
  <c r="V11" i="79" a="1"/>
  <c r="V11" i="79" s="1"/>
  <c r="Y7" i="78" a="1"/>
  <c r="Y7" i="78" s="1"/>
  <c r="R7" i="78" a="1"/>
  <c r="R7" i="78" s="1"/>
  <c r="AF2" i="78" a="1"/>
  <c r="AF2" i="78" s="1"/>
  <c r="W2" i="78" a="1"/>
  <c r="W2" i="78" s="1"/>
  <c r="AB5" i="78" a="1"/>
  <c r="AB5" i="78" s="1"/>
  <c r="U5" i="78" a="1"/>
  <c r="U5" i="78" s="1"/>
  <c r="AE9" i="78" a="1"/>
  <c r="AE9" i="78" s="1"/>
  <c r="W8" i="78" a="1"/>
  <c r="W8" i="78" s="1"/>
  <c r="X8" i="78" a="1"/>
  <c r="X8" i="78" s="1"/>
  <c r="AF8" i="78" a="1"/>
  <c r="AF8" i="78" s="1"/>
  <c r="U8" i="76" a="1"/>
  <c r="U8" i="76" s="1"/>
  <c r="U9" i="77" a="1"/>
  <c r="U9" i="77" s="1"/>
  <c r="AH7" i="77" a="1"/>
  <c r="AH7" i="77" s="1"/>
  <c r="U11" i="78" a="1"/>
  <c r="U11" i="78" s="1"/>
  <c r="AC11" i="78" a="1"/>
  <c r="AC11" i="78" s="1"/>
  <c r="V11" i="78" a="1"/>
  <c r="V11" i="78" s="1"/>
  <c r="AD11" i="78" a="1"/>
  <c r="AD11" i="78" s="1"/>
  <c r="R2" i="78" a="1"/>
  <c r="R2" i="78" s="1"/>
  <c r="Z2" i="78" a="1"/>
  <c r="Z2" i="78" s="1"/>
  <c r="AH2" i="78" a="1"/>
  <c r="AH2" i="78" s="1"/>
  <c r="Q2" i="78" a="1"/>
  <c r="Q2" i="78" s="1"/>
  <c r="Y2" i="78" a="1"/>
  <c r="Y2" i="78" s="1"/>
  <c r="AG2" i="78" a="1"/>
  <c r="AG2" i="78" s="1"/>
  <c r="V10" i="78" a="1"/>
  <c r="V10" i="78" s="1"/>
  <c r="AD10" i="78" a="1"/>
  <c r="AD10" i="78" s="1"/>
  <c r="U10" i="78" a="1"/>
  <c r="U10" i="78" s="1"/>
  <c r="AC10" i="78" a="1"/>
  <c r="AC10" i="78" s="1"/>
  <c r="V5" i="78" a="1"/>
  <c r="V5" i="78" s="1"/>
  <c r="AD5" i="78" a="1"/>
  <c r="AD5" i="78" s="1"/>
  <c r="W5" i="78" a="1"/>
  <c r="W5" i="78" s="1"/>
  <c r="AE5" i="78" a="1"/>
  <c r="AE5" i="78" s="1"/>
  <c r="R9" i="78" a="1"/>
  <c r="R9" i="78" s="1"/>
  <c r="Z9" i="78" a="1"/>
  <c r="Z9" i="78" s="1"/>
  <c r="AH9" i="78" a="1"/>
  <c r="AH9" i="78" s="1"/>
  <c r="Q9" i="78" a="1"/>
  <c r="Q9" i="78" s="1"/>
  <c r="Y9" i="78" a="1"/>
  <c r="Y9" i="78" s="1"/>
  <c r="AG9" i="78" a="1"/>
  <c r="AG9" i="78" s="1"/>
  <c r="V6" i="78" a="1"/>
  <c r="V6" i="78" s="1"/>
  <c r="AD6" i="78" a="1"/>
  <c r="AD6" i="78" s="1"/>
  <c r="U6" i="78" a="1"/>
  <c r="U6" i="78" s="1"/>
  <c r="AC6" i="78" a="1"/>
  <c r="AC6" i="78" s="1"/>
  <c r="AJ4" i="78" a="1"/>
  <c r="AJ4" i="78" s="1"/>
  <c r="U4" i="78" a="1"/>
  <c r="U4" i="78" s="1"/>
  <c r="AH4" i="78" a="1"/>
  <c r="AH4" i="78" s="1"/>
  <c r="W4" i="78" a="1"/>
  <c r="W4" i="78" s="1"/>
  <c r="T3" i="78" a="1"/>
  <c r="T3" i="78" s="1"/>
  <c r="AB3" i="78" a="1"/>
  <c r="AB3" i="78" s="1"/>
  <c r="AJ3" i="78" a="1"/>
  <c r="AJ3" i="78" s="1"/>
  <c r="S3" i="78" a="1"/>
  <c r="S3" i="78" s="1"/>
  <c r="AA3" i="78" a="1"/>
  <c r="AA3" i="78" s="1"/>
  <c r="AI3" i="78" a="1"/>
  <c r="AI3" i="78" s="1"/>
  <c r="Q8" i="78" a="1"/>
  <c r="Q8" i="78" s="1"/>
  <c r="Y8" i="78" a="1"/>
  <c r="Y8" i="78" s="1"/>
  <c r="AG8" i="78" a="1"/>
  <c r="AG8" i="78" s="1"/>
  <c r="R8" i="78" a="1"/>
  <c r="R8" i="78" s="1"/>
  <c r="Z8" i="78" a="1"/>
  <c r="Z8" i="78" s="1"/>
  <c r="AH8" i="78" a="1"/>
  <c r="AH8" i="78" s="1"/>
  <c r="S7" i="78" a="1"/>
  <c r="S7" i="78" s="1"/>
  <c r="AA7" i="78" a="1"/>
  <c r="AA7" i="78" s="1"/>
  <c r="AI7" i="78" a="1"/>
  <c r="AI7" i="78" s="1"/>
  <c r="T7" i="78" a="1"/>
  <c r="T7" i="78" s="1"/>
  <c r="AB7" i="78" a="1"/>
  <c r="AB7" i="78" s="1"/>
  <c r="AJ7" i="78" a="1"/>
  <c r="AJ7" i="78" s="1"/>
  <c r="AC5" i="78" a="1"/>
  <c r="AC5" i="78" s="1"/>
  <c r="S7" i="77" a="1"/>
  <c r="S7" i="77" s="1"/>
  <c r="W11" i="78" a="1"/>
  <c r="W11" i="78" s="1"/>
  <c r="X11" i="78" a="1"/>
  <c r="X11" i="78" s="1"/>
  <c r="AF11" i="78" a="1"/>
  <c r="AF11" i="78" s="1"/>
  <c r="T2" i="78" a="1"/>
  <c r="T2" i="78" s="1"/>
  <c r="AB2" i="78" a="1"/>
  <c r="AB2" i="78" s="1"/>
  <c r="AJ2" i="78" a="1"/>
  <c r="AJ2" i="78" s="1"/>
  <c r="S2" i="78" a="1"/>
  <c r="S2" i="78" s="1"/>
  <c r="AA2" i="78" a="1"/>
  <c r="AA2" i="78" s="1"/>
  <c r="AI2" i="78" a="1"/>
  <c r="AI2" i="78" s="1"/>
  <c r="X10" i="78" a="1"/>
  <c r="X10" i="78" s="1"/>
  <c r="AF10" i="78" a="1"/>
  <c r="AF10" i="78" s="1"/>
  <c r="W10" i="78" a="1"/>
  <c r="W10" i="78" s="1"/>
  <c r="AE10" i="78" a="1"/>
  <c r="AE10" i="78" s="1"/>
  <c r="X5" i="78" a="1"/>
  <c r="X5" i="78" s="1"/>
  <c r="AF5" i="78" a="1"/>
  <c r="AF5" i="78" s="1"/>
  <c r="Q5" i="78" a="1"/>
  <c r="Q5" i="78" s="1"/>
  <c r="Y5" i="78" a="1"/>
  <c r="Y5" i="78" s="1"/>
  <c r="AG5" i="78" a="1"/>
  <c r="AG5" i="78" s="1"/>
  <c r="T9" i="78" a="1"/>
  <c r="T9" i="78" s="1"/>
  <c r="AB9" i="78" a="1"/>
  <c r="AB9" i="78" s="1"/>
  <c r="AJ9" i="78" a="1"/>
  <c r="AJ9" i="78" s="1"/>
  <c r="S9" i="78" a="1"/>
  <c r="S9" i="78" s="1"/>
  <c r="AA9" i="78" a="1"/>
  <c r="AA9" i="78" s="1"/>
  <c r="AI9" i="78" a="1"/>
  <c r="AI9" i="78" s="1"/>
  <c r="X6" i="78" a="1"/>
  <c r="X6" i="78" s="1"/>
  <c r="AF6" i="78" a="1"/>
  <c r="AF6" i="78" s="1"/>
  <c r="W6" i="78" a="1"/>
  <c r="W6" i="78" s="1"/>
  <c r="AE6" i="78" a="1"/>
  <c r="AE6" i="78" s="1"/>
  <c r="Y4" i="78" a="1"/>
  <c r="Y4" i="78" s="1"/>
  <c r="AA4" i="78" a="1"/>
  <c r="AA4" i="78" s="1"/>
  <c r="U3" i="78" a="1"/>
  <c r="U3" i="78" s="1"/>
  <c r="S8" i="78" a="1"/>
  <c r="S8" i="78" s="1"/>
  <c r="AA8" i="78" a="1"/>
  <c r="AA8" i="78" s="1"/>
  <c r="AI8" i="78" a="1"/>
  <c r="AI8" i="78" s="1"/>
  <c r="T8" i="78" a="1"/>
  <c r="T8" i="78" s="1"/>
  <c r="AB8" i="78" a="1"/>
  <c r="AB8" i="78" s="1"/>
  <c r="AJ8" i="78" a="1"/>
  <c r="AJ8" i="78" s="1"/>
  <c r="U7" i="78" a="1"/>
  <c r="U7" i="78" s="1"/>
  <c r="AC7" i="78" a="1"/>
  <c r="AC7" i="78" s="1"/>
  <c r="V7" i="78" a="1"/>
  <c r="V7" i="78" s="1"/>
  <c r="AD7" i="78" a="1"/>
  <c r="AD7" i="78" s="1"/>
  <c r="X2" i="78" a="1"/>
  <c r="X2" i="78" s="1"/>
  <c r="AE2" i="78" a="1"/>
  <c r="AE2" i="78" s="1"/>
  <c r="X9" i="78" a="1"/>
  <c r="X9" i="78" s="1"/>
  <c r="W9" i="78" a="1"/>
  <c r="W9" i="78" s="1"/>
  <c r="Q11" i="78" a="1"/>
  <c r="Q11" i="78" s="1"/>
  <c r="Y11" i="78" a="1"/>
  <c r="Y11" i="78" s="1"/>
  <c r="AG11" i="78" a="1"/>
  <c r="AG11" i="78" s="1"/>
  <c r="R11" i="78" a="1"/>
  <c r="R11" i="78" s="1"/>
  <c r="Z11" i="78" a="1"/>
  <c r="Z11" i="78" s="1"/>
  <c r="V2" i="78" a="1"/>
  <c r="V2" i="78" s="1"/>
  <c r="AD2" i="78" a="1"/>
  <c r="AD2" i="78" s="1"/>
  <c r="U2" i="78" a="1"/>
  <c r="U2" i="78" s="1"/>
  <c r="R10" i="78" a="1"/>
  <c r="R10" i="78" s="1"/>
  <c r="Z10" i="78" a="1"/>
  <c r="Z10" i="78" s="1"/>
  <c r="AH10" i="78" a="1"/>
  <c r="AH10" i="78" s="1"/>
  <c r="Q10" i="78" a="1"/>
  <c r="Q10" i="78" s="1"/>
  <c r="Y10" i="78" a="1"/>
  <c r="Y10" i="78" s="1"/>
  <c r="R5" i="78" a="1"/>
  <c r="R5" i="78" s="1"/>
  <c r="Z5" i="78" a="1"/>
  <c r="Z5" i="78" s="1"/>
  <c r="AH5" i="78" a="1"/>
  <c r="AH5" i="78" s="1"/>
  <c r="S5" i="78" a="1"/>
  <c r="S5" i="78" s="1"/>
  <c r="AA5" i="78" a="1"/>
  <c r="AA5" i="78" s="1"/>
  <c r="V9" i="78" a="1"/>
  <c r="V9" i="78" s="1"/>
  <c r="AD9" i="78" a="1"/>
  <c r="AD9" i="78" s="1"/>
  <c r="U9" i="78" a="1"/>
  <c r="U9" i="78" s="1"/>
  <c r="R6" i="78" a="1"/>
  <c r="R6" i="78" s="1"/>
  <c r="Z6" i="78" a="1"/>
  <c r="Z6" i="78" s="1"/>
  <c r="AH6" i="78" a="1"/>
  <c r="AH6" i="78" s="1"/>
  <c r="Q6" i="78" a="1"/>
  <c r="Q6" i="78" s="1"/>
  <c r="Y6" i="78" a="1"/>
  <c r="Y6" i="78" s="1"/>
  <c r="AB4" i="78" a="1"/>
  <c r="AB4" i="78" s="1"/>
  <c r="Q4" i="78" a="1"/>
  <c r="Q4" i="78" s="1"/>
  <c r="AC4" i="78" a="1"/>
  <c r="AC4" i="78" s="1"/>
  <c r="Z4" i="78" a="1"/>
  <c r="Z4" i="78" s="1"/>
  <c r="R4" i="78" a="1"/>
  <c r="R4" i="78" s="1"/>
  <c r="X3" i="78" a="1"/>
  <c r="X3" i="78" s="1"/>
  <c r="AF3" i="78" a="1"/>
  <c r="AF3" i="78" s="1"/>
  <c r="W3" i="78" a="1"/>
  <c r="W3" i="78" s="1"/>
  <c r="U8" i="78" a="1"/>
  <c r="U8" i="78" s="1"/>
  <c r="AC8" i="78" a="1"/>
  <c r="AC8" i="78" s="1"/>
  <c r="V8" i="78" a="1"/>
  <c r="V8" i="78" s="1"/>
  <c r="W7" i="78" a="1"/>
  <c r="W7" i="78" s="1"/>
  <c r="X7" i="78" a="1"/>
  <c r="X7" i="78" s="1"/>
  <c r="AE9" i="77" a="1"/>
  <c r="AE9" i="77" s="1"/>
  <c r="AI4" i="77" a="1"/>
  <c r="AI4" i="77" s="1"/>
  <c r="AF3" i="77" a="1"/>
  <c r="AF3" i="77" s="1"/>
  <c r="AG11" i="77" a="1"/>
  <c r="AG11" i="77" s="1"/>
  <c r="AE10" i="77" a="1"/>
  <c r="AE10" i="77" s="1"/>
  <c r="AI6" i="77" a="1"/>
  <c r="AI6" i="77" s="1"/>
  <c r="Z4" i="77" a="1"/>
  <c r="Z4" i="77" s="1"/>
  <c r="AH3" i="77" a="1"/>
  <c r="AH3" i="77" s="1"/>
  <c r="AB7" i="77" a="1"/>
  <c r="AB7" i="77" s="1"/>
  <c r="S6" i="75" a="1"/>
  <c r="S6" i="75" s="1"/>
  <c r="AE2" i="77" a="1"/>
  <c r="AE2" i="77" s="1"/>
  <c r="R4" i="77" a="1"/>
  <c r="R4" i="77" s="1"/>
  <c r="U3" i="76" a="1"/>
  <c r="U3" i="76" s="1"/>
  <c r="R6" i="77" a="1"/>
  <c r="R6" i="77" s="1"/>
  <c r="AJ8" i="77" a="1"/>
  <c r="AJ8" i="77" s="1"/>
  <c r="S4" i="77" a="1"/>
  <c r="S4" i="77" s="1"/>
  <c r="R3" i="77" a="1"/>
  <c r="R3" i="77" s="1"/>
  <c r="AC7" i="77" a="1"/>
  <c r="AC7" i="77" s="1"/>
  <c r="U7" i="77" a="1"/>
  <c r="U7" i="77" s="1"/>
  <c r="V10" i="77" a="1"/>
  <c r="V10" i="77" s="1"/>
  <c r="T10" i="77" a="1"/>
  <c r="T10" i="77" s="1"/>
  <c r="S10" i="77" a="1"/>
  <c r="S10" i="77" s="1"/>
  <c r="AD7" i="76" a="1"/>
  <c r="AD7" i="76" s="1"/>
  <c r="AH9" i="76" a="1"/>
  <c r="AH9" i="76" s="1"/>
  <c r="W8" i="76" a="1"/>
  <c r="W8" i="76" s="1"/>
  <c r="AJ9" i="77" a="1"/>
  <c r="AJ9" i="77" s="1"/>
  <c r="AH6" i="77" a="1"/>
  <c r="AH6" i="77" s="1"/>
  <c r="AI5" i="77" a="1"/>
  <c r="AI5" i="77" s="1"/>
  <c r="U4" i="77" a="1"/>
  <c r="U4" i="77" s="1"/>
  <c r="W4" i="77" a="1"/>
  <c r="W4" i="77" s="1"/>
  <c r="AH4" i="77" a="1"/>
  <c r="AH4" i="77" s="1"/>
  <c r="U3" i="77" a="1"/>
  <c r="U3" i="77" s="1"/>
  <c r="X2" i="77" a="1"/>
  <c r="X2" i="77" s="1"/>
  <c r="W7" i="77" a="1"/>
  <c r="W7" i="77" s="1"/>
  <c r="AE7" i="77" a="1"/>
  <c r="AE7" i="77" s="1"/>
  <c r="AG7" i="77" a="1"/>
  <c r="AG7" i="77" s="1"/>
  <c r="AB11" i="77" a="1"/>
  <c r="AB11" i="77" s="1"/>
  <c r="R10" i="77" a="1"/>
  <c r="R10" i="77" s="1"/>
  <c r="AB10" i="77" a="1"/>
  <c r="AB10" i="77" s="1"/>
  <c r="Y5" i="76" a="1"/>
  <c r="Y5" i="76" s="1"/>
  <c r="AH9" i="77" a="1"/>
  <c r="AH9" i="77" s="1"/>
  <c r="AC6" i="77" a="1"/>
  <c r="AC6" i="77" s="1"/>
  <c r="Z5" i="77" a="1"/>
  <c r="Z5" i="77" s="1"/>
  <c r="AH8" i="77" a="1"/>
  <c r="AH8" i="77" s="1"/>
  <c r="AF4" i="77" a="1"/>
  <c r="AF4" i="77" s="1"/>
  <c r="AD3" i="77" a="1"/>
  <c r="AD3" i="77" s="1"/>
  <c r="AC3" i="77" a="1"/>
  <c r="AC3" i="77" s="1"/>
  <c r="AG2" i="77" a="1"/>
  <c r="AG2" i="77" s="1"/>
  <c r="Z7" i="77" a="1"/>
  <c r="Z7" i="77" s="1"/>
  <c r="V7" i="77" a="1"/>
  <c r="V7" i="77" s="1"/>
  <c r="AA7" i="77" a="1"/>
  <c r="AA7" i="77" s="1"/>
  <c r="X11" i="77" a="1"/>
  <c r="X11" i="77" s="1"/>
  <c r="AH10" i="77" a="1"/>
  <c r="AH10" i="77" s="1"/>
  <c r="AJ10" i="77" a="1"/>
  <c r="AJ10" i="77" s="1"/>
  <c r="S5" i="76" a="1"/>
  <c r="S5" i="76" s="1"/>
  <c r="S9" i="77" a="1"/>
  <c r="S9" i="77" s="1"/>
  <c r="Q9" i="77" a="1"/>
  <c r="Q9" i="77" s="1"/>
  <c r="AG9" i="77" a="1"/>
  <c r="AG9" i="77" s="1"/>
  <c r="V9" i="77" a="1"/>
  <c r="V9" i="77" s="1"/>
  <c r="AD9" i="77" a="1"/>
  <c r="AD9" i="77" s="1"/>
  <c r="X6" i="77" a="1"/>
  <c r="X6" i="77" s="1"/>
  <c r="V6" i="77" a="1"/>
  <c r="V6" i="77" s="1"/>
  <c r="T6" i="77" a="1"/>
  <c r="T6" i="77" s="1"/>
  <c r="W6" i="77" a="1"/>
  <c r="W6" i="77" s="1"/>
  <c r="AE6" i="77" a="1"/>
  <c r="AE6" i="77" s="1"/>
  <c r="T5" i="77" a="1"/>
  <c r="T5" i="77" s="1"/>
  <c r="AD5" i="77" a="1"/>
  <c r="AD5" i="77" s="1"/>
  <c r="Q5" i="77" a="1"/>
  <c r="Q5" i="77" s="1"/>
  <c r="AF5" i="77" a="1"/>
  <c r="AF5" i="77" s="1"/>
  <c r="AC5" i="77" a="1"/>
  <c r="AC5" i="77" s="1"/>
  <c r="AE8" i="77" a="1"/>
  <c r="AE8" i="77" s="1"/>
  <c r="AI8" i="77" a="1"/>
  <c r="AI8" i="77" s="1"/>
  <c r="AG8" i="77" a="1"/>
  <c r="AG8" i="77" s="1"/>
  <c r="V8" i="77" a="1"/>
  <c r="V8" i="77" s="1"/>
  <c r="AD8" i="77" a="1"/>
  <c r="AD8" i="77" s="1"/>
  <c r="Y4" i="77" a="1"/>
  <c r="Y4" i="77" s="1"/>
  <c r="AC4" i="77" a="1"/>
  <c r="AC4" i="77" s="1"/>
  <c r="T4" i="77" a="1"/>
  <c r="T4" i="77" s="1"/>
  <c r="AB4" i="77" a="1"/>
  <c r="AB4" i="77" s="1"/>
  <c r="AJ4" i="77" a="1"/>
  <c r="AJ4" i="77" s="1"/>
  <c r="T3" i="77" a="1"/>
  <c r="T3" i="77" s="1"/>
  <c r="Z3" i="77" a="1"/>
  <c r="Z3" i="77" s="1"/>
  <c r="W3" i="77" a="1"/>
  <c r="W3" i="77" s="1"/>
  <c r="AE3" i="77" a="1"/>
  <c r="AE3" i="77" s="1"/>
  <c r="AJ3" i="77" a="1"/>
  <c r="AJ3" i="77" s="1"/>
  <c r="AB2" i="77" a="1"/>
  <c r="AB2" i="77" s="1"/>
  <c r="AD2" i="77" a="1"/>
  <c r="AD2" i="77" s="1"/>
  <c r="S2" i="77" a="1"/>
  <c r="S2" i="77" s="1"/>
  <c r="AA2" i="77" a="1"/>
  <c r="AA2" i="77" s="1"/>
  <c r="AI2" i="77" a="1"/>
  <c r="AI2" i="77" s="1"/>
  <c r="X7" i="77" a="1"/>
  <c r="X7" i="77" s="1"/>
  <c r="AF7" i="77" a="1"/>
  <c r="AF7" i="77" s="1"/>
  <c r="AD7" i="77" a="1"/>
  <c r="AD7" i="77" s="1"/>
  <c r="T7" i="77" a="1"/>
  <c r="T7" i="77" s="1"/>
  <c r="AJ7" i="77" a="1"/>
  <c r="AJ7" i="77" s="1"/>
  <c r="AJ11" i="77" a="1"/>
  <c r="AJ11" i="77" s="1"/>
  <c r="R11" i="77" a="1"/>
  <c r="R11" i="77" s="1"/>
  <c r="AH11" i="77" a="1"/>
  <c r="AH11" i="77" s="1"/>
  <c r="S11" i="77" a="1"/>
  <c r="S11" i="77" s="1"/>
  <c r="AA11" i="77" a="1"/>
  <c r="AA11" i="77" s="1"/>
  <c r="AI11" i="77" a="1"/>
  <c r="AI11" i="77" s="1"/>
  <c r="AD10" i="77" a="1"/>
  <c r="AD10" i="77" s="1"/>
  <c r="AF10" i="77" a="1"/>
  <c r="AF10" i="77" s="1"/>
  <c r="Q10" i="77" a="1"/>
  <c r="Q10" i="77" s="1"/>
  <c r="Y10" i="77" a="1"/>
  <c r="Y10" i="77" s="1"/>
  <c r="AG10" i="77" a="1"/>
  <c r="AG10" i="77" s="1"/>
  <c r="X3" i="76" a="1"/>
  <c r="X3" i="76" s="1"/>
  <c r="AA9" i="77" a="1"/>
  <c r="AA9" i="77" s="1"/>
  <c r="X9" i="77" a="1"/>
  <c r="X9" i="77" s="1"/>
  <c r="AF9" i="77" a="1"/>
  <c r="AF9" i="77" s="1"/>
  <c r="AF6" i="77" a="1"/>
  <c r="AF6" i="77" s="1"/>
  <c r="Z6" i="77" a="1"/>
  <c r="Z6" i="77" s="1"/>
  <c r="AB6" i="77" a="1"/>
  <c r="AB6" i="77" s="1"/>
  <c r="Q6" i="77" a="1"/>
  <c r="Q6" i="77" s="1"/>
  <c r="Y6" i="77" a="1"/>
  <c r="Y6" i="77" s="1"/>
  <c r="AG6" i="77" a="1"/>
  <c r="AG6" i="77" s="1"/>
  <c r="AH5" i="77" a="1"/>
  <c r="AH5" i="77" s="1"/>
  <c r="W5" i="77" a="1"/>
  <c r="W5" i="77" s="1"/>
  <c r="V5" i="77" a="1"/>
  <c r="V5" i="77" s="1"/>
  <c r="AJ5" i="77" a="1"/>
  <c r="AJ5" i="77" s="1"/>
  <c r="AE5" i="77" a="1"/>
  <c r="AE5" i="77" s="1"/>
  <c r="U8" i="77" a="1"/>
  <c r="U8" i="77" s="1"/>
  <c r="AC8" i="77" a="1"/>
  <c r="AC8" i="77" s="1"/>
  <c r="X8" i="77" a="1"/>
  <c r="X8" i="77" s="1"/>
  <c r="AF8" i="77" a="1"/>
  <c r="AF8" i="77" s="1"/>
  <c r="AA4" i="77" a="1"/>
  <c r="AA4" i="77" s="1"/>
  <c r="AG4" i="77" a="1"/>
  <c r="AG4" i="77" s="1"/>
  <c r="V4" i="77" a="1"/>
  <c r="V4" i="77" s="1"/>
  <c r="AD4" i="77" a="1"/>
  <c r="AD4" i="77" s="1"/>
  <c r="AB3" i="77" a="1"/>
  <c r="AB3" i="77" s="1"/>
  <c r="Q3" i="77" a="1"/>
  <c r="Q3" i="77" s="1"/>
  <c r="Y3" i="77" a="1"/>
  <c r="Y3" i="77" s="1"/>
  <c r="AG3" i="77" a="1"/>
  <c r="AG3" i="77" s="1"/>
  <c r="AF2" i="77" a="1"/>
  <c r="AF2" i="77" s="1"/>
  <c r="R2" i="77" a="1"/>
  <c r="R2" i="77" s="1"/>
  <c r="AH2" i="77" a="1"/>
  <c r="AH2" i="77" s="1"/>
  <c r="U2" i="77" a="1"/>
  <c r="U2" i="77" s="1"/>
  <c r="AC2" i="77" a="1"/>
  <c r="AC2" i="77" s="1"/>
  <c r="AI7" i="77" a="1"/>
  <c r="AI7" i="77" s="1"/>
  <c r="Y7" i="77" a="1"/>
  <c r="Y7" i="77" s="1"/>
  <c r="V11" i="77" a="1"/>
  <c r="V11" i="77" s="1"/>
  <c r="U11" i="77" a="1"/>
  <c r="U11" i="77" s="1"/>
  <c r="AC11" i="77" a="1"/>
  <c r="AC11" i="77" s="1"/>
  <c r="AA10" i="77" a="1"/>
  <c r="AA10" i="77" s="1"/>
  <c r="AI10" i="77" a="1"/>
  <c r="AI10" i="77" s="1"/>
  <c r="AH10" i="76" a="1"/>
  <c r="AH10" i="76" s="1"/>
  <c r="W9" i="77" a="1"/>
  <c r="W9" i="77" s="1"/>
  <c r="AI9" i="77" a="1"/>
  <c r="AI9" i="77" s="1"/>
  <c r="Y9" i="77" a="1"/>
  <c r="Y9" i="77" s="1"/>
  <c r="R9" i="77" a="1"/>
  <c r="R9" i="77" s="1"/>
  <c r="Z9" i="77" a="1"/>
  <c r="Z9" i="77" s="1"/>
  <c r="AD6" i="77" a="1"/>
  <c r="AD6" i="77" s="1"/>
  <c r="AJ6" i="77" a="1"/>
  <c r="AJ6" i="77" s="1"/>
  <c r="S6" i="77" a="1"/>
  <c r="S6" i="77" s="1"/>
  <c r="AA6" i="77" a="1"/>
  <c r="AA6" i="77" s="1"/>
  <c r="U5" i="77" a="1"/>
  <c r="U5" i="77" s="1"/>
  <c r="S5" i="77" a="1"/>
  <c r="S5" i="77" s="1"/>
  <c r="R5" i="77" a="1"/>
  <c r="R5" i="77" s="1"/>
  <c r="Y5" i="77" a="1"/>
  <c r="Y5" i="77" s="1"/>
  <c r="AG5" i="77" a="1"/>
  <c r="AG5" i="77" s="1"/>
  <c r="W8" i="77" a="1"/>
  <c r="W8" i="77" s="1"/>
  <c r="S8" i="77" a="1"/>
  <c r="S8" i="77" s="1"/>
  <c r="Q8" i="77" a="1"/>
  <c r="Q8" i="77" s="1"/>
  <c r="R8" i="77" a="1"/>
  <c r="R8" i="77" s="1"/>
  <c r="Z8" i="77" a="1"/>
  <c r="Z8" i="77" s="1"/>
  <c r="Q4" i="77" a="1"/>
  <c r="Q4" i="77" s="1"/>
  <c r="AE4" i="77" a="1"/>
  <c r="AE4" i="77" s="1"/>
  <c r="X4" i="77" a="1"/>
  <c r="X4" i="77" s="1"/>
  <c r="V3" i="77" a="1"/>
  <c r="V3" i="77" s="1"/>
  <c r="X3" i="77" a="1"/>
  <c r="X3" i="77" s="1"/>
  <c r="S3" i="77" a="1"/>
  <c r="S3" i="77" s="1"/>
  <c r="AA3" i="77" a="1"/>
  <c r="AA3" i="77" s="1"/>
  <c r="T2" i="77" a="1"/>
  <c r="T2" i="77" s="1"/>
  <c r="AJ2" i="77" a="1"/>
  <c r="AJ2" i="77" s="1"/>
  <c r="V2" i="77" a="1"/>
  <c r="V2" i="77" s="1"/>
  <c r="W2" i="77" a="1"/>
  <c r="W2" i="77" s="1"/>
  <c r="Q7" i="77" a="1"/>
  <c r="Q7" i="77" s="1"/>
  <c r="T11" i="77" a="1"/>
  <c r="T11" i="77" s="1"/>
  <c r="AF11" i="77" a="1"/>
  <c r="AF11" i="77" s="1"/>
  <c r="Z11" i="77" a="1"/>
  <c r="Z11" i="77" s="1"/>
  <c r="W11" i="77" a="1"/>
  <c r="W11" i="77" s="1"/>
  <c r="AE11" i="77" a="1"/>
  <c r="AE11" i="77" s="1"/>
  <c r="Z10" i="77" a="1"/>
  <c r="Z10" i="77" s="1"/>
  <c r="X10" i="77" a="1"/>
  <c r="X10" i="77" s="1"/>
  <c r="U10" i="77" a="1"/>
  <c r="U10" i="77" s="1"/>
  <c r="AC10" i="77" a="1"/>
  <c r="AC10" i="77" s="1"/>
  <c r="AC9" i="77" a="1"/>
  <c r="AC9" i="77" s="1"/>
  <c r="T9" i="77" a="1"/>
  <c r="T9" i="77" s="1"/>
  <c r="AB9" i="77" a="1"/>
  <c r="AB9" i="77" s="1"/>
  <c r="U6" i="77" a="1"/>
  <c r="U6" i="77" s="1"/>
  <c r="AB5" i="77" a="1"/>
  <c r="AB5" i="77" s="1"/>
  <c r="AA5" i="77" a="1"/>
  <c r="AA5" i="77" s="1"/>
  <c r="AA8" i="77" a="1"/>
  <c r="AA8" i="77" s="1"/>
  <c r="Y8" i="77" a="1"/>
  <c r="Y8" i="77" s="1"/>
  <c r="T8" i="77" a="1"/>
  <c r="T8" i="77" s="1"/>
  <c r="AB8" i="77" a="1"/>
  <c r="AB8" i="77" s="1"/>
  <c r="Z2" i="77" a="1"/>
  <c r="Z2" i="77" s="1"/>
  <c r="Q2" i="77" a="1"/>
  <c r="Q2" i="77" s="1"/>
  <c r="Y2" i="77" a="1"/>
  <c r="Y2" i="77" s="1"/>
  <c r="R7" i="77" a="1"/>
  <c r="R7" i="77" s="1"/>
  <c r="AD11" i="77" a="1"/>
  <c r="AD11" i="77" s="1"/>
  <c r="Q11" i="77" a="1"/>
  <c r="Q11" i="77" s="1"/>
  <c r="Y11" i="77" a="1"/>
  <c r="Y11" i="77" s="1"/>
  <c r="W10" i="77" a="1"/>
  <c r="W10" i="77" s="1"/>
  <c r="AG2" i="76" a="1"/>
  <c r="AG2" i="76" s="1"/>
  <c r="AJ4" i="76" a="1"/>
  <c r="AJ4" i="76" s="1"/>
  <c r="AG8" i="76" a="1"/>
  <c r="AG8" i="76" s="1"/>
  <c r="AH4" i="76" a="1"/>
  <c r="AH4" i="76" s="1"/>
  <c r="AF5" i="76" a="1"/>
  <c r="AF5" i="76" s="1"/>
  <c r="AE11" i="76" a="1"/>
  <c r="AE11" i="76" s="1"/>
  <c r="T7" i="76" a="1"/>
  <c r="T7" i="76" s="1"/>
  <c r="S8" i="76" a="1"/>
  <c r="S8" i="76" s="1"/>
  <c r="V7" i="76" a="1"/>
  <c r="V7" i="76" s="1"/>
  <c r="R10" i="76" a="1"/>
  <c r="R10" i="76" s="1"/>
  <c r="AE5" i="76" a="1"/>
  <c r="AE5" i="76" s="1"/>
  <c r="R5" i="76" a="1"/>
  <c r="R5" i="76" s="1"/>
  <c r="AC6" i="76" a="1"/>
  <c r="AC6" i="76" s="1"/>
  <c r="AE2" i="75" a="1"/>
  <c r="AE2" i="75" s="1"/>
  <c r="R2" i="76" a="1"/>
  <c r="R2" i="76" s="1"/>
  <c r="S2" i="76" a="1"/>
  <c r="S2" i="76" s="1"/>
  <c r="AE4" i="76" a="1"/>
  <c r="AE4" i="76" s="1"/>
  <c r="AI5" i="76" a="1"/>
  <c r="AI5" i="76" s="1"/>
  <c r="U5" i="76" a="1"/>
  <c r="U5" i="76" s="1"/>
  <c r="Z5" i="76" a="1"/>
  <c r="Z5" i="76" s="1"/>
  <c r="AD3" i="76" a="1"/>
  <c r="AD3" i="76" s="1"/>
  <c r="Z3" i="76" a="1"/>
  <c r="Z3" i="76" s="1"/>
  <c r="Q3" i="76" a="1"/>
  <c r="Q3" i="76" s="1"/>
  <c r="AC3" i="76" a="1"/>
  <c r="AC3" i="76" s="1"/>
  <c r="AC7" i="76" a="1"/>
  <c r="AC7" i="76" s="1"/>
  <c r="Q7" i="76" a="1"/>
  <c r="Q7" i="76" s="1"/>
  <c r="AE7" i="76" a="1"/>
  <c r="AE7" i="76" s="1"/>
  <c r="U9" i="76" a="1"/>
  <c r="U9" i="76" s="1"/>
  <c r="Q8" i="76" a="1"/>
  <c r="Q8" i="76" s="1"/>
  <c r="AI10" i="76" a="1"/>
  <c r="AI10" i="76" s="1"/>
  <c r="Z2" i="76" a="1"/>
  <c r="Z2" i="76" s="1"/>
  <c r="AA2" i="76" a="1"/>
  <c r="AA2" i="76" s="1"/>
  <c r="Q4" i="76" a="1"/>
  <c r="Q4" i="76" s="1"/>
  <c r="AD5" i="76" a="1"/>
  <c r="AD5" i="76" s="1"/>
  <c r="AH5" i="76" a="1"/>
  <c r="AH5" i="76" s="1"/>
  <c r="AA3" i="76" a="1"/>
  <c r="AA3" i="76" s="1"/>
  <c r="R3" i="76" a="1"/>
  <c r="R3" i="76" s="1"/>
  <c r="Y3" i="76" a="1"/>
  <c r="Y3" i="76" s="1"/>
  <c r="AB7" i="76" a="1"/>
  <c r="AB7" i="76" s="1"/>
  <c r="W9" i="76" a="1"/>
  <c r="W9" i="76" s="1"/>
  <c r="T8" i="76" a="1"/>
  <c r="T8" i="76" s="1"/>
  <c r="AJ8" i="76" a="1"/>
  <c r="AJ8" i="76" s="1"/>
  <c r="V10" i="76" a="1"/>
  <c r="V10" i="76" s="1"/>
  <c r="AE2" i="76" a="1"/>
  <c r="AE2" i="76" s="1"/>
  <c r="AH2" i="76" a="1"/>
  <c r="AH2" i="76" s="1"/>
  <c r="AI2" i="76" a="1"/>
  <c r="AI2" i="76" s="1"/>
  <c r="S4" i="76" a="1"/>
  <c r="S4" i="76" s="1"/>
  <c r="AD4" i="76" a="1"/>
  <c r="AD4" i="76" s="1"/>
  <c r="AG5" i="76" a="1"/>
  <c r="AG5" i="76" s="1"/>
  <c r="AI3" i="76" a="1"/>
  <c r="AI3" i="76" s="1"/>
  <c r="AH3" i="76" a="1"/>
  <c r="AH3" i="76" s="1"/>
  <c r="AG3" i="76" a="1"/>
  <c r="AG3" i="76" s="1"/>
  <c r="T11" i="76" a="1"/>
  <c r="T11" i="76" s="1"/>
  <c r="AJ9" i="76" a="1"/>
  <c r="AJ9" i="76" s="1"/>
  <c r="AI4" i="76" a="1"/>
  <c r="AI4" i="76" s="1"/>
  <c r="V4" i="76" a="1"/>
  <c r="V4" i="76" s="1"/>
  <c r="AD6" i="76" a="1"/>
  <c r="AD6" i="76" s="1"/>
  <c r="AB6" i="76" a="1"/>
  <c r="AB6" i="76" s="1"/>
  <c r="W6" i="76" a="1"/>
  <c r="W6" i="76" s="1"/>
  <c r="AE6" i="76" a="1"/>
  <c r="AE6" i="76" s="1"/>
  <c r="AD11" i="76" a="1"/>
  <c r="AD11" i="76" s="1"/>
  <c r="Q11" i="76" a="1"/>
  <c r="Q11" i="76" s="1"/>
  <c r="Y11" i="76" a="1"/>
  <c r="Y11" i="76" s="1"/>
  <c r="AG11" i="76" a="1"/>
  <c r="AG11" i="76" s="1"/>
  <c r="AC9" i="76" a="1"/>
  <c r="AC9" i="76" s="1"/>
  <c r="T9" i="76" a="1"/>
  <c r="T9" i="76" s="1"/>
  <c r="AB9" i="76" a="1"/>
  <c r="AB9" i="76" s="1"/>
  <c r="V8" i="76" a="1"/>
  <c r="V8" i="76" s="1"/>
  <c r="AD8" i="76" a="1"/>
  <c r="AD8" i="76" s="1"/>
  <c r="X10" i="76" a="1"/>
  <c r="X10" i="76" s="1"/>
  <c r="U10" i="76" a="1"/>
  <c r="U10" i="76" s="1"/>
  <c r="AC10" i="76" a="1"/>
  <c r="AC10" i="76" s="1"/>
  <c r="T2" i="76" a="1"/>
  <c r="T2" i="76" s="1"/>
  <c r="AB2" i="76" a="1"/>
  <c r="AB2" i="76" s="1"/>
  <c r="AJ2" i="76" a="1"/>
  <c r="AJ2" i="76" s="1"/>
  <c r="U2" i="76" a="1"/>
  <c r="U2" i="76" s="1"/>
  <c r="AC2" i="76" a="1"/>
  <c r="AC2" i="76" s="1"/>
  <c r="W4" i="76" a="1"/>
  <c r="W4" i="76" s="1"/>
  <c r="Y4" i="76" a="1"/>
  <c r="Y4" i="76" s="1"/>
  <c r="U4" i="76" a="1"/>
  <c r="U4" i="76" s="1"/>
  <c r="X4" i="76" a="1"/>
  <c r="X4" i="76" s="1"/>
  <c r="AF4" i="76" a="1"/>
  <c r="AF4" i="76" s="1"/>
  <c r="AA5" i="76" a="1"/>
  <c r="AA5" i="76" s="1"/>
  <c r="Q5" i="76" a="1"/>
  <c r="Q5" i="76" s="1"/>
  <c r="AC5" i="76" a="1"/>
  <c r="AC5" i="76" s="1"/>
  <c r="T5" i="76" a="1"/>
  <c r="T5" i="76" s="1"/>
  <c r="AB5" i="76" a="1"/>
  <c r="AB5" i="76" s="1"/>
  <c r="AJ5" i="76" a="1"/>
  <c r="AJ5" i="76" s="1"/>
  <c r="V3" i="76" a="1"/>
  <c r="V3" i="76" s="1"/>
  <c r="W3" i="76" a="1"/>
  <c r="W3" i="76" s="1"/>
  <c r="T3" i="76" a="1"/>
  <c r="T3" i="76" s="1"/>
  <c r="AJ3" i="76" a="1"/>
  <c r="AJ3" i="76" s="1"/>
  <c r="AF3" i="76" a="1"/>
  <c r="AF3" i="76" s="1"/>
  <c r="R6" i="76" a="1"/>
  <c r="R6" i="76" s="1"/>
  <c r="AH6" i="76" a="1"/>
  <c r="AH6" i="76" s="1"/>
  <c r="AF6" i="76" a="1"/>
  <c r="AF6" i="76" s="1"/>
  <c r="Q6" i="76" a="1"/>
  <c r="Q6" i="76" s="1"/>
  <c r="Y6" i="76" a="1"/>
  <c r="Y6" i="76" s="1"/>
  <c r="AG6" i="76" a="1"/>
  <c r="AG6" i="76" s="1"/>
  <c r="AB11" i="76" a="1"/>
  <c r="AB11" i="76" s="1"/>
  <c r="R11" i="76" a="1"/>
  <c r="R11" i="76" s="1"/>
  <c r="AH11" i="76" a="1"/>
  <c r="AH11" i="76" s="1"/>
  <c r="S11" i="76" a="1"/>
  <c r="S11" i="76" s="1"/>
  <c r="AA11" i="76" a="1"/>
  <c r="AA11" i="76" s="1"/>
  <c r="AI11" i="76" a="1"/>
  <c r="AI11" i="76" s="1"/>
  <c r="AH7" i="76" a="1"/>
  <c r="AH7" i="76" s="1"/>
  <c r="S7" i="76" a="1"/>
  <c r="S7" i="76" s="1"/>
  <c r="AF7" i="76" a="1"/>
  <c r="AF7" i="76" s="1"/>
  <c r="Y7" i="76" a="1"/>
  <c r="Y7" i="76" s="1"/>
  <c r="AG7" i="76" a="1"/>
  <c r="AG7" i="76" s="1"/>
  <c r="AA9" i="76" a="1"/>
  <c r="AA9" i="76" s="1"/>
  <c r="Q9" i="76" a="1"/>
  <c r="Q9" i="76" s="1"/>
  <c r="AG9" i="76" a="1"/>
  <c r="AG9" i="76" s="1"/>
  <c r="V9" i="76" a="1"/>
  <c r="V9" i="76" s="1"/>
  <c r="AD9" i="76" a="1"/>
  <c r="AD9" i="76" s="1"/>
  <c r="AC8" i="76" a="1"/>
  <c r="AC8" i="76" s="1"/>
  <c r="AA8" i="76" a="1"/>
  <c r="AA8" i="76" s="1"/>
  <c r="X8" i="76" a="1"/>
  <c r="X8" i="76" s="1"/>
  <c r="AF8" i="76" a="1"/>
  <c r="AF8" i="76" s="1"/>
  <c r="Z10" i="76" a="1"/>
  <c r="Z10" i="76" s="1"/>
  <c r="AD10" i="76" a="1"/>
  <c r="AD10" i="76" s="1"/>
  <c r="AB10" i="76" a="1"/>
  <c r="AB10" i="76" s="1"/>
  <c r="W10" i="76" a="1"/>
  <c r="W10" i="76" s="1"/>
  <c r="AE10" i="76" a="1"/>
  <c r="AE10" i="76" s="1"/>
  <c r="V2" i="76" a="1"/>
  <c r="V2" i="76" s="1"/>
  <c r="AD2" i="76" a="1"/>
  <c r="AD2" i="76" s="1"/>
  <c r="W2" i="76" a="1"/>
  <c r="W2" i="76" s="1"/>
  <c r="AC4" i="76" a="1"/>
  <c r="AC4" i="76" s="1"/>
  <c r="AA4" i="76" a="1"/>
  <c r="AA4" i="76" s="1"/>
  <c r="R4" i="76" a="1"/>
  <c r="R4" i="76" s="1"/>
  <c r="Z4" i="76" a="1"/>
  <c r="Z4" i="76" s="1"/>
  <c r="V5" i="76" a="1"/>
  <c r="V5" i="76" s="1"/>
  <c r="V6" i="76" a="1"/>
  <c r="V6" i="76" s="1"/>
  <c r="T6" i="76" a="1"/>
  <c r="T6" i="76" s="1"/>
  <c r="AJ6" i="76" a="1"/>
  <c r="AJ6" i="76" s="1"/>
  <c r="S6" i="76" a="1"/>
  <c r="S6" i="76" s="1"/>
  <c r="AA6" i="76" a="1"/>
  <c r="AA6" i="76" s="1"/>
  <c r="AI6" i="76" a="1"/>
  <c r="AI6" i="76" s="1"/>
  <c r="AJ11" i="76" a="1"/>
  <c r="AJ11" i="76" s="1"/>
  <c r="V11" i="76" a="1"/>
  <c r="V11" i="76" s="1"/>
  <c r="U11" i="76" a="1"/>
  <c r="U11" i="76" s="1"/>
  <c r="AC11" i="76" a="1"/>
  <c r="AC11" i="76" s="1"/>
  <c r="W7" i="76" a="1"/>
  <c r="W7" i="76" s="1"/>
  <c r="U7" i="76" a="1"/>
  <c r="U7" i="76" s="1"/>
  <c r="AJ7" i="76" a="1"/>
  <c r="AJ7" i="76" s="1"/>
  <c r="AA7" i="76" a="1"/>
  <c r="AA7" i="76" s="1"/>
  <c r="AI7" i="76" a="1"/>
  <c r="AI7" i="76" s="1"/>
  <c r="S9" i="76" a="1"/>
  <c r="S9" i="76" s="1"/>
  <c r="X9" i="76" a="1"/>
  <c r="X9" i="76" s="1"/>
  <c r="AF9" i="76" a="1"/>
  <c r="AF9" i="76" s="1"/>
  <c r="AE8" i="76" a="1"/>
  <c r="AE8" i="76" s="1"/>
  <c r="R8" i="76" a="1"/>
  <c r="R8" i="76" s="1"/>
  <c r="Z8" i="76" a="1"/>
  <c r="Z8" i="76" s="1"/>
  <c r="AH8" i="76" a="1"/>
  <c r="AH8" i="76" s="1"/>
  <c r="AF10" i="76" a="1"/>
  <c r="AF10" i="76" s="1"/>
  <c r="Q10" i="76" a="1"/>
  <c r="Q10" i="76" s="1"/>
  <c r="Y10" i="76" a="1"/>
  <c r="Y10" i="76" s="1"/>
  <c r="AG10" i="76" a="1"/>
  <c r="AG10" i="76" s="1"/>
  <c r="X2" i="76" a="1"/>
  <c r="X2" i="76" s="1"/>
  <c r="AF2" i="76" a="1"/>
  <c r="AF2" i="76" s="1"/>
  <c r="Q2" i="76" a="1"/>
  <c r="Q2" i="76" s="1"/>
  <c r="Y2" i="76" a="1"/>
  <c r="Y2" i="76" s="1"/>
  <c r="AG4" i="76" a="1"/>
  <c r="AG4" i="76" s="1"/>
  <c r="T4" i="76" a="1"/>
  <c r="T4" i="76" s="1"/>
  <c r="AB4" i="76" a="1"/>
  <c r="AB4" i="76" s="1"/>
  <c r="W5" i="76" a="1"/>
  <c r="W5" i="76" s="1"/>
  <c r="X5" i="76" a="1"/>
  <c r="X5" i="76" s="1"/>
  <c r="S3" i="76" a="1"/>
  <c r="S3" i="76" s="1"/>
  <c r="AE3" i="76" a="1"/>
  <c r="AE3" i="76" s="1"/>
  <c r="AB3" i="76" a="1"/>
  <c r="AB3" i="76" s="1"/>
  <c r="Z6" i="76" a="1"/>
  <c r="Z6" i="76" s="1"/>
  <c r="X6" i="76" a="1"/>
  <c r="X6" i="76" s="1"/>
  <c r="U6" i="76" a="1"/>
  <c r="U6" i="76" s="1"/>
  <c r="X11" i="76" a="1"/>
  <c r="X11" i="76" s="1"/>
  <c r="AF11" i="76" a="1"/>
  <c r="AF11" i="76" s="1"/>
  <c r="Z11" i="76" a="1"/>
  <c r="Z11" i="76" s="1"/>
  <c r="W11" i="76" a="1"/>
  <c r="W11" i="76" s="1"/>
  <c r="Z7" i="76" a="1"/>
  <c r="Z7" i="76" s="1"/>
  <c r="R7" i="76" a="1"/>
  <c r="R7" i="76" s="1"/>
  <c r="X7" i="76" a="1"/>
  <c r="X7" i="76" s="1"/>
  <c r="AE9" i="76" a="1"/>
  <c r="AE9" i="76" s="1"/>
  <c r="AI9" i="76" a="1"/>
  <c r="AI9" i="76" s="1"/>
  <c r="Y9" i="76" a="1"/>
  <c r="Y9" i="76" s="1"/>
  <c r="R9" i="76" a="1"/>
  <c r="R9" i="76" s="1"/>
  <c r="Z9" i="76" a="1"/>
  <c r="Z9" i="76" s="1"/>
  <c r="Y8" i="76" a="1"/>
  <c r="Y8" i="76" s="1"/>
  <c r="AI8" i="76" a="1"/>
  <c r="AI8" i="76" s="1"/>
  <c r="AB8" i="76" a="1"/>
  <c r="AB8" i="76" s="1"/>
  <c r="T10" i="76" a="1"/>
  <c r="T10" i="76" s="1"/>
  <c r="AJ10" i="76" a="1"/>
  <c r="AJ10" i="76" s="1"/>
  <c r="S10" i="76" a="1"/>
  <c r="S10" i="76" s="1"/>
  <c r="AA10" i="76" a="1"/>
  <c r="AA10" i="76" s="1"/>
  <c r="AF6" i="75" a="1"/>
  <c r="AF6" i="75" s="1"/>
  <c r="S9" i="75" a="1"/>
  <c r="S9" i="75" s="1"/>
  <c r="T7" i="75" a="1"/>
  <c r="T7" i="75" s="1"/>
  <c r="X2" i="75" a="1"/>
  <c r="X2" i="75" s="1"/>
  <c r="Q2" i="75" a="1"/>
  <c r="Q2" i="75" s="1"/>
  <c r="U3" i="75" a="1"/>
  <c r="U3" i="75" s="1"/>
  <c r="U7" i="75" a="1"/>
  <c r="U7" i="75" s="1"/>
  <c r="AC4" i="75" a="1"/>
  <c r="AC4" i="75" s="1"/>
  <c r="AI11" i="75" a="1"/>
  <c r="AI11" i="75" s="1"/>
  <c r="AJ2" i="75" a="1"/>
  <c r="AJ2" i="75" s="1"/>
  <c r="Y2" i="75" a="1"/>
  <c r="Y2" i="75" s="1"/>
  <c r="AC8" i="75" a="1"/>
  <c r="AC8" i="75" s="1"/>
  <c r="AF9" i="75" a="1"/>
  <c r="AF9" i="75" s="1"/>
  <c r="AB11" i="75" a="1"/>
  <c r="AB11" i="75" s="1"/>
  <c r="AG10" i="75" a="1"/>
  <c r="AG10" i="75" s="1"/>
  <c r="AI6" i="75" a="1"/>
  <c r="AI6" i="75" s="1"/>
  <c r="R6" i="75" a="1"/>
  <c r="R6" i="75" s="1"/>
  <c r="AG2" i="75" a="1"/>
  <c r="AG2" i="75" s="1"/>
  <c r="U9" i="75" a="1"/>
  <c r="U9" i="75" s="1"/>
  <c r="R9" i="75" a="1"/>
  <c r="R9" i="75" s="1"/>
  <c r="AD8" i="75" a="1"/>
  <c r="AD8" i="75" s="1"/>
  <c r="AI7" i="75" a="1"/>
  <c r="AI7" i="75" s="1"/>
  <c r="T4" i="75" a="1"/>
  <c r="T4" i="75" s="1"/>
  <c r="AH4" i="75" a="1"/>
  <c r="AH4" i="75" s="1"/>
  <c r="AD4" i="75" a="1"/>
  <c r="AD4" i="75" s="1"/>
  <c r="AD5" i="75" a="1"/>
  <c r="AD5" i="75" s="1"/>
  <c r="AG11" i="75" a="1"/>
  <c r="AG11" i="75" s="1"/>
  <c r="U11" i="75" a="1"/>
  <c r="U11" i="75" s="1"/>
  <c r="Z6" i="75" a="1"/>
  <c r="Z6" i="75" s="1"/>
  <c r="V2" i="75" a="1"/>
  <c r="V2" i="75" s="1"/>
  <c r="W9" i="75" a="1"/>
  <c r="W9" i="75" s="1"/>
  <c r="Z9" i="75" a="1"/>
  <c r="Z9" i="75" s="1"/>
  <c r="AA8" i="75" a="1"/>
  <c r="AA8" i="75" s="1"/>
  <c r="R7" i="75" a="1"/>
  <c r="R7" i="75" s="1"/>
  <c r="W4" i="75" a="1"/>
  <c r="W4" i="75" s="1"/>
  <c r="AI4" i="75" a="1"/>
  <c r="AI4" i="75" s="1"/>
  <c r="AE4" i="75" a="1"/>
  <c r="AE4" i="75" s="1"/>
  <c r="V11" i="75" a="1"/>
  <c r="V11" i="75" s="1"/>
  <c r="AC11" i="75" a="1"/>
  <c r="AC11" i="75" s="1"/>
  <c r="U6" i="75" a="1"/>
  <c r="U6" i="75" s="1"/>
  <c r="Y6" i="75" a="1"/>
  <c r="Y6" i="75" s="1"/>
  <c r="AH6" i="75" a="1"/>
  <c r="AH6" i="75" s="1"/>
  <c r="Y9" i="75" a="1"/>
  <c r="Y9" i="75" s="1"/>
  <c r="AH9" i="75" a="1"/>
  <c r="AH9" i="75" s="1"/>
  <c r="AJ3" i="75" a="1"/>
  <c r="AJ3" i="75" s="1"/>
  <c r="AH3" i="75" a="1"/>
  <c r="AH3" i="75" s="1"/>
  <c r="S4" i="75" a="1"/>
  <c r="S4" i="75" s="1"/>
  <c r="V4" i="75" a="1"/>
  <c r="V4" i="75" s="1"/>
  <c r="T5" i="75" a="1"/>
  <c r="T5" i="75" s="1"/>
  <c r="AF8" i="75" a="1"/>
  <c r="AF8" i="75" s="1"/>
  <c r="AC3" i="75" a="1"/>
  <c r="AC3" i="75" s="1"/>
  <c r="V3" i="75" a="1"/>
  <c r="V3" i="75" s="1"/>
  <c r="AD3" i="75" a="1"/>
  <c r="AD3" i="75" s="1"/>
  <c r="U5" i="75" a="1"/>
  <c r="U5" i="75" s="1"/>
  <c r="AF5" i="75" a="1"/>
  <c r="AF5" i="75" s="1"/>
  <c r="X11" i="75" a="1"/>
  <c r="X11" i="75" s="1"/>
  <c r="AJ11" i="75" a="1"/>
  <c r="AJ11" i="75" s="1"/>
  <c r="Z11" i="75" a="1"/>
  <c r="Z11" i="75" s="1"/>
  <c r="W11" i="75" a="1"/>
  <c r="W11" i="75" s="1"/>
  <c r="AE11" i="75" a="1"/>
  <c r="AE11" i="75" s="1"/>
  <c r="R10" i="75" a="1"/>
  <c r="R10" i="75" s="1"/>
  <c r="V10" i="75" a="1"/>
  <c r="V10" i="75" s="1"/>
  <c r="X10" i="75" a="1"/>
  <c r="X10" i="75" s="1"/>
  <c r="U10" i="75" a="1"/>
  <c r="U10" i="75" s="1"/>
  <c r="AC10" i="75" a="1"/>
  <c r="AC10" i="75" s="1"/>
  <c r="W6" i="75" a="1"/>
  <c r="W6" i="75" s="1"/>
  <c r="AC6" i="75" a="1"/>
  <c r="AC6" i="75" s="1"/>
  <c r="T6" i="75" a="1"/>
  <c r="T6" i="75" s="1"/>
  <c r="AB6" i="75" a="1"/>
  <c r="AB6" i="75" s="1"/>
  <c r="AJ6" i="75" a="1"/>
  <c r="AJ6" i="75" s="1"/>
  <c r="AF2" i="75" a="1"/>
  <c r="AF2" i="75" s="1"/>
  <c r="R2" i="75" a="1"/>
  <c r="R2" i="75" s="1"/>
  <c r="AD2" i="75" a="1"/>
  <c r="AD2" i="75" s="1"/>
  <c r="S2" i="75" a="1"/>
  <c r="S2" i="75" s="1"/>
  <c r="AA2" i="75" a="1"/>
  <c r="AA2" i="75" s="1"/>
  <c r="AI2" i="75" a="1"/>
  <c r="AI2" i="75" s="1"/>
  <c r="AA9" i="75" a="1"/>
  <c r="AA9" i="75" s="1"/>
  <c r="AE9" i="75" a="1"/>
  <c r="AE9" i="75" s="1"/>
  <c r="AC9" i="75" a="1"/>
  <c r="AC9" i="75" s="1"/>
  <c r="T9" i="75" a="1"/>
  <c r="T9" i="75" s="1"/>
  <c r="AB9" i="75" a="1"/>
  <c r="AB9" i="75" s="1"/>
  <c r="AJ9" i="75" a="1"/>
  <c r="AJ9" i="75" s="1"/>
  <c r="Q8" i="75" a="1"/>
  <c r="Q8" i="75" s="1"/>
  <c r="AE8" i="75" a="1"/>
  <c r="AE8" i="75" s="1"/>
  <c r="R8" i="75" a="1"/>
  <c r="R8" i="75" s="1"/>
  <c r="Z8" i="75" a="1"/>
  <c r="Z8" i="75" s="1"/>
  <c r="AH8" i="75" a="1"/>
  <c r="AH8" i="75" s="1"/>
  <c r="W3" i="75" a="1"/>
  <c r="W3" i="75" s="1"/>
  <c r="AE3" i="75" a="1"/>
  <c r="AE3" i="75" s="1"/>
  <c r="X3" i="75" a="1"/>
  <c r="X3" i="75" s="1"/>
  <c r="AF3" i="75" a="1"/>
  <c r="AF3" i="75" s="1"/>
  <c r="V7" i="75" a="1"/>
  <c r="V7" i="75" s="1"/>
  <c r="X7" i="75" a="1"/>
  <c r="X7" i="75" s="1"/>
  <c r="W7" i="75" a="1"/>
  <c r="W7" i="75" s="1"/>
  <c r="AE7" i="75" a="1"/>
  <c r="AE7" i="75" s="1"/>
  <c r="U4" i="75" a="1"/>
  <c r="U4" i="75" s="1"/>
  <c r="AB4" i="75" a="1"/>
  <c r="AB4" i="75" s="1"/>
  <c r="X4" i="75" a="1"/>
  <c r="X4" i="75" s="1"/>
  <c r="Y4" i="75" a="1"/>
  <c r="Y4" i="75" s="1"/>
  <c r="AG4" i="75" a="1"/>
  <c r="AG4" i="75" s="1"/>
  <c r="AA5" i="75" a="1"/>
  <c r="AA5" i="75" s="1"/>
  <c r="AI5" i="75" a="1"/>
  <c r="AI5" i="75" s="1"/>
  <c r="Y5" i="75" a="1"/>
  <c r="Y5" i="75" s="1"/>
  <c r="S5" i="75" a="1"/>
  <c r="S5" i="75" s="1"/>
  <c r="Z5" i="75" a="1"/>
  <c r="Z5" i="75" s="1"/>
  <c r="AH5" i="75" a="1"/>
  <c r="AH5" i="75" s="1"/>
  <c r="T10" i="75" a="1"/>
  <c r="T10" i="75" s="1"/>
  <c r="S10" i="75" a="1"/>
  <c r="S10" i="75" s="1"/>
  <c r="AI10" i="75" a="1"/>
  <c r="AI10" i="75" s="1"/>
  <c r="AJ7" i="75" a="1"/>
  <c r="AJ7" i="75" s="1"/>
  <c r="AC7" i="75" a="1"/>
  <c r="AC7" i="75" s="1"/>
  <c r="X5" i="75" a="1"/>
  <c r="X5" i="75" s="1"/>
  <c r="U6" i="74" a="1"/>
  <c r="U6" i="74" s="1"/>
  <c r="AF11" i="75" a="1"/>
  <c r="AF11" i="75" s="1"/>
  <c r="AD11" i="75" a="1"/>
  <c r="AD11" i="75" s="1"/>
  <c r="Q11" i="75" a="1"/>
  <c r="Q11" i="75" s="1"/>
  <c r="Y11" i="75" a="1"/>
  <c r="Y11" i="75" s="1"/>
  <c r="Z10" i="75" a="1"/>
  <c r="Z10" i="75" s="1"/>
  <c r="AD10" i="75" a="1"/>
  <c r="AD10" i="75" s="1"/>
  <c r="AB10" i="75" a="1"/>
  <c r="AB10" i="75" s="1"/>
  <c r="W10" i="75" a="1"/>
  <c r="W10" i="75" s="1"/>
  <c r="AE10" i="75" a="1"/>
  <c r="AE10" i="75" s="1"/>
  <c r="AA6" i="75" a="1"/>
  <c r="AA6" i="75" s="1"/>
  <c r="Q6" i="75" a="1"/>
  <c r="Q6" i="75" s="1"/>
  <c r="AG6" i="75" a="1"/>
  <c r="AG6" i="75" s="1"/>
  <c r="V6" i="75" a="1"/>
  <c r="V6" i="75" s="1"/>
  <c r="AD6" i="75" a="1"/>
  <c r="AD6" i="75" s="1"/>
  <c r="Z2" i="75" a="1"/>
  <c r="Z2" i="75" s="1"/>
  <c r="T2" i="75" a="1"/>
  <c r="T2" i="75" s="1"/>
  <c r="U2" i="75" a="1"/>
  <c r="U2" i="75" s="1"/>
  <c r="AC2" i="75" a="1"/>
  <c r="AC2" i="75" s="1"/>
  <c r="AI9" i="75" a="1"/>
  <c r="AI9" i="75" s="1"/>
  <c r="Q9" i="75" a="1"/>
  <c r="Q9" i="75" s="1"/>
  <c r="AG9" i="75" a="1"/>
  <c r="AG9" i="75" s="1"/>
  <c r="V9" i="75" a="1"/>
  <c r="V9" i="75" s="1"/>
  <c r="AD9" i="75" a="1"/>
  <c r="AD9" i="75" s="1"/>
  <c r="Y8" i="75" a="1"/>
  <c r="Y8" i="75" s="1"/>
  <c r="S8" i="75" a="1"/>
  <c r="S8" i="75" s="1"/>
  <c r="AI8" i="75" a="1"/>
  <c r="AI8" i="75" s="1"/>
  <c r="T8" i="75" a="1"/>
  <c r="T8" i="75" s="1"/>
  <c r="AB8" i="75" a="1"/>
  <c r="AB8" i="75" s="1"/>
  <c r="AJ8" i="75" a="1"/>
  <c r="AJ8" i="75" s="1"/>
  <c r="Q3" i="75" a="1"/>
  <c r="Q3" i="75" s="1"/>
  <c r="Y3" i="75" a="1"/>
  <c r="Y3" i="75" s="1"/>
  <c r="AG3" i="75" a="1"/>
  <c r="AG3" i="75" s="1"/>
  <c r="R3" i="75" a="1"/>
  <c r="R3" i="75" s="1"/>
  <c r="Z3" i="75" a="1"/>
  <c r="Z3" i="75" s="1"/>
  <c r="AD7" i="75" a="1"/>
  <c r="AD7" i="75" s="1"/>
  <c r="Z7" i="75" a="1"/>
  <c r="Z7" i="75" s="1"/>
  <c r="AB7" i="75" a="1"/>
  <c r="AB7" i="75" s="1"/>
  <c r="Q7" i="75" a="1"/>
  <c r="Q7" i="75" s="1"/>
  <c r="Y7" i="75" a="1"/>
  <c r="Y7" i="75" s="1"/>
  <c r="AG7" i="75" a="1"/>
  <c r="AG7" i="75" s="1"/>
  <c r="Q4" i="75" a="1"/>
  <c r="Q4" i="75" s="1"/>
  <c r="R4" i="75" a="1"/>
  <c r="R4" i="75" s="1"/>
  <c r="AF4" i="75" a="1"/>
  <c r="AF4" i="75" s="1"/>
  <c r="AA4" i="75" a="1"/>
  <c r="AA4" i="75" s="1"/>
  <c r="Q5" i="75" a="1"/>
  <c r="Q5" i="75" s="1"/>
  <c r="AC5" i="75" a="1"/>
  <c r="AC5" i="75" s="1"/>
  <c r="AB5" i="75" a="1"/>
  <c r="AB5" i="75" s="1"/>
  <c r="AJ5" i="75" a="1"/>
  <c r="AJ5" i="75" s="1"/>
  <c r="AJ10" i="75" a="1"/>
  <c r="AJ10" i="75" s="1"/>
  <c r="AA10" i="75" a="1"/>
  <c r="AA10" i="75" s="1"/>
  <c r="X8" i="75" a="1"/>
  <c r="X8" i="75" s="1"/>
  <c r="T11" i="75" a="1"/>
  <c r="T11" i="75" s="1"/>
  <c r="R11" i="75" a="1"/>
  <c r="R11" i="75" s="1"/>
  <c r="AH11" i="75" a="1"/>
  <c r="AH11" i="75" s="1"/>
  <c r="S11" i="75" a="1"/>
  <c r="S11" i="75" s="1"/>
  <c r="AA11" i="75" a="1"/>
  <c r="AA11" i="75" s="1"/>
  <c r="AH10" i="75" a="1"/>
  <c r="AH10" i="75" s="1"/>
  <c r="AF10" i="75" a="1"/>
  <c r="AF10" i="75" s="1"/>
  <c r="Q10" i="75" a="1"/>
  <c r="Q10" i="75" s="1"/>
  <c r="Y10" i="75" a="1"/>
  <c r="Y10" i="75" s="1"/>
  <c r="AE6" i="75" a="1"/>
  <c r="AE6" i="75" s="1"/>
  <c r="X6" i="75" a="1"/>
  <c r="X6" i="75" s="1"/>
  <c r="AH2" i="75" a="1"/>
  <c r="AH2" i="75" s="1"/>
  <c r="AB2" i="75" a="1"/>
  <c r="AB2" i="75" s="1"/>
  <c r="W2" i="75" a="1"/>
  <c r="W2" i="75" s="1"/>
  <c r="X9" i="75" a="1"/>
  <c r="X9" i="75" s="1"/>
  <c r="U8" i="75" a="1"/>
  <c r="U8" i="75" s="1"/>
  <c r="AG8" i="75" a="1"/>
  <c r="AG8" i="75" s="1"/>
  <c r="W8" i="75" a="1"/>
  <c r="W8" i="75" s="1"/>
  <c r="V8" i="75" a="1"/>
  <c r="V8" i="75" s="1"/>
  <c r="S3" i="75" a="1"/>
  <c r="S3" i="75" s="1"/>
  <c r="AA3" i="75" a="1"/>
  <c r="AA3" i="75" s="1"/>
  <c r="AI3" i="75" a="1"/>
  <c r="AI3" i="75" s="1"/>
  <c r="T3" i="75" a="1"/>
  <c r="T3" i="75" s="1"/>
  <c r="AB3" i="75" a="1"/>
  <c r="AB3" i="75" s="1"/>
  <c r="AH7" i="75" a="1"/>
  <c r="AH7" i="75" s="1"/>
  <c r="AF7" i="75" a="1"/>
  <c r="AF7" i="75" s="1"/>
  <c r="S7" i="75" a="1"/>
  <c r="S7" i="75" s="1"/>
  <c r="AA7" i="75" a="1"/>
  <c r="AA7" i="75" s="1"/>
  <c r="AJ4" i="75" a="1"/>
  <c r="AJ4" i="75" s="1"/>
  <c r="Z4" i="75" a="1"/>
  <c r="Z4" i="75" s="1"/>
  <c r="W5" i="75" a="1"/>
  <c r="W5" i="75" s="1"/>
  <c r="AE5" i="75" a="1"/>
  <c r="AE5" i="75" s="1"/>
  <c r="R5" i="75" a="1"/>
  <c r="R5" i="75" s="1"/>
  <c r="AG5" i="75" a="1"/>
  <c r="AG5" i="75" s="1"/>
  <c r="V5" i="75" a="1"/>
  <c r="V5" i="75" s="1"/>
  <c r="AH11" i="74" a="1"/>
  <c r="AH11" i="74" s="1"/>
  <c r="Y4" i="74" a="1"/>
  <c r="Y4" i="74" s="1"/>
  <c r="AI6" i="74" a="1"/>
  <c r="AI6" i="74" s="1"/>
  <c r="AI11" i="74" a="1"/>
  <c r="AI11" i="74" s="1"/>
  <c r="AH5" i="74" a="1"/>
  <c r="AH5" i="74" s="1"/>
  <c r="S6" i="73" a="1"/>
  <c r="S6" i="73" s="1"/>
  <c r="T11" i="74" a="1"/>
  <c r="T11" i="74" s="1"/>
  <c r="AF4" i="74" a="1"/>
  <c r="AF4" i="74" s="1"/>
  <c r="Q8" i="74" a="1"/>
  <c r="Q8" i="74" s="1"/>
  <c r="Z9" i="74" a="1"/>
  <c r="Z9" i="74" s="1"/>
  <c r="AA11" i="74" a="1"/>
  <c r="AA11" i="74" s="1"/>
  <c r="S6" i="74" a="1"/>
  <c r="S6" i="74" s="1"/>
  <c r="R2" i="74" a="1"/>
  <c r="R2" i="74" s="1"/>
  <c r="AD4" i="74" a="1"/>
  <c r="AD4" i="74" s="1"/>
  <c r="U6" i="73" a="1"/>
  <c r="U6" i="73" s="1"/>
  <c r="AF6" i="74" a="1"/>
  <c r="AF6" i="74" s="1"/>
  <c r="AH6" i="74" a="1"/>
  <c r="AH6" i="74" s="1"/>
  <c r="AH8" i="74" a="1"/>
  <c r="AH8" i="74" s="1"/>
  <c r="AH9" i="74" a="1"/>
  <c r="AH9" i="74" s="1"/>
  <c r="AC3" i="74" a="1"/>
  <c r="AC3" i="74" s="1"/>
  <c r="W9" i="74" a="1"/>
  <c r="W9" i="74" s="1"/>
  <c r="V8" i="74" a="1"/>
  <c r="V8" i="74" s="1"/>
  <c r="Y9" i="74" a="1"/>
  <c r="Y9" i="74" s="1"/>
  <c r="AA9" i="74" a="1"/>
  <c r="AA9" i="74" s="1"/>
  <c r="AE11" i="74" a="1"/>
  <c r="AE11" i="74" s="1"/>
  <c r="AF11" i="74" a="1"/>
  <c r="AF11" i="74" s="1"/>
  <c r="Q11" i="74" a="1"/>
  <c r="Q11" i="74" s="1"/>
  <c r="AG11" i="74" a="1"/>
  <c r="AG11" i="74" s="1"/>
  <c r="V3" i="74" a="1"/>
  <c r="V3" i="74" s="1"/>
  <c r="AB3" i="74" a="1"/>
  <c r="AB3" i="74" s="1"/>
  <c r="AE3" i="74" a="1"/>
  <c r="AE3" i="74" s="1"/>
  <c r="X6" i="74" a="1"/>
  <c r="X6" i="74" s="1"/>
  <c r="Y2" i="74" a="1"/>
  <c r="Y2" i="74" s="1"/>
  <c r="X3" i="74" a="1"/>
  <c r="X3" i="74" s="1"/>
  <c r="AG3" i="74" a="1"/>
  <c r="AG3" i="74" s="1"/>
  <c r="S8" i="73" a="1"/>
  <c r="S8" i="73" s="1"/>
  <c r="X4" i="73" a="1"/>
  <c r="X4" i="73" s="1"/>
  <c r="X3" i="73" a="1"/>
  <c r="X3" i="73" s="1"/>
  <c r="AC8" i="74" a="1"/>
  <c r="AC8" i="74" s="1"/>
  <c r="AF8" i="74" a="1"/>
  <c r="AF8" i="74" s="1"/>
  <c r="Y10" i="74" a="1"/>
  <c r="Y10" i="74" s="1"/>
  <c r="U9" i="74" a="1"/>
  <c r="U9" i="74" s="1"/>
  <c r="AG9" i="74" a="1"/>
  <c r="AG9" i="74" s="1"/>
  <c r="AF9" i="74" a="1"/>
  <c r="AF9" i="74" s="1"/>
  <c r="Z11" i="74" a="1"/>
  <c r="Z11" i="74" s="1"/>
  <c r="V11" i="74" a="1"/>
  <c r="V11" i="74" s="1"/>
  <c r="AJ11" i="74" a="1"/>
  <c r="AJ11" i="74" s="1"/>
  <c r="S11" i="74" a="1"/>
  <c r="S11" i="74" s="1"/>
  <c r="AD3" i="74" a="1"/>
  <c r="AD3" i="74" s="1"/>
  <c r="R3" i="74" a="1"/>
  <c r="R3" i="74" s="1"/>
  <c r="Q3" i="74" a="1"/>
  <c r="Q3" i="74" s="1"/>
  <c r="AB6" i="74" a="1"/>
  <c r="AB6" i="74" s="1"/>
  <c r="AI5" i="74" a="1"/>
  <c r="AI5" i="74" s="1"/>
  <c r="AF5" i="74" a="1"/>
  <c r="AF5" i="74" s="1"/>
  <c r="AI7" i="74" a="1"/>
  <c r="AI7" i="74" s="1"/>
  <c r="AE4" i="74" a="1"/>
  <c r="AE4" i="74" s="1"/>
  <c r="AI4" i="74" a="1"/>
  <c r="AI4" i="74" s="1"/>
  <c r="AC6" i="73" a="1"/>
  <c r="AC6" i="73" s="1"/>
  <c r="AA8" i="74" a="1"/>
  <c r="AA8" i="74" s="1"/>
  <c r="AC9" i="74" a="1"/>
  <c r="AC9" i="74" s="1"/>
  <c r="R9" i="74" a="1"/>
  <c r="R9" i="74" s="1"/>
  <c r="R11" i="74" a="1"/>
  <c r="R11" i="74" s="1"/>
  <c r="AD11" i="74" a="1"/>
  <c r="AD11" i="74" s="1"/>
  <c r="Y11" i="74" a="1"/>
  <c r="Y11" i="74" s="1"/>
  <c r="Z3" i="74" a="1"/>
  <c r="Z3" i="74" s="1"/>
  <c r="Y3" i="74" a="1"/>
  <c r="Y3" i="74" s="1"/>
  <c r="Z6" i="74" a="1"/>
  <c r="Z6" i="74" s="1"/>
  <c r="Q6" i="74" a="1"/>
  <c r="Q6" i="74" s="1"/>
  <c r="AB2" i="74" a="1"/>
  <c r="AB2" i="74" s="1"/>
  <c r="AG7" i="74" a="1"/>
  <c r="AG7" i="74" s="1"/>
  <c r="V4" i="74" a="1"/>
  <c r="V4" i="74" s="1"/>
  <c r="T4" i="74" a="1"/>
  <c r="T4" i="74" s="1"/>
  <c r="AG8" i="74" a="1"/>
  <c r="AG8" i="74" s="1"/>
  <c r="X8" i="74" a="1"/>
  <c r="X8" i="74" s="1"/>
  <c r="AD10" i="74" a="1"/>
  <c r="AD10" i="74" s="1"/>
  <c r="T10" i="74" a="1"/>
  <c r="T10" i="74" s="1"/>
  <c r="AJ10" i="74" a="1"/>
  <c r="AJ10" i="74" s="1"/>
  <c r="S10" i="74" a="1"/>
  <c r="S10" i="74" s="1"/>
  <c r="AA10" i="74" a="1"/>
  <c r="AA10" i="74" s="1"/>
  <c r="AI10" i="74" a="1"/>
  <c r="AI10" i="74" s="1"/>
  <c r="AE9" i="74" a="1"/>
  <c r="AE9" i="74" s="1"/>
  <c r="T9" i="74" a="1"/>
  <c r="T9" i="74" s="1"/>
  <c r="AB9" i="74" a="1"/>
  <c r="AB9" i="74" s="1"/>
  <c r="AJ9" i="74" a="1"/>
  <c r="AJ9" i="74" s="1"/>
  <c r="X11" i="74" a="1"/>
  <c r="X11" i="74" s="1"/>
  <c r="U11" i="74" a="1"/>
  <c r="U11" i="74" s="1"/>
  <c r="AC11" i="74" a="1"/>
  <c r="AC11" i="74" s="1"/>
  <c r="AF3" i="74" a="1"/>
  <c r="AF3" i="74" s="1"/>
  <c r="AH3" i="74" a="1"/>
  <c r="AH3" i="74" s="1"/>
  <c r="S3" i="74" a="1"/>
  <c r="S3" i="74" s="1"/>
  <c r="AA3" i="74" a="1"/>
  <c r="AA3" i="74" s="1"/>
  <c r="AI3" i="74" a="1"/>
  <c r="AI3" i="74" s="1"/>
  <c r="AG6" i="74" a="1"/>
  <c r="AG6" i="74" s="1"/>
  <c r="R6" i="74" a="1"/>
  <c r="R6" i="74" s="1"/>
  <c r="V6" i="74" a="1"/>
  <c r="V6" i="74" s="1"/>
  <c r="AJ6" i="74" a="1"/>
  <c r="AJ6" i="74" s="1"/>
  <c r="AC2" i="74" a="1"/>
  <c r="AC2" i="74" s="1"/>
  <c r="S2" i="74" a="1"/>
  <c r="S2" i="74" s="1"/>
  <c r="AI2" i="74" a="1"/>
  <c r="AI2" i="74" s="1"/>
  <c r="Z2" i="74" a="1"/>
  <c r="Z2" i="74" s="1"/>
  <c r="AJ2" i="74" a="1"/>
  <c r="AJ2" i="74" s="1"/>
  <c r="AA5" i="74" a="1"/>
  <c r="AA5" i="74" s="1"/>
  <c r="Q5" i="74" a="1"/>
  <c r="Q5" i="74" s="1"/>
  <c r="W5" i="74" a="1"/>
  <c r="W5" i="74" s="1"/>
  <c r="T5" i="74" a="1"/>
  <c r="T5" i="74" s="1"/>
  <c r="AB5" i="74" a="1"/>
  <c r="AB5" i="74" s="1"/>
  <c r="AJ5" i="74" a="1"/>
  <c r="AJ5" i="74" s="1"/>
  <c r="T7" i="74" a="1"/>
  <c r="T7" i="74" s="1"/>
  <c r="V7" i="74" a="1"/>
  <c r="V7" i="74" s="1"/>
  <c r="AB7" i="74" a="1"/>
  <c r="AB7" i="74" s="1"/>
  <c r="S7" i="74" a="1"/>
  <c r="S7" i="74" s="1"/>
  <c r="AH7" i="74" a="1"/>
  <c r="AH7" i="74" s="1"/>
  <c r="AC7" i="74" a="1"/>
  <c r="AC7" i="74" s="1"/>
  <c r="X4" i="74" a="1"/>
  <c r="X4" i="74" s="1"/>
  <c r="S4" i="74" a="1"/>
  <c r="S4" i="74" s="1"/>
  <c r="AB4" i="74" a="1"/>
  <c r="AB4" i="74" s="1"/>
  <c r="Z4" i="74" a="1"/>
  <c r="Z4" i="74" s="1"/>
  <c r="W8" i="74" a="1"/>
  <c r="W8" i="74" s="1"/>
  <c r="AD8" i="74" a="1"/>
  <c r="AD8" i="74" s="1"/>
  <c r="AH10" i="74" a="1"/>
  <c r="AH10" i="74" s="1"/>
  <c r="Q10" i="74" a="1"/>
  <c r="Q10" i="74" s="1"/>
  <c r="AG10" i="74" a="1"/>
  <c r="AG10" i="74" s="1"/>
  <c r="AD5" i="73" a="1"/>
  <c r="AD5" i="73" s="1"/>
  <c r="Y8" i="74" a="1"/>
  <c r="Y8" i="74" s="1"/>
  <c r="AE8" i="74" a="1"/>
  <c r="AE8" i="74" s="1"/>
  <c r="R8" i="74" a="1"/>
  <c r="R8" i="74" s="1"/>
  <c r="Z8" i="74" a="1"/>
  <c r="Z8" i="74" s="1"/>
  <c r="V10" i="74" a="1"/>
  <c r="V10" i="74" s="1"/>
  <c r="R10" i="74" a="1"/>
  <c r="R10" i="74" s="1"/>
  <c r="X10" i="74" a="1"/>
  <c r="X10" i="74" s="1"/>
  <c r="U10" i="74" a="1"/>
  <c r="U10" i="74" s="1"/>
  <c r="AC10" i="74" a="1"/>
  <c r="AC10" i="74" s="1"/>
  <c r="Q9" i="74" a="1"/>
  <c r="Q9" i="74" s="1"/>
  <c r="S9" i="74" a="1"/>
  <c r="S9" i="74" s="1"/>
  <c r="AI9" i="74" a="1"/>
  <c r="AI9" i="74" s="1"/>
  <c r="V9" i="74" a="1"/>
  <c r="V9" i="74" s="1"/>
  <c r="AD9" i="74" a="1"/>
  <c r="AD9" i="74" s="1"/>
  <c r="AB11" i="74" a="1"/>
  <c r="AB11" i="74" s="1"/>
  <c r="W11" i="74" a="1"/>
  <c r="W11" i="74" s="1"/>
  <c r="T3" i="74" a="1"/>
  <c r="T3" i="74" s="1"/>
  <c r="AJ3" i="74" a="1"/>
  <c r="AJ3" i="74" s="1"/>
  <c r="U3" i="74" a="1"/>
  <c r="U3" i="74" s="1"/>
  <c r="AA6" i="74" a="1"/>
  <c r="AA6" i="74" s="1"/>
  <c r="AC6" i="74" a="1"/>
  <c r="AC6" i="74" s="1"/>
  <c r="Y6" i="74" a="1"/>
  <c r="Y6" i="74" s="1"/>
  <c r="T6" i="74" a="1"/>
  <c r="T6" i="74" s="1"/>
  <c r="AD6" i="74" a="1"/>
  <c r="AD6" i="74" s="1"/>
  <c r="Q2" i="74" a="1"/>
  <c r="Q2" i="74" s="1"/>
  <c r="AG2" i="74" a="1"/>
  <c r="AG2" i="74" s="1"/>
  <c r="W2" i="74" a="1"/>
  <c r="W2" i="74" s="1"/>
  <c r="AD2" i="74" a="1"/>
  <c r="AD2" i="74" s="1"/>
  <c r="AC5" i="74" a="1"/>
  <c r="AC5" i="74" s="1"/>
  <c r="Y5" i="74" a="1"/>
  <c r="Y5" i="74" s="1"/>
  <c r="AE5" i="74" a="1"/>
  <c r="AE5" i="74" s="1"/>
  <c r="V5" i="74" a="1"/>
  <c r="V5" i="74" s="1"/>
  <c r="AD5" i="74" a="1"/>
  <c r="AD5" i="74" s="1"/>
  <c r="AF7" i="74" a="1"/>
  <c r="AF7" i="74" s="1"/>
  <c r="AA7" i="74" a="1"/>
  <c r="AA7" i="74" s="1"/>
  <c r="AJ7" i="74" a="1"/>
  <c r="AJ7" i="74" s="1"/>
  <c r="U7" i="74" a="1"/>
  <c r="U7" i="74" s="1"/>
  <c r="AE7" i="74" a="1"/>
  <c r="AE7" i="74" s="1"/>
  <c r="R4" i="74" a="1"/>
  <c r="R4" i="74" s="1"/>
  <c r="AA4" i="74" a="1"/>
  <c r="AA4" i="74" s="1"/>
  <c r="AC4" i="74" a="1"/>
  <c r="AC4" i="74" s="1"/>
  <c r="U4" i="74" a="1"/>
  <c r="U4" i="74" s="1"/>
  <c r="AG4" i="74" a="1"/>
  <c r="AG4" i="74" s="1"/>
  <c r="AE11" i="73" a="1"/>
  <c r="AE11" i="73" s="1"/>
  <c r="U8" i="74" a="1"/>
  <c r="U8" i="74" s="1"/>
  <c r="S8" i="74" a="1"/>
  <c r="S8" i="74" s="1"/>
  <c r="AI8" i="74" a="1"/>
  <c r="AI8" i="74" s="1"/>
  <c r="T8" i="74" a="1"/>
  <c r="T8" i="74" s="1"/>
  <c r="AB8" i="74" a="1"/>
  <c r="AB8" i="74" s="1"/>
  <c r="AJ8" i="74" a="1"/>
  <c r="AJ8" i="74" s="1"/>
  <c r="Z10" i="74" a="1"/>
  <c r="Z10" i="74" s="1"/>
  <c r="AB10" i="74" a="1"/>
  <c r="AB10" i="74" s="1"/>
  <c r="W10" i="74" a="1"/>
  <c r="W10" i="74" s="1"/>
  <c r="AE10" i="74" a="1"/>
  <c r="AE10" i="74" s="1"/>
  <c r="X9" i="74" a="1"/>
  <c r="X9" i="74" s="1"/>
  <c r="W3" i="74" a="1"/>
  <c r="W3" i="74" s="1"/>
  <c r="AE6" i="74" a="1"/>
  <c r="AE6" i="74" s="1"/>
  <c r="W6" i="74" a="1"/>
  <c r="W6" i="74" s="1"/>
  <c r="U2" i="74" a="1"/>
  <c r="U2" i="74" s="1"/>
  <c r="AA2" i="74" a="1"/>
  <c r="AA2" i="74" s="1"/>
  <c r="T2" i="74" a="1"/>
  <c r="T2" i="74" s="1"/>
  <c r="AF2" i="74" a="1"/>
  <c r="AF2" i="74" s="1"/>
  <c r="X2" i="74" a="1"/>
  <c r="X2" i="74" s="1"/>
  <c r="S5" i="74" a="1"/>
  <c r="S5" i="74" s="1"/>
  <c r="U5" i="74" a="1"/>
  <c r="U5" i="74" s="1"/>
  <c r="AG5" i="74" a="1"/>
  <c r="AG5" i="74" s="1"/>
  <c r="X5" i="74" a="1"/>
  <c r="X5" i="74" s="1"/>
  <c r="Y7" i="74" a="1"/>
  <c r="Y7" i="74" s="1"/>
  <c r="X7" i="74" a="1"/>
  <c r="X7" i="74" s="1"/>
  <c r="W7" i="74" a="1"/>
  <c r="W7" i="74" s="1"/>
  <c r="W4" i="74" a="1"/>
  <c r="W4" i="74" s="1"/>
  <c r="AJ4" i="74" a="1"/>
  <c r="AJ4" i="74" s="1"/>
  <c r="AH4" i="74" a="1"/>
  <c r="AH4" i="74" s="1"/>
  <c r="AF10" i="74" a="1"/>
  <c r="AF10" i="74" s="1"/>
  <c r="AE2" i="74" a="1"/>
  <c r="AE2" i="74" s="1"/>
  <c r="V2" i="74" a="1"/>
  <c r="V2" i="74" s="1"/>
  <c r="AH2" i="74" a="1"/>
  <c r="AH2" i="74" s="1"/>
  <c r="R5" i="74" a="1"/>
  <c r="R5" i="74" s="1"/>
  <c r="Z5" i="74" a="1"/>
  <c r="Z5" i="74" s="1"/>
  <c r="R7" i="74" a="1"/>
  <c r="R7" i="74" s="1"/>
  <c r="Q7" i="74" a="1"/>
  <c r="Q7" i="74" s="1"/>
  <c r="AD7" i="74" a="1"/>
  <c r="AD7" i="74" s="1"/>
  <c r="Z7" i="74" a="1"/>
  <c r="Z7" i="74" s="1"/>
  <c r="Q4" i="74" a="1"/>
  <c r="Q4" i="74" s="1"/>
  <c r="V8" i="73" a="1"/>
  <c r="V8" i="73" s="1"/>
  <c r="AC5" i="73" a="1"/>
  <c r="AC5" i="73" s="1"/>
  <c r="AE8" i="73" a="1"/>
  <c r="AE8" i="73" s="1"/>
  <c r="AF4" i="73" a="1"/>
  <c r="AF4" i="73" s="1"/>
  <c r="AH7" i="73" a="1"/>
  <c r="AH7" i="73" s="1"/>
  <c r="AJ6" i="73" a="1"/>
  <c r="AJ6" i="73" s="1"/>
  <c r="AJ9" i="73" a="1"/>
  <c r="AJ9" i="73" s="1"/>
  <c r="T5" i="73" a="1"/>
  <c r="T5" i="73" s="1"/>
  <c r="AD8" i="73" a="1"/>
  <c r="AD8" i="73" s="1"/>
  <c r="AC4" i="73" a="1"/>
  <c r="AC4" i="73" s="1"/>
  <c r="Q6" i="73" a="1"/>
  <c r="Q6" i="73" s="1"/>
  <c r="T6" i="73" a="1"/>
  <c r="T6" i="73" s="1"/>
  <c r="V4" i="73" a="1"/>
  <c r="V4" i="73" s="1"/>
  <c r="AJ4" i="73" a="1"/>
  <c r="AJ4" i="73" s="1"/>
  <c r="Q4" i="73" a="1"/>
  <c r="Q4" i="73" s="1"/>
  <c r="AG4" i="73" a="1"/>
  <c r="AG4" i="73" s="1"/>
  <c r="Q7" i="73" a="1"/>
  <c r="Q7" i="73" s="1"/>
  <c r="AF11" i="73" a="1"/>
  <c r="AF11" i="73" s="1"/>
  <c r="V11" i="73" a="1"/>
  <c r="V11" i="73" s="1"/>
  <c r="AD2" i="73" a="1"/>
  <c r="AD2" i="73" s="1"/>
  <c r="R5" i="73" a="1"/>
  <c r="R5" i="73" s="1"/>
  <c r="X5" i="73" a="1"/>
  <c r="X5" i="73" s="1"/>
  <c r="AJ3" i="73" a="1"/>
  <c r="AJ3" i="73" s="1"/>
  <c r="AE6" i="73" a="1"/>
  <c r="AE6" i="73" s="1"/>
  <c r="AI6" i="73" a="1"/>
  <c r="AI6" i="73" s="1"/>
  <c r="AB6" i="73" a="1"/>
  <c r="AB6" i="73" s="1"/>
  <c r="AA2" i="73" a="1"/>
  <c r="AA2" i="73" s="1"/>
  <c r="U8" i="73" a="1"/>
  <c r="U8" i="73" s="1"/>
  <c r="W8" i="73" a="1"/>
  <c r="W8" i="73" s="1"/>
  <c r="AJ8" i="73" a="1"/>
  <c r="AJ8" i="73" s="1"/>
  <c r="Z4" i="73" a="1"/>
  <c r="Z4" i="73" s="1"/>
  <c r="U4" i="73" a="1"/>
  <c r="U4" i="73" s="1"/>
  <c r="U10" i="73" a="1"/>
  <c r="U10" i="73" s="1"/>
  <c r="AG11" i="73" a="1"/>
  <c r="AG11" i="73" s="1"/>
  <c r="Y2" i="73" a="1"/>
  <c r="Y2" i="73" s="1"/>
  <c r="AJ2" i="73" a="1"/>
  <c r="AJ2" i="73" s="1"/>
  <c r="AF5" i="73" a="1"/>
  <c r="AF5" i="73" s="1"/>
  <c r="AI5" i="73" a="1"/>
  <c r="AI5" i="73" s="1"/>
  <c r="AE3" i="73" a="1"/>
  <c r="AE3" i="73" s="1"/>
  <c r="AH9" i="73" a="1"/>
  <c r="AH9" i="73" s="1"/>
  <c r="AC8" i="73" a="1"/>
  <c r="AC8" i="73" s="1"/>
  <c r="Y8" i="73" a="1"/>
  <c r="Y8" i="73" s="1"/>
  <c r="AI4" i="73" a="1"/>
  <c r="AI4" i="73" s="1"/>
  <c r="AH4" i="73" a="1"/>
  <c r="AH4" i="73" s="1"/>
  <c r="Y4" i="73" a="1"/>
  <c r="Y4" i="73" s="1"/>
  <c r="S7" i="73" a="1"/>
  <c r="S7" i="73" s="1"/>
  <c r="X7" i="73" a="1"/>
  <c r="X7" i="73" s="1"/>
  <c r="AI10" i="73" a="1"/>
  <c r="AI10" i="73" s="1"/>
  <c r="X11" i="73" a="1"/>
  <c r="X11" i="73" s="1"/>
  <c r="AC2" i="73" a="1"/>
  <c r="AC2" i="73" s="1"/>
  <c r="V2" i="73" a="1"/>
  <c r="V2" i="73" s="1"/>
  <c r="S5" i="73" a="1"/>
  <c r="S5" i="73" s="1"/>
  <c r="AH6" i="73" a="1"/>
  <c r="AH6" i="73" s="1"/>
  <c r="AD9" i="73" a="1"/>
  <c r="AD9" i="73" s="1"/>
  <c r="AB7" i="73" a="1"/>
  <c r="AB7" i="73" s="1"/>
  <c r="AD10" i="73" a="1"/>
  <c r="AD10" i="73" s="1"/>
  <c r="AC10" i="73" a="1"/>
  <c r="AC10" i="73" s="1"/>
  <c r="Y11" i="73" a="1"/>
  <c r="Y11" i="73" s="1"/>
  <c r="Q3" i="73" a="1"/>
  <c r="Q3" i="73" s="1"/>
  <c r="AG3" i="73" a="1"/>
  <c r="AG3" i="73" s="1"/>
  <c r="AC9" i="73" a="1"/>
  <c r="AC9" i="73" s="1"/>
  <c r="U9" i="73" a="1"/>
  <c r="U9" i="73" s="1"/>
  <c r="X9" i="73" a="1"/>
  <c r="X9" i="73" s="1"/>
  <c r="Q9" i="73" a="1"/>
  <c r="Q9" i="73" s="1"/>
  <c r="AG9" i="73" a="1"/>
  <c r="AG9" i="73" s="1"/>
  <c r="AB9" i="73" a="1"/>
  <c r="AB9" i="73" s="1"/>
  <c r="AA8" i="73" a="1"/>
  <c r="AA8" i="73" s="1"/>
  <c r="AI8" i="73" a="1"/>
  <c r="AI8" i="73" s="1"/>
  <c r="AG8" i="73" a="1"/>
  <c r="AG8" i="73" s="1"/>
  <c r="X8" i="73" a="1"/>
  <c r="X8" i="73" s="1"/>
  <c r="AF8" i="73" a="1"/>
  <c r="AF8" i="73" s="1"/>
  <c r="R4" i="73" a="1"/>
  <c r="R4" i="73" s="1"/>
  <c r="T4" i="73" a="1"/>
  <c r="T4" i="73" s="1"/>
  <c r="W4" i="73" a="1"/>
  <c r="W4" i="73" s="1"/>
  <c r="AB4" i="73" a="1"/>
  <c r="AB4" i="73" s="1"/>
  <c r="AE4" i="73" a="1"/>
  <c r="AE4" i="73" s="1"/>
  <c r="AC7" i="73" a="1"/>
  <c r="AC7" i="73" s="1"/>
  <c r="U7" i="73" a="1"/>
  <c r="U7" i="73" s="1"/>
  <c r="AD7" i="73" a="1"/>
  <c r="AD7" i="73" s="1"/>
  <c r="R7" i="73" a="1"/>
  <c r="R7" i="73" s="1"/>
  <c r="AG7" i="73" a="1"/>
  <c r="AG7" i="73" s="1"/>
  <c r="Z7" i="73" a="1"/>
  <c r="Z7" i="73" s="1"/>
  <c r="AF10" i="73" a="1"/>
  <c r="AF10" i="73" s="1"/>
  <c r="X10" i="73" a="1"/>
  <c r="X10" i="73" s="1"/>
  <c r="W10" i="73" a="1"/>
  <c r="W10" i="73" s="1"/>
  <c r="AE10" i="73" a="1"/>
  <c r="AE10" i="73" s="1"/>
  <c r="U11" i="73" a="1"/>
  <c r="U11" i="73" s="1"/>
  <c r="Z11" i="73" a="1"/>
  <c r="Z11" i="73" s="1"/>
  <c r="Q11" i="73" a="1"/>
  <c r="Q11" i="73" s="1"/>
  <c r="AA11" i="73" a="1"/>
  <c r="AA11" i="73" s="1"/>
  <c r="AI11" i="73" a="1"/>
  <c r="AI11" i="73" s="1"/>
  <c r="Q2" i="73" a="1"/>
  <c r="Q2" i="73" s="1"/>
  <c r="S2" i="73" a="1"/>
  <c r="S2" i="73" s="1"/>
  <c r="X2" i="73" a="1"/>
  <c r="X2" i="73" s="1"/>
  <c r="AF2" i="73" a="1"/>
  <c r="AF2" i="73" s="1"/>
  <c r="Q5" i="73" a="1"/>
  <c r="Q5" i="73" s="1"/>
  <c r="U5" i="73" a="1"/>
  <c r="U5" i="73" s="1"/>
  <c r="AJ5" i="73" a="1"/>
  <c r="AJ5" i="73" s="1"/>
  <c r="V5" i="73" a="1"/>
  <c r="V5" i="73" s="1"/>
  <c r="AE5" i="73" a="1"/>
  <c r="AE5" i="73" s="1"/>
  <c r="AB3" i="73" a="1"/>
  <c r="AB3" i="73" s="1"/>
  <c r="AF3" i="73" a="1"/>
  <c r="AF3" i="73" s="1"/>
  <c r="S3" i="73" a="1"/>
  <c r="S3" i="73" s="1"/>
  <c r="AA3" i="73" a="1"/>
  <c r="AA3" i="73" s="1"/>
  <c r="AI3" i="73" a="1"/>
  <c r="AI3" i="73" s="1"/>
  <c r="Y6" i="73" a="1"/>
  <c r="Y6" i="73" s="1"/>
  <c r="W6" i="73" a="1"/>
  <c r="W6" i="73" s="1"/>
  <c r="V6" i="73" a="1"/>
  <c r="V6" i="73" s="1"/>
  <c r="AD6" i="73" a="1"/>
  <c r="AD6" i="73" s="1"/>
  <c r="AJ10" i="73" a="1"/>
  <c r="AJ10" i="73" s="1"/>
  <c r="Z3" i="73" a="1"/>
  <c r="Z3" i="73" s="1"/>
  <c r="Y3" i="73" a="1"/>
  <c r="Y3" i="73" s="1"/>
  <c r="S9" i="73" a="1"/>
  <c r="S9" i="73" s="1"/>
  <c r="Z9" i="73" a="1"/>
  <c r="Z9" i="73" s="1"/>
  <c r="AA9" i="73" a="1"/>
  <c r="AA9" i="73" s="1"/>
  <c r="V9" i="73" a="1"/>
  <c r="V9" i="73" s="1"/>
  <c r="AE9" i="73" a="1"/>
  <c r="AE9" i="73" s="1"/>
  <c r="R8" i="73" a="1"/>
  <c r="R8" i="73" s="1"/>
  <c r="Z8" i="73" a="1"/>
  <c r="Z8" i="73" s="1"/>
  <c r="AH8" i="73" a="1"/>
  <c r="AH8" i="73" s="1"/>
  <c r="AF7" i="73" a="1"/>
  <c r="AF7" i="73" s="1"/>
  <c r="V7" i="73" a="1"/>
  <c r="V7" i="73" s="1"/>
  <c r="T7" i="73" a="1"/>
  <c r="T7" i="73" s="1"/>
  <c r="AJ7" i="73" a="1"/>
  <c r="AJ7" i="73" s="1"/>
  <c r="AE7" i="73" a="1"/>
  <c r="AE7" i="73" s="1"/>
  <c r="R10" i="73" a="1"/>
  <c r="R10" i="73" s="1"/>
  <c r="T10" i="73" a="1"/>
  <c r="T10" i="73" s="1"/>
  <c r="Q10" i="73" a="1"/>
  <c r="Q10" i="73" s="1"/>
  <c r="Y10" i="73" a="1"/>
  <c r="Y10" i="73" s="1"/>
  <c r="AG10" i="73" a="1"/>
  <c r="AG10" i="73" s="1"/>
  <c r="AB11" i="73" a="1"/>
  <c r="AB11" i="73" s="1"/>
  <c r="AD11" i="73" a="1"/>
  <c r="AD11" i="73" s="1"/>
  <c r="T11" i="73" a="1"/>
  <c r="T11" i="73" s="1"/>
  <c r="AC11" i="73" a="1"/>
  <c r="AC11" i="73" s="1"/>
  <c r="AG2" i="73" a="1"/>
  <c r="AG2" i="73" s="1"/>
  <c r="AI2" i="73" a="1"/>
  <c r="AI2" i="73" s="1"/>
  <c r="W2" i="73" a="1"/>
  <c r="W2" i="73" s="1"/>
  <c r="R2" i="73" a="1"/>
  <c r="R2" i="73" s="1"/>
  <c r="Z2" i="73" a="1"/>
  <c r="Z2" i="73" s="1"/>
  <c r="AH2" i="73" a="1"/>
  <c r="AH2" i="73" s="1"/>
  <c r="Z5" i="73" a="1"/>
  <c r="Z5" i="73" s="1"/>
  <c r="W5" i="73" a="1"/>
  <c r="W5" i="73" s="1"/>
  <c r="Y5" i="73" a="1"/>
  <c r="Y5" i="73" s="1"/>
  <c r="AG5" i="73" a="1"/>
  <c r="AG5" i="73" s="1"/>
  <c r="AD3" i="73" a="1"/>
  <c r="AD3" i="73" s="1"/>
  <c r="R3" i="73" a="1"/>
  <c r="R3" i="73" s="1"/>
  <c r="U3" i="73" a="1"/>
  <c r="U3" i="73" s="1"/>
  <c r="AC3" i="73" a="1"/>
  <c r="AC3" i="73" s="1"/>
  <c r="AG6" i="73" a="1"/>
  <c r="AG6" i="73" s="1"/>
  <c r="AA6" i="73" a="1"/>
  <c r="AA6" i="73" s="1"/>
  <c r="X6" i="73" a="1"/>
  <c r="X6" i="73" s="1"/>
  <c r="AF6" i="73" a="1"/>
  <c r="AF6" i="73" s="1"/>
  <c r="W9" i="73" a="1"/>
  <c r="W9" i="73" s="1"/>
  <c r="W7" i="73" a="1"/>
  <c r="W7" i="73" s="1"/>
  <c r="Z10" i="73" a="1"/>
  <c r="Z10" i="73" s="1"/>
  <c r="AI9" i="73" a="1"/>
  <c r="AI9" i="73" s="1"/>
  <c r="R9" i="73" a="1"/>
  <c r="R9" i="73" s="1"/>
  <c r="AF9" i="73" a="1"/>
  <c r="AF9" i="73" s="1"/>
  <c r="Y9" i="73" a="1"/>
  <c r="Y9" i="73" s="1"/>
  <c r="T9" i="73" a="1"/>
  <c r="T9" i="73" s="1"/>
  <c r="Q8" i="73" a="1"/>
  <c r="Q8" i="73" s="1"/>
  <c r="T8" i="73" a="1"/>
  <c r="T8" i="73" s="1"/>
  <c r="AB8" i="73" a="1"/>
  <c r="AB8" i="73" s="1"/>
  <c r="S4" i="73" a="1"/>
  <c r="S4" i="73" s="1"/>
  <c r="AA4" i="73" a="1"/>
  <c r="AA4" i="73" s="1"/>
  <c r="AD4" i="73" a="1"/>
  <c r="AD4" i="73" s="1"/>
  <c r="AI7" i="73" a="1"/>
  <c r="AI7" i="73" s="1"/>
  <c r="AA7" i="73" a="1"/>
  <c r="AA7" i="73" s="1"/>
  <c r="Y7" i="73" a="1"/>
  <c r="Y7" i="73" s="1"/>
  <c r="AH10" i="73" a="1"/>
  <c r="AH10" i="73" s="1"/>
  <c r="V10" i="73" a="1"/>
  <c r="V10" i="73" s="1"/>
  <c r="AB10" i="73" a="1"/>
  <c r="AB10" i="73" s="1"/>
  <c r="S10" i="73" a="1"/>
  <c r="S10" i="73" s="1"/>
  <c r="AA10" i="73" a="1"/>
  <c r="AA10" i="73" s="1"/>
  <c r="R11" i="73" a="1"/>
  <c r="R11" i="73" s="1"/>
  <c r="AJ11" i="73" a="1"/>
  <c r="AJ11" i="73" s="1"/>
  <c r="S11" i="73" a="1"/>
  <c r="S11" i="73" s="1"/>
  <c r="AH11" i="73" a="1"/>
  <c r="AH11" i="73" s="1"/>
  <c r="W11" i="73" a="1"/>
  <c r="W11" i="73" s="1"/>
  <c r="U2" i="73" a="1"/>
  <c r="U2" i="73" s="1"/>
  <c r="AE2" i="73" a="1"/>
  <c r="AE2" i="73" s="1"/>
  <c r="T2" i="73" a="1"/>
  <c r="T2" i="73" s="1"/>
  <c r="AB2" i="73" a="1"/>
  <c r="AB2" i="73" s="1"/>
  <c r="AH5" i="73" a="1"/>
  <c r="AH5" i="73" s="1"/>
  <c r="AB5" i="73" a="1"/>
  <c r="AB5" i="73" s="1"/>
  <c r="AA5" i="73" a="1"/>
  <c r="AA5" i="73" s="1"/>
  <c r="T3" i="73" a="1"/>
  <c r="T3" i="73" s="1"/>
  <c r="AH3" i="73" a="1"/>
  <c r="AH3" i="73" s="1"/>
  <c r="V3" i="73" a="1"/>
  <c r="V3" i="73" s="1"/>
  <c r="W3" i="73" a="1"/>
  <c r="W3" i="73" s="1"/>
  <c r="R6" i="73" a="1"/>
  <c r="R6" i="73" s="1"/>
  <c r="Z6" i="73" a="1"/>
  <c r="Z6" i="73" s="1"/>
  <c r="U2" i="71" a="1"/>
  <c r="U2" i="71" s="1"/>
  <c r="AG6" i="71" a="1"/>
  <c r="AG6" i="71" s="1"/>
  <c r="AB5" i="71" a="1"/>
  <c r="AB5" i="71" s="1"/>
  <c r="R10" i="71" a="1"/>
  <c r="R10" i="71" s="1"/>
  <c r="U9" i="71" a="1"/>
  <c r="U9" i="71" s="1"/>
  <c r="AD7" i="71" a="1"/>
  <c r="AD7" i="71" s="1"/>
  <c r="R11" i="71" a="1"/>
  <c r="R11" i="71" s="1"/>
  <c r="Z3" i="71" a="1"/>
  <c r="Z3" i="71" s="1"/>
  <c r="AE4" i="71" a="1"/>
  <c r="AE4" i="71" s="1"/>
  <c r="S8" i="71" a="1"/>
  <c r="S8" i="71" s="1"/>
  <c r="AA2" i="71" a="1"/>
  <c r="AA2" i="71" s="1"/>
  <c r="T6" i="71" a="1"/>
  <c r="T6" i="71" s="1"/>
  <c r="X5" i="71" a="1"/>
  <c r="X5" i="71" s="1"/>
  <c r="Q10" i="71" a="1"/>
  <c r="Q10" i="71" s="1"/>
  <c r="AE9" i="71" a="1"/>
  <c r="AE9" i="71" s="1"/>
  <c r="S7" i="71" a="1"/>
  <c r="S7" i="71" s="1"/>
  <c r="T11" i="71" a="1"/>
  <c r="T11" i="71" s="1"/>
  <c r="AE3" i="71" a="1"/>
  <c r="AE3" i="71" s="1"/>
  <c r="Q4" i="71" a="1"/>
  <c r="Q4" i="71" s="1"/>
  <c r="T8" i="71" a="1"/>
  <c r="T8" i="71" s="1"/>
  <c r="W10" i="71" a="1"/>
  <c r="W10" i="71" s="1"/>
  <c r="Z10" i="71" a="1"/>
  <c r="Z10" i="71" s="1"/>
  <c r="AJ9" i="71" a="1"/>
  <c r="AJ9" i="71" s="1"/>
  <c r="X9" i="71" a="1"/>
  <c r="X9" i="71" s="1"/>
  <c r="AG7" i="71" a="1"/>
  <c r="AG7" i="71" s="1"/>
  <c r="AA6" i="71" a="1"/>
  <c r="AA6" i="71" s="1"/>
  <c r="AJ6" i="71" a="1"/>
  <c r="AJ6" i="71" s="1"/>
  <c r="V6" i="71" a="1"/>
  <c r="V6" i="71" s="1"/>
  <c r="Z5" i="71" a="1"/>
  <c r="Z5" i="71" s="1"/>
  <c r="S11" i="71" a="1"/>
  <c r="S11" i="71" s="1"/>
  <c r="AB11" i="71" a="1"/>
  <c r="AB11" i="71" s="1"/>
  <c r="AE2" i="71" a="1"/>
  <c r="AE2" i="71" s="1"/>
  <c r="AH2" i="71" a="1"/>
  <c r="AH2" i="71" s="1"/>
  <c r="S2" i="71" a="1"/>
  <c r="S2" i="71" s="1"/>
  <c r="AC3" i="71" a="1"/>
  <c r="AC3" i="71" s="1"/>
  <c r="Y4" i="71" a="1"/>
  <c r="Y4" i="71" s="1"/>
  <c r="S4" i="71" a="1"/>
  <c r="S4" i="71" s="1"/>
  <c r="AB4" i="71" a="1"/>
  <c r="AB4" i="71" s="1"/>
  <c r="Z8" i="71" a="1"/>
  <c r="Z8" i="71" s="1"/>
  <c r="AJ8" i="71" a="1"/>
  <c r="AJ8" i="71" s="1"/>
  <c r="V8" i="71" a="1"/>
  <c r="V8" i="71" s="1"/>
  <c r="X8" i="71" a="1"/>
  <c r="X8" i="71" s="1"/>
  <c r="AB10" i="71" a="1"/>
  <c r="AB10" i="71" s="1"/>
  <c r="AG10" i="71" a="1"/>
  <c r="AG10" i="71" s="1"/>
  <c r="AI10" i="71" a="1"/>
  <c r="AI10" i="71" s="1"/>
  <c r="S10" i="71" a="1"/>
  <c r="S10" i="71" s="1"/>
  <c r="U10" i="71" a="1"/>
  <c r="U10" i="71" s="1"/>
  <c r="AH9" i="71" a="1"/>
  <c r="AH9" i="71" s="1"/>
  <c r="AG9" i="71" a="1"/>
  <c r="AG9" i="71" s="1"/>
  <c r="AI9" i="71" a="1"/>
  <c r="AI9" i="71" s="1"/>
  <c r="S9" i="71" a="1"/>
  <c r="S9" i="71" s="1"/>
  <c r="AC7" i="71" a="1"/>
  <c r="AC7" i="71" s="1"/>
  <c r="W7" i="71" a="1"/>
  <c r="W7" i="71" s="1"/>
  <c r="AB7" i="71" a="1"/>
  <c r="AB7" i="71" s="1"/>
  <c r="AI6" i="71" a="1"/>
  <c r="AI6" i="71" s="1"/>
  <c r="Z6" i="71" a="1"/>
  <c r="Z6" i="71" s="1"/>
  <c r="AE6" i="71" a="1"/>
  <c r="AE6" i="71" s="1"/>
  <c r="AD5" i="71" a="1"/>
  <c r="AD5" i="71" s="1"/>
  <c r="V5" i="71" a="1"/>
  <c r="V5" i="71" s="1"/>
  <c r="U5" i="71" a="1"/>
  <c r="U5" i="71" s="1"/>
  <c r="W5" i="71" a="1"/>
  <c r="W5" i="71" s="1"/>
  <c r="U11" i="71" a="1"/>
  <c r="U11" i="71" s="1"/>
  <c r="AC11" i="71" a="1"/>
  <c r="AC11" i="71" s="1"/>
  <c r="W11" i="71" a="1"/>
  <c r="W11" i="71" s="1"/>
  <c r="Z11" i="71" a="1"/>
  <c r="Z11" i="71" s="1"/>
  <c r="AJ2" i="71" a="1"/>
  <c r="AJ2" i="71" s="1"/>
  <c r="V2" i="71" a="1"/>
  <c r="V2" i="71" s="1"/>
  <c r="AB2" i="71" a="1"/>
  <c r="AB2" i="71" s="1"/>
  <c r="Y2" i="71" a="1"/>
  <c r="Y2" i="71" s="1"/>
  <c r="T2" i="71" a="1"/>
  <c r="T2" i="71" s="1"/>
  <c r="Y3" i="71" a="1"/>
  <c r="Y3" i="71" s="1"/>
  <c r="AB3" i="71" a="1"/>
  <c r="AB3" i="71" s="1"/>
  <c r="V3" i="71" a="1"/>
  <c r="V3" i="71" s="1"/>
  <c r="X3" i="71" a="1"/>
  <c r="X3" i="71" s="1"/>
  <c r="AG4" i="71" a="1"/>
  <c r="AG4" i="71" s="1"/>
  <c r="AF4" i="71" a="1"/>
  <c r="AF4" i="71" s="1"/>
  <c r="AH4" i="71" a="1"/>
  <c r="AH4" i="71" s="1"/>
  <c r="R4" i="71" a="1"/>
  <c r="R4" i="71" s="1"/>
  <c r="W4" i="71" a="1"/>
  <c r="W4" i="71" s="1"/>
  <c r="U8" i="71" a="1"/>
  <c r="U8" i="71" s="1"/>
  <c r="AE8" i="71" a="1"/>
  <c r="AE8" i="71" s="1"/>
  <c r="AG8" i="71" a="1"/>
  <c r="AG8" i="71" s="1"/>
  <c r="AI8" i="71" a="1"/>
  <c r="AI8" i="71" s="1"/>
  <c r="V10" i="71" a="1"/>
  <c r="V10" i="71" s="1"/>
  <c r="Z9" i="71" a="1"/>
  <c r="Z9" i="71" s="1"/>
  <c r="T9" i="71" a="1"/>
  <c r="T9" i="71" s="1"/>
  <c r="U7" i="71" a="1"/>
  <c r="U7" i="71" s="1"/>
  <c r="AI7" i="71" a="1"/>
  <c r="AI7" i="71" s="1"/>
  <c r="AC6" i="71" a="1"/>
  <c r="AC6" i="71" s="1"/>
  <c r="AI5" i="71" a="1"/>
  <c r="AI5" i="71" s="1"/>
  <c r="AG5" i="71" a="1"/>
  <c r="AG5" i="71" s="1"/>
  <c r="AE11" i="71" a="1"/>
  <c r="AE11" i="71" s="1"/>
  <c r="Z2" i="71" a="1"/>
  <c r="Z2" i="71" s="1"/>
  <c r="T3" i="71" a="1"/>
  <c r="T3" i="71" s="1"/>
  <c r="AA3" i="71" a="1"/>
  <c r="AA3" i="71" s="1"/>
  <c r="AI4" i="71" a="1"/>
  <c r="AI4" i="71" s="1"/>
  <c r="U4" i="71" a="1"/>
  <c r="U4" i="71" s="1"/>
  <c r="Q6" i="71" a="1"/>
  <c r="Q6" i="71" s="1"/>
  <c r="Q5" i="71" a="1"/>
  <c r="Q5" i="71" s="1"/>
  <c r="Q9" i="71" a="1"/>
  <c r="Q9" i="71" s="1"/>
  <c r="Q7" i="71" a="1"/>
  <c r="Q7" i="71" s="1"/>
  <c r="Q11" i="71" a="1"/>
  <c r="Q11" i="71" s="1"/>
  <c r="Q3" i="71" a="1"/>
  <c r="Q3" i="71" s="1"/>
  <c r="Q8" i="71" a="1"/>
  <c r="Q8" i="71" s="1"/>
  <c r="AE10" i="71" a="1"/>
  <c r="AE10" i="71" s="1"/>
  <c r="AD10" i="71" a="1"/>
  <c r="AD10" i="71" s="1"/>
  <c r="AF10" i="71" a="1"/>
  <c r="AF10" i="71" s="1"/>
  <c r="AH10" i="71" a="1"/>
  <c r="AH10" i="71" s="1"/>
  <c r="W9" i="71" a="1"/>
  <c r="W9" i="71" s="1"/>
  <c r="AB9" i="71" a="1"/>
  <c r="AB9" i="71" s="1"/>
  <c r="AD9" i="71" a="1"/>
  <c r="AD9" i="71" s="1"/>
  <c r="AF9" i="71" a="1"/>
  <c r="AF9" i="71" s="1"/>
  <c r="X7" i="71" a="1"/>
  <c r="X7" i="71" s="1"/>
  <c r="AH7" i="71" a="1"/>
  <c r="AH7" i="71" s="1"/>
  <c r="R7" i="71" a="1"/>
  <c r="R7" i="71" s="1"/>
  <c r="Y7" i="71" a="1"/>
  <c r="Y7" i="71" s="1"/>
  <c r="AA7" i="71" a="1"/>
  <c r="AA7" i="71" s="1"/>
  <c r="S6" i="71" a="1"/>
  <c r="S6" i="71" s="1"/>
  <c r="X6" i="71" a="1"/>
  <c r="X6" i="71" s="1"/>
  <c r="U6" i="71" a="1"/>
  <c r="U6" i="71" s="1"/>
  <c r="AB6" i="71" a="1"/>
  <c r="AB6" i="71" s="1"/>
  <c r="AD6" i="71" a="1"/>
  <c r="AD6" i="71" s="1"/>
  <c r="S5" i="71" a="1"/>
  <c r="S5" i="71" s="1"/>
  <c r="AF5" i="71" a="1"/>
  <c r="AF5" i="71" s="1"/>
  <c r="AH5" i="71" a="1"/>
  <c r="AH5" i="71" s="1"/>
  <c r="R5" i="71" a="1"/>
  <c r="R5" i="71" s="1"/>
  <c r="Y5" i="71" a="1"/>
  <c r="Y5" i="71" s="1"/>
  <c r="AI11" i="71" a="1"/>
  <c r="AI11" i="71" s="1"/>
  <c r="AG11" i="71" a="1"/>
  <c r="AG11" i="71" s="1"/>
  <c r="AJ11" i="71" a="1"/>
  <c r="AJ11" i="71" s="1"/>
  <c r="X11" i="71" a="1"/>
  <c r="X11" i="71" s="1"/>
  <c r="AH11" i="71" a="1"/>
  <c r="AH11" i="71" s="1"/>
  <c r="AG2" i="71" a="1"/>
  <c r="AG2" i="71" s="1"/>
  <c r="AI2" i="71" a="1"/>
  <c r="AI2" i="71" s="1"/>
  <c r="X2" i="71" a="1"/>
  <c r="X2" i="71" s="1"/>
  <c r="W2" i="71" a="1"/>
  <c r="W2" i="71" s="1"/>
  <c r="R2" i="71" a="1"/>
  <c r="R2" i="71" s="1"/>
  <c r="AG3" i="71" a="1"/>
  <c r="AG3" i="71" s="1"/>
  <c r="AI3" i="71" a="1"/>
  <c r="AI3" i="71" s="1"/>
  <c r="S3" i="71" a="1"/>
  <c r="S3" i="71" s="1"/>
  <c r="U3" i="71" a="1"/>
  <c r="U3" i="71" s="1"/>
  <c r="W3" i="71" a="1"/>
  <c r="W3" i="71" s="1"/>
  <c r="V4" i="71" a="1"/>
  <c r="V4" i="71" s="1"/>
  <c r="AA4" i="71" a="1"/>
  <c r="AA4" i="71" s="1"/>
  <c r="AC4" i="71" a="1"/>
  <c r="AC4" i="71" s="1"/>
  <c r="AJ4" i="71" a="1"/>
  <c r="AJ4" i="71" s="1"/>
  <c r="T4" i="71" a="1"/>
  <c r="T4" i="71" s="1"/>
  <c r="AC8" i="71" a="1"/>
  <c r="AC8" i="71" s="1"/>
  <c r="AB8" i="71" a="1"/>
  <c r="AB8" i="71" s="1"/>
  <c r="AD8" i="71" a="1"/>
  <c r="AD8" i="71" s="1"/>
  <c r="AF8" i="71" a="1"/>
  <c r="AF8" i="71" s="1"/>
  <c r="T10" i="71" a="1"/>
  <c r="T10" i="71" s="1"/>
  <c r="X10" i="71" a="1"/>
  <c r="X10" i="71" s="1"/>
  <c r="V9" i="71" a="1"/>
  <c r="V9" i="71" s="1"/>
  <c r="Z7" i="71" a="1"/>
  <c r="Z7" i="71" s="1"/>
  <c r="AJ10" i="71" a="1"/>
  <c r="AJ10" i="71" s="1"/>
  <c r="Y10" i="71" a="1"/>
  <c r="Y10" i="71" s="1"/>
  <c r="AA10" i="71" a="1"/>
  <c r="AA10" i="71" s="1"/>
  <c r="AC10" i="71" a="1"/>
  <c r="AC10" i="71" s="1"/>
  <c r="R9" i="71" a="1"/>
  <c r="R9" i="71" s="1"/>
  <c r="Y9" i="71" a="1"/>
  <c r="Y9" i="71" s="1"/>
  <c r="AA9" i="71" a="1"/>
  <c r="AA9" i="71" s="1"/>
  <c r="AC9" i="71" a="1"/>
  <c r="AC9" i="71" s="1"/>
  <c r="AF7" i="71" a="1"/>
  <c r="AF7" i="71" s="1"/>
  <c r="AE7" i="71" a="1"/>
  <c r="AE7" i="71" s="1"/>
  <c r="AJ7" i="71" a="1"/>
  <c r="AJ7" i="71" s="1"/>
  <c r="T7" i="71" a="1"/>
  <c r="T7" i="71" s="1"/>
  <c r="V7" i="71" a="1"/>
  <c r="V7" i="71" s="1"/>
  <c r="AF6" i="71" a="1"/>
  <c r="AF6" i="71" s="1"/>
  <c r="AH6" i="71" a="1"/>
  <c r="AH6" i="71" s="1"/>
  <c r="R6" i="71" a="1"/>
  <c r="R6" i="71" s="1"/>
  <c r="W6" i="71" a="1"/>
  <c r="W6" i="71" s="1"/>
  <c r="Y6" i="71" a="1"/>
  <c r="Y6" i="71" s="1"/>
  <c r="AA5" i="71" a="1"/>
  <c r="AA5" i="71" s="1"/>
  <c r="AC5" i="71" a="1"/>
  <c r="AC5" i="71" s="1"/>
  <c r="AE5" i="71" a="1"/>
  <c r="AE5" i="71" s="1"/>
  <c r="AJ5" i="71" a="1"/>
  <c r="AJ5" i="71" s="1"/>
  <c r="T5" i="71" a="1"/>
  <c r="T5" i="71" s="1"/>
  <c r="AA11" i="71" a="1"/>
  <c r="AA11" i="71" s="1"/>
  <c r="Y11" i="71" a="1"/>
  <c r="Y11" i="71" s="1"/>
  <c r="AF11" i="71" a="1"/>
  <c r="AF11" i="71" s="1"/>
  <c r="V11" i="71" a="1"/>
  <c r="V11" i="71" s="1"/>
  <c r="AD11" i="71" a="1"/>
  <c r="AD11" i="71" s="1"/>
  <c r="AD2" i="71" a="1"/>
  <c r="AD2" i="71" s="1"/>
  <c r="AF2" i="71" a="1"/>
  <c r="AF2" i="71" s="1"/>
  <c r="AC2" i="71" a="1"/>
  <c r="AC2" i="71" s="1"/>
  <c r="AJ3" i="71" a="1"/>
  <c r="AJ3" i="71" s="1"/>
  <c r="AD3" i="71" a="1"/>
  <c r="AD3" i="71" s="1"/>
  <c r="AF3" i="71" a="1"/>
  <c r="AF3" i="71" s="1"/>
  <c r="AH3" i="71" a="1"/>
  <c r="AH3" i="71" s="1"/>
  <c r="R3" i="71" a="1"/>
  <c r="R3" i="71" s="1"/>
  <c r="AD4" i="71" a="1"/>
  <c r="AD4" i="71" s="1"/>
  <c r="X4" i="71" a="1"/>
  <c r="X4" i="71" s="1"/>
  <c r="Z4" i="71" a="1"/>
  <c r="Z4" i="71" s="1"/>
  <c r="AH8" i="71" a="1"/>
  <c r="AH8" i="71" s="1"/>
  <c r="R8" i="71" a="1"/>
  <c r="R8" i="71" s="1"/>
  <c r="W8" i="71" a="1"/>
  <c r="W8" i="71" s="1"/>
  <c r="Y8" i="71" a="1"/>
  <c r="Y8" i="71" s="1"/>
  <c r="AA8" i="71" a="1"/>
  <c r="AA8" i="71" s="1"/>
  <c r="Q2" i="71" a="1"/>
  <c r="Q2" i="7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<sst xmlns="http://schemas.openxmlformats.org/spreadsheetml/2006/main" count="1817" uniqueCount="170">
  <si>
    <t>HOIpTP Health Outcome Incidence per Ton Pollutant</t>
  </si>
  <si>
    <t>Source:</t>
  </si>
  <si>
    <t>U.S. Environmental Protection Agency</t>
  </si>
  <si>
    <t>Technical Support Document: Estimating the Benefit per Ton of Reducing PM2.5 Precursors from 17 Sectors</t>
  </si>
  <si>
    <t>https://www.epa.gov/sites/production/files/2018-02/documents/sourceapportionmentbpttsd_2018.pdf</t>
  </si>
  <si>
    <t>Appendix, Even-Numbered Tables 2 through 136</t>
  </si>
  <si>
    <t>Notes</t>
  </si>
  <si>
    <t>This variable contains data on the number of health-related incidents</t>
  </si>
  <si>
    <t>of various types (premature mortality, hospital ER visits, etc.) that occur</t>
  </si>
  <si>
    <t>or are avoided when emissions of any of three pollutants (PM2.5, Nox, SOx)</t>
  </si>
  <si>
    <t>from any particular sector are increased or decreased by one metric ton.</t>
  </si>
  <si>
    <t>Population Exposure Multiplier</t>
  </si>
  <si>
    <t>If you are modeling a non-U.S. region but wish to keep U.S. data for</t>
  </si>
  <si>
    <t>this variable, you may adjust the following population exposure multiplier</t>
  </si>
  <si>
    <t>to reflect differences in population exposure between the modeled</t>
  </si>
  <si>
    <t>region and the U.S.  Regions with lower population also tend to have</t>
  </si>
  <si>
    <t>less land area in which emissions and people are concentrated, so simply</t>
  </si>
  <si>
    <r>
      <t xml:space="preserve">having a smaller population </t>
    </r>
    <r>
      <rPr>
        <b/>
        <sz val="11"/>
        <color theme="1"/>
        <rFont val="Calibri"/>
        <family val="2"/>
        <scheme val="minor"/>
      </rPr>
      <t>does not imply</t>
    </r>
    <r>
      <rPr>
        <sz val="11"/>
        <color theme="1"/>
        <rFont val="Calibri"/>
        <family val="2"/>
        <scheme val="minor"/>
      </rPr>
      <t xml:space="preserve"> the population exposure</t>
    </r>
  </si>
  <si>
    <t>to each ton of emissions is lower than the U.S. average.</t>
  </si>
  <si>
    <t>A value above 1 tends to indicate more co-location (clustering) of people and</t>
  </si>
  <si>
    <t>emissions sources, while a value lower than 1 tends to indicate less clustering</t>
  </si>
  <si>
    <t>of people and emissions sources.</t>
  </si>
  <si>
    <t>If you are uncertain what to put here, you may leave it at 1.</t>
  </si>
  <si>
    <t>ratio of modeled region's population exposure to U.S. population exposure per ton of pollutant</t>
  </si>
  <si>
    <t>Other Notes</t>
  </si>
  <si>
    <t>This variable is designed to look up data from any of 68 tables from the EPA source.</t>
  </si>
  <si>
    <t>The blue tabs' names determine which data (sector and pollutant) to retrieve.</t>
  </si>
  <si>
    <t>All blue tabs are identical except for the tab name (i.e. identical formulas in every cell).</t>
  </si>
  <si>
    <t>If you wish to change which EPA source corresponds to which sector, update this</t>
  </si>
  <si>
    <t>on the "Mappings" tab.  Do not change the blue tabs directly.</t>
  </si>
  <si>
    <t>Note that the "electricity" sector incidence rates are also used for the</t>
  </si>
  <si>
    <t>"district heat and hydrogen" sector, the "industry" rates are also used</t>
  </si>
  <si>
    <t>for the "geoengineering" sector, and the "buildings" rates are used</t>
  </si>
  <si>
    <t>for both "residential buildings" and "commercial buildings" sectors</t>
  </si>
  <si>
    <t>in the EPS.</t>
  </si>
  <si>
    <t>Do not reduce the number of significant figures used in the blue tabs of this file.</t>
  </si>
  <si>
    <t>The incidence calculations are rounded in the EPS.</t>
  </si>
  <si>
    <t>Key to Table Numbers</t>
  </si>
  <si>
    <t>Sector</t>
  </si>
  <si>
    <t>cement kilns</t>
  </si>
  <si>
    <t>pulp and paper facilities</t>
  </si>
  <si>
    <t>refineries</t>
  </si>
  <si>
    <t>coke ovens</t>
  </si>
  <si>
    <t>iron and steel facilities</t>
  </si>
  <si>
    <t>integrated iron and steel facilities</t>
  </si>
  <si>
    <t>electric arc furnaces</t>
  </si>
  <si>
    <t>taconite mines</t>
  </si>
  <si>
    <t>ferroalloy facilities</t>
  </si>
  <si>
    <t>residential wood combustion</t>
  </si>
  <si>
    <t>area sources</t>
  </si>
  <si>
    <t>industrial point sources</t>
  </si>
  <si>
    <t>aircraft, locomotives and marine vessels</t>
  </si>
  <si>
    <t>non-road mobile sources</t>
  </si>
  <si>
    <t>on-road mobile sources</t>
  </si>
  <si>
    <t>electricity generating units</t>
  </si>
  <si>
    <t>ocean-going vessels</t>
  </si>
  <si>
    <t>Sheet Name Sector Assignments Map</t>
  </si>
  <si>
    <t>transport</t>
  </si>
  <si>
    <t>electricity</t>
  </si>
  <si>
    <t>buildings</t>
  </si>
  <si>
    <t>industry</t>
  </si>
  <si>
    <t>LULUCF</t>
  </si>
  <si>
    <t>Pollutant Column Map</t>
  </si>
  <si>
    <t>NOx</t>
  </si>
  <si>
    <t>B</t>
  </si>
  <si>
    <t>PM25</t>
  </si>
  <si>
    <t>D</t>
  </si>
  <si>
    <t>SO2</t>
  </si>
  <si>
    <t>C</t>
  </si>
  <si>
    <t>Unit: incidents / ton pollutant</t>
  </si>
  <si>
    <t>Premature mortality</t>
  </si>
  <si>
    <t>Respiratory emergency room visits</t>
  </si>
  <si>
    <t>Acute bronchitis</t>
  </si>
  <si>
    <t>Lower respiratory symptoms</t>
  </si>
  <si>
    <t>Upper respiratory symptoms</t>
  </si>
  <si>
    <t>Minor restricted activity days</t>
  </si>
  <si>
    <t>Work loss days</t>
  </si>
  <si>
    <t>Asthma exacerbation</t>
  </si>
  <si>
    <t>Cardiovascular hospital admissions</t>
  </si>
  <si>
    <t>Respiratory hospital admissions</t>
  </si>
  <si>
    <t>Non-fatal heart attacks</t>
  </si>
  <si>
    <t>Data for lookup functions (based on sheet name)</t>
  </si>
  <si>
    <t>sheet name</t>
  </si>
  <si>
    <t>remove prefix</t>
  </si>
  <si>
    <t>sector</t>
  </si>
  <si>
    <t>EPA source category</t>
  </si>
  <si>
    <t>table number</t>
  </si>
  <si>
    <t>pollutant</t>
  </si>
  <si>
    <t>pollutant column number</t>
  </si>
  <si>
    <t>Table 2: Incidence of avoided mortalities and morbidities per ton of directly emitted PM2.5 and PM2.5 precursors reduced in 2016 from the cement kilns sector</t>
  </si>
  <si>
    <t>Pollutant emitted</t>
  </si>
  <si>
    <t>Health Endpoint</t>
  </si>
  <si>
    <r>
      <rPr>
        <i/>
        <sz val="11"/>
        <rFont val="Calibri"/>
        <family val="2"/>
        <scheme val="minor"/>
      </rPr>
      <t>Directly emitted PM2.5</t>
    </r>
  </si>
  <si>
    <t>Krewski et al. (2009)</t>
  </si>
  <si>
    <t>Lepeule et al. (2012)</t>
  </si>
  <si>
    <t>Morbidity</t>
  </si>
  <si>
    <t>Non-fatal heart attacks (Peters)</t>
  </si>
  <si>
    <t>Non-fatal heart attacks (All others)</t>
  </si>
  <si>
    <t>Table 4: Incidence of avoided mortalities and morbidities per ton of directly emitted PM2.5 and PM2.5 precursors reduced in 2016 from the pulp and paper facilities sector</t>
  </si>
  <si>
    <t>Table 6: Incidence of avoided mortalities and morbidities per ton of directly emitted PM2.5 and PM2.5 precursors reduced in 2016 from the refineries sector</t>
  </si>
  <si>
    <t>Table 8: Incidence of avoided mortalities and morbidities per ton of directly emitted PM2.5 and PM2.5 precursors reduced in 2016 from the coke ovens sector</t>
  </si>
  <si>
    <t>Table 10: Incidence of avoided mortalities and morbidities per ton of directly emitted PM2.5 and PM2.5 precursors reduced in 2016 from the iron and steel facilities sector</t>
  </si>
  <si>
    <t>Table 12: Incidence of avoided mortalities and morbidities per ton of directly emitted PM2.5 and PM2.5 precursors reduced in 2016 from the integrated iron and steel facilities sector</t>
  </si>
  <si>
    <t>Table 14: Incidence of avoided mortalities and morbidities per ton of directly emitted PM2.5 and PM2.5 precursors reduced in 2016 from the electric arc furnaces sector</t>
  </si>
  <si>
    <t>Table 16: Incidence of avoided mortalities and morbidities per ton of directly emitted PM2.5 and PM2.5 precursors reduced in 2016 from the taconite mines sector</t>
  </si>
  <si>
    <t>Table 18: Incidence of avoided mortalities and morbidities per ton of directly emitted PM2.5 and PM2.5 precursors reduced in 2016 from the ferroalloy facilities sector</t>
  </si>
  <si>
    <t>Table 20: Incidence of avoided mortalities and morbidities per ton of directly emitted PM2.5 and PM2.5 precursors reduced in 2016 from the residential wood combustion sector</t>
  </si>
  <si>
    <t>Table 22: Incidence of avoided mortalities and morbidities per ton of directly emitted PM2.5 and PM2.5 precursors reduced in 2016 from the area sources sector</t>
  </si>
  <si>
    <t>Table 24: Incidence of avoided mortalities and morbidities per ton of directly emitted PM2.5 and PM2.5 precursors reduced in 2016 from the industrial point sources sector</t>
  </si>
  <si>
    <t>Table 26: Incidence of avoided mortalities and morbidities per ton of directly emitted PM2.5 and PM2.5 precursors reduced in 2016 from the aircraft, locomotives and marine vessels sector</t>
  </si>
  <si>
    <t>Table 28: Incidence of avoided mortalities and morbidities per ton of directly emitted PM2.5 and PM2.5 precursors reduced in 2016 from the non-road mobile sources sector</t>
  </si>
  <si>
    <t>Table 30: Incidence of avoided mortalities and morbidities per ton of directly emitted PM2.5 and PM2.5 precursors reduced in 2016 from the on-road mobile sources sector</t>
  </si>
  <si>
    <t>Table 32: Incidence of avoided mortalities and morbidities per ton of directly emitted PM2.5 and PM2.5 precursors reduced in 2016 from the electricity generating units sector</t>
  </si>
  <si>
    <t>Table 34: Incidence of avoided mortalities and morbidities per ton of directly emitted PM2.5 and PM2.5 precursors reduced in 2016 from the ocean-going vessels sector</t>
  </si>
  <si>
    <t>Table 36: Incidence of avoided mortalities and morbidities per ton of directly emitted PM2.5 and PM2.5 precursors reduced in 2020 from the cement kilns sector</t>
  </si>
  <si>
    <t>Table 38: Incidence of avoided mortalities and morbidities per ton of directly emitted PM2.5 and PM2.5 precursors reduced in 2020 from the pulp and paper facilities sector</t>
  </si>
  <si>
    <t>Table 40: Incidence of avoided mortalities and morbidities per ton of directly emitted PM2.5 and PM2.5 precursors reduced in 2020 from the refineries sector</t>
  </si>
  <si>
    <t>Table 42: Incidence of avoided mortalities and morbidities per ton of directly emitted PM2.5 and PM2.5 precursors reduced in 2020 from the coke ovens sector</t>
  </si>
  <si>
    <t>Table 44: Incidence of avoided mortalities and morbidities per ton of directly emitted PM2.5 and PM2.5 precursors reduced in 2020 from the iron and steel facilities sector</t>
  </si>
  <si>
    <t>Table 46: Incidence of avoided mortalities and morbidities per ton of directly emitted PM2.5 and PM2.5 precursors reduced in 2020 from the integrated iron and steel facilities sector</t>
  </si>
  <si>
    <t>Table 48: Incidence of avoided mortalities and morbidities per ton of directly emitted PM2.5 and PM2.5 precursors reduced in 2020 from the electric arc furnaces sector</t>
  </si>
  <si>
    <t>Table 50: Incidence of avoided mortalities and morbidities per ton of directly emitted PM2.5 and PM2.5 precursors reduced in 2020 from the taconite mines sector</t>
  </si>
  <si>
    <t>Table 52: Incidence of avoided mortalities and morbidities per ton of directly emitted PM2.5 and PM2.5 precursors reduced in 2020 from the ferroalloy facilities sector</t>
  </si>
  <si>
    <t>Table 54: Incidence of avoided mortalities and morbidities per ton of directly emitted PM2.5 and PM2.5 precursors reduced in 2020 from the residential wood combustion sector</t>
  </si>
  <si>
    <t>Table 56: Incidence of avoided mortalities and morbidities per ton of directly emitted PM2.5 and PM2.5 precursors reduced in 2020 from the area sources sector</t>
  </si>
  <si>
    <t>Table 58: Incidence of avoided mortalities and morbidities per ton of directly emitted PM2.5 and PM2.5 precursors reduced in 2020 from the industrial point sources sector</t>
  </si>
  <si>
    <t>Table 60: Incidence of avoided mortalities and morbidities per ton of directly emitted PM2.5 and PM2.5 precursors reduced in 2020 from the aircraft, locomotives and marine vessels sector</t>
  </si>
  <si>
    <t>Table 62: Incidence of avoided mortalities and morbidities per ton of directly emitted PM2.5 and PM2.5 precursors reduced in 2020 from the non-road mobile sources sector</t>
  </si>
  <si>
    <t>Table 64: Incidence of avoided mortalities and morbidities per ton of directly emitted PM2.5 and PM2.5 precursors reduced in 2020 from the on-road mobile sources sector</t>
  </si>
  <si>
    <t>Table 66: Incidence of avoided mortalities and morbidities per ton of directly emitted PM2.5 and PM2.5 precursors reduced in 2020 from the electricity generating units sector</t>
  </si>
  <si>
    <t>Table 68: Incidence of avoided mortalities and morbidities per ton of directly emitted PM2.5 and PM2.5 precursors reduced in 2020 from the ocean-going vessels sector</t>
  </si>
  <si>
    <t>Table 70: Incidence of avoided mortalities and morbidities per ton of directly emitted PM2.5 and PM2.5 precursors reduced in 2025 from the cement kilns sector</t>
  </si>
  <si>
    <t>Table 72: Incidence of avoided mortalities and morbidities per ton of directly emitted PM2.5 and PM2.5 precursors reduced in 2025 from the pulp and paper facilities sector</t>
  </si>
  <si>
    <t>Table 74: Incidence of avoided mortalities and morbidities per ton of directly emitted PM2.5 and PM2.5 precursors reduced in 2025 from the refineries sector</t>
  </si>
  <si>
    <t>Table 76: Incidence of avoided mortalities and morbidities per ton of directly emitted PM2.5 and PM2.5 precursors reduced in 2025 from the coke ovens sector</t>
  </si>
  <si>
    <t>Table 78: Incidence of avoided mortalities and morbidities per ton of directly emitted PM2.5 and PM2.5 precursors reduced in 2025 from the iron and steel facilities sector</t>
  </si>
  <si>
    <t>Table 80: Incidence of avoided mortalities and morbidities per ton of directly emitted PM2.5 and PM2.5 precursors reduced in 2025 from the integrated iron and steel facilities sector</t>
  </si>
  <si>
    <t>Table 82: Incidence of avoided mortalities and morbidities per ton of directly emitted PM2.5 and PM2.5 precursors reduced in 2025 from the electric arc furnaces sector</t>
  </si>
  <si>
    <t>Table 84: Incidence of avoided mortalities and morbidities per ton of directly emitted PM2.5 and PM2.5 precursors reduced in 2025 from the taconite mines sector</t>
  </si>
  <si>
    <t>Table 86: Incidence of avoided mortalities and morbidities per ton of directly emitted PM2.5 and PM2.5 precursors reduced in 2025 from the ferroalloy facilities sector</t>
  </si>
  <si>
    <t>Table 88: Incidence of avoided mortalities and morbidities per ton of directly emitted PM2.5 and PM2.5 precursors reduced in 2025 from the residential wood combustion sector</t>
  </si>
  <si>
    <t>Table 90: Incidence of avoided mortalities and morbidities per ton of directly emitted PM2.5 and PM2.5 precursors reduced in 2025 from the area sources sector</t>
  </si>
  <si>
    <t>Table 92: Incidence of avoided mortalities and morbidities per ton of directly emitted PM2.5 and PM2.5 precursors reduced in 2025 from the industrial point sources sector</t>
  </si>
  <si>
    <t>Table 94: Incidence of avoided mortalities and morbidities per ton of directly emitted PM2.5 and PM2.5 precursors reduced in 2025 from the aircraft, locomotives and marine vessels sector</t>
  </si>
  <si>
    <t>Table 96: Incidence of avoided mortalities and morbidities per ton of directly emitted PM2.5 and PM2.5 precursors reduced in 2025 from the non-road mobile sources sector</t>
  </si>
  <si>
    <t>Table 98: Incidence of avoided mortalities and morbidities per ton of directly emitted PM2.5 and PM2.5 precursors reduced in 2025 from the on-road mobile sources sector</t>
  </si>
  <si>
    <t>Table 100: Incidence of avoided mortalities and morbidities per ton of directly emitted PM2.5 and PM2.5 precursors reduced in 2025 from the electricity generating units sector</t>
  </si>
  <si>
    <t>Table 102: Incidence of avoided mortalities and morbidities per ton of directly emitted PM2.5 and PM2.5 precursors reduced in 2025 from the ocean-going vessels sector</t>
  </si>
  <si>
    <t>Table 104: Incidence of avoided mortalities and morbidities per ton of directly emitted PM2.5 and PM2.5 precursors reduced in 2030 from the cement kilns sector</t>
  </si>
  <si>
    <t>Table 106: Incidence of avoided mortalities and morbidities per ton of directly emitted PM2.5 and PM2.5 precursors reduced in 2030 from the pulp and paper facilities sector</t>
  </si>
  <si>
    <t>Table 108: Incidence of avoided mortalities and morbidities per ton of directly emitted PM2.5 and PM2.5 precursors reduced in 2030 from the refineries sector</t>
  </si>
  <si>
    <t>Table 110: Incidence of avoided mortalities and morbidities per ton of directly emitted PM2.5 and PM2.5 precursors reduced in 2030 from the coke ovens sector</t>
  </si>
  <si>
    <t>Table 112: Incidence of avoided mortalities and morbidities per ton of directly emitted PM2.5 and PM2.5 precursors reduced in 2030 from the iron and steel facilities sector</t>
  </si>
  <si>
    <t>Table 114: Incidence of avoided mortalities and morbidities per ton of directly emitted PM2.5 and PM2.5 precursors reduced in 2030 from the integrated iron and steel facilities sector</t>
  </si>
  <si>
    <t>Table 116: Incidence of avoided mortalities and morbidities per ton of directly emitted PM2.5 and PM2.5 precursors reduced in 2030 from the electric arc furnaces sector</t>
  </si>
  <si>
    <t>Table 118: Incidence of avoided mortalities and morbidities per ton of directly emitted PM2.5 and PM2.5 precursors reduced in 2030 from the taconite mines sector</t>
  </si>
  <si>
    <t>Table 120: Incidence of avoided mortalities and morbidities per ton of directly emitted PM2.5 and PM2.5 precursors reduced in 2030 from the ferroalloy facilities sector</t>
  </si>
  <si>
    <t>Table 122: Incidence of avoided mortalities and morbidities per ton of directly emitted PM2.5 and PM2.5 precursors reduced in 2030 from the residential wood combustion sector</t>
  </si>
  <si>
    <t>Table 124: Incidence of avoided mortalities and morbidities per ton of directly emitted PM2.5 and PM2.5 precursors reduced in 2030 from the area sources sector</t>
  </si>
  <si>
    <t>Table 126: Incidence of avoided mortalities and morbidities per ton of directly emitted PM2.5 and PM2.5 precursors reduced in 2030 from the industrial point sources sector</t>
  </si>
  <si>
    <t>Table 128: Incidence of avoided mortalities and morbidities per ton of directly emitted PM2.5 and PM2.5 precursors reduced in 2030 from the aircraft, locomotives and marine vessels sector</t>
  </si>
  <si>
    <t>Table 130: Incidence of avoided mortalities and morbidities per ton of directly emitted PM2.5 and PM2.5 precursors reduced in 2030 from the non-road mobile sources sector</t>
  </si>
  <si>
    <t>Table 132: Incidence of avoided mortalities and morbidities per ton of directly emitted PM2.5 and PM2.5 precursors reduced in 2030 from the on-road mobile sources sector</t>
  </si>
  <si>
    <t>Table 134: Incidence of avoided mortalities and morbidities per ton of directly emitted PM2.5 and PM2.5 precursors reduced in 2030 from the electricity generating units sector</t>
  </si>
  <si>
    <t>Table 136: Incidence of avoided mortalities and morbidities per ton of directly emitted PM2.5 and PM2.5 precursors reduced in 2030 from the ocean-going vessels sector</t>
  </si>
  <si>
    <t>For Mexico</t>
  </si>
  <si>
    <t>US population density is 34 hab/km2, whereas Mexico is 64 hab/km2.</t>
  </si>
  <si>
    <t xml:space="preserve">This means Mexico is 1.88 more populated than the US. </t>
  </si>
  <si>
    <t xml:space="preserve">However, this doesn't necessarily imply that the exposure to contaminants is more. </t>
  </si>
  <si>
    <t xml:space="preserve">The US is the 5th GEI emitter worldwide, whereas Mexico is the 15th.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</si>
</sst>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 applyAlignment="1">
      <alignment horizontal="left" vertical="top"/>
    </xf>
    <xf numFmtId="0" fontId="6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left" vertical="top" wrapText="1"/>
    </xf>
    <xf numFmtId="0" fontId="5" fillId="0" borderId="2" xfId="2" applyFont="1" applyBorder="1" applyAlignment="1">
      <alignment horizontal="left" wrapText="1"/>
    </xf>
    <xf numFmtId="0" fontId="8" fillId="0" borderId="0" xfId="2" applyFont="1" applyAlignment="1">
      <alignment horizontal="left" vertical="top" wrapText="1" indent="4"/>
    </xf>
    <xf numFmtId="164" fontId="5" fillId="0" borderId="0" xfId="2" applyNumberFormat="1" applyFont="1" applyAlignment="1">
      <alignment horizontal="center" vertical="top" shrinkToFit="1"/>
    </xf>
    <xf numFmtId="0" fontId="7" fillId="0" borderId="0" xfId="2" applyFont="1" applyAlignment="1">
      <alignment horizontal="left" vertical="top" wrapText="1"/>
    </xf>
    <xf numFmtId="0" fontId="5" fillId="0" borderId="0" xfId="2" applyFont="1" applyAlignment="1">
      <alignment horizontal="left" wrapText="1"/>
    </xf>
    <xf numFmtId="164" fontId="5" fillId="0" borderId="1" xfId="2" applyNumberFormat="1" applyFont="1" applyBorder="1" applyAlignment="1">
      <alignment horizontal="center" vertical="top" shrinkToFit="1"/>
    </xf>
    <xf numFmtId="164" fontId="5" fillId="0" borderId="0" xfId="2" applyNumberFormat="1" applyFont="1" applyAlignment="1">
      <alignment horizontal="left" vertical="top" indent="4" shrinkToFit="1"/>
    </xf>
    <xf numFmtId="164" fontId="5" fillId="0" borderId="0" xfId="2" applyNumberFormat="1" applyFont="1" applyAlignment="1">
      <alignment horizontal="left" vertical="top" indent="3" shrinkToFit="1"/>
    </xf>
    <xf numFmtId="0" fontId="8" fillId="0" borderId="1" xfId="2" applyFont="1" applyBorder="1" applyAlignment="1">
      <alignment horizontal="left" vertical="top" wrapText="1" indent="4"/>
    </xf>
    <xf numFmtId="0" fontId="5" fillId="0" borderId="1" xfId="2" applyFont="1" applyBorder="1" applyAlignment="1">
      <alignment horizontal="center" vertical="top" wrapText="1"/>
    </xf>
    <xf numFmtId="164" fontId="5" fillId="0" borderId="0" xfId="2" applyNumberFormat="1" applyFont="1" applyAlignment="1">
      <alignment horizontal="left" vertical="top" indent="2" shrinkToFit="1"/>
    </xf>
    <xf numFmtId="0" fontId="6" fillId="0" borderId="0" xfId="2" applyFont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10" fillId="0" borderId="0" xfId="0" applyFont="1" applyAlignment="1">
      <alignment wrapText="1"/>
    </xf>
    <xf numFmtId="0" fontId="0" fillId="0" borderId="3" xfId="0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3" borderId="11" xfId="0" applyFont="1" applyFill="1" applyBorder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3" borderId="0" xfId="0" applyFont="1" applyFill="1"/>
    <xf numFmtId="0" fontId="6" fillId="0" borderId="0" xfId="2" applyFont="1" applyAlignment="1">
      <alignment horizontal="center" vertical="top" wrapText="1"/>
    </xf>
    <xf numFmtId="0" fontId="9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2707323-51DD-4CCA-BD7B-89D77C846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eetMetadata" Target="metadata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sites/production/files/2018-02/documents/sourceapportionmentbpttsd_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12EE-0370-46D8-B25C-90C403A4CDFD}">
  <dimension ref="A1:D49"/>
  <sheetViews>
    <sheetView topLeftCell="A14" zoomScaleNormal="100" workbookViewId="0">
      <selection activeCell="F50" sqref="F50"/>
    </sheetView>
  </sheetViews>
  <sheetFormatPr defaultColWidth="8.7109375" defaultRowHeight="15" x14ac:dyDescent="0.25"/>
  <sheetData>
    <row r="1" spans="1:4" x14ac:dyDescent="0.25">
      <c r="A1" s="1" t="s">
        <v>0</v>
      </c>
    </row>
    <row r="3" spans="1:4" x14ac:dyDescent="0.25">
      <c r="A3" s="1" t="s">
        <v>1</v>
      </c>
      <c r="B3" t="s">
        <v>2</v>
      </c>
    </row>
    <row r="4" spans="1:4" x14ac:dyDescent="0.25">
      <c r="B4" s="2">
        <v>2018</v>
      </c>
    </row>
    <row r="5" spans="1:4" x14ac:dyDescent="0.25">
      <c r="B5" t="s">
        <v>3</v>
      </c>
    </row>
    <row r="6" spans="1:4" x14ac:dyDescent="0.25">
      <c r="B6" s="3" t="s">
        <v>4</v>
      </c>
    </row>
    <row r="7" spans="1:4" x14ac:dyDescent="0.25">
      <c r="B7" t="s">
        <v>5</v>
      </c>
    </row>
    <row r="9" spans="1:4" x14ac:dyDescent="0.25">
      <c r="A9" s="1" t="s">
        <v>6</v>
      </c>
    </row>
    <row r="10" spans="1:4" x14ac:dyDescent="0.25">
      <c r="A10" t="s">
        <v>7</v>
      </c>
    </row>
    <row r="11" spans="1:4" x14ac:dyDescent="0.25">
      <c r="A11" t="s">
        <v>8</v>
      </c>
    </row>
    <row r="12" spans="1:4" x14ac:dyDescent="0.25">
      <c r="A12" t="s">
        <v>9</v>
      </c>
    </row>
    <row r="13" spans="1:4" x14ac:dyDescent="0.25">
      <c r="A13" t="s">
        <v>10</v>
      </c>
    </row>
    <row r="15" spans="1:4" x14ac:dyDescent="0.25">
      <c r="A15" s="35" t="s">
        <v>11</v>
      </c>
      <c r="B15" s="36"/>
      <c r="C15" s="36"/>
      <c r="D15" s="36"/>
    </row>
    <row r="16" spans="1:4" x14ac:dyDescent="0.25">
      <c r="A16" t="s">
        <v>12</v>
      </c>
    </row>
    <row r="17" spans="1:2" x14ac:dyDescent="0.25">
      <c r="A17" t="s">
        <v>13</v>
      </c>
    </row>
    <row r="18" spans="1:2" x14ac:dyDescent="0.25">
      <c r="A18" t="s">
        <v>14</v>
      </c>
    </row>
    <row r="19" spans="1:2" x14ac:dyDescent="0.25">
      <c r="A19" t="s">
        <v>15</v>
      </c>
    </row>
    <row r="20" spans="1:2" x14ac:dyDescent="0.25">
      <c r="A20" t="s">
        <v>16</v>
      </c>
    </row>
    <row r="21" spans="1:2" x14ac:dyDescent="0.25">
      <c r="A21" t="s">
        <v>17</v>
      </c>
    </row>
    <row r="22" spans="1:2" x14ac:dyDescent="0.25">
      <c r="A22" t="s">
        <v>18</v>
      </c>
    </row>
    <row r="23" spans="1:2" x14ac:dyDescent="0.25">
      <c r="A23" t="s">
        <v>19</v>
      </c>
    </row>
    <row r="24" spans="1:2" x14ac:dyDescent="0.25">
      <c r="A24" t="s">
        <v>20</v>
      </c>
    </row>
    <row r="25" spans="1:2" x14ac:dyDescent="0.25">
      <c r="A25" t="s">
        <v>21</v>
      </c>
    </row>
    <row r="26" spans="1:2" ht="15.75" thickBot="1" x14ac:dyDescent="0.3">
      <c r="A26" t="s">
        <v>22</v>
      </c>
    </row>
    <row r="27" spans="1:2" ht="15.75" thickBot="1" x14ac:dyDescent="0.3">
      <c r="A27" s="34">
        <v>1.44</v>
      </c>
      <c r="B27" t="s">
        <v>23</v>
      </c>
    </row>
    <row r="29" spans="1:2" x14ac:dyDescent="0.25">
      <c r="A29" s="37" t="s">
        <v>24</v>
      </c>
      <c r="B29" s="38"/>
    </row>
    <row r="30" spans="1:2" x14ac:dyDescent="0.25">
      <c r="A30" t="s">
        <v>25</v>
      </c>
    </row>
    <row r="31" spans="1:2" x14ac:dyDescent="0.25">
      <c r="A31" t="s">
        <v>26</v>
      </c>
    </row>
    <row r="32" spans="1:2" x14ac:dyDescent="0.25">
      <c r="A32" t="s">
        <v>27</v>
      </c>
    </row>
    <row r="33" spans="1:2" x14ac:dyDescent="0.25">
      <c r="A33" s="1" t="s">
        <v>28</v>
      </c>
    </row>
    <row r="34" spans="1:2" x14ac:dyDescent="0.25">
      <c r="A34" s="1" t="s">
        <v>29</v>
      </c>
    </row>
    <row r="36" spans="1:2" x14ac:dyDescent="0.25">
      <c r="A36" t="s">
        <v>30</v>
      </c>
    </row>
    <row r="37" spans="1:2" x14ac:dyDescent="0.25">
      <c r="A37" t="s">
        <v>31</v>
      </c>
    </row>
    <row r="38" spans="1:2" x14ac:dyDescent="0.25">
      <c r="A38" t="s">
        <v>32</v>
      </c>
    </row>
    <row r="39" spans="1:2" x14ac:dyDescent="0.25">
      <c r="A39" t="s">
        <v>33</v>
      </c>
    </row>
    <row r="40" spans="1:2" x14ac:dyDescent="0.25">
      <c r="A40" t="s">
        <v>34</v>
      </c>
    </row>
    <row r="42" spans="1:2" x14ac:dyDescent="0.25">
      <c r="A42" s="1" t="s">
        <v>35</v>
      </c>
    </row>
    <row r="43" spans="1:2" x14ac:dyDescent="0.25">
      <c r="A43" t="s">
        <v>36</v>
      </c>
    </row>
    <row r="45" spans="1:2" x14ac:dyDescent="0.25">
      <c r="A45" s="39" t="s">
        <v>165</v>
      </c>
    </row>
    <row r="46" spans="1:2" x14ac:dyDescent="0.25">
      <c r="A46" t="s">
        <v>166</v>
      </c>
    </row>
    <row r="47" spans="1:2" x14ac:dyDescent="0.25">
      <c r="A47">
        <f>64/34</f>
        <v>1.8823529411764706</v>
      </c>
      <c r="B47" t="s">
        <v>167</v>
      </c>
    </row>
    <row r="48" spans="1:2" x14ac:dyDescent="0.25">
      <c r="A48" t="s">
        <v>168</v>
      </c>
    </row>
    <row r="49" spans="1:1" x14ac:dyDescent="0.25">
      <c r="A49" t="s">
        <v>169</v>
      </c>
    </row>
  </sheetData>
  <hyperlinks>
    <hyperlink ref="B6" r:id="rId1" xr:uid="{CEFE1835-A0BF-43D4-BBCD-8BA6A95E4DB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235D-C6D3-4764-ACAC-6B7FC3173A61}">
  <sheetPr>
    <tabColor rgb="FF92D050"/>
  </sheetPr>
  <dimension ref="A1:E31"/>
  <sheetViews>
    <sheetView workbookViewId="0"/>
  </sheetViews>
  <sheetFormatPr defaultColWidth="8.7109375" defaultRowHeight="15" x14ac:dyDescent="0.25"/>
  <cols>
    <col min="1" max="1" width="39.7109375" customWidth="1"/>
  </cols>
  <sheetData>
    <row r="1" spans="1:5" x14ac:dyDescent="0.25">
      <c r="A1" s="20" t="s">
        <v>37</v>
      </c>
      <c r="B1" s="21"/>
      <c r="C1" s="21"/>
      <c r="D1" s="21"/>
      <c r="E1" s="21"/>
    </row>
    <row r="2" spans="1:5" x14ac:dyDescent="0.25">
      <c r="A2" s="1" t="s">
        <v>38</v>
      </c>
      <c r="B2" s="1">
        <v>2016</v>
      </c>
      <c r="C2" s="1">
        <v>2020</v>
      </c>
      <c r="D2" s="1">
        <v>2025</v>
      </c>
      <c r="E2" s="1">
        <v>2030</v>
      </c>
    </row>
    <row r="3" spans="1:5" x14ac:dyDescent="0.25">
      <c r="A3" t="s">
        <v>39</v>
      </c>
      <c r="B3">
        <v>1</v>
      </c>
      <c r="C3">
        <v>18</v>
      </c>
      <c r="D3">
        <v>35</v>
      </c>
      <c r="E3">
        <v>52</v>
      </c>
    </row>
    <row r="4" spans="1:5" x14ac:dyDescent="0.25">
      <c r="A4" t="s">
        <v>40</v>
      </c>
      <c r="B4">
        <v>2</v>
      </c>
      <c r="C4">
        <v>19</v>
      </c>
      <c r="D4">
        <v>36</v>
      </c>
      <c r="E4">
        <v>53</v>
      </c>
    </row>
    <row r="5" spans="1:5" x14ac:dyDescent="0.25">
      <c r="A5" t="s">
        <v>41</v>
      </c>
      <c r="B5">
        <v>3</v>
      </c>
      <c r="C5">
        <v>20</v>
      </c>
      <c r="D5">
        <v>37</v>
      </c>
      <c r="E5">
        <v>54</v>
      </c>
    </row>
    <row r="6" spans="1:5" x14ac:dyDescent="0.25">
      <c r="A6" t="s">
        <v>42</v>
      </c>
      <c r="B6">
        <v>4</v>
      </c>
      <c r="C6">
        <v>21</v>
      </c>
      <c r="D6">
        <v>38</v>
      </c>
      <c r="E6">
        <v>55</v>
      </c>
    </row>
    <row r="7" spans="1:5" x14ac:dyDescent="0.25">
      <c r="A7" t="s">
        <v>43</v>
      </c>
      <c r="B7">
        <v>5</v>
      </c>
      <c r="C7">
        <v>22</v>
      </c>
      <c r="D7">
        <v>39</v>
      </c>
      <c r="E7">
        <v>56</v>
      </c>
    </row>
    <row r="8" spans="1:5" x14ac:dyDescent="0.25">
      <c r="A8" t="s">
        <v>44</v>
      </c>
      <c r="B8">
        <v>6</v>
      </c>
      <c r="C8">
        <v>23</v>
      </c>
      <c r="D8">
        <v>40</v>
      </c>
      <c r="E8">
        <v>57</v>
      </c>
    </row>
    <row r="9" spans="1:5" x14ac:dyDescent="0.25">
      <c r="A9" t="s">
        <v>45</v>
      </c>
      <c r="B9">
        <v>7</v>
      </c>
      <c r="C9">
        <v>24</v>
      </c>
      <c r="D9">
        <v>41</v>
      </c>
      <c r="E9">
        <v>58</v>
      </c>
    </row>
    <row r="10" spans="1:5" x14ac:dyDescent="0.25">
      <c r="A10" t="s">
        <v>46</v>
      </c>
      <c r="B10">
        <v>8</v>
      </c>
      <c r="C10">
        <v>25</v>
      </c>
      <c r="D10">
        <v>42</v>
      </c>
      <c r="E10">
        <v>59</v>
      </c>
    </row>
    <row r="11" spans="1:5" x14ac:dyDescent="0.25">
      <c r="A11" t="s">
        <v>47</v>
      </c>
      <c r="B11">
        <v>9</v>
      </c>
      <c r="C11">
        <v>26</v>
      </c>
      <c r="D11">
        <v>43</v>
      </c>
      <c r="E11">
        <v>60</v>
      </c>
    </row>
    <row r="12" spans="1:5" x14ac:dyDescent="0.25">
      <c r="A12" t="s">
        <v>48</v>
      </c>
      <c r="B12">
        <v>10</v>
      </c>
      <c r="C12">
        <v>27</v>
      </c>
      <c r="D12">
        <v>44</v>
      </c>
      <c r="E12">
        <v>61</v>
      </c>
    </row>
    <row r="13" spans="1:5" x14ac:dyDescent="0.25">
      <c r="A13" t="s">
        <v>49</v>
      </c>
      <c r="B13">
        <v>11</v>
      </c>
      <c r="C13">
        <v>28</v>
      </c>
      <c r="D13">
        <v>45</v>
      </c>
      <c r="E13">
        <v>62</v>
      </c>
    </row>
    <row r="14" spans="1:5" x14ac:dyDescent="0.25">
      <c r="A14" t="s">
        <v>50</v>
      </c>
      <c r="B14">
        <v>12</v>
      </c>
      <c r="C14">
        <v>29</v>
      </c>
      <c r="D14">
        <v>46</v>
      </c>
      <c r="E14">
        <v>63</v>
      </c>
    </row>
    <row r="15" spans="1:5" x14ac:dyDescent="0.25">
      <c r="A15" t="s">
        <v>51</v>
      </c>
      <c r="B15">
        <v>13</v>
      </c>
      <c r="C15">
        <v>30</v>
      </c>
      <c r="D15">
        <v>47</v>
      </c>
      <c r="E15">
        <v>64</v>
      </c>
    </row>
    <row r="16" spans="1:5" x14ac:dyDescent="0.25">
      <c r="A16" t="s">
        <v>52</v>
      </c>
      <c r="B16">
        <v>14</v>
      </c>
      <c r="C16">
        <v>31</v>
      </c>
      <c r="D16">
        <v>48</v>
      </c>
      <c r="E16">
        <v>65</v>
      </c>
    </row>
    <row r="17" spans="1:5" x14ac:dyDescent="0.25">
      <c r="A17" t="s">
        <v>53</v>
      </c>
      <c r="B17">
        <v>15</v>
      </c>
      <c r="C17">
        <v>32</v>
      </c>
      <c r="D17">
        <v>49</v>
      </c>
      <c r="E17">
        <v>66</v>
      </c>
    </row>
    <row r="18" spans="1:5" x14ac:dyDescent="0.25">
      <c r="A18" t="s">
        <v>54</v>
      </c>
      <c r="B18">
        <v>16</v>
      </c>
      <c r="C18">
        <v>33</v>
      </c>
      <c r="D18">
        <v>50</v>
      </c>
      <c r="E18">
        <v>67</v>
      </c>
    </row>
    <row r="19" spans="1:5" x14ac:dyDescent="0.25">
      <c r="A19" t="s">
        <v>55</v>
      </c>
      <c r="B19">
        <v>17</v>
      </c>
      <c r="C19">
        <v>34</v>
      </c>
      <c r="D19">
        <v>51</v>
      </c>
      <c r="E19">
        <v>68</v>
      </c>
    </row>
    <row r="21" spans="1:5" x14ac:dyDescent="0.25">
      <c r="A21" s="20" t="s">
        <v>56</v>
      </c>
      <c r="B21" s="21"/>
      <c r="C21" s="21"/>
      <c r="D21" s="21"/>
    </row>
    <row r="22" spans="1:5" x14ac:dyDescent="0.25">
      <c r="A22" t="s">
        <v>57</v>
      </c>
      <c r="B22" t="str">
        <f>A17</f>
        <v>on-road mobile sources</v>
      </c>
    </row>
    <row r="23" spans="1:5" x14ac:dyDescent="0.25">
      <c r="A23" t="s">
        <v>58</v>
      </c>
      <c r="B23" t="str">
        <f>A18</f>
        <v>electricity generating units</v>
      </c>
    </row>
    <row r="24" spans="1:5" x14ac:dyDescent="0.25">
      <c r="A24" t="s">
        <v>59</v>
      </c>
      <c r="B24" t="str">
        <f>A13</f>
        <v>area sources</v>
      </c>
    </row>
    <row r="25" spans="1:5" x14ac:dyDescent="0.25">
      <c r="A25" t="s">
        <v>60</v>
      </c>
      <c r="B25" t="str">
        <f>A14</f>
        <v>industrial point sources</v>
      </c>
    </row>
    <row r="26" spans="1:5" x14ac:dyDescent="0.25">
      <c r="A26" t="s">
        <v>61</v>
      </c>
      <c r="B26" t="str">
        <f>A17</f>
        <v>on-road mobile sources</v>
      </c>
    </row>
    <row r="28" spans="1:5" x14ac:dyDescent="0.25">
      <c r="A28" s="20" t="s">
        <v>62</v>
      </c>
      <c r="B28" s="20"/>
    </row>
    <row r="29" spans="1:5" x14ac:dyDescent="0.25">
      <c r="A29" t="s">
        <v>63</v>
      </c>
      <c r="B29" t="s">
        <v>64</v>
      </c>
    </row>
    <row r="30" spans="1:5" x14ac:dyDescent="0.25">
      <c r="A30" t="s">
        <v>65</v>
      </c>
      <c r="B30" t="s">
        <v>66</v>
      </c>
    </row>
    <row r="31" spans="1:5" x14ac:dyDescent="0.25">
      <c r="A31" t="s">
        <v>67</v>
      </c>
      <c r="B3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33AA-19F3-48C9-9C5F-C33EEAB460AC}">
  <sheetPr>
    <tabColor theme="4" tint="-0.249977111117893"/>
  </sheetPr>
  <dimension ref="A1:AJ25"/>
  <sheetViews>
    <sheetView workbookViewId="0">
      <selection activeCell="G18" sqref="G18"/>
    </sheetView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1.2815999999999999E-3</v>
      </c>
      <c r="C2">
        <f ca="1">$B2+($F2-$B2)*(C$1-$B$1)/($F$1-$B$1)</f>
        <v>1.2924E-3</v>
      </c>
      <c r="D2">
        <f t="shared" ref="D2:E12" ca="1" si="0">$B2+($F2-$B2)*(D$1-$B$1)/($F$1-$B$1)</f>
        <v>1.3032E-3</v>
      </c>
      <c r="E2">
        <f t="shared" ca="1" si="0"/>
        <v>1.3139999999999998E-3</v>
      </c>
      <c r="F2" s="31" cm="1">
        <f t="array" aca="1" ref="F2" ca="1">INDIRECT(CONCATENATE("'",HLOOKUP(F$1,$B$21:$E$23,3,FALSE),"'!",$B$25,ROW($A2)+3))*About!$A$27</f>
        <v>1.3247999999999999E-3</v>
      </c>
      <c r="G2">
        <f ca="1">$F2+($K2-$F2)*(G$1-$F$1)/($K$1-$F$1)</f>
        <v>1.3420799999999998E-3</v>
      </c>
      <c r="H2">
        <f t="shared" ref="H2:J12" ca="1" si="1">$F2+($K2-$F2)*(H$1-$F$1)/($K$1-$F$1)</f>
        <v>1.3593599999999998E-3</v>
      </c>
      <c r="I2">
        <f t="shared" ca="1" si="1"/>
        <v>1.3766399999999999E-3</v>
      </c>
      <c r="J2">
        <f t="shared" ca="1" si="1"/>
        <v>1.3939199999999999E-3</v>
      </c>
      <c r="K2" s="31" cm="1">
        <f t="array" aca="1" ref="K2" ca="1">INDIRECT(CONCATENATE("'",HLOOKUP(K$1,$B$21:$E$23,3,FALSE),"'!",$B$25,ROW($A2)+3))*About!$A$27</f>
        <v>1.4111999999999998E-3</v>
      </c>
      <c r="L2">
        <f ca="1">$K2+($P2-$K2)*(L$1-$K$1)/($P$1-$K$1)</f>
        <v>1.4169599999999999E-3</v>
      </c>
      <c r="M2">
        <f t="shared" ref="M2:O12" ca="1" si="2">$K2+($P2-$K2)*(M$1-$K$1)/($P$1-$K$1)</f>
        <v>1.4227199999999999E-3</v>
      </c>
      <c r="N2">
        <f t="shared" ca="1" si="2"/>
        <v>1.4284799999999998E-3</v>
      </c>
      <c r="O2">
        <f t="shared" ca="1" si="2"/>
        <v>1.4342399999999998E-3</v>
      </c>
      <c r="P2" s="31" cm="1">
        <f t="array" aca="1" ref="P2" ca="1">INDIRECT(CONCATENATE("'",HLOOKUP(P$1,$B$21:$E$23,3,FALSE),"'!",$B$25,ROW($A2)+3))*About!$A$27</f>
        <v>1.4399999999999999E-3</v>
      </c>
      <c r="Q2" cm="1">
        <f t="array" aca="1" ref="Q2" ca="1">TREND($K2:$P2,$K$1:$P$1,Q$1)</f>
        <v>1.4457600000000008E-3</v>
      </c>
      <c r="R2" cm="1">
        <f t="array" aca="1" ref="R2" ca="1">TREND($K2:$P2,$K$1:$P$1,R$1)</f>
        <v>1.4515200000000013E-3</v>
      </c>
      <c r="S2" cm="1">
        <f t="array" aca="1" ref="S2" ca="1">TREND($K2:$P2,$K$1:$P$1,S$1)</f>
        <v>1.45728E-3</v>
      </c>
      <c r="T2" cm="1">
        <f t="array" aca="1" ref="T2" ca="1">TREND($K2:$P2,$K$1:$P$1,T$1)</f>
        <v>1.4630400000000005E-3</v>
      </c>
      <c r="U2" cm="1">
        <f t="array" aca="1" ref="U2" ca="1">TREND($K2:$P2,$K$1:$P$1,U$1)</f>
        <v>1.468800000000001E-3</v>
      </c>
      <c r="V2" cm="1">
        <f t="array" aca="1" ref="V2" ca="1">TREND($K2:$P2,$K$1:$P$1,V$1)</f>
        <v>1.4745599999999998E-3</v>
      </c>
      <c r="W2" cm="1">
        <f t="array" aca="1" ref="W2" ca="1">TREND($K2:$P2,$K$1:$P$1,W$1)</f>
        <v>1.4803200000000002E-3</v>
      </c>
      <c r="X2" cm="1">
        <f t="array" aca="1" ref="X2" ca="1">TREND($K2:$P2,$K$1:$P$1,X$1)</f>
        <v>1.4860800000000007E-3</v>
      </c>
      <c r="Y2" cm="1">
        <f t="array" aca="1" ref="Y2" ca="1">TREND($K2:$P2,$K$1:$P$1,Y$1)</f>
        <v>1.4918400000000012E-3</v>
      </c>
      <c r="Z2" cm="1">
        <f t="array" aca="1" ref="Z2" ca="1">TREND($K2:$P2,$K$1:$P$1,Z$1)</f>
        <v>1.4976E-3</v>
      </c>
      <c r="AA2" cm="1">
        <f t="array" aca="1" ref="AA2" ca="1">TREND($K2:$P2,$K$1:$P$1,AA$1)</f>
        <v>1.5033600000000005E-3</v>
      </c>
      <c r="AB2" cm="1">
        <f t="array" aca="1" ref="AB2" ca="1">TREND($K2:$P2,$K$1:$P$1,AB$1)</f>
        <v>1.5091200000000009E-3</v>
      </c>
      <c r="AC2" cm="1">
        <f t="array" aca="1" ref="AC2" ca="1">TREND($K2:$P2,$K$1:$P$1,AC$1)</f>
        <v>1.5148799999999997E-3</v>
      </c>
      <c r="AD2" cm="1">
        <f t="array" aca="1" ref="AD2" ca="1">TREND($K2:$P2,$K$1:$P$1,AD$1)</f>
        <v>1.5206400000000002E-3</v>
      </c>
      <c r="AE2" cm="1">
        <f t="array" aca="1" ref="AE2" ca="1">TREND($K2:$P2,$K$1:$P$1,AE$1)</f>
        <v>1.5264000000000007E-3</v>
      </c>
      <c r="AF2" cm="1">
        <f t="array" aca="1" ref="AF2" ca="1">TREND($K2:$P2,$K$1:$P$1,AF$1)</f>
        <v>1.5321600000000012E-3</v>
      </c>
      <c r="AG2" cm="1">
        <f t="array" aca="1" ref="AG2" ca="1">TREND($K2:$P2,$K$1:$P$1,AG$1)</f>
        <v>1.5379199999999999E-3</v>
      </c>
      <c r="AH2" cm="1">
        <f t="array" aca="1" ref="AH2" ca="1">TREND($K2:$P2,$K$1:$P$1,AH$1)</f>
        <v>1.5436800000000004E-3</v>
      </c>
      <c r="AI2" cm="1">
        <f t="array" aca="1" ref="AI2" ca="1">TREND($K2:$P2,$K$1:$P$1,AI$1)</f>
        <v>1.5494400000000009E-3</v>
      </c>
      <c r="AJ2" cm="1">
        <f t="array" aca="1" ref="AJ2" ca="1">TREND($K2:$P2,$K$1:$P$1,AJ$1)</f>
        <v>1.5551999999999996E-3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7.0559999999999991E-4</v>
      </c>
      <c r="C3">
        <f t="shared" ref="C3:C12" ca="1" si="3">$B3+($F3-$B3)*(C$1-$B$1)/($F$1-$B$1)</f>
        <v>7.0919999999999989E-4</v>
      </c>
      <c r="D3">
        <f t="shared" ca="1" si="0"/>
        <v>7.1279999999999998E-4</v>
      </c>
      <c r="E3">
        <f t="shared" ca="1" si="0"/>
        <v>7.1639999999999996E-4</v>
      </c>
      <c r="F3" s="32" cm="1">
        <f t="array" aca="1" ref="F3" ca="1">INDIRECT(CONCATENATE("'",HLOOKUP(F$1,$B$21:$E$23,3,FALSE),"'!",$B$25,ROW($A3)+5))*About!$A$27</f>
        <v>7.1999999999999994E-4</v>
      </c>
      <c r="G3">
        <f t="shared" ref="G3:G12" ca="1" si="4">$F3+($K3-$F3)*(G$1-$F$1)/($K$1-$F$1)</f>
        <v>7.2575999999999988E-4</v>
      </c>
      <c r="H3">
        <f t="shared" ca="1" si="1"/>
        <v>7.3151999999999994E-4</v>
      </c>
      <c r="I3">
        <f t="shared" ca="1" si="1"/>
        <v>7.3727999999999988E-4</v>
      </c>
      <c r="J3">
        <f t="shared" ca="1" si="1"/>
        <v>7.4303999999999993E-4</v>
      </c>
      <c r="K3" s="32" cm="1">
        <f t="array" aca="1" ref="K3" ca="1">INDIRECT(CONCATENATE("'",HLOOKUP(K$1,$B$21:$E$23,3,FALSE),"'!",$B$25,ROW($A3)+5))*About!$A$27</f>
        <v>7.4879999999999988E-4</v>
      </c>
      <c r="L3">
        <f t="shared" ref="L3:L12" ca="1" si="5">$K3+($P3-$K3)*(L$1-$K$1)/($P$1-$K$1)</f>
        <v>7.516799999999999E-4</v>
      </c>
      <c r="M3">
        <f t="shared" ca="1" si="2"/>
        <v>7.5455999999999993E-4</v>
      </c>
      <c r="N3">
        <f t="shared" ca="1" si="2"/>
        <v>7.5743999999999985E-4</v>
      </c>
      <c r="O3">
        <f t="shared" ca="1" si="2"/>
        <v>7.6031999999999988E-4</v>
      </c>
      <c r="P3" s="32" cm="1">
        <f t="array" aca="1" ref="P3" ca="1">INDIRECT(CONCATENATE("'",HLOOKUP(P$1,$B$21:$E$23,3,FALSE),"'!",$B$25,ROW($A3)+5))*About!$A$27</f>
        <v>7.631999999999999E-4</v>
      </c>
      <c r="Q3" cm="1">
        <f t="array" aca="1" ref="Q3" ca="1">TREND($K3:$P3,$K$1:$P$1,Q$1)</f>
        <v>7.6607999999999971E-4</v>
      </c>
      <c r="R3" cm="1">
        <f t="array" aca="1" ref="R3" ca="1">TREND($K3:$P3,$K$1:$P$1,R$1)</f>
        <v>7.6895999999999909E-4</v>
      </c>
      <c r="S3" cm="1">
        <f t="array" aca="1" ref="S3" ca="1">TREND($K3:$P3,$K$1:$P$1,S$1)</f>
        <v>7.7183999999999933E-4</v>
      </c>
      <c r="T3" cm="1">
        <f t="array" aca="1" ref="T3" ca="1">TREND($K3:$P3,$K$1:$P$1,T$1)</f>
        <v>7.7471999999999958E-4</v>
      </c>
      <c r="U3" cm="1">
        <f t="array" aca="1" ref="U3" ca="1">TREND($K3:$P3,$K$1:$P$1,U$1)</f>
        <v>7.7759999999999982E-4</v>
      </c>
      <c r="V3" cm="1">
        <f t="array" aca="1" ref="V3" ca="1">TREND($K3:$P3,$K$1:$P$1,V$1)</f>
        <v>7.804799999999992E-4</v>
      </c>
      <c r="W3" cm="1">
        <f t="array" aca="1" ref="W3" ca="1">TREND($K3:$P3,$K$1:$P$1,W$1)</f>
        <v>7.8335999999999944E-4</v>
      </c>
      <c r="X3" cm="1">
        <f t="array" aca="1" ref="X3" ca="1">TREND($K3:$P3,$K$1:$P$1,X$1)</f>
        <v>7.8623999999999968E-4</v>
      </c>
      <c r="Y3" cm="1">
        <f t="array" aca="1" ref="Y3" ca="1">TREND($K3:$P3,$K$1:$P$1,Y$1)</f>
        <v>7.8911999999999993E-4</v>
      </c>
      <c r="Z3" cm="1">
        <f t="array" aca="1" ref="Z3" ca="1">TREND($K3:$P3,$K$1:$P$1,Z$1)</f>
        <v>7.919999999999993E-4</v>
      </c>
      <c r="AA3" cm="1">
        <f t="array" aca="1" ref="AA3" ca="1">TREND($K3:$P3,$K$1:$P$1,AA$1)</f>
        <v>7.9487999999999955E-4</v>
      </c>
      <c r="AB3" cm="1">
        <f t="array" aca="1" ref="AB3" ca="1">TREND($K3:$P3,$K$1:$P$1,AB$1)</f>
        <v>7.9775999999999979E-4</v>
      </c>
      <c r="AC3" cm="1">
        <f t="array" aca="1" ref="AC3" ca="1">TREND($K3:$P3,$K$1:$P$1,AC$1)</f>
        <v>8.0063999999999916E-4</v>
      </c>
      <c r="AD3" cm="1">
        <f t="array" aca="1" ref="AD3" ca="1">TREND($K3:$P3,$K$1:$P$1,AD$1)</f>
        <v>8.0351999999999941E-4</v>
      </c>
      <c r="AE3" cm="1">
        <f t="array" aca="1" ref="AE3" ca="1">TREND($K3:$P3,$K$1:$P$1,AE$1)</f>
        <v>8.0639999999999965E-4</v>
      </c>
      <c r="AF3" cm="1">
        <f t="array" aca="1" ref="AF3" ca="1">TREND($K3:$P3,$K$1:$P$1,AF$1)</f>
        <v>8.092799999999999E-4</v>
      </c>
      <c r="AG3" cm="1">
        <f t="array" aca="1" ref="AG3" ca="1">TREND($K3:$P3,$K$1:$P$1,AG$1)</f>
        <v>8.1215999999999927E-4</v>
      </c>
      <c r="AH3" cm="1">
        <f t="array" aca="1" ref="AH3" ca="1">TREND($K3:$P3,$K$1:$P$1,AH$1)</f>
        <v>8.1503999999999951E-4</v>
      </c>
      <c r="AI3" cm="1">
        <f t="array" aca="1" ref="AI3" ca="1">TREND($K3:$P3,$K$1:$P$1,AI$1)</f>
        <v>8.1791999999999976E-4</v>
      </c>
      <c r="AJ3" cm="1">
        <f t="array" aca="1" ref="AJ3" ca="1">TREND($K3:$P3,$K$1:$P$1,AJ$1)</f>
        <v>8.2079999999999913E-4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1.8719999999999997E-3</v>
      </c>
      <c r="C4">
        <f t="shared" ca="1" si="3"/>
        <v>1.8719999999999997E-3</v>
      </c>
      <c r="D4">
        <f t="shared" ca="1" si="0"/>
        <v>1.8719999999999997E-3</v>
      </c>
      <c r="E4">
        <f t="shared" ca="1" si="0"/>
        <v>1.8719999999999997E-3</v>
      </c>
      <c r="F4" s="32" cm="1">
        <f t="array" aca="1" ref="F4" ca="1">INDIRECT(CONCATENATE("'",HLOOKUP(F$1,$B$21:$E$23,3,FALSE),"'!",$B$25,ROW($A4)+5))*About!$A$27</f>
        <v>1.8719999999999997E-3</v>
      </c>
      <c r="G4">
        <f t="shared" ca="1" si="4"/>
        <v>1.8719999999999997E-3</v>
      </c>
      <c r="H4">
        <f t="shared" ca="1" si="1"/>
        <v>1.8719999999999997E-3</v>
      </c>
      <c r="I4">
        <f t="shared" ca="1" si="1"/>
        <v>1.8719999999999997E-3</v>
      </c>
      <c r="J4">
        <f t="shared" ca="1" si="1"/>
        <v>1.8719999999999997E-3</v>
      </c>
      <c r="K4" s="32" cm="1">
        <f t="array" aca="1" ref="K4" ca="1">INDIRECT(CONCATENATE("'",HLOOKUP(K$1,$B$21:$E$23,3,FALSE),"'!",$B$25,ROW($A4)+5))*About!$A$27</f>
        <v>1.8719999999999997E-3</v>
      </c>
      <c r="L4">
        <f t="shared" ca="1" si="5"/>
        <v>1.9007999999999998E-3</v>
      </c>
      <c r="M4">
        <f t="shared" ca="1" si="2"/>
        <v>1.9295999999999998E-3</v>
      </c>
      <c r="N4">
        <f t="shared" ca="1" si="2"/>
        <v>1.9583999999999999E-3</v>
      </c>
      <c r="O4">
        <f t="shared" ca="1" si="2"/>
        <v>1.9871999999999997E-3</v>
      </c>
      <c r="P4" s="32" cm="1">
        <f t="array" aca="1" ref="P4" ca="1">INDIRECT(CONCATENATE("'",HLOOKUP(P$1,$B$21:$E$23,3,FALSE),"'!",$B$25,ROW($A4)+5))*About!$A$27</f>
        <v>2.016E-3</v>
      </c>
      <c r="Q4" cm="1">
        <f t="array" aca="1" ref="Q4" ca="1">TREND($K4:$P4,$K$1:$P$1,Q$1)</f>
        <v>2.0447999999999994E-3</v>
      </c>
      <c r="R4" cm="1">
        <f t="array" aca="1" ref="R4" ca="1">TREND($K4:$P4,$K$1:$P$1,R$1)</f>
        <v>2.0736000000000018E-3</v>
      </c>
      <c r="S4" cm="1">
        <f t="array" aca="1" ref="S4" ca="1">TREND($K4:$P4,$K$1:$P$1,S$1)</f>
        <v>2.1023999999999973E-3</v>
      </c>
      <c r="T4" cm="1">
        <f t="array" aca="1" ref="T4" ca="1">TREND($K4:$P4,$K$1:$P$1,T$1)</f>
        <v>2.1311999999999998E-3</v>
      </c>
      <c r="U4" cm="1">
        <f t="array" aca="1" ref="U4" ca="1">TREND($K4:$P4,$K$1:$P$1,U$1)</f>
        <v>2.1600000000000022E-3</v>
      </c>
      <c r="V4" cm="1">
        <f t="array" aca="1" ref="V4" ca="1">TREND($K4:$P4,$K$1:$P$1,V$1)</f>
        <v>2.1887999999999977E-3</v>
      </c>
      <c r="W4" cm="1">
        <f t="array" aca="1" ref="W4" ca="1">TREND($K4:$P4,$K$1:$P$1,W$1)</f>
        <v>2.2176000000000001E-3</v>
      </c>
      <c r="X4" cm="1">
        <f t="array" aca="1" ref="X4" ca="1">TREND($K4:$P4,$K$1:$P$1,X$1)</f>
        <v>2.2463999999999956E-3</v>
      </c>
      <c r="Y4" cm="1">
        <f t="array" aca="1" ref="Y4" ca="1">TREND($K4:$P4,$K$1:$P$1,Y$1)</f>
        <v>2.2751999999999981E-3</v>
      </c>
      <c r="Z4" cm="1">
        <f t="array" aca="1" ref="Z4" ca="1">TREND($K4:$P4,$K$1:$P$1,Z$1)</f>
        <v>2.3040000000000005E-3</v>
      </c>
      <c r="AA4" cm="1">
        <f t="array" aca="1" ref="AA4" ca="1">TREND($K4:$P4,$K$1:$P$1,AA$1)</f>
        <v>2.332799999999996E-3</v>
      </c>
      <c r="AB4" cm="1">
        <f t="array" aca="1" ref="AB4" ca="1">TREND($K4:$P4,$K$1:$P$1,AB$1)</f>
        <v>2.3615999999999984E-3</v>
      </c>
      <c r="AC4" cm="1">
        <f t="array" aca="1" ref="AC4" ca="1">TREND($K4:$P4,$K$1:$P$1,AC$1)</f>
        <v>2.3904000000000009E-3</v>
      </c>
      <c r="AD4" cm="1">
        <f t="array" aca="1" ref="AD4" ca="1">TREND($K4:$P4,$K$1:$P$1,AD$1)</f>
        <v>2.4191999999999964E-3</v>
      </c>
      <c r="AE4" cm="1">
        <f t="array" aca="1" ref="AE4" ca="1">TREND($K4:$P4,$K$1:$P$1,AE$1)</f>
        <v>2.4479999999999988E-3</v>
      </c>
      <c r="AF4" cm="1">
        <f t="array" aca="1" ref="AF4" ca="1">TREND($K4:$P4,$K$1:$P$1,AF$1)</f>
        <v>2.4768000000000012E-3</v>
      </c>
      <c r="AG4" cm="1">
        <f t="array" aca="1" ref="AG4" ca="1">TREND($K4:$P4,$K$1:$P$1,AG$1)</f>
        <v>2.5055999999999967E-3</v>
      </c>
      <c r="AH4" cm="1">
        <f t="array" aca="1" ref="AH4" ca="1">TREND($K4:$P4,$K$1:$P$1,AH$1)</f>
        <v>2.5343999999999992E-3</v>
      </c>
      <c r="AI4" cm="1">
        <f t="array" aca="1" ref="AI4" ca="1">TREND($K4:$P4,$K$1:$P$1,AI$1)</f>
        <v>2.5632000000000016E-3</v>
      </c>
      <c r="AJ4" cm="1">
        <f t="array" aca="1" ref="AJ4" ca="1">TREND($K4:$P4,$K$1:$P$1,AJ$1)</f>
        <v>2.5919999999999971E-3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2.3039999999999998E-2</v>
      </c>
      <c r="C5">
        <f t="shared" ca="1" si="3"/>
        <v>2.3039999999999998E-2</v>
      </c>
      <c r="D5">
        <f t="shared" ca="1" si="0"/>
        <v>2.3039999999999998E-2</v>
      </c>
      <c r="E5">
        <f t="shared" ca="1" si="0"/>
        <v>2.3039999999999998E-2</v>
      </c>
      <c r="F5" s="32" cm="1">
        <f t="array" aca="1" ref="F5" ca="1">INDIRECT(CONCATENATE("'",HLOOKUP(F$1,$B$21:$E$23,3,FALSE),"'!",$B$25,ROW($A5)+5))*About!$A$27</f>
        <v>2.3039999999999998E-2</v>
      </c>
      <c r="G5">
        <f t="shared" ca="1" si="4"/>
        <v>2.3327999999999998E-2</v>
      </c>
      <c r="H5">
        <f t="shared" ca="1" si="1"/>
        <v>2.3615999999999998E-2</v>
      </c>
      <c r="I5">
        <f t="shared" ca="1" si="1"/>
        <v>2.3904000000000002E-2</v>
      </c>
      <c r="J5">
        <f t="shared" ca="1" si="1"/>
        <v>2.4192000000000002E-2</v>
      </c>
      <c r="K5" s="32" cm="1">
        <f t="array" aca="1" ref="K5" ca="1">INDIRECT(CONCATENATE("'",HLOOKUP(K$1,$B$21:$E$23,3,FALSE),"'!",$B$25,ROW($A5)+5))*About!$A$27</f>
        <v>2.4480000000000002E-2</v>
      </c>
      <c r="L5">
        <f t="shared" ca="1" si="5"/>
        <v>2.4768000000000002E-2</v>
      </c>
      <c r="M5">
        <f t="shared" ca="1" si="2"/>
        <v>2.5056000000000002E-2</v>
      </c>
      <c r="N5">
        <f t="shared" ca="1" si="2"/>
        <v>2.5343999999999998E-2</v>
      </c>
      <c r="O5">
        <f t="shared" ca="1" si="2"/>
        <v>2.5631999999999999E-2</v>
      </c>
      <c r="P5" s="32" cm="1">
        <f t="array" aca="1" ref="P5" ca="1">INDIRECT(CONCATENATE("'",HLOOKUP(P$1,$B$21:$E$23,3,FALSE),"'!",$B$25,ROW($A5)+5))*About!$A$27</f>
        <v>2.5919999999999999E-2</v>
      </c>
      <c r="Q5" cm="1">
        <f t="array" aca="1" ref="Q5" ca="1">TREND($K5:$P5,$K$1:$P$1,Q$1)</f>
        <v>2.6208000000000009E-2</v>
      </c>
      <c r="R5" cm="1">
        <f t="array" aca="1" ref="R5" ca="1">TREND($K5:$P5,$K$1:$P$1,R$1)</f>
        <v>2.6496000000000075E-2</v>
      </c>
      <c r="S5" cm="1">
        <f t="array" aca="1" ref="S5" ca="1">TREND($K5:$P5,$K$1:$P$1,S$1)</f>
        <v>2.678400000000003E-2</v>
      </c>
      <c r="T5" cm="1">
        <f t="array" aca="1" ref="T5" ca="1">TREND($K5:$P5,$K$1:$P$1,T$1)</f>
        <v>2.7071999999999985E-2</v>
      </c>
      <c r="U5" cm="1">
        <f t="array" aca="1" ref="U5" ca="1">TREND($K5:$P5,$K$1:$P$1,U$1)</f>
        <v>2.7360000000000051E-2</v>
      </c>
      <c r="V5" cm="1">
        <f t="array" aca="1" ref="V5" ca="1">TREND($K5:$P5,$K$1:$P$1,V$1)</f>
        <v>2.7648000000000006E-2</v>
      </c>
      <c r="W5" cm="1">
        <f t="array" aca="1" ref="W5" ca="1">TREND($K5:$P5,$K$1:$P$1,W$1)</f>
        <v>2.7936000000000072E-2</v>
      </c>
      <c r="X5" cm="1">
        <f t="array" aca="1" ref="X5" ca="1">TREND($K5:$P5,$K$1:$P$1,X$1)</f>
        <v>2.8224000000000027E-2</v>
      </c>
      <c r="Y5" cm="1">
        <f t="array" aca="1" ref="Y5" ca="1">TREND($K5:$P5,$K$1:$P$1,Y$1)</f>
        <v>2.8511999999999982E-2</v>
      </c>
      <c r="Z5" cm="1">
        <f t="array" aca="1" ref="Z5" ca="1">TREND($K5:$P5,$K$1:$P$1,Z$1)</f>
        <v>2.8800000000000048E-2</v>
      </c>
      <c r="AA5" cm="1">
        <f t="array" aca="1" ref="AA5" ca="1">TREND($K5:$P5,$K$1:$P$1,AA$1)</f>
        <v>2.9088000000000003E-2</v>
      </c>
      <c r="AB5" cm="1">
        <f t="array" aca="1" ref="AB5" ca="1">TREND($K5:$P5,$K$1:$P$1,AB$1)</f>
        <v>2.9376000000000069E-2</v>
      </c>
      <c r="AC5" cm="1">
        <f t="array" aca="1" ref="AC5" ca="1">TREND($K5:$P5,$K$1:$P$1,AC$1)</f>
        <v>2.9664000000000024E-2</v>
      </c>
      <c r="AD5" cm="1">
        <f t="array" aca="1" ref="AD5" ca="1">TREND($K5:$P5,$K$1:$P$1,AD$1)</f>
        <v>2.9951999999999979E-2</v>
      </c>
      <c r="AE5" cm="1">
        <f t="array" aca="1" ref="AE5" ca="1">TREND($K5:$P5,$K$1:$P$1,AE$1)</f>
        <v>3.0240000000000045E-2</v>
      </c>
      <c r="AF5" cm="1">
        <f t="array" aca="1" ref="AF5" ca="1">TREND($K5:$P5,$K$1:$P$1,AF$1)</f>
        <v>3.0528E-2</v>
      </c>
      <c r="AG5" cm="1">
        <f t="array" aca="1" ref="AG5" ca="1">TREND($K5:$P5,$K$1:$P$1,AG$1)</f>
        <v>3.0816000000000066E-2</v>
      </c>
      <c r="AH5" cm="1">
        <f t="array" aca="1" ref="AH5" ca="1">TREND($K5:$P5,$K$1:$P$1,AH$1)</f>
        <v>3.1104000000000021E-2</v>
      </c>
      <c r="AI5" cm="1">
        <f t="array" aca="1" ref="AI5" ca="1">TREND($K5:$P5,$K$1:$P$1,AI$1)</f>
        <v>3.1391999999999975E-2</v>
      </c>
      <c r="AJ5" cm="1">
        <f t="array" aca="1" ref="AJ5" ca="1">TREND($K5:$P5,$K$1:$P$1,AJ$1)</f>
        <v>3.1680000000000041E-2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3.456E-2</v>
      </c>
      <c r="C6">
        <f t="shared" ca="1" si="3"/>
        <v>3.456E-2</v>
      </c>
      <c r="D6">
        <f t="shared" ca="1" si="0"/>
        <v>3.456E-2</v>
      </c>
      <c r="E6">
        <f t="shared" ca="1" si="0"/>
        <v>3.456E-2</v>
      </c>
      <c r="F6" s="32" cm="1">
        <f t="array" aca="1" ref="F6" ca="1">INDIRECT(CONCATENATE("'",HLOOKUP(F$1,$B$21:$E$23,3,FALSE),"'!",$B$25,ROW($A6)+5))*About!$A$27</f>
        <v>3.456E-2</v>
      </c>
      <c r="G6">
        <f t="shared" ca="1" si="4"/>
        <v>3.4847999999999997E-2</v>
      </c>
      <c r="H6">
        <f t="shared" ca="1" si="1"/>
        <v>3.5136000000000001E-2</v>
      </c>
      <c r="I6">
        <f t="shared" ca="1" si="1"/>
        <v>3.5423999999999997E-2</v>
      </c>
      <c r="J6">
        <f t="shared" ca="1" si="1"/>
        <v>3.5712000000000001E-2</v>
      </c>
      <c r="K6" s="32" cm="1">
        <f t="array" aca="1" ref="K6" ca="1">INDIRECT(CONCATENATE("'",HLOOKUP(K$1,$B$21:$E$23,3,FALSE),"'!",$B$25,ROW($A6)+5))*About!$A$27</f>
        <v>3.5999999999999997E-2</v>
      </c>
      <c r="L6">
        <f t="shared" ca="1" si="5"/>
        <v>3.6287999999999994E-2</v>
      </c>
      <c r="M6">
        <f t="shared" ca="1" si="2"/>
        <v>3.6575999999999997E-2</v>
      </c>
      <c r="N6">
        <f t="shared" ca="1" si="2"/>
        <v>3.6863999999999994E-2</v>
      </c>
      <c r="O6">
        <f t="shared" ca="1" si="2"/>
        <v>3.7151999999999998E-2</v>
      </c>
      <c r="P6" s="32" cm="1">
        <f t="array" aca="1" ref="P6" ca="1">INDIRECT(CONCATENATE("'",HLOOKUP(P$1,$B$21:$E$23,3,FALSE),"'!",$B$25,ROW($A6)+5))*About!$A$27</f>
        <v>3.7439999999999994E-2</v>
      </c>
      <c r="Q6" cm="1">
        <f t="array" aca="1" ref="Q6" ca="1">TREND($K6:$P6,$K$1:$P$1,Q$1)</f>
        <v>3.7727999999999984E-2</v>
      </c>
      <c r="R6" cm="1">
        <f t="array" aca="1" ref="R6" ca="1">TREND($K6:$P6,$K$1:$P$1,R$1)</f>
        <v>3.801600000000005E-2</v>
      </c>
      <c r="S6" cm="1">
        <f t="array" aca="1" ref="S6" ca="1">TREND($K6:$P6,$K$1:$P$1,S$1)</f>
        <v>3.8304000000000005E-2</v>
      </c>
      <c r="T6" cm="1">
        <f t="array" aca="1" ref="T6" ca="1">TREND($K6:$P6,$K$1:$P$1,T$1)</f>
        <v>3.859199999999996E-2</v>
      </c>
      <c r="U6" cm="1">
        <f t="array" aca="1" ref="U6" ca="1">TREND($K6:$P6,$K$1:$P$1,U$1)</f>
        <v>3.8880000000000026E-2</v>
      </c>
      <c r="V6" cm="1">
        <f t="array" aca="1" ref="V6" ca="1">TREND($K6:$P6,$K$1:$P$1,V$1)</f>
        <v>3.9167999999999981E-2</v>
      </c>
      <c r="W6" cm="1">
        <f t="array" aca="1" ref="W6" ca="1">TREND($K6:$P6,$K$1:$P$1,W$1)</f>
        <v>3.9456000000000047E-2</v>
      </c>
      <c r="X6" cm="1">
        <f t="array" aca="1" ref="X6" ca="1">TREND($K6:$P6,$K$1:$P$1,X$1)</f>
        <v>3.9744000000000002E-2</v>
      </c>
      <c r="Y6" cm="1">
        <f t="array" aca="1" ref="Y6" ca="1">TREND($K6:$P6,$K$1:$P$1,Y$1)</f>
        <v>4.0031999999999957E-2</v>
      </c>
      <c r="Z6" cm="1">
        <f t="array" aca="1" ref="Z6" ca="1">TREND($K6:$P6,$K$1:$P$1,Z$1)</f>
        <v>4.0320000000000022E-2</v>
      </c>
      <c r="AA6" cm="1">
        <f t="array" aca="1" ref="AA6" ca="1">TREND($K6:$P6,$K$1:$P$1,AA$1)</f>
        <v>4.0607999999999977E-2</v>
      </c>
      <c r="AB6" cm="1">
        <f t="array" aca="1" ref="AB6" ca="1">TREND($K6:$P6,$K$1:$P$1,AB$1)</f>
        <v>4.0896000000000043E-2</v>
      </c>
      <c r="AC6" cm="1">
        <f t="array" aca="1" ref="AC6" ca="1">TREND($K6:$P6,$K$1:$P$1,AC$1)</f>
        <v>4.1183999999999998E-2</v>
      </c>
      <c r="AD6" cm="1">
        <f t="array" aca="1" ref="AD6" ca="1">TREND($K6:$P6,$K$1:$P$1,AD$1)</f>
        <v>4.1471999999999953E-2</v>
      </c>
      <c r="AE6" cm="1">
        <f t="array" aca="1" ref="AE6" ca="1">TREND($K6:$P6,$K$1:$P$1,AE$1)</f>
        <v>4.1760000000000019E-2</v>
      </c>
      <c r="AF6" cm="1">
        <f t="array" aca="1" ref="AF6" ca="1">TREND($K6:$P6,$K$1:$P$1,AF$1)</f>
        <v>4.2047999999999974E-2</v>
      </c>
      <c r="AG6" cm="1">
        <f t="array" aca="1" ref="AG6" ca="1">TREND($K6:$P6,$K$1:$P$1,AG$1)</f>
        <v>4.233600000000004E-2</v>
      </c>
      <c r="AH6" cm="1">
        <f t="array" aca="1" ref="AH6" ca="1">TREND($K6:$P6,$K$1:$P$1,AH$1)</f>
        <v>4.2623999999999995E-2</v>
      </c>
      <c r="AI6" cm="1">
        <f t="array" aca="1" ref="AI6" ca="1">TREND($K6:$P6,$K$1:$P$1,AI$1)</f>
        <v>4.291199999999995E-2</v>
      </c>
      <c r="AJ6" cm="1">
        <f t="array" aca="1" ref="AJ6" ca="1">TREND($K6:$P6,$K$1:$P$1,AJ$1)</f>
        <v>4.3200000000000016E-2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0.99359999999999993</v>
      </c>
      <c r="C7">
        <f t="shared" ca="1" si="3"/>
        <v>0.99719999999999998</v>
      </c>
      <c r="D7">
        <f t="shared" ca="1" si="0"/>
        <v>1.0007999999999999</v>
      </c>
      <c r="E7">
        <f t="shared" ca="1" si="0"/>
        <v>1.0044</v>
      </c>
      <c r="F7" s="32" cm="1">
        <f t="array" aca="1" ref="F7" ca="1">INDIRECT(CONCATENATE("'",HLOOKUP(F$1,$B$21:$E$23,3,FALSE),"'!",$B$25,ROW($A7)+5))*About!$A$27</f>
        <v>1.008</v>
      </c>
      <c r="G7">
        <f t="shared" ca="1" si="4"/>
        <v>1.008</v>
      </c>
      <c r="H7">
        <f t="shared" ca="1" si="1"/>
        <v>1.008</v>
      </c>
      <c r="I7">
        <f t="shared" ca="1" si="1"/>
        <v>1.008</v>
      </c>
      <c r="J7">
        <f t="shared" ca="1" si="1"/>
        <v>1.008</v>
      </c>
      <c r="K7" s="32" cm="1">
        <f t="array" aca="1" ref="K7" ca="1">INDIRECT(CONCATENATE("'",HLOOKUP(K$1,$B$21:$E$23,3,FALSE),"'!",$B$25,ROW($A7)+5))*About!$A$27</f>
        <v>1.008</v>
      </c>
      <c r="L7">
        <f t="shared" ca="1" si="5"/>
        <v>1.01088</v>
      </c>
      <c r="M7">
        <f t="shared" ca="1" si="2"/>
        <v>1.01376</v>
      </c>
      <c r="N7">
        <f t="shared" ca="1" si="2"/>
        <v>1.01664</v>
      </c>
      <c r="O7">
        <f t="shared" ca="1" si="2"/>
        <v>1.01952</v>
      </c>
      <c r="P7" s="32" cm="1">
        <f t="array" aca="1" ref="P7" ca="1">INDIRECT(CONCATENATE("'",HLOOKUP(P$1,$B$21:$E$23,3,FALSE),"'!",$B$25,ROW($A7)+5))*About!$A$27</f>
        <v>1.0224</v>
      </c>
      <c r="Q7" cm="1">
        <f t="array" aca="1" ref="Q7" ca="1">TREND($K7:$P7,$K$1:$P$1,Q$1)</f>
        <v>1.0252799999999995</v>
      </c>
      <c r="R7" cm="1">
        <f t="array" aca="1" ref="R7" ca="1">TREND($K7:$P7,$K$1:$P$1,R$1)</f>
        <v>1.0281599999999997</v>
      </c>
      <c r="S7" cm="1">
        <f t="array" aca="1" ref="S7" ca="1">TREND($K7:$P7,$K$1:$P$1,S$1)</f>
        <v>1.03104</v>
      </c>
      <c r="T7" cm="1">
        <f t="array" aca="1" ref="T7" ca="1">TREND($K7:$P7,$K$1:$P$1,T$1)</f>
        <v>1.0339200000000002</v>
      </c>
      <c r="U7" cm="1">
        <f t="array" aca="1" ref="U7" ca="1">TREND($K7:$P7,$K$1:$P$1,U$1)</f>
        <v>1.0367999999999995</v>
      </c>
      <c r="V7" cm="1">
        <f t="array" aca="1" ref="V7" ca="1">TREND($K7:$P7,$K$1:$P$1,V$1)</f>
        <v>1.0396799999999997</v>
      </c>
      <c r="W7" cm="1">
        <f t="array" aca="1" ref="W7" ca="1">TREND($K7:$P7,$K$1:$P$1,W$1)</f>
        <v>1.0425599999999999</v>
      </c>
      <c r="X7" cm="1">
        <f t="array" aca="1" ref="X7" ca="1">TREND($K7:$P7,$K$1:$P$1,X$1)</f>
        <v>1.0454399999999993</v>
      </c>
      <c r="Y7" cm="1">
        <f t="array" aca="1" ref="Y7" ca="1">TREND($K7:$P7,$K$1:$P$1,Y$1)</f>
        <v>1.0483199999999995</v>
      </c>
      <c r="Z7" cm="1">
        <f t="array" aca="1" ref="Z7" ca="1">TREND($K7:$P7,$K$1:$P$1,Z$1)</f>
        <v>1.0511999999999997</v>
      </c>
      <c r="AA7" cm="1">
        <f t="array" aca="1" ref="AA7" ca="1">TREND($K7:$P7,$K$1:$P$1,AA$1)</f>
        <v>1.0540799999999999</v>
      </c>
      <c r="AB7" cm="1">
        <f t="array" aca="1" ref="AB7" ca="1">TREND($K7:$P7,$K$1:$P$1,AB$1)</f>
        <v>1.0569600000000001</v>
      </c>
      <c r="AC7" cm="1">
        <f t="array" aca="1" ref="AC7" ca="1">TREND($K7:$P7,$K$1:$P$1,AC$1)</f>
        <v>1.0598399999999994</v>
      </c>
      <c r="AD7" cm="1">
        <f t="array" aca="1" ref="AD7" ca="1">TREND($K7:$P7,$K$1:$P$1,AD$1)</f>
        <v>1.0627199999999997</v>
      </c>
      <c r="AE7" cm="1">
        <f t="array" aca="1" ref="AE7" ca="1">TREND($K7:$P7,$K$1:$P$1,AE$1)</f>
        <v>1.0655999999999999</v>
      </c>
      <c r="AF7" cm="1">
        <f t="array" aca="1" ref="AF7" ca="1">TREND($K7:$P7,$K$1:$P$1,AF$1)</f>
        <v>1.0684799999999992</v>
      </c>
      <c r="AG7" cm="1">
        <f t="array" aca="1" ref="AG7" ca="1">TREND($K7:$P7,$K$1:$P$1,AG$1)</f>
        <v>1.0713599999999994</v>
      </c>
      <c r="AH7" cm="1">
        <f t="array" aca="1" ref="AH7" ca="1">TREND($K7:$P7,$K$1:$P$1,AH$1)</f>
        <v>1.0742399999999996</v>
      </c>
      <c r="AI7" cm="1">
        <f t="array" aca="1" ref="AI7" ca="1">TREND($K7:$P7,$K$1:$P$1,AI$1)</f>
        <v>1.0771199999999999</v>
      </c>
      <c r="AJ7" cm="1">
        <f t="array" aca="1" ref="AJ7" ca="1">TREND($K7:$P7,$K$1:$P$1,AJ$1)</f>
        <v>1.08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0.17279999999999998</v>
      </c>
      <c r="C8">
        <f t="shared" ca="1" si="3"/>
        <v>0.17279999999999998</v>
      </c>
      <c r="D8">
        <f t="shared" ca="1" si="0"/>
        <v>0.17279999999999998</v>
      </c>
      <c r="E8">
        <f t="shared" ca="1" si="0"/>
        <v>0.17279999999999998</v>
      </c>
      <c r="F8" s="32" cm="1">
        <f t="array" aca="1" ref="F8" ca="1">INDIRECT(CONCATENATE("'",HLOOKUP(F$1,$B$21:$E$23,3,FALSE),"'!",$B$25,ROW($A8)+5))*About!$A$27</f>
        <v>0.17279999999999998</v>
      </c>
      <c r="G8">
        <f t="shared" ca="1" si="4"/>
        <v>0.17279999999999998</v>
      </c>
      <c r="H8">
        <f t="shared" ca="1" si="1"/>
        <v>0.17279999999999998</v>
      </c>
      <c r="I8">
        <f t="shared" ca="1" si="1"/>
        <v>0.17279999999999998</v>
      </c>
      <c r="J8">
        <f t="shared" ca="1" si="1"/>
        <v>0.17279999999999998</v>
      </c>
      <c r="K8" s="32" cm="1">
        <f t="array" aca="1" ref="K8" ca="1">INDIRECT(CONCATENATE("'",HLOOKUP(K$1,$B$21:$E$23,3,FALSE),"'!",$B$25,ROW($A8)+5))*About!$A$27</f>
        <v>0.17279999999999998</v>
      </c>
      <c r="L8">
        <f t="shared" ca="1" si="5"/>
        <v>0.17279999999999998</v>
      </c>
      <c r="M8">
        <f t="shared" ca="1" si="2"/>
        <v>0.17279999999999998</v>
      </c>
      <c r="N8">
        <f t="shared" ca="1" si="2"/>
        <v>0.17279999999999998</v>
      </c>
      <c r="O8">
        <f t="shared" ca="1" si="2"/>
        <v>0.17279999999999998</v>
      </c>
      <c r="P8" s="32" cm="1">
        <f t="array" aca="1" ref="P8" ca="1">INDIRECT(CONCATENATE("'",HLOOKUP(P$1,$B$21:$E$23,3,FALSE),"'!",$B$25,ROW($A8)+5))*About!$A$27</f>
        <v>0.17279999999999998</v>
      </c>
      <c r="Q8" cm="1">
        <f t="array" aca="1" ref="Q8" ca="1">TREND($K8:$P8,$K$1:$P$1,Q$1)</f>
        <v>0.17279999999999998</v>
      </c>
      <c r="R8" cm="1">
        <f t="array" aca="1" ref="R8" ca="1">TREND($K8:$P8,$K$1:$P$1,R$1)</f>
        <v>0.17279999999999998</v>
      </c>
      <c r="S8" cm="1">
        <f t="array" aca="1" ref="S8" ca="1">TREND($K8:$P8,$K$1:$P$1,S$1)</f>
        <v>0.17279999999999998</v>
      </c>
      <c r="T8" cm="1">
        <f t="array" aca="1" ref="T8" ca="1">TREND($K8:$P8,$K$1:$P$1,T$1)</f>
        <v>0.17279999999999998</v>
      </c>
      <c r="U8" cm="1">
        <f t="array" aca="1" ref="U8" ca="1">TREND($K8:$P8,$K$1:$P$1,U$1)</f>
        <v>0.17279999999999998</v>
      </c>
      <c r="V8" cm="1">
        <f t="array" aca="1" ref="V8" ca="1">TREND($K8:$P8,$K$1:$P$1,V$1)</f>
        <v>0.17279999999999998</v>
      </c>
      <c r="W8" cm="1">
        <f t="array" aca="1" ref="W8" ca="1">TREND($K8:$P8,$K$1:$P$1,W$1)</f>
        <v>0.17279999999999998</v>
      </c>
      <c r="X8" cm="1">
        <f t="array" aca="1" ref="X8" ca="1">TREND($K8:$P8,$K$1:$P$1,X$1)</f>
        <v>0.17279999999999998</v>
      </c>
      <c r="Y8" cm="1">
        <f t="array" aca="1" ref="Y8" ca="1">TREND($K8:$P8,$K$1:$P$1,Y$1)</f>
        <v>0.17279999999999998</v>
      </c>
      <c r="Z8" cm="1">
        <f t="array" aca="1" ref="Z8" ca="1">TREND($K8:$P8,$K$1:$P$1,Z$1)</f>
        <v>0.17279999999999998</v>
      </c>
      <c r="AA8" cm="1">
        <f t="array" aca="1" ref="AA8" ca="1">TREND($K8:$P8,$K$1:$P$1,AA$1)</f>
        <v>0.17279999999999998</v>
      </c>
      <c r="AB8" cm="1">
        <f t="array" aca="1" ref="AB8" ca="1">TREND($K8:$P8,$K$1:$P$1,AB$1)</f>
        <v>0.17279999999999998</v>
      </c>
      <c r="AC8" cm="1">
        <f t="array" aca="1" ref="AC8" ca="1">TREND($K8:$P8,$K$1:$P$1,AC$1)</f>
        <v>0.17279999999999998</v>
      </c>
      <c r="AD8" cm="1">
        <f t="array" aca="1" ref="AD8" ca="1">TREND($K8:$P8,$K$1:$P$1,AD$1)</f>
        <v>0.17279999999999998</v>
      </c>
      <c r="AE8" cm="1">
        <f t="array" aca="1" ref="AE8" ca="1">TREND($K8:$P8,$K$1:$P$1,AE$1)</f>
        <v>0.17279999999999998</v>
      </c>
      <c r="AF8" cm="1">
        <f t="array" aca="1" ref="AF8" ca="1">TREND($K8:$P8,$K$1:$P$1,AF$1)</f>
        <v>0.17279999999999998</v>
      </c>
      <c r="AG8" cm="1">
        <f t="array" aca="1" ref="AG8" ca="1">TREND($K8:$P8,$K$1:$P$1,AG$1)</f>
        <v>0.17279999999999998</v>
      </c>
      <c r="AH8" cm="1">
        <f t="array" aca="1" ref="AH8" ca="1">TREND($K8:$P8,$K$1:$P$1,AH$1)</f>
        <v>0.17279999999999998</v>
      </c>
      <c r="AI8" cm="1">
        <f t="array" aca="1" ref="AI8" ca="1">TREND($K8:$P8,$K$1:$P$1,AI$1)</f>
        <v>0.17279999999999998</v>
      </c>
      <c r="AJ8" cm="1">
        <f t="array" aca="1" ref="AJ8" ca="1">TREND($K8:$P8,$K$1:$P$1,AJ$1)</f>
        <v>0.17279999999999998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4.0320000000000002E-2</v>
      </c>
      <c r="C9">
        <f t="shared" ca="1" si="3"/>
        <v>4.0320000000000002E-2</v>
      </c>
      <c r="D9">
        <f t="shared" ca="1" si="0"/>
        <v>4.0320000000000002E-2</v>
      </c>
      <c r="E9">
        <f t="shared" ca="1" si="0"/>
        <v>4.0320000000000002E-2</v>
      </c>
      <c r="F9" s="32" cm="1">
        <f t="array" aca="1" ref="F9" ca="1">INDIRECT(CONCATENATE("'",HLOOKUP(F$1,$B$21:$E$23,3,FALSE),"'!",$B$25,ROW($A9)+5))*About!$A$27</f>
        <v>4.0320000000000002E-2</v>
      </c>
      <c r="G9">
        <f t="shared" ca="1" si="4"/>
        <v>4.0607999999999998E-2</v>
      </c>
      <c r="H9">
        <f t="shared" ca="1" si="1"/>
        <v>4.0896000000000002E-2</v>
      </c>
      <c r="I9">
        <f t="shared" ca="1" si="1"/>
        <v>4.1183999999999998E-2</v>
      </c>
      <c r="J9">
        <f t="shared" ca="1" si="1"/>
        <v>4.1472000000000002E-2</v>
      </c>
      <c r="K9" s="32" cm="1">
        <f t="array" aca="1" ref="K9" ca="1">INDIRECT(CONCATENATE("'",HLOOKUP(K$1,$B$21:$E$23,3,FALSE),"'!",$B$25,ROW($A9)+5))*About!$A$27</f>
        <v>4.1759999999999999E-2</v>
      </c>
      <c r="L9">
        <f t="shared" ca="1" si="5"/>
        <v>4.2335999999999999E-2</v>
      </c>
      <c r="M9">
        <f t="shared" ca="1" si="2"/>
        <v>4.2911999999999999E-2</v>
      </c>
      <c r="N9">
        <f t="shared" ca="1" si="2"/>
        <v>4.3487999999999999E-2</v>
      </c>
      <c r="O9">
        <f t="shared" ca="1" si="2"/>
        <v>4.4063999999999999E-2</v>
      </c>
      <c r="P9" s="32" cm="1">
        <f t="array" aca="1" ref="P9" ca="1">INDIRECT(CONCATENATE("'",HLOOKUP(P$1,$B$21:$E$23,3,FALSE),"'!",$B$25,ROW($A9)+5))*About!$A$27</f>
        <v>4.4639999999999999E-2</v>
      </c>
      <c r="Q9" cm="1">
        <f t="array" aca="1" ref="Q9" ca="1">TREND($K9:$P9,$K$1:$P$1,Q$1)</f>
        <v>4.5215999999999923E-2</v>
      </c>
      <c r="R9" cm="1">
        <f t="array" aca="1" ref="R9" ca="1">TREND($K9:$P9,$K$1:$P$1,R$1)</f>
        <v>4.5791999999999833E-2</v>
      </c>
      <c r="S9" cm="1">
        <f t="array" aca="1" ref="S9" ca="1">TREND($K9:$P9,$K$1:$P$1,S$1)</f>
        <v>4.6367999999999965E-2</v>
      </c>
      <c r="T9" cm="1">
        <f t="array" aca="1" ref="T9" ca="1">TREND($K9:$P9,$K$1:$P$1,T$1)</f>
        <v>4.6943999999999875E-2</v>
      </c>
      <c r="U9" cm="1">
        <f t="array" aca="1" ref="U9" ca="1">TREND($K9:$P9,$K$1:$P$1,U$1)</f>
        <v>4.7520000000000007E-2</v>
      </c>
      <c r="V9" cm="1">
        <f t="array" aca="1" ref="V9" ca="1">TREND($K9:$P9,$K$1:$P$1,V$1)</f>
        <v>4.8095999999999917E-2</v>
      </c>
      <c r="W9" cm="1">
        <f t="array" aca="1" ref="W9" ca="1">TREND($K9:$P9,$K$1:$P$1,W$1)</f>
        <v>4.8672000000000049E-2</v>
      </c>
      <c r="X9" cm="1">
        <f t="array" aca="1" ref="X9" ca="1">TREND($K9:$P9,$K$1:$P$1,X$1)</f>
        <v>4.9247999999999958E-2</v>
      </c>
      <c r="Y9" cm="1">
        <f t="array" aca="1" ref="Y9" ca="1">TREND($K9:$P9,$K$1:$P$1,Y$1)</f>
        <v>4.9823999999999868E-2</v>
      </c>
      <c r="Z9" cm="1">
        <f t="array" aca="1" ref="Z9" ca="1">TREND($K9:$P9,$K$1:$P$1,Z$1)</f>
        <v>5.04E-2</v>
      </c>
      <c r="AA9" cm="1">
        <f t="array" aca="1" ref="AA9" ca="1">TREND($K9:$P9,$K$1:$P$1,AA$1)</f>
        <v>5.097599999999991E-2</v>
      </c>
      <c r="AB9" cm="1">
        <f t="array" aca="1" ref="AB9" ca="1">TREND($K9:$P9,$K$1:$P$1,AB$1)</f>
        <v>5.1552000000000042E-2</v>
      </c>
      <c r="AC9" cm="1">
        <f t="array" aca="1" ref="AC9" ca="1">TREND($K9:$P9,$K$1:$P$1,AC$1)</f>
        <v>5.2127999999999952E-2</v>
      </c>
      <c r="AD9" cm="1">
        <f t="array" aca="1" ref="AD9" ca="1">TREND($K9:$P9,$K$1:$P$1,AD$1)</f>
        <v>5.2703999999999862E-2</v>
      </c>
      <c r="AE9" cm="1">
        <f t="array" aca="1" ref="AE9" ca="1">TREND($K9:$P9,$K$1:$P$1,AE$1)</f>
        <v>5.3279999999999994E-2</v>
      </c>
      <c r="AF9" cm="1">
        <f t="array" aca="1" ref="AF9" ca="1">TREND($K9:$P9,$K$1:$P$1,AF$1)</f>
        <v>5.3855999999999904E-2</v>
      </c>
      <c r="AG9" cm="1">
        <f t="array" aca="1" ref="AG9" ca="1">TREND($K9:$P9,$K$1:$P$1,AG$1)</f>
        <v>5.4432000000000036E-2</v>
      </c>
      <c r="AH9" cm="1">
        <f t="array" aca="1" ref="AH9" ca="1">TREND($K9:$P9,$K$1:$P$1,AH$1)</f>
        <v>5.5007999999999946E-2</v>
      </c>
      <c r="AI9" cm="1">
        <f t="array" aca="1" ref="AI9" ca="1">TREND($K9:$P9,$K$1:$P$1,AI$1)</f>
        <v>5.5583999999999856E-2</v>
      </c>
      <c r="AJ9" cm="1">
        <f t="array" aca="1" ref="AJ9" ca="1">TREND($K9:$P9,$K$1:$P$1,AJ$1)</f>
        <v>5.6159999999999988E-2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3.0239999999999998E-4</v>
      </c>
      <c r="C10">
        <f t="shared" ca="1" si="3"/>
        <v>3.0599999999999996E-4</v>
      </c>
      <c r="D10">
        <f t="shared" ca="1" si="0"/>
        <v>3.0959999999999999E-4</v>
      </c>
      <c r="E10">
        <f t="shared" ca="1" si="0"/>
        <v>3.1320000000000002E-4</v>
      </c>
      <c r="F10" s="32" cm="1">
        <f t="array" aca="1" ref="F10" ca="1">INDIRECT(CONCATENATE("'",HLOOKUP(F$1,$B$21:$E$23,3,FALSE),"'!",$B$25,ROW($A10)+5))*About!$A$27</f>
        <v>3.168E-4</v>
      </c>
      <c r="G10">
        <f t="shared" ca="1" si="4"/>
        <v>3.2543999999999997E-4</v>
      </c>
      <c r="H10">
        <f t="shared" ca="1" si="1"/>
        <v>3.3408E-4</v>
      </c>
      <c r="I10">
        <f t="shared" ca="1" si="1"/>
        <v>3.4271999999999997E-4</v>
      </c>
      <c r="J10">
        <f t="shared" ca="1" si="1"/>
        <v>3.5136E-4</v>
      </c>
      <c r="K10" s="32" cm="1">
        <f t="array" aca="1" ref="K10" ca="1">INDIRECT(CONCATENATE("'",HLOOKUP(K$1,$B$21:$E$23,3,FALSE),"'!",$B$25,ROW($A10)+5))*About!$A$27</f>
        <v>3.5999999999999997E-4</v>
      </c>
      <c r="L10">
        <f t="shared" ca="1" si="5"/>
        <v>3.6575999999999997E-4</v>
      </c>
      <c r="M10">
        <f t="shared" ca="1" si="2"/>
        <v>3.7151999999999997E-4</v>
      </c>
      <c r="N10">
        <f t="shared" ca="1" si="2"/>
        <v>3.7727999999999997E-4</v>
      </c>
      <c r="O10">
        <f t="shared" ca="1" si="2"/>
        <v>3.8303999999999996E-4</v>
      </c>
      <c r="P10" s="32" cm="1">
        <f t="array" aca="1" ref="P10" ca="1">INDIRECT(CONCATENATE("'",HLOOKUP(P$1,$B$21:$E$23,3,FALSE),"'!",$B$25,ROW($A10)+5))*About!$A$27</f>
        <v>3.8879999999999996E-4</v>
      </c>
      <c r="Q10" cm="1">
        <f t="array" aca="1" ref="Q10" ca="1">TREND($K10:$P10,$K$1:$P$1,Q$1)</f>
        <v>3.945600000000004E-4</v>
      </c>
      <c r="R10" cm="1">
        <f t="array" aca="1" ref="R10" ca="1">TREND($K10:$P10,$K$1:$P$1,R$1)</f>
        <v>4.0031999999999915E-4</v>
      </c>
      <c r="S10" cm="1">
        <f t="array" aca="1" ref="S10" ca="1">TREND($K10:$P10,$K$1:$P$1,S$1)</f>
        <v>4.0607999999999964E-4</v>
      </c>
      <c r="T10" cm="1">
        <f t="array" aca="1" ref="T10" ca="1">TREND($K10:$P10,$K$1:$P$1,T$1)</f>
        <v>4.1184000000000012E-4</v>
      </c>
      <c r="U10" cm="1">
        <f t="array" aca="1" ref="U10" ca="1">TREND($K10:$P10,$K$1:$P$1,U$1)</f>
        <v>4.1760000000000061E-4</v>
      </c>
      <c r="V10" cm="1">
        <f t="array" aca="1" ref="V10" ca="1">TREND($K10:$P10,$K$1:$P$1,V$1)</f>
        <v>4.2335999999999936E-4</v>
      </c>
      <c r="W10" cm="1">
        <f t="array" aca="1" ref="W10" ca="1">TREND($K10:$P10,$K$1:$P$1,W$1)</f>
        <v>4.2911999999999985E-4</v>
      </c>
      <c r="X10" cm="1">
        <f t="array" aca="1" ref="X10" ca="1">TREND($K10:$P10,$K$1:$P$1,X$1)</f>
        <v>4.3488000000000034E-4</v>
      </c>
      <c r="Y10" cm="1">
        <f t="array" aca="1" ref="Y10" ca="1">TREND($K10:$P10,$K$1:$P$1,Y$1)</f>
        <v>4.4064000000000082E-4</v>
      </c>
      <c r="Z10" cm="1">
        <f t="array" aca="1" ref="Z10" ca="1">TREND($K10:$P10,$K$1:$P$1,Z$1)</f>
        <v>4.4639999999999957E-4</v>
      </c>
      <c r="AA10" cm="1">
        <f t="array" aca="1" ref="AA10" ca="1">TREND($K10:$P10,$K$1:$P$1,AA$1)</f>
        <v>4.5216000000000006E-4</v>
      </c>
      <c r="AB10" cm="1">
        <f t="array" aca="1" ref="AB10" ca="1">TREND($K10:$P10,$K$1:$P$1,AB$1)</f>
        <v>4.5792000000000055E-4</v>
      </c>
      <c r="AC10" cm="1">
        <f t="array" aca="1" ref="AC10" ca="1">TREND($K10:$P10,$K$1:$P$1,AC$1)</f>
        <v>4.636799999999993E-4</v>
      </c>
      <c r="AD10" cm="1">
        <f t="array" aca="1" ref="AD10" ca="1">TREND($K10:$P10,$K$1:$P$1,AD$1)</f>
        <v>4.6943999999999979E-4</v>
      </c>
      <c r="AE10" cm="1">
        <f t="array" aca="1" ref="AE10" ca="1">TREND($K10:$P10,$K$1:$P$1,AE$1)</f>
        <v>4.7520000000000027E-4</v>
      </c>
      <c r="AF10" cm="1">
        <f t="array" aca="1" ref="AF10" ca="1">TREND($K10:$P10,$K$1:$P$1,AF$1)</f>
        <v>4.8096000000000076E-4</v>
      </c>
      <c r="AG10" cm="1">
        <f t="array" aca="1" ref="AG10" ca="1">TREND($K10:$P10,$K$1:$P$1,AG$1)</f>
        <v>4.8671999999999951E-4</v>
      </c>
      <c r="AH10" cm="1">
        <f t="array" aca="1" ref="AH10" ca="1">TREND($K10:$P10,$K$1:$P$1,AH$1)</f>
        <v>4.9248E-4</v>
      </c>
      <c r="AI10" cm="1">
        <f t="array" aca="1" ref="AI10" ca="1">TREND($K10:$P10,$K$1:$P$1,AI$1)</f>
        <v>4.9824000000000049E-4</v>
      </c>
      <c r="AJ10" cm="1">
        <f t="array" aca="1" ref="AJ10" ca="1">TREND($K10:$P10,$K$1:$P$1,AJ$1)</f>
        <v>5.0399999999999924E-4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2.8800000000000001E-4</v>
      </c>
      <c r="C11">
        <f t="shared" ca="1" si="3"/>
        <v>2.9159999999999999E-4</v>
      </c>
      <c r="D11">
        <f t="shared" ca="1" si="0"/>
        <v>2.9520000000000002E-4</v>
      </c>
      <c r="E11">
        <f t="shared" ca="1" si="0"/>
        <v>2.988E-4</v>
      </c>
      <c r="F11" s="32" cm="1">
        <f t="array" aca="1" ref="F11" ca="1">INDIRECT(CONCATENATE("'",HLOOKUP(F$1,$B$21:$E$23,3,FALSE),"'!",$B$25,ROW($A11)+5))*About!$A$27</f>
        <v>3.0239999999999998E-4</v>
      </c>
      <c r="G11">
        <f t="shared" ca="1" si="4"/>
        <v>3.1104E-4</v>
      </c>
      <c r="H11">
        <f t="shared" ca="1" si="1"/>
        <v>3.1967999999999998E-4</v>
      </c>
      <c r="I11">
        <f t="shared" ca="1" si="1"/>
        <v>3.2832E-4</v>
      </c>
      <c r="J11">
        <f t="shared" ca="1" si="1"/>
        <v>3.3695999999999997E-4</v>
      </c>
      <c r="K11" s="32" cm="1">
        <f t="array" aca="1" ref="K11" ca="1">INDIRECT(CONCATENATE("'",HLOOKUP(K$1,$B$21:$E$23,3,FALSE),"'!",$B$25,ROW($A11)+5))*About!$A$27</f>
        <v>3.456E-4</v>
      </c>
      <c r="L11">
        <f t="shared" ca="1" si="5"/>
        <v>3.5136E-4</v>
      </c>
      <c r="M11">
        <f t="shared" ca="1" si="2"/>
        <v>3.5712E-4</v>
      </c>
      <c r="N11">
        <f t="shared" ca="1" si="2"/>
        <v>3.6287999999999994E-4</v>
      </c>
      <c r="O11">
        <f t="shared" ca="1" si="2"/>
        <v>3.6863999999999994E-4</v>
      </c>
      <c r="P11" s="32" cm="1">
        <f t="array" aca="1" ref="P11" ca="1">INDIRECT(CONCATENATE("'",HLOOKUP(P$1,$B$21:$E$23,3,FALSE),"'!",$B$25,ROW($A11)+5))*About!$A$27</f>
        <v>3.7439999999999994E-4</v>
      </c>
      <c r="Q11" cm="1">
        <f t="array" aca="1" ref="Q11" ca="1">TREND($K11:$P11,$K$1:$P$1,Q$1)</f>
        <v>3.8015999999999918E-4</v>
      </c>
      <c r="R11" cm="1">
        <f t="array" aca="1" ref="R11" ca="1">TREND($K11:$P11,$K$1:$P$1,R$1)</f>
        <v>3.8591999999999967E-4</v>
      </c>
      <c r="S11" cm="1">
        <f t="array" aca="1" ref="S11" ca="1">TREND($K11:$P11,$K$1:$P$1,S$1)</f>
        <v>3.9167999999999842E-4</v>
      </c>
      <c r="T11" cm="1">
        <f t="array" aca="1" ref="T11" ca="1">TREND($K11:$P11,$K$1:$P$1,T$1)</f>
        <v>3.9743999999999891E-4</v>
      </c>
      <c r="U11" cm="1">
        <f t="array" aca="1" ref="U11" ca="1">TREND($K11:$P11,$K$1:$P$1,U$1)</f>
        <v>4.0319999999999939E-4</v>
      </c>
      <c r="V11" cm="1">
        <f t="array" aca="1" ref="V11" ca="1">TREND($K11:$P11,$K$1:$P$1,V$1)</f>
        <v>4.0895999999999814E-4</v>
      </c>
      <c r="W11" cm="1">
        <f t="array" aca="1" ref="W11" ca="1">TREND($K11:$P11,$K$1:$P$1,W$1)</f>
        <v>4.1471999999999863E-4</v>
      </c>
      <c r="X11" cm="1">
        <f t="array" aca="1" ref="X11" ca="1">TREND($K11:$P11,$K$1:$P$1,X$1)</f>
        <v>4.2047999999999912E-4</v>
      </c>
      <c r="Y11" cm="1">
        <f t="array" aca="1" ref="Y11" ca="1">TREND($K11:$P11,$K$1:$P$1,Y$1)</f>
        <v>4.2623999999999961E-4</v>
      </c>
      <c r="Z11" cm="1">
        <f t="array" aca="1" ref="Z11" ca="1">TREND($K11:$P11,$K$1:$P$1,Z$1)</f>
        <v>4.3199999999999836E-4</v>
      </c>
      <c r="AA11" cm="1">
        <f t="array" aca="1" ref="AA11" ca="1">TREND($K11:$P11,$K$1:$P$1,AA$1)</f>
        <v>4.3775999999999884E-4</v>
      </c>
      <c r="AB11" cm="1">
        <f t="array" aca="1" ref="AB11" ca="1">TREND($K11:$P11,$K$1:$P$1,AB$1)</f>
        <v>4.4351999999999933E-4</v>
      </c>
      <c r="AC11" cm="1">
        <f t="array" aca="1" ref="AC11" ca="1">TREND($K11:$P11,$K$1:$P$1,AC$1)</f>
        <v>4.4927999999999808E-4</v>
      </c>
      <c r="AD11" cm="1">
        <f t="array" aca="1" ref="AD11" ca="1">TREND($K11:$P11,$K$1:$P$1,AD$1)</f>
        <v>4.5503999999999857E-4</v>
      </c>
      <c r="AE11" cm="1">
        <f t="array" aca="1" ref="AE11" ca="1">TREND($K11:$P11,$K$1:$P$1,AE$1)</f>
        <v>4.6079999999999906E-4</v>
      </c>
      <c r="AF11" cm="1">
        <f t="array" aca="1" ref="AF11" ca="1">TREND($K11:$P11,$K$1:$P$1,AF$1)</f>
        <v>4.6655999999999954E-4</v>
      </c>
      <c r="AG11" cm="1">
        <f t="array" aca="1" ref="AG11" ca="1">TREND($K11:$P11,$K$1:$P$1,AG$1)</f>
        <v>4.723199999999983E-4</v>
      </c>
      <c r="AH11" cm="1">
        <f t="array" aca="1" ref="AH11" ca="1">TREND($K11:$P11,$K$1:$P$1,AH$1)</f>
        <v>4.7807999999999878E-4</v>
      </c>
      <c r="AI11" cm="1">
        <f t="array" aca="1" ref="AI11" ca="1">TREND($K11:$P11,$K$1:$P$1,AI$1)</f>
        <v>4.8383999999999927E-4</v>
      </c>
      <c r="AJ11" cm="1">
        <f t="array" aca="1" ref="AJ11" ca="1">TREND($K11:$P11,$K$1:$P$1,AJ$1)</f>
        <v>4.8959999999999802E-4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1.3406400000000001E-3</v>
      </c>
      <c r="C12">
        <f t="shared" ca="1" si="3"/>
        <v>1.3644E-3</v>
      </c>
      <c r="D12">
        <f t="shared" ca="1" si="0"/>
        <v>1.38816E-3</v>
      </c>
      <c r="E12">
        <f t="shared" ca="1" si="0"/>
        <v>1.4119200000000001E-3</v>
      </c>
      <c r="F12" s="33">
        <f ca="1">SUM(INDIRECT(CONCATENATE("'",HLOOKUP(F$1,$B$21:$E$23,3,FALSE),"'!",$B$25,ROW($A12)+5,":",$B$25,ROW($A12)+6)))*About!$A$27</f>
        <v>1.4356799999999999E-3</v>
      </c>
      <c r="G12">
        <f t="shared" ca="1" si="4"/>
        <v>1.4624639999999999E-3</v>
      </c>
      <c r="H12">
        <f t="shared" ca="1" si="1"/>
        <v>1.4892479999999999E-3</v>
      </c>
      <c r="I12">
        <f t="shared" ca="1" si="1"/>
        <v>1.5160320000000001E-3</v>
      </c>
      <c r="J12">
        <f t="shared" ca="1" si="1"/>
        <v>1.542816E-3</v>
      </c>
      <c r="K12" s="33">
        <f ca="1">SUM(INDIRECT(CONCATENATE("'",HLOOKUP(K$1,$B$21:$E$23,3,FALSE),"'!",$B$25,ROW($A12)+5,":",$B$25,ROW($A12)+6)))*About!$A$27</f>
        <v>1.5696E-3</v>
      </c>
      <c r="L12">
        <f t="shared" ca="1" si="5"/>
        <v>1.6041600000000001E-3</v>
      </c>
      <c r="M12">
        <f t="shared" ca="1" si="2"/>
        <v>1.63872E-3</v>
      </c>
      <c r="N12">
        <f t="shared" ca="1" si="2"/>
        <v>1.6732800000000001E-3</v>
      </c>
      <c r="O12">
        <f t="shared" ca="1" si="2"/>
        <v>1.70784E-3</v>
      </c>
      <c r="P12" s="33">
        <f ca="1">SUM(INDIRECT(CONCATENATE("'",HLOOKUP(P$1,$B$21:$E$23,3,FALSE),"'!",$B$25,ROW($A12)+5,":",$B$25,ROW($A12)+6)))*About!$A$27</f>
        <v>1.7424000000000001E-3</v>
      </c>
      <c r="Q12" cm="1">
        <f t="array" aca="1" ref="Q12" ca="1">TREND($K12:$P12,$K$1:$P$1,Q$1)</f>
        <v>1.776960000000008E-3</v>
      </c>
      <c r="R12" cm="1">
        <f t="array" aca="1" ref="R12" ca="1">TREND($K12:$P12,$K$1:$P$1,R$1)</f>
        <v>1.811519999999997E-3</v>
      </c>
      <c r="S12" cm="1">
        <f t="array" aca="1" ref="S12" ca="1">TREND($K12:$P12,$K$1:$P$1,S$1)</f>
        <v>1.8460799999999999E-3</v>
      </c>
      <c r="T12" cm="1">
        <f t="array" aca="1" ref="T12" ca="1">TREND($K12:$P12,$K$1:$P$1,T$1)</f>
        <v>1.8806400000000029E-3</v>
      </c>
      <c r="U12" cm="1">
        <f t="array" aca="1" ref="U12" ca="1">TREND($K12:$P12,$K$1:$P$1,U$1)</f>
        <v>1.9152000000000058E-3</v>
      </c>
      <c r="V12" cm="1">
        <f t="array" aca="1" ref="V12" ca="1">TREND($K12:$P12,$K$1:$P$1,V$1)</f>
        <v>1.9497600000000087E-3</v>
      </c>
      <c r="W12" cm="1">
        <f t="array" aca="1" ref="W12" ca="1">TREND($K12:$P12,$K$1:$P$1,W$1)</f>
        <v>1.9843199999999978E-3</v>
      </c>
      <c r="X12" cm="1">
        <f t="array" aca="1" ref="X12" ca="1">TREND($K12:$P12,$K$1:$P$1,X$1)</f>
        <v>2.0188800000000007E-3</v>
      </c>
      <c r="Y12" cm="1">
        <f t="array" aca="1" ref="Y12" ca="1">TREND($K12:$P12,$K$1:$P$1,Y$1)</f>
        <v>2.0534400000000036E-3</v>
      </c>
      <c r="Z12" cm="1">
        <f t="array" aca="1" ref="Z12" ca="1">TREND($K12:$P12,$K$1:$P$1,Z$1)</f>
        <v>2.0880000000000065E-3</v>
      </c>
      <c r="AA12" cm="1">
        <f t="array" aca="1" ref="AA12" ca="1">TREND($K12:$P12,$K$1:$P$1,AA$1)</f>
        <v>2.1225599999999956E-3</v>
      </c>
      <c r="AB12" cm="1">
        <f t="array" aca="1" ref="AB12" ca="1">TREND($K12:$P12,$K$1:$P$1,AB$1)</f>
        <v>2.1571199999999985E-3</v>
      </c>
      <c r="AC12" cm="1">
        <f t="array" aca="1" ref="AC12" ca="1">TREND($K12:$P12,$K$1:$P$1,AC$1)</f>
        <v>2.1916800000000014E-3</v>
      </c>
      <c r="AD12" cm="1">
        <f t="array" aca="1" ref="AD12" ca="1">TREND($K12:$P12,$K$1:$P$1,AD$1)</f>
        <v>2.2262400000000043E-3</v>
      </c>
      <c r="AE12" cm="1">
        <f t="array" aca="1" ref="AE12" ca="1">TREND($K12:$P12,$K$1:$P$1,AE$1)</f>
        <v>2.2608000000000072E-3</v>
      </c>
      <c r="AF12" cm="1">
        <f t="array" aca="1" ref="AF12" ca="1">TREND($K12:$P12,$K$1:$P$1,AF$1)</f>
        <v>2.2953599999999963E-3</v>
      </c>
      <c r="AG12" cm="1">
        <f t="array" aca="1" ref="AG12" ca="1">TREND($K12:$P12,$K$1:$P$1,AG$1)</f>
        <v>2.3299199999999992E-3</v>
      </c>
      <c r="AH12" cm="1">
        <f t="array" aca="1" ref="AH12" ca="1">TREND($K12:$P12,$K$1:$P$1,AH$1)</f>
        <v>2.3644800000000021E-3</v>
      </c>
      <c r="AI12" cm="1">
        <f t="array" aca="1" ref="AI12" ca="1">TREND($K12:$P12,$K$1:$P$1,AI$1)</f>
        <v>2.3990400000000051E-3</v>
      </c>
      <c r="AJ12" cm="1">
        <f t="array" aca="1" ref="AJ12" ca="1">TREND($K12:$P12,$K$1:$P$1,AJ$1)</f>
        <v>2.433600000000008E-3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HOIpTP-transport-NOx</v>
      </c>
    </row>
    <row r="18" spans="1:5" x14ac:dyDescent="0.25">
      <c r="A18" t="s">
        <v>83</v>
      </c>
      <c r="B18" t="str">
        <f ca="1">RIGHT(B17,LEN(B17)-7)</f>
        <v>transport-NOx</v>
      </c>
    </row>
    <row r="19" spans="1:5" x14ac:dyDescent="0.25">
      <c r="A19" t="s">
        <v>84</v>
      </c>
      <c r="B19" t="str">
        <f ca="1">LEFT(B18,FIND("-",B18)-1)</f>
        <v>transport</v>
      </c>
    </row>
    <row r="20" spans="1:5" x14ac:dyDescent="0.25">
      <c r="A20" t="s">
        <v>85</v>
      </c>
      <c r="B20" t="str">
        <f ca="1">VLOOKUP($B$19,Mappings!$A$22:$B$26,COLUMN(Mappings!$B$21),FALSE)</f>
        <v>on-road mobile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5">
      <c r="A23" s="28" t="s">
        <v>82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5">
      <c r="A24" t="s">
        <v>87</v>
      </c>
      <c r="B24" t="str">
        <f ca="1">REPLACE(B18,1,FIND("-",B18),"")</f>
        <v>NOx</v>
      </c>
    </row>
    <row r="25" spans="1:5" x14ac:dyDescent="0.25">
      <c r="A25" t="s">
        <v>88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7D52-2153-4372-8003-C9721898629A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6.1919999999999996E-2</v>
      </c>
      <c r="C2">
        <f ca="1">$B2+($F2-$B2)*(C$1-$B$1)/($F$1-$B$1)</f>
        <v>6.2279999999999995E-2</v>
      </c>
      <c r="D2">
        <f t="shared" ref="D2:E12" ca="1" si="0">$B2+($F2-$B2)*(D$1-$B$1)/($F$1-$B$1)</f>
        <v>6.2640000000000001E-2</v>
      </c>
      <c r="E2">
        <f t="shared" ca="1" si="0"/>
        <v>6.3E-2</v>
      </c>
      <c r="F2" s="31" cm="1">
        <f t="array" aca="1" ref="F2" ca="1">INDIRECT(CONCATENATE("'",HLOOKUP(F$1,$B$21:$E$23,3,FALSE),"'!",$B$25,ROW($A2)+3))*About!$A$27</f>
        <v>6.336E-2</v>
      </c>
      <c r="G2">
        <f ca="1">$F2+($K2-$F2)*(G$1-$F$1)/($K$1-$F$1)</f>
        <v>6.4512E-2</v>
      </c>
      <c r="H2">
        <f t="shared" ref="H2:J12" ca="1" si="1">$F2+($K2-$F2)*(H$1-$F$1)/($K$1-$F$1)</f>
        <v>6.5664E-2</v>
      </c>
      <c r="I2">
        <f t="shared" ca="1" si="1"/>
        <v>6.6816E-2</v>
      </c>
      <c r="J2">
        <f t="shared" ca="1" si="1"/>
        <v>6.7968000000000001E-2</v>
      </c>
      <c r="K2" s="31" cm="1">
        <f t="array" aca="1" ref="K2" ca="1">INDIRECT(CONCATENATE("'",HLOOKUP(K$1,$B$21:$E$23,3,FALSE),"'!",$B$25,ROW($A2)+3))*About!$A$27</f>
        <v>6.9120000000000001E-2</v>
      </c>
      <c r="L2">
        <f ca="1">$K2+($P2-$K2)*(L$1-$K$1)/($P$1-$K$1)</f>
        <v>6.9984000000000005E-2</v>
      </c>
      <c r="M2">
        <f t="shared" ref="M2:O12" ca="1" si="2">$K2+($P2-$K2)*(M$1-$K$1)/($P$1-$K$1)</f>
        <v>7.0847999999999994E-2</v>
      </c>
      <c r="N2">
        <f t="shared" ca="1" si="2"/>
        <v>7.1711999999999998E-2</v>
      </c>
      <c r="O2">
        <f t="shared" ca="1" si="2"/>
        <v>7.2575999999999988E-2</v>
      </c>
      <c r="P2" s="31" cm="1">
        <f t="array" aca="1" ref="P2" ca="1">INDIRECT(CONCATENATE("'",HLOOKUP(P$1,$B$21:$E$23,3,FALSE),"'!",$B$25,ROW($A2)+3))*About!$A$27</f>
        <v>7.3439999999999991E-2</v>
      </c>
      <c r="Q2" cm="1">
        <f t="array" aca="1" ref="Q2" ca="1">TREND($K2:$P2,$K$1:$P$1,Q$1)</f>
        <v>7.4303999999999926E-2</v>
      </c>
      <c r="R2" cm="1">
        <f t="array" aca="1" ref="R2" ca="1">TREND($K2:$P2,$K$1:$P$1,R$1)</f>
        <v>7.5167999999999902E-2</v>
      </c>
      <c r="S2" cm="1">
        <f t="array" aca="1" ref="S2" ca="1">TREND($K2:$P2,$K$1:$P$1,S$1)</f>
        <v>7.60320000000001E-2</v>
      </c>
      <c r="T2" cm="1">
        <f t="array" aca="1" ref="T2" ca="1">TREND($K2:$P2,$K$1:$P$1,T$1)</f>
        <v>7.6896000000000075E-2</v>
      </c>
      <c r="U2" cm="1">
        <f t="array" aca="1" ref="U2" ca="1">TREND($K2:$P2,$K$1:$P$1,U$1)</f>
        <v>7.7760000000000051E-2</v>
      </c>
      <c r="V2" cm="1">
        <f t="array" aca="1" ref="V2" ca="1">TREND($K2:$P2,$K$1:$P$1,V$1)</f>
        <v>7.8624000000000027E-2</v>
      </c>
      <c r="W2" cm="1">
        <f t="array" aca="1" ref="W2" ca="1">TREND($K2:$P2,$K$1:$P$1,W$1)</f>
        <v>7.9488000000000003E-2</v>
      </c>
      <c r="X2" cm="1">
        <f t="array" aca="1" ref="X2" ca="1">TREND($K2:$P2,$K$1:$P$1,X$1)</f>
        <v>8.0351999999999979E-2</v>
      </c>
      <c r="Y2" cm="1">
        <f t="array" aca="1" ref="Y2" ca="1">TREND($K2:$P2,$K$1:$P$1,Y$1)</f>
        <v>8.1215999999999955E-2</v>
      </c>
      <c r="Z2" cm="1">
        <f t="array" aca="1" ref="Z2" ca="1">TREND($K2:$P2,$K$1:$P$1,Z$1)</f>
        <v>8.2079999999999931E-2</v>
      </c>
      <c r="AA2" cm="1">
        <f t="array" aca="1" ref="AA2" ca="1">TREND($K2:$P2,$K$1:$P$1,AA$1)</f>
        <v>8.2943999999999907E-2</v>
      </c>
      <c r="AB2" cm="1">
        <f t="array" aca="1" ref="AB2" ca="1">TREND($K2:$P2,$K$1:$P$1,AB$1)</f>
        <v>8.3807999999999883E-2</v>
      </c>
      <c r="AC2" cm="1">
        <f t="array" aca="1" ref="AC2" ca="1">TREND($K2:$P2,$K$1:$P$1,AC$1)</f>
        <v>8.4672000000000081E-2</v>
      </c>
      <c r="AD2" cm="1">
        <f t="array" aca="1" ref="AD2" ca="1">TREND($K2:$P2,$K$1:$P$1,AD$1)</f>
        <v>8.5536000000000056E-2</v>
      </c>
      <c r="AE2" cm="1">
        <f t="array" aca="1" ref="AE2" ca="1">TREND($K2:$P2,$K$1:$P$1,AE$1)</f>
        <v>8.6400000000000032E-2</v>
      </c>
      <c r="AF2" cm="1">
        <f t="array" aca="1" ref="AF2" ca="1">TREND($K2:$P2,$K$1:$P$1,AF$1)</f>
        <v>8.7264000000000008E-2</v>
      </c>
      <c r="AG2" cm="1">
        <f t="array" aca="1" ref="AG2" ca="1">TREND($K2:$P2,$K$1:$P$1,AG$1)</f>
        <v>8.8127999999999984E-2</v>
      </c>
      <c r="AH2" cm="1">
        <f t="array" aca="1" ref="AH2" ca="1">TREND($K2:$P2,$K$1:$P$1,AH$1)</f>
        <v>8.899199999999996E-2</v>
      </c>
      <c r="AI2" cm="1">
        <f t="array" aca="1" ref="AI2" ca="1">TREND($K2:$P2,$K$1:$P$1,AI$1)</f>
        <v>8.9855999999999936E-2</v>
      </c>
      <c r="AJ2" cm="1">
        <f t="array" aca="1" ref="AJ2" ca="1">TREND($K2:$P2,$K$1:$P$1,AJ$1)</f>
        <v>9.0719999999999912E-2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3.5999999999999997E-2</v>
      </c>
      <c r="C3">
        <f t="shared" ref="C3:C12" ca="1" si="3">$B3+($F3-$B3)*(C$1-$B$1)/($F$1-$B$1)</f>
        <v>3.6359999999999996E-2</v>
      </c>
      <c r="D3">
        <f t="shared" ca="1" si="0"/>
        <v>3.6719999999999996E-2</v>
      </c>
      <c r="E3">
        <f t="shared" ca="1" si="0"/>
        <v>3.7079999999999995E-2</v>
      </c>
      <c r="F3" s="32" cm="1">
        <f t="array" aca="1" ref="F3" ca="1">INDIRECT(CONCATENATE("'",HLOOKUP(F$1,$B$21:$E$23,3,FALSE),"'!",$B$25,ROW($A3)+5))*About!$A$27</f>
        <v>3.7439999999999994E-2</v>
      </c>
      <c r="G3">
        <f t="shared" ref="G3:G12" ca="1" si="4">$F3+($K3-$F3)*(G$1-$F$1)/($K$1-$F$1)</f>
        <v>3.7727999999999998E-2</v>
      </c>
      <c r="H3">
        <f t="shared" ca="1" si="1"/>
        <v>3.8015999999999994E-2</v>
      </c>
      <c r="I3">
        <f t="shared" ca="1" si="1"/>
        <v>3.8303999999999998E-2</v>
      </c>
      <c r="J3">
        <f t="shared" ca="1" si="1"/>
        <v>3.8591999999999994E-2</v>
      </c>
      <c r="K3" s="32" cm="1">
        <f t="array" aca="1" ref="K3" ca="1">INDIRECT(CONCATENATE("'",HLOOKUP(K$1,$B$21:$E$23,3,FALSE),"'!",$B$25,ROW($A3)+5))*About!$A$27</f>
        <v>3.8879999999999998E-2</v>
      </c>
      <c r="L3">
        <f t="shared" ref="L3:L12" ca="1" si="5">$K3+($P3-$K3)*(L$1-$K$1)/($P$1-$K$1)</f>
        <v>3.9168000000000001E-2</v>
      </c>
      <c r="M3">
        <f t="shared" ca="1" si="2"/>
        <v>3.9455999999999998E-2</v>
      </c>
      <c r="N3">
        <f t="shared" ca="1" si="2"/>
        <v>3.9744000000000002E-2</v>
      </c>
      <c r="O3">
        <f t="shared" ca="1" si="2"/>
        <v>4.0031999999999998E-2</v>
      </c>
      <c r="P3" s="32" cm="1">
        <f t="array" aca="1" ref="P3" ca="1">INDIRECT(CONCATENATE("'",HLOOKUP(P$1,$B$21:$E$23,3,FALSE),"'!",$B$25,ROW($A3)+5))*About!$A$27</f>
        <v>4.0320000000000002E-2</v>
      </c>
      <c r="Q3" cm="1">
        <f t="array" aca="1" ref="Q3" ca="1">TREND($K3:$P3,$K$1:$P$1,Q$1)</f>
        <v>4.0607999999999977E-2</v>
      </c>
      <c r="R3" cm="1">
        <f t="array" aca="1" ref="R3" ca="1">TREND($K3:$P3,$K$1:$P$1,R$1)</f>
        <v>4.0895999999999932E-2</v>
      </c>
      <c r="S3" cm="1">
        <f t="array" aca="1" ref="S3" ca="1">TREND($K3:$P3,$K$1:$P$1,S$1)</f>
        <v>4.1183999999999998E-2</v>
      </c>
      <c r="T3" cm="1">
        <f t="array" aca="1" ref="T3" ca="1">TREND($K3:$P3,$K$1:$P$1,T$1)</f>
        <v>4.1471999999999953E-2</v>
      </c>
      <c r="U3" cm="1">
        <f t="array" aca="1" ref="U3" ca="1">TREND($K3:$P3,$K$1:$P$1,U$1)</f>
        <v>4.1760000000000019E-2</v>
      </c>
      <c r="V3" cm="1">
        <f t="array" aca="1" ref="V3" ca="1">TREND($K3:$P3,$K$1:$P$1,V$1)</f>
        <v>4.2047999999999974E-2</v>
      </c>
      <c r="W3" cm="1">
        <f t="array" aca="1" ref="W3" ca="1">TREND($K3:$P3,$K$1:$P$1,W$1)</f>
        <v>4.2335999999999929E-2</v>
      </c>
      <c r="X3" cm="1">
        <f t="array" aca="1" ref="X3" ca="1">TREND($K3:$P3,$K$1:$P$1,X$1)</f>
        <v>4.2623999999999995E-2</v>
      </c>
      <c r="Y3" cm="1">
        <f t="array" aca="1" ref="Y3" ca="1">TREND($K3:$P3,$K$1:$P$1,Y$1)</f>
        <v>4.291199999999995E-2</v>
      </c>
      <c r="Z3" cm="1">
        <f t="array" aca="1" ref="Z3" ca="1">TREND($K3:$P3,$K$1:$P$1,Z$1)</f>
        <v>4.3200000000000016E-2</v>
      </c>
      <c r="AA3" cm="1">
        <f t="array" aca="1" ref="AA3" ca="1">TREND($K3:$P3,$K$1:$P$1,AA$1)</f>
        <v>4.3487999999999971E-2</v>
      </c>
      <c r="AB3" cm="1">
        <f t="array" aca="1" ref="AB3" ca="1">TREND($K3:$P3,$K$1:$P$1,AB$1)</f>
        <v>4.3776000000000037E-2</v>
      </c>
      <c r="AC3" cm="1">
        <f t="array" aca="1" ref="AC3" ca="1">TREND($K3:$P3,$K$1:$P$1,AC$1)</f>
        <v>4.4063999999999992E-2</v>
      </c>
      <c r="AD3" cm="1">
        <f t="array" aca="1" ref="AD3" ca="1">TREND($K3:$P3,$K$1:$P$1,AD$1)</f>
        <v>4.4351999999999947E-2</v>
      </c>
      <c r="AE3" cm="1">
        <f t="array" aca="1" ref="AE3" ca="1">TREND($K3:$P3,$K$1:$P$1,AE$1)</f>
        <v>4.4640000000000013E-2</v>
      </c>
      <c r="AF3" cm="1">
        <f t="array" aca="1" ref="AF3" ca="1">TREND($K3:$P3,$K$1:$P$1,AF$1)</f>
        <v>4.4927999999999968E-2</v>
      </c>
      <c r="AG3" cm="1">
        <f t="array" aca="1" ref="AG3" ca="1">TREND($K3:$P3,$K$1:$P$1,AG$1)</f>
        <v>4.5216000000000034E-2</v>
      </c>
      <c r="AH3" cm="1">
        <f t="array" aca="1" ref="AH3" ca="1">TREND($K3:$P3,$K$1:$P$1,AH$1)</f>
        <v>4.5503999999999989E-2</v>
      </c>
      <c r="AI3" cm="1">
        <f t="array" aca="1" ref="AI3" ca="1">TREND($K3:$P3,$K$1:$P$1,AI$1)</f>
        <v>4.5791999999999944E-2</v>
      </c>
      <c r="AJ3" cm="1">
        <f t="array" aca="1" ref="AJ3" ca="1">TREND($K3:$P3,$K$1:$P$1,AJ$1)</f>
        <v>4.608000000000001E-2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9.2159999999999992E-2</v>
      </c>
      <c r="C4">
        <f t="shared" ca="1" si="3"/>
        <v>9.2159999999999992E-2</v>
      </c>
      <c r="D4">
        <f t="shared" ca="1" si="0"/>
        <v>9.2159999999999992E-2</v>
      </c>
      <c r="E4">
        <f t="shared" ca="1" si="0"/>
        <v>9.2159999999999992E-2</v>
      </c>
      <c r="F4" s="32" cm="1">
        <f t="array" aca="1" ref="F4" ca="1">INDIRECT(CONCATENATE("'",HLOOKUP(F$1,$B$21:$E$23,3,FALSE),"'!",$B$25,ROW($A4)+5))*About!$A$27</f>
        <v>9.2159999999999992E-2</v>
      </c>
      <c r="G4">
        <f t="shared" ca="1" si="4"/>
        <v>9.3023999999999996E-2</v>
      </c>
      <c r="H4">
        <f t="shared" ca="1" si="1"/>
        <v>9.3887999999999999E-2</v>
      </c>
      <c r="I4">
        <f t="shared" ca="1" si="1"/>
        <v>9.4751999999999989E-2</v>
      </c>
      <c r="J4">
        <f t="shared" ca="1" si="1"/>
        <v>9.5615999999999993E-2</v>
      </c>
      <c r="K4" s="32" cm="1">
        <f t="array" aca="1" ref="K4" ca="1">INDIRECT(CONCATENATE("'",HLOOKUP(K$1,$B$21:$E$23,3,FALSE),"'!",$B$25,ROW($A4)+5))*About!$A$27</f>
        <v>9.6479999999999996E-2</v>
      </c>
      <c r="L4">
        <f t="shared" ca="1" si="5"/>
        <v>9.820799999999999E-2</v>
      </c>
      <c r="M4">
        <f t="shared" ca="1" si="2"/>
        <v>9.9935999999999997E-2</v>
      </c>
      <c r="N4">
        <f t="shared" ca="1" si="2"/>
        <v>0.10166399999999999</v>
      </c>
      <c r="O4">
        <f t="shared" ca="1" si="2"/>
        <v>0.103392</v>
      </c>
      <c r="P4" s="32" cm="1">
        <f t="array" aca="1" ref="P4" ca="1">INDIRECT(CONCATENATE("'",HLOOKUP(P$1,$B$21:$E$23,3,FALSE),"'!",$B$25,ROW($A4)+5))*About!$A$27</f>
        <v>0.10511999999999999</v>
      </c>
      <c r="Q4" cm="1">
        <f t="array" aca="1" ref="Q4" ca="1">TREND($K4:$P4,$K$1:$P$1,Q$1)</f>
        <v>0.10684799999999983</v>
      </c>
      <c r="R4" cm="1">
        <f t="array" aca="1" ref="R4" ca="1">TREND($K4:$P4,$K$1:$P$1,R$1)</f>
        <v>0.10857599999999978</v>
      </c>
      <c r="S4" cm="1">
        <f t="array" aca="1" ref="S4" ca="1">TREND($K4:$P4,$K$1:$P$1,S$1)</f>
        <v>0.11030399999999974</v>
      </c>
      <c r="T4" cm="1">
        <f t="array" aca="1" ref="T4" ca="1">TREND($K4:$P4,$K$1:$P$1,T$1)</f>
        <v>0.11203199999999969</v>
      </c>
      <c r="U4" cm="1">
        <f t="array" aca="1" ref="U4" ca="1">TREND($K4:$P4,$K$1:$P$1,U$1)</f>
        <v>0.11376000000000008</v>
      </c>
      <c r="V4" cm="1">
        <f t="array" aca="1" ref="V4" ca="1">TREND($K4:$P4,$K$1:$P$1,V$1)</f>
        <v>0.11548800000000004</v>
      </c>
      <c r="W4" cm="1">
        <f t="array" aca="1" ref="W4" ca="1">TREND($K4:$P4,$K$1:$P$1,W$1)</f>
        <v>0.11721599999999999</v>
      </c>
      <c r="X4" cm="1">
        <f t="array" aca="1" ref="X4" ca="1">TREND($K4:$P4,$K$1:$P$1,X$1)</f>
        <v>0.11894399999999994</v>
      </c>
      <c r="Y4" cm="1">
        <f t="array" aca="1" ref="Y4" ca="1">TREND($K4:$P4,$K$1:$P$1,Y$1)</f>
        <v>0.12067199999999989</v>
      </c>
      <c r="Z4" cm="1">
        <f t="array" aca="1" ref="Z4" ca="1">TREND($K4:$P4,$K$1:$P$1,Z$1)</f>
        <v>0.12239999999999984</v>
      </c>
      <c r="AA4" cm="1">
        <f t="array" aca="1" ref="AA4" ca="1">TREND($K4:$P4,$K$1:$P$1,AA$1)</f>
        <v>0.12412799999999979</v>
      </c>
      <c r="AB4" cm="1">
        <f t="array" aca="1" ref="AB4" ca="1">TREND($K4:$P4,$K$1:$P$1,AB$1)</f>
        <v>0.12585599999999975</v>
      </c>
      <c r="AC4" cm="1">
        <f t="array" aca="1" ref="AC4" ca="1">TREND($K4:$P4,$K$1:$P$1,AC$1)</f>
        <v>0.1275839999999997</v>
      </c>
      <c r="AD4" cm="1">
        <f t="array" aca="1" ref="AD4" ca="1">TREND($K4:$P4,$K$1:$P$1,AD$1)</f>
        <v>0.12931200000000009</v>
      </c>
      <c r="AE4" cm="1">
        <f t="array" aca="1" ref="AE4" ca="1">TREND($K4:$P4,$K$1:$P$1,AE$1)</f>
        <v>0.13104000000000005</v>
      </c>
      <c r="AF4" cm="1">
        <f t="array" aca="1" ref="AF4" ca="1">TREND($K4:$P4,$K$1:$P$1,AF$1)</f>
        <v>0.132768</v>
      </c>
      <c r="AG4" cm="1">
        <f t="array" aca="1" ref="AG4" ca="1">TREND($K4:$P4,$K$1:$P$1,AG$1)</f>
        <v>0.13449599999999995</v>
      </c>
      <c r="AH4" cm="1">
        <f t="array" aca="1" ref="AH4" ca="1">TREND($K4:$P4,$K$1:$P$1,AH$1)</f>
        <v>0.1362239999999999</v>
      </c>
      <c r="AI4" cm="1">
        <f t="array" aca="1" ref="AI4" ca="1">TREND($K4:$P4,$K$1:$P$1,AI$1)</f>
        <v>0.13795199999999985</v>
      </c>
      <c r="AJ4" cm="1">
        <f t="array" aca="1" ref="AJ4" ca="1">TREND($K4:$P4,$K$1:$P$1,AJ$1)</f>
        <v>0.1396799999999998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1.1664000000000001</v>
      </c>
      <c r="C5">
        <f t="shared" ca="1" si="3"/>
        <v>1.17</v>
      </c>
      <c r="D5">
        <f t="shared" ca="1" si="0"/>
        <v>1.1736</v>
      </c>
      <c r="E5">
        <f t="shared" ca="1" si="0"/>
        <v>1.1772</v>
      </c>
      <c r="F5" s="32" cm="1">
        <f t="array" aca="1" ref="F5" ca="1">INDIRECT(CONCATENATE("'",HLOOKUP(F$1,$B$21:$E$23,3,FALSE),"'!",$B$25,ROW($A5)+5))*About!$A$27</f>
        <v>1.1807999999999998</v>
      </c>
      <c r="G5">
        <f t="shared" ca="1" si="4"/>
        <v>1.1923199999999998</v>
      </c>
      <c r="H5">
        <f t="shared" ca="1" si="1"/>
        <v>1.2038399999999998</v>
      </c>
      <c r="I5">
        <f t="shared" ca="1" si="1"/>
        <v>1.21536</v>
      </c>
      <c r="J5">
        <f t="shared" ca="1" si="1"/>
        <v>1.22688</v>
      </c>
      <c r="K5" s="32" cm="1">
        <f t="array" aca="1" ref="K5" ca="1">INDIRECT(CONCATENATE("'",HLOOKUP(K$1,$B$21:$E$23,3,FALSE),"'!",$B$25,ROW($A5)+5))*About!$A$27</f>
        <v>1.2383999999999999</v>
      </c>
      <c r="L5">
        <f t="shared" ca="1" si="5"/>
        <v>1.2585599999999999</v>
      </c>
      <c r="M5">
        <f t="shared" ca="1" si="2"/>
        <v>1.2787199999999999</v>
      </c>
      <c r="N5">
        <f t="shared" ca="1" si="2"/>
        <v>1.29888</v>
      </c>
      <c r="O5">
        <f t="shared" ca="1" si="2"/>
        <v>1.31904</v>
      </c>
      <c r="P5" s="32" cm="1">
        <f t="array" aca="1" ref="P5" ca="1">INDIRECT(CONCATENATE("'",HLOOKUP(P$1,$B$21:$E$23,3,FALSE),"'!",$B$25,ROW($A5)+5))*About!$A$27</f>
        <v>1.3391999999999999</v>
      </c>
      <c r="Q5" cm="1">
        <f t="array" aca="1" ref="Q5" ca="1">TREND($K5:$P5,$K$1:$P$1,Q$1)</f>
        <v>1.3593600000000023</v>
      </c>
      <c r="R5" cm="1">
        <f t="array" aca="1" ref="R5" ca="1">TREND($K5:$P5,$K$1:$P$1,R$1)</f>
        <v>1.3795199999999994</v>
      </c>
      <c r="S5" cm="1">
        <f t="array" aca="1" ref="S5" ca="1">TREND($K5:$P5,$K$1:$P$1,S$1)</f>
        <v>1.3996800000000036</v>
      </c>
      <c r="T5" cm="1">
        <f t="array" aca="1" ref="T5" ca="1">TREND($K5:$P5,$K$1:$P$1,T$1)</f>
        <v>1.4198400000000007</v>
      </c>
      <c r="U5" cm="1">
        <f t="array" aca="1" ref="U5" ca="1">TREND($K5:$P5,$K$1:$P$1,U$1)</f>
        <v>1.4400000000000048</v>
      </c>
      <c r="V5" cm="1">
        <f t="array" aca="1" ref="V5" ca="1">TREND($K5:$P5,$K$1:$P$1,V$1)</f>
        <v>1.4601600000000019</v>
      </c>
      <c r="W5" cm="1">
        <f t="array" aca="1" ref="W5" ca="1">TREND($K5:$P5,$K$1:$P$1,W$1)</f>
        <v>1.480319999999999</v>
      </c>
      <c r="X5" cm="1">
        <f t="array" aca="1" ref="X5" ca="1">TREND($K5:$P5,$K$1:$P$1,X$1)</f>
        <v>1.5004800000000031</v>
      </c>
      <c r="Y5" cm="1">
        <f t="array" aca="1" ref="Y5" ca="1">TREND($K5:$P5,$K$1:$P$1,Y$1)</f>
        <v>1.5206400000000002</v>
      </c>
      <c r="Z5" cm="1">
        <f t="array" aca="1" ref="Z5" ca="1">TREND($K5:$P5,$K$1:$P$1,Z$1)</f>
        <v>1.5408000000000044</v>
      </c>
      <c r="AA5" cm="1">
        <f t="array" aca="1" ref="AA5" ca="1">TREND($K5:$P5,$K$1:$P$1,AA$1)</f>
        <v>1.5609600000000015</v>
      </c>
      <c r="AB5" cm="1">
        <f t="array" aca="1" ref="AB5" ca="1">TREND($K5:$P5,$K$1:$P$1,AB$1)</f>
        <v>1.5811200000000056</v>
      </c>
      <c r="AC5" cm="1">
        <f t="array" aca="1" ref="AC5" ca="1">TREND($K5:$P5,$K$1:$P$1,AC$1)</f>
        <v>1.6012800000000027</v>
      </c>
      <c r="AD5" cm="1">
        <f t="array" aca="1" ref="AD5" ca="1">TREND($K5:$P5,$K$1:$P$1,AD$1)</f>
        <v>1.6214399999999998</v>
      </c>
      <c r="AE5" cm="1">
        <f t="array" aca="1" ref="AE5" ca="1">TREND($K5:$P5,$K$1:$P$1,AE$1)</f>
        <v>1.6416000000000039</v>
      </c>
      <c r="AF5" cm="1">
        <f t="array" aca="1" ref="AF5" ca="1">TREND($K5:$P5,$K$1:$P$1,AF$1)</f>
        <v>1.661760000000001</v>
      </c>
      <c r="AG5" cm="1">
        <f t="array" aca="1" ref="AG5" ca="1">TREND($K5:$P5,$K$1:$P$1,AG$1)</f>
        <v>1.6819200000000052</v>
      </c>
      <c r="AH5" cm="1">
        <f t="array" aca="1" ref="AH5" ca="1">TREND($K5:$P5,$K$1:$P$1,AH$1)</f>
        <v>1.7020800000000023</v>
      </c>
      <c r="AI5" cm="1">
        <f t="array" aca="1" ref="AI5" ca="1">TREND($K5:$P5,$K$1:$P$1,AI$1)</f>
        <v>1.7222399999999993</v>
      </c>
      <c r="AJ5" cm="1">
        <f t="array" aca="1" ref="AJ5" ca="1">TREND($K5:$P5,$K$1:$P$1,AJ$1)</f>
        <v>1.7424000000000035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1.728</v>
      </c>
      <c r="C6">
        <f t="shared" ca="1" si="3"/>
        <v>1.728</v>
      </c>
      <c r="D6">
        <f t="shared" ca="1" si="0"/>
        <v>1.728</v>
      </c>
      <c r="E6">
        <f t="shared" ca="1" si="0"/>
        <v>1.728</v>
      </c>
      <c r="F6" s="32" cm="1">
        <f t="array" aca="1" ref="F6" ca="1">INDIRECT(CONCATENATE("'",HLOOKUP(F$1,$B$21:$E$23,3,FALSE),"'!",$B$25,ROW($A6)+5))*About!$A$27</f>
        <v>1.728</v>
      </c>
      <c r="G6">
        <f t="shared" ca="1" si="4"/>
        <v>1.728</v>
      </c>
      <c r="H6">
        <f t="shared" ca="1" si="1"/>
        <v>1.728</v>
      </c>
      <c r="I6">
        <f t="shared" ca="1" si="1"/>
        <v>1.728</v>
      </c>
      <c r="J6">
        <f t="shared" ca="1" si="1"/>
        <v>1.728</v>
      </c>
      <c r="K6" s="32" cm="1">
        <f t="array" aca="1" ref="K6" ca="1">INDIRECT(CONCATENATE("'",HLOOKUP(K$1,$B$21:$E$23,3,FALSE),"'!",$B$25,ROW($A6)+5))*About!$A$27</f>
        <v>1.728</v>
      </c>
      <c r="L6">
        <f t="shared" ca="1" si="5"/>
        <v>1.7567999999999999</v>
      </c>
      <c r="M6">
        <f t="shared" ca="1" si="2"/>
        <v>1.7855999999999999</v>
      </c>
      <c r="N6">
        <f t="shared" ca="1" si="2"/>
        <v>1.8144</v>
      </c>
      <c r="O6">
        <f t="shared" ca="1" si="2"/>
        <v>1.8431999999999999</v>
      </c>
      <c r="P6" s="32" cm="1">
        <f t="array" aca="1" ref="P6" ca="1">INDIRECT(CONCATENATE("'",HLOOKUP(P$1,$B$21:$E$23,3,FALSE),"'!",$B$25,ROW($A6)+5))*About!$A$27</f>
        <v>1.8719999999999999</v>
      </c>
      <c r="Q6" cm="1">
        <f t="array" aca="1" ref="Q6" ca="1">TREND($K6:$P6,$K$1:$P$1,Q$1)</f>
        <v>1.9007999999999967</v>
      </c>
      <c r="R6" cm="1">
        <f t="array" aca="1" ref="R6" ca="1">TREND($K6:$P6,$K$1:$P$1,R$1)</f>
        <v>1.9296000000000006</v>
      </c>
      <c r="S6" cm="1">
        <f t="array" aca="1" ref="S6" ca="1">TREND($K6:$P6,$K$1:$P$1,S$1)</f>
        <v>1.9583999999999975</v>
      </c>
      <c r="T6" cm="1">
        <f t="array" aca="1" ref="T6" ca="1">TREND($K6:$P6,$K$1:$P$1,T$1)</f>
        <v>1.9872000000000014</v>
      </c>
      <c r="U6" cm="1">
        <f t="array" aca="1" ref="U6" ca="1">TREND($K6:$P6,$K$1:$P$1,U$1)</f>
        <v>2.0159999999999982</v>
      </c>
      <c r="V6" cm="1">
        <f t="array" aca="1" ref="V6" ca="1">TREND($K6:$P6,$K$1:$P$1,V$1)</f>
        <v>2.0448000000000022</v>
      </c>
      <c r="W6" cm="1">
        <f t="array" aca="1" ref="W6" ca="1">TREND($K6:$P6,$K$1:$P$1,W$1)</f>
        <v>2.073599999999999</v>
      </c>
      <c r="X6" cm="1">
        <f t="array" aca="1" ref="X6" ca="1">TREND($K6:$P6,$K$1:$P$1,X$1)</f>
        <v>2.1024000000000029</v>
      </c>
      <c r="Y6" cm="1">
        <f t="array" aca="1" ref="Y6" ca="1">TREND($K6:$P6,$K$1:$P$1,Y$1)</f>
        <v>2.1311999999999998</v>
      </c>
      <c r="Z6" cm="1">
        <f t="array" aca="1" ref="Z6" ca="1">TREND($K6:$P6,$K$1:$P$1,Z$1)</f>
        <v>2.1599999999999966</v>
      </c>
      <c r="AA6" cm="1">
        <f t="array" aca="1" ref="AA6" ca="1">TREND($K6:$P6,$K$1:$P$1,AA$1)</f>
        <v>2.1888000000000005</v>
      </c>
      <c r="AB6" cm="1">
        <f t="array" aca="1" ref="AB6" ca="1">TREND($K6:$P6,$K$1:$P$1,AB$1)</f>
        <v>2.2175999999999974</v>
      </c>
      <c r="AC6" cm="1">
        <f t="array" aca="1" ref="AC6" ca="1">TREND($K6:$P6,$K$1:$P$1,AC$1)</f>
        <v>2.2464000000000013</v>
      </c>
      <c r="AD6" cm="1">
        <f t="array" aca="1" ref="AD6" ca="1">TREND($K6:$P6,$K$1:$P$1,AD$1)</f>
        <v>2.2751999999999981</v>
      </c>
      <c r="AE6" cm="1">
        <f t="array" aca="1" ref="AE6" ca="1">TREND($K6:$P6,$K$1:$P$1,AE$1)</f>
        <v>2.304000000000002</v>
      </c>
      <c r="AF6" cm="1">
        <f t="array" aca="1" ref="AF6" ca="1">TREND($K6:$P6,$K$1:$P$1,AF$1)</f>
        <v>2.3327999999999989</v>
      </c>
      <c r="AG6" cm="1">
        <f t="array" aca="1" ref="AG6" ca="1">TREND($K6:$P6,$K$1:$P$1,AG$1)</f>
        <v>2.3616000000000028</v>
      </c>
      <c r="AH6" cm="1">
        <f t="array" aca="1" ref="AH6" ca="1">TREND($K6:$P6,$K$1:$P$1,AH$1)</f>
        <v>2.3903999999999996</v>
      </c>
      <c r="AI6" cm="1">
        <f t="array" aca="1" ref="AI6" ca="1">TREND($K6:$P6,$K$1:$P$1,AI$1)</f>
        <v>2.4191999999999965</v>
      </c>
      <c r="AJ6" cm="1">
        <f t="array" aca="1" ref="AJ6" ca="1">TREND($K6:$P6,$K$1:$P$1,AJ$1)</f>
        <v>2.4480000000000004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50.4</v>
      </c>
      <c r="C7">
        <f t="shared" ca="1" si="3"/>
        <v>50.76</v>
      </c>
      <c r="D7">
        <f t="shared" ca="1" si="0"/>
        <v>51.12</v>
      </c>
      <c r="E7">
        <f t="shared" ca="1" si="0"/>
        <v>51.48</v>
      </c>
      <c r="F7" s="32" cm="1">
        <f t="array" aca="1" ref="F7" ca="1">INDIRECT(CONCATENATE("'",HLOOKUP(F$1,$B$21:$E$23,3,FALSE),"'!",$B$25,ROW($A7)+5))*About!$A$27</f>
        <v>51.839999999999996</v>
      </c>
      <c r="G7">
        <f t="shared" ca="1" si="4"/>
        <v>51.839999999999996</v>
      </c>
      <c r="H7">
        <f t="shared" ca="1" si="1"/>
        <v>51.839999999999996</v>
      </c>
      <c r="I7">
        <f t="shared" ca="1" si="1"/>
        <v>51.839999999999996</v>
      </c>
      <c r="J7">
        <f t="shared" ca="1" si="1"/>
        <v>51.839999999999996</v>
      </c>
      <c r="K7" s="32" cm="1">
        <f t="array" aca="1" ref="K7" ca="1">INDIRECT(CONCATENATE("'",HLOOKUP(K$1,$B$21:$E$23,3,FALSE),"'!",$B$25,ROW($A7)+5))*About!$A$27</f>
        <v>51.839999999999996</v>
      </c>
      <c r="L7">
        <f t="shared" ca="1" si="5"/>
        <v>52.128</v>
      </c>
      <c r="M7">
        <f t="shared" ca="1" si="2"/>
        <v>52.415999999999997</v>
      </c>
      <c r="N7">
        <f t="shared" ca="1" si="2"/>
        <v>52.704000000000001</v>
      </c>
      <c r="O7">
        <f t="shared" ca="1" si="2"/>
        <v>52.991999999999997</v>
      </c>
      <c r="P7" s="32" cm="1">
        <f t="array" aca="1" ref="P7" ca="1">INDIRECT(CONCATENATE("'",HLOOKUP(P$1,$B$21:$E$23,3,FALSE),"'!",$B$25,ROW($A7)+5))*About!$A$27</f>
        <v>53.28</v>
      </c>
      <c r="Q7" cm="1">
        <f t="array" aca="1" ref="Q7" ca="1">TREND($K7:$P7,$K$1:$P$1,Q$1)</f>
        <v>53.567999999999984</v>
      </c>
      <c r="R7" cm="1">
        <f t="array" aca="1" ref="R7" ca="1">TREND($K7:$P7,$K$1:$P$1,R$1)</f>
        <v>53.855999999999881</v>
      </c>
      <c r="S7" cm="1">
        <f t="array" aca="1" ref="S7" ca="1">TREND($K7:$P7,$K$1:$P$1,S$1)</f>
        <v>54.143999999999892</v>
      </c>
      <c r="T7" cm="1">
        <f t="array" aca="1" ref="T7" ca="1">TREND($K7:$P7,$K$1:$P$1,T$1)</f>
        <v>54.431999999999903</v>
      </c>
      <c r="U7" cm="1">
        <f t="array" aca="1" ref="U7" ca="1">TREND($K7:$P7,$K$1:$P$1,U$1)</f>
        <v>54.719999999999914</v>
      </c>
      <c r="V7" cm="1">
        <f t="array" aca="1" ref="V7" ca="1">TREND($K7:$P7,$K$1:$P$1,V$1)</f>
        <v>55.007999999999925</v>
      </c>
      <c r="W7" cm="1">
        <f t="array" aca="1" ref="W7" ca="1">TREND($K7:$P7,$K$1:$P$1,W$1)</f>
        <v>55.295999999999935</v>
      </c>
      <c r="X7" cm="1">
        <f t="array" aca="1" ref="X7" ca="1">TREND($K7:$P7,$K$1:$P$1,X$1)</f>
        <v>55.583999999999946</v>
      </c>
      <c r="Y7" cm="1">
        <f t="array" aca="1" ref="Y7" ca="1">TREND($K7:$P7,$K$1:$P$1,Y$1)</f>
        <v>55.871999999999957</v>
      </c>
      <c r="Z7" cm="1">
        <f t="array" aca="1" ref="Z7" ca="1">TREND($K7:$P7,$K$1:$P$1,Z$1)</f>
        <v>56.159999999999968</v>
      </c>
      <c r="AA7" cm="1">
        <f t="array" aca="1" ref="AA7" ca="1">TREND($K7:$P7,$K$1:$P$1,AA$1)</f>
        <v>56.447999999999979</v>
      </c>
      <c r="AB7" cm="1">
        <f t="array" aca="1" ref="AB7" ca="1">TREND($K7:$P7,$K$1:$P$1,AB$1)</f>
        <v>56.73599999999999</v>
      </c>
      <c r="AC7" cm="1">
        <f t="array" aca="1" ref="AC7" ca="1">TREND($K7:$P7,$K$1:$P$1,AC$1)</f>
        <v>57.023999999999887</v>
      </c>
      <c r="AD7" cm="1">
        <f t="array" aca="1" ref="AD7" ca="1">TREND($K7:$P7,$K$1:$P$1,AD$1)</f>
        <v>57.311999999999898</v>
      </c>
      <c r="AE7" cm="1">
        <f t="array" aca="1" ref="AE7" ca="1">TREND($K7:$P7,$K$1:$P$1,AE$1)</f>
        <v>57.599999999999909</v>
      </c>
      <c r="AF7" cm="1">
        <f t="array" aca="1" ref="AF7" ca="1">TREND($K7:$P7,$K$1:$P$1,AF$1)</f>
        <v>57.88799999999992</v>
      </c>
      <c r="AG7" cm="1">
        <f t="array" aca="1" ref="AG7" ca="1">TREND($K7:$P7,$K$1:$P$1,AG$1)</f>
        <v>58.175999999999931</v>
      </c>
      <c r="AH7" cm="1">
        <f t="array" aca="1" ref="AH7" ca="1">TREND($K7:$P7,$K$1:$P$1,AH$1)</f>
        <v>58.463999999999942</v>
      </c>
      <c r="AI7" cm="1">
        <f t="array" aca="1" ref="AI7" ca="1">TREND($K7:$P7,$K$1:$P$1,AI$1)</f>
        <v>58.751999999999953</v>
      </c>
      <c r="AJ7" cm="1">
        <f t="array" aca="1" ref="AJ7" ca="1">TREND($K7:$P7,$K$1:$P$1,AJ$1)</f>
        <v>59.039999999999964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8.4960000000000004</v>
      </c>
      <c r="C8">
        <f t="shared" ca="1" si="3"/>
        <v>8.5679999999999996</v>
      </c>
      <c r="D8">
        <f t="shared" ca="1" si="0"/>
        <v>8.64</v>
      </c>
      <c r="E8">
        <f t="shared" ca="1" si="0"/>
        <v>8.7119999999999997</v>
      </c>
      <c r="F8" s="32" cm="1">
        <f t="array" aca="1" ref="F8" ca="1">INDIRECT(CONCATENATE("'",HLOOKUP(F$1,$B$21:$E$23,3,FALSE),"'!",$B$25,ROW($A8)+5))*About!$A$27</f>
        <v>8.7839999999999989</v>
      </c>
      <c r="G8">
        <f t="shared" ca="1" si="4"/>
        <v>8.8127999999999993</v>
      </c>
      <c r="H8">
        <f t="shared" ca="1" si="1"/>
        <v>8.8415999999999997</v>
      </c>
      <c r="I8">
        <f t="shared" ca="1" si="1"/>
        <v>8.8703999999999983</v>
      </c>
      <c r="J8">
        <f t="shared" ca="1" si="1"/>
        <v>8.8991999999999987</v>
      </c>
      <c r="K8" s="32" cm="1">
        <f t="array" aca="1" ref="K8" ca="1">INDIRECT(CONCATENATE("'",HLOOKUP(K$1,$B$21:$E$23,3,FALSE),"'!",$B$25,ROW($A8)+5))*About!$A$27</f>
        <v>8.927999999999999</v>
      </c>
      <c r="L8">
        <f t="shared" ca="1" si="5"/>
        <v>8.9567999999999994</v>
      </c>
      <c r="M8">
        <f t="shared" ca="1" si="2"/>
        <v>8.9855999999999998</v>
      </c>
      <c r="N8">
        <f t="shared" ca="1" si="2"/>
        <v>9.0143999999999984</v>
      </c>
      <c r="O8">
        <f t="shared" ca="1" si="2"/>
        <v>9.0431999999999988</v>
      </c>
      <c r="P8" s="32" cm="1">
        <f t="array" aca="1" ref="P8" ca="1">INDIRECT(CONCATENATE("'",HLOOKUP(P$1,$B$21:$E$23,3,FALSE),"'!",$B$25,ROW($A8)+5))*About!$A$27</f>
        <v>9.0719999999999992</v>
      </c>
      <c r="Q8" cm="1">
        <f t="array" aca="1" ref="Q8" ca="1">TREND($K8:$P8,$K$1:$P$1,Q$1)</f>
        <v>9.1007999999999996</v>
      </c>
      <c r="R8" cm="1">
        <f t="array" aca="1" ref="R8" ca="1">TREND($K8:$P8,$K$1:$P$1,R$1)</f>
        <v>9.1295999999999964</v>
      </c>
      <c r="S8" cm="1">
        <f t="array" aca="1" ref="S8" ca="1">TREND($K8:$P8,$K$1:$P$1,S$1)</f>
        <v>9.1583999999999932</v>
      </c>
      <c r="T8" cm="1">
        <f t="array" aca="1" ref="T8" ca="1">TREND($K8:$P8,$K$1:$P$1,T$1)</f>
        <v>9.1871999999999971</v>
      </c>
      <c r="U8" cm="1">
        <f t="array" aca="1" ref="U8" ca="1">TREND($K8:$P8,$K$1:$P$1,U$1)</f>
        <v>9.215999999999994</v>
      </c>
      <c r="V8" cm="1">
        <f t="array" aca="1" ref="V8" ca="1">TREND($K8:$P8,$K$1:$P$1,V$1)</f>
        <v>9.2447999999999979</v>
      </c>
      <c r="W8" cm="1">
        <f t="array" aca="1" ref="W8" ca="1">TREND($K8:$P8,$K$1:$P$1,W$1)</f>
        <v>9.2735999999999947</v>
      </c>
      <c r="X8" cm="1">
        <f t="array" aca="1" ref="X8" ca="1">TREND($K8:$P8,$K$1:$P$1,X$1)</f>
        <v>9.3023999999999987</v>
      </c>
      <c r="Y8" cm="1">
        <f t="array" aca="1" ref="Y8" ca="1">TREND($K8:$P8,$K$1:$P$1,Y$1)</f>
        <v>9.3311999999999955</v>
      </c>
      <c r="Z8" cm="1">
        <f t="array" aca="1" ref="Z8" ca="1">TREND($K8:$P8,$K$1:$P$1,Z$1)</f>
        <v>9.36</v>
      </c>
      <c r="AA8" cm="1">
        <f t="array" aca="1" ref="AA8" ca="1">TREND($K8:$P8,$K$1:$P$1,AA$1)</f>
        <v>9.3887999999999963</v>
      </c>
      <c r="AB8" cm="1">
        <f t="array" aca="1" ref="AB8" ca="1">TREND($K8:$P8,$K$1:$P$1,AB$1)</f>
        <v>9.4175999999999931</v>
      </c>
      <c r="AC8" cm="1">
        <f t="array" aca="1" ref="AC8" ca="1">TREND($K8:$P8,$K$1:$P$1,AC$1)</f>
        <v>9.446399999999997</v>
      </c>
      <c r="AD8" cm="1">
        <f t="array" aca="1" ref="AD8" ca="1">TREND($K8:$P8,$K$1:$P$1,AD$1)</f>
        <v>9.4751999999999938</v>
      </c>
      <c r="AE8" cm="1">
        <f t="array" aca="1" ref="AE8" ca="1">TREND($K8:$P8,$K$1:$P$1,AE$1)</f>
        <v>9.5039999999999978</v>
      </c>
      <c r="AF8" cm="1">
        <f t="array" aca="1" ref="AF8" ca="1">TREND($K8:$P8,$K$1:$P$1,AF$1)</f>
        <v>9.5327999999999946</v>
      </c>
      <c r="AG8" cm="1">
        <f t="array" aca="1" ref="AG8" ca="1">TREND($K8:$P8,$K$1:$P$1,AG$1)</f>
        <v>9.5615999999999985</v>
      </c>
      <c r="AH8" cm="1">
        <f t="array" aca="1" ref="AH8" ca="1">TREND($K8:$P8,$K$1:$P$1,AH$1)</f>
        <v>9.5903999999999954</v>
      </c>
      <c r="AI8" cm="1">
        <f t="array" aca="1" ref="AI8" ca="1">TREND($K8:$P8,$K$1:$P$1,AI$1)</f>
        <v>9.6191999999999922</v>
      </c>
      <c r="AJ8" cm="1">
        <f t="array" aca="1" ref="AJ8" ca="1">TREND($K8:$P8,$K$1:$P$1,AJ$1)</f>
        <v>9.6479999999999961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2.016</v>
      </c>
      <c r="C9">
        <f t="shared" ca="1" si="3"/>
        <v>2.016</v>
      </c>
      <c r="D9">
        <f t="shared" ca="1" si="0"/>
        <v>2.016</v>
      </c>
      <c r="E9">
        <f t="shared" ca="1" si="0"/>
        <v>2.016</v>
      </c>
      <c r="F9" s="32" cm="1">
        <f t="array" aca="1" ref="F9" ca="1">INDIRECT(CONCATENATE("'",HLOOKUP(F$1,$B$21:$E$23,3,FALSE),"'!",$B$25,ROW($A9)+5))*About!$A$27</f>
        <v>2.016</v>
      </c>
      <c r="G9">
        <f t="shared" ca="1" si="4"/>
        <v>2.016</v>
      </c>
      <c r="H9">
        <f t="shared" ca="1" si="1"/>
        <v>2.016</v>
      </c>
      <c r="I9">
        <f t="shared" ca="1" si="1"/>
        <v>2.016</v>
      </c>
      <c r="J9">
        <f t="shared" ca="1" si="1"/>
        <v>2.016</v>
      </c>
      <c r="K9" s="32" cm="1">
        <f t="array" aca="1" ref="K9" ca="1">INDIRECT(CONCATENATE("'",HLOOKUP(K$1,$B$21:$E$23,3,FALSE),"'!",$B$25,ROW($A9)+5))*About!$A$27</f>
        <v>2.016</v>
      </c>
      <c r="L9">
        <f t="shared" ca="1" si="5"/>
        <v>2.0448</v>
      </c>
      <c r="M9">
        <f t="shared" ca="1" si="2"/>
        <v>2.0735999999999999</v>
      </c>
      <c r="N9">
        <f t="shared" ca="1" si="2"/>
        <v>2.1024000000000003</v>
      </c>
      <c r="O9">
        <f t="shared" ca="1" si="2"/>
        <v>2.1312000000000002</v>
      </c>
      <c r="P9" s="32" cm="1">
        <f t="array" aca="1" ref="P9" ca="1">INDIRECT(CONCATENATE("'",HLOOKUP(P$1,$B$21:$E$23,3,FALSE),"'!",$B$25,ROW($A9)+5))*About!$A$27</f>
        <v>2.16</v>
      </c>
      <c r="Q9" cm="1">
        <f t="array" aca="1" ref="Q9" ca="1">TREND($K9:$P9,$K$1:$P$1,Q$1)</f>
        <v>2.1888000000000005</v>
      </c>
      <c r="R9" cm="1">
        <f t="array" aca="1" ref="R9" ca="1">TREND($K9:$P9,$K$1:$P$1,R$1)</f>
        <v>2.2176000000000045</v>
      </c>
      <c r="S9" cm="1">
        <f t="array" aca="1" ref="S9" ca="1">TREND($K9:$P9,$K$1:$P$1,S$1)</f>
        <v>2.2464000000000013</v>
      </c>
      <c r="T9" cm="1">
        <f t="array" aca="1" ref="T9" ca="1">TREND($K9:$P9,$K$1:$P$1,T$1)</f>
        <v>2.2752000000000052</v>
      </c>
      <c r="U9" cm="1">
        <f t="array" aca="1" ref="U9" ca="1">TREND($K9:$P9,$K$1:$P$1,U$1)</f>
        <v>2.304000000000002</v>
      </c>
      <c r="V9" cm="1">
        <f t="array" aca="1" ref="V9" ca="1">TREND($K9:$P9,$K$1:$P$1,V$1)</f>
        <v>2.332800000000006</v>
      </c>
      <c r="W9" cm="1">
        <f t="array" aca="1" ref="W9" ca="1">TREND($K9:$P9,$K$1:$P$1,W$1)</f>
        <v>2.3616000000000028</v>
      </c>
      <c r="X9" cm="1">
        <f t="array" aca="1" ref="X9" ca="1">TREND($K9:$P9,$K$1:$P$1,X$1)</f>
        <v>2.3903999999999996</v>
      </c>
      <c r="Y9" cm="1">
        <f t="array" aca="1" ref="Y9" ca="1">TREND($K9:$P9,$K$1:$P$1,Y$1)</f>
        <v>2.4192000000000036</v>
      </c>
      <c r="Z9" cm="1">
        <f t="array" aca="1" ref="Z9" ca="1">TREND($K9:$P9,$K$1:$P$1,Z$1)</f>
        <v>2.4480000000000004</v>
      </c>
      <c r="AA9" cm="1">
        <f t="array" aca="1" ref="AA9" ca="1">TREND($K9:$P9,$K$1:$P$1,AA$1)</f>
        <v>2.4768000000000043</v>
      </c>
      <c r="AB9" cm="1">
        <f t="array" aca="1" ref="AB9" ca="1">TREND($K9:$P9,$K$1:$P$1,AB$1)</f>
        <v>2.5056000000000012</v>
      </c>
      <c r="AC9" cm="1">
        <f t="array" aca="1" ref="AC9" ca="1">TREND($K9:$P9,$K$1:$P$1,AC$1)</f>
        <v>2.5344000000000051</v>
      </c>
      <c r="AD9" cm="1">
        <f t="array" aca="1" ref="AD9" ca="1">TREND($K9:$P9,$K$1:$P$1,AD$1)</f>
        <v>2.5632000000000019</v>
      </c>
      <c r="AE9" cm="1">
        <f t="array" aca="1" ref="AE9" ca="1">TREND($K9:$P9,$K$1:$P$1,AE$1)</f>
        <v>2.5920000000000059</v>
      </c>
      <c r="AF9" cm="1">
        <f t="array" aca="1" ref="AF9" ca="1">TREND($K9:$P9,$K$1:$P$1,AF$1)</f>
        <v>2.6208000000000027</v>
      </c>
      <c r="AG9" cm="1">
        <f t="array" aca="1" ref="AG9" ca="1">TREND($K9:$P9,$K$1:$P$1,AG$1)</f>
        <v>2.6496000000000066</v>
      </c>
      <c r="AH9" cm="1">
        <f t="array" aca="1" ref="AH9" ca="1">TREND($K9:$P9,$K$1:$P$1,AH$1)</f>
        <v>2.6784000000000034</v>
      </c>
      <c r="AI9" cm="1">
        <f t="array" aca="1" ref="AI9" ca="1">TREND($K9:$P9,$K$1:$P$1,AI$1)</f>
        <v>2.7072000000000003</v>
      </c>
      <c r="AJ9" cm="1">
        <f t="array" aca="1" ref="AJ9" ca="1">TREND($K9:$P9,$K$1:$P$1,AJ$1)</f>
        <v>2.7360000000000042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1.44E-2</v>
      </c>
      <c r="C10">
        <f t="shared" ca="1" si="3"/>
        <v>1.4759999999999999E-2</v>
      </c>
      <c r="D10">
        <f t="shared" ca="1" si="0"/>
        <v>1.512E-2</v>
      </c>
      <c r="E10">
        <f t="shared" ca="1" si="0"/>
        <v>1.5480000000000001E-2</v>
      </c>
      <c r="F10" s="32" cm="1">
        <f t="array" aca="1" ref="F10" ca="1">INDIRECT(CONCATENATE("'",HLOOKUP(F$1,$B$21:$E$23,3,FALSE),"'!",$B$25,ROW($A10)+5))*About!$A$27</f>
        <v>1.584E-2</v>
      </c>
      <c r="G10">
        <f t="shared" ca="1" si="4"/>
        <v>1.6128E-2</v>
      </c>
      <c r="H10">
        <f t="shared" ca="1" si="1"/>
        <v>1.6416E-2</v>
      </c>
      <c r="I10">
        <f t="shared" ca="1" si="1"/>
        <v>1.6704E-2</v>
      </c>
      <c r="J10">
        <f t="shared" ca="1" si="1"/>
        <v>1.6992E-2</v>
      </c>
      <c r="K10" s="32" cm="1">
        <f t="array" aca="1" ref="K10" ca="1">INDIRECT(CONCATENATE("'",HLOOKUP(K$1,$B$21:$E$23,3,FALSE),"'!",$B$25,ROW($A10)+5))*About!$A$27</f>
        <v>1.728E-2</v>
      </c>
      <c r="L10">
        <f t="shared" ca="1" si="5"/>
        <v>1.7856E-2</v>
      </c>
      <c r="M10">
        <f t="shared" ca="1" si="2"/>
        <v>1.8432E-2</v>
      </c>
      <c r="N10">
        <f t="shared" ca="1" si="2"/>
        <v>1.9008000000000001E-2</v>
      </c>
      <c r="O10">
        <f t="shared" ca="1" si="2"/>
        <v>1.9584000000000001E-2</v>
      </c>
      <c r="P10" s="32" cm="1">
        <f t="array" aca="1" ref="P10" ca="1">INDIRECT(CONCATENATE("'",HLOOKUP(P$1,$B$21:$E$23,3,FALSE),"'!",$B$25,ROW($A10)+5))*About!$A$27</f>
        <v>2.0160000000000001E-2</v>
      </c>
      <c r="Q10" cm="1">
        <f t="array" aca="1" ref="Q10" ca="1">TREND($K10:$P10,$K$1:$P$1,Q$1)</f>
        <v>2.0736000000000088E-2</v>
      </c>
      <c r="R10" cm="1">
        <f t="array" aca="1" ref="R10" ca="1">TREND($K10:$P10,$K$1:$P$1,R$1)</f>
        <v>2.1311999999999998E-2</v>
      </c>
      <c r="S10" cm="1">
        <f t="array" aca="1" ref="S10" ca="1">TREND($K10:$P10,$K$1:$P$1,S$1)</f>
        <v>2.188800000000013E-2</v>
      </c>
      <c r="T10" cm="1">
        <f t="array" aca="1" ref="T10" ca="1">TREND($K10:$P10,$K$1:$P$1,T$1)</f>
        <v>2.2464000000000039E-2</v>
      </c>
      <c r="U10" cm="1">
        <f t="array" aca="1" ref="U10" ca="1">TREND($K10:$P10,$K$1:$P$1,U$1)</f>
        <v>2.3040000000000171E-2</v>
      </c>
      <c r="V10" cm="1">
        <f t="array" aca="1" ref="V10" ca="1">TREND($K10:$P10,$K$1:$P$1,V$1)</f>
        <v>2.3616000000000081E-2</v>
      </c>
      <c r="W10" cm="1">
        <f t="array" aca="1" ref="W10" ca="1">TREND($K10:$P10,$K$1:$P$1,W$1)</f>
        <v>2.4192000000000213E-2</v>
      </c>
      <c r="X10" cm="1">
        <f t="array" aca="1" ref="X10" ca="1">TREND($K10:$P10,$K$1:$P$1,X$1)</f>
        <v>2.4768000000000123E-2</v>
      </c>
      <c r="Y10" cm="1">
        <f t="array" aca="1" ref="Y10" ca="1">TREND($K10:$P10,$K$1:$P$1,Y$1)</f>
        <v>2.5344000000000033E-2</v>
      </c>
      <c r="Z10" cm="1">
        <f t="array" aca="1" ref="Z10" ca="1">TREND($K10:$P10,$K$1:$P$1,Z$1)</f>
        <v>2.5920000000000165E-2</v>
      </c>
      <c r="AA10" cm="1">
        <f t="array" aca="1" ref="AA10" ca="1">TREND($K10:$P10,$K$1:$P$1,AA$1)</f>
        <v>2.6496000000000075E-2</v>
      </c>
      <c r="AB10" cm="1">
        <f t="array" aca="1" ref="AB10" ca="1">TREND($K10:$P10,$K$1:$P$1,AB$1)</f>
        <v>2.7072000000000207E-2</v>
      </c>
      <c r="AC10" cm="1">
        <f t="array" aca="1" ref="AC10" ca="1">TREND($K10:$P10,$K$1:$P$1,AC$1)</f>
        <v>2.7648000000000117E-2</v>
      </c>
      <c r="AD10" cm="1">
        <f t="array" aca="1" ref="AD10" ca="1">TREND($K10:$P10,$K$1:$P$1,AD$1)</f>
        <v>2.8224000000000027E-2</v>
      </c>
      <c r="AE10" cm="1">
        <f t="array" aca="1" ref="AE10" ca="1">TREND($K10:$P10,$K$1:$P$1,AE$1)</f>
        <v>2.8800000000000159E-2</v>
      </c>
      <c r="AF10" cm="1">
        <f t="array" aca="1" ref="AF10" ca="1">TREND($K10:$P10,$K$1:$P$1,AF$1)</f>
        <v>2.9376000000000069E-2</v>
      </c>
      <c r="AG10" cm="1">
        <f t="array" aca="1" ref="AG10" ca="1">TREND($K10:$P10,$K$1:$P$1,AG$1)</f>
        <v>2.9952000000000201E-2</v>
      </c>
      <c r="AH10" cm="1">
        <f t="array" aca="1" ref="AH10" ca="1">TREND($K10:$P10,$K$1:$P$1,AH$1)</f>
        <v>3.0528000000000111E-2</v>
      </c>
      <c r="AI10" cm="1">
        <f t="array" aca="1" ref="AI10" ca="1">TREND($K10:$P10,$K$1:$P$1,AI$1)</f>
        <v>3.1104000000000021E-2</v>
      </c>
      <c r="AJ10" cm="1">
        <f t="array" aca="1" ref="AJ10" ca="1">TREND($K10:$P10,$K$1:$P$1,AJ$1)</f>
        <v>3.1680000000000152E-2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1.4112E-2</v>
      </c>
      <c r="C11">
        <f t="shared" ca="1" si="3"/>
        <v>1.4544E-2</v>
      </c>
      <c r="D11">
        <f t="shared" ca="1" si="0"/>
        <v>1.4976E-2</v>
      </c>
      <c r="E11">
        <f t="shared" ca="1" si="0"/>
        <v>1.5408E-2</v>
      </c>
      <c r="F11" s="32" cm="1">
        <f t="array" aca="1" ref="F11" ca="1">INDIRECT(CONCATENATE("'",HLOOKUP(F$1,$B$21:$E$23,3,FALSE),"'!",$B$25,ROW($A11)+5))*About!$A$27</f>
        <v>1.584E-2</v>
      </c>
      <c r="G11">
        <f t="shared" ca="1" si="4"/>
        <v>1.6128E-2</v>
      </c>
      <c r="H11">
        <f t="shared" ca="1" si="1"/>
        <v>1.6416E-2</v>
      </c>
      <c r="I11">
        <f t="shared" ca="1" si="1"/>
        <v>1.6704E-2</v>
      </c>
      <c r="J11">
        <f t="shared" ca="1" si="1"/>
        <v>1.6992E-2</v>
      </c>
      <c r="K11" s="32" cm="1">
        <f t="array" aca="1" ref="K11" ca="1">INDIRECT(CONCATENATE("'",HLOOKUP(K$1,$B$21:$E$23,3,FALSE),"'!",$B$25,ROW($A11)+5))*About!$A$27</f>
        <v>1.728E-2</v>
      </c>
      <c r="L11">
        <f t="shared" ca="1" si="5"/>
        <v>1.7568E-2</v>
      </c>
      <c r="M11">
        <f t="shared" ca="1" si="2"/>
        <v>1.7856E-2</v>
      </c>
      <c r="N11">
        <f t="shared" ca="1" si="2"/>
        <v>1.8143999999999997E-2</v>
      </c>
      <c r="O11">
        <f t="shared" ca="1" si="2"/>
        <v>1.8431999999999997E-2</v>
      </c>
      <c r="P11" s="32" cm="1">
        <f t="array" aca="1" ref="P11" ca="1">INDIRECT(CONCATENATE("'",HLOOKUP(P$1,$B$21:$E$23,3,FALSE),"'!",$B$25,ROW($A11)+5))*About!$A$27</f>
        <v>1.8719999999999997E-2</v>
      </c>
      <c r="Q11" cm="1">
        <f t="array" aca="1" ref="Q11" ca="1">TREND($K11:$P11,$K$1:$P$1,Q$1)</f>
        <v>1.9008000000000025E-2</v>
      </c>
      <c r="R11" cm="1">
        <f t="array" aca="1" ref="R11" ca="1">TREND($K11:$P11,$K$1:$P$1,R$1)</f>
        <v>1.9296000000000091E-2</v>
      </c>
      <c r="S11" cm="1">
        <f t="array" aca="1" ref="S11" ca="1">TREND($K11:$P11,$K$1:$P$1,S$1)</f>
        <v>1.9584000000000046E-2</v>
      </c>
      <c r="T11" cm="1">
        <f t="array" aca="1" ref="T11" ca="1">TREND($K11:$P11,$K$1:$P$1,T$1)</f>
        <v>1.9872000000000001E-2</v>
      </c>
      <c r="U11" cm="1">
        <f t="array" aca="1" ref="U11" ca="1">TREND($K11:$P11,$K$1:$P$1,U$1)</f>
        <v>2.0160000000000067E-2</v>
      </c>
      <c r="V11" cm="1">
        <f t="array" aca="1" ref="V11" ca="1">TREND($K11:$P11,$K$1:$P$1,V$1)</f>
        <v>2.0448000000000022E-2</v>
      </c>
      <c r="W11" cm="1">
        <f t="array" aca="1" ref="W11" ca="1">TREND($K11:$P11,$K$1:$P$1,W$1)</f>
        <v>2.0736000000000088E-2</v>
      </c>
      <c r="X11" cm="1">
        <f t="array" aca="1" ref="X11" ca="1">TREND($K11:$P11,$K$1:$P$1,X$1)</f>
        <v>2.1024000000000043E-2</v>
      </c>
      <c r="Y11" cm="1">
        <f t="array" aca="1" ref="Y11" ca="1">TREND($K11:$P11,$K$1:$P$1,Y$1)</f>
        <v>2.1311999999999998E-2</v>
      </c>
      <c r="Z11" cm="1">
        <f t="array" aca="1" ref="Z11" ca="1">TREND($K11:$P11,$K$1:$P$1,Z$1)</f>
        <v>2.1600000000000064E-2</v>
      </c>
      <c r="AA11" cm="1">
        <f t="array" aca="1" ref="AA11" ca="1">TREND($K11:$P11,$K$1:$P$1,AA$1)</f>
        <v>2.1888000000000019E-2</v>
      </c>
      <c r="AB11" cm="1">
        <f t="array" aca="1" ref="AB11" ca="1">TREND($K11:$P11,$K$1:$P$1,AB$1)</f>
        <v>2.2176000000000085E-2</v>
      </c>
      <c r="AC11" cm="1">
        <f t="array" aca="1" ref="AC11" ca="1">TREND($K11:$P11,$K$1:$P$1,AC$1)</f>
        <v>2.2464000000000039E-2</v>
      </c>
      <c r="AD11" cm="1">
        <f t="array" aca="1" ref="AD11" ca="1">TREND($K11:$P11,$K$1:$P$1,AD$1)</f>
        <v>2.2751999999999994E-2</v>
      </c>
      <c r="AE11" cm="1">
        <f t="array" aca="1" ref="AE11" ca="1">TREND($K11:$P11,$K$1:$P$1,AE$1)</f>
        <v>2.304000000000006E-2</v>
      </c>
      <c r="AF11" cm="1">
        <f t="array" aca="1" ref="AF11" ca="1">TREND($K11:$P11,$K$1:$P$1,AF$1)</f>
        <v>2.3328000000000015E-2</v>
      </c>
      <c r="AG11" cm="1">
        <f t="array" aca="1" ref="AG11" ca="1">TREND($K11:$P11,$K$1:$P$1,AG$1)</f>
        <v>2.3616000000000081E-2</v>
      </c>
      <c r="AH11" cm="1">
        <f t="array" aca="1" ref="AH11" ca="1">TREND($K11:$P11,$K$1:$P$1,AH$1)</f>
        <v>2.3904000000000036E-2</v>
      </c>
      <c r="AI11" cm="1">
        <f t="array" aca="1" ref="AI11" ca="1">TREND($K11:$P11,$K$1:$P$1,AI$1)</f>
        <v>2.4191999999999991E-2</v>
      </c>
      <c r="AJ11" cm="1">
        <f t="array" aca="1" ref="AJ11" ca="1">TREND($K11:$P11,$K$1:$P$1,AJ$1)</f>
        <v>2.4480000000000057E-2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6.5519999999999995E-2</v>
      </c>
      <c r="C12">
        <f t="shared" ca="1" si="3"/>
        <v>6.7067999999999989E-2</v>
      </c>
      <c r="D12">
        <f t="shared" ca="1" si="0"/>
        <v>6.8615999999999996E-2</v>
      </c>
      <c r="E12">
        <f t="shared" ca="1" si="0"/>
        <v>7.0164000000000004E-2</v>
      </c>
      <c r="F12" s="33">
        <f ca="1">SUM(INDIRECT(CONCATENATE("'",HLOOKUP(F$1,$B$21:$E$23,3,FALSE),"'!",$B$25,ROW($A12)+5,":",$B$25,ROW($A12)+6)))*About!$A$27</f>
        <v>7.1711999999999998E-2</v>
      </c>
      <c r="G12">
        <f t="shared" ca="1" si="4"/>
        <v>7.3008000000000003E-2</v>
      </c>
      <c r="H12">
        <f t="shared" ca="1" si="1"/>
        <v>7.4303999999999995E-2</v>
      </c>
      <c r="I12">
        <f t="shared" ca="1" si="1"/>
        <v>7.5600000000000001E-2</v>
      </c>
      <c r="J12">
        <f t="shared" ca="1" si="1"/>
        <v>7.6895999999999992E-2</v>
      </c>
      <c r="K12" s="33">
        <f ca="1">SUM(INDIRECT(CONCATENATE("'",HLOOKUP(K$1,$B$21:$E$23,3,FALSE),"'!",$B$25,ROW($A12)+5,":",$B$25,ROW($A12)+6)))*About!$A$27</f>
        <v>7.8191999999999998E-2</v>
      </c>
      <c r="L12">
        <f t="shared" ca="1" si="5"/>
        <v>7.9776E-2</v>
      </c>
      <c r="M12">
        <f t="shared" ca="1" si="2"/>
        <v>8.1360000000000002E-2</v>
      </c>
      <c r="N12">
        <f t="shared" ca="1" si="2"/>
        <v>8.294399999999999E-2</v>
      </c>
      <c r="O12">
        <f t="shared" ca="1" si="2"/>
        <v>8.4527999999999992E-2</v>
      </c>
      <c r="P12" s="33">
        <f ca="1">SUM(INDIRECT(CONCATENATE("'",HLOOKUP(P$1,$B$21:$E$23,3,FALSE),"'!",$B$25,ROW($A12)+5,":",$B$25,ROW($A12)+6)))*About!$A$27</f>
        <v>8.6111999999999994E-2</v>
      </c>
      <c r="Q12" cm="1">
        <f t="array" aca="1" ref="Q12" ca="1">TREND($K12:$P12,$K$1:$P$1,Q$1)</f>
        <v>8.7695999999999774E-2</v>
      </c>
      <c r="R12" cm="1">
        <f t="array" aca="1" ref="R12" ca="1">TREND($K12:$P12,$K$1:$P$1,R$1)</f>
        <v>8.9279999999999582E-2</v>
      </c>
      <c r="S12" cm="1">
        <f t="array" aca="1" ref="S12" ca="1">TREND($K12:$P12,$K$1:$P$1,S$1)</f>
        <v>9.0863999999999834E-2</v>
      </c>
      <c r="T12" cm="1">
        <f t="array" aca="1" ref="T12" ca="1">TREND($K12:$P12,$K$1:$P$1,T$1)</f>
        <v>9.2447999999999642E-2</v>
      </c>
      <c r="U12" cm="1">
        <f t="array" aca="1" ref="U12" ca="1">TREND($K12:$P12,$K$1:$P$1,U$1)</f>
        <v>9.4031999999999449E-2</v>
      </c>
      <c r="V12" cm="1">
        <f t="array" aca="1" ref="V12" ca="1">TREND($K12:$P12,$K$1:$P$1,V$1)</f>
        <v>9.5615999999999701E-2</v>
      </c>
      <c r="W12" cm="1">
        <f t="array" aca="1" ref="W12" ca="1">TREND($K12:$P12,$K$1:$P$1,W$1)</f>
        <v>9.7199999999999509E-2</v>
      </c>
      <c r="X12" cm="1">
        <f t="array" aca="1" ref="X12" ca="1">TREND($K12:$P12,$K$1:$P$1,X$1)</f>
        <v>9.8783999999999761E-2</v>
      </c>
      <c r="Y12" cm="1">
        <f t="array" aca="1" ref="Y12" ca="1">TREND($K12:$P12,$K$1:$P$1,Y$1)</f>
        <v>0.10036799999999957</v>
      </c>
      <c r="Z12" cm="1">
        <f t="array" aca="1" ref="Z12" ca="1">TREND($K12:$P12,$K$1:$P$1,Z$1)</f>
        <v>0.10195199999999982</v>
      </c>
      <c r="AA12" cm="1">
        <f t="array" aca="1" ref="AA12" ca="1">TREND($K12:$P12,$K$1:$P$1,AA$1)</f>
        <v>0.10353599999999963</v>
      </c>
      <c r="AB12" cm="1">
        <f t="array" aca="1" ref="AB12" ca="1">TREND($K12:$P12,$K$1:$P$1,AB$1)</f>
        <v>0.10511999999999944</v>
      </c>
      <c r="AC12" cm="1">
        <f t="array" aca="1" ref="AC12" ca="1">TREND($K12:$P12,$K$1:$P$1,AC$1)</f>
        <v>0.10670399999999969</v>
      </c>
      <c r="AD12" cm="1">
        <f t="array" aca="1" ref="AD12" ca="1">TREND($K12:$P12,$K$1:$P$1,AD$1)</f>
        <v>0.1082879999999995</v>
      </c>
      <c r="AE12" cm="1">
        <f t="array" aca="1" ref="AE12" ca="1">TREND($K12:$P12,$K$1:$P$1,AE$1)</f>
        <v>0.10987199999999975</v>
      </c>
      <c r="AF12" cm="1">
        <f t="array" aca="1" ref="AF12" ca="1">TREND($K12:$P12,$K$1:$P$1,AF$1)</f>
        <v>0.11145599999999956</v>
      </c>
      <c r="AG12" cm="1">
        <f t="array" aca="1" ref="AG12" ca="1">TREND($K12:$P12,$K$1:$P$1,AG$1)</f>
        <v>0.11303999999999981</v>
      </c>
      <c r="AH12" cm="1">
        <f t="array" aca="1" ref="AH12" ca="1">TREND($K12:$P12,$K$1:$P$1,AH$1)</f>
        <v>0.11462399999999962</v>
      </c>
      <c r="AI12" cm="1">
        <f t="array" aca="1" ref="AI12" ca="1">TREND($K12:$P12,$K$1:$P$1,AI$1)</f>
        <v>0.11620799999999942</v>
      </c>
      <c r="AJ12" cm="1">
        <f t="array" aca="1" ref="AJ12" ca="1">TREND($K12:$P12,$K$1:$P$1,AJ$1)</f>
        <v>0.11779199999999967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HOIpTP-transport-PM25</v>
      </c>
    </row>
    <row r="18" spans="1:5" x14ac:dyDescent="0.25">
      <c r="A18" t="s">
        <v>83</v>
      </c>
      <c r="B18" t="str">
        <f ca="1">RIGHT(B17,LEN(B17)-7)</f>
        <v>transport-PM25</v>
      </c>
    </row>
    <row r="19" spans="1:5" x14ac:dyDescent="0.25">
      <c r="A19" t="s">
        <v>84</v>
      </c>
      <c r="B19" t="str">
        <f ca="1">LEFT(B18,FIND("-",B18)-1)</f>
        <v>transport</v>
      </c>
    </row>
    <row r="20" spans="1:5" x14ac:dyDescent="0.25">
      <c r="A20" t="s">
        <v>85</v>
      </c>
      <c r="B20" t="str">
        <f ca="1">VLOOKUP($B$19,Mappings!$A$22:$B$26,COLUMN(Mappings!$B$21),FALSE)</f>
        <v>on-road mobile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5">
      <c r="A23" s="28" t="s">
        <v>82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5">
      <c r="A24" t="s">
        <v>87</v>
      </c>
      <c r="B24" t="str">
        <f ca="1">REPLACE(B18,1,FIND("-",B18),"")</f>
        <v>PM25</v>
      </c>
    </row>
    <row r="25" spans="1:5" x14ac:dyDescent="0.25">
      <c r="A25" t="s">
        <v>88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D8E0-51AA-4FAD-925B-2D32F70CFAFD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3.3119999999999998E-3</v>
      </c>
      <c r="C2">
        <f ca="1">$B2+($F2-$B2)*(C$1-$B$1)/($F$1-$B$1)</f>
        <v>3.3479999999999998E-3</v>
      </c>
      <c r="D2">
        <f t="shared" ref="D2:E12" ca="1" si="0">$B2+($F2-$B2)*(D$1-$B$1)/($F$1-$B$1)</f>
        <v>3.3839999999999999E-3</v>
      </c>
      <c r="E2">
        <f t="shared" ca="1" si="0"/>
        <v>3.4199999999999994E-3</v>
      </c>
      <c r="F2" s="31" cm="1">
        <f t="array" aca="1" ref="F2" ca="1">INDIRECT(CONCATENATE("'",HLOOKUP(F$1,$B$21:$E$23,3,FALSE),"'!",$B$25,ROW($A2)+3))*About!$A$27</f>
        <v>3.4559999999999994E-3</v>
      </c>
      <c r="G2">
        <f ca="1">$F2+($K2-$F2)*(G$1-$F$1)/($K$1-$F$1)</f>
        <v>3.5135999999999995E-3</v>
      </c>
      <c r="H2">
        <f t="shared" ref="H2:J12" ca="1" si="1">$F2+($K2-$F2)*(H$1-$F$1)/($K$1-$F$1)</f>
        <v>3.5711999999999996E-3</v>
      </c>
      <c r="I2">
        <f t="shared" ca="1" si="1"/>
        <v>3.6287999999999993E-3</v>
      </c>
      <c r="J2">
        <f t="shared" ca="1" si="1"/>
        <v>3.6863999999999994E-3</v>
      </c>
      <c r="K2" s="31" cm="1">
        <f t="array" aca="1" ref="K2" ca="1">INDIRECT(CONCATENATE("'",HLOOKUP(K$1,$B$21:$E$23,3,FALSE),"'!",$B$25,ROW($A2)+3))*About!$A$27</f>
        <v>3.7439999999999995E-3</v>
      </c>
      <c r="L2">
        <f ca="1">$K2+($P2-$K2)*(L$1-$K$1)/($P$1-$K$1)</f>
        <v>3.8303999999999994E-3</v>
      </c>
      <c r="M2">
        <f t="shared" ref="M2:O12" ca="1" si="2">$K2+($P2-$K2)*(M$1-$K$1)/($P$1-$K$1)</f>
        <v>3.9167999999999998E-3</v>
      </c>
      <c r="N2">
        <f t="shared" ca="1" si="2"/>
        <v>4.0031999999999993E-3</v>
      </c>
      <c r="O2">
        <f t="shared" ca="1" si="2"/>
        <v>4.0895999999999988E-3</v>
      </c>
      <c r="P2" s="31" cm="1">
        <f t="array" aca="1" ref="P2" ca="1">INDIRECT(CONCATENATE("'",HLOOKUP(P$1,$B$21:$E$23,3,FALSE),"'!",$B$25,ROW($A2)+3))*About!$A$27</f>
        <v>4.1759999999999992E-3</v>
      </c>
      <c r="Q2" cm="1">
        <f t="array" aca="1" ref="Q2" ca="1">TREND($K2:$P2,$K$1:$P$1,Q$1)</f>
        <v>4.2623999999999995E-3</v>
      </c>
      <c r="R2" cm="1">
        <f t="array" aca="1" ref="R2" ca="1">TREND($K2:$P2,$K$1:$P$1,R$1)</f>
        <v>4.348799999999986E-3</v>
      </c>
      <c r="S2" cm="1">
        <f t="array" aca="1" ref="S2" ca="1">TREND($K2:$P2,$K$1:$P$1,S$1)</f>
        <v>4.4352000000000003E-3</v>
      </c>
      <c r="T2" cm="1">
        <f t="array" aca="1" ref="T2" ca="1">TREND($K2:$P2,$K$1:$P$1,T$1)</f>
        <v>4.5215999999999867E-3</v>
      </c>
      <c r="U2" cm="1">
        <f t="array" aca="1" ref="U2" ca="1">TREND($K2:$P2,$K$1:$P$1,U$1)</f>
        <v>4.608000000000001E-3</v>
      </c>
      <c r="V2" cm="1">
        <f t="array" aca="1" ref="V2" ca="1">TREND($K2:$P2,$K$1:$P$1,V$1)</f>
        <v>4.6943999999999875E-3</v>
      </c>
      <c r="W2" cm="1">
        <f t="array" aca="1" ref="W2" ca="1">TREND($K2:$P2,$K$1:$P$1,W$1)</f>
        <v>4.7808000000000017E-3</v>
      </c>
      <c r="X2" cm="1">
        <f t="array" aca="1" ref="X2" ca="1">TREND($K2:$P2,$K$1:$P$1,X$1)</f>
        <v>4.8671999999999882E-3</v>
      </c>
      <c r="Y2" cm="1">
        <f t="array" aca="1" ref="Y2" ca="1">TREND($K2:$P2,$K$1:$P$1,Y$1)</f>
        <v>4.9536000000000024E-3</v>
      </c>
      <c r="Z2" cm="1">
        <f t="array" aca="1" ref="Z2" ca="1">TREND($K2:$P2,$K$1:$P$1,Z$1)</f>
        <v>5.0399999999999889E-3</v>
      </c>
      <c r="AA2" cm="1">
        <f t="array" aca="1" ref="AA2" ca="1">TREND($K2:$P2,$K$1:$P$1,AA$1)</f>
        <v>5.1264000000000032E-3</v>
      </c>
      <c r="AB2" cm="1">
        <f t="array" aca="1" ref="AB2" ca="1">TREND($K2:$P2,$K$1:$P$1,AB$1)</f>
        <v>5.2127999999999897E-3</v>
      </c>
      <c r="AC2" cm="1">
        <f t="array" aca="1" ref="AC2" ca="1">TREND($K2:$P2,$K$1:$P$1,AC$1)</f>
        <v>5.2992000000000039E-3</v>
      </c>
      <c r="AD2" cm="1">
        <f t="array" aca="1" ref="AD2" ca="1">TREND($K2:$P2,$K$1:$P$1,AD$1)</f>
        <v>5.3855999999999904E-3</v>
      </c>
      <c r="AE2" cm="1">
        <f t="array" aca="1" ref="AE2" ca="1">TREND($K2:$P2,$K$1:$P$1,AE$1)</f>
        <v>5.4720000000000046E-3</v>
      </c>
      <c r="AF2" cm="1">
        <f t="array" aca="1" ref="AF2" ca="1">TREND($K2:$P2,$K$1:$P$1,AF$1)</f>
        <v>5.5583999999999911E-3</v>
      </c>
      <c r="AG2" cm="1">
        <f t="array" aca="1" ref="AG2" ca="1">TREND($K2:$P2,$K$1:$P$1,AG$1)</f>
        <v>5.6448000000000054E-3</v>
      </c>
      <c r="AH2" cm="1">
        <f t="array" aca="1" ref="AH2" ca="1">TREND($K2:$P2,$K$1:$P$1,AH$1)</f>
        <v>5.7311999999999919E-3</v>
      </c>
      <c r="AI2" cm="1">
        <f t="array" aca="1" ref="AI2" ca="1">TREND($K2:$P2,$K$1:$P$1,AI$1)</f>
        <v>5.8175999999999783E-3</v>
      </c>
      <c r="AJ2" cm="1">
        <f t="array" aca="1" ref="AJ2" ca="1">TREND($K2:$P2,$K$1:$P$1,AJ$1)</f>
        <v>5.9039999999999926E-3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1.7279999999999997E-3</v>
      </c>
      <c r="C3">
        <f t="shared" ref="C3:C12" ca="1" si="3">$B3+($F3-$B3)*(C$1-$B$1)/($F$1-$B$1)</f>
        <v>1.7639999999999997E-3</v>
      </c>
      <c r="D3">
        <f t="shared" ca="1" si="0"/>
        <v>1.7999999999999997E-3</v>
      </c>
      <c r="E3">
        <f t="shared" ca="1" si="0"/>
        <v>1.8359999999999997E-3</v>
      </c>
      <c r="F3" s="32" cm="1">
        <f t="array" aca="1" ref="F3" ca="1">INDIRECT(CONCATENATE("'",HLOOKUP(F$1,$B$21:$E$23,3,FALSE),"'!",$B$25,ROW($A3)+5))*About!$A$27</f>
        <v>1.8719999999999997E-3</v>
      </c>
      <c r="G3">
        <f t="shared" ref="G3:G12" ca="1" si="4">$F3+($K3-$F3)*(G$1-$F$1)/($K$1-$F$1)</f>
        <v>1.9007999999999998E-3</v>
      </c>
      <c r="H3">
        <f t="shared" ca="1" si="1"/>
        <v>1.9295999999999998E-3</v>
      </c>
      <c r="I3">
        <f t="shared" ca="1" si="1"/>
        <v>1.9583999999999999E-3</v>
      </c>
      <c r="J3">
        <f t="shared" ca="1" si="1"/>
        <v>1.9871999999999997E-3</v>
      </c>
      <c r="K3" s="32" cm="1">
        <f t="array" aca="1" ref="K3" ca="1">INDIRECT(CONCATENATE("'",HLOOKUP(K$1,$B$21:$E$23,3,FALSE),"'!",$B$25,ROW($A3)+5))*About!$A$27</f>
        <v>2.016E-3</v>
      </c>
      <c r="L3">
        <f t="shared" ref="L3:L12" ca="1" si="5">$K3+($P3-$K3)*(L$1-$K$1)/($P$1-$K$1)</f>
        <v>2.0447999999999998E-3</v>
      </c>
      <c r="M3">
        <f t="shared" ca="1" si="2"/>
        <v>2.0736000000000001E-3</v>
      </c>
      <c r="N3">
        <f t="shared" ca="1" si="2"/>
        <v>2.1023999999999999E-3</v>
      </c>
      <c r="O3">
        <f t="shared" ca="1" si="2"/>
        <v>2.1312000000000002E-3</v>
      </c>
      <c r="P3" s="32" cm="1">
        <f t="array" aca="1" ref="P3" ca="1">INDIRECT(CONCATENATE("'",HLOOKUP(P$1,$B$21:$E$23,3,FALSE),"'!",$B$25,ROW($A3)+5))*About!$A$27</f>
        <v>2.16E-3</v>
      </c>
      <c r="Q3" cm="1">
        <f t="array" aca="1" ref="Q3" ca="1">TREND($K3:$P3,$K$1:$P$1,Q$1)</f>
        <v>2.1887999999999977E-3</v>
      </c>
      <c r="R3" cm="1">
        <f t="array" aca="1" ref="R3" ca="1">TREND($K3:$P3,$K$1:$P$1,R$1)</f>
        <v>2.2176000000000001E-3</v>
      </c>
      <c r="S3" cm="1">
        <f t="array" aca="1" ref="S3" ca="1">TREND($K3:$P3,$K$1:$P$1,S$1)</f>
        <v>2.2463999999999956E-3</v>
      </c>
      <c r="T3" cm="1">
        <f t="array" aca="1" ref="T3" ca="1">TREND($K3:$P3,$K$1:$P$1,T$1)</f>
        <v>2.2751999999999981E-3</v>
      </c>
      <c r="U3" cm="1">
        <f t="array" aca="1" ref="U3" ca="1">TREND($K3:$P3,$K$1:$P$1,U$1)</f>
        <v>2.3039999999999936E-3</v>
      </c>
      <c r="V3" cm="1">
        <f t="array" aca="1" ref="V3" ca="1">TREND($K3:$P3,$K$1:$P$1,V$1)</f>
        <v>2.332799999999996E-3</v>
      </c>
      <c r="W3" cm="1">
        <f t="array" aca="1" ref="W3" ca="1">TREND($K3:$P3,$K$1:$P$1,W$1)</f>
        <v>2.3615999999999984E-3</v>
      </c>
      <c r="X3" cm="1">
        <f t="array" aca="1" ref="X3" ca="1">TREND($K3:$P3,$K$1:$P$1,X$1)</f>
        <v>2.3903999999999939E-3</v>
      </c>
      <c r="Y3" cm="1">
        <f t="array" aca="1" ref="Y3" ca="1">TREND($K3:$P3,$K$1:$P$1,Y$1)</f>
        <v>2.4191999999999964E-3</v>
      </c>
      <c r="Z3" cm="1">
        <f t="array" aca="1" ref="Z3" ca="1">TREND($K3:$P3,$K$1:$P$1,Z$1)</f>
        <v>2.4479999999999988E-3</v>
      </c>
      <c r="AA3" cm="1">
        <f t="array" aca="1" ref="AA3" ca="1">TREND($K3:$P3,$K$1:$P$1,AA$1)</f>
        <v>2.4767999999999943E-3</v>
      </c>
      <c r="AB3" cm="1">
        <f t="array" aca="1" ref="AB3" ca="1">TREND($K3:$P3,$K$1:$P$1,AB$1)</f>
        <v>2.5055999999999967E-3</v>
      </c>
      <c r="AC3" cm="1">
        <f t="array" aca="1" ref="AC3" ca="1">TREND($K3:$P3,$K$1:$P$1,AC$1)</f>
        <v>2.5343999999999992E-3</v>
      </c>
      <c r="AD3" cm="1">
        <f t="array" aca="1" ref="AD3" ca="1">TREND($K3:$P3,$K$1:$P$1,AD$1)</f>
        <v>2.5631999999999946E-3</v>
      </c>
      <c r="AE3" cm="1">
        <f t="array" aca="1" ref="AE3" ca="1">TREND($K3:$P3,$K$1:$P$1,AE$1)</f>
        <v>2.5919999999999971E-3</v>
      </c>
      <c r="AF3" cm="1">
        <f t="array" aca="1" ref="AF3" ca="1">TREND($K3:$P3,$K$1:$P$1,AF$1)</f>
        <v>2.6207999999999995E-3</v>
      </c>
      <c r="AG3" cm="1">
        <f t="array" aca="1" ref="AG3" ca="1">TREND($K3:$P3,$K$1:$P$1,AG$1)</f>
        <v>2.649599999999995E-3</v>
      </c>
      <c r="AH3" cm="1">
        <f t="array" aca="1" ref="AH3" ca="1">TREND($K3:$P3,$K$1:$P$1,AH$1)</f>
        <v>2.6783999999999974E-3</v>
      </c>
      <c r="AI3" cm="1">
        <f t="array" aca="1" ref="AI3" ca="1">TREND($K3:$P3,$K$1:$P$1,AI$1)</f>
        <v>2.7071999999999999E-3</v>
      </c>
      <c r="AJ3" cm="1">
        <f t="array" aca="1" ref="AJ3" ca="1">TREND($K3:$P3,$K$1:$P$1,AJ$1)</f>
        <v>2.7359999999999954E-3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5.4719999999999994E-3</v>
      </c>
      <c r="C4">
        <f t="shared" ca="1" si="3"/>
        <v>5.507999999999999E-3</v>
      </c>
      <c r="D4">
        <f t="shared" ca="1" si="0"/>
        <v>5.5439999999999994E-3</v>
      </c>
      <c r="E4">
        <f t="shared" ca="1" si="0"/>
        <v>5.5799999999999999E-3</v>
      </c>
      <c r="F4" s="32" cm="1">
        <f t="array" aca="1" ref="F4" ca="1">INDIRECT(CONCATENATE("'",HLOOKUP(F$1,$B$21:$E$23,3,FALSE),"'!",$B$25,ROW($A4)+5))*About!$A$27</f>
        <v>5.6159999999999995E-3</v>
      </c>
      <c r="G4">
        <f t="shared" ca="1" si="4"/>
        <v>5.6736E-3</v>
      </c>
      <c r="H4">
        <f t="shared" ca="1" si="1"/>
        <v>5.7311999999999997E-3</v>
      </c>
      <c r="I4">
        <f t="shared" ca="1" si="1"/>
        <v>5.7888000000000002E-3</v>
      </c>
      <c r="J4">
        <f t="shared" ca="1" si="1"/>
        <v>5.8463999999999999E-3</v>
      </c>
      <c r="K4" s="32" cm="1">
        <f t="array" aca="1" ref="K4" ca="1">INDIRECT(CONCATENATE("'",HLOOKUP(K$1,$B$21:$E$23,3,FALSE),"'!",$B$25,ROW($A4)+5))*About!$A$27</f>
        <v>5.9040000000000004E-3</v>
      </c>
      <c r="L4">
        <f t="shared" ca="1" si="5"/>
        <v>6.0192000000000006E-3</v>
      </c>
      <c r="M4">
        <f t="shared" ca="1" si="2"/>
        <v>6.1343999999999999E-3</v>
      </c>
      <c r="N4">
        <f t="shared" ca="1" si="2"/>
        <v>6.2496000000000001E-3</v>
      </c>
      <c r="O4">
        <f t="shared" ca="1" si="2"/>
        <v>6.3647999999999995E-3</v>
      </c>
      <c r="P4" s="32" cm="1">
        <f t="array" aca="1" ref="P4" ca="1">INDIRECT(CONCATENATE("'",HLOOKUP(P$1,$B$21:$E$23,3,FALSE),"'!",$B$25,ROW($A4)+5))*About!$A$27</f>
        <v>6.4799999999999996E-3</v>
      </c>
      <c r="Q4" cm="1">
        <f t="array" aca="1" ref="Q4" ca="1">TREND($K4:$P4,$K$1:$P$1,Q$1)</f>
        <v>6.5951999999999955E-3</v>
      </c>
      <c r="R4" cm="1">
        <f t="array" aca="1" ref="R4" ca="1">TREND($K4:$P4,$K$1:$P$1,R$1)</f>
        <v>6.7104000000000052E-3</v>
      </c>
      <c r="S4" cm="1">
        <f t="array" aca="1" ref="S4" ca="1">TREND($K4:$P4,$K$1:$P$1,S$1)</f>
        <v>6.8255999999999872E-3</v>
      </c>
      <c r="T4" cm="1">
        <f t="array" aca="1" ref="T4" ca="1">TREND($K4:$P4,$K$1:$P$1,T$1)</f>
        <v>6.940799999999997E-3</v>
      </c>
      <c r="U4" cm="1">
        <f t="array" aca="1" ref="U4" ca="1">TREND($K4:$P4,$K$1:$P$1,U$1)</f>
        <v>7.0560000000000067E-3</v>
      </c>
      <c r="V4" cm="1">
        <f t="array" aca="1" ref="V4" ca="1">TREND($K4:$P4,$K$1:$P$1,V$1)</f>
        <v>7.1711999999999887E-3</v>
      </c>
      <c r="W4" cm="1">
        <f t="array" aca="1" ref="W4" ca="1">TREND($K4:$P4,$K$1:$P$1,W$1)</f>
        <v>7.2863999999999984E-3</v>
      </c>
      <c r="X4" cm="1">
        <f t="array" aca="1" ref="X4" ca="1">TREND($K4:$P4,$K$1:$P$1,X$1)</f>
        <v>7.4016000000000082E-3</v>
      </c>
      <c r="Y4" cm="1">
        <f t="array" aca="1" ref="Y4" ca="1">TREND($K4:$P4,$K$1:$P$1,Y$1)</f>
        <v>7.5167999999999902E-3</v>
      </c>
      <c r="Z4" cm="1">
        <f t="array" aca="1" ref="Z4" ca="1">TREND($K4:$P4,$K$1:$P$1,Z$1)</f>
        <v>7.6319999999999999E-3</v>
      </c>
      <c r="AA4" cm="1">
        <f t="array" aca="1" ref="AA4" ca="1">TREND($K4:$P4,$K$1:$P$1,AA$1)</f>
        <v>7.7472000000000096E-3</v>
      </c>
      <c r="AB4" cm="1">
        <f t="array" aca="1" ref="AB4" ca="1">TREND($K4:$P4,$K$1:$P$1,AB$1)</f>
        <v>7.8623999999999916E-3</v>
      </c>
      <c r="AC4" cm="1">
        <f t="array" aca="1" ref="AC4" ca="1">TREND($K4:$P4,$K$1:$P$1,AC$1)</f>
        <v>7.9776000000000014E-3</v>
      </c>
      <c r="AD4" cm="1">
        <f t="array" aca="1" ref="AD4" ca="1">TREND($K4:$P4,$K$1:$P$1,AD$1)</f>
        <v>8.0927999999999833E-3</v>
      </c>
      <c r="AE4" cm="1">
        <f t="array" aca="1" ref="AE4" ca="1">TREND($K4:$P4,$K$1:$P$1,AE$1)</f>
        <v>8.2079999999999931E-3</v>
      </c>
      <c r="AF4" cm="1">
        <f t="array" aca="1" ref="AF4" ca="1">TREND($K4:$P4,$K$1:$P$1,AF$1)</f>
        <v>8.3232000000000028E-3</v>
      </c>
      <c r="AG4" cm="1">
        <f t="array" aca="1" ref="AG4" ca="1">TREND($K4:$P4,$K$1:$P$1,AG$1)</f>
        <v>8.4383999999999848E-3</v>
      </c>
      <c r="AH4" cm="1">
        <f t="array" aca="1" ref="AH4" ca="1">TREND($K4:$P4,$K$1:$P$1,AH$1)</f>
        <v>8.5535999999999945E-3</v>
      </c>
      <c r="AI4" cm="1">
        <f t="array" aca="1" ref="AI4" ca="1">TREND($K4:$P4,$K$1:$P$1,AI$1)</f>
        <v>8.6688000000000043E-3</v>
      </c>
      <c r="AJ4" cm="1">
        <f t="array" aca="1" ref="AJ4" ca="1">TREND($K4:$P4,$K$1:$P$1,AJ$1)</f>
        <v>8.7839999999999863E-3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6.9120000000000001E-2</v>
      </c>
      <c r="C5">
        <f t="shared" ca="1" si="3"/>
        <v>6.948E-2</v>
      </c>
      <c r="D5">
        <f t="shared" ca="1" si="0"/>
        <v>6.9839999999999999E-2</v>
      </c>
      <c r="E5">
        <f t="shared" ca="1" si="0"/>
        <v>7.0199999999999999E-2</v>
      </c>
      <c r="F5" s="32" cm="1">
        <f t="array" aca="1" ref="F5" ca="1">INDIRECT(CONCATENATE("'",HLOOKUP(F$1,$B$21:$E$23,3,FALSE),"'!",$B$25,ROW($A5)+5))*About!$A$27</f>
        <v>7.0559999999999998E-2</v>
      </c>
      <c r="G5">
        <f t="shared" ca="1" si="4"/>
        <v>7.1424000000000001E-2</v>
      </c>
      <c r="H5">
        <f t="shared" ca="1" si="1"/>
        <v>7.2287999999999991E-2</v>
      </c>
      <c r="I5">
        <f t="shared" ca="1" si="1"/>
        <v>7.3151999999999995E-2</v>
      </c>
      <c r="J5">
        <f t="shared" ca="1" si="1"/>
        <v>7.4015999999999985E-2</v>
      </c>
      <c r="K5" s="32" cm="1">
        <f t="array" aca="1" ref="K5" ca="1">INDIRECT(CONCATENATE("'",HLOOKUP(K$1,$B$21:$E$23,3,FALSE),"'!",$B$25,ROW($A5)+5))*About!$A$27</f>
        <v>7.4879999999999988E-2</v>
      </c>
      <c r="L5">
        <f t="shared" ca="1" si="5"/>
        <v>7.6319999999999985E-2</v>
      </c>
      <c r="M5">
        <f t="shared" ca="1" si="2"/>
        <v>7.7759999999999996E-2</v>
      </c>
      <c r="N5">
        <f t="shared" ca="1" si="2"/>
        <v>7.9199999999999993E-2</v>
      </c>
      <c r="O5">
        <f t="shared" ca="1" si="2"/>
        <v>8.0640000000000003E-2</v>
      </c>
      <c r="P5" s="32" cm="1">
        <f t="array" aca="1" ref="P5" ca="1">INDIRECT(CONCATENATE("'",HLOOKUP(P$1,$B$21:$E$23,3,FALSE),"'!",$B$25,ROW($A5)+5))*About!$A$27</f>
        <v>8.208E-2</v>
      </c>
      <c r="Q5" cm="1">
        <f t="array" aca="1" ref="Q5" ca="1">TREND($K5:$P5,$K$1:$P$1,Q$1)</f>
        <v>8.3520000000000039E-2</v>
      </c>
      <c r="R5" cm="1">
        <f t="array" aca="1" ref="R5" ca="1">TREND($K5:$P5,$K$1:$P$1,R$1)</f>
        <v>8.4960000000000147E-2</v>
      </c>
      <c r="S5" cm="1">
        <f t="array" aca="1" ref="S5" ca="1">TREND($K5:$P5,$K$1:$P$1,S$1)</f>
        <v>8.6400000000000254E-2</v>
      </c>
      <c r="T5" cm="1">
        <f t="array" aca="1" ref="T5" ca="1">TREND($K5:$P5,$K$1:$P$1,T$1)</f>
        <v>8.7839999999999918E-2</v>
      </c>
      <c r="U5" cm="1">
        <f t="array" aca="1" ref="U5" ca="1">TREND($K5:$P5,$K$1:$P$1,U$1)</f>
        <v>8.9280000000000026E-2</v>
      </c>
      <c r="V5" cm="1">
        <f t="array" aca="1" ref="V5" ca="1">TREND($K5:$P5,$K$1:$P$1,V$1)</f>
        <v>9.0720000000000134E-2</v>
      </c>
      <c r="W5" cm="1">
        <f t="array" aca="1" ref="W5" ca="1">TREND($K5:$P5,$K$1:$P$1,W$1)</f>
        <v>9.2160000000000242E-2</v>
      </c>
      <c r="X5" cm="1">
        <f t="array" aca="1" ref="X5" ca="1">TREND($K5:$P5,$K$1:$P$1,X$1)</f>
        <v>9.3599999999999905E-2</v>
      </c>
      <c r="Y5" cm="1">
        <f t="array" aca="1" ref="Y5" ca="1">TREND($K5:$P5,$K$1:$P$1,Y$1)</f>
        <v>9.5040000000000013E-2</v>
      </c>
      <c r="Z5" cm="1">
        <f t="array" aca="1" ref="Z5" ca="1">TREND($K5:$P5,$K$1:$P$1,Z$1)</f>
        <v>9.6480000000000121E-2</v>
      </c>
      <c r="AA5" cm="1">
        <f t="array" aca="1" ref="AA5" ca="1">TREND($K5:$P5,$K$1:$P$1,AA$1)</f>
        <v>9.7920000000000229E-2</v>
      </c>
      <c r="AB5" cm="1">
        <f t="array" aca="1" ref="AB5" ca="1">TREND($K5:$P5,$K$1:$P$1,AB$1)</f>
        <v>9.9359999999999893E-2</v>
      </c>
      <c r="AC5" cm="1">
        <f t="array" aca="1" ref="AC5" ca="1">TREND($K5:$P5,$K$1:$P$1,AC$1)</f>
        <v>0.1008</v>
      </c>
      <c r="AD5" cm="1">
        <f t="array" aca="1" ref="AD5" ca="1">TREND($K5:$P5,$K$1:$P$1,AD$1)</f>
        <v>0.10224000000000011</v>
      </c>
      <c r="AE5" cm="1">
        <f t="array" aca="1" ref="AE5" ca="1">TREND($K5:$P5,$K$1:$P$1,AE$1)</f>
        <v>0.10368000000000022</v>
      </c>
      <c r="AF5" cm="1">
        <f t="array" aca="1" ref="AF5" ca="1">TREND($K5:$P5,$K$1:$P$1,AF$1)</f>
        <v>0.10511999999999988</v>
      </c>
      <c r="AG5" cm="1">
        <f t="array" aca="1" ref="AG5" ca="1">TREND($K5:$P5,$K$1:$P$1,AG$1)</f>
        <v>0.10655999999999999</v>
      </c>
      <c r="AH5" cm="1">
        <f t="array" aca="1" ref="AH5" ca="1">TREND($K5:$P5,$K$1:$P$1,AH$1)</f>
        <v>0.1080000000000001</v>
      </c>
      <c r="AI5" cm="1">
        <f t="array" aca="1" ref="AI5" ca="1">TREND($K5:$P5,$K$1:$P$1,AI$1)</f>
        <v>0.1094400000000002</v>
      </c>
      <c r="AJ5" cm="1">
        <f t="array" aca="1" ref="AJ5" ca="1">TREND($K5:$P5,$K$1:$P$1,AJ$1)</f>
        <v>0.11088000000000031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9.9360000000000004E-2</v>
      </c>
      <c r="C6">
        <f t="shared" ca="1" si="3"/>
        <v>9.9720000000000003E-2</v>
      </c>
      <c r="D6">
        <f t="shared" ca="1" si="0"/>
        <v>0.10008</v>
      </c>
      <c r="E6">
        <f t="shared" ca="1" si="0"/>
        <v>0.10044</v>
      </c>
      <c r="F6" s="32" cm="1">
        <f t="array" aca="1" ref="F6" ca="1">INDIRECT(CONCATENATE("'",HLOOKUP(F$1,$B$21:$E$23,3,FALSE),"'!",$B$25,ROW($A6)+5))*About!$A$27</f>
        <v>0.1008</v>
      </c>
      <c r="G6">
        <f t="shared" ca="1" si="4"/>
        <v>0.101952</v>
      </c>
      <c r="H6">
        <f t="shared" ca="1" si="1"/>
        <v>0.103104</v>
      </c>
      <c r="I6">
        <f t="shared" ca="1" si="1"/>
        <v>0.10425599999999999</v>
      </c>
      <c r="J6">
        <f t="shared" ca="1" si="1"/>
        <v>0.10540799999999999</v>
      </c>
      <c r="K6" s="32" cm="1">
        <f t="array" aca="1" ref="K6" ca="1">INDIRECT(CONCATENATE("'",HLOOKUP(K$1,$B$21:$E$23,3,FALSE),"'!",$B$25,ROW($A6)+5))*About!$A$27</f>
        <v>0.10655999999999999</v>
      </c>
      <c r="L6">
        <f t="shared" ca="1" si="5"/>
        <v>0.10886399999999999</v>
      </c>
      <c r="M6">
        <f t="shared" ca="1" si="2"/>
        <v>0.11116799999999999</v>
      </c>
      <c r="N6">
        <f t="shared" ca="1" si="2"/>
        <v>0.113472</v>
      </c>
      <c r="O6">
        <f t="shared" ca="1" si="2"/>
        <v>0.115776</v>
      </c>
      <c r="P6" s="32" cm="1">
        <f t="array" aca="1" ref="P6" ca="1">INDIRECT(CONCATENATE("'",HLOOKUP(P$1,$B$21:$E$23,3,FALSE),"'!",$B$25,ROW($A6)+5))*About!$A$27</f>
        <v>0.11808</v>
      </c>
      <c r="Q6" cm="1">
        <f t="array" aca="1" ref="Q6" ca="1">TREND($K6:$P6,$K$1:$P$1,Q$1)</f>
        <v>0.12038400000000049</v>
      </c>
      <c r="R6" cm="1">
        <f t="array" aca="1" ref="R6" ca="1">TREND($K6:$P6,$K$1:$P$1,R$1)</f>
        <v>0.12268800000000013</v>
      </c>
      <c r="S6" cm="1">
        <f t="array" aca="1" ref="S6" ca="1">TREND($K6:$P6,$K$1:$P$1,S$1)</f>
        <v>0.12499200000000066</v>
      </c>
      <c r="T6" cm="1">
        <f t="array" aca="1" ref="T6" ca="1">TREND($K6:$P6,$K$1:$P$1,T$1)</f>
        <v>0.1272960000000003</v>
      </c>
      <c r="U6" cm="1">
        <f t="array" aca="1" ref="U6" ca="1">TREND($K6:$P6,$K$1:$P$1,U$1)</f>
        <v>0.12960000000000083</v>
      </c>
      <c r="V6" cm="1">
        <f t="array" aca="1" ref="V6" ca="1">TREND($K6:$P6,$K$1:$P$1,V$1)</f>
        <v>0.13190400000000047</v>
      </c>
      <c r="W6" cm="1">
        <f t="array" aca="1" ref="W6" ca="1">TREND($K6:$P6,$K$1:$P$1,W$1)</f>
        <v>0.1342080000000001</v>
      </c>
      <c r="X6" cm="1">
        <f t="array" aca="1" ref="X6" ca="1">TREND($K6:$P6,$K$1:$P$1,X$1)</f>
        <v>0.13651200000000063</v>
      </c>
      <c r="Y6" cm="1">
        <f t="array" aca="1" ref="Y6" ca="1">TREND($K6:$P6,$K$1:$P$1,Y$1)</f>
        <v>0.13881600000000027</v>
      </c>
      <c r="Z6" cm="1">
        <f t="array" aca="1" ref="Z6" ca="1">TREND($K6:$P6,$K$1:$P$1,Z$1)</f>
        <v>0.1411200000000008</v>
      </c>
      <c r="AA6" cm="1">
        <f t="array" aca="1" ref="AA6" ca="1">TREND($K6:$P6,$K$1:$P$1,AA$1)</f>
        <v>0.14342400000000044</v>
      </c>
      <c r="AB6" cm="1">
        <f t="array" aca="1" ref="AB6" ca="1">TREND($K6:$P6,$K$1:$P$1,AB$1)</f>
        <v>0.14572800000000097</v>
      </c>
      <c r="AC6" cm="1">
        <f t="array" aca="1" ref="AC6" ca="1">TREND($K6:$P6,$K$1:$P$1,AC$1)</f>
        <v>0.14803200000000061</v>
      </c>
      <c r="AD6" cm="1">
        <f t="array" aca="1" ref="AD6" ca="1">TREND($K6:$P6,$K$1:$P$1,AD$1)</f>
        <v>0.15033600000000025</v>
      </c>
      <c r="AE6" cm="1">
        <f t="array" aca="1" ref="AE6" ca="1">TREND($K6:$P6,$K$1:$P$1,AE$1)</f>
        <v>0.15264000000000078</v>
      </c>
      <c r="AF6" cm="1">
        <f t="array" aca="1" ref="AF6" ca="1">TREND($K6:$P6,$K$1:$P$1,AF$1)</f>
        <v>0.15494400000000041</v>
      </c>
      <c r="AG6" cm="1">
        <f t="array" aca="1" ref="AG6" ca="1">TREND($K6:$P6,$K$1:$P$1,AG$1)</f>
        <v>0.15724800000000094</v>
      </c>
      <c r="AH6" cm="1">
        <f t="array" aca="1" ref="AH6" ca="1">TREND($K6:$P6,$K$1:$P$1,AH$1)</f>
        <v>0.15955200000000058</v>
      </c>
      <c r="AI6" cm="1">
        <f t="array" aca="1" ref="AI6" ca="1">TREND($K6:$P6,$K$1:$P$1,AI$1)</f>
        <v>0.16185600000000022</v>
      </c>
      <c r="AJ6" cm="1">
        <f t="array" aca="1" ref="AJ6" ca="1">TREND($K6:$P6,$K$1:$P$1,AJ$1)</f>
        <v>0.16416000000000075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2.7359999999999998</v>
      </c>
      <c r="C7">
        <f t="shared" ca="1" si="3"/>
        <v>2.7719999999999998</v>
      </c>
      <c r="D7">
        <f t="shared" ca="1" si="0"/>
        <v>2.8079999999999998</v>
      </c>
      <c r="E7">
        <f t="shared" ca="1" si="0"/>
        <v>2.8439999999999999</v>
      </c>
      <c r="F7" s="32" cm="1">
        <f t="array" aca="1" ref="F7" ca="1">INDIRECT(CONCATENATE("'",HLOOKUP(F$1,$B$21:$E$23,3,FALSE),"'!",$B$25,ROW($A7)+5))*About!$A$27</f>
        <v>2.88</v>
      </c>
      <c r="G7">
        <f t="shared" ca="1" si="4"/>
        <v>2.9087999999999998</v>
      </c>
      <c r="H7">
        <f t="shared" ca="1" si="1"/>
        <v>2.9375999999999998</v>
      </c>
      <c r="I7">
        <f t="shared" ca="1" si="1"/>
        <v>2.9664000000000001</v>
      </c>
      <c r="J7">
        <f t="shared" ca="1" si="1"/>
        <v>2.9952000000000001</v>
      </c>
      <c r="K7" s="32" cm="1">
        <f t="array" aca="1" ref="K7" ca="1">INDIRECT(CONCATENATE("'",HLOOKUP(K$1,$B$21:$E$23,3,FALSE),"'!",$B$25,ROW($A7)+5))*About!$A$27</f>
        <v>3.024</v>
      </c>
      <c r="L7">
        <f t="shared" ca="1" si="5"/>
        <v>3.024</v>
      </c>
      <c r="M7">
        <f t="shared" ca="1" si="2"/>
        <v>3.024</v>
      </c>
      <c r="N7">
        <f t="shared" ca="1" si="2"/>
        <v>3.024</v>
      </c>
      <c r="O7">
        <f t="shared" ca="1" si="2"/>
        <v>3.024</v>
      </c>
      <c r="P7" s="32" cm="1">
        <f t="array" aca="1" ref="P7" ca="1">INDIRECT(CONCATENATE("'",HLOOKUP(P$1,$B$21:$E$23,3,FALSE),"'!",$B$25,ROW($A7)+5))*About!$A$27</f>
        <v>3.024</v>
      </c>
      <c r="Q7" cm="1">
        <f t="array" aca="1" ref="Q7" ca="1">TREND($K7:$P7,$K$1:$P$1,Q$1)</f>
        <v>3.0240000000000005</v>
      </c>
      <c r="R7" cm="1">
        <f t="array" aca="1" ref="R7" ca="1">TREND($K7:$P7,$K$1:$P$1,R$1)</f>
        <v>3.0240000000000005</v>
      </c>
      <c r="S7" cm="1">
        <f t="array" aca="1" ref="S7" ca="1">TREND($K7:$P7,$K$1:$P$1,S$1)</f>
        <v>3.0240000000000005</v>
      </c>
      <c r="T7" cm="1">
        <f t="array" aca="1" ref="T7" ca="1">TREND($K7:$P7,$K$1:$P$1,T$1)</f>
        <v>3.0240000000000005</v>
      </c>
      <c r="U7" cm="1">
        <f t="array" aca="1" ref="U7" ca="1">TREND($K7:$P7,$K$1:$P$1,U$1)</f>
        <v>3.0240000000000005</v>
      </c>
      <c r="V7" cm="1">
        <f t="array" aca="1" ref="V7" ca="1">TREND($K7:$P7,$K$1:$P$1,V$1)</f>
        <v>3.0240000000000005</v>
      </c>
      <c r="W7" cm="1">
        <f t="array" aca="1" ref="W7" ca="1">TREND($K7:$P7,$K$1:$P$1,W$1)</f>
        <v>3.0240000000000005</v>
      </c>
      <c r="X7" cm="1">
        <f t="array" aca="1" ref="X7" ca="1">TREND($K7:$P7,$K$1:$P$1,X$1)</f>
        <v>3.0240000000000005</v>
      </c>
      <c r="Y7" cm="1">
        <f t="array" aca="1" ref="Y7" ca="1">TREND($K7:$P7,$K$1:$P$1,Y$1)</f>
        <v>3.0240000000000005</v>
      </c>
      <c r="Z7" cm="1">
        <f t="array" aca="1" ref="Z7" ca="1">TREND($K7:$P7,$K$1:$P$1,Z$1)</f>
        <v>3.0240000000000005</v>
      </c>
      <c r="AA7" cm="1">
        <f t="array" aca="1" ref="AA7" ca="1">TREND($K7:$P7,$K$1:$P$1,AA$1)</f>
        <v>3.0240000000000005</v>
      </c>
      <c r="AB7" cm="1">
        <f t="array" aca="1" ref="AB7" ca="1">TREND($K7:$P7,$K$1:$P$1,AB$1)</f>
        <v>3.0240000000000005</v>
      </c>
      <c r="AC7" cm="1">
        <f t="array" aca="1" ref="AC7" ca="1">TREND($K7:$P7,$K$1:$P$1,AC$1)</f>
        <v>3.0240000000000005</v>
      </c>
      <c r="AD7" cm="1">
        <f t="array" aca="1" ref="AD7" ca="1">TREND($K7:$P7,$K$1:$P$1,AD$1)</f>
        <v>3.0240000000000005</v>
      </c>
      <c r="AE7" cm="1">
        <f t="array" aca="1" ref="AE7" ca="1">TREND($K7:$P7,$K$1:$P$1,AE$1)</f>
        <v>3.0240000000000005</v>
      </c>
      <c r="AF7" cm="1">
        <f t="array" aca="1" ref="AF7" ca="1">TREND($K7:$P7,$K$1:$P$1,AF$1)</f>
        <v>3.0240000000000005</v>
      </c>
      <c r="AG7" cm="1">
        <f t="array" aca="1" ref="AG7" ca="1">TREND($K7:$P7,$K$1:$P$1,AG$1)</f>
        <v>3.0240000000000005</v>
      </c>
      <c r="AH7" cm="1">
        <f t="array" aca="1" ref="AH7" ca="1">TREND($K7:$P7,$K$1:$P$1,AH$1)</f>
        <v>3.0240000000000005</v>
      </c>
      <c r="AI7" cm="1">
        <f t="array" aca="1" ref="AI7" ca="1">TREND($K7:$P7,$K$1:$P$1,AI$1)</f>
        <v>3.0240000000000005</v>
      </c>
      <c r="AJ7" cm="1">
        <f t="array" aca="1" ref="AJ7" ca="1">TREND($K7:$P7,$K$1:$P$1,AJ$1)</f>
        <v>3.0240000000000005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0.47520000000000001</v>
      </c>
      <c r="C8">
        <f t="shared" ca="1" si="3"/>
        <v>0.4788</v>
      </c>
      <c r="D8">
        <f t="shared" ca="1" si="0"/>
        <v>0.48240000000000005</v>
      </c>
      <c r="E8">
        <f t="shared" ca="1" si="0"/>
        <v>0.48600000000000004</v>
      </c>
      <c r="F8" s="32" cm="1">
        <f t="array" aca="1" ref="F8" ca="1">INDIRECT(CONCATENATE("'",HLOOKUP(F$1,$B$21:$E$23,3,FALSE),"'!",$B$25,ROW($A8)+5))*About!$A$27</f>
        <v>0.48960000000000004</v>
      </c>
      <c r="G8">
        <f t="shared" ca="1" si="4"/>
        <v>0.49248000000000003</v>
      </c>
      <c r="H8">
        <f t="shared" ca="1" si="1"/>
        <v>0.49536000000000002</v>
      </c>
      <c r="I8">
        <f t="shared" ca="1" si="1"/>
        <v>0.49824000000000002</v>
      </c>
      <c r="J8">
        <f t="shared" ca="1" si="1"/>
        <v>0.50112000000000001</v>
      </c>
      <c r="K8" s="32" cm="1">
        <f t="array" aca="1" ref="K8" ca="1">INDIRECT(CONCATENATE("'",HLOOKUP(K$1,$B$21:$E$23,3,FALSE),"'!",$B$25,ROW($A8)+5))*About!$A$27</f>
        <v>0.504</v>
      </c>
      <c r="L8">
        <f t="shared" ca="1" si="5"/>
        <v>0.50975999999999999</v>
      </c>
      <c r="M8">
        <f t="shared" ca="1" si="2"/>
        <v>0.51551999999999998</v>
      </c>
      <c r="N8">
        <f t="shared" ca="1" si="2"/>
        <v>0.52127999999999997</v>
      </c>
      <c r="O8">
        <f t="shared" ca="1" si="2"/>
        <v>0.52703999999999995</v>
      </c>
      <c r="P8" s="32" cm="1">
        <f t="array" aca="1" ref="P8" ca="1">INDIRECT(CONCATENATE("'",HLOOKUP(P$1,$B$21:$E$23,3,FALSE),"'!",$B$25,ROW($A8)+5))*About!$A$27</f>
        <v>0.53279999999999994</v>
      </c>
      <c r="Q8" cm="1">
        <f t="array" aca="1" ref="Q8" ca="1">TREND($K8:$P8,$K$1:$P$1,Q$1)</f>
        <v>0.5385599999999986</v>
      </c>
      <c r="R8" cm="1">
        <f t="array" aca="1" ref="R8" ca="1">TREND($K8:$P8,$K$1:$P$1,R$1)</f>
        <v>0.54431999999999903</v>
      </c>
      <c r="S8" cm="1">
        <f t="array" aca="1" ref="S8" ca="1">TREND($K8:$P8,$K$1:$P$1,S$1)</f>
        <v>0.55007999999999946</v>
      </c>
      <c r="T8" cm="1">
        <f t="array" aca="1" ref="T8" ca="1">TREND($K8:$P8,$K$1:$P$1,T$1)</f>
        <v>0.55583999999999989</v>
      </c>
      <c r="U8" cm="1">
        <f t="array" aca="1" ref="U8" ca="1">TREND($K8:$P8,$K$1:$P$1,U$1)</f>
        <v>0.56159999999999854</v>
      </c>
      <c r="V8" cm="1">
        <f t="array" aca="1" ref="V8" ca="1">TREND($K8:$P8,$K$1:$P$1,V$1)</f>
        <v>0.56735999999999898</v>
      </c>
      <c r="W8" cm="1">
        <f t="array" aca="1" ref="W8" ca="1">TREND($K8:$P8,$K$1:$P$1,W$1)</f>
        <v>0.57311999999999941</v>
      </c>
      <c r="X8" cm="1">
        <f t="array" aca="1" ref="X8" ca="1">TREND($K8:$P8,$K$1:$P$1,X$1)</f>
        <v>0.57887999999999806</v>
      </c>
      <c r="Y8" cm="1">
        <f t="array" aca="1" ref="Y8" ca="1">TREND($K8:$P8,$K$1:$P$1,Y$1)</f>
        <v>0.58463999999999849</v>
      </c>
      <c r="Z8" cm="1">
        <f t="array" aca="1" ref="Z8" ca="1">TREND($K8:$P8,$K$1:$P$1,Z$1)</f>
        <v>0.59039999999999893</v>
      </c>
      <c r="AA8" cm="1">
        <f t="array" aca="1" ref="AA8" ca="1">TREND($K8:$P8,$K$1:$P$1,AA$1)</f>
        <v>0.59615999999999936</v>
      </c>
      <c r="AB8" cm="1">
        <f t="array" aca="1" ref="AB8" ca="1">TREND($K8:$P8,$K$1:$P$1,AB$1)</f>
        <v>0.60191999999999979</v>
      </c>
      <c r="AC8" cm="1">
        <f t="array" aca="1" ref="AC8" ca="1">TREND($K8:$P8,$K$1:$P$1,AC$1)</f>
        <v>0.60767999999999844</v>
      </c>
      <c r="AD8" cm="1">
        <f t="array" aca="1" ref="AD8" ca="1">TREND($K8:$P8,$K$1:$P$1,AD$1)</f>
        <v>0.61343999999999888</v>
      </c>
      <c r="AE8" cm="1">
        <f t="array" aca="1" ref="AE8" ca="1">TREND($K8:$P8,$K$1:$P$1,AE$1)</f>
        <v>0.61919999999999931</v>
      </c>
      <c r="AF8" cm="1">
        <f t="array" aca="1" ref="AF8" ca="1">TREND($K8:$P8,$K$1:$P$1,AF$1)</f>
        <v>0.62495999999999796</v>
      </c>
      <c r="AG8" cm="1">
        <f t="array" aca="1" ref="AG8" ca="1">TREND($K8:$P8,$K$1:$P$1,AG$1)</f>
        <v>0.63071999999999839</v>
      </c>
      <c r="AH8" cm="1">
        <f t="array" aca="1" ref="AH8" ca="1">TREND($K8:$P8,$K$1:$P$1,AH$1)</f>
        <v>0.63647999999999882</v>
      </c>
      <c r="AI8" cm="1">
        <f t="array" aca="1" ref="AI8" ca="1">TREND($K8:$P8,$K$1:$P$1,AI$1)</f>
        <v>0.64223999999999926</v>
      </c>
      <c r="AJ8" cm="1">
        <f t="array" aca="1" ref="AJ8" ca="1">TREND($K8:$P8,$K$1:$P$1,AJ$1)</f>
        <v>0.64799999999999969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0.11663999999999999</v>
      </c>
      <c r="C9">
        <f t="shared" ca="1" si="3"/>
        <v>0.11699999999999999</v>
      </c>
      <c r="D9">
        <f t="shared" ca="1" si="0"/>
        <v>0.11735999999999999</v>
      </c>
      <c r="E9">
        <f t="shared" ca="1" si="0"/>
        <v>0.11772000000000001</v>
      </c>
      <c r="F9" s="32" cm="1">
        <f t="array" aca="1" ref="F9" ca="1">INDIRECT(CONCATENATE("'",HLOOKUP(F$1,$B$21:$E$23,3,FALSE),"'!",$B$25,ROW($A9)+5))*About!$A$27</f>
        <v>0.11808</v>
      </c>
      <c r="G9">
        <f t="shared" ca="1" si="4"/>
        <v>0.11952</v>
      </c>
      <c r="H9">
        <f t="shared" ca="1" si="1"/>
        <v>0.12096</v>
      </c>
      <c r="I9">
        <f t="shared" ca="1" si="1"/>
        <v>0.12239999999999998</v>
      </c>
      <c r="J9">
        <f t="shared" ca="1" si="1"/>
        <v>0.12383999999999998</v>
      </c>
      <c r="K9" s="32" cm="1">
        <f t="array" aca="1" ref="K9" ca="1">INDIRECT(CONCATENATE("'",HLOOKUP(K$1,$B$21:$E$23,3,FALSE),"'!",$B$25,ROW($A9)+5))*About!$A$27</f>
        <v>0.12527999999999997</v>
      </c>
      <c r="L9">
        <f t="shared" ca="1" si="5"/>
        <v>0.12729599999999999</v>
      </c>
      <c r="M9">
        <f t="shared" ca="1" si="2"/>
        <v>0.12931199999999998</v>
      </c>
      <c r="N9">
        <f t="shared" ca="1" si="2"/>
        <v>0.131328</v>
      </c>
      <c r="O9">
        <f t="shared" ca="1" si="2"/>
        <v>0.13334399999999999</v>
      </c>
      <c r="P9" s="32" cm="1">
        <f t="array" aca="1" ref="P9" ca="1">INDIRECT(CONCATENATE("'",HLOOKUP(P$1,$B$21:$E$23,3,FALSE),"'!",$B$25,ROW($A9)+5))*About!$A$27</f>
        <v>0.13536000000000001</v>
      </c>
      <c r="Q9" cm="1">
        <f t="array" aca="1" ref="Q9" ca="1">TREND($K9:$P9,$K$1:$P$1,Q$1)</f>
        <v>0.13737599999999972</v>
      </c>
      <c r="R9" cm="1">
        <f t="array" aca="1" ref="R9" ca="1">TREND($K9:$P9,$K$1:$P$1,R$1)</f>
        <v>0.13939199999999996</v>
      </c>
      <c r="S9" cm="1">
        <f t="array" aca="1" ref="S9" ca="1">TREND($K9:$P9,$K$1:$P$1,S$1)</f>
        <v>0.1414080000000002</v>
      </c>
      <c r="T9" cm="1">
        <f t="array" aca="1" ref="T9" ca="1">TREND($K9:$P9,$K$1:$P$1,T$1)</f>
        <v>0.14342400000000044</v>
      </c>
      <c r="U9" cm="1">
        <f t="array" aca="1" ref="U9" ca="1">TREND($K9:$P9,$K$1:$P$1,U$1)</f>
        <v>0.14543999999999979</v>
      </c>
      <c r="V9" cm="1">
        <f t="array" aca="1" ref="V9" ca="1">TREND($K9:$P9,$K$1:$P$1,V$1)</f>
        <v>0.14745600000000003</v>
      </c>
      <c r="W9" cm="1">
        <f t="array" aca="1" ref="W9" ca="1">TREND($K9:$P9,$K$1:$P$1,W$1)</f>
        <v>0.14947200000000027</v>
      </c>
      <c r="X9" cm="1">
        <f t="array" aca="1" ref="X9" ca="1">TREND($K9:$P9,$K$1:$P$1,X$1)</f>
        <v>0.15148800000000051</v>
      </c>
      <c r="Y9" cm="1">
        <f t="array" aca="1" ref="Y9" ca="1">TREND($K9:$P9,$K$1:$P$1,Y$1)</f>
        <v>0.15350399999999986</v>
      </c>
      <c r="Z9" cm="1">
        <f t="array" aca="1" ref="Z9" ca="1">TREND($K9:$P9,$K$1:$P$1,Z$1)</f>
        <v>0.1555200000000001</v>
      </c>
      <c r="AA9" cm="1">
        <f t="array" aca="1" ref="AA9" ca="1">TREND($K9:$P9,$K$1:$P$1,AA$1)</f>
        <v>0.15753600000000034</v>
      </c>
      <c r="AB9" cm="1">
        <f t="array" aca="1" ref="AB9" ca="1">TREND($K9:$P9,$K$1:$P$1,AB$1)</f>
        <v>0.15955200000000058</v>
      </c>
      <c r="AC9" cm="1">
        <f t="array" aca="1" ref="AC9" ca="1">TREND($K9:$P9,$K$1:$P$1,AC$1)</f>
        <v>0.16156799999999993</v>
      </c>
      <c r="AD9" cm="1">
        <f t="array" aca="1" ref="AD9" ca="1">TREND($K9:$P9,$K$1:$P$1,AD$1)</f>
        <v>0.16358400000000017</v>
      </c>
      <c r="AE9" cm="1">
        <f t="array" aca="1" ref="AE9" ca="1">TREND($K9:$P9,$K$1:$P$1,AE$1)</f>
        <v>0.16560000000000041</v>
      </c>
      <c r="AF9" cm="1">
        <f t="array" aca="1" ref="AF9" ca="1">TREND($K9:$P9,$K$1:$P$1,AF$1)</f>
        <v>0.16761600000000065</v>
      </c>
      <c r="AG9" cm="1">
        <f t="array" aca="1" ref="AG9" ca="1">TREND($K9:$P9,$K$1:$P$1,AG$1)</f>
        <v>0.16963200000000001</v>
      </c>
      <c r="AH9" cm="1">
        <f t="array" aca="1" ref="AH9" ca="1">TREND($K9:$P9,$K$1:$P$1,AH$1)</f>
        <v>0.17164800000000024</v>
      </c>
      <c r="AI9" cm="1">
        <f t="array" aca="1" ref="AI9" ca="1">TREND($K9:$P9,$K$1:$P$1,AI$1)</f>
        <v>0.17366400000000048</v>
      </c>
      <c r="AJ9" cm="1">
        <f t="array" aca="1" ref="AJ9" ca="1">TREND($K9:$P9,$K$1:$P$1,AJ$1)</f>
        <v>0.17567999999999984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7.1999999999999994E-4</v>
      </c>
      <c r="C10">
        <f t="shared" ca="1" si="3"/>
        <v>7.3799999999999994E-4</v>
      </c>
      <c r="D10">
        <f t="shared" ca="1" si="0"/>
        <v>7.5599999999999994E-4</v>
      </c>
      <c r="E10">
        <f t="shared" ca="1" si="0"/>
        <v>7.7400000000000006E-4</v>
      </c>
      <c r="F10" s="32" cm="1">
        <f t="array" aca="1" ref="F10" ca="1">INDIRECT(CONCATENATE("'",HLOOKUP(F$1,$B$21:$E$23,3,FALSE),"'!",$B$25,ROW($A10)+5))*About!$A$27</f>
        <v>7.9200000000000006E-4</v>
      </c>
      <c r="G10">
        <f t="shared" ca="1" si="4"/>
        <v>8.1216000000000003E-4</v>
      </c>
      <c r="H10">
        <f t="shared" ca="1" si="1"/>
        <v>8.3232E-4</v>
      </c>
      <c r="I10">
        <f t="shared" ca="1" si="1"/>
        <v>8.5248000000000008E-4</v>
      </c>
      <c r="J10">
        <f t="shared" ca="1" si="1"/>
        <v>8.7264000000000005E-4</v>
      </c>
      <c r="K10" s="32" cm="1">
        <f t="array" aca="1" ref="K10" ca="1">INDIRECT(CONCATENATE("'",HLOOKUP(K$1,$B$21:$E$23,3,FALSE),"'!",$B$25,ROW($A10)+5))*About!$A$27</f>
        <v>8.9280000000000002E-4</v>
      </c>
      <c r="L10">
        <f t="shared" ca="1" si="5"/>
        <v>9.1584000000000001E-4</v>
      </c>
      <c r="M10">
        <f t="shared" ca="1" si="2"/>
        <v>9.3888000000000001E-4</v>
      </c>
      <c r="N10">
        <f t="shared" ca="1" si="2"/>
        <v>9.6192000000000001E-4</v>
      </c>
      <c r="O10">
        <f t="shared" ca="1" si="2"/>
        <v>9.8496E-4</v>
      </c>
      <c r="P10" s="32" cm="1">
        <f t="array" aca="1" ref="P10" ca="1">INDIRECT(CONCATENATE("'",HLOOKUP(P$1,$B$21:$E$23,3,FALSE),"'!",$B$25,ROW($A10)+5))*About!$A$27</f>
        <v>1.008E-3</v>
      </c>
      <c r="Q10" cm="1">
        <f t="array" aca="1" ref="Q10" ca="1">TREND($K10:$P10,$K$1:$P$1,Q$1)</f>
        <v>1.031039999999997E-3</v>
      </c>
      <c r="R10" cm="1">
        <f t="array" aca="1" ref="R10" ca="1">TREND($K10:$P10,$K$1:$P$1,R$1)</f>
        <v>1.054079999999992E-3</v>
      </c>
      <c r="S10" cm="1">
        <f t="array" aca="1" ref="S10" ca="1">TREND($K10:$P10,$K$1:$P$1,S$1)</f>
        <v>1.0771199999999939E-3</v>
      </c>
      <c r="T10" cm="1">
        <f t="array" aca="1" ref="T10" ca="1">TREND($K10:$P10,$K$1:$P$1,T$1)</f>
        <v>1.1001599999999959E-3</v>
      </c>
      <c r="U10" cm="1">
        <f t="array" aca="1" ref="U10" ca="1">TREND($K10:$P10,$K$1:$P$1,U$1)</f>
        <v>1.1231999999999978E-3</v>
      </c>
      <c r="V10" cm="1">
        <f t="array" aca="1" ref="V10" ca="1">TREND($K10:$P10,$K$1:$P$1,V$1)</f>
        <v>1.1462399999999928E-3</v>
      </c>
      <c r="W10" cm="1">
        <f t="array" aca="1" ref="W10" ca="1">TREND($K10:$P10,$K$1:$P$1,W$1)</f>
        <v>1.1692799999999948E-3</v>
      </c>
      <c r="X10" cm="1">
        <f t="array" aca="1" ref="X10" ca="1">TREND($K10:$P10,$K$1:$P$1,X$1)</f>
        <v>1.1923199999999967E-3</v>
      </c>
      <c r="Y10" cm="1">
        <f t="array" aca="1" ref="Y10" ca="1">TREND($K10:$P10,$K$1:$P$1,Y$1)</f>
        <v>1.2153599999999987E-3</v>
      </c>
      <c r="Z10" cm="1">
        <f t="array" aca="1" ref="Z10" ca="1">TREND($K10:$P10,$K$1:$P$1,Z$1)</f>
        <v>1.2383999999999937E-3</v>
      </c>
      <c r="AA10" cm="1">
        <f t="array" aca="1" ref="AA10" ca="1">TREND($K10:$P10,$K$1:$P$1,AA$1)</f>
        <v>1.2614399999999956E-3</v>
      </c>
      <c r="AB10" cm="1">
        <f t="array" aca="1" ref="AB10" ca="1">TREND($K10:$P10,$K$1:$P$1,AB$1)</f>
        <v>1.2844799999999976E-3</v>
      </c>
      <c r="AC10" cm="1">
        <f t="array" aca="1" ref="AC10" ca="1">TREND($K10:$P10,$K$1:$P$1,AC$1)</f>
        <v>1.3075199999999926E-3</v>
      </c>
      <c r="AD10" cm="1">
        <f t="array" aca="1" ref="AD10" ca="1">TREND($K10:$P10,$K$1:$P$1,AD$1)</f>
        <v>1.3305599999999945E-3</v>
      </c>
      <c r="AE10" cm="1">
        <f t="array" aca="1" ref="AE10" ca="1">TREND($K10:$P10,$K$1:$P$1,AE$1)</f>
        <v>1.3535999999999965E-3</v>
      </c>
      <c r="AF10" cm="1">
        <f t="array" aca="1" ref="AF10" ca="1">TREND($K10:$P10,$K$1:$P$1,AF$1)</f>
        <v>1.3766399999999984E-3</v>
      </c>
      <c r="AG10" cm="1">
        <f t="array" aca="1" ref="AG10" ca="1">TREND($K10:$P10,$K$1:$P$1,AG$1)</f>
        <v>1.3996799999999934E-3</v>
      </c>
      <c r="AH10" cm="1">
        <f t="array" aca="1" ref="AH10" ca="1">TREND($K10:$P10,$K$1:$P$1,AH$1)</f>
        <v>1.4227199999999954E-3</v>
      </c>
      <c r="AI10" cm="1">
        <f t="array" aca="1" ref="AI10" ca="1">TREND($K10:$P10,$K$1:$P$1,AI$1)</f>
        <v>1.4457599999999973E-3</v>
      </c>
      <c r="AJ10" cm="1">
        <f t="array" aca="1" ref="AJ10" ca="1">TREND($K10:$P10,$K$1:$P$1,AJ$1)</f>
        <v>1.4687999999999923E-3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6.912E-4</v>
      </c>
      <c r="C11">
        <f t="shared" ca="1" si="3"/>
        <v>7.092E-4</v>
      </c>
      <c r="D11">
        <f t="shared" ca="1" si="0"/>
        <v>7.271999999999999E-4</v>
      </c>
      <c r="E11">
        <f t="shared" ca="1" si="0"/>
        <v>7.451999999999999E-4</v>
      </c>
      <c r="F11" s="32" cm="1">
        <f t="array" aca="1" ref="F11" ca="1">INDIRECT(CONCATENATE("'",HLOOKUP(F$1,$B$21:$E$23,3,FALSE),"'!",$B$25,ROW($A11)+5))*About!$A$27</f>
        <v>7.631999999999999E-4</v>
      </c>
      <c r="G11">
        <f t="shared" ca="1" si="4"/>
        <v>7.8335999999999987E-4</v>
      </c>
      <c r="H11">
        <f t="shared" ca="1" si="1"/>
        <v>8.0351999999999984E-4</v>
      </c>
      <c r="I11">
        <f t="shared" ca="1" si="1"/>
        <v>8.2367999999999992E-4</v>
      </c>
      <c r="J11">
        <f t="shared" ca="1" si="1"/>
        <v>8.4383999999999989E-4</v>
      </c>
      <c r="K11" s="32" cm="1">
        <f t="array" aca="1" ref="K11" ca="1">INDIRECT(CONCATENATE("'",HLOOKUP(K$1,$B$21:$E$23,3,FALSE),"'!",$B$25,ROW($A11)+5))*About!$A$27</f>
        <v>8.6399999999999986E-4</v>
      </c>
      <c r="L11">
        <f t="shared" ca="1" si="5"/>
        <v>8.8703999999999986E-4</v>
      </c>
      <c r="M11">
        <f t="shared" ca="1" si="2"/>
        <v>9.1007999999999985E-4</v>
      </c>
      <c r="N11">
        <f t="shared" ca="1" si="2"/>
        <v>9.3311999999999996E-4</v>
      </c>
      <c r="O11">
        <f t="shared" ca="1" si="2"/>
        <v>9.5615999999999995E-4</v>
      </c>
      <c r="P11" s="32" cm="1">
        <f t="array" aca="1" ref="P11" ca="1">INDIRECT(CONCATENATE("'",HLOOKUP(P$1,$B$21:$E$23,3,FALSE),"'!",$B$25,ROW($A11)+5))*About!$A$27</f>
        <v>9.7919999999999995E-4</v>
      </c>
      <c r="Q11" cm="1">
        <f t="array" aca="1" ref="Q11" ca="1">TREND($K11:$P11,$K$1:$P$1,Q$1)</f>
        <v>1.0022400000000015E-3</v>
      </c>
      <c r="R11" cm="1">
        <f t="array" aca="1" ref="R11" ca="1">TREND($K11:$P11,$K$1:$P$1,R$1)</f>
        <v>1.0252799999999965E-3</v>
      </c>
      <c r="S11" cm="1">
        <f t="array" aca="1" ref="S11" ca="1">TREND($K11:$P11,$K$1:$P$1,S$1)</f>
        <v>1.0483199999999984E-3</v>
      </c>
      <c r="T11" cm="1">
        <f t="array" aca="1" ref="T11" ca="1">TREND($K11:$P11,$K$1:$P$1,T$1)</f>
        <v>1.0713600000000004E-3</v>
      </c>
      <c r="U11" cm="1">
        <f t="array" aca="1" ref="U11" ca="1">TREND($K11:$P11,$K$1:$P$1,U$1)</f>
        <v>1.0944000000000023E-3</v>
      </c>
      <c r="V11" cm="1">
        <f t="array" aca="1" ref="V11" ca="1">TREND($K11:$P11,$K$1:$P$1,V$1)</f>
        <v>1.1174399999999973E-3</v>
      </c>
      <c r="W11" cm="1">
        <f t="array" aca="1" ref="W11" ca="1">TREND($K11:$P11,$K$1:$P$1,W$1)</f>
        <v>1.1404799999999993E-3</v>
      </c>
      <c r="X11" cm="1">
        <f t="array" aca="1" ref="X11" ca="1">TREND($K11:$P11,$K$1:$P$1,X$1)</f>
        <v>1.1635200000000012E-3</v>
      </c>
      <c r="Y11" cm="1">
        <f t="array" aca="1" ref="Y11" ca="1">TREND($K11:$P11,$K$1:$P$1,Y$1)</f>
        <v>1.1865600000000032E-3</v>
      </c>
      <c r="Z11" cm="1">
        <f t="array" aca="1" ref="Z11" ca="1">TREND($K11:$P11,$K$1:$P$1,Z$1)</f>
        <v>1.2095999999999982E-3</v>
      </c>
      <c r="AA11" cm="1">
        <f t="array" aca="1" ref="AA11" ca="1">TREND($K11:$P11,$K$1:$P$1,AA$1)</f>
        <v>1.2326400000000001E-3</v>
      </c>
      <c r="AB11" cm="1">
        <f t="array" aca="1" ref="AB11" ca="1">TREND($K11:$P11,$K$1:$P$1,AB$1)</f>
        <v>1.2556800000000021E-3</v>
      </c>
      <c r="AC11" cm="1">
        <f t="array" aca="1" ref="AC11" ca="1">TREND($K11:$P11,$K$1:$P$1,AC$1)</f>
        <v>1.2787199999999971E-3</v>
      </c>
      <c r="AD11" cm="1">
        <f t="array" aca="1" ref="AD11" ca="1">TREND($K11:$P11,$K$1:$P$1,AD$1)</f>
        <v>1.301759999999999E-3</v>
      </c>
      <c r="AE11" cm="1">
        <f t="array" aca="1" ref="AE11" ca="1">TREND($K11:$P11,$K$1:$P$1,AE$1)</f>
        <v>1.324800000000001E-3</v>
      </c>
      <c r="AF11" cm="1">
        <f t="array" aca="1" ref="AF11" ca="1">TREND($K11:$P11,$K$1:$P$1,AF$1)</f>
        <v>1.3478400000000029E-3</v>
      </c>
      <c r="AG11" cm="1">
        <f t="array" aca="1" ref="AG11" ca="1">TREND($K11:$P11,$K$1:$P$1,AG$1)</f>
        <v>1.3708799999999979E-3</v>
      </c>
      <c r="AH11" cm="1">
        <f t="array" aca="1" ref="AH11" ca="1">TREND($K11:$P11,$K$1:$P$1,AH$1)</f>
        <v>1.3939199999999999E-3</v>
      </c>
      <c r="AI11" cm="1">
        <f t="array" aca="1" ref="AI11" ca="1">TREND($K11:$P11,$K$1:$P$1,AI$1)</f>
        <v>1.4169600000000018E-3</v>
      </c>
      <c r="AJ11" cm="1">
        <f t="array" aca="1" ref="AJ11" ca="1">TREND($K11:$P11,$K$1:$P$1,AJ$1)</f>
        <v>1.4399999999999968E-3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3.1968000000000001E-3</v>
      </c>
      <c r="C12">
        <f t="shared" ca="1" si="3"/>
        <v>3.2760000000000003E-3</v>
      </c>
      <c r="D12">
        <f t="shared" ca="1" si="0"/>
        <v>3.3552E-3</v>
      </c>
      <c r="E12">
        <f t="shared" ca="1" si="0"/>
        <v>3.4344000000000002E-3</v>
      </c>
      <c r="F12" s="33">
        <f ca="1">SUM(INDIRECT(CONCATENATE("'",HLOOKUP(F$1,$B$21:$E$23,3,FALSE),"'!",$B$25,ROW($A12)+5,":",$B$25,ROW($A12)+6)))*About!$A$27</f>
        <v>3.5136000000000004E-3</v>
      </c>
      <c r="G12">
        <f t="shared" ca="1" si="4"/>
        <v>3.6086400000000002E-3</v>
      </c>
      <c r="H12">
        <f t="shared" ca="1" si="1"/>
        <v>3.70368E-3</v>
      </c>
      <c r="I12">
        <f t="shared" ca="1" si="1"/>
        <v>3.7987200000000002E-3</v>
      </c>
      <c r="J12">
        <f t="shared" ca="1" si="1"/>
        <v>3.89376E-3</v>
      </c>
      <c r="K12" s="33">
        <f ca="1">SUM(INDIRECT(CONCATENATE("'",HLOOKUP(K$1,$B$21:$E$23,3,FALSE),"'!",$B$25,ROW($A12)+5,":",$B$25,ROW($A12)+6)))*About!$A$27</f>
        <v>3.9887999999999998E-3</v>
      </c>
      <c r="L12">
        <f t="shared" ca="1" si="5"/>
        <v>4.08384E-3</v>
      </c>
      <c r="M12">
        <f t="shared" ca="1" si="2"/>
        <v>4.1788800000000003E-3</v>
      </c>
      <c r="N12">
        <f t="shared" ca="1" si="2"/>
        <v>4.2739199999999996E-3</v>
      </c>
      <c r="O12">
        <f t="shared" ca="1" si="2"/>
        <v>4.3689599999999999E-3</v>
      </c>
      <c r="P12" s="33">
        <f ca="1">SUM(INDIRECT(CONCATENATE("'",HLOOKUP(P$1,$B$21:$E$23,3,FALSE),"'!",$B$25,ROW($A12)+5,":",$B$25,ROW($A12)+6)))*About!$A$27</f>
        <v>4.4640000000000001E-3</v>
      </c>
      <c r="Q12" cm="1">
        <f t="array" aca="1" ref="Q12" ca="1">TREND($K12:$P12,$K$1:$P$1,Q$1)</f>
        <v>4.5590399999999864E-3</v>
      </c>
      <c r="R12" cm="1">
        <f t="array" aca="1" ref="R12" ca="1">TREND($K12:$P12,$K$1:$P$1,R$1)</f>
        <v>4.6540800000000049E-3</v>
      </c>
      <c r="S12" cm="1">
        <f t="array" aca="1" ref="S12" ca="1">TREND($K12:$P12,$K$1:$P$1,S$1)</f>
        <v>4.7491199999999956E-3</v>
      </c>
      <c r="T12" cm="1">
        <f t="array" aca="1" ref="T12" ca="1">TREND($K12:$P12,$K$1:$P$1,T$1)</f>
        <v>4.8441599999999863E-3</v>
      </c>
      <c r="U12" cm="1">
        <f t="array" aca="1" ref="U12" ca="1">TREND($K12:$P12,$K$1:$P$1,U$1)</f>
        <v>4.9392000000000047E-3</v>
      </c>
      <c r="V12" cm="1">
        <f t="array" aca="1" ref="V12" ca="1">TREND($K12:$P12,$K$1:$P$1,V$1)</f>
        <v>5.0342399999999954E-3</v>
      </c>
      <c r="W12" cm="1">
        <f t="array" aca="1" ref="W12" ca="1">TREND($K12:$P12,$K$1:$P$1,W$1)</f>
        <v>5.1292799999999861E-3</v>
      </c>
      <c r="X12" cm="1">
        <f t="array" aca="1" ref="X12" ca="1">TREND($K12:$P12,$K$1:$P$1,X$1)</f>
        <v>5.2243200000000045E-3</v>
      </c>
      <c r="Y12" cm="1">
        <f t="array" aca="1" ref="Y12" ca="1">TREND($K12:$P12,$K$1:$P$1,Y$1)</f>
        <v>5.3193599999999952E-3</v>
      </c>
      <c r="Z12" cm="1">
        <f t="array" aca="1" ref="Z12" ca="1">TREND($K12:$P12,$K$1:$P$1,Z$1)</f>
        <v>5.4143999999999859E-3</v>
      </c>
      <c r="AA12" cm="1">
        <f t="array" aca="1" ref="AA12" ca="1">TREND($K12:$P12,$K$1:$P$1,AA$1)</f>
        <v>5.5094400000000043E-3</v>
      </c>
      <c r="AB12" cm="1">
        <f t="array" aca="1" ref="AB12" ca="1">TREND($K12:$P12,$K$1:$P$1,AB$1)</f>
        <v>5.604479999999995E-3</v>
      </c>
      <c r="AC12" cm="1">
        <f t="array" aca="1" ref="AC12" ca="1">TREND($K12:$P12,$K$1:$P$1,AC$1)</f>
        <v>5.6995199999999857E-3</v>
      </c>
      <c r="AD12" cm="1">
        <f t="array" aca="1" ref="AD12" ca="1">TREND($K12:$P12,$K$1:$P$1,AD$1)</f>
        <v>5.7945600000000042E-3</v>
      </c>
      <c r="AE12" cm="1">
        <f t="array" aca="1" ref="AE12" ca="1">TREND($K12:$P12,$K$1:$P$1,AE$1)</f>
        <v>5.8895999999999948E-3</v>
      </c>
      <c r="AF12" cm="1">
        <f t="array" aca="1" ref="AF12" ca="1">TREND($K12:$P12,$K$1:$P$1,AF$1)</f>
        <v>5.9846399999999855E-3</v>
      </c>
      <c r="AG12" cm="1">
        <f t="array" aca="1" ref="AG12" ca="1">TREND($K12:$P12,$K$1:$P$1,AG$1)</f>
        <v>6.079680000000004E-3</v>
      </c>
      <c r="AH12" cm="1">
        <f t="array" aca="1" ref="AH12" ca="1">TREND($K12:$P12,$K$1:$P$1,AH$1)</f>
        <v>6.1747199999999947E-3</v>
      </c>
      <c r="AI12" cm="1">
        <f t="array" aca="1" ref="AI12" ca="1">TREND($K12:$P12,$K$1:$P$1,AI$1)</f>
        <v>6.2697599999999853E-3</v>
      </c>
      <c r="AJ12" cm="1">
        <f t="array" aca="1" ref="AJ12" ca="1">TREND($K12:$P12,$K$1:$P$1,AJ$1)</f>
        <v>6.3648000000000038E-3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HOIpTP-transport-SO2</v>
      </c>
    </row>
    <row r="18" spans="1:5" x14ac:dyDescent="0.25">
      <c r="A18" t="s">
        <v>83</v>
      </c>
      <c r="B18" t="str">
        <f ca="1">RIGHT(B17,LEN(B17)-7)</f>
        <v>transport-SO2</v>
      </c>
    </row>
    <row r="19" spans="1:5" x14ac:dyDescent="0.25">
      <c r="A19" t="s">
        <v>84</v>
      </c>
      <c r="B19" t="str">
        <f ca="1">LEFT(B18,FIND("-",B18)-1)</f>
        <v>transport</v>
      </c>
    </row>
    <row r="20" spans="1:5" x14ac:dyDescent="0.25">
      <c r="A20" t="s">
        <v>85</v>
      </c>
      <c r="B20" t="str">
        <f ca="1">VLOOKUP($B$19,Mappings!$A$22:$B$26,COLUMN(Mappings!$B$21),FALSE)</f>
        <v>on-road mobile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5">
      <c r="A23" s="28" t="s">
        <v>82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5">
      <c r="A24" t="s">
        <v>87</v>
      </c>
      <c r="B24" t="str">
        <f ca="1">REPLACE(B18,1,FIND("-",B18),"")</f>
        <v>SO2</v>
      </c>
    </row>
    <row r="25" spans="1:5" x14ac:dyDescent="0.25">
      <c r="A25" t="s">
        <v>88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6196-FC48-4EB3-ACE6-FCE83DB52743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9.3599999999999987E-4</v>
      </c>
      <c r="C2">
        <f ca="1">$B2+($F2-$B2)*(C$1-$B$1)/($F$1-$B$1)</f>
        <v>9.3959999999999985E-4</v>
      </c>
      <c r="D2">
        <f t="shared" ref="D2:E12" ca="1" si="0">$B2+($F2-$B2)*(D$1-$B$1)/($F$1-$B$1)</f>
        <v>9.4319999999999994E-4</v>
      </c>
      <c r="E2">
        <f t="shared" ca="1" si="0"/>
        <v>9.4680000000000003E-4</v>
      </c>
      <c r="F2" s="31" cm="1">
        <f t="array" aca="1" ref="F2" ca="1">INDIRECT(CONCATENATE("'",HLOOKUP(F$1,$B$21:$E$23,3,FALSE),"'!",$B$25,ROW($A2)+3))*About!$A$27</f>
        <v>9.5040000000000001E-4</v>
      </c>
      <c r="G2">
        <f ca="1">$F2+($K2-$F2)*(G$1-$F$1)/($K$1-$F$1)</f>
        <v>9.6192000000000001E-4</v>
      </c>
      <c r="H2">
        <f t="shared" ref="H2:J12" ca="1" si="1">$F2+($K2-$F2)*(H$1-$F$1)/($K$1-$F$1)</f>
        <v>9.7344E-4</v>
      </c>
      <c r="I2">
        <f t="shared" ca="1" si="1"/>
        <v>9.8496E-4</v>
      </c>
      <c r="J2">
        <f t="shared" ca="1" si="1"/>
        <v>9.9648000000000011E-4</v>
      </c>
      <c r="K2" s="31" cm="1">
        <f t="array" aca="1" ref="K2" ca="1">INDIRECT(CONCATENATE("'",HLOOKUP(K$1,$B$21:$E$23,3,FALSE),"'!",$B$25,ROW($A2)+3))*About!$A$27</f>
        <v>1.008E-3</v>
      </c>
      <c r="L2">
        <f ca="1">$K2+($P2-$K2)*(L$1-$K$1)/($P$1-$K$1)</f>
        <v>1.0195199999999999E-3</v>
      </c>
      <c r="M2">
        <f t="shared" ref="M2:O12" ca="1" si="2">$K2+($P2-$K2)*(M$1-$K$1)/($P$1-$K$1)</f>
        <v>1.03104E-3</v>
      </c>
      <c r="N2">
        <f t="shared" ca="1" si="2"/>
        <v>1.0425599999999999E-3</v>
      </c>
      <c r="O2">
        <f t="shared" ca="1" si="2"/>
        <v>1.05408E-3</v>
      </c>
      <c r="P2" s="31" cm="1">
        <f t="array" aca="1" ref="P2" ca="1">INDIRECT(CONCATENATE("'",HLOOKUP(P$1,$B$21:$E$23,3,FALSE),"'!",$B$25,ROW($A2)+3))*About!$A$27</f>
        <v>1.0655999999999999E-3</v>
      </c>
      <c r="Q2" cm="1">
        <f t="array" aca="1" ref="Q2" ca="1">TREND($K2:$P2,$K$1:$P$1,Q$1)</f>
        <v>1.0771200000000009E-3</v>
      </c>
      <c r="R2" cm="1">
        <f t="array" aca="1" ref="R2" ca="1">TREND($K2:$P2,$K$1:$P$1,R$1)</f>
        <v>1.0886400000000018E-3</v>
      </c>
      <c r="S2" cm="1">
        <f t="array" aca="1" ref="S2" ca="1">TREND($K2:$P2,$K$1:$P$1,S$1)</f>
        <v>1.1001599999999993E-3</v>
      </c>
      <c r="T2" cm="1">
        <f t="array" aca="1" ref="T2" ca="1">TREND($K2:$P2,$K$1:$P$1,T$1)</f>
        <v>1.1116800000000003E-3</v>
      </c>
      <c r="U2" cm="1">
        <f t="array" aca="1" ref="U2" ca="1">TREND($K2:$P2,$K$1:$P$1,U$1)</f>
        <v>1.1232000000000013E-3</v>
      </c>
      <c r="V2" cm="1">
        <f t="array" aca="1" ref="V2" ca="1">TREND($K2:$P2,$K$1:$P$1,V$1)</f>
        <v>1.1347199999999988E-3</v>
      </c>
      <c r="W2" cm="1">
        <f t="array" aca="1" ref="W2" ca="1">TREND($K2:$P2,$K$1:$P$1,W$1)</f>
        <v>1.1462399999999998E-3</v>
      </c>
      <c r="X2" cm="1">
        <f t="array" aca="1" ref="X2" ca="1">TREND($K2:$P2,$K$1:$P$1,X$1)</f>
        <v>1.1577600000000007E-3</v>
      </c>
      <c r="Y2" cm="1">
        <f t="array" aca="1" ref="Y2" ca="1">TREND($K2:$P2,$K$1:$P$1,Y$1)</f>
        <v>1.1692800000000017E-3</v>
      </c>
      <c r="Z2" cm="1">
        <f t="array" aca="1" ref="Z2" ca="1">TREND($K2:$P2,$K$1:$P$1,Z$1)</f>
        <v>1.1807999999999992E-3</v>
      </c>
      <c r="AA2" cm="1">
        <f t="array" aca="1" ref="AA2" ca="1">TREND($K2:$P2,$K$1:$P$1,AA$1)</f>
        <v>1.1923200000000002E-3</v>
      </c>
      <c r="AB2" cm="1">
        <f t="array" aca="1" ref="AB2" ca="1">TREND($K2:$P2,$K$1:$P$1,AB$1)</f>
        <v>1.2038400000000012E-3</v>
      </c>
      <c r="AC2" cm="1">
        <f t="array" aca="1" ref="AC2" ca="1">TREND($K2:$P2,$K$1:$P$1,AC$1)</f>
        <v>1.2153599999999987E-3</v>
      </c>
      <c r="AD2" cm="1">
        <f t="array" aca="1" ref="AD2" ca="1">TREND($K2:$P2,$K$1:$P$1,AD$1)</f>
        <v>1.2268799999999996E-3</v>
      </c>
      <c r="AE2" cm="1">
        <f t="array" aca="1" ref="AE2" ca="1">TREND($K2:$P2,$K$1:$P$1,AE$1)</f>
        <v>1.2384000000000006E-3</v>
      </c>
      <c r="AF2" cm="1">
        <f t="array" aca="1" ref="AF2" ca="1">TREND($K2:$P2,$K$1:$P$1,AF$1)</f>
        <v>1.2499200000000016E-3</v>
      </c>
      <c r="AG2" cm="1">
        <f t="array" aca="1" ref="AG2" ca="1">TREND($K2:$P2,$K$1:$P$1,AG$1)</f>
        <v>1.2614399999999991E-3</v>
      </c>
      <c r="AH2" cm="1">
        <f t="array" aca="1" ref="AH2" ca="1">TREND($K2:$P2,$K$1:$P$1,AH$1)</f>
        <v>1.2729600000000001E-3</v>
      </c>
      <c r="AI2" cm="1">
        <f t="array" aca="1" ref="AI2" ca="1">TREND($K2:$P2,$K$1:$P$1,AI$1)</f>
        <v>1.284480000000001E-3</v>
      </c>
      <c r="AJ2" cm="1">
        <f t="array" aca="1" ref="AJ2" ca="1">TREND($K2:$P2,$K$1:$P$1,AJ$1)</f>
        <v>1.2959999999999985E-3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4.6080000000000003E-4</v>
      </c>
      <c r="C3">
        <f t="shared" ref="C3:C12" ca="1" si="3">$B3+($F3-$B3)*(C$1-$B$1)/($F$1-$B$1)</f>
        <v>4.6080000000000003E-4</v>
      </c>
      <c r="D3">
        <f t="shared" ca="1" si="0"/>
        <v>4.6080000000000003E-4</v>
      </c>
      <c r="E3">
        <f t="shared" ca="1" si="0"/>
        <v>4.6080000000000003E-4</v>
      </c>
      <c r="F3" s="32" cm="1">
        <f t="array" aca="1" ref="F3" ca="1">INDIRECT(CONCATENATE("'",HLOOKUP(F$1,$B$21:$E$23,3,FALSE),"'!",$B$25,ROW($A3)+5))*About!$A$27</f>
        <v>4.6080000000000003E-4</v>
      </c>
      <c r="G3">
        <f t="shared" ref="G3:G12" ca="1" si="4">$F3+($K3-$F3)*(G$1-$F$1)/($K$1-$F$1)</f>
        <v>4.6368000000000001E-4</v>
      </c>
      <c r="H3">
        <f t="shared" ca="1" si="1"/>
        <v>4.6656000000000003E-4</v>
      </c>
      <c r="I3">
        <f t="shared" ca="1" si="1"/>
        <v>4.6944E-4</v>
      </c>
      <c r="J3">
        <f t="shared" ca="1" si="1"/>
        <v>4.7232000000000003E-4</v>
      </c>
      <c r="K3" s="32" cm="1">
        <f t="array" aca="1" ref="K3" ca="1">INDIRECT(CONCATENATE("'",HLOOKUP(K$1,$B$21:$E$23,3,FALSE),"'!",$B$25,ROW($A3)+5))*About!$A$27</f>
        <v>4.752E-4</v>
      </c>
      <c r="L3">
        <f t="shared" ref="L3:L12" ca="1" si="5">$K3+($P3-$K3)*(L$1-$K$1)/($P$1-$K$1)</f>
        <v>4.7807999999999998E-4</v>
      </c>
      <c r="M3">
        <f t="shared" ca="1" si="2"/>
        <v>4.8096E-4</v>
      </c>
      <c r="N3">
        <f t="shared" ca="1" si="2"/>
        <v>4.8383999999999998E-4</v>
      </c>
      <c r="O3">
        <f t="shared" ca="1" si="2"/>
        <v>4.8672E-4</v>
      </c>
      <c r="P3" s="32" cm="1">
        <f t="array" aca="1" ref="P3" ca="1">INDIRECT(CONCATENATE("'",HLOOKUP(P$1,$B$21:$E$23,3,FALSE),"'!",$B$25,ROW($A3)+5))*About!$A$27</f>
        <v>4.8959999999999997E-4</v>
      </c>
      <c r="Q3" cm="1">
        <f t="array" aca="1" ref="Q3" ca="1">TREND($K3:$P3,$K$1:$P$1,Q$1)</f>
        <v>4.9248E-4</v>
      </c>
      <c r="R3" cm="1">
        <f t="array" aca="1" ref="R3" ca="1">TREND($K3:$P3,$K$1:$P$1,R$1)</f>
        <v>4.9536000000000024E-4</v>
      </c>
      <c r="S3" cm="1">
        <f t="array" aca="1" ref="S3" ca="1">TREND($K3:$P3,$K$1:$P$1,S$1)</f>
        <v>4.9823999999999962E-4</v>
      </c>
      <c r="T3" cm="1">
        <f t="array" aca="1" ref="T3" ca="1">TREND($K3:$P3,$K$1:$P$1,T$1)</f>
        <v>5.0111999999999986E-4</v>
      </c>
      <c r="U3" cm="1">
        <f t="array" aca="1" ref="U3" ca="1">TREND($K3:$P3,$K$1:$P$1,U$1)</f>
        <v>5.0400000000000011E-4</v>
      </c>
      <c r="V3" cm="1">
        <f t="array" aca="1" ref="V3" ca="1">TREND($K3:$P3,$K$1:$P$1,V$1)</f>
        <v>5.0687999999999948E-4</v>
      </c>
      <c r="W3" cm="1">
        <f t="array" aca="1" ref="W3" ca="1">TREND($K3:$P3,$K$1:$P$1,W$1)</f>
        <v>5.0975999999999973E-4</v>
      </c>
      <c r="X3" cm="1">
        <f t="array" aca="1" ref="X3" ca="1">TREND($K3:$P3,$K$1:$P$1,X$1)</f>
        <v>5.1263999999999997E-4</v>
      </c>
      <c r="Y3" cm="1">
        <f t="array" aca="1" ref="Y3" ca="1">TREND($K3:$P3,$K$1:$P$1,Y$1)</f>
        <v>5.1552000000000021E-4</v>
      </c>
      <c r="Z3" cm="1">
        <f t="array" aca="1" ref="Z3" ca="1">TREND($K3:$P3,$K$1:$P$1,Z$1)</f>
        <v>5.1839999999999959E-4</v>
      </c>
      <c r="AA3" cm="1">
        <f t="array" aca="1" ref="AA3" ca="1">TREND($K3:$P3,$K$1:$P$1,AA$1)</f>
        <v>5.2127999999999983E-4</v>
      </c>
      <c r="AB3" cm="1">
        <f t="array" aca="1" ref="AB3" ca="1">TREND($K3:$P3,$K$1:$P$1,AB$1)</f>
        <v>5.2416000000000008E-4</v>
      </c>
      <c r="AC3" cm="1">
        <f t="array" aca="1" ref="AC3" ca="1">TREND($K3:$P3,$K$1:$P$1,AC$1)</f>
        <v>5.2703999999999945E-4</v>
      </c>
      <c r="AD3" cm="1">
        <f t="array" aca="1" ref="AD3" ca="1">TREND($K3:$P3,$K$1:$P$1,AD$1)</f>
        <v>5.299199999999997E-4</v>
      </c>
      <c r="AE3" cm="1">
        <f t="array" aca="1" ref="AE3" ca="1">TREND($K3:$P3,$K$1:$P$1,AE$1)</f>
        <v>5.3279999999999994E-4</v>
      </c>
      <c r="AF3" cm="1">
        <f t="array" aca="1" ref="AF3" ca="1">TREND($K3:$P3,$K$1:$P$1,AF$1)</f>
        <v>5.3568000000000018E-4</v>
      </c>
      <c r="AG3" cm="1">
        <f t="array" aca="1" ref="AG3" ca="1">TREND($K3:$P3,$K$1:$P$1,AG$1)</f>
        <v>5.3855999999999956E-4</v>
      </c>
      <c r="AH3" cm="1">
        <f t="array" aca="1" ref="AH3" ca="1">TREND($K3:$P3,$K$1:$P$1,AH$1)</f>
        <v>5.414399999999998E-4</v>
      </c>
      <c r="AI3" cm="1">
        <f t="array" aca="1" ref="AI3" ca="1">TREND($K3:$P3,$K$1:$P$1,AI$1)</f>
        <v>5.4432000000000005E-4</v>
      </c>
      <c r="AJ3" cm="1">
        <f t="array" aca="1" ref="AJ3" ca="1">TREND($K3:$P3,$K$1:$P$1,AJ$1)</f>
        <v>5.4719999999999942E-4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1.2239999999999998E-3</v>
      </c>
      <c r="C4">
        <f t="shared" ca="1" si="3"/>
        <v>1.2239999999999998E-3</v>
      </c>
      <c r="D4">
        <f t="shared" ca="1" si="0"/>
        <v>1.2239999999999998E-3</v>
      </c>
      <c r="E4">
        <f t="shared" ca="1" si="0"/>
        <v>1.2239999999999998E-3</v>
      </c>
      <c r="F4" s="32" cm="1">
        <f t="array" aca="1" ref="F4" ca="1">INDIRECT(CONCATENATE("'",HLOOKUP(F$1,$B$21:$E$23,3,FALSE),"'!",$B$25,ROW($A4)+5))*About!$A$27</f>
        <v>1.2239999999999998E-3</v>
      </c>
      <c r="G4">
        <f t="shared" ca="1" si="4"/>
        <v>1.2355199999999999E-3</v>
      </c>
      <c r="H4">
        <f t="shared" ca="1" si="1"/>
        <v>1.2470399999999998E-3</v>
      </c>
      <c r="I4">
        <f t="shared" ca="1" si="1"/>
        <v>1.2585599999999999E-3</v>
      </c>
      <c r="J4">
        <f t="shared" ca="1" si="1"/>
        <v>1.2700799999999998E-3</v>
      </c>
      <c r="K4" s="32" cm="1">
        <f t="array" aca="1" ref="K4" ca="1">INDIRECT(CONCATENATE("'",HLOOKUP(K$1,$B$21:$E$23,3,FALSE),"'!",$B$25,ROW($A4)+5))*About!$A$27</f>
        <v>1.2815999999999999E-3</v>
      </c>
      <c r="L4">
        <f t="shared" ca="1" si="5"/>
        <v>1.3017599999999999E-3</v>
      </c>
      <c r="M4">
        <f t="shared" ca="1" si="2"/>
        <v>1.3219199999999999E-3</v>
      </c>
      <c r="N4">
        <f t="shared" ca="1" si="2"/>
        <v>1.3420800000000001E-3</v>
      </c>
      <c r="O4">
        <f t="shared" ca="1" si="2"/>
        <v>1.36224E-3</v>
      </c>
      <c r="P4" s="32" cm="1">
        <f t="array" aca="1" ref="P4" ca="1">INDIRECT(CONCATENATE("'",HLOOKUP(P$1,$B$21:$E$23,3,FALSE),"'!",$B$25,ROW($A4)+5))*About!$A$27</f>
        <v>1.3824E-3</v>
      </c>
      <c r="Q4" cm="1">
        <f t="array" aca="1" ref="Q4" ca="1">TREND($K4:$P4,$K$1:$P$1,Q$1)</f>
        <v>1.4025600000000041E-3</v>
      </c>
      <c r="R4" cm="1">
        <f t="array" aca="1" ref="R4" ca="1">TREND($K4:$P4,$K$1:$P$1,R$1)</f>
        <v>1.4227200000000023E-3</v>
      </c>
      <c r="S4" cm="1">
        <f t="array" aca="1" ref="S4" ca="1">TREND($K4:$P4,$K$1:$P$1,S$1)</f>
        <v>1.4428800000000006E-3</v>
      </c>
      <c r="T4" cm="1">
        <f t="array" aca="1" ref="T4" ca="1">TREND($K4:$P4,$K$1:$P$1,T$1)</f>
        <v>1.4630399999999988E-3</v>
      </c>
      <c r="U4" cm="1">
        <f t="array" aca="1" ref="U4" ca="1">TREND($K4:$P4,$K$1:$P$1,U$1)</f>
        <v>1.483200000000004E-3</v>
      </c>
      <c r="V4" cm="1">
        <f t="array" aca="1" ref="V4" ca="1">TREND($K4:$P4,$K$1:$P$1,V$1)</f>
        <v>1.5033600000000022E-3</v>
      </c>
      <c r="W4" cm="1">
        <f t="array" aca="1" ref="W4" ca="1">TREND($K4:$P4,$K$1:$P$1,W$1)</f>
        <v>1.5235200000000004E-3</v>
      </c>
      <c r="X4" cm="1">
        <f t="array" aca="1" ref="X4" ca="1">TREND($K4:$P4,$K$1:$P$1,X$1)</f>
        <v>1.5436799999999987E-3</v>
      </c>
      <c r="Y4" cm="1">
        <f t="array" aca="1" ref="Y4" ca="1">TREND($K4:$P4,$K$1:$P$1,Y$1)</f>
        <v>1.5638400000000038E-3</v>
      </c>
      <c r="Z4" cm="1">
        <f t="array" aca="1" ref="Z4" ca="1">TREND($K4:$P4,$K$1:$P$1,Z$1)</f>
        <v>1.5840000000000021E-3</v>
      </c>
      <c r="AA4" cm="1">
        <f t="array" aca="1" ref="AA4" ca="1">TREND($K4:$P4,$K$1:$P$1,AA$1)</f>
        <v>1.6041600000000003E-3</v>
      </c>
      <c r="AB4" cm="1">
        <f t="array" aca="1" ref="AB4" ca="1">TREND($K4:$P4,$K$1:$P$1,AB$1)</f>
        <v>1.6243199999999985E-3</v>
      </c>
      <c r="AC4" cm="1">
        <f t="array" aca="1" ref="AC4" ca="1">TREND($K4:$P4,$K$1:$P$1,AC$1)</f>
        <v>1.6444800000000037E-3</v>
      </c>
      <c r="AD4" cm="1">
        <f t="array" aca="1" ref="AD4" ca="1">TREND($K4:$P4,$K$1:$P$1,AD$1)</f>
        <v>1.664640000000002E-3</v>
      </c>
      <c r="AE4" cm="1">
        <f t="array" aca="1" ref="AE4" ca="1">TREND($K4:$P4,$K$1:$P$1,AE$1)</f>
        <v>1.6848000000000002E-3</v>
      </c>
      <c r="AF4" cm="1">
        <f t="array" aca="1" ref="AF4" ca="1">TREND($K4:$P4,$K$1:$P$1,AF$1)</f>
        <v>1.7049599999999984E-3</v>
      </c>
      <c r="AG4" cm="1">
        <f t="array" aca="1" ref="AG4" ca="1">TREND($K4:$P4,$K$1:$P$1,AG$1)</f>
        <v>1.7251200000000036E-3</v>
      </c>
      <c r="AH4" cm="1">
        <f t="array" aca="1" ref="AH4" ca="1">TREND($K4:$P4,$K$1:$P$1,AH$1)</f>
        <v>1.7452800000000018E-3</v>
      </c>
      <c r="AI4" cm="1">
        <f t="array" aca="1" ref="AI4" ca="1">TREND($K4:$P4,$K$1:$P$1,AI$1)</f>
        <v>1.7654400000000001E-3</v>
      </c>
      <c r="AJ4" cm="1">
        <f t="array" aca="1" ref="AJ4" ca="1">TREND($K4:$P4,$K$1:$P$1,AJ$1)</f>
        <v>1.7856000000000052E-3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1.584E-2</v>
      </c>
      <c r="C5">
        <f t="shared" ca="1" si="3"/>
        <v>1.584E-2</v>
      </c>
      <c r="D5">
        <f t="shared" ca="1" si="0"/>
        <v>1.584E-2</v>
      </c>
      <c r="E5">
        <f t="shared" ca="1" si="0"/>
        <v>1.584E-2</v>
      </c>
      <c r="F5" s="32" cm="1">
        <f t="array" aca="1" ref="F5" ca="1">INDIRECT(CONCATENATE("'",HLOOKUP(F$1,$B$21:$E$23,3,FALSE),"'!",$B$25,ROW($A5)+5))*About!$A$27</f>
        <v>1.584E-2</v>
      </c>
      <c r="G5">
        <f t="shared" ca="1" si="4"/>
        <v>1.584E-2</v>
      </c>
      <c r="H5">
        <f t="shared" ca="1" si="1"/>
        <v>1.584E-2</v>
      </c>
      <c r="I5">
        <f t="shared" ca="1" si="1"/>
        <v>1.584E-2</v>
      </c>
      <c r="J5">
        <f t="shared" ca="1" si="1"/>
        <v>1.584E-2</v>
      </c>
      <c r="K5" s="32" cm="1">
        <f t="array" aca="1" ref="K5" ca="1">INDIRECT(CONCATENATE("'",HLOOKUP(K$1,$B$21:$E$23,3,FALSE),"'!",$B$25,ROW($A5)+5))*About!$A$27</f>
        <v>1.584E-2</v>
      </c>
      <c r="L5">
        <f t="shared" ca="1" si="5"/>
        <v>1.6128E-2</v>
      </c>
      <c r="M5">
        <f t="shared" ca="1" si="2"/>
        <v>1.6416E-2</v>
      </c>
      <c r="N5">
        <f t="shared" ca="1" si="2"/>
        <v>1.6704E-2</v>
      </c>
      <c r="O5">
        <f t="shared" ca="1" si="2"/>
        <v>1.6992E-2</v>
      </c>
      <c r="P5" s="32" cm="1">
        <f t="array" aca="1" ref="P5" ca="1">INDIRECT(CONCATENATE("'",HLOOKUP(P$1,$B$21:$E$23,3,FALSE),"'!",$B$25,ROW($A5)+5))*About!$A$27</f>
        <v>1.728E-2</v>
      </c>
      <c r="Q5" cm="1">
        <f t="array" aca="1" ref="Q5" ca="1">TREND($K5:$P5,$K$1:$P$1,Q$1)</f>
        <v>1.7568000000000028E-2</v>
      </c>
      <c r="R5" cm="1">
        <f t="array" aca="1" ref="R5" ca="1">TREND($K5:$P5,$K$1:$P$1,R$1)</f>
        <v>1.7855999999999983E-2</v>
      </c>
      <c r="S5" cm="1">
        <f t="array" aca="1" ref="S5" ca="1">TREND($K5:$P5,$K$1:$P$1,S$1)</f>
        <v>1.8144000000000049E-2</v>
      </c>
      <c r="T5" cm="1">
        <f t="array" aca="1" ref="T5" ca="1">TREND($K5:$P5,$K$1:$P$1,T$1)</f>
        <v>1.8432000000000004E-2</v>
      </c>
      <c r="U5" cm="1">
        <f t="array" aca="1" ref="U5" ca="1">TREND($K5:$P5,$K$1:$P$1,U$1)</f>
        <v>1.872000000000007E-2</v>
      </c>
      <c r="V5" cm="1">
        <f t="array" aca="1" ref="V5" ca="1">TREND($K5:$P5,$K$1:$P$1,V$1)</f>
        <v>1.9008000000000025E-2</v>
      </c>
      <c r="W5" cm="1">
        <f t="array" aca="1" ref="W5" ca="1">TREND($K5:$P5,$K$1:$P$1,W$1)</f>
        <v>1.9296000000000091E-2</v>
      </c>
      <c r="X5" cm="1">
        <f t="array" aca="1" ref="X5" ca="1">TREND($K5:$P5,$K$1:$P$1,X$1)</f>
        <v>1.9584000000000046E-2</v>
      </c>
      <c r="Y5" cm="1">
        <f t="array" aca="1" ref="Y5" ca="1">TREND($K5:$P5,$K$1:$P$1,Y$1)</f>
        <v>1.9872000000000001E-2</v>
      </c>
      <c r="Z5" cm="1">
        <f t="array" aca="1" ref="Z5" ca="1">TREND($K5:$P5,$K$1:$P$1,Z$1)</f>
        <v>2.0160000000000067E-2</v>
      </c>
      <c r="AA5" cm="1">
        <f t="array" aca="1" ref="AA5" ca="1">TREND($K5:$P5,$K$1:$P$1,AA$1)</f>
        <v>2.0448000000000022E-2</v>
      </c>
      <c r="AB5" cm="1">
        <f t="array" aca="1" ref="AB5" ca="1">TREND($K5:$P5,$K$1:$P$1,AB$1)</f>
        <v>2.0736000000000088E-2</v>
      </c>
      <c r="AC5" cm="1">
        <f t="array" aca="1" ref="AC5" ca="1">TREND($K5:$P5,$K$1:$P$1,AC$1)</f>
        <v>2.1024000000000043E-2</v>
      </c>
      <c r="AD5" cm="1">
        <f t="array" aca="1" ref="AD5" ca="1">TREND($K5:$P5,$K$1:$P$1,AD$1)</f>
        <v>2.1311999999999998E-2</v>
      </c>
      <c r="AE5" cm="1">
        <f t="array" aca="1" ref="AE5" ca="1">TREND($K5:$P5,$K$1:$P$1,AE$1)</f>
        <v>2.1600000000000064E-2</v>
      </c>
      <c r="AF5" cm="1">
        <f t="array" aca="1" ref="AF5" ca="1">TREND($K5:$P5,$K$1:$P$1,AF$1)</f>
        <v>2.1888000000000019E-2</v>
      </c>
      <c r="AG5" cm="1">
        <f t="array" aca="1" ref="AG5" ca="1">TREND($K5:$P5,$K$1:$P$1,AG$1)</f>
        <v>2.2176000000000085E-2</v>
      </c>
      <c r="AH5" cm="1">
        <f t="array" aca="1" ref="AH5" ca="1">TREND($K5:$P5,$K$1:$P$1,AH$1)</f>
        <v>2.2464000000000039E-2</v>
      </c>
      <c r="AI5" cm="1">
        <f t="array" aca="1" ref="AI5" ca="1">TREND($K5:$P5,$K$1:$P$1,AI$1)</f>
        <v>2.2751999999999994E-2</v>
      </c>
      <c r="AJ5" cm="1">
        <f t="array" aca="1" ref="AJ5" ca="1">TREND($K5:$P5,$K$1:$P$1,AJ$1)</f>
        <v>2.304000000000006E-2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2.3039999999999998E-2</v>
      </c>
      <c r="C6">
        <f t="shared" ca="1" si="3"/>
        <v>2.3039999999999998E-2</v>
      </c>
      <c r="D6">
        <f t="shared" ca="1" si="0"/>
        <v>2.3039999999999998E-2</v>
      </c>
      <c r="E6">
        <f t="shared" ca="1" si="0"/>
        <v>2.3039999999999998E-2</v>
      </c>
      <c r="F6" s="32" cm="1">
        <f t="array" aca="1" ref="F6" ca="1">INDIRECT(CONCATENATE("'",HLOOKUP(F$1,$B$21:$E$23,3,FALSE),"'!",$B$25,ROW($A6)+5))*About!$A$27</f>
        <v>2.3039999999999998E-2</v>
      </c>
      <c r="G6">
        <f t="shared" ca="1" si="4"/>
        <v>2.3039999999999998E-2</v>
      </c>
      <c r="H6">
        <f t="shared" ca="1" si="1"/>
        <v>2.3039999999999998E-2</v>
      </c>
      <c r="I6">
        <f t="shared" ca="1" si="1"/>
        <v>2.3039999999999998E-2</v>
      </c>
      <c r="J6">
        <f t="shared" ca="1" si="1"/>
        <v>2.3039999999999998E-2</v>
      </c>
      <c r="K6" s="32" cm="1">
        <f t="array" aca="1" ref="K6" ca="1">INDIRECT(CONCATENATE("'",HLOOKUP(K$1,$B$21:$E$23,3,FALSE),"'!",$B$25,ROW($A6)+5))*About!$A$27</f>
        <v>2.3039999999999998E-2</v>
      </c>
      <c r="L6">
        <f t="shared" ca="1" si="5"/>
        <v>2.3327999999999998E-2</v>
      </c>
      <c r="M6">
        <f t="shared" ca="1" si="2"/>
        <v>2.3615999999999998E-2</v>
      </c>
      <c r="N6">
        <f t="shared" ca="1" si="2"/>
        <v>2.3904000000000002E-2</v>
      </c>
      <c r="O6">
        <f t="shared" ca="1" si="2"/>
        <v>2.4192000000000002E-2</v>
      </c>
      <c r="P6" s="32" cm="1">
        <f t="array" aca="1" ref="P6" ca="1">INDIRECT(CONCATENATE("'",HLOOKUP(P$1,$B$21:$E$23,3,FALSE),"'!",$B$25,ROW($A6)+5))*About!$A$27</f>
        <v>2.4480000000000002E-2</v>
      </c>
      <c r="Q6" cm="1">
        <f t="array" aca="1" ref="Q6" ca="1">TREND($K6:$P6,$K$1:$P$1,Q$1)</f>
        <v>2.4768000000000012E-2</v>
      </c>
      <c r="R6" cm="1">
        <f t="array" aca="1" ref="R6" ca="1">TREND($K6:$P6,$K$1:$P$1,R$1)</f>
        <v>2.5055999999999967E-2</v>
      </c>
      <c r="S6" cm="1">
        <f t="array" aca="1" ref="S6" ca="1">TREND($K6:$P6,$K$1:$P$1,S$1)</f>
        <v>2.5344000000000033E-2</v>
      </c>
      <c r="T6" cm="1">
        <f t="array" aca="1" ref="T6" ca="1">TREND($K6:$P6,$K$1:$P$1,T$1)</f>
        <v>2.5631999999999988E-2</v>
      </c>
      <c r="U6" cm="1">
        <f t="array" aca="1" ref="U6" ca="1">TREND($K6:$P6,$K$1:$P$1,U$1)</f>
        <v>2.5920000000000054E-2</v>
      </c>
      <c r="V6" cm="1">
        <f t="array" aca="1" ref="V6" ca="1">TREND($K6:$P6,$K$1:$P$1,V$1)</f>
        <v>2.6208000000000009E-2</v>
      </c>
      <c r="W6" cm="1">
        <f t="array" aca="1" ref="W6" ca="1">TREND($K6:$P6,$K$1:$P$1,W$1)</f>
        <v>2.6495999999999964E-2</v>
      </c>
      <c r="X6" cm="1">
        <f t="array" aca="1" ref="X6" ca="1">TREND($K6:$P6,$K$1:$P$1,X$1)</f>
        <v>2.678400000000003E-2</v>
      </c>
      <c r="Y6" cm="1">
        <f t="array" aca="1" ref="Y6" ca="1">TREND($K6:$P6,$K$1:$P$1,Y$1)</f>
        <v>2.7071999999999985E-2</v>
      </c>
      <c r="Z6" cm="1">
        <f t="array" aca="1" ref="Z6" ca="1">TREND($K6:$P6,$K$1:$P$1,Z$1)</f>
        <v>2.7360000000000051E-2</v>
      </c>
      <c r="AA6" cm="1">
        <f t="array" aca="1" ref="AA6" ca="1">TREND($K6:$P6,$K$1:$P$1,AA$1)</f>
        <v>2.7648000000000006E-2</v>
      </c>
      <c r="AB6" cm="1">
        <f t="array" aca="1" ref="AB6" ca="1">TREND($K6:$P6,$K$1:$P$1,AB$1)</f>
        <v>2.7936000000000072E-2</v>
      </c>
      <c r="AC6" cm="1">
        <f t="array" aca="1" ref="AC6" ca="1">TREND($K6:$P6,$K$1:$P$1,AC$1)</f>
        <v>2.8224000000000027E-2</v>
      </c>
      <c r="AD6" cm="1">
        <f t="array" aca="1" ref="AD6" ca="1">TREND($K6:$P6,$K$1:$P$1,AD$1)</f>
        <v>2.8511999999999982E-2</v>
      </c>
      <c r="AE6" cm="1">
        <f t="array" aca="1" ref="AE6" ca="1">TREND($K6:$P6,$K$1:$P$1,AE$1)</f>
        <v>2.8800000000000048E-2</v>
      </c>
      <c r="AF6" cm="1">
        <f t="array" aca="1" ref="AF6" ca="1">TREND($K6:$P6,$K$1:$P$1,AF$1)</f>
        <v>2.9088000000000003E-2</v>
      </c>
      <c r="AG6" cm="1">
        <f t="array" aca="1" ref="AG6" ca="1">TREND($K6:$P6,$K$1:$P$1,AG$1)</f>
        <v>2.9376000000000069E-2</v>
      </c>
      <c r="AH6" cm="1">
        <f t="array" aca="1" ref="AH6" ca="1">TREND($K6:$P6,$K$1:$P$1,AH$1)</f>
        <v>2.9664000000000024E-2</v>
      </c>
      <c r="AI6" cm="1">
        <f t="array" aca="1" ref="AI6" ca="1">TREND($K6:$P6,$K$1:$P$1,AI$1)</f>
        <v>2.9951999999999979E-2</v>
      </c>
      <c r="AJ6" cm="1">
        <f t="array" aca="1" ref="AJ6" ca="1">TREND($K6:$P6,$K$1:$P$1,AJ$1)</f>
        <v>3.0240000000000045E-2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0.64800000000000002</v>
      </c>
      <c r="C7">
        <f t="shared" ca="1" si="3"/>
        <v>0.65159999999999996</v>
      </c>
      <c r="D7">
        <f t="shared" ca="1" si="0"/>
        <v>0.6552</v>
      </c>
      <c r="E7">
        <f t="shared" ca="1" si="0"/>
        <v>0.65880000000000005</v>
      </c>
      <c r="F7" s="32" cm="1">
        <f t="array" aca="1" ref="F7" ca="1">INDIRECT(CONCATENATE("'",HLOOKUP(F$1,$B$21:$E$23,3,FALSE),"'!",$B$25,ROW($A7)+5))*About!$A$27</f>
        <v>0.66239999999999999</v>
      </c>
      <c r="G7">
        <f t="shared" ca="1" si="4"/>
        <v>0.66239999999999999</v>
      </c>
      <c r="H7">
        <f t="shared" ca="1" si="1"/>
        <v>0.66239999999999999</v>
      </c>
      <c r="I7">
        <f t="shared" ca="1" si="1"/>
        <v>0.66239999999999999</v>
      </c>
      <c r="J7">
        <f t="shared" ca="1" si="1"/>
        <v>0.66239999999999999</v>
      </c>
      <c r="K7" s="32" cm="1">
        <f t="array" aca="1" ref="K7" ca="1">INDIRECT(CONCATENATE("'",HLOOKUP(K$1,$B$21:$E$23,3,FALSE),"'!",$B$25,ROW($A7)+5))*About!$A$27</f>
        <v>0.66239999999999999</v>
      </c>
      <c r="L7">
        <f t="shared" ca="1" si="5"/>
        <v>0.66239999999999999</v>
      </c>
      <c r="M7">
        <f t="shared" ca="1" si="2"/>
        <v>0.66239999999999999</v>
      </c>
      <c r="N7">
        <f t="shared" ca="1" si="2"/>
        <v>0.66239999999999999</v>
      </c>
      <c r="O7">
        <f t="shared" ca="1" si="2"/>
        <v>0.66239999999999999</v>
      </c>
      <c r="P7" s="32" cm="1">
        <f t="array" aca="1" ref="P7" ca="1">INDIRECT(CONCATENATE("'",HLOOKUP(P$1,$B$21:$E$23,3,FALSE),"'!",$B$25,ROW($A7)+5))*About!$A$27</f>
        <v>0.66239999999999999</v>
      </c>
      <c r="Q7" cm="1">
        <f t="array" aca="1" ref="Q7" ca="1">TREND($K7:$P7,$K$1:$P$1,Q$1)</f>
        <v>0.66239999999999999</v>
      </c>
      <c r="R7" cm="1">
        <f t="array" aca="1" ref="R7" ca="1">TREND($K7:$P7,$K$1:$P$1,R$1)</f>
        <v>0.66239999999999999</v>
      </c>
      <c r="S7" cm="1">
        <f t="array" aca="1" ref="S7" ca="1">TREND($K7:$P7,$K$1:$P$1,S$1)</f>
        <v>0.66239999999999999</v>
      </c>
      <c r="T7" cm="1">
        <f t="array" aca="1" ref="T7" ca="1">TREND($K7:$P7,$K$1:$P$1,T$1)</f>
        <v>0.66239999999999999</v>
      </c>
      <c r="U7" cm="1">
        <f t="array" aca="1" ref="U7" ca="1">TREND($K7:$P7,$K$1:$P$1,U$1)</f>
        <v>0.66239999999999999</v>
      </c>
      <c r="V7" cm="1">
        <f t="array" aca="1" ref="V7" ca="1">TREND($K7:$P7,$K$1:$P$1,V$1)</f>
        <v>0.66239999999999999</v>
      </c>
      <c r="W7" cm="1">
        <f t="array" aca="1" ref="W7" ca="1">TREND($K7:$P7,$K$1:$P$1,W$1)</f>
        <v>0.66239999999999999</v>
      </c>
      <c r="X7" cm="1">
        <f t="array" aca="1" ref="X7" ca="1">TREND($K7:$P7,$K$1:$P$1,X$1)</f>
        <v>0.66239999999999999</v>
      </c>
      <c r="Y7" cm="1">
        <f t="array" aca="1" ref="Y7" ca="1">TREND($K7:$P7,$K$1:$P$1,Y$1)</f>
        <v>0.66239999999999999</v>
      </c>
      <c r="Z7" cm="1">
        <f t="array" aca="1" ref="Z7" ca="1">TREND($K7:$P7,$K$1:$P$1,Z$1)</f>
        <v>0.66239999999999999</v>
      </c>
      <c r="AA7" cm="1">
        <f t="array" aca="1" ref="AA7" ca="1">TREND($K7:$P7,$K$1:$P$1,AA$1)</f>
        <v>0.66239999999999999</v>
      </c>
      <c r="AB7" cm="1">
        <f t="array" aca="1" ref="AB7" ca="1">TREND($K7:$P7,$K$1:$P$1,AB$1)</f>
        <v>0.66239999999999999</v>
      </c>
      <c r="AC7" cm="1">
        <f t="array" aca="1" ref="AC7" ca="1">TREND($K7:$P7,$K$1:$P$1,AC$1)</f>
        <v>0.66239999999999999</v>
      </c>
      <c r="AD7" cm="1">
        <f t="array" aca="1" ref="AD7" ca="1">TREND($K7:$P7,$K$1:$P$1,AD$1)</f>
        <v>0.66239999999999999</v>
      </c>
      <c r="AE7" cm="1">
        <f t="array" aca="1" ref="AE7" ca="1">TREND($K7:$P7,$K$1:$P$1,AE$1)</f>
        <v>0.66239999999999999</v>
      </c>
      <c r="AF7" cm="1">
        <f t="array" aca="1" ref="AF7" ca="1">TREND($K7:$P7,$K$1:$P$1,AF$1)</f>
        <v>0.66239999999999999</v>
      </c>
      <c r="AG7" cm="1">
        <f t="array" aca="1" ref="AG7" ca="1">TREND($K7:$P7,$K$1:$P$1,AG$1)</f>
        <v>0.66239999999999999</v>
      </c>
      <c r="AH7" cm="1">
        <f t="array" aca="1" ref="AH7" ca="1">TREND($K7:$P7,$K$1:$P$1,AH$1)</f>
        <v>0.66239999999999999</v>
      </c>
      <c r="AI7" cm="1">
        <f t="array" aca="1" ref="AI7" ca="1">TREND($K7:$P7,$K$1:$P$1,AI$1)</f>
        <v>0.66239999999999999</v>
      </c>
      <c r="AJ7" cm="1">
        <f t="array" aca="1" ref="AJ7" ca="1">TREND($K7:$P7,$K$1:$P$1,AJ$1)</f>
        <v>0.66239999999999999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0.10944</v>
      </c>
      <c r="C8">
        <f t="shared" ca="1" si="3"/>
        <v>0.10979999999999999</v>
      </c>
      <c r="D8">
        <f t="shared" ca="1" si="0"/>
        <v>0.11015999999999999</v>
      </c>
      <c r="E8">
        <f t="shared" ca="1" si="0"/>
        <v>0.11051999999999999</v>
      </c>
      <c r="F8" s="32" cm="1">
        <f t="array" aca="1" ref="F8" ca="1">INDIRECT(CONCATENATE("'",HLOOKUP(F$1,$B$21:$E$23,3,FALSE),"'!",$B$25,ROW($A8)+5))*About!$A$27</f>
        <v>0.11087999999999999</v>
      </c>
      <c r="G8">
        <f t="shared" ca="1" si="4"/>
        <v>0.11087999999999999</v>
      </c>
      <c r="H8">
        <f t="shared" ca="1" si="1"/>
        <v>0.11087999999999999</v>
      </c>
      <c r="I8">
        <f t="shared" ca="1" si="1"/>
        <v>0.11087999999999999</v>
      </c>
      <c r="J8">
        <f t="shared" ca="1" si="1"/>
        <v>0.11087999999999999</v>
      </c>
      <c r="K8" s="32" cm="1">
        <f t="array" aca="1" ref="K8" ca="1">INDIRECT(CONCATENATE("'",HLOOKUP(K$1,$B$21:$E$23,3,FALSE),"'!",$B$25,ROW($A8)+5))*About!$A$27</f>
        <v>0.11087999999999999</v>
      </c>
      <c r="L8">
        <f t="shared" ca="1" si="5"/>
        <v>0.11116799999999999</v>
      </c>
      <c r="M8">
        <f t="shared" ca="1" si="2"/>
        <v>0.11145599999999999</v>
      </c>
      <c r="N8">
        <f t="shared" ca="1" si="2"/>
        <v>0.111744</v>
      </c>
      <c r="O8">
        <f t="shared" ca="1" si="2"/>
        <v>0.11203199999999999</v>
      </c>
      <c r="P8" s="32" cm="1">
        <f t="array" aca="1" ref="P8" ca="1">INDIRECT(CONCATENATE("'",HLOOKUP(P$1,$B$21:$E$23,3,FALSE),"'!",$B$25,ROW($A8)+5))*About!$A$27</f>
        <v>0.11231999999999999</v>
      </c>
      <c r="Q8" cm="1">
        <f t="array" aca="1" ref="Q8" ca="1">TREND($K8:$P8,$K$1:$P$1,Q$1)</f>
        <v>0.11260799999999999</v>
      </c>
      <c r="R8" cm="1">
        <f t="array" aca="1" ref="R8" ca="1">TREND($K8:$P8,$K$1:$P$1,R$1)</f>
        <v>0.11289599999999994</v>
      </c>
      <c r="S8" cm="1">
        <f t="array" aca="1" ref="S8" ca="1">TREND($K8:$P8,$K$1:$P$1,S$1)</f>
        <v>0.11318400000000001</v>
      </c>
      <c r="T8" cm="1">
        <f t="array" aca="1" ref="T8" ca="1">TREND($K8:$P8,$K$1:$P$1,T$1)</f>
        <v>0.11347199999999996</v>
      </c>
      <c r="U8" cm="1">
        <f t="array" aca="1" ref="U8" ca="1">TREND($K8:$P8,$K$1:$P$1,U$1)</f>
        <v>0.11376000000000003</v>
      </c>
      <c r="V8" cm="1">
        <f t="array" aca="1" ref="V8" ca="1">TREND($K8:$P8,$K$1:$P$1,V$1)</f>
        <v>0.11404799999999998</v>
      </c>
      <c r="W8" cm="1">
        <f t="array" aca="1" ref="W8" ca="1">TREND($K8:$P8,$K$1:$P$1,W$1)</f>
        <v>0.11433600000000005</v>
      </c>
      <c r="X8" cm="1">
        <f t="array" aca="1" ref="X8" ca="1">TREND($K8:$P8,$K$1:$P$1,X$1)</f>
        <v>0.114624</v>
      </c>
      <c r="Y8" cm="1">
        <f t="array" aca="1" ref="Y8" ca="1">TREND($K8:$P8,$K$1:$P$1,Y$1)</f>
        <v>0.11491199999999996</v>
      </c>
      <c r="Z8" cm="1">
        <f t="array" aca="1" ref="Z8" ca="1">TREND($K8:$P8,$K$1:$P$1,Z$1)</f>
        <v>0.11520000000000002</v>
      </c>
      <c r="AA8" cm="1">
        <f t="array" aca="1" ref="AA8" ca="1">TREND($K8:$P8,$K$1:$P$1,AA$1)</f>
        <v>0.11548799999999998</v>
      </c>
      <c r="AB8" cm="1">
        <f t="array" aca="1" ref="AB8" ca="1">TREND($K8:$P8,$K$1:$P$1,AB$1)</f>
        <v>0.11577600000000005</v>
      </c>
      <c r="AC8" cm="1">
        <f t="array" aca="1" ref="AC8" ca="1">TREND($K8:$P8,$K$1:$P$1,AC$1)</f>
        <v>0.116064</v>
      </c>
      <c r="AD8" cm="1">
        <f t="array" aca="1" ref="AD8" ca="1">TREND($K8:$P8,$K$1:$P$1,AD$1)</f>
        <v>0.11635199999999996</v>
      </c>
      <c r="AE8" cm="1">
        <f t="array" aca="1" ref="AE8" ca="1">TREND($K8:$P8,$K$1:$P$1,AE$1)</f>
        <v>0.11664000000000002</v>
      </c>
      <c r="AF8" cm="1">
        <f t="array" aca="1" ref="AF8" ca="1">TREND($K8:$P8,$K$1:$P$1,AF$1)</f>
        <v>0.11692799999999998</v>
      </c>
      <c r="AG8" cm="1">
        <f t="array" aca="1" ref="AG8" ca="1">TREND($K8:$P8,$K$1:$P$1,AG$1)</f>
        <v>0.11721600000000004</v>
      </c>
      <c r="AH8" cm="1">
        <f t="array" aca="1" ref="AH8" ca="1">TREND($K8:$P8,$K$1:$P$1,AH$1)</f>
        <v>0.117504</v>
      </c>
      <c r="AI8" cm="1">
        <f t="array" aca="1" ref="AI8" ca="1">TREND($K8:$P8,$K$1:$P$1,AI$1)</f>
        <v>0.11779199999999995</v>
      </c>
      <c r="AJ8" cm="1">
        <f t="array" aca="1" ref="AJ8" ca="1">TREND($K8:$P8,$K$1:$P$1,AJ$1)</f>
        <v>0.11808000000000002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2.5919999999999999E-2</v>
      </c>
      <c r="C9">
        <f t="shared" ca="1" si="3"/>
        <v>2.5919999999999999E-2</v>
      </c>
      <c r="D9">
        <f t="shared" ca="1" si="0"/>
        <v>2.5919999999999999E-2</v>
      </c>
      <c r="E9">
        <f t="shared" ca="1" si="0"/>
        <v>2.5919999999999999E-2</v>
      </c>
      <c r="F9" s="32" cm="1">
        <f t="array" aca="1" ref="F9" ca="1">INDIRECT(CONCATENATE("'",HLOOKUP(F$1,$B$21:$E$23,3,FALSE),"'!",$B$25,ROW($A9)+5))*About!$A$27</f>
        <v>2.5919999999999999E-2</v>
      </c>
      <c r="G9">
        <f t="shared" ca="1" si="4"/>
        <v>2.6207999999999999E-2</v>
      </c>
      <c r="H9">
        <f t="shared" ca="1" si="1"/>
        <v>2.6495999999999999E-2</v>
      </c>
      <c r="I9">
        <f t="shared" ca="1" si="1"/>
        <v>2.6783999999999999E-2</v>
      </c>
      <c r="J9">
        <f t="shared" ca="1" si="1"/>
        <v>2.7071999999999999E-2</v>
      </c>
      <c r="K9" s="32" cm="1">
        <f t="array" aca="1" ref="K9" ca="1">INDIRECT(CONCATENATE("'",HLOOKUP(K$1,$B$21:$E$23,3,FALSE),"'!",$B$25,ROW($A9)+5))*About!$A$27</f>
        <v>2.7359999999999999E-2</v>
      </c>
      <c r="L9">
        <f t="shared" ca="1" si="5"/>
        <v>2.7647999999999999E-2</v>
      </c>
      <c r="M9">
        <f t="shared" ca="1" si="2"/>
        <v>2.7935999999999999E-2</v>
      </c>
      <c r="N9">
        <f t="shared" ca="1" si="2"/>
        <v>2.8223999999999999E-2</v>
      </c>
      <c r="O9">
        <f t="shared" ca="1" si="2"/>
        <v>2.8511999999999999E-2</v>
      </c>
      <c r="P9" s="32" cm="1">
        <f t="array" aca="1" ref="P9" ca="1">INDIRECT(CONCATENATE("'",HLOOKUP(P$1,$B$21:$E$23,3,FALSE),"'!",$B$25,ROW($A9)+5))*About!$A$27</f>
        <v>2.8799999999999999E-2</v>
      </c>
      <c r="Q9" cm="1">
        <f t="array" aca="1" ref="Q9" ca="1">TREND($K9:$P9,$K$1:$P$1,Q$1)</f>
        <v>2.9088000000000003E-2</v>
      </c>
      <c r="R9" cm="1">
        <f t="array" aca="1" ref="R9" ca="1">TREND($K9:$P9,$K$1:$P$1,R$1)</f>
        <v>2.9375999999999958E-2</v>
      </c>
      <c r="S9" cm="1">
        <f t="array" aca="1" ref="S9" ca="1">TREND($K9:$P9,$K$1:$P$1,S$1)</f>
        <v>2.9664000000000024E-2</v>
      </c>
      <c r="T9" cm="1">
        <f t="array" aca="1" ref="T9" ca="1">TREND($K9:$P9,$K$1:$P$1,T$1)</f>
        <v>2.9951999999999979E-2</v>
      </c>
      <c r="U9" cm="1">
        <f t="array" aca="1" ref="U9" ca="1">TREND($K9:$P9,$K$1:$P$1,U$1)</f>
        <v>3.0240000000000045E-2</v>
      </c>
      <c r="V9" cm="1">
        <f t="array" aca="1" ref="V9" ca="1">TREND($K9:$P9,$K$1:$P$1,V$1)</f>
        <v>3.0528E-2</v>
      </c>
      <c r="W9" cm="1">
        <f t="array" aca="1" ref="W9" ca="1">TREND($K9:$P9,$K$1:$P$1,W$1)</f>
        <v>3.0816000000000066E-2</v>
      </c>
      <c r="X9" cm="1">
        <f t="array" aca="1" ref="X9" ca="1">TREND($K9:$P9,$K$1:$P$1,X$1)</f>
        <v>3.1104000000000021E-2</v>
      </c>
      <c r="Y9" cm="1">
        <f t="array" aca="1" ref="Y9" ca="1">TREND($K9:$P9,$K$1:$P$1,Y$1)</f>
        <v>3.1391999999999975E-2</v>
      </c>
      <c r="Z9" cm="1">
        <f t="array" aca="1" ref="Z9" ca="1">TREND($K9:$P9,$K$1:$P$1,Z$1)</f>
        <v>3.1680000000000041E-2</v>
      </c>
      <c r="AA9" cm="1">
        <f t="array" aca="1" ref="AA9" ca="1">TREND($K9:$P9,$K$1:$P$1,AA$1)</f>
        <v>3.1967999999999996E-2</v>
      </c>
      <c r="AB9" cm="1">
        <f t="array" aca="1" ref="AB9" ca="1">TREND($K9:$P9,$K$1:$P$1,AB$1)</f>
        <v>3.2256000000000062E-2</v>
      </c>
      <c r="AC9" cm="1">
        <f t="array" aca="1" ref="AC9" ca="1">TREND($K9:$P9,$K$1:$P$1,AC$1)</f>
        <v>3.2544000000000017E-2</v>
      </c>
      <c r="AD9" cm="1">
        <f t="array" aca="1" ref="AD9" ca="1">TREND($K9:$P9,$K$1:$P$1,AD$1)</f>
        <v>3.2831999999999972E-2</v>
      </c>
      <c r="AE9" cm="1">
        <f t="array" aca="1" ref="AE9" ca="1">TREND($K9:$P9,$K$1:$P$1,AE$1)</f>
        <v>3.3120000000000038E-2</v>
      </c>
      <c r="AF9" cm="1">
        <f t="array" aca="1" ref="AF9" ca="1">TREND($K9:$P9,$K$1:$P$1,AF$1)</f>
        <v>3.3407999999999993E-2</v>
      </c>
      <c r="AG9" cm="1">
        <f t="array" aca="1" ref="AG9" ca="1">TREND($K9:$P9,$K$1:$P$1,AG$1)</f>
        <v>3.3696000000000059E-2</v>
      </c>
      <c r="AH9" cm="1">
        <f t="array" aca="1" ref="AH9" ca="1">TREND($K9:$P9,$K$1:$P$1,AH$1)</f>
        <v>3.3984000000000014E-2</v>
      </c>
      <c r="AI9" cm="1">
        <f t="array" aca="1" ref="AI9" ca="1">TREND($K9:$P9,$K$1:$P$1,AI$1)</f>
        <v>3.4271999999999969E-2</v>
      </c>
      <c r="AJ9" cm="1">
        <f t="array" aca="1" ref="AJ9" ca="1">TREND($K9:$P9,$K$1:$P$1,AJ$1)</f>
        <v>3.4560000000000035E-2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2.1599999999999996E-4</v>
      </c>
      <c r="C10">
        <f t="shared" ca="1" si="3"/>
        <v>2.1959999999999997E-4</v>
      </c>
      <c r="D10">
        <f t="shared" ca="1" si="0"/>
        <v>2.232E-4</v>
      </c>
      <c r="E10">
        <f t="shared" ca="1" si="0"/>
        <v>2.2680000000000001E-4</v>
      </c>
      <c r="F10" s="32" cm="1">
        <f t="array" aca="1" ref="F10" ca="1">INDIRECT(CONCATENATE("'",HLOOKUP(F$1,$B$21:$E$23,3,FALSE),"'!",$B$25,ROW($A10)+5))*About!$A$27</f>
        <v>2.3040000000000002E-4</v>
      </c>
      <c r="G10">
        <f t="shared" ca="1" si="4"/>
        <v>2.3328000000000002E-4</v>
      </c>
      <c r="H10">
        <f t="shared" ca="1" si="1"/>
        <v>2.3616000000000002E-4</v>
      </c>
      <c r="I10">
        <f t="shared" ca="1" si="1"/>
        <v>2.3903999999999999E-4</v>
      </c>
      <c r="J10">
        <f t="shared" ca="1" si="1"/>
        <v>2.4191999999999999E-4</v>
      </c>
      <c r="K10" s="32" cm="1">
        <f t="array" aca="1" ref="K10" ca="1">INDIRECT(CONCATENATE("'",HLOOKUP(K$1,$B$21:$E$23,3,FALSE),"'!",$B$25,ROW($A10)+5))*About!$A$27</f>
        <v>2.4479999999999999E-4</v>
      </c>
      <c r="L10">
        <f t="shared" ca="1" si="5"/>
        <v>2.4768000000000001E-4</v>
      </c>
      <c r="M10">
        <f t="shared" ca="1" si="2"/>
        <v>2.5055999999999999E-4</v>
      </c>
      <c r="N10">
        <f t="shared" ca="1" si="2"/>
        <v>2.5344000000000001E-4</v>
      </c>
      <c r="O10">
        <f t="shared" ca="1" si="2"/>
        <v>2.5631999999999999E-4</v>
      </c>
      <c r="P10" s="32" cm="1">
        <f t="array" aca="1" ref="P10" ca="1">INDIRECT(CONCATENATE("'",HLOOKUP(P$1,$B$21:$E$23,3,FALSE),"'!",$B$25,ROW($A10)+5))*About!$A$27</f>
        <v>2.5920000000000001E-4</v>
      </c>
      <c r="Q10" cm="1">
        <f t="array" aca="1" ref="Q10" ca="1">TREND($K10:$P10,$K$1:$P$1,Q$1)</f>
        <v>2.620799999999996E-4</v>
      </c>
      <c r="R10" cm="1">
        <f t="array" aca="1" ref="R10" ca="1">TREND($K10:$P10,$K$1:$P$1,R$1)</f>
        <v>2.6495999999999898E-4</v>
      </c>
      <c r="S10" cm="1">
        <f t="array" aca="1" ref="S10" ca="1">TREND($K10:$P10,$K$1:$P$1,S$1)</f>
        <v>2.6783999999999922E-4</v>
      </c>
      <c r="T10" cm="1">
        <f t="array" aca="1" ref="T10" ca="1">TREND($K10:$P10,$K$1:$P$1,T$1)</f>
        <v>2.7071999999999947E-4</v>
      </c>
      <c r="U10" cm="1">
        <f t="array" aca="1" ref="U10" ca="1">TREND($K10:$P10,$K$1:$P$1,U$1)</f>
        <v>2.7359999999999971E-4</v>
      </c>
      <c r="V10" cm="1">
        <f t="array" aca="1" ref="V10" ca="1">TREND($K10:$P10,$K$1:$P$1,V$1)</f>
        <v>2.7647999999999909E-4</v>
      </c>
      <c r="W10" cm="1">
        <f t="array" aca="1" ref="W10" ca="1">TREND($K10:$P10,$K$1:$P$1,W$1)</f>
        <v>2.7935999999999933E-4</v>
      </c>
      <c r="X10" cm="1">
        <f t="array" aca="1" ref="X10" ca="1">TREND($K10:$P10,$K$1:$P$1,X$1)</f>
        <v>2.8223999999999957E-4</v>
      </c>
      <c r="Y10" cm="1">
        <f t="array" aca="1" ref="Y10" ca="1">TREND($K10:$P10,$K$1:$P$1,Y$1)</f>
        <v>2.8511999999999982E-4</v>
      </c>
      <c r="Z10" cm="1">
        <f t="array" aca="1" ref="Z10" ca="1">TREND($K10:$P10,$K$1:$P$1,Z$1)</f>
        <v>2.8799999999999919E-4</v>
      </c>
      <c r="AA10" cm="1">
        <f t="array" aca="1" ref="AA10" ca="1">TREND($K10:$P10,$K$1:$P$1,AA$1)</f>
        <v>2.9087999999999944E-4</v>
      </c>
      <c r="AB10" cm="1">
        <f t="array" aca="1" ref="AB10" ca="1">TREND($K10:$P10,$K$1:$P$1,AB$1)</f>
        <v>2.9375999999999968E-4</v>
      </c>
      <c r="AC10" cm="1">
        <f t="array" aca="1" ref="AC10" ca="1">TREND($K10:$P10,$K$1:$P$1,AC$1)</f>
        <v>2.9663999999999906E-4</v>
      </c>
      <c r="AD10" cm="1">
        <f t="array" aca="1" ref="AD10" ca="1">TREND($K10:$P10,$K$1:$P$1,AD$1)</f>
        <v>2.995199999999993E-4</v>
      </c>
      <c r="AE10" cm="1">
        <f t="array" aca="1" ref="AE10" ca="1">TREND($K10:$P10,$K$1:$P$1,AE$1)</f>
        <v>3.0239999999999954E-4</v>
      </c>
      <c r="AF10" cm="1">
        <f t="array" aca="1" ref="AF10" ca="1">TREND($K10:$P10,$K$1:$P$1,AF$1)</f>
        <v>3.0527999999999979E-4</v>
      </c>
      <c r="AG10" cm="1">
        <f t="array" aca="1" ref="AG10" ca="1">TREND($K10:$P10,$K$1:$P$1,AG$1)</f>
        <v>3.0815999999999916E-4</v>
      </c>
      <c r="AH10" cm="1">
        <f t="array" aca="1" ref="AH10" ca="1">TREND($K10:$P10,$K$1:$P$1,AH$1)</f>
        <v>3.1103999999999941E-4</v>
      </c>
      <c r="AI10" cm="1">
        <f t="array" aca="1" ref="AI10" ca="1">TREND($K10:$P10,$K$1:$P$1,AI$1)</f>
        <v>3.1391999999999965E-4</v>
      </c>
      <c r="AJ10" cm="1">
        <f t="array" aca="1" ref="AJ10" ca="1">TREND($K10:$P10,$K$1:$P$1,AJ$1)</f>
        <v>3.1679999999999903E-4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2.0159999999999997E-4</v>
      </c>
      <c r="C11">
        <f t="shared" ca="1" si="3"/>
        <v>2.0519999999999997E-4</v>
      </c>
      <c r="D11">
        <f t="shared" ca="1" si="0"/>
        <v>2.0879999999999998E-4</v>
      </c>
      <c r="E11">
        <f t="shared" ca="1" si="0"/>
        <v>2.1239999999999996E-4</v>
      </c>
      <c r="F11" s="32" cm="1">
        <f t="array" aca="1" ref="F11" ca="1">INDIRECT(CONCATENATE("'",HLOOKUP(F$1,$B$21:$E$23,3,FALSE),"'!",$B$25,ROW($A11)+5))*About!$A$27</f>
        <v>2.1599999999999996E-4</v>
      </c>
      <c r="G11">
        <f t="shared" ca="1" si="4"/>
        <v>2.2175999999999996E-4</v>
      </c>
      <c r="H11">
        <f t="shared" ca="1" si="1"/>
        <v>2.2751999999999996E-4</v>
      </c>
      <c r="I11">
        <f t="shared" ca="1" si="1"/>
        <v>2.3327999999999999E-4</v>
      </c>
      <c r="J11">
        <f t="shared" ca="1" si="1"/>
        <v>2.3903999999999999E-4</v>
      </c>
      <c r="K11" s="32" cm="1">
        <f t="array" aca="1" ref="K11" ca="1">INDIRECT(CONCATENATE("'",HLOOKUP(K$1,$B$21:$E$23,3,FALSE),"'!",$B$25,ROW($A11)+5))*About!$A$27</f>
        <v>2.4479999999999999E-4</v>
      </c>
      <c r="L11">
        <f t="shared" ca="1" si="5"/>
        <v>2.4768000000000001E-4</v>
      </c>
      <c r="M11">
        <f t="shared" ca="1" si="2"/>
        <v>2.5055999999999999E-4</v>
      </c>
      <c r="N11">
        <f t="shared" ca="1" si="2"/>
        <v>2.5344000000000001E-4</v>
      </c>
      <c r="O11">
        <f t="shared" ca="1" si="2"/>
        <v>2.5631999999999999E-4</v>
      </c>
      <c r="P11" s="32" cm="1">
        <f t="array" aca="1" ref="P11" ca="1">INDIRECT(CONCATENATE("'",HLOOKUP(P$1,$B$21:$E$23,3,FALSE),"'!",$B$25,ROW($A11)+5))*About!$A$27</f>
        <v>2.5920000000000001E-4</v>
      </c>
      <c r="Q11" cm="1">
        <f t="array" aca="1" ref="Q11" ca="1">TREND($K11:$P11,$K$1:$P$1,Q$1)</f>
        <v>2.620799999999996E-4</v>
      </c>
      <c r="R11" cm="1">
        <f t="array" aca="1" ref="R11" ca="1">TREND($K11:$P11,$K$1:$P$1,R$1)</f>
        <v>2.6495999999999898E-4</v>
      </c>
      <c r="S11" cm="1">
        <f t="array" aca="1" ref="S11" ca="1">TREND($K11:$P11,$K$1:$P$1,S$1)</f>
        <v>2.6783999999999922E-4</v>
      </c>
      <c r="T11" cm="1">
        <f t="array" aca="1" ref="T11" ca="1">TREND($K11:$P11,$K$1:$P$1,T$1)</f>
        <v>2.7071999999999947E-4</v>
      </c>
      <c r="U11" cm="1">
        <f t="array" aca="1" ref="U11" ca="1">TREND($K11:$P11,$K$1:$P$1,U$1)</f>
        <v>2.7359999999999971E-4</v>
      </c>
      <c r="V11" cm="1">
        <f t="array" aca="1" ref="V11" ca="1">TREND($K11:$P11,$K$1:$P$1,V$1)</f>
        <v>2.7647999999999909E-4</v>
      </c>
      <c r="W11" cm="1">
        <f t="array" aca="1" ref="W11" ca="1">TREND($K11:$P11,$K$1:$P$1,W$1)</f>
        <v>2.7935999999999933E-4</v>
      </c>
      <c r="X11" cm="1">
        <f t="array" aca="1" ref="X11" ca="1">TREND($K11:$P11,$K$1:$P$1,X$1)</f>
        <v>2.8223999999999957E-4</v>
      </c>
      <c r="Y11" cm="1">
        <f t="array" aca="1" ref="Y11" ca="1">TREND($K11:$P11,$K$1:$P$1,Y$1)</f>
        <v>2.8511999999999982E-4</v>
      </c>
      <c r="Z11" cm="1">
        <f t="array" aca="1" ref="Z11" ca="1">TREND($K11:$P11,$K$1:$P$1,Z$1)</f>
        <v>2.8799999999999919E-4</v>
      </c>
      <c r="AA11" cm="1">
        <f t="array" aca="1" ref="AA11" ca="1">TREND($K11:$P11,$K$1:$P$1,AA$1)</f>
        <v>2.9087999999999944E-4</v>
      </c>
      <c r="AB11" cm="1">
        <f t="array" aca="1" ref="AB11" ca="1">TREND($K11:$P11,$K$1:$P$1,AB$1)</f>
        <v>2.9375999999999968E-4</v>
      </c>
      <c r="AC11" cm="1">
        <f t="array" aca="1" ref="AC11" ca="1">TREND($K11:$P11,$K$1:$P$1,AC$1)</f>
        <v>2.9663999999999906E-4</v>
      </c>
      <c r="AD11" cm="1">
        <f t="array" aca="1" ref="AD11" ca="1">TREND($K11:$P11,$K$1:$P$1,AD$1)</f>
        <v>2.995199999999993E-4</v>
      </c>
      <c r="AE11" cm="1">
        <f t="array" aca="1" ref="AE11" ca="1">TREND($K11:$P11,$K$1:$P$1,AE$1)</f>
        <v>3.0239999999999954E-4</v>
      </c>
      <c r="AF11" cm="1">
        <f t="array" aca="1" ref="AF11" ca="1">TREND($K11:$P11,$K$1:$P$1,AF$1)</f>
        <v>3.0527999999999979E-4</v>
      </c>
      <c r="AG11" cm="1">
        <f t="array" aca="1" ref="AG11" ca="1">TREND($K11:$P11,$K$1:$P$1,AG$1)</f>
        <v>3.0815999999999916E-4</v>
      </c>
      <c r="AH11" cm="1">
        <f t="array" aca="1" ref="AH11" ca="1">TREND($K11:$P11,$K$1:$P$1,AH$1)</f>
        <v>3.1103999999999941E-4</v>
      </c>
      <c r="AI11" cm="1">
        <f t="array" aca="1" ref="AI11" ca="1">TREND($K11:$P11,$K$1:$P$1,AI$1)</f>
        <v>3.1391999999999965E-4</v>
      </c>
      <c r="AJ11" cm="1">
        <f t="array" aca="1" ref="AJ11" ca="1">TREND($K11:$P11,$K$1:$P$1,AJ$1)</f>
        <v>3.1679999999999903E-4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9.5615999999999995E-4</v>
      </c>
      <c r="C12">
        <f t="shared" ca="1" si="3"/>
        <v>9.683999999999999E-4</v>
      </c>
      <c r="D12">
        <f t="shared" ca="1" si="0"/>
        <v>9.8064000000000007E-4</v>
      </c>
      <c r="E12">
        <f t="shared" ca="1" si="0"/>
        <v>9.9288000000000002E-4</v>
      </c>
      <c r="F12" s="33">
        <f ca="1">SUM(INDIRECT(CONCATENATE("'",HLOOKUP(F$1,$B$21:$E$23,3,FALSE),"'!",$B$25,ROW($A12)+5,":",$B$25,ROW($A12)+6)))*About!$A$27</f>
        <v>1.00512E-3</v>
      </c>
      <c r="G12">
        <f t="shared" ca="1" si="4"/>
        <v>1.021248E-3</v>
      </c>
      <c r="H12">
        <f t="shared" ca="1" si="1"/>
        <v>1.037376E-3</v>
      </c>
      <c r="I12">
        <f t="shared" ca="1" si="1"/>
        <v>1.053504E-3</v>
      </c>
      <c r="J12">
        <f t="shared" ca="1" si="1"/>
        <v>1.069632E-3</v>
      </c>
      <c r="K12" s="33">
        <f ca="1">SUM(INDIRECT(CONCATENATE("'",HLOOKUP(K$1,$B$21:$E$23,3,FALSE),"'!",$B$25,ROW($A12)+5,":",$B$25,ROW($A12)+6)))*About!$A$27</f>
        <v>1.0857600000000001E-3</v>
      </c>
      <c r="L12">
        <f t="shared" ca="1" si="5"/>
        <v>1.1044800000000001E-3</v>
      </c>
      <c r="M12">
        <f t="shared" ca="1" si="2"/>
        <v>1.1232E-3</v>
      </c>
      <c r="N12">
        <f t="shared" ca="1" si="2"/>
        <v>1.14192E-3</v>
      </c>
      <c r="O12">
        <f t="shared" ca="1" si="2"/>
        <v>1.1606399999999999E-3</v>
      </c>
      <c r="P12" s="33">
        <f ca="1">SUM(INDIRECT(CONCATENATE("'",HLOOKUP(P$1,$B$21:$E$23,3,FALSE),"'!",$B$25,ROW($A12)+5,":",$B$25,ROW($A12)+6)))*About!$A$27</f>
        <v>1.17936E-3</v>
      </c>
      <c r="Q12" cm="1">
        <f t="array" aca="1" ref="Q12" ca="1">TREND($K12:$P12,$K$1:$P$1,Q$1)</f>
        <v>1.1980799999999972E-3</v>
      </c>
      <c r="R12" cm="1">
        <f t="array" aca="1" ref="R12" ca="1">TREND($K12:$P12,$K$1:$P$1,R$1)</f>
        <v>1.2167999999999971E-3</v>
      </c>
      <c r="S12" cm="1">
        <f t="array" aca="1" ref="S12" ca="1">TREND($K12:$P12,$K$1:$P$1,S$1)</f>
        <v>1.2355199999999969E-3</v>
      </c>
      <c r="T12" cm="1">
        <f t="array" aca="1" ref="T12" ca="1">TREND($K12:$P12,$K$1:$P$1,T$1)</f>
        <v>1.2542399999999967E-3</v>
      </c>
      <c r="U12" cm="1">
        <f t="array" aca="1" ref="U12" ca="1">TREND($K12:$P12,$K$1:$P$1,U$1)</f>
        <v>1.2729599999999966E-3</v>
      </c>
      <c r="V12" cm="1">
        <f t="array" aca="1" ref="V12" ca="1">TREND($K12:$P12,$K$1:$P$1,V$1)</f>
        <v>1.2916799999999964E-3</v>
      </c>
      <c r="W12" cm="1">
        <f t="array" aca="1" ref="W12" ca="1">TREND($K12:$P12,$K$1:$P$1,W$1)</f>
        <v>1.3103999999999963E-3</v>
      </c>
      <c r="X12" cm="1">
        <f t="array" aca="1" ref="X12" ca="1">TREND($K12:$P12,$K$1:$P$1,X$1)</f>
        <v>1.3291199999999961E-3</v>
      </c>
      <c r="Y12" cm="1">
        <f t="array" aca="1" ref="Y12" ca="1">TREND($K12:$P12,$K$1:$P$1,Y$1)</f>
        <v>1.347839999999996E-3</v>
      </c>
      <c r="Z12" cm="1">
        <f t="array" aca="1" ref="Z12" ca="1">TREND($K12:$P12,$K$1:$P$1,Z$1)</f>
        <v>1.3665599999999958E-3</v>
      </c>
      <c r="AA12" cm="1">
        <f t="array" aca="1" ref="AA12" ca="1">TREND($K12:$P12,$K$1:$P$1,AA$1)</f>
        <v>1.3852799999999957E-3</v>
      </c>
      <c r="AB12" cm="1">
        <f t="array" aca="1" ref="AB12" ca="1">TREND($K12:$P12,$K$1:$P$1,AB$1)</f>
        <v>1.4039999999999955E-3</v>
      </c>
      <c r="AC12" cm="1">
        <f t="array" aca="1" ref="AC12" ca="1">TREND($K12:$P12,$K$1:$P$1,AC$1)</f>
        <v>1.4227199999999954E-3</v>
      </c>
      <c r="AD12" cm="1">
        <f t="array" aca="1" ref="AD12" ca="1">TREND($K12:$P12,$K$1:$P$1,AD$1)</f>
        <v>1.4414399999999952E-3</v>
      </c>
      <c r="AE12" cm="1">
        <f t="array" aca="1" ref="AE12" ca="1">TREND($K12:$P12,$K$1:$P$1,AE$1)</f>
        <v>1.4601599999999951E-3</v>
      </c>
      <c r="AF12" cm="1">
        <f t="array" aca="1" ref="AF12" ca="1">TREND($K12:$P12,$K$1:$P$1,AF$1)</f>
        <v>1.4788799999999949E-3</v>
      </c>
      <c r="AG12" cm="1">
        <f t="array" aca="1" ref="AG12" ca="1">TREND($K12:$P12,$K$1:$P$1,AG$1)</f>
        <v>1.4975999999999948E-3</v>
      </c>
      <c r="AH12" cm="1">
        <f t="array" aca="1" ref="AH12" ca="1">TREND($K12:$P12,$K$1:$P$1,AH$1)</f>
        <v>1.5163199999999946E-3</v>
      </c>
      <c r="AI12" cm="1">
        <f t="array" aca="1" ref="AI12" ca="1">TREND($K12:$P12,$K$1:$P$1,AI$1)</f>
        <v>1.5350399999999945E-3</v>
      </c>
      <c r="AJ12" cm="1">
        <f t="array" aca="1" ref="AJ12" ca="1">TREND($K12:$P12,$K$1:$P$1,AJ$1)</f>
        <v>1.5537599999999943E-3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HOIpTP-electricity-NOx</v>
      </c>
    </row>
    <row r="18" spans="1:5" x14ac:dyDescent="0.25">
      <c r="A18" t="s">
        <v>83</v>
      </c>
      <c r="B18" t="str">
        <f ca="1">RIGHT(B17,LEN(B17)-7)</f>
        <v>electricity-NOx</v>
      </c>
    </row>
    <row r="19" spans="1:5" x14ac:dyDescent="0.25">
      <c r="A19" t="s">
        <v>84</v>
      </c>
      <c r="B19" t="str">
        <f ca="1">LEFT(B18,FIND("-",B18)-1)</f>
        <v>electricity</v>
      </c>
    </row>
    <row r="20" spans="1:5" x14ac:dyDescent="0.25">
      <c r="A20" t="s">
        <v>85</v>
      </c>
      <c r="B20" t="str">
        <f ca="1">VLOOKUP($B$19,Mappings!$A$22:$B$26,COLUMN(Mappings!$B$21),FALSE)</f>
        <v>electricity generating units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5">
      <c r="A23" s="28" t="s">
        <v>82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5">
      <c r="A24" t="s">
        <v>87</v>
      </c>
      <c r="B24" t="str">
        <f ca="1">REPLACE(B18,1,FIND("-",B18),"")</f>
        <v>NOx</v>
      </c>
    </row>
    <row r="25" spans="1:5" x14ac:dyDescent="0.25">
      <c r="A25" t="s">
        <v>88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D416-F1C2-4865-9B2C-C9DD91B44AE4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2.3039999999999998E-2</v>
      </c>
      <c r="C2">
        <f ca="1">$B2+($F2-$B2)*(C$1-$B$1)/($F$1-$B$1)</f>
        <v>2.3039999999999998E-2</v>
      </c>
      <c r="D2">
        <f t="shared" ref="D2:E12" ca="1" si="0">$B2+($F2-$B2)*(D$1-$B$1)/($F$1-$B$1)</f>
        <v>2.3039999999999998E-2</v>
      </c>
      <c r="E2">
        <f t="shared" ca="1" si="0"/>
        <v>2.3039999999999998E-2</v>
      </c>
      <c r="F2" s="31" cm="1">
        <f t="array" aca="1" ref="F2" ca="1">INDIRECT(CONCATENATE("'",HLOOKUP(F$1,$B$21:$E$23,3,FALSE),"'!",$B$25,ROW($A2)+3))*About!$A$27</f>
        <v>2.3039999999999998E-2</v>
      </c>
      <c r="G2">
        <f ca="1">$F2+($K2-$F2)*(G$1-$F$1)/($K$1-$F$1)</f>
        <v>2.3327999999999998E-2</v>
      </c>
      <c r="H2">
        <f t="shared" ref="H2:J12" ca="1" si="1">$F2+($K2-$F2)*(H$1-$F$1)/($K$1-$F$1)</f>
        <v>2.3615999999999998E-2</v>
      </c>
      <c r="I2">
        <f t="shared" ca="1" si="1"/>
        <v>2.3904000000000002E-2</v>
      </c>
      <c r="J2">
        <f t="shared" ca="1" si="1"/>
        <v>2.4192000000000002E-2</v>
      </c>
      <c r="K2" s="31" cm="1">
        <f t="array" aca="1" ref="K2" ca="1">INDIRECT(CONCATENATE("'",HLOOKUP(K$1,$B$21:$E$23,3,FALSE),"'!",$B$25,ROW($A2)+3))*About!$A$27</f>
        <v>2.4480000000000002E-2</v>
      </c>
      <c r="L2">
        <f ca="1">$K2+($P2-$K2)*(L$1-$K$1)/($P$1-$K$1)</f>
        <v>2.4768000000000002E-2</v>
      </c>
      <c r="M2">
        <f t="shared" ref="M2:O12" ca="1" si="2">$K2+($P2-$K2)*(M$1-$K$1)/($P$1-$K$1)</f>
        <v>2.5056000000000002E-2</v>
      </c>
      <c r="N2">
        <f t="shared" ca="1" si="2"/>
        <v>2.5343999999999998E-2</v>
      </c>
      <c r="O2">
        <f t="shared" ca="1" si="2"/>
        <v>2.5631999999999999E-2</v>
      </c>
      <c r="P2" s="31" cm="1">
        <f t="array" aca="1" ref="P2" ca="1">INDIRECT(CONCATENATE("'",HLOOKUP(P$1,$B$21:$E$23,3,FALSE),"'!",$B$25,ROW($A2)+3))*About!$A$27</f>
        <v>2.5919999999999999E-2</v>
      </c>
      <c r="Q2" cm="1">
        <f t="array" aca="1" ref="Q2" ca="1">TREND($K2:$P2,$K$1:$P$1,Q$1)</f>
        <v>2.6208000000000009E-2</v>
      </c>
      <c r="R2" cm="1">
        <f t="array" aca="1" ref="R2" ca="1">TREND($K2:$P2,$K$1:$P$1,R$1)</f>
        <v>2.6496000000000075E-2</v>
      </c>
      <c r="S2" cm="1">
        <f t="array" aca="1" ref="S2" ca="1">TREND($K2:$P2,$K$1:$P$1,S$1)</f>
        <v>2.678400000000003E-2</v>
      </c>
      <c r="T2" cm="1">
        <f t="array" aca="1" ref="T2" ca="1">TREND($K2:$P2,$K$1:$P$1,T$1)</f>
        <v>2.7071999999999985E-2</v>
      </c>
      <c r="U2" cm="1">
        <f t="array" aca="1" ref="U2" ca="1">TREND($K2:$P2,$K$1:$P$1,U$1)</f>
        <v>2.7360000000000051E-2</v>
      </c>
      <c r="V2" cm="1">
        <f t="array" aca="1" ref="V2" ca="1">TREND($K2:$P2,$K$1:$P$1,V$1)</f>
        <v>2.7648000000000006E-2</v>
      </c>
      <c r="W2" cm="1">
        <f t="array" aca="1" ref="W2" ca="1">TREND($K2:$P2,$K$1:$P$1,W$1)</f>
        <v>2.7936000000000072E-2</v>
      </c>
      <c r="X2" cm="1">
        <f t="array" aca="1" ref="X2" ca="1">TREND($K2:$P2,$K$1:$P$1,X$1)</f>
        <v>2.8224000000000027E-2</v>
      </c>
      <c r="Y2" cm="1">
        <f t="array" aca="1" ref="Y2" ca="1">TREND($K2:$P2,$K$1:$P$1,Y$1)</f>
        <v>2.8511999999999982E-2</v>
      </c>
      <c r="Z2" cm="1">
        <f t="array" aca="1" ref="Z2" ca="1">TREND($K2:$P2,$K$1:$P$1,Z$1)</f>
        <v>2.8800000000000048E-2</v>
      </c>
      <c r="AA2" cm="1">
        <f t="array" aca="1" ref="AA2" ca="1">TREND($K2:$P2,$K$1:$P$1,AA$1)</f>
        <v>2.9088000000000003E-2</v>
      </c>
      <c r="AB2" cm="1">
        <f t="array" aca="1" ref="AB2" ca="1">TREND($K2:$P2,$K$1:$P$1,AB$1)</f>
        <v>2.9376000000000069E-2</v>
      </c>
      <c r="AC2" cm="1">
        <f t="array" aca="1" ref="AC2" ca="1">TREND($K2:$P2,$K$1:$P$1,AC$1)</f>
        <v>2.9664000000000024E-2</v>
      </c>
      <c r="AD2" cm="1">
        <f t="array" aca="1" ref="AD2" ca="1">TREND($K2:$P2,$K$1:$P$1,AD$1)</f>
        <v>2.9951999999999979E-2</v>
      </c>
      <c r="AE2" cm="1">
        <f t="array" aca="1" ref="AE2" ca="1">TREND($K2:$P2,$K$1:$P$1,AE$1)</f>
        <v>3.0240000000000045E-2</v>
      </c>
      <c r="AF2" cm="1">
        <f t="array" aca="1" ref="AF2" ca="1">TREND($K2:$P2,$K$1:$P$1,AF$1)</f>
        <v>3.0528E-2</v>
      </c>
      <c r="AG2" cm="1">
        <f t="array" aca="1" ref="AG2" ca="1">TREND($K2:$P2,$K$1:$P$1,AG$1)</f>
        <v>3.0816000000000066E-2</v>
      </c>
      <c r="AH2" cm="1">
        <f t="array" aca="1" ref="AH2" ca="1">TREND($K2:$P2,$K$1:$P$1,AH$1)</f>
        <v>3.1104000000000021E-2</v>
      </c>
      <c r="AI2" cm="1">
        <f t="array" aca="1" ref="AI2" ca="1">TREND($K2:$P2,$K$1:$P$1,AI$1)</f>
        <v>3.1391999999999975E-2</v>
      </c>
      <c r="AJ2" cm="1">
        <f t="array" aca="1" ref="AJ2" ca="1">TREND($K2:$P2,$K$1:$P$1,AJ$1)</f>
        <v>3.1680000000000041E-2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1.2672000000000001E-2</v>
      </c>
      <c r="C3">
        <f t="shared" ref="C3:C12" ca="1" si="3">$B3+($F3-$B3)*(C$1-$B$1)/($F$1-$B$1)</f>
        <v>1.278E-2</v>
      </c>
      <c r="D3">
        <f t="shared" ca="1" si="0"/>
        <v>1.2888E-2</v>
      </c>
      <c r="E3">
        <f t="shared" ca="1" si="0"/>
        <v>1.2996000000000001E-2</v>
      </c>
      <c r="F3" s="32" cm="1">
        <f t="array" aca="1" ref="F3" ca="1">INDIRECT(CONCATENATE("'",HLOOKUP(F$1,$B$21:$E$23,3,FALSE),"'!",$B$25,ROW($A3)+5))*About!$A$27</f>
        <v>1.3103999999999999E-2</v>
      </c>
      <c r="G3">
        <f t="shared" ref="G3:G12" ca="1" si="4">$F3+($K3-$F3)*(G$1-$F$1)/($K$1-$F$1)</f>
        <v>1.31904E-2</v>
      </c>
      <c r="H3">
        <f t="shared" ca="1" si="1"/>
        <v>1.32768E-2</v>
      </c>
      <c r="I3">
        <f t="shared" ca="1" si="1"/>
        <v>1.3363199999999999E-2</v>
      </c>
      <c r="J3">
        <f t="shared" ca="1" si="1"/>
        <v>1.3449599999999999E-2</v>
      </c>
      <c r="K3" s="32" cm="1">
        <f t="array" aca="1" ref="K3" ca="1">INDIRECT(CONCATENATE("'",HLOOKUP(K$1,$B$21:$E$23,3,FALSE),"'!",$B$25,ROW($A3)+5))*About!$A$27</f>
        <v>1.3535999999999999E-2</v>
      </c>
      <c r="L3">
        <f t="shared" ref="L3:L12" ca="1" si="5">$K3+($P3-$K3)*(L$1-$K$1)/($P$1-$K$1)</f>
        <v>1.3651199999999999E-2</v>
      </c>
      <c r="M3">
        <f t="shared" ca="1" si="2"/>
        <v>1.37664E-2</v>
      </c>
      <c r="N3">
        <f t="shared" ca="1" si="2"/>
        <v>1.3881599999999999E-2</v>
      </c>
      <c r="O3">
        <f t="shared" ca="1" si="2"/>
        <v>1.39968E-2</v>
      </c>
      <c r="P3" s="32" cm="1">
        <f t="array" aca="1" ref="P3" ca="1">INDIRECT(CONCATENATE("'",HLOOKUP(P$1,$B$21:$E$23,3,FALSE),"'!",$B$25,ROW($A3)+5))*About!$A$27</f>
        <v>1.4112E-2</v>
      </c>
      <c r="Q3" cm="1">
        <f t="array" aca="1" ref="Q3" ca="1">TREND($K3:$P3,$K$1:$P$1,Q$1)</f>
        <v>1.4227199999999995E-2</v>
      </c>
      <c r="R3" cm="1">
        <f t="array" aca="1" ref="R3" ca="1">TREND($K3:$P3,$K$1:$P$1,R$1)</f>
        <v>1.4342400000000005E-2</v>
      </c>
      <c r="S3" cm="1">
        <f t="array" aca="1" ref="S3" ca="1">TREND($K3:$P3,$K$1:$P$1,S$1)</f>
        <v>1.4457599999999987E-2</v>
      </c>
      <c r="T3" cm="1">
        <f t="array" aca="1" ref="T3" ca="1">TREND($K3:$P3,$K$1:$P$1,T$1)</f>
        <v>1.4572799999999997E-2</v>
      </c>
      <c r="U3" cm="1">
        <f t="array" aca="1" ref="U3" ca="1">TREND($K3:$P3,$K$1:$P$1,U$1)</f>
        <v>1.4687999999999979E-2</v>
      </c>
      <c r="V3" cm="1">
        <f t="array" aca="1" ref="V3" ca="1">TREND($K3:$P3,$K$1:$P$1,V$1)</f>
        <v>1.4803199999999989E-2</v>
      </c>
      <c r="W3" cm="1">
        <f t="array" aca="1" ref="W3" ca="1">TREND($K3:$P3,$K$1:$P$1,W$1)</f>
        <v>1.4918399999999998E-2</v>
      </c>
      <c r="X3" cm="1">
        <f t="array" aca="1" ref="X3" ca="1">TREND($K3:$P3,$K$1:$P$1,X$1)</f>
        <v>1.503359999999998E-2</v>
      </c>
      <c r="Y3" cm="1">
        <f t="array" aca="1" ref="Y3" ca="1">TREND($K3:$P3,$K$1:$P$1,Y$1)</f>
        <v>1.514879999999999E-2</v>
      </c>
      <c r="Z3" cm="1">
        <f t="array" aca="1" ref="Z3" ca="1">TREND($K3:$P3,$K$1:$P$1,Z$1)</f>
        <v>1.5264E-2</v>
      </c>
      <c r="AA3" cm="1">
        <f t="array" aca="1" ref="AA3" ca="1">TREND($K3:$P3,$K$1:$P$1,AA$1)</f>
        <v>1.5379199999999982E-2</v>
      </c>
      <c r="AB3" cm="1">
        <f t="array" aca="1" ref="AB3" ca="1">TREND($K3:$P3,$K$1:$P$1,AB$1)</f>
        <v>1.5494399999999992E-2</v>
      </c>
      <c r="AC3" cm="1">
        <f t="array" aca="1" ref="AC3" ca="1">TREND($K3:$P3,$K$1:$P$1,AC$1)</f>
        <v>1.5609600000000001E-2</v>
      </c>
      <c r="AD3" cm="1">
        <f t="array" aca="1" ref="AD3" ca="1">TREND($K3:$P3,$K$1:$P$1,AD$1)</f>
        <v>1.5724799999999983E-2</v>
      </c>
      <c r="AE3" cm="1">
        <f t="array" aca="1" ref="AE3" ca="1">TREND($K3:$P3,$K$1:$P$1,AE$1)</f>
        <v>1.5839999999999993E-2</v>
      </c>
      <c r="AF3" cm="1">
        <f t="array" aca="1" ref="AF3" ca="1">TREND($K3:$P3,$K$1:$P$1,AF$1)</f>
        <v>1.5955200000000003E-2</v>
      </c>
      <c r="AG3" cm="1">
        <f t="array" aca="1" ref="AG3" ca="1">TREND($K3:$P3,$K$1:$P$1,AG$1)</f>
        <v>1.6070399999999985E-2</v>
      </c>
      <c r="AH3" cm="1">
        <f t="array" aca="1" ref="AH3" ca="1">TREND($K3:$P3,$K$1:$P$1,AH$1)</f>
        <v>1.6185599999999994E-2</v>
      </c>
      <c r="AI3" cm="1">
        <f t="array" aca="1" ref="AI3" ca="1">TREND($K3:$P3,$K$1:$P$1,AI$1)</f>
        <v>1.6300800000000004E-2</v>
      </c>
      <c r="AJ3" cm="1">
        <f t="array" aca="1" ref="AJ3" ca="1">TREND($K3:$P3,$K$1:$P$1,AJ$1)</f>
        <v>1.6415999999999986E-2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3.024E-2</v>
      </c>
      <c r="C4">
        <f t="shared" ca="1" si="3"/>
        <v>3.024E-2</v>
      </c>
      <c r="D4">
        <f t="shared" ca="1" si="0"/>
        <v>3.024E-2</v>
      </c>
      <c r="E4">
        <f t="shared" ca="1" si="0"/>
        <v>3.024E-2</v>
      </c>
      <c r="F4" s="32" cm="1">
        <f t="array" aca="1" ref="F4" ca="1">INDIRECT(CONCATENATE("'",HLOOKUP(F$1,$B$21:$E$23,3,FALSE),"'!",$B$25,ROW($A4)+5))*About!$A$27</f>
        <v>3.024E-2</v>
      </c>
      <c r="G4">
        <f t="shared" ca="1" si="4"/>
        <v>3.0528E-2</v>
      </c>
      <c r="H4">
        <f t="shared" ca="1" si="1"/>
        <v>3.0816E-2</v>
      </c>
      <c r="I4">
        <f t="shared" ca="1" si="1"/>
        <v>3.1104E-2</v>
      </c>
      <c r="J4">
        <f t="shared" ca="1" si="1"/>
        <v>3.1392000000000003E-2</v>
      </c>
      <c r="K4" s="32" cm="1">
        <f t="array" aca="1" ref="K4" ca="1">INDIRECT(CONCATENATE("'",HLOOKUP(K$1,$B$21:$E$23,3,FALSE),"'!",$B$25,ROW($A4)+5))*About!$A$27</f>
        <v>3.168E-2</v>
      </c>
      <c r="L4">
        <f t="shared" ca="1" si="5"/>
        <v>3.2256E-2</v>
      </c>
      <c r="M4">
        <f t="shared" ca="1" si="2"/>
        <v>3.2832E-2</v>
      </c>
      <c r="N4">
        <f t="shared" ca="1" si="2"/>
        <v>3.3408E-2</v>
      </c>
      <c r="O4">
        <f t="shared" ca="1" si="2"/>
        <v>3.3984E-2</v>
      </c>
      <c r="P4" s="32" cm="1">
        <f t="array" aca="1" ref="P4" ca="1">INDIRECT(CONCATENATE("'",HLOOKUP(P$1,$B$21:$E$23,3,FALSE),"'!",$B$25,ROW($A4)+5))*About!$A$27</f>
        <v>3.456E-2</v>
      </c>
      <c r="Q4" cm="1">
        <f t="array" aca="1" ref="Q4" ca="1">TREND($K4:$P4,$K$1:$P$1,Q$1)</f>
        <v>3.5136000000000056E-2</v>
      </c>
      <c r="R4" cm="1">
        <f t="array" aca="1" ref="R4" ca="1">TREND($K4:$P4,$K$1:$P$1,R$1)</f>
        <v>3.5711999999999966E-2</v>
      </c>
      <c r="S4" cm="1">
        <f t="array" aca="1" ref="S4" ca="1">TREND($K4:$P4,$K$1:$P$1,S$1)</f>
        <v>3.6288000000000098E-2</v>
      </c>
      <c r="T4" cm="1">
        <f t="array" aca="1" ref="T4" ca="1">TREND($K4:$P4,$K$1:$P$1,T$1)</f>
        <v>3.6864000000000008E-2</v>
      </c>
      <c r="U4" cm="1">
        <f t="array" aca="1" ref="U4" ca="1">TREND($K4:$P4,$K$1:$P$1,U$1)</f>
        <v>3.744000000000014E-2</v>
      </c>
      <c r="V4" cm="1">
        <f t="array" aca="1" ref="V4" ca="1">TREND($K4:$P4,$K$1:$P$1,V$1)</f>
        <v>3.801600000000005E-2</v>
      </c>
      <c r="W4" cm="1">
        <f t="array" aca="1" ref="W4" ca="1">TREND($K4:$P4,$K$1:$P$1,W$1)</f>
        <v>3.8592000000000182E-2</v>
      </c>
      <c r="X4" cm="1">
        <f t="array" aca="1" ref="X4" ca="1">TREND($K4:$P4,$K$1:$P$1,X$1)</f>
        <v>3.9168000000000092E-2</v>
      </c>
      <c r="Y4" cm="1">
        <f t="array" aca="1" ref="Y4" ca="1">TREND($K4:$P4,$K$1:$P$1,Y$1)</f>
        <v>3.9744000000000002E-2</v>
      </c>
      <c r="Z4" cm="1">
        <f t="array" aca="1" ref="Z4" ca="1">TREND($K4:$P4,$K$1:$P$1,Z$1)</f>
        <v>4.0320000000000134E-2</v>
      </c>
      <c r="AA4" cm="1">
        <f t="array" aca="1" ref="AA4" ca="1">TREND($K4:$P4,$K$1:$P$1,AA$1)</f>
        <v>4.0896000000000043E-2</v>
      </c>
      <c r="AB4" cm="1">
        <f t="array" aca="1" ref="AB4" ca="1">TREND($K4:$P4,$K$1:$P$1,AB$1)</f>
        <v>4.1472000000000175E-2</v>
      </c>
      <c r="AC4" cm="1">
        <f t="array" aca="1" ref="AC4" ca="1">TREND($K4:$P4,$K$1:$P$1,AC$1)</f>
        <v>4.2048000000000085E-2</v>
      </c>
      <c r="AD4" cm="1">
        <f t="array" aca="1" ref="AD4" ca="1">TREND($K4:$P4,$K$1:$P$1,AD$1)</f>
        <v>4.2623999999999995E-2</v>
      </c>
      <c r="AE4" cm="1">
        <f t="array" aca="1" ref="AE4" ca="1">TREND($K4:$P4,$K$1:$P$1,AE$1)</f>
        <v>4.3200000000000127E-2</v>
      </c>
      <c r="AF4" cm="1">
        <f t="array" aca="1" ref="AF4" ca="1">TREND($K4:$P4,$K$1:$P$1,AF$1)</f>
        <v>4.3776000000000037E-2</v>
      </c>
      <c r="AG4" cm="1">
        <f t="array" aca="1" ref="AG4" ca="1">TREND($K4:$P4,$K$1:$P$1,AG$1)</f>
        <v>4.4352000000000169E-2</v>
      </c>
      <c r="AH4" cm="1">
        <f t="array" aca="1" ref="AH4" ca="1">TREND($K4:$P4,$K$1:$P$1,AH$1)</f>
        <v>4.4928000000000079E-2</v>
      </c>
      <c r="AI4" cm="1">
        <f t="array" aca="1" ref="AI4" ca="1">TREND($K4:$P4,$K$1:$P$1,AI$1)</f>
        <v>4.5503999999999989E-2</v>
      </c>
      <c r="AJ4" cm="1">
        <f t="array" aca="1" ref="AJ4" ca="1">TREND($K4:$P4,$K$1:$P$1,AJ$1)</f>
        <v>4.6080000000000121E-2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0.38880000000000003</v>
      </c>
      <c r="C5">
        <f t="shared" ca="1" si="3"/>
        <v>0.38880000000000003</v>
      </c>
      <c r="D5">
        <f t="shared" ca="1" si="0"/>
        <v>0.38880000000000003</v>
      </c>
      <c r="E5">
        <f t="shared" ca="1" si="0"/>
        <v>0.38880000000000003</v>
      </c>
      <c r="F5" s="32" cm="1">
        <f t="array" aca="1" ref="F5" ca="1">INDIRECT(CONCATENATE("'",HLOOKUP(F$1,$B$21:$E$23,3,FALSE),"'!",$B$25,ROW($A5)+5))*About!$A$27</f>
        <v>0.38880000000000003</v>
      </c>
      <c r="G5">
        <f t="shared" ca="1" si="4"/>
        <v>0.39456000000000002</v>
      </c>
      <c r="H5">
        <f t="shared" ca="1" si="1"/>
        <v>0.40032000000000001</v>
      </c>
      <c r="I5">
        <f t="shared" ca="1" si="1"/>
        <v>0.40608</v>
      </c>
      <c r="J5">
        <f t="shared" ca="1" si="1"/>
        <v>0.41183999999999998</v>
      </c>
      <c r="K5" s="32" cm="1">
        <f t="array" aca="1" ref="K5" ca="1">INDIRECT(CONCATENATE("'",HLOOKUP(K$1,$B$21:$E$23,3,FALSE),"'!",$B$25,ROW($A5)+5))*About!$A$27</f>
        <v>0.41759999999999997</v>
      </c>
      <c r="L5">
        <f t="shared" ca="1" si="5"/>
        <v>0.42335999999999996</v>
      </c>
      <c r="M5">
        <f t="shared" ca="1" si="2"/>
        <v>0.42911999999999995</v>
      </c>
      <c r="N5">
        <f t="shared" ca="1" si="2"/>
        <v>0.43487999999999999</v>
      </c>
      <c r="O5">
        <f t="shared" ca="1" si="2"/>
        <v>0.44063999999999998</v>
      </c>
      <c r="P5" s="32" cm="1">
        <f t="array" aca="1" ref="P5" ca="1">INDIRECT(CONCATENATE("'",HLOOKUP(P$1,$B$21:$E$23,3,FALSE),"'!",$B$25,ROW($A5)+5))*About!$A$27</f>
        <v>0.44639999999999996</v>
      </c>
      <c r="Q5" cm="1">
        <f t="array" aca="1" ref="Q5" ca="1">TREND($K5:$P5,$K$1:$P$1,Q$1)</f>
        <v>0.45216000000000101</v>
      </c>
      <c r="R5" cm="1">
        <f t="array" aca="1" ref="R5" ca="1">TREND($K5:$P5,$K$1:$P$1,R$1)</f>
        <v>0.45792000000000144</v>
      </c>
      <c r="S5" cm="1">
        <f t="array" aca="1" ref="S5" ca="1">TREND($K5:$P5,$K$1:$P$1,S$1)</f>
        <v>0.46368000000000187</v>
      </c>
      <c r="T5" cm="1">
        <f t="array" aca="1" ref="T5" ca="1">TREND($K5:$P5,$K$1:$P$1,T$1)</f>
        <v>0.46944000000000052</v>
      </c>
      <c r="U5" cm="1">
        <f t="array" aca="1" ref="U5" ca="1">TREND($K5:$P5,$K$1:$P$1,U$1)</f>
        <v>0.47520000000000095</v>
      </c>
      <c r="V5" cm="1">
        <f t="array" aca="1" ref="V5" ca="1">TREND($K5:$P5,$K$1:$P$1,V$1)</f>
        <v>0.48096000000000139</v>
      </c>
      <c r="W5" cm="1">
        <f t="array" aca="1" ref="W5" ca="1">TREND($K5:$P5,$K$1:$P$1,W$1)</f>
        <v>0.48672000000000182</v>
      </c>
      <c r="X5" cm="1">
        <f t="array" aca="1" ref="X5" ca="1">TREND($K5:$P5,$K$1:$P$1,X$1)</f>
        <v>0.49248000000000047</v>
      </c>
      <c r="Y5" cm="1">
        <f t="array" aca="1" ref="Y5" ca="1">TREND($K5:$P5,$K$1:$P$1,Y$1)</f>
        <v>0.4982400000000009</v>
      </c>
      <c r="Z5" cm="1">
        <f t="array" aca="1" ref="Z5" ca="1">TREND($K5:$P5,$K$1:$P$1,Z$1)</f>
        <v>0.50400000000000134</v>
      </c>
      <c r="AA5" cm="1">
        <f t="array" aca="1" ref="AA5" ca="1">TREND($K5:$P5,$K$1:$P$1,AA$1)</f>
        <v>0.50976000000000177</v>
      </c>
      <c r="AB5" cm="1">
        <f t="array" aca="1" ref="AB5" ca="1">TREND($K5:$P5,$K$1:$P$1,AB$1)</f>
        <v>0.51552000000000042</v>
      </c>
      <c r="AC5" cm="1">
        <f t="array" aca="1" ref="AC5" ca="1">TREND($K5:$P5,$K$1:$P$1,AC$1)</f>
        <v>0.52128000000000085</v>
      </c>
      <c r="AD5" cm="1">
        <f t="array" aca="1" ref="AD5" ca="1">TREND($K5:$P5,$K$1:$P$1,AD$1)</f>
        <v>0.52704000000000129</v>
      </c>
      <c r="AE5" cm="1">
        <f t="array" aca="1" ref="AE5" ca="1">TREND($K5:$P5,$K$1:$P$1,AE$1)</f>
        <v>0.53280000000000172</v>
      </c>
      <c r="AF5" cm="1">
        <f t="array" aca="1" ref="AF5" ca="1">TREND($K5:$P5,$K$1:$P$1,AF$1)</f>
        <v>0.53856000000000037</v>
      </c>
      <c r="AG5" cm="1">
        <f t="array" aca="1" ref="AG5" ca="1">TREND($K5:$P5,$K$1:$P$1,AG$1)</f>
        <v>0.5443200000000008</v>
      </c>
      <c r="AH5" cm="1">
        <f t="array" aca="1" ref="AH5" ca="1">TREND($K5:$P5,$K$1:$P$1,AH$1)</f>
        <v>0.55008000000000123</v>
      </c>
      <c r="AI5" cm="1">
        <f t="array" aca="1" ref="AI5" ca="1">TREND($K5:$P5,$K$1:$P$1,AI$1)</f>
        <v>0.55584000000000167</v>
      </c>
      <c r="AJ5" cm="1">
        <f t="array" aca="1" ref="AJ5" ca="1">TREND($K5:$P5,$K$1:$P$1,AJ$1)</f>
        <v>0.5616000000000021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0.56159999999999999</v>
      </c>
      <c r="C6">
        <f t="shared" ca="1" si="3"/>
        <v>0.56159999999999999</v>
      </c>
      <c r="D6">
        <f t="shared" ca="1" si="0"/>
        <v>0.56159999999999999</v>
      </c>
      <c r="E6">
        <f t="shared" ca="1" si="0"/>
        <v>0.56159999999999999</v>
      </c>
      <c r="F6" s="32" cm="1">
        <f t="array" aca="1" ref="F6" ca="1">INDIRECT(CONCATENATE("'",HLOOKUP(F$1,$B$21:$E$23,3,FALSE),"'!",$B$25,ROW($A6)+5))*About!$A$27</f>
        <v>0.56159999999999999</v>
      </c>
      <c r="G6">
        <f t="shared" ca="1" si="4"/>
        <v>0.56735999999999998</v>
      </c>
      <c r="H6">
        <f t="shared" ca="1" si="1"/>
        <v>0.57311999999999996</v>
      </c>
      <c r="I6">
        <f t="shared" ca="1" si="1"/>
        <v>0.57887999999999995</v>
      </c>
      <c r="J6">
        <f t="shared" ca="1" si="1"/>
        <v>0.58463999999999994</v>
      </c>
      <c r="K6" s="32" cm="1">
        <f t="array" aca="1" ref="K6" ca="1">INDIRECT(CONCATENATE("'",HLOOKUP(K$1,$B$21:$E$23,3,FALSE),"'!",$B$25,ROW($A6)+5))*About!$A$27</f>
        <v>0.59039999999999992</v>
      </c>
      <c r="L6">
        <f t="shared" ca="1" si="5"/>
        <v>0.59903999999999991</v>
      </c>
      <c r="M6">
        <f t="shared" ca="1" si="2"/>
        <v>0.60767999999999989</v>
      </c>
      <c r="N6">
        <f t="shared" ca="1" si="2"/>
        <v>0.61631999999999998</v>
      </c>
      <c r="O6">
        <f t="shared" ca="1" si="2"/>
        <v>0.62495999999999996</v>
      </c>
      <c r="P6" s="32" cm="1">
        <f t="array" aca="1" ref="P6" ca="1">INDIRECT(CONCATENATE("'",HLOOKUP(P$1,$B$21:$E$23,3,FALSE),"'!",$B$25,ROW($A6)+5))*About!$A$27</f>
        <v>0.63359999999999994</v>
      </c>
      <c r="Q6" cm="1">
        <f t="array" aca="1" ref="Q6" ca="1">TREND($K6:$P6,$K$1:$P$1,Q$1)</f>
        <v>0.64223999999999748</v>
      </c>
      <c r="R6" cm="1">
        <f t="array" aca="1" ref="R6" ca="1">TREND($K6:$P6,$K$1:$P$1,R$1)</f>
        <v>0.65087999999999724</v>
      </c>
      <c r="S6" cm="1">
        <f t="array" aca="1" ref="S6" ca="1">TREND($K6:$P6,$K$1:$P$1,S$1)</f>
        <v>0.659519999999997</v>
      </c>
      <c r="T6" cm="1">
        <f t="array" aca="1" ref="T6" ca="1">TREND($K6:$P6,$K$1:$P$1,T$1)</f>
        <v>0.66815999999999676</v>
      </c>
      <c r="U6" cm="1">
        <f t="array" aca="1" ref="U6" ca="1">TREND($K6:$P6,$K$1:$P$1,U$1)</f>
        <v>0.67679999999999652</v>
      </c>
      <c r="V6" cm="1">
        <f t="array" aca="1" ref="V6" ca="1">TREND($K6:$P6,$K$1:$P$1,V$1)</f>
        <v>0.68543999999999627</v>
      </c>
      <c r="W6" cm="1">
        <f t="array" aca="1" ref="W6" ca="1">TREND($K6:$P6,$K$1:$P$1,W$1)</f>
        <v>0.69407999999999603</v>
      </c>
      <c r="X6" cm="1">
        <f t="array" aca="1" ref="X6" ca="1">TREND($K6:$P6,$K$1:$P$1,X$1)</f>
        <v>0.70271999999999579</v>
      </c>
      <c r="Y6" cm="1">
        <f t="array" aca="1" ref="Y6" ca="1">TREND($K6:$P6,$K$1:$P$1,Y$1)</f>
        <v>0.71135999999999555</v>
      </c>
      <c r="Z6" cm="1">
        <f t="array" aca="1" ref="Z6" ca="1">TREND($K6:$P6,$K$1:$P$1,Z$1)</f>
        <v>0.71999999999999531</v>
      </c>
      <c r="AA6" cm="1">
        <f t="array" aca="1" ref="AA6" ca="1">TREND($K6:$P6,$K$1:$P$1,AA$1)</f>
        <v>0.72863999999999862</v>
      </c>
      <c r="AB6" cm="1">
        <f t="array" aca="1" ref="AB6" ca="1">TREND($K6:$P6,$K$1:$P$1,AB$1)</f>
        <v>0.73727999999999838</v>
      </c>
      <c r="AC6" cm="1">
        <f t="array" aca="1" ref="AC6" ca="1">TREND($K6:$P6,$K$1:$P$1,AC$1)</f>
        <v>0.74591999999999814</v>
      </c>
      <c r="AD6" cm="1">
        <f t="array" aca="1" ref="AD6" ca="1">TREND($K6:$P6,$K$1:$P$1,AD$1)</f>
        <v>0.7545599999999979</v>
      </c>
      <c r="AE6" cm="1">
        <f t="array" aca="1" ref="AE6" ca="1">TREND($K6:$P6,$K$1:$P$1,AE$1)</f>
        <v>0.76319999999999766</v>
      </c>
      <c r="AF6" cm="1">
        <f t="array" aca="1" ref="AF6" ca="1">TREND($K6:$P6,$K$1:$P$1,AF$1)</f>
        <v>0.77183999999999742</v>
      </c>
      <c r="AG6" cm="1">
        <f t="array" aca="1" ref="AG6" ca="1">TREND($K6:$P6,$K$1:$P$1,AG$1)</f>
        <v>0.78047999999999718</v>
      </c>
      <c r="AH6" cm="1">
        <f t="array" aca="1" ref="AH6" ca="1">TREND($K6:$P6,$K$1:$P$1,AH$1)</f>
        <v>0.78911999999999694</v>
      </c>
      <c r="AI6" cm="1">
        <f t="array" aca="1" ref="AI6" ca="1">TREND($K6:$P6,$K$1:$P$1,AI$1)</f>
        <v>0.79775999999999669</v>
      </c>
      <c r="AJ6" cm="1">
        <f t="array" aca="1" ref="AJ6" ca="1">TREND($K6:$P6,$K$1:$P$1,AJ$1)</f>
        <v>0.80639999999999645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17.28</v>
      </c>
      <c r="C7">
        <f t="shared" ca="1" si="3"/>
        <v>17.28</v>
      </c>
      <c r="D7">
        <f t="shared" ca="1" si="0"/>
        <v>17.28</v>
      </c>
      <c r="E7">
        <f t="shared" ca="1" si="0"/>
        <v>17.28</v>
      </c>
      <c r="F7" s="32" cm="1">
        <f t="array" aca="1" ref="F7" ca="1">INDIRECT(CONCATENATE("'",HLOOKUP(F$1,$B$21:$E$23,3,FALSE),"'!",$B$25,ROW($A7)+5))*About!$A$27</f>
        <v>17.28</v>
      </c>
      <c r="G7">
        <f t="shared" ca="1" si="4"/>
        <v>17.28</v>
      </c>
      <c r="H7">
        <f t="shared" ca="1" si="1"/>
        <v>17.28</v>
      </c>
      <c r="I7">
        <f t="shared" ca="1" si="1"/>
        <v>17.28</v>
      </c>
      <c r="J7">
        <f t="shared" ca="1" si="1"/>
        <v>17.28</v>
      </c>
      <c r="K7" s="32" cm="1">
        <f t="array" aca="1" ref="K7" ca="1">INDIRECT(CONCATENATE("'",HLOOKUP(K$1,$B$21:$E$23,3,FALSE),"'!",$B$25,ROW($A7)+5))*About!$A$27</f>
        <v>17.28</v>
      </c>
      <c r="L7">
        <f t="shared" ca="1" si="5"/>
        <v>17.28</v>
      </c>
      <c r="M7">
        <f t="shared" ca="1" si="2"/>
        <v>17.28</v>
      </c>
      <c r="N7">
        <f t="shared" ca="1" si="2"/>
        <v>17.28</v>
      </c>
      <c r="O7">
        <f t="shared" ca="1" si="2"/>
        <v>17.28</v>
      </c>
      <c r="P7" s="32" cm="1">
        <f t="array" aca="1" ref="P7" ca="1">INDIRECT(CONCATENATE("'",HLOOKUP(P$1,$B$21:$E$23,3,FALSE),"'!",$B$25,ROW($A7)+5))*About!$A$27</f>
        <v>17.28</v>
      </c>
      <c r="Q7" cm="1">
        <f t="array" aca="1" ref="Q7" ca="1">TREND($K7:$P7,$K$1:$P$1,Q$1)</f>
        <v>17.28</v>
      </c>
      <c r="R7" cm="1">
        <f t="array" aca="1" ref="R7" ca="1">TREND($K7:$P7,$K$1:$P$1,R$1)</f>
        <v>17.28</v>
      </c>
      <c r="S7" cm="1">
        <f t="array" aca="1" ref="S7" ca="1">TREND($K7:$P7,$K$1:$P$1,S$1)</f>
        <v>17.28</v>
      </c>
      <c r="T7" cm="1">
        <f t="array" aca="1" ref="T7" ca="1">TREND($K7:$P7,$K$1:$P$1,T$1)</f>
        <v>17.28</v>
      </c>
      <c r="U7" cm="1">
        <f t="array" aca="1" ref="U7" ca="1">TREND($K7:$P7,$K$1:$P$1,U$1)</f>
        <v>17.28</v>
      </c>
      <c r="V7" cm="1">
        <f t="array" aca="1" ref="V7" ca="1">TREND($K7:$P7,$K$1:$P$1,V$1)</f>
        <v>17.28</v>
      </c>
      <c r="W7" cm="1">
        <f t="array" aca="1" ref="W7" ca="1">TREND($K7:$P7,$K$1:$P$1,W$1)</f>
        <v>17.28</v>
      </c>
      <c r="X7" cm="1">
        <f t="array" aca="1" ref="X7" ca="1">TREND($K7:$P7,$K$1:$P$1,X$1)</f>
        <v>17.28</v>
      </c>
      <c r="Y7" cm="1">
        <f t="array" aca="1" ref="Y7" ca="1">TREND($K7:$P7,$K$1:$P$1,Y$1)</f>
        <v>17.28</v>
      </c>
      <c r="Z7" cm="1">
        <f t="array" aca="1" ref="Z7" ca="1">TREND($K7:$P7,$K$1:$P$1,Z$1)</f>
        <v>17.28</v>
      </c>
      <c r="AA7" cm="1">
        <f t="array" aca="1" ref="AA7" ca="1">TREND($K7:$P7,$K$1:$P$1,AA$1)</f>
        <v>17.28</v>
      </c>
      <c r="AB7" cm="1">
        <f t="array" aca="1" ref="AB7" ca="1">TREND($K7:$P7,$K$1:$P$1,AB$1)</f>
        <v>17.28</v>
      </c>
      <c r="AC7" cm="1">
        <f t="array" aca="1" ref="AC7" ca="1">TREND($K7:$P7,$K$1:$P$1,AC$1)</f>
        <v>17.28</v>
      </c>
      <c r="AD7" cm="1">
        <f t="array" aca="1" ref="AD7" ca="1">TREND($K7:$P7,$K$1:$P$1,AD$1)</f>
        <v>17.28</v>
      </c>
      <c r="AE7" cm="1">
        <f t="array" aca="1" ref="AE7" ca="1">TREND($K7:$P7,$K$1:$P$1,AE$1)</f>
        <v>17.28</v>
      </c>
      <c r="AF7" cm="1">
        <f t="array" aca="1" ref="AF7" ca="1">TREND($K7:$P7,$K$1:$P$1,AF$1)</f>
        <v>17.28</v>
      </c>
      <c r="AG7" cm="1">
        <f t="array" aca="1" ref="AG7" ca="1">TREND($K7:$P7,$K$1:$P$1,AG$1)</f>
        <v>17.28</v>
      </c>
      <c r="AH7" cm="1">
        <f t="array" aca="1" ref="AH7" ca="1">TREND($K7:$P7,$K$1:$P$1,AH$1)</f>
        <v>17.28</v>
      </c>
      <c r="AI7" cm="1">
        <f t="array" aca="1" ref="AI7" ca="1">TREND($K7:$P7,$K$1:$P$1,AI$1)</f>
        <v>17.28</v>
      </c>
      <c r="AJ7" cm="1">
        <f t="array" aca="1" ref="AJ7" ca="1">TREND($K7:$P7,$K$1:$P$1,AJ$1)</f>
        <v>17.28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2.7359999999999998</v>
      </c>
      <c r="C8">
        <f t="shared" ca="1" si="3"/>
        <v>2.7719999999999998</v>
      </c>
      <c r="D8">
        <f t="shared" ca="1" si="0"/>
        <v>2.8079999999999998</v>
      </c>
      <c r="E8">
        <f t="shared" ca="1" si="0"/>
        <v>2.8439999999999999</v>
      </c>
      <c r="F8" s="32" cm="1">
        <f t="array" aca="1" ref="F8" ca="1">INDIRECT(CONCATENATE("'",HLOOKUP(F$1,$B$21:$E$23,3,FALSE),"'!",$B$25,ROW($A8)+5))*About!$A$27</f>
        <v>2.88</v>
      </c>
      <c r="G8">
        <f t="shared" ca="1" si="4"/>
        <v>2.88</v>
      </c>
      <c r="H8">
        <f t="shared" ca="1" si="1"/>
        <v>2.88</v>
      </c>
      <c r="I8">
        <f t="shared" ca="1" si="1"/>
        <v>2.88</v>
      </c>
      <c r="J8">
        <f t="shared" ca="1" si="1"/>
        <v>2.88</v>
      </c>
      <c r="K8" s="32" cm="1">
        <f t="array" aca="1" ref="K8" ca="1">INDIRECT(CONCATENATE("'",HLOOKUP(K$1,$B$21:$E$23,3,FALSE),"'!",$B$25,ROW($A8)+5))*About!$A$27</f>
        <v>2.88</v>
      </c>
      <c r="L8">
        <f t="shared" ca="1" si="5"/>
        <v>2.9087999999999998</v>
      </c>
      <c r="M8">
        <f t="shared" ca="1" si="2"/>
        <v>2.9375999999999998</v>
      </c>
      <c r="N8">
        <f t="shared" ca="1" si="2"/>
        <v>2.9664000000000001</v>
      </c>
      <c r="O8">
        <f t="shared" ca="1" si="2"/>
        <v>2.9952000000000001</v>
      </c>
      <c r="P8" s="32" cm="1">
        <f t="array" aca="1" ref="P8" ca="1">INDIRECT(CONCATENATE("'",HLOOKUP(P$1,$B$21:$E$23,3,FALSE),"'!",$B$25,ROW($A8)+5))*About!$A$27</f>
        <v>3.024</v>
      </c>
      <c r="Q8" cm="1">
        <f t="array" aca="1" ref="Q8" ca="1">TREND($K8:$P8,$K$1:$P$1,Q$1)</f>
        <v>3.0527999999999977</v>
      </c>
      <c r="R8" cm="1">
        <f t="array" aca="1" ref="R8" ca="1">TREND($K8:$P8,$K$1:$P$1,R$1)</f>
        <v>3.0816000000000017</v>
      </c>
      <c r="S8" cm="1">
        <f t="array" aca="1" ref="S8" ca="1">TREND($K8:$P8,$K$1:$P$1,S$1)</f>
        <v>3.1103999999999985</v>
      </c>
      <c r="T8" cm="1">
        <f t="array" aca="1" ref="T8" ca="1">TREND($K8:$P8,$K$1:$P$1,T$1)</f>
        <v>3.1392000000000024</v>
      </c>
      <c r="U8" cm="1">
        <f t="array" aca="1" ref="U8" ca="1">TREND($K8:$P8,$K$1:$P$1,U$1)</f>
        <v>3.1679999999999993</v>
      </c>
      <c r="V8" cm="1">
        <f t="array" aca="1" ref="V8" ca="1">TREND($K8:$P8,$K$1:$P$1,V$1)</f>
        <v>3.1968000000000032</v>
      </c>
      <c r="W8" cm="1">
        <f t="array" aca="1" ref="W8" ca="1">TREND($K8:$P8,$K$1:$P$1,W$1)</f>
        <v>3.2256</v>
      </c>
      <c r="X8" cm="1">
        <f t="array" aca="1" ref="X8" ca="1">TREND($K8:$P8,$K$1:$P$1,X$1)</f>
        <v>3.2543999999999969</v>
      </c>
      <c r="Y8" cm="1">
        <f t="array" aca="1" ref="Y8" ca="1">TREND($K8:$P8,$K$1:$P$1,Y$1)</f>
        <v>3.2832000000000008</v>
      </c>
      <c r="Z8" cm="1">
        <f t="array" aca="1" ref="Z8" ca="1">TREND($K8:$P8,$K$1:$P$1,Z$1)</f>
        <v>3.3119999999999976</v>
      </c>
      <c r="AA8" cm="1">
        <f t="array" aca="1" ref="AA8" ca="1">TREND($K8:$P8,$K$1:$P$1,AA$1)</f>
        <v>3.3408000000000015</v>
      </c>
      <c r="AB8" cm="1">
        <f t="array" aca="1" ref="AB8" ca="1">TREND($K8:$P8,$K$1:$P$1,AB$1)</f>
        <v>3.3695999999999984</v>
      </c>
      <c r="AC8" cm="1">
        <f t="array" aca="1" ref="AC8" ca="1">TREND($K8:$P8,$K$1:$P$1,AC$1)</f>
        <v>3.3984000000000023</v>
      </c>
      <c r="AD8" cm="1">
        <f t="array" aca="1" ref="AD8" ca="1">TREND($K8:$P8,$K$1:$P$1,AD$1)</f>
        <v>3.4271999999999991</v>
      </c>
      <c r="AE8" cm="1">
        <f t="array" aca="1" ref="AE8" ca="1">TREND($K8:$P8,$K$1:$P$1,AE$1)</f>
        <v>3.4560000000000031</v>
      </c>
      <c r="AF8" cm="1">
        <f t="array" aca="1" ref="AF8" ca="1">TREND($K8:$P8,$K$1:$P$1,AF$1)</f>
        <v>3.4847999999999999</v>
      </c>
      <c r="AG8" cm="1">
        <f t="array" aca="1" ref="AG8" ca="1">TREND($K8:$P8,$K$1:$P$1,AG$1)</f>
        <v>3.5136000000000038</v>
      </c>
      <c r="AH8" cm="1">
        <f t="array" aca="1" ref="AH8" ca="1">TREND($K8:$P8,$K$1:$P$1,AH$1)</f>
        <v>3.5424000000000007</v>
      </c>
      <c r="AI8" cm="1">
        <f t="array" aca="1" ref="AI8" ca="1">TREND($K8:$P8,$K$1:$P$1,AI$1)</f>
        <v>3.5711999999999975</v>
      </c>
      <c r="AJ8" cm="1">
        <f t="array" aca="1" ref="AJ8" ca="1">TREND($K8:$P8,$K$1:$P$1,AJ$1)</f>
        <v>3.6000000000000014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0.64800000000000002</v>
      </c>
      <c r="C9">
        <f t="shared" ca="1" si="3"/>
        <v>0.65159999999999996</v>
      </c>
      <c r="D9">
        <f t="shared" ca="1" si="0"/>
        <v>0.6552</v>
      </c>
      <c r="E9">
        <f t="shared" ca="1" si="0"/>
        <v>0.65880000000000005</v>
      </c>
      <c r="F9" s="32" cm="1">
        <f t="array" aca="1" ref="F9" ca="1">INDIRECT(CONCATENATE("'",HLOOKUP(F$1,$B$21:$E$23,3,FALSE),"'!",$B$25,ROW($A9)+5))*About!$A$27</f>
        <v>0.66239999999999999</v>
      </c>
      <c r="G9">
        <f t="shared" ca="1" si="4"/>
        <v>0.66815999999999998</v>
      </c>
      <c r="H9">
        <f t="shared" ca="1" si="1"/>
        <v>0.67391999999999996</v>
      </c>
      <c r="I9">
        <f t="shared" ca="1" si="1"/>
        <v>0.67967999999999995</v>
      </c>
      <c r="J9">
        <f t="shared" ca="1" si="1"/>
        <v>0.68543999999999994</v>
      </c>
      <c r="K9" s="32" cm="1">
        <f t="array" aca="1" ref="K9" ca="1">INDIRECT(CONCATENATE("'",HLOOKUP(K$1,$B$21:$E$23,3,FALSE),"'!",$B$25,ROW($A9)+5))*About!$A$27</f>
        <v>0.69119999999999993</v>
      </c>
      <c r="L9">
        <f t="shared" ca="1" si="5"/>
        <v>0.69983999999999991</v>
      </c>
      <c r="M9">
        <f t="shared" ca="1" si="2"/>
        <v>0.70847999999999989</v>
      </c>
      <c r="N9">
        <f t="shared" ca="1" si="2"/>
        <v>0.71711999999999998</v>
      </c>
      <c r="O9">
        <f t="shared" ca="1" si="2"/>
        <v>0.72575999999999996</v>
      </c>
      <c r="P9" s="32" cm="1">
        <f t="array" aca="1" ref="P9" ca="1">INDIRECT(CONCATENATE("'",HLOOKUP(P$1,$B$21:$E$23,3,FALSE),"'!",$B$25,ROW($A9)+5))*About!$A$27</f>
        <v>0.73439999999999994</v>
      </c>
      <c r="Q9" cm="1">
        <f t="array" aca="1" ref="Q9" ca="1">TREND($K9:$P9,$K$1:$P$1,Q$1)</f>
        <v>0.74304000000000059</v>
      </c>
      <c r="R9" cm="1">
        <f t="array" aca="1" ref="R9" ca="1">TREND($K9:$P9,$K$1:$P$1,R$1)</f>
        <v>0.75168000000000035</v>
      </c>
      <c r="S9" cm="1">
        <f t="array" aca="1" ref="S9" ca="1">TREND($K9:$P9,$K$1:$P$1,S$1)</f>
        <v>0.76032000000000011</v>
      </c>
      <c r="T9" cm="1">
        <f t="array" aca="1" ref="T9" ca="1">TREND($K9:$P9,$K$1:$P$1,T$1)</f>
        <v>0.76895999999999987</v>
      </c>
      <c r="U9" cm="1">
        <f t="array" aca="1" ref="U9" ca="1">TREND($K9:$P9,$K$1:$P$1,U$1)</f>
        <v>0.77759999999999962</v>
      </c>
      <c r="V9" cm="1">
        <f t="array" aca="1" ref="V9" ca="1">TREND($K9:$P9,$K$1:$P$1,V$1)</f>
        <v>0.78623999999999938</v>
      </c>
      <c r="W9" cm="1">
        <f t="array" aca="1" ref="W9" ca="1">TREND($K9:$P9,$K$1:$P$1,W$1)</f>
        <v>0.79487999999999914</v>
      </c>
      <c r="X9" cm="1">
        <f t="array" aca="1" ref="X9" ca="1">TREND($K9:$P9,$K$1:$P$1,X$1)</f>
        <v>0.8035199999999989</v>
      </c>
      <c r="Y9" cm="1">
        <f t="array" aca="1" ref="Y9" ca="1">TREND($K9:$P9,$K$1:$P$1,Y$1)</f>
        <v>0.81215999999999866</v>
      </c>
      <c r="Z9" cm="1">
        <f t="array" aca="1" ref="Z9" ca="1">TREND($K9:$P9,$K$1:$P$1,Z$1)</f>
        <v>0.82079999999999842</v>
      </c>
      <c r="AA9" cm="1">
        <f t="array" aca="1" ref="AA9" ca="1">TREND($K9:$P9,$K$1:$P$1,AA$1)</f>
        <v>0.82944000000000173</v>
      </c>
      <c r="AB9" cm="1">
        <f t="array" aca="1" ref="AB9" ca="1">TREND($K9:$P9,$K$1:$P$1,AB$1)</f>
        <v>0.83808000000000149</v>
      </c>
      <c r="AC9" cm="1">
        <f t="array" aca="1" ref="AC9" ca="1">TREND($K9:$P9,$K$1:$P$1,AC$1)</f>
        <v>0.84672000000000125</v>
      </c>
      <c r="AD9" cm="1">
        <f t="array" aca="1" ref="AD9" ca="1">TREND($K9:$P9,$K$1:$P$1,AD$1)</f>
        <v>0.85536000000000101</v>
      </c>
      <c r="AE9" cm="1">
        <f t="array" aca="1" ref="AE9" ca="1">TREND($K9:$P9,$K$1:$P$1,AE$1)</f>
        <v>0.86400000000000077</v>
      </c>
      <c r="AF9" cm="1">
        <f t="array" aca="1" ref="AF9" ca="1">TREND($K9:$P9,$K$1:$P$1,AF$1)</f>
        <v>0.87264000000000053</v>
      </c>
      <c r="AG9" cm="1">
        <f t="array" aca="1" ref="AG9" ca="1">TREND($K9:$P9,$K$1:$P$1,AG$1)</f>
        <v>0.88128000000000029</v>
      </c>
      <c r="AH9" cm="1">
        <f t="array" aca="1" ref="AH9" ca="1">TREND($K9:$P9,$K$1:$P$1,AH$1)</f>
        <v>0.88992000000000004</v>
      </c>
      <c r="AI9" cm="1">
        <f t="array" aca="1" ref="AI9" ca="1">TREND($K9:$P9,$K$1:$P$1,AI$1)</f>
        <v>0.8985599999999998</v>
      </c>
      <c r="AJ9" cm="1">
        <f t="array" aca="1" ref="AJ9" ca="1">TREND($K9:$P9,$K$1:$P$1,AJ$1)</f>
        <v>0.90719999999999956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5.3280000000000003E-3</v>
      </c>
      <c r="C10">
        <f t="shared" ca="1" si="3"/>
        <v>5.4359999999999999E-3</v>
      </c>
      <c r="D10">
        <f t="shared" ca="1" si="0"/>
        <v>5.5440000000000003E-3</v>
      </c>
      <c r="E10">
        <f t="shared" ca="1" si="0"/>
        <v>5.6519999999999999E-3</v>
      </c>
      <c r="F10" s="32" cm="1">
        <f t="array" aca="1" ref="F10" ca="1">INDIRECT(CONCATENATE("'",HLOOKUP(F$1,$B$21:$E$23,3,FALSE),"'!",$B$25,ROW($A10)+5))*About!$A$27</f>
        <v>5.7599999999999995E-3</v>
      </c>
      <c r="G10">
        <f t="shared" ca="1" si="4"/>
        <v>5.8751999999999997E-3</v>
      </c>
      <c r="H10">
        <f t="shared" ca="1" si="1"/>
        <v>5.9903999999999999E-3</v>
      </c>
      <c r="I10">
        <f t="shared" ca="1" si="1"/>
        <v>6.1056000000000001E-3</v>
      </c>
      <c r="J10">
        <f t="shared" ca="1" si="1"/>
        <v>6.2208000000000003E-3</v>
      </c>
      <c r="K10" s="32" cm="1">
        <f t="array" aca="1" ref="K10" ca="1">INDIRECT(CONCATENATE("'",HLOOKUP(K$1,$B$21:$E$23,3,FALSE),"'!",$B$25,ROW($A10)+5))*About!$A$27</f>
        <v>6.3360000000000005E-3</v>
      </c>
      <c r="L10">
        <f t="shared" ca="1" si="5"/>
        <v>6.4511999999999998E-3</v>
      </c>
      <c r="M10">
        <f t="shared" ca="1" si="2"/>
        <v>6.5664E-3</v>
      </c>
      <c r="N10">
        <f t="shared" ca="1" si="2"/>
        <v>6.6815999999999993E-3</v>
      </c>
      <c r="O10">
        <f t="shared" ca="1" si="2"/>
        <v>6.7967999999999995E-3</v>
      </c>
      <c r="P10" s="32" cm="1">
        <f t="array" aca="1" ref="P10" ca="1">INDIRECT(CONCATENATE("'",HLOOKUP(P$1,$B$21:$E$23,3,FALSE),"'!",$B$25,ROW($A10)+5))*About!$A$27</f>
        <v>6.9119999999999989E-3</v>
      </c>
      <c r="Q10" cm="1">
        <f t="array" aca="1" ref="Q10" ca="1">TREND($K10:$P10,$K$1:$P$1,Q$1)</f>
        <v>7.0271999999999835E-3</v>
      </c>
      <c r="R10" cm="1">
        <f t="array" aca="1" ref="R10" ca="1">TREND($K10:$P10,$K$1:$P$1,R$1)</f>
        <v>7.1423999999999932E-3</v>
      </c>
      <c r="S10" cm="1">
        <f t="array" aca="1" ref="S10" ca="1">TREND($K10:$P10,$K$1:$P$1,S$1)</f>
        <v>7.2575999999999752E-3</v>
      </c>
      <c r="T10" cm="1">
        <f t="array" aca="1" ref="T10" ca="1">TREND($K10:$P10,$K$1:$P$1,T$1)</f>
        <v>7.3727999999999849E-3</v>
      </c>
      <c r="U10" cm="1">
        <f t="array" aca="1" ref="U10" ca="1">TREND($K10:$P10,$K$1:$P$1,U$1)</f>
        <v>7.4879999999999947E-3</v>
      </c>
      <c r="V10" cm="1">
        <f t="array" aca="1" ref="V10" ca="1">TREND($K10:$P10,$K$1:$P$1,V$1)</f>
        <v>7.6031999999999766E-3</v>
      </c>
      <c r="W10" cm="1">
        <f t="array" aca="1" ref="W10" ca="1">TREND($K10:$P10,$K$1:$P$1,W$1)</f>
        <v>7.7183999999999864E-3</v>
      </c>
      <c r="X10" cm="1">
        <f t="array" aca="1" ref="X10" ca="1">TREND($K10:$P10,$K$1:$P$1,X$1)</f>
        <v>7.8335999999999961E-3</v>
      </c>
      <c r="Y10" cm="1">
        <f t="array" aca="1" ref="Y10" ca="1">TREND($K10:$P10,$K$1:$P$1,Y$1)</f>
        <v>7.9487999999999781E-3</v>
      </c>
      <c r="Z10" cm="1">
        <f t="array" aca="1" ref="Z10" ca="1">TREND($K10:$P10,$K$1:$P$1,Z$1)</f>
        <v>8.0639999999999878E-3</v>
      </c>
      <c r="AA10" cm="1">
        <f t="array" aca="1" ref="AA10" ca="1">TREND($K10:$P10,$K$1:$P$1,AA$1)</f>
        <v>8.1791999999999976E-3</v>
      </c>
      <c r="AB10" cm="1">
        <f t="array" aca="1" ref="AB10" ca="1">TREND($K10:$P10,$K$1:$P$1,AB$1)</f>
        <v>8.2943999999999796E-3</v>
      </c>
      <c r="AC10" cm="1">
        <f t="array" aca="1" ref="AC10" ca="1">TREND($K10:$P10,$K$1:$P$1,AC$1)</f>
        <v>8.4095999999999893E-3</v>
      </c>
      <c r="AD10" cm="1">
        <f t="array" aca="1" ref="AD10" ca="1">TREND($K10:$P10,$K$1:$P$1,AD$1)</f>
        <v>8.5247999999999713E-3</v>
      </c>
      <c r="AE10" cm="1">
        <f t="array" aca="1" ref="AE10" ca="1">TREND($K10:$P10,$K$1:$P$1,AE$1)</f>
        <v>8.639999999999981E-3</v>
      </c>
      <c r="AF10" cm="1">
        <f t="array" aca="1" ref="AF10" ca="1">TREND($K10:$P10,$K$1:$P$1,AF$1)</f>
        <v>8.7551999999999908E-3</v>
      </c>
      <c r="AG10" cm="1">
        <f t="array" aca="1" ref="AG10" ca="1">TREND($K10:$P10,$K$1:$P$1,AG$1)</f>
        <v>8.8703999999999728E-3</v>
      </c>
      <c r="AH10" cm="1">
        <f t="array" aca="1" ref="AH10" ca="1">TREND($K10:$P10,$K$1:$P$1,AH$1)</f>
        <v>8.9855999999999825E-3</v>
      </c>
      <c r="AI10" cm="1">
        <f t="array" aca="1" ref="AI10" ca="1">TREND($K10:$P10,$K$1:$P$1,AI$1)</f>
        <v>9.1007999999999922E-3</v>
      </c>
      <c r="AJ10" cm="1">
        <f t="array" aca="1" ref="AJ10" ca="1">TREND($K10:$P10,$K$1:$P$1,AJ$1)</f>
        <v>9.2159999999999742E-3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5.0400000000000002E-3</v>
      </c>
      <c r="C11">
        <f t="shared" ca="1" si="3"/>
        <v>5.1479999999999998E-3</v>
      </c>
      <c r="D11">
        <f t="shared" ca="1" si="0"/>
        <v>5.2560000000000003E-3</v>
      </c>
      <c r="E11">
        <f t="shared" ca="1" si="0"/>
        <v>5.3639999999999998E-3</v>
      </c>
      <c r="F11" s="32" cm="1">
        <f t="array" aca="1" ref="F11" ca="1">INDIRECT(CONCATENATE("'",HLOOKUP(F$1,$B$21:$E$23,3,FALSE),"'!",$B$25,ROW($A11)+5))*About!$A$27</f>
        <v>5.4719999999999994E-3</v>
      </c>
      <c r="G11">
        <f t="shared" ca="1" si="4"/>
        <v>5.6159999999999995E-3</v>
      </c>
      <c r="H11">
        <f t="shared" ca="1" si="1"/>
        <v>5.7599999999999995E-3</v>
      </c>
      <c r="I11">
        <f t="shared" ca="1" si="1"/>
        <v>5.9039999999999995E-3</v>
      </c>
      <c r="J11">
        <f t="shared" ca="1" si="1"/>
        <v>6.0479999999999996E-3</v>
      </c>
      <c r="K11" s="32" cm="1">
        <f t="array" aca="1" ref="K11" ca="1">INDIRECT(CONCATENATE("'",HLOOKUP(K$1,$B$21:$E$23,3,FALSE),"'!",$B$25,ROW($A11)+5))*About!$A$27</f>
        <v>6.1919999999999996E-3</v>
      </c>
      <c r="L11">
        <f t="shared" ca="1" si="5"/>
        <v>6.3071999999999998E-3</v>
      </c>
      <c r="M11">
        <f t="shared" ca="1" si="2"/>
        <v>6.4224E-3</v>
      </c>
      <c r="N11">
        <f t="shared" ca="1" si="2"/>
        <v>6.5375999999999993E-3</v>
      </c>
      <c r="O11">
        <f t="shared" ca="1" si="2"/>
        <v>6.6527999999999995E-3</v>
      </c>
      <c r="P11" s="32" cm="1">
        <f t="array" aca="1" ref="P11" ca="1">INDIRECT(CONCATENATE("'",HLOOKUP(P$1,$B$21:$E$23,3,FALSE),"'!",$B$25,ROW($A11)+5))*About!$A$27</f>
        <v>6.7679999999999997E-3</v>
      </c>
      <c r="Q11" cm="1">
        <f t="array" aca="1" ref="Q11" ca="1">TREND($K11:$P11,$K$1:$P$1,Q$1)</f>
        <v>6.8831999999999782E-3</v>
      </c>
      <c r="R11" cm="1">
        <f t="array" aca="1" ref="R11" ca="1">TREND($K11:$P11,$K$1:$P$1,R$1)</f>
        <v>6.998399999999988E-3</v>
      </c>
      <c r="S11" cm="1">
        <f t="array" aca="1" ref="S11" ca="1">TREND($K11:$P11,$K$1:$P$1,S$1)</f>
        <v>7.1135999999999699E-3</v>
      </c>
      <c r="T11" cm="1">
        <f t="array" aca="1" ref="T11" ca="1">TREND($K11:$P11,$K$1:$P$1,T$1)</f>
        <v>7.2287999999999797E-3</v>
      </c>
      <c r="U11" cm="1">
        <f t="array" aca="1" ref="U11" ca="1">TREND($K11:$P11,$K$1:$P$1,U$1)</f>
        <v>7.3439999999999894E-3</v>
      </c>
      <c r="V11" cm="1">
        <f t="array" aca="1" ref="V11" ca="1">TREND($K11:$P11,$K$1:$P$1,V$1)</f>
        <v>7.4591999999999714E-3</v>
      </c>
      <c r="W11" cm="1">
        <f t="array" aca="1" ref="W11" ca="1">TREND($K11:$P11,$K$1:$P$1,W$1)</f>
        <v>7.5743999999999811E-3</v>
      </c>
      <c r="X11" cm="1">
        <f t="array" aca="1" ref="X11" ca="1">TREND($K11:$P11,$K$1:$P$1,X$1)</f>
        <v>7.6895999999999909E-3</v>
      </c>
      <c r="Y11" cm="1">
        <f t="array" aca="1" ref="Y11" ca="1">TREND($K11:$P11,$K$1:$P$1,Y$1)</f>
        <v>7.8047999999999729E-3</v>
      </c>
      <c r="Z11" cm="1">
        <f t="array" aca="1" ref="Z11" ca="1">TREND($K11:$P11,$K$1:$P$1,Z$1)</f>
        <v>7.9199999999999826E-3</v>
      </c>
      <c r="AA11" cm="1">
        <f t="array" aca="1" ref="AA11" ca="1">TREND($K11:$P11,$K$1:$P$1,AA$1)</f>
        <v>8.0351999999999646E-3</v>
      </c>
      <c r="AB11" cm="1">
        <f t="array" aca="1" ref="AB11" ca="1">TREND($K11:$P11,$K$1:$P$1,AB$1)</f>
        <v>8.1503999999999743E-3</v>
      </c>
      <c r="AC11" cm="1">
        <f t="array" aca="1" ref="AC11" ca="1">TREND($K11:$P11,$K$1:$P$1,AC$1)</f>
        <v>8.2655999999999841E-3</v>
      </c>
      <c r="AD11" cm="1">
        <f t="array" aca="1" ref="AD11" ca="1">TREND($K11:$P11,$K$1:$P$1,AD$1)</f>
        <v>8.3807999999999661E-3</v>
      </c>
      <c r="AE11" cm="1">
        <f t="array" aca="1" ref="AE11" ca="1">TREND($K11:$P11,$K$1:$P$1,AE$1)</f>
        <v>8.4959999999999758E-3</v>
      </c>
      <c r="AF11" cm="1">
        <f t="array" aca="1" ref="AF11" ca="1">TREND($K11:$P11,$K$1:$P$1,AF$1)</f>
        <v>8.6111999999999855E-3</v>
      </c>
      <c r="AG11" cm="1">
        <f t="array" aca="1" ref="AG11" ca="1">TREND($K11:$P11,$K$1:$P$1,AG$1)</f>
        <v>8.7263999999999675E-3</v>
      </c>
      <c r="AH11" cm="1">
        <f t="array" aca="1" ref="AH11" ca="1">TREND($K11:$P11,$K$1:$P$1,AH$1)</f>
        <v>8.8415999999999773E-3</v>
      </c>
      <c r="AI11" cm="1">
        <f t="array" aca="1" ref="AI11" ca="1">TREND($K11:$P11,$K$1:$P$1,AI$1)</f>
        <v>8.956799999999987E-3</v>
      </c>
      <c r="AJ11" cm="1">
        <f t="array" aca="1" ref="AJ11" ca="1">TREND($K11:$P11,$K$1:$P$1,AJ$1)</f>
        <v>9.071999999999969E-3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2.3903999999999998E-2</v>
      </c>
      <c r="C12">
        <f t="shared" ca="1" si="3"/>
        <v>2.4299999999999999E-2</v>
      </c>
      <c r="D12">
        <f t="shared" ca="1" si="0"/>
        <v>2.4695999999999999E-2</v>
      </c>
      <c r="E12">
        <f t="shared" ca="1" si="0"/>
        <v>2.5092E-2</v>
      </c>
      <c r="F12" s="33">
        <f ca="1">SUM(INDIRECT(CONCATENATE("'",HLOOKUP(F$1,$B$21:$E$23,3,FALSE),"'!",$B$25,ROW($A12)+5,":",$B$25,ROW($A12)+6)))*About!$A$27</f>
        <v>2.5488E-2</v>
      </c>
      <c r="G12">
        <f t="shared" ca="1" si="4"/>
        <v>2.6121599999999998E-2</v>
      </c>
      <c r="H12">
        <f t="shared" ca="1" si="1"/>
        <v>2.6755199999999996E-2</v>
      </c>
      <c r="I12">
        <f t="shared" ca="1" si="1"/>
        <v>2.7388799999999998E-2</v>
      </c>
      <c r="J12">
        <f t="shared" ca="1" si="1"/>
        <v>2.8022399999999996E-2</v>
      </c>
      <c r="K12" s="33">
        <f ca="1">SUM(INDIRECT(CONCATENATE("'",HLOOKUP(K$1,$B$21:$E$23,3,FALSE),"'!",$B$25,ROW($A12)+5,":",$B$25,ROW($A12)+6)))*About!$A$27</f>
        <v>2.8655999999999994E-2</v>
      </c>
      <c r="L12">
        <f t="shared" ca="1" si="5"/>
        <v>2.9001599999999995E-2</v>
      </c>
      <c r="M12">
        <f t="shared" ca="1" si="2"/>
        <v>2.9347199999999997E-2</v>
      </c>
      <c r="N12">
        <f t="shared" ca="1" si="2"/>
        <v>2.9692799999999998E-2</v>
      </c>
      <c r="O12">
        <f t="shared" ca="1" si="2"/>
        <v>3.00384E-2</v>
      </c>
      <c r="P12" s="33">
        <f ca="1">SUM(INDIRECT(CONCATENATE("'",HLOOKUP(P$1,$B$21:$E$23,3,FALSE),"'!",$B$25,ROW($A12)+5,":",$B$25,ROW($A12)+6)))*About!$A$27</f>
        <v>3.0384000000000001E-2</v>
      </c>
      <c r="Q12" cm="1">
        <f t="array" aca="1" ref="Q12" ca="1">TREND($K12:$P12,$K$1:$P$1,Q$1)</f>
        <v>3.0729600000000024E-2</v>
      </c>
      <c r="R12" cm="1">
        <f t="array" aca="1" ref="R12" ca="1">TREND($K12:$P12,$K$1:$P$1,R$1)</f>
        <v>3.107519999999997E-2</v>
      </c>
      <c r="S12" cm="1">
        <f t="array" aca="1" ref="S12" ca="1">TREND($K12:$P12,$K$1:$P$1,S$1)</f>
        <v>3.1420799999999915E-2</v>
      </c>
      <c r="T12" cm="1">
        <f t="array" aca="1" ref="T12" ca="1">TREND($K12:$P12,$K$1:$P$1,T$1)</f>
        <v>3.1766399999999972E-2</v>
      </c>
      <c r="U12" cm="1">
        <f t="array" aca="1" ref="U12" ca="1">TREND($K12:$P12,$K$1:$P$1,U$1)</f>
        <v>3.2112000000000029E-2</v>
      </c>
      <c r="V12" cm="1">
        <f t="array" aca="1" ref="V12" ca="1">TREND($K12:$P12,$K$1:$P$1,V$1)</f>
        <v>3.2457599999999975E-2</v>
      </c>
      <c r="W12" cm="1">
        <f t="array" aca="1" ref="W12" ca="1">TREND($K12:$P12,$K$1:$P$1,W$1)</f>
        <v>3.2803199999999921E-2</v>
      </c>
      <c r="X12" cm="1">
        <f t="array" aca="1" ref="X12" ca="1">TREND($K12:$P12,$K$1:$P$1,X$1)</f>
        <v>3.3148799999999978E-2</v>
      </c>
      <c r="Y12" cm="1">
        <f t="array" aca="1" ref="Y12" ca="1">TREND($K12:$P12,$K$1:$P$1,Y$1)</f>
        <v>3.3494400000000035E-2</v>
      </c>
      <c r="Z12" cm="1">
        <f t="array" aca="1" ref="Z12" ca="1">TREND($K12:$P12,$K$1:$P$1,Z$1)</f>
        <v>3.3839999999999981E-2</v>
      </c>
      <c r="AA12" cm="1">
        <f t="array" aca="1" ref="AA12" ca="1">TREND($K12:$P12,$K$1:$P$1,AA$1)</f>
        <v>3.4185599999999927E-2</v>
      </c>
      <c r="AB12" cm="1">
        <f t="array" aca="1" ref="AB12" ca="1">TREND($K12:$P12,$K$1:$P$1,AB$1)</f>
        <v>3.4531199999999984E-2</v>
      </c>
      <c r="AC12" cm="1">
        <f t="array" aca="1" ref="AC12" ca="1">TREND($K12:$P12,$K$1:$P$1,AC$1)</f>
        <v>3.4876800000000041E-2</v>
      </c>
      <c r="AD12" cm="1">
        <f t="array" aca="1" ref="AD12" ca="1">TREND($K12:$P12,$K$1:$P$1,AD$1)</f>
        <v>3.5222399999999987E-2</v>
      </c>
      <c r="AE12" cm="1">
        <f t="array" aca="1" ref="AE12" ca="1">TREND($K12:$P12,$K$1:$P$1,AE$1)</f>
        <v>3.5567999999999933E-2</v>
      </c>
      <c r="AF12" cm="1">
        <f t="array" aca="1" ref="AF12" ca="1">TREND($K12:$P12,$K$1:$P$1,AF$1)</f>
        <v>3.591359999999999E-2</v>
      </c>
      <c r="AG12" cm="1">
        <f t="array" aca="1" ref="AG12" ca="1">TREND($K12:$P12,$K$1:$P$1,AG$1)</f>
        <v>3.6259200000000047E-2</v>
      </c>
      <c r="AH12" cm="1">
        <f t="array" aca="1" ref="AH12" ca="1">TREND($K12:$P12,$K$1:$P$1,AH$1)</f>
        <v>3.6604799999999993E-2</v>
      </c>
      <c r="AI12" cm="1">
        <f t="array" aca="1" ref="AI12" ca="1">TREND($K12:$P12,$K$1:$P$1,AI$1)</f>
        <v>3.6950399999999939E-2</v>
      </c>
      <c r="AJ12" cm="1">
        <f t="array" aca="1" ref="AJ12" ca="1">TREND($K12:$P12,$K$1:$P$1,AJ$1)</f>
        <v>3.7295999999999996E-2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HOIpTP-electricity-PM25</v>
      </c>
    </row>
    <row r="18" spans="1:5" x14ac:dyDescent="0.25">
      <c r="A18" t="s">
        <v>83</v>
      </c>
      <c r="B18" t="str">
        <f ca="1">RIGHT(B17,LEN(B17)-7)</f>
        <v>electricity-PM25</v>
      </c>
    </row>
    <row r="19" spans="1:5" x14ac:dyDescent="0.25">
      <c r="A19" t="s">
        <v>84</v>
      </c>
      <c r="B19" t="str">
        <f ca="1">LEFT(B18,FIND("-",B18)-1)</f>
        <v>electricity</v>
      </c>
    </row>
    <row r="20" spans="1:5" x14ac:dyDescent="0.25">
      <c r="A20" t="s">
        <v>85</v>
      </c>
      <c r="B20" t="str">
        <f ca="1">VLOOKUP($B$19,Mappings!$A$22:$B$26,COLUMN(Mappings!$B$21),FALSE)</f>
        <v>electricity generating units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5">
      <c r="A23" s="28" t="s">
        <v>82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5">
      <c r="A24" t="s">
        <v>87</v>
      </c>
      <c r="B24" t="str">
        <f ca="1">REPLACE(B18,1,FIND("-",B18),"")</f>
        <v>PM25</v>
      </c>
    </row>
    <row r="25" spans="1:5" x14ac:dyDescent="0.25">
      <c r="A25" t="s">
        <v>88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62B5-33CE-4B66-9A5D-6B3794AE90D6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6.3360000000000005E-3</v>
      </c>
      <c r="C2">
        <f ca="1">$B2+($F2-$B2)*(C$1-$B$1)/($F$1-$B$1)</f>
        <v>6.3720000000000001E-3</v>
      </c>
      <c r="D2">
        <f t="shared" ref="D2:E12" ca="1" si="0">$B2+($F2-$B2)*(D$1-$B$1)/($F$1-$B$1)</f>
        <v>6.4080000000000005E-3</v>
      </c>
      <c r="E2">
        <f t="shared" ca="1" si="0"/>
        <v>6.4440000000000001E-3</v>
      </c>
      <c r="F2" s="31" cm="1">
        <f t="array" aca="1" ref="F2" ca="1">INDIRECT(CONCATENATE("'",HLOOKUP(F$1,$B$21:$E$23,3,FALSE),"'!",$B$25,ROW($A2)+3))*About!$A$27</f>
        <v>6.4799999999999996E-3</v>
      </c>
      <c r="G2">
        <f ca="1">$F2+($K2-$F2)*(G$1-$F$1)/($K$1-$F$1)</f>
        <v>6.5663999999999991E-3</v>
      </c>
      <c r="H2">
        <f t="shared" ref="H2:J12" ca="1" si="1">$F2+($K2-$F2)*(H$1-$F$1)/($K$1-$F$1)</f>
        <v>6.6527999999999995E-3</v>
      </c>
      <c r="I2">
        <f t="shared" ca="1" si="1"/>
        <v>6.739199999999999E-3</v>
      </c>
      <c r="J2">
        <f t="shared" ca="1" si="1"/>
        <v>6.8255999999999994E-3</v>
      </c>
      <c r="K2" s="31" cm="1">
        <f t="array" aca="1" ref="K2" ca="1">INDIRECT(CONCATENATE("'",HLOOKUP(K$1,$B$21:$E$23,3,FALSE),"'!",$B$25,ROW($A2)+3))*About!$A$27</f>
        <v>6.9119999999999989E-3</v>
      </c>
      <c r="L2">
        <f ca="1">$K2+($P2-$K2)*(L$1-$K$1)/($P$1-$K$1)</f>
        <v>6.9983999999999992E-3</v>
      </c>
      <c r="M2">
        <f t="shared" ref="M2:O12" ca="1" si="2">$K2+($P2-$K2)*(M$1-$K$1)/($P$1-$K$1)</f>
        <v>7.0847999999999996E-3</v>
      </c>
      <c r="N2">
        <f t="shared" ca="1" si="2"/>
        <v>7.1711999999999991E-3</v>
      </c>
      <c r="O2">
        <f t="shared" ca="1" si="2"/>
        <v>7.2575999999999995E-3</v>
      </c>
      <c r="P2" s="31" cm="1">
        <f t="array" aca="1" ref="P2" ca="1">INDIRECT(CONCATENATE("'",HLOOKUP(P$1,$B$21:$E$23,3,FALSE),"'!",$B$25,ROW($A2)+3))*About!$A$27</f>
        <v>7.3439999999999998E-3</v>
      </c>
      <c r="Q2" cm="1">
        <f t="array" aca="1" ref="Q2" ca="1">TREND($K2:$P2,$K$1:$P$1,Q$1)</f>
        <v>7.4304000000000037E-3</v>
      </c>
      <c r="R2" cm="1">
        <f t="array" aca="1" ref="R2" ca="1">TREND($K2:$P2,$K$1:$P$1,R$1)</f>
        <v>7.5167999999999902E-3</v>
      </c>
      <c r="S2" cm="1">
        <f t="array" aca="1" ref="S2" ca="1">TREND($K2:$P2,$K$1:$P$1,S$1)</f>
        <v>7.6032000000000044E-3</v>
      </c>
      <c r="T2" cm="1">
        <f t="array" aca="1" ref="T2" ca="1">TREND($K2:$P2,$K$1:$P$1,T$1)</f>
        <v>7.6895999999999909E-3</v>
      </c>
      <c r="U2" cm="1">
        <f t="array" aca="1" ref="U2" ca="1">TREND($K2:$P2,$K$1:$P$1,U$1)</f>
        <v>7.7760000000000051E-3</v>
      </c>
      <c r="V2" cm="1">
        <f t="array" aca="1" ref="V2" ca="1">TREND($K2:$P2,$K$1:$P$1,V$1)</f>
        <v>7.8623999999999916E-3</v>
      </c>
      <c r="W2" cm="1">
        <f t="array" aca="1" ref="W2" ca="1">TREND($K2:$P2,$K$1:$P$1,W$1)</f>
        <v>7.9488000000000059E-3</v>
      </c>
      <c r="X2" cm="1">
        <f t="array" aca="1" ref="X2" ca="1">TREND($K2:$P2,$K$1:$P$1,X$1)</f>
        <v>8.0351999999999923E-3</v>
      </c>
      <c r="Y2" cm="1">
        <f t="array" aca="1" ref="Y2" ca="1">TREND($K2:$P2,$K$1:$P$1,Y$1)</f>
        <v>8.1216000000000066E-3</v>
      </c>
      <c r="Z2" cm="1">
        <f t="array" aca="1" ref="Z2" ca="1">TREND($K2:$P2,$K$1:$P$1,Z$1)</f>
        <v>8.2079999999999931E-3</v>
      </c>
      <c r="AA2" cm="1">
        <f t="array" aca="1" ref="AA2" ca="1">TREND($K2:$P2,$K$1:$P$1,AA$1)</f>
        <v>8.2944000000000073E-3</v>
      </c>
      <c r="AB2" cm="1">
        <f t="array" aca="1" ref="AB2" ca="1">TREND($K2:$P2,$K$1:$P$1,AB$1)</f>
        <v>8.3807999999999938E-3</v>
      </c>
      <c r="AC2" cm="1">
        <f t="array" aca="1" ref="AC2" ca="1">TREND($K2:$P2,$K$1:$P$1,AC$1)</f>
        <v>8.4672000000000081E-3</v>
      </c>
      <c r="AD2" cm="1">
        <f t="array" aca="1" ref="AD2" ca="1">TREND($K2:$P2,$K$1:$P$1,AD$1)</f>
        <v>8.5535999999999945E-3</v>
      </c>
      <c r="AE2" cm="1">
        <f t="array" aca="1" ref="AE2" ca="1">TREND($K2:$P2,$K$1:$P$1,AE$1)</f>
        <v>8.6400000000000088E-3</v>
      </c>
      <c r="AF2" cm="1">
        <f t="array" aca="1" ref="AF2" ca="1">TREND($K2:$P2,$K$1:$P$1,AF$1)</f>
        <v>8.7263999999999953E-3</v>
      </c>
      <c r="AG2" cm="1">
        <f t="array" aca="1" ref="AG2" ca="1">TREND($K2:$P2,$K$1:$P$1,AG$1)</f>
        <v>8.8128000000000095E-3</v>
      </c>
      <c r="AH2" cm="1">
        <f t="array" aca="1" ref="AH2" ca="1">TREND($K2:$P2,$K$1:$P$1,AH$1)</f>
        <v>8.899199999999996E-3</v>
      </c>
      <c r="AI2" cm="1">
        <f t="array" aca="1" ref="AI2" ca="1">TREND($K2:$P2,$K$1:$P$1,AI$1)</f>
        <v>8.9855999999999825E-3</v>
      </c>
      <c r="AJ2" cm="1">
        <f t="array" aca="1" ref="AJ2" ca="1">TREND($K2:$P2,$K$1:$P$1,AJ$1)</f>
        <v>9.0719999999999967E-3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3.1680000000000002E-3</v>
      </c>
      <c r="C3">
        <f t="shared" ref="C3:C12" ca="1" si="3">$B3+($F3-$B3)*(C$1-$B$1)/($F$1-$B$1)</f>
        <v>3.1680000000000002E-3</v>
      </c>
      <c r="D3">
        <f t="shared" ca="1" si="0"/>
        <v>3.1680000000000002E-3</v>
      </c>
      <c r="E3">
        <f t="shared" ca="1" si="0"/>
        <v>3.1680000000000002E-3</v>
      </c>
      <c r="F3" s="32" cm="1">
        <f t="array" aca="1" ref="F3" ca="1">INDIRECT(CONCATENATE("'",HLOOKUP(F$1,$B$21:$E$23,3,FALSE),"'!",$B$25,ROW($A3)+5))*About!$A$27</f>
        <v>3.1680000000000002E-3</v>
      </c>
      <c r="G3">
        <f t="shared" ref="G3:G12" ca="1" si="4">$F3+($K3-$F3)*(G$1-$F$1)/($K$1-$F$1)</f>
        <v>3.1968000000000001E-3</v>
      </c>
      <c r="H3">
        <f t="shared" ca="1" si="1"/>
        <v>3.2255999999999999E-3</v>
      </c>
      <c r="I3">
        <f t="shared" ca="1" si="1"/>
        <v>3.2544000000000002E-3</v>
      </c>
      <c r="J3">
        <f t="shared" ca="1" si="1"/>
        <v>3.2832E-3</v>
      </c>
      <c r="K3" s="32" cm="1">
        <f t="array" aca="1" ref="K3" ca="1">INDIRECT(CONCATENATE("'",HLOOKUP(K$1,$B$21:$E$23,3,FALSE),"'!",$B$25,ROW($A3)+5))*About!$A$27</f>
        <v>3.3119999999999998E-3</v>
      </c>
      <c r="L3">
        <f t="shared" ref="L3:L12" ca="1" si="5">$K3+($P3-$K3)*(L$1-$K$1)/($P$1-$K$1)</f>
        <v>3.3407999999999997E-3</v>
      </c>
      <c r="M3">
        <f t="shared" ca="1" si="2"/>
        <v>3.3695999999999995E-3</v>
      </c>
      <c r="N3">
        <f t="shared" ca="1" si="2"/>
        <v>3.3983999999999998E-3</v>
      </c>
      <c r="O3">
        <f t="shared" ca="1" si="2"/>
        <v>3.4271999999999996E-3</v>
      </c>
      <c r="P3" s="32" cm="1">
        <f t="array" aca="1" ref="P3" ca="1">INDIRECT(CONCATENATE("'",HLOOKUP(P$1,$B$21:$E$23,3,FALSE),"'!",$B$25,ROW($A3)+5))*About!$A$27</f>
        <v>3.4559999999999994E-3</v>
      </c>
      <c r="Q3" cm="1">
        <f t="array" aca="1" ref="Q3" ca="1">TREND($K3:$P3,$K$1:$P$1,Q$1)</f>
        <v>3.4847999999999962E-3</v>
      </c>
      <c r="R3" cm="1">
        <f t="array" aca="1" ref="R3" ca="1">TREND($K3:$P3,$K$1:$P$1,R$1)</f>
        <v>3.5135999999999987E-3</v>
      </c>
      <c r="S3" cm="1">
        <f t="array" aca="1" ref="S3" ca="1">TREND($K3:$P3,$K$1:$P$1,S$1)</f>
        <v>3.5423999999999942E-3</v>
      </c>
      <c r="T3" cm="1">
        <f t="array" aca="1" ref="T3" ca="1">TREND($K3:$P3,$K$1:$P$1,T$1)</f>
        <v>3.5711999999999966E-3</v>
      </c>
      <c r="U3" cm="1">
        <f t="array" aca="1" ref="U3" ca="1">TREND($K3:$P3,$K$1:$P$1,U$1)</f>
        <v>3.599999999999999E-3</v>
      </c>
      <c r="V3" cm="1">
        <f t="array" aca="1" ref="V3" ca="1">TREND($K3:$P3,$K$1:$P$1,V$1)</f>
        <v>3.6287999999999945E-3</v>
      </c>
      <c r="W3" cm="1">
        <f t="array" aca="1" ref="W3" ca="1">TREND($K3:$P3,$K$1:$P$1,W$1)</f>
        <v>3.657599999999997E-3</v>
      </c>
      <c r="X3" cm="1">
        <f t="array" aca="1" ref="X3" ca="1">TREND($K3:$P3,$K$1:$P$1,X$1)</f>
        <v>3.6863999999999994E-3</v>
      </c>
      <c r="Y3" cm="1">
        <f t="array" aca="1" ref="Y3" ca="1">TREND($K3:$P3,$K$1:$P$1,Y$1)</f>
        <v>3.7151999999999949E-3</v>
      </c>
      <c r="Z3" cm="1">
        <f t="array" aca="1" ref="Z3" ca="1">TREND($K3:$P3,$K$1:$P$1,Z$1)</f>
        <v>3.7439999999999973E-3</v>
      </c>
      <c r="AA3" cm="1">
        <f t="array" aca="1" ref="AA3" ca="1">TREND($K3:$P3,$K$1:$P$1,AA$1)</f>
        <v>3.7727999999999998E-3</v>
      </c>
      <c r="AB3" cm="1">
        <f t="array" aca="1" ref="AB3" ca="1">TREND($K3:$P3,$K$1:$P$1,AB$1)</f>
        <v>3.8015999999999953E-3</v>
      </c>
      <c r="AC3" cm="1">
        <f t="array" aca="1" ref="AC3" ca="1">TREND($K3:$P3,$K$1:$P$1,AC$1)</f>
        <v>3.8303999999999977E-3</v>
      </c>
      <c r="AD3" cm="1">
        <f t="array" aca="1" ref="AD3" ca="1">TREND($K3:$P3,$K$1:$P$1,AD$1)</f>
        <v>3.8591999999999932E-3</v>
      </c>
      <c r="AE3" cm="1">
        <f t="array" aca="1" ref="AE3" ca="1">TREND($K3:$P3,$K$1:$P$1,AE$1)</f>
        <v>3.8879999999999956E-3</v>
      </c>
      <c r="AF3" cm="1">
        <f t="array" aca="1" ref="AF3" ca="1">TREND($K3:$P3,$K$1:$P$1,AF$1)</f>
        <v>3.9167999999999981E-3</v>
      </c>
      <c r="AG3" cm="1">
        <f t="array" aca="1" ref="AG3" ca="1">TREND($K3:$P3,$K$1:$P$1,AG$1)</f>
        <v>3.9455999999999936E-3</v>
      </c>
      <c r="AH3" cm="1">
        <f t="array" aca="1" ref="AH3" ca="1">TREND($K3:$P3,$K$1:$P$1,AH$1)</f>
        <v>3.974399999999996E-3</v>
      </c>
      <c r="AI3" cm="1">
        <f t="array" aca="1" ref="AI3" ca="1">TREND($K3:$P3,$K$1:$P$1,AI$1)</f>
        <v>4.0031999999999984E-3</v>
      </c>
      <c r="AJ3" cm="1">
        <f t="array" aca="1" ref="AJ3" ca="1">TREND($K3:$P3,$K$1:$P$1,AJ$1)</f>
        <v>4.0319999999999939E-3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7.7759999999999999E-3</v>
      </c>
      <c r="C4">
        <f t="shared" ca="1" si="3"/>
        <v>7.8119999999999995E-3</v>
      </c>
      <c r="D4">
        <f t="shared" ca="1" si="0"/>
        <v>7.8480000000000008E-3</v>
      </c>
      <c r="E4">
        <f t="shared" ca="1" si="0"/>
        <v>7.8840000000000004E-3</v>
      </c>
      <c r="F4" s="32" cm="1">
        <f t="array" aca="1" ref="F4" ca="1">INDIRECT(CONCATENATE("'",HLOOKUP(F$1,$B$21:$E$23,3,FALSE),"'!",$B$25,ROW($A4)+5))*About!$A$27</f>
        <v>7.92E-3</v>
      </c>
      <c r="G4">
        <f t="shared" ca="1" si="4"/>
        <v>7.9775999999999996E-3</v>
      </c>
      <c r="H4">
        <f t="shared" ca="1" si="1"/>
        <v>8.0351999999999993E-3</v>
      </c>
      <c r="I4">
        <f t="shared" ca="1" si="1"/>
        <v>8.0928000000000007E-3</v>
      </c>
      <c r="J4">
        <f t="shared" ca="1" si="1"/>
        <v>8.1504000000000004E-3</v>
      </c>
      <c r="K4" s="32" cm="1">
        <f t="array" aca="1" ref="K4" ca="1">INDIRECT(CONCATENATE("'",HLOOKUP(K$1,$B$21:$E$23,3,FALSE),"'!",$B$25,ROW($A4)+5))*About!$A$27</f>
        <v>8.208E-3</v>
      </c>
      <c r="L4">
        <f t="shared" ca="1" si="5"/>
        <v>8.352E-3</v>
      </c>
      <c r="M4">
        <f t="shared" ca="1" si="2"/>
        <v>8.4960000000000001E-3</v>
      </c>
      <c r="N4">
        <f t="shared" ca="1" si="2"/>
        <v>8.6400000000000001E-3</v>
      </c>
      <c r="O4">
        <f t="shared" ca="1" si="2"/>
        <v>8.7840000000000001E-3</v>
      </c>
      <c r="P4" s="32" cm="1">
        <f t="array" aca="1" ref="P4" ca="1">INDIRECT(CONCATENATE("'",HLOOKUP(P$1,$B$21:$E$23,3,FALSE),"'!",$B$25,ROW($A4)+5))*About!$A$27</f>
        <v>8.9280000000000002E-3</v>
      </c>
      <c r="Q4" cm="1">
        <f t="array" aca="1" ref="Q4" ca="1">TREND($K4:$P4,$K$1:$P$1,Q$1)</f>
        <v>9.0720000000000245E-3</v>
      </c>
      <c r="R4" cm="1">
        <f t="array" aca="1" ref="R4" ca="1">TREND($K4:$P4,$K$1:$P$1,R$1)</f>
        <v>9.216000000000002E-3</v>
      </c>
      <c r="S4" cm="1">
        <f t="array" aca="1" ref="S4" ca="1">TREND($K4:$P4,$K$1:$P$1,S$1)</f>
        <v>9.360000000000035E-3</v>
      </c>
      <c r="T4" cm="1">
        <f t="array" aca="1" ref="T4" ca="1">TREND($K4:$P4,$K$1:$P$1,T$1)</f>
        <v>9.5040000000000124E-3</v>
      </c>
      <c r="U4" cm="1">
        <f t="array" aca="1" ref="U4" ca="1">TREND($K4:$P4,$K$1:$P$1,U$1)</f>
        <v>9.6480000000000454E-3</v>
      </c>
      <c r="V4" cm="1">
        <f t="array" aca="1" ref="V4" ca="1">TREND($K4:$P4,$K$1:$P$1,V$1)</f>
        <v>9.7920000000000229E-3</v>
      </c>
      <c r="W4" cm="1">
        <f t="array" aca="1" ref="W4" ca="1">TREND($K4:$P4,$K$1:$P$1,W$1)</f>
        <v>9.9360000000000559E-3</v>
      </c>
      <c r="X4" cm="1">
        <f t="array" aca="1" ref="X4" ca="1">TREND($K4:$P4,$K$1:$P$1,X$1)</f>
        <v>1.0080000000000033E-2</v>
      </c>
      <c r="Y4" cm="1">
        <f t="array" aca="1" ref="Y4" ca="1">TREND($K4:$P4,$K$1:$P$1,Y$1)</f>
        <v>1.0224000000000011E-2</v>
      </c>
      <c r="Z4" cm="1">
        <f t="array" aca="1" ref="Z4" ca="1">TREND($K4:$P4,$K$1:$P$1,Z$1)</f>
        <v>1.0368000000000044E-2</v>
      </c>
      <c r="AA4" cm="1">
        <f t="array" aca="1" ref="AA4" ca="1">TREND($K4:$P4,$K$1:$P$1,AA$1)</f>
        <v>1.0512000000000021E-2</v>
      </c>
      <c r="AB4" cm="1">
        <f t="array" aca="1" ref="AB4" ca="1">TREND($K4:$P4,$K$1:$P$1,AB$1)</f>
        <v>1.0656000000000054E-2</v>
      </c>
      <c r="AC4" cm="1">
        <f t="array" aca="1" ref="AC4" ca="1">TREND($K4:$P4,$K$1:$P$1,AC$1)</f>
        <v>1.0800000000000032E-2</v>
      </c>
      <c r="AD4" cm="1">
        <f t="array" aca="1" ref="AD4" ca="1">TREND($K4:$P4,$K$1:$P$1,AD$1)</f>
        <v>1.0944000000000009E-2</v>
      </c>
      <c r="AE4" cm="1">
        <f t="array" aca="1" ref="AE4" ca="1">TREND($K4:$P4,$K$1:$P$1,AE$1)</f>
        <v>1.1088000000000042E-2</v>
      </c>
      <c r="AF4" cm="1">
        <f t="array" aca="1" ref="AF4" ca="1">TREND($K4:$P4,$K$1:$P$1,AF$1)</f>
        <v>1.123200000000002E-2</v>
      </c>
      <c r="AG4" cm="1">
        <f t="array" aca="1" ref="AG4" ca="1">TREND($K4:$P4,$K$1:$P$1,AG$1)</f>
        <v>1.1376000000000053E-2</v>
      </c>
      <c r="AH4" cm="1">
        <f t="array" aca="1" ref="AH4" ca="1">TREND($K4:$P4,$K$1:$P$1,AH$1)</f>
        <v>1.152000000000003E-2</v>
      </c>
      <c r="AI4" cm="1">
        <f t="array" aca="1" ref="AI4" ca="1">TREND($K4:$P4,$K$1:$P$1,AI$1)</f>
        <v>1.1664000000000008E-2</v>
      </c>
      <c r="AJ4" cm="1">
        <f t="array" aca="1" ref="AJ4" ca="1">TREND($K4:$P4,$K$1:$P$1,AJ$1)</f>
        <v>1.1808000000000041E-2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0.1008</v>
      </c>
      <c r="C5">
        <f t="shared" ca="1" si="3"/>
        <v>0.1008</v>
      </c>
      <c r="D5">
        <f t="shared" ca="1" si="0"/>
        <v>0.1008</v>
      </c>
      <c r="E5">
        <f t="shared" ca="1" si="0"/>
        <v>0.1008</v>
      </c>
      <c r="F5" s="32" cm="1">
        <f t="array" aca="1" ref="F5" ca="1">INDIRECT(CONCATENATE("'",HLOOKUP(F$1,$B$21:$E$23,3,FALSE),"'!",$B$25,ROW($A5)+5))*About!$A$27</f>
        <v>0.1008</v>
      </c>
      <c r="G5">
        <f t="shared" ca="1" si="4"/>
        <v>0.101664</v>
      </c>
      <c r="H5">
        <f t="shared" ca="1" si="1"/>
        <v>0.10252799999999999</v>
      </c>
      <c r="I5">
        <f t="shared" ca="1" si="1"/>
        <v>0.103392</v>
      </c>
      <c r="J5">
        <f t="shared" ca="1" si="1"/>
        <v>0.10425599999999999</v>
      </c>
      <c r="K5" s="32" cm="1">
        <f t="array" aca="1" ref="K5" ca="1">INDIRECT(CONCATENATE("'",HLOOKUP(K$1,$B$21:$E$23,3,FALSE),"'!",$B$25,ROW($A5)+5))*About!$A$27</f>
        <v>0.10511999999999999</v>
      </c>
      <c r="L5">
        <f t="shared" ca="1" si="5"/>
        <v>0.106848</v>
      </c>
      <c r="M5">
        <f t="shared" ca="1" si="2"/>
        <v>0.10857599999999999</v>
      </c>
      <c r="N5">
        <f t="shared" ca="1" si="2"/>
        <v>0.110304</v>
      </c>
      <c r="O5">
        <f t="shared" ca="1" si="2"/>
        <v>0.11203199999999999</v>
      </c>
      <c r="P5" s="32" cm="1">
        <f t="array" aca="1" ref="P5" ca="1">INDIRECT(CONCATENATE("'",HLOOKUP(P$1,$B$21:$E$23,3,FALSE),"'!",$B$25,ROW($A5)+5))*About!$A$27</f>
        <v>0.11376</v>
      </c>
      <c r="Q5" cm="1">
        <f t="array" aca="1" ref="Q5" ca="1">TREND($K5:$P5,$K$1:$P$1,Q$1)</f>
        <v>0.11548800000000004</v>
      </c>
      <c r="R5" cm="1">
        <f t="array" aca="1" ref="R5" ca="1">TREND($K5:$P5,$K$1:$P$1,R$1)</f>
        <v>0.11721599999999999</v>
      </c>
      <c r="S5" cm="1">
        <f t="array" aca="1" ref="S5" ca="1">TREND($K5:$P5,$K$1:$P$1,S$1)</f>
        <v>0.11894399999999994</v>
      </c>
      <c r="T5" cm="1">
        <f t="array" aca="1" ref="T5" ca="1">TREND($K5:$P5,$K$1:$P$1,T$1)</f>
        <v>0.12067199999999989</v>
      </c>
      <c r="U5" cm="1">
        <f t="array" aca="1" ref="U5" ca="1">TREND($K5:$P5,$K$1:$P$1,U$1)</f>
        <v>0.12240000000000029</v>
      </c>
      <c r="V5" cm="1">
        <f t="array" aca="1" ref="V5" ca="1">TREND($K5:$P5,$K$1:$P$1,V$1)</f>
        <v>0.12412800000000024</v>
      </c>
      <c r="W5" cm="1">
        <f t="array" aca="1" ref="W5" ca="1">TREND($K5:$P5,$K$1:$P$1,W$1)</f>
        <v>0.12585600000000019</v>
      </c>
      <c r="X5" cm="1">
        <f t="array" aca="1" ref="X5" ca="1">TREND($K5:$P5,$K$1:$P$1,X$1)</f>
        <v>0.12758400000000014</v>
      </c>
      <c r="Y5" cm="1">
        <f t="array" aca="1" ref="Y5" ca="1">TREND($K5:$P5,$K$1:$P$1,Y$1)</f>
        <v>0.12931200000000009</v>
      </c>
      <c r="Z5" cm="1">
        <f t="array" aca="1" ref="Z5" ca="1">TREND($K5:$P5,$K$1:$P$1,Z$1)</f>
        <v>0.13104000000000005</v>
      </c>
      <c r="AA5" cm="1">
        <f t="array" aca="1" ref="AA5" ca="1">TREND($K5:$P5,$K$1:$P$1,AA$1)</f>
        <v>0.132768</v>
      </c>
      <c r="AB5" cm="1">
        <f t="array" aca="1" ref="AB5" ca="1">TREND($K5:$P5,$K$1:$P$1,AB$1)</f>
        <v>0.13449599999999995</v>
      </c>
      <c r="AC5" cm="1">
        <f t="array" aca="1" ref="AC5" ca="1">TREND($K5:$P5,$K$1:$P$1,AC$1)</f>
        <v>0.1362239999999999</v>
      </c>
      <c r="AD5" cm="1">
        <f t="array" aca="1" ref="AD5" ca="1">TREND($K5:$P5,$K$1:$P$1,AD$1)</f>
        <v>0.1379520000000003</v>
      </c>
      <c r="AE5" cm="1">
        <f t="array" aca="1" ref="AE5" ca="1">TREND($K5:$P5,$K$1:$P$1,AE$1)</f>
        <v>0.13968000000000025</v>
      </c>
      <c r="AF5" cm="1">
        <f t="array" aca="1" ref="AF5" ca="1">TREND($K5:$P5,$K$1:$P$1,AF$1)</f>
        <v>0.1414080000000002</v>
      </c>
      <c r="AG5" cm="1">
        <f t="array" aca="1" ref="AG5" ca="1">TREND($K5:$P5,$K$1:$P$1,AG$1)</f>
        <v>0.14313600000000015</v>
      </c>
      <c r="AH5" cm="1">
        <f t="array" aca="1" ref="AH5" ca="1">TREND($K5:$P5,$K$1:$P$1,AH$1)</f>
        <v>0.1448640000000001</v>
      </c>
      <c r="AI5" cm="1">
        <f t="array" aca="1" ref="AI5" ca="1">TREND($K5:$P5,$K$1:$P$1,AI$1)</f>
        <v>0.14659200000000006</v>
      </c>
      <c r="AJ5" cm="1">
        <f t="array" aca="1" ref="AJ5" ca="1">TREND($K5:$P5,$K$1:$P$1,AJ$1)</f>
        <v>0.14832000000000001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0.14399999999999999</v>
      </c>
      <c r="C6">
        <f t="shared" ca="1" si="3"/>
        <v>0.14399999999999999</v>
      </c>
      <c r="D6">
        <f t="shared" ca="1" si="0"/>
        <v>0.14399999999999999</v>
      </c>
      <c r="E6">
        <f t="shared" ca="1" si="0"/>
        <v>0.14399999999999999</v>
      </c>
      <c r="F6" s="32" cm="1">
        <f t="array" aca="1" ref="F6" ca="1">INDIRECT(CONCATENATE("'",HLOOKUP(F$1,$B$21:$E$23,3,FALSE),"'!",$B$25,ROW($A6)+5))*About!$A$27</f>
        <v>0.14399999999999999</v>
      </c>
      <c r="G6">
        <f t="shared" ca="1" si="4"/>
        <v>0.14399999999999999</v>
      </c>
      <c r="H6">
        <f t="shared" ca="1" si="1"/>
        <v>0.14399999999999999</v>
      </c>
      <c r="I6">
        <f t="shared" ca="1" si="1"/>
        <v>0.14399999999999999</v>
      </c>
      <c r="J6">
        <f t="shared" ca="1" si="1"/>
        <v>0.14399999999999999</v>
      </c>
      <c r="K6" s="32" cm="1">
        <f t="array" aca="1" ref="K6" ca="1">INDIRECT(CONCATENATE("'",HLOOKUP(K$1,$B$21:$E$23,3,FALSE),"'!",$B$25,ROW($A6)+5))*About!$A$27</f>
        <v>0.14399999999999999</v>
      </c>
      <c r="L6">
        <f t="shared" ca="1" si="5"/>
        <v>0.14687999999999998</v>
      </c>
      <c r="M6">
        <f t="shared" ca="1" si="2"/>
        <v>0.14975999999999998</v>
      </c>
      <c r="N6">
        <f t="shared" ca="1" si="2"/>
        <v>0.15264</v>
      </c>
      <c r="O6">
        <f t="shared" ca="1" si="2"/>
        <v>0.15551999999999999</v>
      </c>
      <c r="P6" s="32" cm="1">
        <f t="array" aca="1" ref="P6" ca="1">INDIRECT(CONCATENATE("'",HLOOKUP(P$1,$B$21:$E$23,3,FALSE),"'!",$B$25,ROW($A6)+5))*About!$A$27</f>
        <v>0.15839999999999999</v>
      </c>
      <c r="Q6" cm="1">
        <f t="array" aca="1" ref="Q6" ca="1">TREND($K6:$P6,$K$1:$P$1,Q$1)</f>
        <v>0.16128000000000053</v>
      </c>
      <c r="R6" cm="1">
        <f t="array" aca="1" ref="R6" ca="1">TREND($K6:$P6,$K$1:$P$1,R$1)</f>
        <v>0.16416000000000075</v>
      </c>
      <c r="S6" cm="1">
        <f t="array" aca="1" ref="S6" ca="1">TREND($K6:$P6,$K$1:$P$1,S$1)</f>
        <v>0.16704000000000097</v>
      </c>
      <c r="T6" cm="1">
        <f t="array" aca="1" ref="T6" ca="1">TREND($K6:$P6,$K$1:$P$1,T$1)</f>
        <v>0.16992000000000029</v>
      </c>
      <c r="U6" cm="1">
        <f t="array" aca="1" ref="U6" ca="1">TREND($K6:$P6,$K$1:$P$1,U$1)</f>
        <v>0.17280000000000051</v>
      </c>
      <c r="V6" cm="1">
        <f t="array" aca="1" ref="V6" ca="1">TREND($K6:$P6,$K$1:$P$1,V$1)</f>
        <v>0.17568000000000072</v>
      </c>
      <c r="W6" cm="1">
        <f t="array" aca="1" ref="W6" ca="1">TREND($K6:$P6,$K$1:$P$1,W$1)</f>
        <v>0.17856000000000094</v>
      </c>
      <c r="X6" cm="1">
        <f t="array" aca="1" ref="X6" ca="1">TREND($K6:$P6,$K$1:$P$1,X$1)</f>
        <v>0.18144000000000027</v>
      </c>
      <c r="Y6" cm="1">
        <f t="array" aca="1" ref="Y6" ca="1">TREND($K6:$P6,$K$1:$P$1,Y$1)</f>
        <v>0.18432000000000048</v>
      </c>
      <c r="Z6" cm="1">
        <f t="array" aca="1" ref="Z6" ca="1">TREND($K6:$P6,$K$1:$P$1,Z$1)</f>
        <v>0.1872000000000007</v>
      </c>
      <c r="AA6" cm="1">
        <f t="array" aca="1" ref="AA6" ca="1">TREND($K6:$P6,$K$1:$P$1,AA$1)</f>
        <v>0.19008000000000091</v>
      </c>
      <c r="AB6" cm="1">
        <f t="array" aca="1" ref="AB6" ca="1">TREND($K6:$P6,$K$1:$P$1,AB$1)</f>
        <v>0.19296000000000024</v>
      </c>
      <c r="AC6" cm="1">
        <f t="array" aca="1" ref="AC6" ca="1">TREND($K6:$P6,$K$1:$P$1,AC$1)</f>
        <v>0.19584000000000046</v>
      </c>
      <c r="AD6" cm="1">
        <f t="array" aca="1" ref="AD6" ca="1">TREND($K6:$P6,$K$1:$P$1,AD$1)</f>
        <v>0.19872000000000067</v>
      </c>
      <c r="AE6" cm="1">
        <f t="array" aca="1" ref="AE6" ca="1">TREND($K6:$P6,$K$1:$P$1,AE$1)</f>
        <v>0.20160000000000089</v>
      </c>
      <c r="AF6" cm="1">
        <f t="array" aca="1" ref="AF6" ca="1">TREND($K6:$P6,$K$1:$P$1,AF$1)</f>
        <v>0.20448000000000022</v>
      </c>
      <c r="AG6" cm="1">
        <f t="array" aca="1" ref="AG6" ca="1">TREND($K6:$P6,$K$1:$P$1,AG$1)</f>
        <v>0.20736000000000043</v>
      </c>
      <c r="AH6" cm="1">
        <f t="array" aca="1" ref="AH6" ca="1">TREND($K6:$P6,$K$1:$P$1,AH$1)</f>
        <v>0.21024000000000065</v>
      </c>
      <c r="AI6" cm="1">
        <f t="array" aca="1" ref="AI6" ca="1">TREND($K6:$P6,$K$1:$P$1,AI$1)</f>
        <v>0.21312000000000086</v>
      </c>
      <c r="AJ6" cm="1">
        <f t="array" aca="1" ref="AJ6" ca="1">TREND($K6:$P6,$K$1:$P$1,AJ$1)</f>
        <v>0.21600000000000108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4.32</v>
      </c>
      <c r="C7">
        <f t="shared" ca="1" si="3"/>
        <v>4.32</v>
      </c>
      <c r="D7">
        <f t="shared" ca="1" si="0"/>
        <v>4.32</v>
      </c>
      <c r="E7">
        <f t="shared" ca="1" si="0"/>
        <v>4.32</v>
      </c>
      <c r="F7" s="32" cm="1">
        <f t="array" aca="1" ref="F7" ca="1">INDIRECT(CONCATENATE("'",HLOOKUP(F$1,$B$21:$E$23,3,FALSE),"'!",$B$25,ROW($A7)+5))*About!$A$27</f>
        <v>4.32</v>
      </c>
      <c r="G7">
        <f t="shared" ca="1" si="4"/>
        <v>4.32</v>
      </c>
      <c r="H7">
        <f t="shared" ca="1" si="1"/>
        <v>4.32</v>
      </c>
      <c r="I7">
        <f t="shared" ca="1" si="1"/>
        <v>4.32</v>
      </c>
      <c r="J7">
        <f t="shared" ca="1" si="1"/>
        <v>4.32</v>
      </c>
      <c r="K7" s="32" cm="1">
        <f t="array" aca="1" ref="K7" ca="1">INDIRECT(CONCATENATE("'",HLOOKUP(K$1,$B$21:$E$23,3,FALSE),"'!",$B$25,ROW($A7)+5))*About!$A$27</f>
        <v>4.32</v>
      </c>
      <c r="L7">
        <f t="shared" ca="1" si="5"/>
        <v>4.3487999999999998</v>
      </c>
      <c r="M7">
        <f t="shared" ca="1" si="2"/>
        <v>4.3776000000000002</v>
      </c>
      <c r="N7">
        <f t="shared" ca="1" si="2"/>
        <v>4.4063999999999997</v>
      </c>
      <c r="O7">
        <f t="shared" ca="1" si="2"/>
        <v>4.4352</v>
      </c>
      <c r="P7" s="32" cm="1">
        <f t="array" aca="1" ref="P7" ca="1">INDIRECT(CONCATENATE("'",HLOOKUP(P$1,$B$21:$E$23,3,FALSE),"'!",$B$25,ROW($A7)+5))*About!$A$27</f>
        <v>4.4639999999999995</v>
      </c>
      <c r="Q7" cm="1">
        <f t="array" aca="1" ref="Q7" ca="1">TREND($K7:$P7,$K$1:$P$1,Q$1)</f>
        <v>4.4928000000000026</v>
      </c>
      <c r="R7" cm="1">
        <f t="array" aca="1" ref="R7" ca="1">TREND($K7:$P7,$K$1:$P$1,R$1)</f>
        <v>4.5215999999999994</v>
      </c>
      <c r="S7" cm="1">
        <f t="array" aca="1" ref="S7" ca="1">TREND($K7:$P7,$K$1:$P$1,S$1)</f>
        <v>4.5504000000000033</v>
      </c>
      <c r="T7" cm="1">
        <f t="array" aca="1" ref="T7" ca="1">TREND($K7:$P7,$K$1:$P$1,T$1)</f>
        <v>4.5792000000000002</v>
      </c>
      <c r="U7" cm="1">
        <f t="array" aca="1" ref="U7" ca="1">TREND($K7:$P7,$K$1:$P$1,U$1)</f>
        <v>4.607999999999997</v>
      </c>
      <c r="V7" cm="1">
        <f t="array" aca="1" ref="V7" ca="1">TREND($K7:$P7,$K$1:$P$1,V$1)</f>
        <v>4.6368000000000009</v>
      </c>
      <c r="W7" cm="1">
        <f t="array" aca="1" ref="W7" ca="1">TREND($K7:$P7,$K$1:$P$1,W$1)</f>
        <v>4.6655999999999977</v>
      </c>
      <c r="X7" cm="1">
        <f t="array" aca="1" ref="X7" ca="1">TREND($K7:$P7,$K$1:$P$1,X$1)</f>
        <v>4.6944000000000017</v>
      </c>
      <c r="Y7" cm="1">
        <f t="array" aca="1" ref="Y7" ca="1">TREND($K7:$P7,$K$1:$P$1,Y$1)</f>
        <v>4.7231999999999985</v>
      </c>
      <c r="Z7" cm="1">
        <f t="array" aca="1" ref="Z7" ca="1">TREND($K7:$P7,$K$1:$P$1,Z$1)</f>
        <v>4.7520000000000024</v>
      </c>
      <c r="AA7" cm="1">
        <f t="array" aca="1" ref="AA7" ca="1">TREND($K7:$P7,$K$1:$P$1,AA$1)</f>
        <v>4.7807999999999993</v>
      </c>
      <c r="AB7" cm="1">
        <f t="array" aca="1" ref="AB7" ca="1">TREND($K7:$P7,$K$1:$P$1,AB$1)</f>
        <v>4.8095999999999961</v>
      </c>
      <c r="AC7" cm="1">
        <f t="array" aca="1" ref="AC7" ca="1">TREND($K7:$P7,$K$1:$P$1,AC$1)</f>
        <v>4.8384</v>
      </c>
      <c r="AD7" cm="1">
        <f t="array" aca="1" ref="AD7" ca="1">TREND($K7:$P7,$K$1:$P$1,AD$1)</f>
        <v>4.8671999999999969</v>
      </c>
      <c r="AE7" cm="1">
        <f t="array" aca="1" ref="AE7" ca="1">TREND($K7:$P7,$K$1:$P$1,AE$1)</f>
        <v>4.8960000000000008</v>
      </c>
      <c r="AF7" cm="1">
        <f t="array" aca="1" ref="AF7" ca="1">TREND($K7:$P7,$K$1:$P$1,AF$1)</f>
        <v>4.9247999999999976</v>
      </c>
      <c r="AG7" cm="1">
        <f t="array" aca="1" ref="AG7" ca="1">TREND($K7:$P7,$K$1:$P$1,AG$1)</f>
        <v>4.9536000000000016</v>
      </c>
      <c r="AH7" cm="1">
        <f t="array" aca="1" ref="AH7" ca="1">TREND($K7:$P7,$K$1:$P$1,AH$1)</f>
        <v>4.9823999999999984</v>
      </c>
      <c r="AI7" cm="1">
        <f t="array" aca="1" ref="AI7" ca="1">TREND($K7:$P7,$K$1:$P$1,AI$1)</f>
        <v>5.0111999999999952</v>
      </c>
      <c r="AJ7" cm="1">
        <f t="array" aca="1" ref="AJ7" ca="1">TREND($K7:$P7,$K$1:$P$1,AJ$1)</f>
        <v>5.0399999999999991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0.72</v>
      </c>
      <c r="C8">
        <f t="shared" ca="1" si="3"/>
        <v>0.72360000000000002</v>
      </c>
      <c r="D8">
        <f t="shared" ca="1" si="0"/>
        <v>0.72719999999999996</v>
      </c>
      <c r="E8">
        <f t="shared" ca="1" si="0"/>
        <v>0.73079999999999989</v>
      </c>
      <c r="F8" s="32" cm="1">
        <f t="array" aca="1" ref="F8" ca="1">INDIRECT(CONCATENATE("'",HLOOKUP(F$1,$B$21:$E$23,3,FALSE),"'!",$B$25,ROW($A8)+5))*About!$A$27</f>
        <v>0.73439999999999994</v>
      </c>
      <c r="G8">
        <f t="shared" ca="1" si="4"/>
        <v>0.73727999999999994</v>
      </c>
      <c r="H8">
        <f t="shared" ca="1" si="1"/>
        <v>0.74015999999999993</v>
      </c>
      <c r="I8">
        <f t="shared" ca="1" si="1"/>
        <v>0.74304000000000003</v>
      </c>
      <c r="J8">
        <f t="shared" ca="1" si="1"/>
        <v>0.74592000000000003</v>
      </c>
      <c r="K8" s="32" cm="1">
        <f t="array" aca="1" ref="K8" ca="1">INDIRECT(CONCATENATE("'",HLOOKUP(K$1,$B$21:$E$23,3,FALSE),"'!",$B$25,ROW($A8)+5))*About!$A$27</f>
        <v>0.74880000000000002</v>
      </c>
      <c r="L8">
        <f t="shared" ca="1" si="5"/>
        <v>0.75168000000000001</v>
      </c>
      <c r="M8">
        <f t="shared" ca="1" si="2"/>
        <v>0.75456000000000001</v>
      </c>
      <c r="N8">
        <f t="shared" ca="1" si="2"/>
        <v>0.75744</v>
      </c>
      <c r="O8">
        <f t="shared" ca="1" si="2"/>
        <v>0.76032</v>
      </c>
      <c r="P8" s="32" cm="1">
        <f t="array" aca="1" ref="P8" ca="1">INDIRECT(CONCATENATE("'",HLOOKUP(P$1,$B$21:$E$23,3,FALSE),"'!",$B$25,ROW($A8)+5))*About!$A$27</f>
        <v>0.76319999999999999</v>
      </c>
      <c r="Q8" cm="1">
        <f t="array" aca="1" ref="Q8" ca="1">TREND($K8:$P8,$K$1:$P$1,Q$1)</f>
        <v>0.76607999999999965</v>
      </c>
      <c r="R8" cm="1">
        <f t="array" aca="1" ref="R8" ca="1">TREND($K8:$P8,$K$1:$P$1,R$1)</f>
        <v>0.76895999999999987</v>
      </c>
      <c r="S8" cm="1">
        <f t="array" aca="1" ref="S8" ca="1">TREND($K8:$P8,$K$1:$P$1,S$1)</f>
        <v>0.77184000000000008</v>
      </c>
      <c r="T8" cm="1">
        <f t="array" aca="1" ref="T8" ca="1">TREND($K8:$P8,$K$1:$P$1,T$1)</f>
        <v>0.7747200000000003</v>
      </c>
      <c r="U8" cm="1">
        <f t="array" aca="1" ref="U8" ca="1">TREND($K8:$P8,$K$1:$P$1,U$1)</f>
        <v>0.77759999999999962</v>
      </c>
      <c r="V8" cm="1">
        <f t="array" aca="1" ref="V8" ca="1">TREND($K8:$P8,$K$1:$P$1,V$1)</f>
        <v>0.78047999999999984</v>
      </c>
      <c r="W8" cm="1">
        <f t="array" aca="1" ref="W8" ca="1">TREND($K8:$P8,$K$1:$P$1,W$1)</f>
        <v>0.78336000000000006</v>
      </c>
      <c r="X8" cm="1">
        <f t="array" aca="1" ref="X8" ca="1">TREND($K8:$P8,$K$1:$P$1,X$1)</f>
        <v>0.78623999999999938</v>
      </c>
      <c r="Y8" cm="1">
        <f t="array" aca="1" ref="Y8" ca="1">TREND($K8:$P8,$K$1:$P$1,Y$1)</f>
        <v>0.7891199999999996</v>
      </c>
      <c r="Z8" cm="1">
        <f t="array" aca="1" ref="Z8" ca="1">TREND($K8:$P8,$K$1:$P$1,Z$1)</f>
        <v>0.79199999999999982</v>
      </c>
      <c r="AA8" cm="1">
        <f t="array" aca="1" ref="AA8" ca="1">TREND($K8:$P8,$K$1:$P$1,AA$1)</f>
        <v>0.79488000000000003</v>
      </c>
      <c r="AB8" cm="1">
        <f t="array" aca="1" ref="AB8" ca="1">TREND($K8:$P8,$K$1:$P$1,AB$1)</f>
        <v>0.79776000000000025</v>
      </c>
      <c r="AC8" cm="1">
        <f t="array" aca="1" ref="AC8" ca="1">TREND($K8:$P8,$K$1:$P$1,AC$1)</f>
        <v>0.80063999999999957</v>
      </c>
      <c r="AD8" cm="1">
        <f t="array" aca="1" ref="AD8" ca="1">TREND($K8:$P8,$K$1:$P$1,AD$1)</f>
        <v>0.80351999999999979</v>
      </c>
      <c r="AE8" cm="1">
        <f t="array" aca="1" ref="AE8" ca="1">TREND($K8:$P8,$K$1:$P$1,AE$1)</f>
        <v>0.80640000000000001</v>
      </c>
      <c r="AF8" cm="1">
        <f t="array" aca="1" ref="AF8" ca="1">TREND($K8:$P8,$K$1:$P$1,AF$1)</f>
        <v>0.80927999999999933</v>
      </c>
      <c r="AG8" cm="1">
        <f t="array" aca="1" ref="AG8" ca="1">TREND($K8:$P8,$K$1:$P$1,AG$1)</f>
        <v>0.81215999999999955</v>
      </c>
      <c r="AH8" cm="1">
        <f t="array" aca="1" ref="AH8" ca="1">TREND($K8:$P8,$K$1:$P$1,AH$1)</f>
        <v>0.81503999999999976</v>
      </c>
      <c r="AI8" cm="1">
        <f t="array" aca="1" ref="AI8" ca="1">TREND($K8:$P8,$K$1:$P$1,AI$1)</f>
        <v>0.81791999999999998</v>
      </c>
      <c r="AJ8" cm="1">
        <f t="array" aca="1" ref="AJ8" ca="1">TREND($K8:$P8,$K$1:$P$1,AJ$1)</f>
        <v>0.8208000000000002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0.17279999999999998</v>
      </c>
      <c r="C9">
        <f t="shared" ca="1" si="3"/>
        <v>0.17279999999999998</v>
      </c>
      <c r="D9">
        <f t="shared" ca="1" si="0"/>
        <v>0.17279999999999998</v>
      </c>
      <c r="E9">
        <f t="shared" ca="1" si="0"/>
        <v>0.17279999999999998</v>
      </c>
      <c r="F9" s="32" cm="1">
        <f t="array" aca="1" ref="F9" ca="1">INDIRECT(CONCATENATE("'",HLOOKUP(F$1,$B$21:$E$23,3,FALSE),"'!",$B$25,ROW($A9)+5))*About!$A$27</f>
        <v>0.17279999999999998</v>
      </c>
      <c r="G9">
        <f t="shared" ca="1" si="4"/>
        <v>0.17279999999999998</v>
      </c>
      <c r="H9">
        <f t="shared" ca="1" si="1"/>
        <v>0.17279999999999998</v>
      </c>
      <c r="I9">
        <f t="shared" ca="1" si="1"/>
        <v>0.17279999999999998</v>
      </c>
      <c r="J9">
        <f t="shared" ca="1" si="1"/>
        <v>0.17279999999999998</v>
      </c>
      <c r="K9" s="32" cm="1">
        <f t="array" aca="1" ref="K9" ca="1">INDIRECT(CONCATENATE("'",HLOOKUP(K$1,$B$21:$E$23,3,FALSE),"'!",$B$25,ROW($A9)+5))*About!$A$27</f>
        <v>0.17279999999999998</v>
      </c>
      <c r="L9">
        <f t="shared" ca="1" si="5"/>
        <v>0.17567999999999998</v>
      </c>
      <c r="M9">
        <f t="shared" ca="1" si="2"/>
        <v>0.17856</v>
      </c>
      <c r="N9">
        <f t="shared" ca="1" si="2"/>
        <v>0.18143999999999999</v>
      </c>
      <c r="O9">
        <f t="shared" ca="1" si="2"/>
        <v>0.18432000000000001</v>
      </c>
      <c r="P9" s="32" cm="1">
        <f t="array" aca="1" ref="P9" ca="1">INDIRECT(CONCATENATE("'",HLOOKUP(P$1,$B$21:$E$23,3,FALSE),"'!",$B$25,ROW($A9)+5))*About!$A$27</f>
        <v>0.18720000000000001</v>
      </c>
      <c r="Q9" cm="1">
        <f t="array" aca="1" ref="Q9" ca="1">TREND($K9:$P9,$K$1:$P$1,Q$1)</f>
        <v>0.19008000000000003</v>
      </c>
      <c r="R9" cm="1">
        <f t="array" aca="1" ref="R9" ca="1">TREND($K9:$P9,$K$1:$P$1,R$1)</f>
        <v>0.19296000000000024</v>
      </c>
      <c r="S9" cm="1">
        <f t="array" aca="1" ref="S9" ca="1">TREND($K9:$P9,$K$1:$P$1,S$1)</f>
        <v>0.19584000000000046</v>
      </c>
      <c r="T9" cm="1">
        <f t="array" aca="1" ref="T9" ca="1">TREND($K9:$P9,$K$1:$P$1,T$1)</f>
        <v>0.19871999999999979</v>
      </c>
      <c r="U9" cm="1">
        <f t="array" aca="1" ref="U9" ca="1">TREND($K9:$P9,$K$1:$P$1,U$1)</f>
        <v>0.2016</v>
      </c>
      <c r="V9" cm="1">
        <f t="array" aca="1" ref="V9" ca="1">TREND($K9:$P9,$K$1:$P$1,V$1)</f>
        <v>0.20448000000000022</v>
      </c>
      <c r="W9" cm="1">
        <f t="array" aca="1" ref="W9" ca="1">TREND($K9:$P9,$K$1:$P$1,W$1)</f>
        <v>0.20736000000000043</v>
      </c>
      <c r="X9" cm="1">
        <f t="array" aca="1" ref="X9" ca="1">TREND($K9:$P9,$K$1:$P$1,X$1)</f>
        <v>0.21023999999999976</v>
      </c>
      <c r="Y9" cm="1">
        <f t="array" aca="1" ref="Y9" ca="1">TREND($K9:$P9,$K$1:$P$1,Y$1)</f>
        <v>0.21311999999999998</v>
      </c>
      <c r="Z9" cm="1">
        <f t="array" aca="1" ref="Z9" ca="1">TREND($K9:$P9,$K$1:$P$1,Z$1)</f>
        <v>0.21600000000000019</v>
      </c>
      <c r="AA9" cm="1">
        <f t="array" aca="1" ref="AA9" ca="1">TREND($K9:$P9,$K$1:$P$1,AA$1)</f>
        <v>0.21888000000000041</v>
      </c>
      <c r="AB9" cm="1">
        <f t="array" aca="1" ref="AB9" ca="1">TREND($K9:$P9,$K$1:$P$1,AB$1)</f>
        <v>0.22175999999999974</v>
      </c>
      <c r="AC9" cm="1">
        <f t="array" aca="1" ref="AC9" ca="1">TREND($K9:$P9,$K$1:$P$1,AC$1)</f>
        <v>0.22463999999999995</v>
      </c>
      <c r="AD9" cm="1">
        <f t="array" aca="1" ref="AD9" ca="1">TREND($K9:$P9,$K$1:$P$1,AD$1)</f>
        <v>0.22752000000000017</v>
      </c>
      <c r="AE9" cm="1">
        <f t="array" aca="1" ref="AE9" ca="1">TREND($K9:$P9,$K$1:$P$1,AE$1)</f>
        <v>0.23040000000000038</v>
      </c>
      <c r="AF9" cm="1">
        <f t="array" aca="1" ref="AF9" ca="1">TREND($K9:$P9,$K$1:$P$1,AF$1)</f>
        <v>0.23327999999999971</v>
      </c>
      <c r="AG9" cm="1">
        <f t="array" aca="1" ref="AG9" ca="1">TREND($K9:$P9,$K$1:$P$1,AG$1)</f>
        <v>0.23615999999999993</v>
      </c>
      <c r="AH9" cm="1">
        <f t="array" aca="1" ref="AH9" ca="1">TREND($K9:$P9,$K$1:$P$1,AH$1)</f>
        <v>0.23904000000000014</v>
      </c>
      <c r="AI9" cm="1">
        <f t="array" aca="1" ref="AI9" ca="1">TREND($K9:$P9,$K$1:$P$1,AI$1)</f>
        <v>0.24192000000000036</v>
      </c>
      <c r="AJ9" cm="1">
        <f t="array" aca="1" ref="AJ9" ca="1">TREND($K9:$P9,$K$1:$P$1,AJ$1)</f>
        <v>0.24480000000000057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1.4399999999999999E-3</v>
      </c>
      <c r="C10">
        <f t="shared" ca="1" si="3"/>
        <v>1.4759999999999999E-3</v>
      </c>
      <c r="D10">
        <f t="shared" ca="1" si="0"/>
        <v>1.5119999999999999E-3</v>
      </c>
      <c r="E10">
        <f t="shared" ca="1" si="0"/>
        <v>1.5480000000000001E-3</v>
      </c>
      <c r="F10" s="32" cm="1">
        <f t="array" aca="1" ref="F10" ca="1">INDIRECT(CONCATENATE("'",HLOOKUP(F$1,$B$21:$E$23,3,FALSE),"'!",$B$25,ROW($A10)+5))*About!$A$27</f>
        <v>1.5840000000000001E-3</v>
      </c>
      <c r="G10">
        <f t="shared" ca="1" si="4"/>
        <v>1.6128E-3</v>
      </c>
      <c r="H10">
        <f t="shared" ca="1" si="1"/>
        <v>1.6416E-3</v>
      </c>
      <c r="I10">
        <f t="shared" ca="1" si="1"/>
        <v>1.6703999999999998E-3</v>
      </c>
      <c r="J10">
        <f t="shared" ca="1" si="1"/>
        <v>1.6991999999999999E-3</v>
      </c>
      <c r="K10" s="32" cm="1">
        <f t="array" aca="1" ref="K10" ca="1">INDIRECT(CONCATENATE("'",HLOOKUP(K$1,$B$21:$E$23,3,FALSE),"'!",$B$25,ROW($A10)+5))*About!$A$27</f>
        <v>1.7279999999999997E-3</v>
      </c>
      <c r="L10">
        <f t="shared" ca="1" si="5"/>
        <v>1.7855999999999998E-3</v>
      </c>
      <c r="M10">
        <f t="shared" ca="1" si="2"/>
        <v>1.8431999999999999E-3</v>
      </c>
      <c r="N10">
        <f t="shared" ca="1" si="2"/>
        <v>1.9007999999999998E-3</v>
      </c>
      <c r="O10">
        <f t="shared" ca="1" si="2"/>
        <v>1.9583999999999999E-3</v>
      </c>
      <c r="P10" s="32" cm="1">
        <f t="array" aca="1" ref="P10" ca="1">INDIRECT(CONCATENATE("'",HLOOKUP(P$1,$B$21:$E$23,3,FALSE),"'!",$B$25,ROW($A10)+5))*About!$A$27</f>
        <v>2.016E-3</v>
      </c>
      <c r="Q10" cm="1">
        <f t="array" aca="1" ref="Q10" ca="1">TREND($K10:$P10,$K$1:$P$1,Q$1)</f>
        <v>2.0735999999999949E-3</v>
      </c>
      <c r="R10" cm="1">
        <f t="array" aca="1" ref="R10" ca="1">TREND($K10:$P10,$K$1:$P$1,R$1)</f>
        <v>2.1311999999999998E-3</v>
      </c>
      <c r="S10" cm="1">
        <f t="array" aca="1" ref="S10" ca="1">TREND($K10:$P10,$K$1:$P$1,S$1)</f>
        <v>2.1887999999999908E-3</v>
      </c>
      <c r="T10" cm="1">
        <f t="array" aca="1" ref="T10" ca="1">TREND($K10:$P10,$K$1:$P$1,T$1)</f>
        <v>2.2463999999999956E-3</v>
      </c>
      <c r="U10" cm="1">
        <f t="array" aca="1" ref="U10" ca="1">TREND($K10:$P10,$K$1:$P$1,U$1)</f>
        <v>2.3040000000000005E-3</v>
      </c>
      <c r="V10" cm="1">
        <f t="array" aca="1" ref="V10" ca="1">TREND($K10:$P10,$K$1:$P$1,V$1)</f>
        <v>2.3615999999999915E-3</v>
      </c>
      <c r="W10" cm="1">
        <f t="array" aca="1" ref="W10" ca="1">TREND($K10:$P10,$K$1:$P$1,W$1)</f>
        <v>2.4191999999999964E-3</v>
      </c>
      <c r="X10" cm="1">
        <f t="array" aca="1" ref="X10" ca="1">TREND($K10:$P10,$K$1:$P$1,X$1)</f>
        <v>2.4767999999999873E-3</v>
      </c>
      <c r="Y10" cm="1">
        <f t="array" aca="1" ref="Y10" ca="1">TREND($K10:$P10,$K$1:$P$1,Y$1)</f>
        <v>2.5343999999999922E-3</v>
      </c>
      <c r="Z10" cm="1">
        <f t="array" aca="1" ref="Z10" ca="1">TREND($K10:$P10,$K$1:$P$1,Z$1)</f>
        <v>2.5919999999999971E-3</v>
      </c>
      <c r="AA10" cm="1">
        <f t="array" aca="1" ref="AA10" ca="1">TREND($K10:$P10,$K$1:$P$1,AA$1)</f>
        <v>2.6495999999999881E-3</v>
      </c>
      <c r="AB10" cm="1">
        <f t="array" aca="1" ref="AB10" ca="1">TREND($K10:$P10,$K$1:$P$1,AB$1)</f>
        <v>2.7071999999999929E-3</v>
      </c>
      <c r="AC10" cm="1">
        <f t="array" aca="1" ref="AC10" ca="1">TREND($K10:$P10,$K$1:$P$1,AC$1)</f>
        <v>2.7647999999999978E-3</v>
      </c>
      <c r="AD10" cm="1">
        <f t="array" aca="1" ref="AD10" ca="1">TREND($K10:$P10,$K$1:$P$1,AD$1)</f>
        <v>2.8223999999999888E-3</v>
      </c>
      <c r="AE10" cm="1">
        <f t="array" aca="1" ref="AE10" ca="1">TREND($K10:$P10,$K$1:$P$1,AE$1)</f>
        <v>2.8799999999999937E-3</v>
      </c>
      <c r="AF10" cm="1">
        <f t="array" aca="1" ref="AF10" ca="1">TREND($K10:$P10,$K$1:$P$1,AF$1)</f>
        <v>2.9375999999999985E-3</v>
      </c>
      <c r="AG10" cm="1">
        <f t="array" aca="1" ref="AG10" ca="1">TREND($K10:$P10,$K$1:$P$1,AG$1)</f>
        <v>2.9951999999999895E-3</v>
      </c>
      <c r="AH10" cm="1">
        <f t="array" aca="1" ref="AH10" ca="1">TREND($K10:$P10,$K$1:$P$1,AH$1)</f>
        <v>3.0527999999999944E-3</v>
      </c>
      <c r="AI10" cm="1">
        <f t="array" aca="1" ref="AI10" ca="1">TREND($K10:$P10,$K$1:$P$1,AI$1)</f>
        <v>3.1103999999999993E-3</v>
      </c>
      <c r="AJ10" cm="1">
        <f t="array" aca="1" ref="AJ10" ca="1">TREND($K10:$P10,$K$1:$P$1,AJ$1)</f>
        <v>3.1679999999999903E-3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1.4399999999999999E-3</v>
      </c>
      <c r="C11">
        <f t="shared" ca="1" si="3"/>
        <v>1.4759999999999999E-3</v>
      </c>
      <c r="D11">
        <f t="shared" ca="1" si="0"/>
        <v>1.5119999999999999E-3</v>
      </c>
      <c r="E11">
        <f t="shared" ca="1" si="0"/>
        <v>1.5480000000000001E-3</v>
      </c>
      <c r="F11" s="32" cm="1">
        <f t="array" aca="1" ref="F11" ca="1">INDIRECT(CONCATENATE("'",HLOOKUP(F$1,$B$21:$E$23,3,FALSE),"'!",$B$25,ROW($A11)+5))*About!$A$27</f>
        <v>1.5840000000000001E-3</v>
      </c>
      <c r="G11">
        <f t="shared" ca="1" si="4"/>
        <v>1.6128E-3</v>
      </c>
      <c r="H11">
        <f t="shared" ca="1" si="1"/>
        <v>1.6416E-3</v>
      </c>
      <c r="I11">
        <f t="shared" ca="1" si="1"/>
        <v>1.6703999999999998E-3</v>
      </c>
      <c r="J11">
        <f t="shared" ca="1" si="1"/>
        <v>1.6991999999999999E-3</v>
      </c>
      <c r="K11" s="32" cm="1">
        <f t="array" aca="1" ref="K11" ca="1">INDIRECT(CONCATENATE("'",HLOOKUP(K$1,$B$21:$E$23,3,FALSE),"'!",$B$25,ROW($A11)+5))*About!$A$27</f>
        <v>1.7279999999999997E-3</v>
      </c>
      <c r="L11">
        <f t="shared" ca="1" si="5"/>
        <v>1.7567999999999998E-3</v>
      </c>
      <c r="M11">
        <f t="shared" ca="1" si="2"/>
        <v>1.7855999999999998E-3</v>
      </c>
      <c r="N11">
        <f t="shared" ca="1" si="2"/>
        <v>1.8143999999999997E-3</v>
      </c>
      <c r="O11">
        <f t="shared" ca="1" si="2"/>
        <v>1.8431999999999997E-3</v>
      </c>
      <c r="P11" s="32" cm="1">
        <f t="array" aca="1" ref="P11" ca="1">INDIRECT(CONCATENATE("'",HLOOKUP(P$1,$B$21:$E$23,3,FALSE),"'!",$B$25,ROW($A11)+5))*About!$A$27</f>
        <v>1.8719999999999997E-3</v>
      </c>
      <c r="Q11" cm="1">
        <f t="array" aca="1" ref="Q11" ca="1">TREND($K11:$P11,$K$1:$P$1,Q$1)</f>
        <v>1.9008000000000011E-3</v>
      </c>
      <c r="R11" cm="1">
        <f t="array" aca="1" ref="R11" ca="1">TREND($K11:$P11,$K$1:$P$1,R$1)</f>
        <v>1.9296000000000035E-3</v>
      </c>
      <c r="S11" cm="1">
        <f t="array" aca="1" ref="S11" ca="1">TREND($K11:$P11,$K$1:$P$1,S$1)</f>
        <v>1.958399999999999E-3</v>
      </c>
      <c r="T11" cm="1">
        <f t="array" aca="1" ref="T11" ca="1">TREND($K11:$P11,$K$1:$P$1,T$1)</f>
        <v>1.9872000000000015E-3</v>
      </c>
      <c r="U11" cm="1">
        <f t="array" aca="1" ref="U11" ca="1">TREND($K11:$P11,$K$1:$P$1,U$1)</f>
        <v>2.0160000000000039E-3</v>
      </c>
      <c r="V11" cm="1">
        <f t="array" aca="1" ref="V11" ca="1">TREND($K11:$P11,$K$1:$P$1,V$1)</f>
        <v>2.0447999999999994E-3</v>
      </c>
      <c r="W11" cm="1">
        <f t="array" aca="1" ref="W11" ca="1">TREND($K11:$P11,$K$1:$P$1,W$1)</f>
        <v>2.0736000000000018E-3</v>
      </c>
      <c r="X11" cm="1">
        <f t="array" aca="1" ref="X11" ca="1">TREND($K11:$P11,$K$1:$P$1,X$1)</f>
        <v>2.1024000000000043E-3</v>
      </c>
      <c r="Y11" cm="1">
        <f t="array" aca="1" ref="Y11" ca="1">TREND($K11:$P11,$K$1:$P$1,Y$1)</f>
        <v>2.1311999999999998E-3</v>
      </c>
      <c r="Z11" cm="1">
        <f t="array" aca="1" ref="Z11" ca="1">TREND($K11:$P11,$K$1:$P$1,Z$1)</f>
        <v>2.1600000000000022E-3</v>
      </c>
      <c r="AA11" cm="1">
        <f t="array" aca="1" ref="AA11" ca="1">TREND($K11:$P11,$K$1:$P$1,AA$1)</f>
        <v>2.1887999999999977E-3</v>
      </c>
      <c r="AB11" cm="1">
        <f t="array" aca="1" ref="AB11" ca="1">TREND($K11:$P11,$K$1:$P$1,AB$1)</f>
        <v>2.2176000000000001E-3</v>
      </c>
      <c r="AC11" cm="1">
        <f t="array" aca="1" ref="AC11" ca="1">TREND($K11:$P11,$K$1:$P$1,AC$1)</f>
        <v>2.2464000000000026E-3</v>
      </c>
      <c r="AD11" cm="1">
        <f t="array" aca="1" ref="AD11" ca="1">TREND($K11:$P11,$K$1:$P$1,AD$1)</f>
        <v>2.2751999999999981E-3</v>
      </c>
      <c r="AE11" cm="1">
        <f t="array" aca="1" ref="AE11" ca="1">TREND($K11:$P11,$K$1:$P$1,AE$1)</f>
        <v>2.3040000000000005E-3</v>
      </c>
      <c r="AF11" cm="1">
        <f t="array" aca="1" ref="AF11" ca="1">TREND($K11:$P11,$K$1:$P$1,AF$1)</f>
        <v>2.3328000000000029E-3</v>
      </c>
      <c r="AG11" cm="1">
        <f t="array" aca="1" ref="AG11" ca="1">TREND($K11:$P11,$K$1:$P$1,AG$1)</f>
        <v>2.3615999999999984E-3</v>
      </c>
      <c r="AH11" cm="1">
        <f t="array" aca="1" ref="AH11" ca="1">TREND($K11:$P11,$K$1:$P$1,AH$1)</f>
        <v>2.3904000000000009E-3</v>
      </c>
      <c r="AI11" cm="1">
        <f t="array" aca="1" ref="AI11" ca="1">TREND($K11:$P11,$K$1:$P$1,AI$1)</f>
        <v>2.4192000000000033E-3</v>
      </c>
      <c r="AJ11" cm="1">
        <f t="array" aca="1" ref="AJ11" ca="1">TREND($K11:$P11,$K$1:$P$1,AJ$1)</f>
        <v>2.4479999999999988E-3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6.7104E-3</v>
      </c>
      <c r="C12">
        <f t="shared" ca="1" si="3"/>
        <v>6.8291999999999997E-3</v>
      </c>
      <c r="D12">
        <f t="shared" ca="1" si="0"/>
        <v>6.9479999999999993E-3</v>
      </c>
      <c r="E12">
        <f t="shared" ca="1" si="0"/>
        <v>7.0667999999999998E-3</v>
      </c>
      <c r="F12" s="33">
        <f ca="1">SUM(INDIRECT(CONCATENATE("'",HLOOKUP(F$1,$B$21:$E$23,3,FALSE),"'!",$B$25,ROW($A12)+5,":",$B$25,ROW($A12)+6)))*About!$A$27</f>
        <v>7.1855999999999995E-3</v>
      </c>
      <c r="G12">
        <f t="shared" ca="1" si="4"/>
        <v>7.3151999999999991E-3</v>
      </c>
      <c r="H12">
        <f t="shared" ca="1" si="1"/>
        <v>7.4447999999999997E-3</v>
      </c>
      <c r="I12">
        <f t="shared" ca="1" si="1"/>
        <v>7.5743999999999994E-3</v>
      </c>
      <c r="J12">
        <f t="shared" ca="1" si="1"/>
        <v>7.7039999999999999E-3</v>
      </c>
      <c r="K12" s="33">
        <f ca="1">SUM(INDIRECT(CONCATENATE("'",HLOOKUP(K$1,$B$21:$E$23,3,FALSE),"'!",$B$25,ROW($A12)+5,":",$B$25,ROW($A12)+6)))*About!$A$27</f>
        <v>7.8335999999999996E-3</v>
      </c>
      <c r="L12">
        <f t="shared" ca="1" si="5"/>
        <v>7.9603199999999999E-3</v>
      </c>
      <c r="M12">
        <f t="shared" ca="1" si="2"/>
        <v>8.0870400000000002E-3</v>
      </c>
      <c r="N12">
        <f t="shared" ca="1" si="2"/>
        <v>8.2137599999999988E-3</v>
      </c>
      <c r="O12">
        <f t="shared" ca="1" si="2"/>
        <v>8.3404799999999991E-3</v>
      </c>
      <c r="P12" s="33">
        <f ca="1">SUM(INDIRECT(CONCATENATE("'",HLOOKUP(P$1,$B$21:$E$23,3,FALSE),"'!",$B$25,ROW($A12)+5,":",$B$25,ROW($A12)+6)))*About!$A$27</f>
        <v>8.4671999999999994E-3</v>
      </c>
      <c r="Q12" cm="1">
        <f t="array" aca="1" ref="Q12" ca="1">TREND($K12:$P12,$K$1:$P$1,Q$1)</f>
        <v>8.5939200000000326E-3</v>
      </c>
      <c r="R12" cm="1">
        <f t="array" aca="1" ref="R12" ca="1">TREND($K12:$P12,$K$1:$P$1,R$1)</f>
        <v>8.7206400000000017E-3</v>
      </c>
      <c r="S12" cm="1">
        <f t="array" aca="1" ref="S12" ca="1">TREND($K12:$P12,$K$1:$P$1,S$1)</f>
        <v>8.8473600000000263E-3</v>
      </c>
      <c r="T12" cm="1">
        <f t="array" aca="1" ref="T12" ca="1">TREND($K12:$P12,$K$1:$P$1,T$1)</f>
        <v>8.9740799999999954E-3</v>
      </c>
      <c r="U12" cm="1">
        <f t="array" aca="1" ref="U12" ca="1">TREND($K12:$P12,$K$1:$P$1,U$1)</f>
        <v>9.10080000000002E-3</v>
      </c>
      <c r="V12" cm="1">
        <f t="array" aca="1" ref="V12" ca="1">TREND($K12:$P12,$K$1:$P$1,V$1)</f>
        <v>9.2275199999999891E-3</v>
      </c>
      <c r="W12" cm="1">
        <f t="array" aca="1" ref="W12" ca="1">TREND($K12:$P12,$K$1:$P$1,W$1)</f>
        <v>9.3542400000000137E-3</v>
      </c>
      <c r="X12" cm="1">
        <f t="array" aca="1" ref="X12" ca="1">TREND($K12:$P12,$K$1:$P$1,X$1)</f>
        <v>9.4809599999999827E-3</v>
      </c>
      <c r="Y12" cm="1">
        <f t="array" aca="1" ref="Y12" ca="1">TREND($K12:$P12,$K$1:$P$1,Y$1)</f>
        <v>9.6076800000000073E-3</v>
      </c>
      <c r="Z12" cm="1">
        <f t="array" aca="1" ref="Z12" ca="1">TREND($K12:$P12,$K$1:$P$1,Z$1)</f>
        <v>9.7344000000000319E-3</v>
      </c>
      <c r="AA12" cm="1">
        <f t="array" aca="1" ref="AA12" ca="1">TREND($K12:$P12,$K$1:$P$1,AA$1)</f>
        <v>9.861120000000001E-3</v>
      </c>
      <c r="AB12" cm="1">
        <f t="array" aca="1" ref="AB12" ca="1">TREND($K12:$P12,$K$1:$P$1,AB$1)</f>
        <v>9.9878400000000256E-3</v>
      </c>
      <c r="AC12" cm="1">
        <f t="array" aca="1" ref="AC12" ca="1">TREND($K12:$P12,$K$1:$P$1,AC$1)</f>
        <v>1.0114559999999995E-2</v>
      </c>
      <c r="AD12" cm="1">
        <f t="array" aca="1" ref="AD12" ca="1">TREND($K12:$P12,$K$1:$P$1,AD$1)</f>
        <v>1.0241280000000019E-2</v>
      </c>
      <c r="AE12" cm="1">
        <f t="array" aca="1" ref="AE12" ca="1">TREND($K12:$P12,$K$1:$P$1,AE$1)</f>
        <v>1.0367999999999988E-2</v>
      </c>
      <c r="AF12" cm="1">
        <f t="array" aca="1" ref="AF12" ca="1">TREND($K12:$P12,$K$1:$P$1,AF$1)</f>
        <v>1.0494720000000013E-2</v>
      </c>
      <c r="AG12" cm="1">
        <f t="array" aca="1" ref="AG12" ca="1">TREND($K12:$P12,$K$1:$P$1,AG$1)</f>
        <v>1.0621439999999982E-2</v>
      </c>
      <c r="AH12" cm="1">
        <f t="array" aca="1" ref="AH12" ca="1">TREND($K12:$P12,$K$1:$P$1,AH$1)</f>
        <v>1.0748160000000007E-2</v>
      </c>
      <c r="AI12" cm="1">
        <f t="array" aca="1" ref="AI12" ca="1">TREND($K12:$P12,$K$1:$P$1,AI$1)</f>
        <v>1.0874880000000031E-2</v>
      </c>
      <c r="AJ12" cm="1">
        <f t="array" aca="1" ref="AJ12" ca="1">TREND($K12:$P12,$K$1:$P$1,AJ$1)</f>
        <v>1.10016E-2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HOIpTP-electricity-SO2</v>
      </c>
    </row>
    <row r="18" spans="1:5" x14ac:dyDescent="0.25">
      <c r="A18" t="s">
        <v>83</v>
      </c>
      <c r="B18" t="str">
        <f ca="1">RIGHT(B17,LEN(B17)-7)</f>
        <v>electricity-SO2</v>
      </c>
    </row>
    <row r="19" spans="1:5" x14ac:dyDescent="0.25">
      <c r="A19" t="s">
        <v>84</v>
      </c>
      <c r="B19" t="str">
        <f ca="1">LEFT(B18,FIND("-",B18)-1)</f>
        <v>electricity</v>
      </c>
    </row>
    <row r="20" spans="1:5" x14ac:dyDescent="0.25">
      <c r="A20" t="s">
        <v>85</v>
      </c>
      <c r="B20" t="str">
        <f ca="1">VLOOKUP($B$19,Mappings!$A$22:$B$26,COLUMN(Mappings!$B$21),FALSE)</f>
        <v>electricity generating units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5">
      <c r="A23" s="28" t="s">
        <v>82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5">
      <c r="A24" t="s">
        <v>87</v>
      </c>
      <c r="B24" t="str">
        <f ca="1">REPLACE(B18,1,FIND("-",B18),"")</f>
        <v>SO2</v>
      </c>
    </row>
    <row r="25" spans="1:5" x14ac:dyDescent="0.25">
      <c r="A25" t="s">
        <v>88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B463-BC41-46EA-A054-1DB5B28E36F4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1.3392E-3</v>
      </c>
      <c r="C2">
        <f ca="1">$B2+($F2-$B2)*(C$1-$B$1)/($F$1-$B$1)</f>
        <v>1.3464E-3</v>
      </c>
      <c r="D2">
        <f t="shared" ref="D2:E12" ca="1" si="0">$B2+($F2-$B2)*(D$1-$B$1)/($F$1-$B$1)</f>
        <v>1.3535999999999999E-3</v>
      </c>
      <c r="E2">
        <f t="shared" ca="1" si="0"/>
        <v>1.3607999999999999E-3</v>
      </c>
      <c r="F2" s="31" cm="1">
        <f t="array" aca="1" ref="F2" ca="1">INDIRECT(CONCATENATE("'",HLOOKUP(F$1,$B$21:$E$23,3,FALSE),"'!",$B$25,ROW($A2)+3))*About!$A$27</f>
        <v>1.3679999999999999E-3</v>
      </c>
      <c r="G2">
        <f ca="1">$F2+($K2-$F2)*(G$1-$F$1)/($K$1-$F$1)</f>
        <v>1.3823999999999998E-3</v>
      </c>
      <c r="H2">
        <f t="shared" ref="H2:J12" ca="1" si="1">$F2+($K2-$F2)*(H$1-$F$1)/($K$1-$F$1)</f>
        <v>1.3967999999999999E-3</v>
      </c>
      <c r="I2">
        <f t="shared" ca="1" si="1"/>
        <v>1.4111999999999998E-3</v>
      </c>
      <c r="J2">
        <f t="shared" ca="1" si="1"/>
        <v>1.4256E-3</v>
      </c>
      <c r="K2" s="31" cm="1">
        <f t="array" aca="1" ref="K2" ca="1">INDIRECT(CONCATENATE("'",HLOOKUP(K$1,$B$21:$E$23,3,FALSE),"'!",$B$25,ROW($A2)+3))*About!$A$27</f>
        <v>1.4399999999999999E-3</v>
      </c>
      <c r="L2">
        <f ca="1">$K2+($P2-$K2)*(L$1-$K$1)/($P$1-$K$1)</f>
        <v>1.4687999999999999E-3</v>
      </c>
      <c r="M2">
        <f t="shared" ref="M2:O12" ca="1" si="2">$K2+($P2-$K2)*(M$1-$K$1)/($P$1-$K$1)</f>
        <v>1.4976E-3</v>
      </c>
      <c r="N2">
        <f t="shared" ca="1" si="2"/>
        <v>1.5264E-3</v>
      </c>
      <c r="O2">
        <f t="shared" ca="1" si="2"/>
        <v>1.5552000000000001E-3</v>
      </c>
      <c r="P2" s="31" cm="1">
        <f t="array" aca="1" ref="P2" ca="1">INDIRECT(CONCATENATE("'",HLOOKUP(P$1,$B$21:$E$23,3,FALSE),"'!",$B$25,ROW($A2)+3))*About!$A$27</f>
        <v>1.5840000000000001E-3</v>
      </c>
      <c r="Q2" cm="1">
        <f t="array" aca="1" ref="Q2" ca="1">TREND($K2:$P2,$K$1:$P$1,Q$1)</f>
        <v>1.6127999999999976E-3</v>
      </c>
      <c r="R2" cm="1">
        <f t="array" aca="1" ref="R2" ca="1">TREND($K2:$P2,$K$1:$P$1,R$1)</f>
        <v>1.6415999999999931E-3</v>
      </c>
      <c r="S2" cm="1">
        <f t="array" aca="1" ref="S2" ca="1">TREND($K2:$P2,$K$1:$P$1,S$1)</f>
        <v>1.6703999999999955E-3</v>
      </c>
      <c r="T2" cm="1">
        <f t="array" aca="1" ref="T2" ca="1">TREND($K2:$P2,$K$1:$P$1,T$1)</f>
        <v>1.6991999999999979E-3</v>
      </c>
      <c r="U2" cm="1">
        <f t="array" aca="1" ref="U2" ca="1">TREND($K2:$P2,$K$1:$P$1,U$1)</f>
        <v>1.7279999999999934E-3</v>
      </c>
      <c r="V2" cm="1">
        <f t="array" aca="1" ref="V2" ca="1">TREND($K2:$P2,$K$1:$P$1,V$1)</f>
        <v>1.7567999999999959E-3</v>
      </c>
      <c r="W2" cm="1">
        <f t="array" aca="1" ref="W2" ca="1">TREND($K2:$P2,$K$1:$P$1,W$1)</f>
        <v>1.7855999999999983E-3</v>
      </c>
      <c r="X2" cm="1">
        <f t="array" aca="1" ref="X2" ca="1">TREND($K2:$P2,$K$1:$P$1,X$1)</f>
        <v>1.8143999999999938E-3</v>
      </c>
      <c r="Y2" cm="1">
        <f t="array" aca="1" ref="Y2" ca="1">TREND($K2:$P2,$K$1:$P$1,Y$1)</f>
        <v>1.8431999999999962E-3</v>
      </c>
      <c r="Z2" cm="1">
        <f t="array" aca="1" ref="Z2" ca="1">TREND($K2:$P2,$K$1:$P$1,Z$1)</f>
        <v>1.8719999999999987E-3</v>
      </c>
      <c r="AA2" cm="1">
        <f t="array" aca="1" ref="AA2" ca="1">TREND($K2:$P2,$K$1:$P$1,AA$1)</f>
        <v>1.9007999999999942E-3</v>
      </c>
      <c r="AB2" cm="1">
        <f t="array" aca="1" ref="AB2" ca="1">TREND($K2:$P2,$K$1:$P$1,AB$1)</f>
        <v>1.9295999999999966E-3</v>
      </c>
      <c r="AC2" cm="1">
        <f t="array" aca="1" ref="AC2" ca="1">TREND($K2:$P2,$K$1:$P$1,AC$1)</f>
        <v>1.958399999999999E-3</v>
      </c>
      <c r="AD2" cm="1">
        <f t="array" aca="1" ref="AD2" ca="1">TREND($K2:$P2,$K$1:$P$1,AD$1)</f>
        <v>1.9871999999999945E-3</v>
      </c>
      <c r="AE2" cm="1">
        <f t="array" aca="1" ref="AE2" ca="1">TREND($K2:$P2,$K$1:$P$1,AE$1)</f>
        <v>2.015999999999997E-3</v>
      </c>
      <c r="AF2" cm="1">
        <f t="array" aca="1" ref="AF2" ca="1">TREND($K2:$P2,$K$1:$P$1,AF$1)</f>
        <v>2.0447999999999994E-3</v>
      </c>
      <c r="AG2" cm="1">
        <f t="array" aca="1" ref="AG2" ca="1">TREND($K2:$P2,$K$1:$P$1,AG$1)</f>
        <v>2.0735999999999949E-3</v>
      </c>
      <c r="AH2" cm="1">
        <f t="array" aca="1" ref="AH2" ca="1">TREND($K2:$P2,$K$1:$P$1,AH$1)</f>
        <v>2.1023999999999973E-3</v>
      </c>
      <c r="AI2" cm="1">
        <f t="array" aca="1" ref="AI2" ca="1">TREND($K2:$P2,$K$1:$P$1,AI$1)</f>
        <v>2.1311999999999998E-3</v>
      </c>
      <c r="AJ2" cm="1">
        <f t="array" aca="1" ref="AJ2" ca="1">TREND($K2:$P2,$K$1:$P$1,AJ$1)</f>
        <v>2.1599999999999953E-3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7.4879999999999988E-4</v>
      </c>
      <c r="C3">
        <f t="shared" ref="C3:C12" ca="1" si="3">$B3+($F3-$B3)*(C$1-$B$1)/($F$1-$B$1)</f>
        <v>7.5239999999999986E-4</v>
      </c>
      <c r="D3">
        <f t="shared" ca="1" si="0"/>
        <v>7.5599999999999994E-4</v>
      </c>
      <c r="E3">
        <f t="shared" ca="1" si="0"/>
        <v>7.5959999999999992E-4</v>
      </c>
      <c r="F3" s="32" cm="1">
        <f t="array" aca="1" ref="F3" ca="1">INDIRECT(CONCATENATE("'",HLOOKUP(F$1,$B$21:$E$23,3,FALSE),"'!",$B$25,ROW($A3)+5))*About!$A$27</f>
        <v>7.631999999999999E-4</v>
      </c>
      <c r="G3">
        <f t="shared" ref="G3:G12" ca="1" si="4">$F3+($K3-$F3)*(G$1-$F$1)/($K$1-$F$1)</f>
        <v>7.6895999999999996E-4</v>
      </c>
      <c r="H3">
        <f t="shared" ca="1" si="1"/>
        <v>7.7472000000000001E-4</v>
      </c>
      <c r="I3">
        <f t="shared" ca="1" si="1"/>
        <v>7.8047999999999995E-4</v>
      </c>
      <c r="J3">
        <f t="shared" ca="1" si="1"/>
        <v>7.8624000000000001E-4</v>
      </c>
      <c r="K3" s="32" cm="1">
        <f t="array" aca="1" ref="K3" ca="1">INDIRECT(CONCATENATE("'",HLOOKUP(K$1,$B$21:$E$23,3,FALSE),"'!",$B$25,ROW($A3)+5))*About!$A$27</f>
        <v>7.9200000000000006E-4</v>
      </c>
      <c r="L3">
        <f t="shared" ref="L3:L12" ca="1" si="5">$K3+($P3-$K3)*(L$1-$K$1)/($P$1-$K$1)</f>
        <v>7.9776000000000001E-4</v>
      </c>
      <c r="M3">
        <f t="shared" ca="1" si="2"/>
        <v>8.0351999999999995E-4</v>
      </c>
      <c r="N3">
        <f t="shared" ca="1" si="2"/>
        <v>8.0928E-4</v>
      </c>
      <c r="O3">
        <f t="shared" ca="1" si="2"/>
        <v>8.1503999999999995E-4</v>
      </c>
      <c r="P3" s="32" cm="1">
        <f t="array" aca="1" ref="P3" ca="1">INDIRECT(CONCATENATE("'",HLOOKUP(P$1,$B$21:$E$23,3,FALSE),"'!",$B$25,ROW($A3)+5))*About!$A$27</f>
        <v>8.2079999999999989E-4</v>
      </c>
      <c r="Q3" cm="1">
        <f t="array" aca="1" ref="Q3" ca="1">TREND($K3:$P3,$K$1:$P$1,Q$1)</f>
        <v>8.2656000000000049E-4</v>
      </c>
      <c r="R3" cm="1">
        <f t="array" aca="1" ref="R3" ca="1">TREND($K3:$P3,$K$1:$P$1,R$1)</f>
        <v>8.3232000000000098E-4</v>
      </c>
      <c r="S3" cm="1">
        <f t="array" aca="1" ref="S3" ca="1">TREND($K3:$P3,$K$1:$P$1,S$1)</f>
        <v>8.3807999999999973E-4</v>
      </c>
      <c r="T3" cm="1">
        <f t="array" aca="1" ref="T3" ca="1">TREND($K3:$P3,$K$1:$P$1,T$1)</f>
        <v>8.4384000000000021E-4</v>
      </c>
      <c r="U3" cm="1">
        <f t="array" aca="1" ref="U3" ca="1">TREND($K3:$P3,$K$1:$P$1,U$1)</f>
        <v>8.496000000000007E-4</v>
      </c>
      <c r="V3" cm="1">
        <f t="array" aca="1" ref="V3" ca="1">TREND($K3:$P3,$K$1:$P$1,V$1)</f>
        <v>8.5536000000000119E-4</v>
      </c>
      <c r="W3" cm="1">
        <f t="array" aca="1" ref="W3" ca="1">TREND($K3:$P3,$K$1:$P$1,W$1)</f>
        <v>8.6111999999999994E-4</v>
      </c>
      <c r="X3" cm="1">
        <f t="array" aca="1" ref="X3" ca="1">TREND($K3:$P3,$K$1:$P$1,X$1)</f>
        <v>8.6688000000000043E-4</v>
      </c>
      <c r="Y3" cm="1">
        <f t="array" aca="1" ref="Y3" ca="1">TREND($K3:$P3,$K$1:$P$1,Y$1)</f>
        <v>8.7264000000000091E-4</v>
      </c>
      <c r="Z3" cm="1">
        <f t="array" aca="1" ref="Z3" ca="1">TREND($K3:$P3,$K$1:$P$1,Z$1)</f>
        <v>8.7839999999999967E-4</v>
      </c>
      <c r="AA3" cm="1">
        <f t="array" aca="1" ref="AA3" ca="1">TREND($K3:$P3,$K$1:$P$1,AA$1)</f>
        <v>8.8416000000000015E-4</v>
      </c>
      <c r="AB3" cm="1">
        <f t="array" aca="1" ref="AB3" ca="1">TREND($K3:$P3,$K$1:$P$1,AB$1)</f>
        <v>8.8992000000000064E-4</v>
      </c>
      <c r="AC3" cm="1">
        <f t="array" aca="1" ref="AC3" ca="1">TREND($K3:$P3,$K$1:$P$1,AC$1)</f>
        <v>8.9567999999999939E-4</v>
      </c>
      <c r="AD3" cm="1">
        <f t="array" aca="1" ref="AD3" ca="1">TREND($K3:$P3,$K$1:$P$1,AD$1)</f>
        <v>9.0143999999999988E-4</v>
      </c>
      <c r="AE3" cm="1">
        <f t="array" aca="1" ref="AE3" ca="1">TREND($K3:$P3,$K$1:$P$1,AE$1)</f>
        <v>9.0720000000000037E-4</v>
      </c>
      <c r="AF3" cm="1">
        <f t="array" aca="1" ref="AF3" ca="1">TREND($K3:$P3,$K$1:$P$1,AF$1)</f>
        <v>9.1296000000000085E-4</v>
      </c>
      <c r="AG3" cm="1">
        <f t="array" aca="1" ref="AG3" ca="1">TREND($K3:$P3,$K$1:$P$1,AG$1)</f>
        <v>9.1871999999999961E-4</v>
      </c>
      <c r="AH3" cm="1">
        <f t="array" aca="1" ref="AH3" ca="1">TREND($K3:$P3,$K$1:$P$1,AH$1)</f>
        <v>9.2448000000000009E-4</v>
      </c>
      <c r="AI3" cm="1">
        <f t="array" aca="1" ref="AI3" ca="1">TREND($K3:$P3,$K$1:$P$1,AI$1)</f>
        <v>9.3024000000000058E-4</v>
      </c>
      <c r="AJ3" cm="1">
        <f t="array" aca="1" ref="AJ3" ca="1">TREND($K3:$P3,$K$1:$P$1,AJ$1)</f>
        <v>9.3599999999999933E-4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2.016E-3</v>
      </c>
      <c r="C4">
        <f t="shared" ca="1" si="3"/>
        <v>2.016E-3</v>
      </c>
      <c r="D4">
        <f t="shared" ca="1" si="0"/>
        <v>2.016E-3</v>
      </c>
      <c r="E4">
        <f t="shared" ca="1" si="0"/>
        <v>2.016E-3</v>
      </c>
      <c r="F4" s="32" cm="1">
        <f t="array" aca="1" ref="F4" ca="1">INDIRECT(CONCATENATE("'",HLOOKUP(F$1,$B$21:$E$23,3,FALSE),"'!",$B$25,ROW($A4)+5))*About!$A$27</f>
        <v>2.016E-3</v>
      </c>
      <c r="G4">
        <f t="shared" ca="1" si="4"/>
        <v>2.016E-3</v>
      </c>
      <c r="H4">
        <f t="shared" ca="1" si="1"/>
        <v>2.016E-3</v>
      </c>
      <c r="I4">
        <f t="shared" ca="1" si="1"/>
        <v>2.016E-3</v>
      </c>
      <c r="J4">
        <f t="shared" ca="1" si="1"/>
        <v>2.016E-3</v>
      </c>
      <c r="K4" s="32" cm="1">
        <f t="array" aca="1" ref="K4" ca="1">INDIRECT(CONCATENATE("'",HLOOKUP(K$1,$B$21:$E$23,3,FALSE),"'!",$B$25,ROW($A4)+5))*About!$A$27</f>
        <v>2.016E-3</v>
      </c>
      <c r="L4">
        <f t="shared" ca="1" si="5"/>
        <v>2.0447999999999998E-3</v>
      </c>
      <c r="M4">
        <f t="shared" ca="1" si="2"/>
        <v>2.0736000000000001E-3</v>
      </c>
      <c r="N4">
        <f t="shared" ca="1" si="2"/>
        <v>2.1023999999999999E-3</v>
      </c>
      <c r="O4">
        <f t="shared" ca="1" si="2"/>
        <v>2.1312000000000002E-3</v>
      </c>
      <c r="P4" s="32" cm="1">
        <f t="array" aca="1" ref="P4" ca="1">INDIRECT(CONCATENATE("'",HLOOKUP(P$1,$B$21:$E$23,3,FALSE),"'!",$B$25,ROW($A4)+5))*About!$A$27</f>
        <v>2.16E-3</v>
      </c>
      <c r="Q4" cm="1">
        <f t="array" aca="1" ref="Q4" ca="1">TREND($K4:$P4,$K$1:$P$1,Q$1)</f>
        <v>2.1887999999999977E-3</v>
      </c>
      <c r="R4" cm="1">
        <f t="array" aca="1" ref="R4" ca="1">TREND($K4:$P4,$K$1:$P$1,R$1)</f>
        <v>2.2176000000000001E-3</v>
      </c>
      <c r="S4" cm="1">
        <f t="array" aca="1" ref="S4" ca="1">TREND($K4:$P4,$K$1:$P$1,S$1)</f>
        <v>2.2463999999999956E-3</v>
      </c>
      <c r="T4" cm="1">
        <f t="array" aca="1" ref="T4" ca="1">TREND($K4:$P4,$K$1:$P$1,T$1)</f>
        <v>2.2751999999999981E-3</v>
      </c>
      <c r="U4" cm="1">
        <f t="array" aca="1" ref="U4" ca="1">TREND($K4:$P4,$K$1:$P$1,U$1)</f>
        <v>2.3039999999999936E-3</v>
      </c>
      <c r="V4" cm="1">
        <f t="array" aca="1" ref="V4" ca="1">TREND($K4:$P4,$K$1:$P$1,V$1)</f>
        <v>2.332799999999996E-3</v>
      </c>
      <c r="W4" cm="1">
        <f t="array" aca="1" ref="W4" ca="1">TREND($K4:$P4,$K$1:$P$1,W$1)</f>
        <v>2.3615999999999984E-3</v>
      </c>
      <c r="X4" cm="1">
        <f t="array" aca="1" ref="X4" ca="1">TREND($K4:$P4,$K$1:$P$1,X$1)</f>
        <v>2.3903999999999939E-3</v>
      </c>
      <c r="Y4" cm="1">
        <f t="array" aca="1" ref="Y4" ca="1">TREND($K4:$P4,$K$1:$P$1,Y$1)</f>
        <v>2.4191999999999964E-3</v>
      </c>
      <c r="Z4" cm="1">
        <f t="array" aca="1" ref="Z4" ca="1">TREND($K4:$P4,$K$1:$P$1,Z$1)</f>
        <v>2.4479999999999988E-3</v>
      </c>
      <c r="AA4" cm="1">
        <f t="array" aca="1" ref="AA4" ca="1">TREND($K4:$P4,$K$1:$P$1,AA$1)</f>
        <v>2.4767999999999943E-3</v>
      </c>
      <c r="AB4" cm="1">
        <f t="array" aca="1" ref="AB4" ca="1">TREND($K4:$P4,$K$1:$P$1,AB$1)</f>
        <v>2.5055999999999967E-3</v>
      </c>
      <c r="AC4" cm="1">
        <f t="array" aca="1" ref="AC4" ca="1">TREND($K4:$P4,$K$1:$P$1,AC$1)</f>
        <v>2.5343999999999992E-3</v>
      </c>
      <c r="AD4" cm="1">
        <f t="array" aca="1" ref="AD4" ca="1">TREND($K4:$P4,$K$1:$P$1,AD$1)</f>
        <v>2.5631999999999946E-3</v>
      </c>
      <c r="AE4" cm="1">
        <f t="array" aca="1" ref="AE4" ca="1">TREND($K4:$P4,$K$1:$P$1,AE$1)</f>
        <v>2.5919999999999971E-3</v>
      </c>
      <c r="AF4" cm="1">
        <f t="array" aca="1" ref="AF4" ca="1">TREND($K4:$P4,$K$1:$P$1,AF$1)</f>
        <v>2.6207999999999995E-3</v>
      </c>
      <c r="AG4" cm="1">
        <f t="array" aca="1" ref="AG4" ca="1">TREND($K4:$P4,$K$1:$P$1,AG$1)</f>
        <v>2.649599999999995E-3</v>
      </c>
      <c r="AH4" cm="1">
        <f t="array" aca="1" ref="AH4" ca="1">TREND($K4:$P4,$K$1:$P$1,AH$1)</f>
        <v>2.6783999999999974E-3</v>
      </c>
      <c r="AI4" cm="1">
        <f t="array" aca="1" ref="AI4" ca="1">TREND($K4:$P4,$K$1:$P$1,AI$1)</f>
        <v>2.7071999999999999E-3</v>
      </c>
      <c r="AJ4" cm="1">
        <f t="array" aca="1" ref="AJ4" ca="1">TREND($K4:$P4,$K$1:$P$1,AJ$1)</f>
        <v>2.7359999999999954E-3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2.4480000000000002E-2</v>
      </c>
      <c r="C5">
        <f t="shared" ca="1" si="3"/>
        <v>2.4480000000000002E-2</v>
      </c>
      <c r="D5">
        <f t="shared" ca="1" si="0"/>
        <v>2.4480000000000002E-2</v>
      </c>
      <c r="E5">
        <f t="shared" ca="1" si="0"/>
        <v>2.4480000000000002E-2</v>
      </c>
      <c r="F5" s="32" cm="1">
        <f t="array" aca="1" ref="F5" ca="1">INDIRECT(CONCATENATE("'",HLOOKUP(F$1,$B$21:$E$23,3,FALSE),"'!",$B$25,ROW($A5)+5))*About!$A$27</f>
        <v>2.4480000000000002E-2</v>
      </c>
      <c r="G5">
        <f t="shared" ca="1" si="4"/>
        <v>2.4768000000000002E-2</v>
      </c>
      <c r="H5">
        <f t="shared" ca="1" si="1"/>
        <v>2.5056000000000002E-2</v>
      </c>
      <c r="I5">
        <f t="shared" ca="1" si="1"/>
        <v>2.5343999999999998E-2</v>
      </c>
      <c r="J5">
        <f t="shared" ca="1" si="1"/>
        <v>2.5631999999999999E-2</v>
      </c>
      <c r="K5" s="32" cm="1">
        <f t="array" aca="1" ref="K5" ca="1">INDIRECT(CONCATENATE("'",HLOOKUP(K$1,$B$21:$E$23,3,FALSE),"'!",$B$25,ROW($A5)+5))*About!$A$27</f>
        <v>2.5919999999999999E-2</v>
      </c>
      <c r="L5">
        <f t="shared" ca="1" si="5"/>
        <v>2.6495999999999999E-2</v>
      </c>
      <c r="M5">
        <f t="shared" ca="1" si="2"/>
        <v>2.7071999999999999E-2</v>
      </c>
      <c r="N5">
        <f t="shared" ca="1" si="2"/>
        <v>2.7647999999999999E-2</v>
      </c>
      <c r="O5">
        <f t="shared" ca="1" si="2"/>
        <v>2.8223999999999999E-2</v>
      </c>
      <c r="P5" s="32" cm="1">
        <f t="array" aca="1" ref="P5" ca="1">INDIRECT(CONCATENATE("'",HLOOKUP(P$1,$B$21:$E$23,3,FALSE),"'!",$B$25,ROW($A5)+5))*About!$A$27</f>
        <v>2.8799999999999999E-2</v>
      </c>
      <c r="Q5" cm="1">
        <f t="array" aca="1" ref="Q5" ca="1">TREND($K5:$P5,$K$1:$P$1,Q$1)</f>
        <v>2.9376000000000069E-2</v>
      </c>
      <c r="R5" cm="1">
        <f t="array" aca="1" ref="R5" ca="1">TREND($K5:$P5,$K$1:$P$1,R$1)</f>
        <v>2.9951999999999979E-2</v>
      </c>
      <c r="S5" cm="1">
        <f t="array" aca="1" ref="S5" ca="1">TREND($K5:$P5,$K$1:$P$1,S$1)</f>
        <v>3.0528000000000111E-2</v>
      </c>
      <c r="T5" cm="1">
        <f t="array" aca="1" ref="T5" ca="1">TREND($K5:$P5,$K$1:$P$1,T$1)</f>
        <v>3.1104000000000021E-2</v>
      </c>
      <c r="U5" cm="1">
        <f t="array" aca="1" ref="U5" ca="1">TREND($K5:$P5,$K$1:$P$1,U$1)</f>
        <v>3.1680000000000152E-2</v>
      </c>
      <c r="V5" cm="1">
        <f t="array" aca="1" ref="V5" ca="1">TREND($K5:$P5,$K$1:$P$1,V$1)</f>
        <v>3.2256000000000062E-2</v>
      </c>
      <c r="W5" cm="1">
        <f t="array" aca="1" ref="W5" ca="1">TREND($K5:$P5,$K$1:$P$1,W$1)</f>
        <v>3.2832000000000194E-2</v>
      </c>
      <c r="X5" cm="1">
        <f t="array" aca="1" ref="X5" ca="1">TREND($K5:$P5,$K$1:$P$1,X$1)</f>
        <v>3.3408000000000104E-2</v>
      </c>
      <c r="Y5" cm="1">
        <f t="array" aca="1" ref="Y5" ca="1">TREND($K5:$P5,$K$1:$P$1,Y$1)</f>
        <v>3.3984000000000014E-2</v>
      </c>
      <c r="Z5" cm="1">
        <f t="array" aca="1" ref="Z5" ca="1">TREND($K5:$P5,$K$1:$P$1,Z$1)</f>
        <v>3.4560000000000146E-2</v>
      </c>
      <c r="AA5" cm="1">
        <f t="array" aca="1" ref="AA5" ca="1">TREND($K5:$P5,$K$1:$P$1,AA$1)</f>
        <v>3.5136000000000056E-2</v>
      </c>
      <c r="AB5" cm="1">
        <f t="array" aca="1" ref="AB5" ca="1">TREND($K5:$P5,$K$1:$P$1,AB$1)</f>
        <v>3.5712000000000188E-2</v>
      </c>
      <c r="AC5" cm="1">
        <f t="array" aca="1" ref="AC5" ca="1">TREND($K5:$P5,$K$1:$P$1,AC$1)</f>
        <v>3.6288000000000098E-2</v>
      </c>
      <c r="AD5" cm="1">
        <f t="array" aca="1" ref="AD5" ca="1">TREND($K5:$P5,$K$1:$P$1,AD$1)</f>
        <v>3.6864000000000008E-2</v>
      </c>
      <c r="AE5" cm="1">
        <f t="array" aca="1" ref="AE5" ca="1">TREND($K5:$P5,$K$1:$P$1,AE$1)</f>
        <v>3.744000000000014E-2</v>
      </c>
      <c r="AF5" cm="1">
        <f t="array" aca="1" ref="AF5" ca="1">TREND($K5:$P5,$K$1:$P$1,AF$1)</f>
        <v>3.801600000000005E-2</v>
      </c>
      <c r="AG5" cm="1">
        <f t="array" aca="1" ref="AG5" ca="1">TREND($K5:$P5,$K$1:$P$1,AG$1)</f>
        <v>3.8592000000000182E-2</v>
      </c>
      <c r="AH5" cm="1">
        <f t="array" aca="1" ref="AH5" ca="1">TREND($K5:$P5,$K$1:$P$1,AH$1)</f>
        <v>3.9168000000000092E-2</v>
      </c>
      <c r="AI5" cm="1">
        <f t="array" aca="1" ref="AI5" ca="1">TREND($K5:$P5,$K$1:$P$1,AI$1)</f>
        <v>3.9744000000000002E-2</v>
      </c>
      <c r="AJ5" cm="1">
        <f t="array" aca="1" ref="AJ5" ca="1">TREND($K5:$P5,$K$1:$P$1,AJ$1)</f>
        <v>4.0320000000000134E-2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3.5999999999999997E-2</v>
      </c>
      <c r="C6">
        <f t="shared" ca="1" si="3"/>
        <v>3.5999999999999997E-2</v>
      </c>
      <c r="D6">
        <f t="shared" ca="1" si="0"/>
        <v>3.5999999999999997E-2</v>
      </c>
      <c r="E6">
        <f t="shared" ca="1" si="0"/>
        <v>3.5999999999999997E-2</v>
      </c>
      <c r="F6" s="32" cm="1">
        <f t="array" aca="1" ref="F6" ca="1">INDIRECT(CONCATENATE("'",HLOOKUP(F$1,$B$21:$E$23,3,FALSE),"'!",$B$25,ROW($A6)+5))*About!$A$27</f>
        <v>3.5999999999999997E-2</v>
      </c>
      <c r="G6">
        <f t="shared" ca="1" si="4"/>
        <v>3.6287999999999994E-2</v>
      </c>
      <c r="H6">
        <f t="shared" ca="1" si="1"/>
        <v>3.6575999999999997E-2</v>
      </c>
      <c r="I6">
        <f t="shared" ca="1" si="1"/>
        <v>3.6863999999999994E-2</v>
      </c>
      <c r="J6">
        <f t="shared" ca="1" si="1"/>
        <v>3.7151999999999998E-2</v>
      </c>
      <c r="K6" s="32" cm="1">
        <f t="array" aca="1" ref="K6" ca="1">INDIRECT(CONCATENATE("'",HLOOKUP(K$1,$B$21:$E$23,3,FALSE),"'!",$B$25,ROW($A6)+5))*About!$A$27</f>
        <v>3.7439999999999994E-2</v>
      </c>
      <c r="L6">
        <f t="shared" ca="1" si="5"/>
        <v>3.8015999999999994E-2</v>
      </c>
      <c r="M6">
        <f t="shared" ca="1" si="2"/>
        <v>3.8591999999999994E-2</v>
      </c>
      <c r="N6">
        <f t="shared" ca="1" si="2"/>
        <v>3.9168000000000001E-2</v>
      </c>
      <c r="O6">
        <f t="shared" ca="1" si="2"/>
        <v>3.9744000000000002E-2</v>
      </c>
      <c r="P6" s="32" cm="1">
        <f t="array" aca="1" ref="P6" ca="1">INDIRECT(CONCATENATE("'",HLOOKUP(P$1,$B$21:$E$23,3,FALSE),"'!",$B$25,ROW($A6)+5))*About!$A$27</f>
        <v>4.0320000000000002E-2</v>
      </c>
      <c r="Q6" cm="1">
        <f t="array" aca="1" ref="Q6" ca="1">TREND($K6:$P6,$K$1:$P$1,Q$1)</f>
        <v>4.0896000000000043E-2</v>
      </c>
      <c r="R6" cm="1">
        <f t="array" aca="1" ref="R6" ca="1">TREND($K6:$P6,$K$1:$P$1,R$1)</f>
        <v>4.1471999999999953E-2</v>
      </c>
      <c r="S6" cm="1">
        <f t="array" aca="1" ref="S6" ca="1">TREND($K6:$P6,$K$1:$P$1,S$1)</f>
        <v>4.2048000000000085E-2</v>
      </c>
      <c r="T6" cm="1">
        <f t="array" aca="1" ref="T6" ca="1">TREND($K6:$P6,$K$1:$P$1,T$1)</f>
        <v>4.2623999999999995E-2</v>
      </c>
      <c r="U6" cm="1">
        <f t="array" aca="1" ref="U6" ca="1">TREND($K6:$P6,$K$1:$P$1,U$1)</f>
        <v>4.3200000000000127E-2</v>
      </c>
      <c r="V6" cm="1">
        <f t="array" aca="1" ref="V6" ca="1">TREND($K6:$P6,$K$1:$P$1,V$1)</f>
        <v>4.3776000000000037E-2</v>
      </c>
      <c r="W6" cm="1">
        <f t="array" aca="1" ref="W6" ca="1">TREND($K6:$P6,$K$1:$P$1,W$1)</f>
        <v>4.4351999999999947E-2</v>
      </c>
      <c r="X6" cm="1">
        <f t="array" aca="1" ref="X6" ca="1">TREND($K6:$P6,$K$1:$P$1,X$1)</f>
        <v>4.4928000000000079E-2</v>
      </c>
      <c r="Y6" cm="1">
        <f t="array" aca="1" ref="Y6" ca="1">TREND($K6:$P6,$K$1:$P$1,Y$1)</f>
        <v>4.5503999999999989E-2</v>
      </c>
      <c r="Z6" cm="1">
        <f t="array" aca="1" ref="Z6" ca="1">TREND($K6:$P6,$K$1:$P$1,Z$1)</f>
        <v>4.6080000000000121E-2</v>
      </c>
      <c r="AA6" cm="1">
        <f t="array" aca="1" ref="AA6" ca="1">TREND($K6:$P6,$K$1:$P$1,AA$1)</f>
        <v>4.6656000000000031E-2</v>
      </c>
      <c r="AB6" cm="1">
        <f t="array" aca="1" ref="AB6" ca="1">TREND($K6:$P6,$K$1:$P$1,AB$1)</f>
        <v>4.7232000000000163E-2</v>
      </c>
      <c r="AC6" cm="1">
        <f t="array" aca="1" ref="AC6" ca="1">TREND($K6:$P6,$K$1:$P$1,AC$1)</f>
        <v>4.7808000000000073E-2</v>
      </c>
      <c r="AD6" cm="1">
        <f t="array" aca="1" ref="AD6" ca="1">TREND($K6:$P6,$K$1:$P$1,AD$1)</f>
        <v>4.8383999999999983E-2</v>
      </c>
      <c r="AE6" cm="1">
        <f t="array" aca="1" ref="AE6" ca="1">TREND($K6:$P6,$K$1:$P$1,AE$1)</f>
        <v>4.8960000000000115E-2</v>
      </c>
      <c r="AF6" cm="1">
        <f t="array" aca="1" ref="AF6" ca="1">TREND($K6:$P6,$K$1:$P$1,AF$1)</f>
        <v>4.9536000000000024E-2</v>
      </c>
      <c r="AG6" cm="1">
        <f t="array" aca="1" ref="AG6" ca="1">TREND($K6:$P6,$K$1:$P$1,AG$1)</f>
        <v>5.0112000000000156E-2</v>
      </c>
      <c r="AH6" cm="1">
        <f t="array" aca="1" ref="AH6" ca="1">TREND($K6:$P6,$K$1:$P$1,AH$1)</f>
        <v>5.0688000000000066E-2</v>
      </c>
      <c r="AI6" cm="1">
        <f t="array" aca="1" ref="AI6" ca="1">TREND($K6:$P6,$K$1:$P$1,AI$1)</f>
        <v>5.1263999999999976E-2</v>
      </c>
      <c r="AJ6" cm="1">
        <f t="array" aca="1" ref="AJ6" ca="1">TREND($K6:$P6,$K$1:$P$1,AJ$1)</f>
        <v>5.1840000000000108E-2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1.0367999999999999</v>
      </c>
      <c r="C7">
        <f t="shared" ca="1" si="3"/>
        <v>1.0404</v>
      </c>
      <c r="D7">
        <f t="shared" ca="1" si="0"/>
        <v>1.044</v>
      </c>
      <c r="E7">
        <f t="shared" ca="1" si="0"/>
        <v>1.0475999999999999</v>
      </c>
      <c r="F7" s="32" cm="1">
        <f t="array" aca="1" ref="F7" ca="1">INDIRECT(CONCATENATE("'",HLOOKUP(F$1,$B$21:$E$23,3,FALSE),"'!",$B$25,ROW($A7)+5))*About!$A$27</f>
        <v>1.0511999999999999</v>
      </c>
      <c r="G7">
        <f t="shared" ca="1" si="4"/>
        <v>1.0511999999999999</v>
      </c>
      <c r="H7">
        <f t="shared" ca="1" si="1"/>
        <v>1.0511999999999999</v>
      </c>
      <c r="I7">
        <f t="shared" ca="1" si="1"/>
        <v>1.0511999999999999</v>
      </c>
      <c r="J7">
        <f t="shared" ca="1" si="1"/>
        <v>1.0511999999999999</v>
      </c>
      <c r="K7" s="32" cm="1">
        <f t="array" aca="1" ref="K7" ca="1">INDIRECT(CONCATENATE("'",HLOOKUP(K$1,$B$21:$E$23,3,FALSE),"'!",$B$25,ROW($A7)+5))*About!$A$27</f>
        <v>1.0511999999999999</v>
      </c>
      <c r="L7">
        <f t="shared" ca="1" si="5"/>
        <v>1.0540799999999999</v>
      </c>
      <c r="M7">
        <f t="shared" ca="1" si="2"/>
        <v>1.0569599999999999</v>
      </c>
      <c r="N7">
        <f t="shared" ca="1" si="2"/>
        <v>1.0598399999999999</v>
      </c>
      <c r="O7">
        <f t="shared" ca="1" si="2"/>
        <v>1.0627199999999999</v>
      </c>
      <c r="P7" s="32" cm="1">
        <f t="array" aca="1" ref="P7" ca="1">INDIRECT(CONCATENATE("'",HLOOKUP(P$1,$B$21:$E$23,3,FALSE),"'!",$B$25,ROW($A7)+5))*About!$A$27</f>
        <v>1.0655999999999999</v>
      </c>
      <c r="Q7" cm="1">
        <f t="array" aca="1" ref="Q7" ca="1">TREND($K7:$P7,$K$1:$P$1,Q$1)</f>
        <v>1.0684799999999992</v>
      </c>
      <c r="R7" cm="1">
        <f t="array" aca="1" ref="R7" ca="1">TREND($K7:$P7,$K$1:$P$1,R$1)</f>
        <v>1.0713599999999994</v>
      </c>
      <c r="S7" cm="1">
        <f t="array" aca="1" ref="S7" ca="1">TREND($K7:$P7,$K$1:$P$1,S$1)</f>
        <v>1.0742399999999996</v>
      </c>
      <c r="T7" cm="1">
        <f t="array" aca="1" ref="T7" ca="1">TREND($K7:$P7,$K$1:$P$1,T$1)</f>
        <v>1.0771199999999999</v>
      </c>
      <c r="U7" cm="1">
        <f t="array" aca="1" ref="U7" ca="1">TREND($K7:$P7,$K$1:$P$1,U$1)</f>
        <v>1.0799999999999992</v>
      </c>
      <c r="V7" cm="1">
        <f t="array" aca="1" ref="V7" ca="1">TREND($K7:$P7,$K$1:$P$1,V$1)</f>
        <v>1.0828799999999994</v>
      </c>
      <c r="W7" cm="1">
        <f t="array" aca="1" ref="W7" ca="1">TREND($K7:$P7,$K$1:$P$1,W$1)</f>
        <v>1.0857599999999996</v>
      </c>
      <c r="X7" cm="1">
        <f t="array" aca="1" ref="X7" ca="1">TREND($K7:$P7,$K$1:$P$1,X$1)</f>
        <v>1.0886399999999989</v>
      </c>
      <c r="Y7" cm="1">
        <f t="array" aca="1" ref="Y7" ca="1">TREND($K7:$P7,$K$1:$P$1,Y$1)</f>
        <v>1.0915199999999992</v>
      </c>
      <c r="Z7" cm="1">
        <f t="array" aca="1" ref="Z7" ca="1">TREND($K7:$P7,$K$1:$P$1,Z$1)</f>
        <v>1.0943999999999994</v>
      </c>
      <c r="AA7" cm="1">
        <f t="array" aca="1" ref="AA7" ca="1">TREND($K7:$P7,$K$1:$P$1,AA$1)</f>
        <v>1.0972799999999996</v>
      </c>
      <c r="AB7" cm="1">
        <f t="array" aca="1" ref="AB7" ca="1">TREND($K7:$P7,$K$1:$P$1,AB$1)</f>
        <v>1.1001599999999998</v>
      </c>
      <c r="AC7" cm="1">
        <f t="array" aca="1" ref="AC7" ca="1">TREND($K7:$P7,$K$1:$P$1,AC$1)</f>
        <v>1.1030399999999991</v>
      </c>
      <c r="AD7" cm="1">
        <f t="array" aca="1" ref="AD7" ca="1">TREND($K7:$P7,$K$1:$P$1,AD$1)</f>
        <v>1.1059199999999993</v>
      </c>
      <c r="AE7" cm="1">
        <f t="array" aca="1" ref="AE7" ca="1">TREND($K7:$P7,$K$1:$P$1,AE$1)</f>
        <v>1.1087999999999996</v>
      </c>
      <c r="AF7" cm="1">
        <f t="array" aca="1" ref="AF7" ca="1">TREND($K7:$P7,$K$1:$P$1,AF$1)</f>
        <v>1.1116799999999989</v>
      </c>
      <c r="AG7" cm="1">
        <f t="array" aca="1" ref="AG7" ca="1">TREND($K7:$P7,$K$1:$P$1,AG$1)</f>
        <v>1.1145599999999991</v>
      </c>
      <c r="AH7" cm="1">
        <f t="array" aca="1" ref="AH7" ca="1">TREND($K7:$P7,$K$1:$P$1,AH$1)</f>
        <v>1.1174399999999993</v>
      </c>
      <c r="AI7" cm="1">
        <f t="array" aca="1" ref="AI7" ca="1">TREND($K7:$P7,$K$1:$P$1,AI$1)</f>
        <v>1.1203199999999995</v>
      </c>
      <c r="AJ7" cm="1">
        <f t="array" aca="1" ref="AJ7" ca="1">TREND($K7:$P7,$K$1:$P$1,AJ$1)</f>
        <v>1.1231999999999998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0.17279999999999998</v>
      </c>
      <c r="C8">
        <f t="shared" ca="1" si="3"/>
        <v>0.17279999999999998</v>
      </c>
      <c r="D8">
        <f t="shared" ca="1" si="0"/>
        <v>0.17279999999999998</v>
      </c>
      <c r="E8">
        <f t="shared" ca="1" si="0"/>
        <v>0.17279999999999998</v>
      </c>
      <c r="F8" s="32" cm="1">
        <f t="array" aca="1" ref="F8" ca="1">INDIRECT(CONCATENATE("'",HLOOKUP(F$1,$B$21:$E$23,3,FALSE),"'!",$B$25,ROW($A8)+5))*About!$A$27</f>
        <v>0.17279999999999998</v>
      </c>
      <c r="G8">
        <f t="shared" ca="1" si="4"/>
        <v>0.17279999999999998</v>
      </c>
      <c r="H8">
        <f t="shared" ca="1" si="1"/>
        <v>0.17279999999999998</v>
      </c>
      <c r="I8">
        <f t="shared" ca="1" si="1"/>
        <v>0.17279999999999998</v>
      </c>
      <c r="J8">
        <f t="shared" ca="1" si="1"/>
        <v>0.17279999999999998</v>
      </c>
      <c r="K8" s="32" cm="1">
        <f t="array" aca="1" ref="K8" ca="1">INDIRECT(CONCATENATE("'",HLOOKUP(K$1,$B$21:$E$23,3,FALSE),"'!",$B$25,ROW($A8)+5))*About!$A$27</f>
        <v>0.17279999999999998</v>
      </c>
      <c r="L8">
        <f t="shared" ca="1" si="5"/>
        <v>0.17567999999999998</v>
      </c>
      <c r="M8">
        <f t="shared" ca="1" si="2"/>
        <v>0.17856</v>
      </c>
      <c r="N8">
        <f t="shared" ca="1" si="2"/>
        <v>0.18143999999999999</v>
      </c>
      <c r="O8">
        <f t="shared" ca="1" si="2"/>
        <v>0.18432000000000001</v>
      </c>
      <c r="P8" s="32" cm="1">
        <f t="array" aca="1" ref="P8" ca="1">INDIRECT(CONCATENATE("'",HLOOKUP(P$1,$B$21:$E$23,3,FALSE),"'!",$B$25,ROW($A8)+5))*About!$A$27</f>
        <v>0.18720000000000001</v>
      </c>
      <c r="Q8" cm="1">
        <f t="array" aca="1" ref="Q8" ca="1">TREND($K8:$P8,$K$1:$P$1,Q$1)</f>
        <v>0.19008000000000003</v>
      </c>
      <c r="R8" cm="1">
        <f t="array" aca="1" ref="R8" ca="1">TREND($K8:$P8,$K$1:$P$1,R$1)</f>
        <v>0.19296000000000024</v>
      </c>
      <c r="S8" cm="1">
        <f t="array" aca="1" ref="S8" ca="1">TREND($K8:$P8,$K$1:$P$1,S$1)</f>
        <v>0.19584000000000046</v>
      </c>
      <c r="T8" cm="1">
        <f t="array" aca="1" ref="T8" ca="1">TREND($K8:$P8,$K$1:$P$1,T$1)</f>
        <v>0.19871999999999979</v>
      </c>
      <c r="U8" cm="1">
        <f t="array" aca="1" ref="U8" ca="1">TREND($K8:$P8,$K$1:$P$1,U$1)</f>
        <v>0.2016</v>
      </c>
      <c r="V8" cm="1">
        <f t="array" aca="1" ref="V8" ca="1">TREND($K8:$P8,$K$1:$P$1,V$1)</f>
        <v>0.20448000000000022</v>
      </c>
      <c r="W8" cm="1">
        <f t="array" aca="1" ref="W8" ca="1">TREND($K8:$P8,$K$1:$P$1,W$1)</f>
        <v>0.20736000000000043</v>
      </c>
      <c r="X8" cm="1">
        <f t="array" aca="1" ref="X8" ca="1">TREND($K8:$P8,$K$1:$P$1,X$1)</f>
        <v>0.21023999999999976</v>
      </c>
      <c r="Y8" cm="1">
        <f t="array" aca="1" ref="Y8" ca="1">TREND($K8:$P8,$K$1:$P$1,Y$1)</f>
        <v>0.21311999999999998</v>
      </c>
      <c r="Z8" cm="1">
        <f t="array" aca="1" ref="Z8" ca="1">TREND($K8:$P8,$K$1:$P$1,Z$1)</f>
        <v>0.21600000000000019</v>
      </c>
      <c r="AA8" cm="1">
        <f t="array" aca="1" ref="AA8" ca="1">TREND($K8:$P8,$K$1:$P$1,AA$1)</f>
        <v>0.21888000000000041</v>
      </c>
      <c r="AB8" cm="1">
        <f t="array" aca="1" ref="AB8" ca="1">TREND($K8:$P8,$K$1:$P$1,AB$1)</f>
        <v>0.22175999999999974</v>
      </c>
      <c r="AC8" cm="1">
        <f t="array" aca="1" ref="AC8" ca="1">TREND($K8:$P8,$K$1:$P$1,AC$1)</f>
        <v>0.22463999999999995</v>
      </c>
      <c r="AD8" cm="1">
        <f t="array" aca="1" ref="AD8" ca="1">TREND($K8:$P8,$K$1:$P$1,AD$1)</f>
        <v>0.22752000000000017</v>
      </c>
      <c r="AE8" cm="1">
        <f t="array" aca="1" ref="AE8" ca="1">TREND($K8:$P8,$K$1:$P$1,AE$1)</f>
        <v>0.23040000000000038</v>
      </c>
      <c r="AF8" cm="1">
        <f t="array" aca="1" ref="AF8" ca="1">TREND($K8:$P8,$K$1:$P$1,AF$1)</f>
        <v>0.23327999999999971</v>
      </c>
      <c r="AG8" cm="1">
        <f t="array" aca="1" ref="AG8" ca="1">TREND($K8:$P8,$K$1:$P$1,AG$1)</f>
        <v>0.23615999999999993</v>
      </c>
      <c r="AH8" cm="1">
        <f t="array" aca="1" ref="AH8" ca="1">TREND($K8:$P8,$K$1:$P$1,AH$1)</f>
        <v>0.23904000000000014</v>
      </c>
      <c r="AI8" cm="1">
        <f t="array" aca="1" ref="AI8" ca="1">TREND($K8:$P8,$K$1:$P$1,AI$1)</f>
        <v>0.24192000000000036</v>
      </c>
      <c r="AJ8" cm="1">
        <f t="array" aca="1" ref="AJ8" ca="1">TREND($K8:$P8,$K$1:$P$1,AJ$1)</f>
        <v>0.24480000000000057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4.1759999999999999E-2</v>
      </c>
      <c r="C9">
        <f t="shared" ca="1" si="3"/>
        <v>4.1759999999999999E-2</v>
      </c>
      <c r="D9">
        <f t="shared" ca="1" si="0"/>
        <v>4.1759999999999999E-2</v>
      </c>
      <c r="E9">
        <f t="shared" ca="1" si="0"/>
        <v>4.1759999999999999E-2</v>
      </c>
      <c r="F9" s="32" cm="1">
        <f t="array" aca="1" ref="F9" ca="1">INDIRECT(CONCATENATE("'",HLOOKUP(F$1,$B$21:$E$23,3,FALSE),"'!",$B$25,ROW($A9)+5))*About!$A$27</f>
        <v>4.1759999999999999E-2</v>
      </c>
      <c r="G9">
        <f t="shared" ca="1" si="4"/>
        <v>4.2047999999999995E-2</v>
      </c>
      <c r="H9">
        <f t="shared" ca="1" si="1"/>
        <v>4.2335999999999999E-2</v>
      </c>
      <c r="I9">
        <f t="shared" ca="1" si="1"/>
        <v>4.2623999999999995E-2</v>
      </c>
      <c r="J9">
        <f t="shared" ca="1" si="1"/>
        <v>4.2911999999999999E-2</v>
      </c>
      <c r="K9" s="32" cm="1">
        <f t="array" aca="1" ref="K9" ca="1">INDIRECT(CONCATENATE("'",HLOOKUP(K$1,$B$21:$E$23,3,FALSE),"'!",$B$25,ROW($A9)+5))*About!$A$27</f>
        <v>4.3199999999999995E-2</v>
      </c>
      <c r="L9">
        <f t="shared" ca="1" si="5"/>
        <v>4.3775999999999995E-2</v>
      </c>
      <c r="M9">
        <f t="shared" ca="1" si="2"/>
        <v>4.4351999999999996E-2</v>
      </c>
      <c r="N9">
        <f t="shared" ca="1" si="2"/>
        <v>4.4927999999999996E-2</v>
      </c>
      <c r="O9">
        <f t="shared" ca="1" si="2"/>
        <v>4.5503999999999996E-2</v>
      </c>
      <c r="P9" s="32" cm="1">
        <f t="array" aca="1" ref="P9" ca="1">INDIRECT(CONCATENATE("'",HLOOKUP(P$1,$B$21:$E$23,3,FALSE),"'!",$B$25,ROW($A9)+5))*About!$A$27</f>
        <v>4.6079999999999996E-2</v>
      </c>
      <c r="Q9" cm="1">
        <f t="array" aca="1" ref="Q9" ca="1">TREND($K9:$P9,$K$1:$P$1,Q$1)</f>
        <v>4.6656000000000031E-2</v>
      </c>
      <c r="R9" cm="1">
        <f t="array" aca="1" ref="R9" ca="1">TREND($K9:$P9,$K$1:$P$1,R$1)</f>
        <v>4.7231999999999941E-2</v>
      </c>
      <c r="S9" cm="1">
        <f t="array" aca="1" ref="S9" ca="1">TREND($K9:$P9,$K$1:$P$1,S$1)</f>
        <v>4.7808000000000073E-2</v>
      </c>
      <c r="T9" cm="1">
        <f t="array" aca="1" ref="T9" ca="1">TREND($K9:$P9,$K$1:$P$1,T$1)</f>
        <v>4.8383999999999983E-2</v>
      </c>
      <c r="U9" cm="1">
        <f t="array" aca="1" ref="U9" ca="1">TREND($K9:$P9,$K$1:$P$1,U$1)</f>
        <v>4.8960000000000115E-2</v>
      </c>
      <c r="V9" cm="1">
        <f t="array" aca="1" ref="V9" ca="1">TREND($K9:$P9,$K$1:$P$1,V$1)</f>
        <v>4.9536000000000024E-2</v>
      </c>
      <c r="W9" cm="1">
        <f t="array" aca="1" ref="W9" ca="1">TREND($K9:$P9,$K$1:$P$1,W$1)</f>
        <v>5.0112000000000156E-2</v>
      </c>
      <c r="X9" cm="1">
        <f t="array" aca="1" ref="X9" ca="1">TREND($K9:$P9,$K$1:$P$1,X$1)</f>
        <v>5.0688000000000066E-2</v>
      </c>
      <c r="Y9" cm="1">
        <f t="array" aca="1" ref="Y9" ca="1">TREND($K9:$P9,$K$1:$P$1,Y$1)</f>
        <v>5.1263999999999976E-2</v>
      </c>
      <c r="Z9" cm="1">
        <f t="array" aca="1" ref="Z9" ca="1">TREND($K9:$P9,$K$1:$P$1,Z$1)</f>
        <v>5.1840000000000108E-2</v>
      </c>
      <c r="AA9" cm="1">
        <f t="array" aca="1" ref="AA9" ca="1">TREND($K9:$P9,$K$1:$P$1,AA$1)</f>
        <v>5.2416000000000018E-2</v>
      </c>
      <c r="AB9" cm="1">
        <f t="array" aca="1" ref="AB9" ca="1">TREND($K9:$P9,$K$1:$P$1,AB$1)</f>
        <v>5.299200000000015E-2</v>
      </c>
      <c r="AC9" cm="1">
        <f t="array" aca="1" ref="AC9" ca="1">TREND($K9:$P9,$K$1:$P$1,AC$1)</f>
        <v>5.356800000000006E-2</v>
      </c>
      <c r="AD9" cm="1">
        <f t="array" aca="1" ref="AD9" ca="1">TREND($K9:$P9,$K$1:$P$1,AD$1)</f>
        <v>5.414399999999997E-2</v>
      </c>
      <c r="AE9" cm="1">
        <f t="array" aca="1" ref="AE9" ca="1">TREND($K9:$P9,$K$1:$P$1,AE$1)</f>
        <v>5.4720000000000102E-2</v>
      </c>
      <c r="AF9" cm="1">
        <f t="array" aca="1" ref="AF9" ca="1">TREND($K9:$P9,$K$1:$P$1,AF$1)</f>
        <v>5.5296000000000012E-2</v>
      </c>
      <c r="AG9" cm="1">
        <f t="array" aca="1" ref="AG9" ca="1">TREND($K9:$P9,$K$1:$P$1,AG$1)</f>
        <v>5.5872000000000144E-2</v>
      </c>
      <c r="AH9" cm="1">
        <f t="array" aca="1" ref="AH9" ca="1">TREND($K9:$P9,$K$1:$P$1,AH$1)</f>
        <v>5.6448000000000054E-2</v>
      </c>
      <c r="AI9" cm="1">
        <f t="array" aca="1" ref="AI9" ca="1">TREND($K9:$P9,$K$1:$P$1,AI$1)</f>
        <v>5.7023999999999964E-2</v>
      </c>
      <c r="AJ9" cm="1">
        <f t="array" aca="1" ref="AJ9" ca="1">TREND($K9:$P9,$K$1:$P$1,AJ$1)</f>
        <v>5.7600000000000096E-2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3.0239999999999998E-4</v>
      </c>
      <c r="C10">
        <f t="shared" ca="1" si="3"/>
        <v>3.0959999999999999E-4</v>
      </c>
      <c r="D10">
        <f t="shared" ca="1" si="0"/>
        <v>3.168E-4</v>
      </c>
      <c r="E10">
        <f t="shared" ca="1" si="0"/>
        <v>3.2399999999999996E-4</v>
      </c>
      <c r="F10" s="32" cm="1">
        <f t="array" aca="1" ref="F10" ca="1">INDIRECT(CONCATENATE("'",HLOOKUP(F$1,$B$21:$E$23,3,FALSE),"'!",$B$25,ROW($A10)+5))*About!$A$27</f>
        <v>3.3119999999999997E-4</v>
      </c>
      <c r="G10">
        <f t="shared" ca="1" si="4"/>
        <v>3.3695999999999997E-4</v>
      </c>
      <c r="H10">
        <f t="shared" ca="1" si="1"/>
        <v>3.4271999999999997E-4</v>
      </c>
      <c r="I10">
        <f t="shared" ca="1" si="1"/>
        <v>3.4847999999999997E-4</v>
      </c>
      <c r="J10">
        <f t="shared" ca="1" si="1"/>
        <v>3.5423999999999997E-4</v>
      </c>
      <c r="K10" s="32" cm="1">
        <f t="array" aca="1" ref="K10" ca="1">INDIRECT(CONCATENATE("'",HLOOKUP(K$1,$B$21:$E$23,3,FALSE),"'!",$B$25,ROW($A10)+5))*About!$A$27</f>
        <v>3.5999999999999997E-4</v>
      </c>
      <c r="L10">
        <f t="shared" ca="1" si="5"/>
        <v>3.6575999999999997E-4</v>
      </c>
      <c r="M10">
        <f t="shared" ca="1" si="2"/>
        <v>3.7151999999999997E-4</v>
      </c>
      <c r="N10">
        <f t="shared" ca="1" si="2"/>
        <v>3.7727999999999997E-4</v>
      </c>
      <c r="O10">
        <f t="shared" ca="1" si="2"/>
        <v>3.8303999999999996E-4</v>
      </c>
      <c r="P10" s="32" cm="1">
        <f t="array" aca="1" ref="P10" ca="1">INDIRECT(CONCATENATE("'",HLOOKUP(P$1,$B$21:$E$23,3,FALSE),"'!",$B$25,ROW($A10)+5))*About!$A$27</f>
        <v>3.8879999999999996E-4</v>
      </c>
      <c r="Q10" cm="1">
        <f t="array" aca="1" ref="Q10" ca="1">TREND($K10:$P10,$K$1:$P$1,Q$1)</f>
        <v>3.945600000000004E-4</v>
      </c>
      <c r="R10" cm="1">
        <f t="array" aca="1" ref="R10" ca="1">TREND($K10:$P10,$K$1:$P$1,R$1)</f>
        <v>4.0031999999999915E-4</v>
      </c>
      <c r="S10" cm="1">
        <f t="array" aca="1" ref="S10" ca="1">TREND($K10:$P10,$K$1:$P$1,S$1)</f>
        <v>4.0607999999999964E-4</v>
      </c>
      <c r="T10" cm="1">
        <f t="array" aca="1" ref="T10" ca="1">TREND($K10:$P10,$K$1:$P$1,T$1)</f>
        <v>4.1184000000000012E-4</v>
      </c>
      <c r="U10" cm="1">
        <f t="array" aca="1" ref="U10" ca="1">TREND($K10:$P10,$K$1:$P$1,U$1)</f>
        <v>4.1760000000000061E-4</v>
      </c>
      <c r="V10" cm="1">
        <f t="array" aca="1" ref="V10" ca="1">TREND($K10:$P10,$K$1:$P$1,V$1)</f>
        <v>4.2335999999999936E-4</v>
      </c>
      <c r="W10" cm="1">
        <f t="array" aca="1" ref="W10" ca="1">TREND($K10:$P10,$K$1:$P$1,W$1)</f>
        <v>4.2911999999999985E-4</v>
      </c>
      <c r="X10" cm="1">
        <f t="array" aca="1" ref="X10" ca="1">TREND($K10:$P10,$K$1:$P$1,X$1)</f>
        <v>4.3488000000000034E-4</v>
      </c>
      <c r="Y10" cm="1">
        <f t="array" aca="1" ref="Y10" ca="1">TREND($K10:$P10,$K$1:$P$1,Y$1)</f>
        <v>4.4064000000000082E-4</v>
      </c>
      <c r="Z10" cm="1">
        <f t="array" aca="1" ref="Z10" ca="1">TREND($K10:$P10,$K$1:$P$1,Z$1)</f>
        <v>4.4639999999999957E-4</v>
      </c>
      <c r="AA10" cm="1">
        <f t="array" aca="1" ref="AA10" ca="1">TREND($K10:$P10,$K$1:$P$1,AA$1)</f>
        <v>4.5216000000000006E-4</v>
      </c>
      <c r="AB10" cm="1">
        <f t="array" aca="1" ref="AB10" ca="1">TREND($K10:$P10,$K$1:$P$1,AB$1)</f>
        <v>4.5792000000000055E-4</v>
      </c>
      <c r="AC10" cm="1">
        <f t="array" aca="1" ref="AC10" ca="1">TREND($K10:$P10,$K$1:$P$1,AC$1)</f>
        <v>4.636799999999993E-4</v>
      </c>
      <c r="AD10" cm="1">
        <f t="array" aca="1" ref="AD10" ca="1">TREND($K10:$P10,$K$1:$P$1,AD$1)</f>
        <v>4.6943999999999979E-4</v>
      </c>
      <c r="AE10" cm="1">
        <f t="array" aca="1" ref="AE10" ca="1">TREND($K10:$P10,$K$1:$P$1,AE$1)</f>
        <v>4.7520000000000027E-4</v>
      </c>
      <c r="AF10" cm="1">
        <f t="array" aca="1" ref="AF10" ca="1">TREND($K10:$P10,$K$1:$P$1,AF$1)</f>
        <v>4.8096000000000076E-4</v>
      </c>
      <c r="AG10" cm="1">
        <f t="array" aca="1" ref="AG10" ca="1">TREND($K10:$P10,$K$1:$P$1,AG$1)</f>
        <v>4.8671999999999951E-4</v>
      </c>
      <c r="AH10" cm="1">
        <f t="array" aca="1" ref="AH10" ca="1">TREND($K10:$P10,$K$1:$P$1,AH$1)</f>
        <v>4.9248E-4</v>
      </c>
      <c r="AI10" cm="1">
        <f t="array" aca="1" ref="AI10" ca="1">TREND($K10:$P10,$K$1:$P$1,AI$1)</f>
        <v>4.9824000000000049E-4</v>
      </c>
      <c r="AJ10" cm="1">
        <f t="array" aca="1" ref="AJ10" ca="1">TREND($K10:$P10,$K$1:$P$1,AJ$1)</f>
        <v>5.0399999999999924E-4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2.8800000000000001E-4</v>
      </c>
      <c r="C11">
        <f t="shared" ca="1" si="3"/>
        <v>2.9520000000000002E-4</v>
      </c>
      <c r="D11">
        <f t="shared" ca="1" si="0"/>
        <v>3.0239999999999998E-4</v>
      </c>
      <c r="E11">
        <f t="shared" ca="1" si="0"/>
        <v>3.0959999999999999E-4</v>
      </c>
      <c r="F11" s="32" cm="1">
        <f t="array" aca="1" ref="F11" ca="1">INDIRECT(CONCATENATE("'",HLOOKUP(F$1,$B$21:$E$23,3,FALSE),"'!",$B$25,ROW($A11)+5))*About!$A$27</f>
        <v>3.168E-4</v>
      </c>
      <c r="G11">
        <f t="shared" ca="1" si="4"/>
        <v>3.2256E-4</v>
      </c>
      <c r="H11">
        <f t="shared" ca="1" si="1"/>
        <v>3.2832E-4</v>
      </c>
      <c r="I11">
        <f t="shared" ca="1" si="1"/>
        <v>3.3408E-4</v>
      </c>
      <c r="J11">
        <f t="shared" ca="1" si="1"/>
        <v>3.3984E-4</v>
      </c>
      <c r="K11" s="32" cm="1">
        <f t="array" aca="1" ref="K11" ca="1">INDIRECT(CONCATENATE("'",HLOOKUP(K$1,$B$21:$E$23,3,FALSE),"'!",$B$25,ROW($A11)+5))*About!$A$27</f>
        <v>3.456E-4</v>
      </c>
      <c r="L11">
        <f t="shared" ca="1" si="5"/>
        <v>3.5423999999999997E-4</v>
      </c>
      <c r="M11">
        <f t="shared" ca="1" si="2"/>
        <v>3.6288E-4</v>
      </c>
      <c r="N11">
        <f t="shared" ca="1" si="2"/>
        <v>3.7151999999999997E-4</v>
      </c>
      <c r="O11">
        <f t="shared" ca="1" si="2"/>
        <v>3.8015999999999999E-4</v>
      </c>
      <c r="P11" s="32" cm="1">
        <f t="array" aca="1" ref="P11" ca="1">INDIRECT(CONCATENATE("'",HLOOKUP(P$1,$B$21:$E$23,3,FALSE),"'!",$B$25,ROW($A11)+5))*About!$A$27</f>
        <v>3.8879999999999996E-4</v>
      </c>
      <c r="Q11" cm="1">
        <f t="array" aca="1" ref="Q11" ca="1">TREND($K11:$P11,$K$1:$P$1,Q$1)</f>
        <v>3.9744000000000237E-4</v>
      </c>
      <c r="R11" cm="1">
        <f t="array" aca="1" ref="R11" ca="1">TREND($K11:$P11,$K$1:$P$1,R$1)</f>
        <v>4.0607999999999964E-4</v>
      </c>
      <c r="S11" cm="1">
        <f t="array" aca="1" ref="S11" ca="1">TREND($K11:$P11,$K$1:$P$1,S$1)</f>
        <v>4.1472000000000037E-4</v>
      </c>
      <c r="T11" cm="1">
        <f t="array" aca="1" ref="T11" ca="1">TREND($K11:$P11,$K$1:$P$1,T$1)</f>
        <v>4.233600000000011E-4</v>
      </c>
      <c r="U11" cm="1">
        <f t="array" aca="1" ref="U11" ca="1">TREND($K11:$P11,$K$1:$P$1,U$1)</f>
        <v>4.3200000000000183E-4</v>
      </c>
      <c r="V11" cm="1">
        <f t="array" aca="1" ref="V11" ca="1">TREND($K11:$P11,$K$1:$P$1,V$1)</f>
        <v>4.4064000000000256E-4</v>
      </c>
      <c r="W11" cm="1">
        <f t="array" aca="1" ref="W11" ca="1">TREND($K11:$P11,$K$1:$P$1,W$1)</f>
        <v>4.4927999999999982E-4</v>
      </c>
      <c r="X11" cm="1">
        <f t="array" aca="1" ref="X11" ca="1">TREND($K11:$P11,$K$1:$P$1,X$1)</f>
        <v>4.5792000000000055E-4</v>
      </c>
      <c r="Y11" cm="1">
        <f t="array" aca="1" ref="Y11" ca="1">TREND($K11:$P11,$K$1:$P$1,Y$1)</f>
        <v>4.6656000000000128E-4</v>
      </c>
      <c r="Z11" cm="1">
        <f t="array" aca="1" ref="Z11" ca="1">TREND($K11:$P11,$K$1:$P$1,Z$1)</f>
        <v>4.7520000000000201E-4</v>
      </c>
      <c r="AA11" cm="1">
        <f t="array" aca="1" ref="AA11" ca="1">TREND($K11:$P11,$K$1:$P$1,AA$1)</f>
        <v>4.8383999999999927E-4</v>
      </c>
      <c r="AB11" cm="1">
        <f t="array" aca="1" ref="AB11" ca="1">TREND($K11:$P11,$K$1:$P$1,AB$1)</f>
        <v>4.9248E-4</v>
      </c>
      <c r="AC11" cm="1">
        <f t="array" aca="1" ref="AC11" ca="1">TREND($K11:$P11,$K$1:$P$1,AC$1)</f>
        <v>5.0112000000000073E-4</v>
      </c>
      <c r="AD11" cm="1">
        <f t="array" aca="1" ref="AD11" ca="1">TREND($K11:$P11,$K$1:$P$1,AD$1)</f>
        <v>5.0976000000000146E-4</v>
      </c>
      <c r="AE11" cm="1">
        <f t="array" aca="1" ref="AE11" ca="1">TREND($K11:$P11,$K$1:$P$1,AE$1)</f>
        <v>5.1840000000000219E-4</v>
      </c>
      <c r="AF11" cm="1">
        <f t="array" aca="1" ref="AF11" ca="1">TREND($K11:$P11,$K$1:$P$1,AF$1)</f>
        <v>5.2703999999999945E-4</v>
      </c>
      <c r="AG11" cm="1">
        <f t="array" aca="1" ref="AG11" ca="1">TREND($K11:$P11,$K$1:$P$1,AG$1)</f>
        <v>5.3568000000000018E-4</v>
      </c>
      <c r="AH11" cm="1">
        <f t="array" aca="1" ref="AH11" ca="1">TREND($K11:$P11,$K$1:$P$1,AH$1)</f>
        <v>5.4432000000000091E-4</v>
      </c>
      <c r="AI11" cm="1">
        <f t="array" aca="1" ref="AI11" ca="1">TREND($K11:$P11,$K$1:$P$1,AI$1)</f>
        <v>5.5296000000000164E-4</v>
      </c>
      <c r="AJ11" cm="1">
        <f t="array" aca="1" ref="AJ11" ca="1">TREND($K11:$P11,$K$1:$P$1,AJ$1)</f>
        <v>5.6160000000000238E-4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1.3708799999999999E-3</v>
      </c>
      <c r="C12">
        <f t="shared" ca="1" si="3"/>
        <v>1.395E-3</v>
      </c>
      <c r="D12">
        <f t="shared" ca="1" si="0"/>
        <v>1.4191199999999998E-3</v>
      </c>
      <c r="E12">
        <f t="shared" ca="1" si="0"/>
        <v>1.4432399999999997E-3</v>
      </c>
      <c r="F12" s="33">
        <f ca="1">SUM(INDIRECT(CONCATENATE("'",HLOOKUP(F$1,$B$21:$E$23,3,FALSE),"'!",$B$25,ROW($A12)+5,":",$B$25,ROW($A12)+6)))*About!$A$27</f>
        <v>1.4673599999999998E-3</v>
      </c>
      <c r="G12">
        <f t="shared" ca="1" si="4"/>
        <v>1.4935679999999998E-3</v>
      </c>
      <c r="H12">
        <f t="shared" ca="1" si="1"/>
        <v>1.5197759999999998E-3</v>
      </c>
      <c r="I12">
        <f t="shared" ca="1" si="1"/>
        <v>1.545984E-3</v>
      </c>
      <c r="J12">
        <f t="shared" ca="1" si="1"/>
        <v>1.572192E-3</v>
      </c>
      <c r="K12" s="33">
        <f ca="1">SUM(INDIRECT(CONCATENATE("'",HLOOKUP(K$1,$B$21:$E$23,3,FALSE),"'!",$B$25,ROW($A12)+5,":",$B$25,ROW($A12)+6)))*About!$A$27</f>
        <v>1.5984E-3</v>
      </c>
      <c r="L12">
        <f t="shared" ca="1" si="5"/>
        <v>1.6300800000000001E-3</v>
      </c>
      <c r="M12">
        <f t="shared" ca="1" si="2"/>
        <v>1.6617600000000002E-3</v>
      </c>
      <c r="N12">
        <f t="shared" ca="1" si="2"/>
        <v>1.69344E-3</v>
      </c>
      <c r="O12">
        <f t="shared" ca="1" si="2"/>
        <v>1.7251200000000001E-3</v>
      </c>
      <c r="P12" s="33">
        <f ca="1">SUM(INDIRECT(CONCATENATE("'",HLOOKUP(P$1,$B$21:$E$23,3,FALSE),"'!",$B$25,ROW($A12)+5,":",$B$25,ROW($A12)+6)))*About!$A$27</f>
        <v>1.7568000000000002E-3</v>
      </c>
      <c r="Q12" cm="1">
        <f t="array" aca="1" ref="Q12" ca="1">TREND($K12:$P12,$K$1:$P$1,Q$1)</f>
        <v>1.7884799999999951E-3</v>
      </c>
      <c r="R12" cm="1">
        <f t="array" aca="1" ref="R12" ca="1">TREND($K12:$P12,$K$1:$P$1,R$1)</f>
        <v>1.8201600000000012E-3</v>
      </c>
      <c r="S12" cm="1">
        <f t="array" aca="1" ref="S12" ca="1">TREND($K12:$P12,$K$1:$P$1,S$1)</f>
        <v>1.8518400000000074E-3</v>
      </c>
      <c r="T12" cm="1">
        <f t="array" aca="1" ref="T12" ca="1">TREND($K12:$P12,$K$1:$P$1,T$1)</f>
        <v>1.8835199999999996E-3</v>
      </c>
      <c r="U12" cm="1">
        <f t="array" aca="1" ref="U12" ca="1">TREND($K12:$P12,$K$1:$P$1,U$1)</f>
        <v>1.9152000000000058E-3</v>
      </c>
      <c r="V12" cm="1">
        <f t="array" aca="1" ref="V12" ca="1">TREND($K12:$P12,$K$1:$P$1,V$1)</f>
        <v>1.9468799999999981E-3</v>
      </c>
      <c r="W12" cm="1">
        <f t="array" aca="1" ref="W12" ca="1">TREND($K12:$P12,$K$1:$P$1,W$1)</f>
        <v>1.9785600000000042E-3</v>
      </c>
      <c r="X12" cm="1">
        <f t="array" aca="1" ref="X12" ca="1">TREND($K12:$P12,$K$1:$P$1,X$1)</f>
        <v>2.0102399999999965E-3</v>
      </c>
      <c r="Y12" cm="1">
        <f t="array" aca="1" ref="Y12" ca="1">TREND($K12:$P12,$K$1:$P$1,Y$1)</f>
        <v>2.0419200000000026E-3</v>
      </c>
      <c r="Z12" cm="1">
        <f t="array" aca="1" ref="Z12" ca="1">TREND($K12:$P12,$K$1:$P$1,Z$1)</f>
        <v>2.0736000000000088E-3</v>
      </c>
      <c r="AA12" cm="1">
        <f t="array" aca="1" ref="AA12" ca="1">TREND($K12:$P12,$K$1:$P$1,AA$1)</f>
        <v>2.105280000000001E-3</v>
      </c>
      <c r="AB12" cm="1">
        <f t="array" aca="1" ref="AB12" ca="1">TREND($K12:$P12,$K$1:$P$1,AB$1)</f>
        <v>2.1369600000000072E-3</v>
      </c>
      <c r="AC12" cm="1">
        <f t="array" aca="1" ref="AC12" ca="1">TREND($K12:$P12,$K$1:$P$1,AC$1)</f>
        <v>2.1686399999999995E-3</v>
      </c>
      <c r="AD12" cm="1">
        <f t="array" aca="1" ref="AD12" ca="1">TREND($K12:$P12,$K$1:$P$1,AD$1)</f>
        <v>2.2003200000000056E-3</v>
      </c>
      <c r="AE12" cm="1">
        <f t="array" aca="1" ref="AE12" ca="1">TREND($K12:$P12,$K$1:$P$1,AE$1)</f>
        <v>2.2319999999999979E-3</v>
      </c>
      <c r="AF12" cm="1">
        <f t="array" aca="1" ref="AF12" ca="1">TREND($K12:$P12,$K$1:$P$1,AF$1)</f>
        <v>2.263680000000004E-3</v>
      </c>
      <c r="AG12" cm="1">
        <f t="array" aca="1" ref="AG12" ca="1">TREND($K12:$P12,$K$1:$P$1,AG$1)</f>
        <v>2.2953599999999963E-3</v>
      </c>
      <c r="AH12" cm="1">
        <f t="array" aca="1" ref="AH12" ca="1">TREND($K12:$P12,$K$1:$P$1,AH$1)</f>
        <v>2.3270400000000024E-3</v>
      </c>
      <c r="AI12" cm="1">
        <f t="array" aca="1" ref="AI12" ca="1">TREND($K12:$P12,$K$1:$P$1,AI$1)</f>
        <v>2.3587200000000086E-3</v>
      </c>
      <c r="AJ12" cm="1">
        <f t="array" aca="1" ref="AJ12" ca="1">TREND($K12:$P12,$K$1:$P$1,AJ$1)</f>
        <v>2.3904000000000009E-3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HOIpTP-buildings-NOx</v>
      </c>
    </row>
    <row r="18" spans="1:5" x14ac:dyDescent="0.25">
      <c r="A18" t="s">
        <v>83</v>
      </c>
      <c r="B18" t="str">
        <f ca="1">RIGHT(B17,LEN(B17)-7)</f>
        <v>buildings-NOx</v>
      </c>
    </row>
    <row r="19" spans="1:5" x14ac:dyDescent="0.25">
      <c r="A19" t="s">
        <v>84</v>
      </c>
      <c r="B19" t="str">
        <f ca="1">LEFT(B18,FIND("-",B18)-1)</f>
        <v>buildings</v>
      </c>
    </row>
    <row r="20" spans="1:5" x14ac:dyDescent="0.25">
      <c r="A20" t="s">
        <v>85</v>
      </c>
      <c r="B20" t="str">
        <f ca="1">VLOOKUP($B$19,Mappings!$A$22:$B$26,COLUMN(Mappings!$B$21),FALSE)</f>
        <v>area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5">
      <c r="A23" s="28" t="s">
        <v>82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5">
      <c r="A24" t="s">
        <v>87</v>
      </c>
      <c r="B24" t="str">
        <f ca="1">REPLACE(B18,1,FIND("-",B18),"")</f>
        <v>NOx</v>
      </c>
    </row>
    <row r="25" spans="1:5" x14ac:dyDescent="0.25">
      <c r="A25" t="s">
        <v>88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6E45-BCA1-429D-8362-2E1F29922109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5.4719999999999998E-2</v>
      </c>
      <c r="C2">
        <f ca="1">$B2+($F2-$B2)*(C$1-$B$1)/($F$1-$B$1)</f>
        <v>5.5439999999999996E-2</v>
      </c>
      <c r="D2">
        <f t="shared" ref="D2:E12" ca="1" si="0">$B2+($F2-$B2)*(D$1-$B$1)/($F$1-$B$1)</f>
        <v>5.6160000000000002E-2</v>
      </c>
      <c r="E2">
        <f t="shared" ca="1" si="0"/>
        <v>5.688E-2</v>
      </c>
      <c r="F2" s="31" cm="1">
        <f t="array" aca="1" ref="F2" ca="1">INDIRECT(CONCATENATE("'",HLOOKUP(F$1,$B$21:$E$23,3,FALSE),"'!",$B$25,ROW($A2)+3))*About!$A$27</f>
        <v>5.7599999999999998E-2</v>
      </c>
      <c r="G2">
        <f ca="1">$F2+($K2-$F2)*(G$1-$F$1)/($K$1-$F$1)</f>
        <v>5.8463999999999995E-2</v>
      </c>
      <c r="H2">
        <f t="shared" ref="H2:J12" ca="1" si="1">$F2+($K2-$F2)*(H$1-$F$1)/($K$1-$F$1)</f>
        <v>5.9327999999999999E-2</v>
      </c>
      <c r="I2">
        <f t="shared" ca="1" si="1"/>
        <v>6.0191999999999996E-2</v>
      </c>
      <c r="J2">
        <f t="shared" ca="1" si="1"/>
        <v>6.1055999999999999E-2</v>
      </c>
      <c r="K2" s="31" cm="1">
        <f t="array" aca="1" ref="K2" ca="1">INDIRECT(CONCATENATE("'",HLOOKUP(K$1,$B$21:$E$23,3,FALSE),"'!",$B$25,ROW($A2)+3))*About!$A$27</f>
        <v>6.1919999999999996E-2</v>
      </c>
      <c r="L2">
        <f ca="1">$K2+($P2-$K2)*(L$1-$K$1)/($P$1-$K$1)</f>
        <v>6.2783999999999993E-2</v>
      </c>
      <c r="M2">
        <f t="shared" ref="M2:O12" ca="1" si="2">$K2+($P2-$K2)*(M$1-$K$1)/($P$1-$K$1)</f>
        <v>6.3647999999999996E-2</v>
      </c>
      <c r="N2">
        <f t="shared" ca="1" si="2"/>
        <v>6.4512E-2</v>
      </c>
      <c r="O2">
        <f t="shared" ca="1" si="2"/>
        <v>6.537599999999999E-2</v>
      </c>
      <c r="P2" s="31" cm="1">
        <f t="array" aca="1" ref="P2" ca="1">INDIRECT(CONCATENATE("'",HLOOKUP(P$1,$B$21:$E$23,3,FALSE),"'!",$B$25,ROW($A2)+3))*About!$A$27</f>
        <v>6.6239999999999993E-2</v>
      </c>
      <c r="Q2" cm="1">
        <f t="array" aca="1" ref="Q2" ca="1">TREND($K2:$P2,$K$1:$P$1,Q$1)</f>
        <v>6.710399999999983E-2</v>
      </c>
      <c r="R2" cm="1">
        <f t="array" aca="1" ref="R2" ca="1">TREND($K2:$P2,$K$1:$P$1,R$1)</f>
        <v>6.7967999999999806E-2</v>
      </c>
      <c r="S2" cm="1">
        <f t="array" aca="1" ref="S2" ca="1">TREND($K2:$P2,$K$1:$P$1,S$1)</f>
        <v>6.8831999999999782E-2</v>
      </c>
      <c r="T2" cm="1">
        <f t="array" aca="1" ref="T2" ca="1">TREND($K2:$P2,$K$1:$P$1,T$1)</f>
        <v>6.969599999999998E-2</v>
      </c>
      <c r="U2" cm="1">
        <f t="array" aca="1" ref="U2" ca="1">TREND($K2:$P2,$K$1:$P$1,U$1)</f>
        <v>7.0559999999999956E-2</v>
      </c>
      <c r="V2" cm="1">
        <f t="array" aca="1" ref="V2" ca="1">TREND($K2:$P2,$K$1:$P$1,V$1)</f>
        <v>7.1423999999999932E-2</v>
      </c>
      <c r="W2" cm="1">
        <f t="array" aca="1" ref="W2" ca="1">TREND($K2:$P2,$K$1:$P$1,W$1)</f>
        <v>7.2287999999999908E-2</v>
      </c>
      <c r="X2" cm="1">
        <f t="array" aca="1" ref="X2" ca="1">TREND($K2:$P2,$K$1:$P$1,X$1)</f>
        <v>7.3151999999999884E-2</v>
      </c>
      <c r="Y2" cm="1">
        <f t="array" aca="1" ref="Y2" ca="1">TREND($K2:$P2,$K$1:$P$1,Y$1)</f>
        <v>7.401599999999986E-2</v>
      </c>
      <c r="Z2" cm="1">
        <f t="array" aca="1" ref="Z2" ca="1">TREND($K2:$P2,$K$1:$P$1,Z$1)</f>
        <v>7.4879999999999836E-2</v>
      </c>
      <c r="AA2" cm="1">
        <f t="array" aca="1" ref="AA2" ca="1">TREND($K2:$P2,$K$1:$P$1,AA$1)</f>
        <v>7.5743999999999811E-2</v>
      </c>
      <c r="AB2" cm="1">
        <f t="array" aca="1" ref="AB2" ca="1">TREND($K2:$P2,$K$1:$P$1,AB$1)</f>
        <v>7.6607999999999787E-2</v>
      </c>
      <c r="AC2" cm="1">
        <f t="array" aca="1" ref="AC2" ca="1">TREND($K2:$P2,$K$1:$P$1,AC$1)</f>
        <v>7.7471999999999763E-2</v>
      </c>
      <c r="AD2" cm="1">
        <f t="array" aca="1" ref="AD2" ca="1">TREND($K2:$P2,$K$1:$P$1,AD$1)</f>
        <v>7.8335999999999961E-2</v>
      </c>
      <c r="AE2" cm="1">
        <f t="array" aca="1" ref="AE2" ca="1">TREND($K2:$P2,$K$1:$P$1,AE$1)</f>
        <v>7.9199999999999937E-2</v>
      </c>
      <c r="AF2" cm="1">
        <f t="array" aca="1" ref="AF2" ca="1">TREND($K2:$P2,$K$1:$P$1,AF$1)</f>
        <v>8.0063999999999913E-2</v>
      </c>
      <c r="AG2" cm="1">
        <f t="array" aca="1" ref="AG2" ca="1">TREND($K2:$P2,$K$1:$P$1,AG$1)</f>
        <v>8.0927999999999889E-2</v>
      </c>
      <c r="AH2" cm="1">
        <f t="array" aca="1" ref="AH2" ca="1">TREND($K2:$P2,$K$1:$P$1,AH$1)</f>
        <v>8.1791999999999865E-2</v>
      </c>
      <c r="AI2" cm="1">
        <f t="array" aca="1" ref="AI2" ca="1">TREND($K2:$P2,$K$1:$P$1,AI$1)</f>
        <v>8.2655999999999841E-2</v>
      </c>
      <c r="AJ2" cm="1">
        <f t="array" aca="1" ref="AJ2" ca="1">TREND($K2:$P2,$K$1:$P$1,AJ$1)</f>
        <v>8.3519999999999817E-2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3.168E-2</v>
      </c>
      <c r="C3">
        <f t="shared" ref="C3:C12" ca="1" si="3">$B3+($F3-$B3)*(C$1-$B$1)/($F$1-$B$1)</f>
        <v>3.2039999999999999E-2</v>
      </c>
      <c r="D3">
        <f t="shared" ca="1" si="0"/>
        <v>3.2399999999999998E-2</v>
      </c>
      <c r="E3">
        <f t="shared" ca="1" si="0"/>
        <v>3.2759999999999997E-2</v>
      </c>
      <c r="F3" s="32" cm="1">
        <f t="array" aca="1" ref="F3" ca="1">INDIRECT(CONCATENATE("'",HLOOKUP(F$1,$B$21:$E$23,3,FALSE),"'!",$B$25,ROW($A3)+5))*About!$A$27</f>
        <v>3.3119999999999997E-2</v>
      </c>
      <c r="G3">
        <f t="shared" ref="G3:G12" ca="1" si="4">$F3+($K3-$F3)*(G$1-$F$1)/($K$1-$F$1)</f>
        <v>3.3408E-2</v>
      </c>
      <c r="H3">
        <f t="shared" ca="1" si="1"/>
        <v>3.3695999999999997E-2</v>
      </c>
      <c r="I3">
        <f t="shared" ca="1" si="1"/>
        <v>3.3984E-2</v>
      </c>
      <c r="J3">
        <f t="shared" ca="1" si="1"/>
        <v>3.4271999999999997E-2</v>
      </c>
      <c r="K3" s="32" cm="1">
        <f t="array" aca="1" ref="K3" ca="1">INDIRECT(CONCATENATE("'",HLOOKUP(K$1,$B$21:$E$23,3,FALSE),"'!",$B$25,ROW($A3)+5))*About!$A$27</f>
        <v>3.456E-2</v>
      </c>
      <c r="L3">
        <f t="shared" ref="L3:L12" ca="1" si="5">$K3+($P3-$K3)*(L$1-$K$1)/($P$1-$K$1)</f>
        <v>3.4847999999999997E-2</v>
      </c>
      <c r="M3">
        <f t="shared" ca="1" si="2"/>
        <v>3.5136000000000001E-2</v>
      </c>
      <c r="N3">
        <f t="shared" ca="1" si="2"/>
        <v>3.5423999999999997E-2</v>
      </c>
      <c r="O3">
        <f t="shared" ca="1" si="2"/>
        <v>3.5712000000000001E-2</v>
      </c>
      <c r="P3" s="32" cm="1">
        <f t="array" aca="1" ref="P3" ca="1">INDIRECT(CONCATENATE("'",HLOOKUP(P$1,$B$21:$E$23,3,FALSE),"'!",$B$25,ROW($A3)+5))*About!$A$27</f>
        <v>3.5999999999999997E-2</v>
      </c>
      <c r="Q3" cm="1">
        <f t="array" aca="1" ref="Q3" ca="1">TREND($K3:$P3,$K$1:$P$1,Q$1)</f>
        <v>3.6287999999999987E-2</v>
      </c>
      <c r="R3" cm="1">
        <f t="array" aca="1" ref="R3" ca="1">TREND($K3:$P3,$K$1:$P$1,R$1)</f>
        <v>3.6576000000000053E-2</v>
      </c>
      <c r="S3" cm="1">
        <f t="array" aca="1" ref="S3" ca="1">TREND($K3:$P3,$K$1:$P$1,S$1)</f>
        <v>3.6864000000000008E-2</v>
      </c>
      <c r="T3" cm="1">
        <f t="array" aca="1" ref="T3" ca="1">TREND($K3:$P3,$K$1:$P$1,T$1)</f>
        <v>3.7151999999999963E-2</v>
      </c>
      <c r="U3" cm="1">
        <f t="array" aca="1" ref="U3" ca="1">TREND($K3:$P3,$K$1:$P$1,U$1)</f>
        <v>3.7440000000000029E-2</v>
      </c>
      <c r="V3" cm="1">
        <f t="array" aca="1" ref="V3" ca="1">TREND($K3:$P3,$K$1:$P$1,V$1)</f>
        <v>3.7727999999999984E-2</v>
      </c>
      <c r="W3" cm="1">
        <f t="array" aca="1" ref="W3" ca="1">TREND($K3:$P3,$K$1:$P$1,W$1)</f>
        <v>3.801600000000005E-2</v>
      </c>
      <c r="X3" cm="1">
        <f t="array" aca="1" ref="X3" ca="1">TREND($K3:$P3,$K$1:$P$1,X$1)</f>
        <v>3.8304000000000005E-2</v>
      </c>
      <c r="Y3" cm="1">
        <f t="array" aca="1" ref="Y3" ca="1">TREND($K3:$P3,$K$1:$P$1,Y$1)</f>
        <v>3.859199999999996E-2</v>
      </c>
      <c r="Z3" cm="1">
        <f t="array" aca="1" ref="Z3" ca="1">TREND($K3:$P3,$K$1:$P$1,Z$1)</f>
        <v>3.8880000000000026E-2</v>
      </c>
      <c r="AA3" cm="1">
        <f t="array" aca="1" ref="AA3" ca="1">TREND($K3:$P3,$K$1:$P$1,AA$1)</f>
        <v>3.9167999999999981E-2</v>
      </c>
      <c r="AB3" cm="1">
        <f t="array" aca="1" ref="AB3" ca="1">TREND($K3:$P3,$K$1:$P$1,AB$1)</f>
        <v>3.9456000000000047E-2</v>
      </c>
      <c r="AC3" cm="1">
        <f t="array" aca="1" ref="AC3" ca="1">TREND($K3:$P3,$K$1:$P$1,AC$1)</f>
        <v>3.9744000000000002E-2</v>
      </c>
      <c r="AD3" cm="1">
        <f t="array" aca="1" ref="AD3" ca="1">TREND($K3:$P3,$K$1:$P$1,AD$1)</f>
        <v>4.0031999999999957E-2</v>
      </c>
      <c r="AE3" cm="1">
        <f t="array" aca="1" ref="AE3" ca="1">TREND($K3:$P3,$K$1:$P$1,AE$1)</f>
        <v>4.0320000000000022E-2</v>
      </c>
      <c r="AF3" cm="1">
        <f t="array" aca="1" ref="AF3" ca="1">TREND($K3:$P3,$K$1:$P$1,AF$1)</f>
        <v>4.0607999999999977E-2</v>
      </c>
      <c r="AG3" cm="1">
        <f t="array" aca="1" ref="AG3" ca="1">TREND($K3:$P3,$K$1:$P$1,AG$1)</f>
        <v>4.0896000000000043E-2</v>
      </c>
      <c r="AH3" cm="1">
        <f t="array" aca="1" ref="AH3" ca="1">TREND($K3:$P3,$K$1:$P$1,AH$1)</f>
        <v>4.1183999999999998E-2</v>
      </c>
      <c r="AI3" cm="1">
        <f t="array" aca="1" ref="AI3" ca="1">TREND($K3:$P3,$K$1:$P$1,AI$1)</f>
        <v>4.1471999999999953E-2</v>
      </c>
      <c r="AJ3" cm="1">
        <f t="array" aca="1" ref="AJ3" ca="1">TREND($K3:$P3,$K$1:$P$1,AJ$1)</f>
        <v>4.1760000000000019E-2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7.7759999999999996E-2</v>
      </c>
      <c r="C4">
        <f t="shared" ca="1" si="3"/>
        <v>7.7759999999999996E-2</v>
      </c>
      <c r="D4">
        <f t="shared" ca="1" si="0"/>
        <v>7.7759999999999996E-2</v>
      </c>
      <c r="E4">
        <f t="shared" ca="1" si="0"/>
        <v>7.7759999999999996E-2</v>
      </c>
      <c r="F4" s="32" cm="1">
        <f t="array" aca="1" ref="F4" ca="1">INDIRECT(CONCATENATE("'",HLOOKUP(F$1,$B$21:$E$23,3,FALSE),"'!",$B$25,ROW($A4)+5))*About!$A$27</f>
        <v>7.7759999999999996E-2</v>
      </c>
      <c r="G4">
        <f t="shared" ca="1" si="4"/>
        <v>7.8623999999999999E-2</v>
      </c>
      <c r="H4">
        <f t="shared" ca="1" si="1"/>
        <v>7.9488000000000003E-2</v>
      </c>
      <c r="I4">
        <f t="shared" ca="1" si="1"/>
        <v>8.0351999999999993E-2</v>
      </c>
      <c r="J4">
        <f t="shared" ca="1" si="1"/>
        <v>8.1215999999999997E-2</v>
      </c>
      <c r="K4" s="32" cm="1">
        <f t="array" aca="1" ref="K4" ca="1">INDIRECT(CONCATENATE("'",HLOOKUP(K$1,$B$21:$E$23,3,FALSE),"'!",$B$25,ROW($A4)+5))*About!$A$27</f>
        <v>8.208E-2</v>
      </c>
      <c r="L4">
        <f t="shared" ca="1" si="5"/>
        <v>8.3519999999999997E-2</v>
      </c>
      <c r="M4">
        <f t="shared" ca="1" si="2"/>
        <v>8.4959999999999994E-2</v>
      </c>
      <c r="N4">
        <f t="shared" ca="1" si="2"/>
        <v>8.6400000000000005E-2</v>
      </c>
      <c r="O4">
        <f t="shared" ca="1" si="2"/>
        <v>8.7840000000000001E-2</v>
      </c>
      <c r="P4" s="32" cm="1">
        <f t="array" aca="1" ref="P4" ca="1">INDIRECT(CONCATENATE("'",HLOOKUP(P$1,$B$21:$E$23,3,FALSE),"'!",$B$25,ROW($A4)+5))*About!$A$27</f>
        <v>8.9279999999999998E-2</v>
      </c>
      <c r="Q4" cm="1">
        <f t="array" aca="1" ref="Q4" ca="1">TREND($K4:$P4,$K$1:$P$1,Q$1)</f>
        <v>9.0720000000000134E-2</v>
      </c>
      <c r="R4" cm="1">
        <f t="array" aca="1" ref="R4" ca="1">TREND($K4:$P4,$K$1:$P$1,R$1)</f>
        <v>9.2160000000000242E-2</v>
      </c>
      <c r="S4" cm="1">
        <f t="array" aca="1" ref="S4" ca="1">TREND($K4:$P4,$K$1:$P$1,S$1)</f>
        <v>9.360000000000035E-2</v>
      </c>
      <c r="T4" cm="1">
        <f t="array" aca="1" ref="T4" ca="1">TREND($K4:$P4,$K$1:$P$1,T$1)</f>
        <v>9.5040000000000013E-2</v>
      </c>
      <c r="U4" cm="1">
        <f t="array" aca="1" ref="U4" ca="1">TREND($K4:$P4,$K$1:$P$1,U$1)</f>
        <v>9.6480000000000121E-2</v>
      </c>
      <c r="V4" cm="1">
        <f t="array" aca="1" ref="V4" ca="1">TREND($K4:$P4,$K$1:$P$1,V$1)</f>
        <v>9.7920000000000229E-2</v>
      </c>
      <c r="W4" cm="1">
        <f t="array" aca="1" ref="W4" ca="1">TREND($K4:$P4,$K$1:$P$1,W$1)</f>
        <v>9.9360000000000337E-2</v>
      </c>
      <c r="X4" cm="1">
        <f t="array" aca="1" ref="X4" ca="1">TREND($K4:$P4,$K$1:$P$1,X$1)</f>
        <v>0.1008</v>
      </c>
      <c r="Y4" cm="1">
        <f t="array" aca="1" ref="Y4" ca="1">TREND($K4:$P4,$K$1:$P$1,Y$1)</f>
        <v>0.10224000000000011</v>
      </c>
      <c r="Z4" cm="1">
        <f t="array" aca="1" ref="Z4" ca="1">TREND($K4:$P4,$K$1:$P$1,Z$1)</f>
        <v>0.10368000000000022</v>
      </c>
      <c r="AA4" cm="1">
        <f t="array" aca="1" ref="AA4" ca="1">TREND($K4:$P4,$K$1:$P$1,AA$1)</f>
        <v>0.10512000000000032</v>
      </c>
      <c r="AB4" cm="1">
        <f t="array" aca="1" ref="AB4" ca="1">TREND($K4:$P4,$K$1:$P$1,AB$1)</f>
        <v>0.10655999999999999</v>
      </c>
      <c r="AC4" cm="1">
        <f t="array" aca="1" ref="AC4" ca="1">TREND($K4:$P4,$K$1:$P$1,AC$1)</f>
        <v>0.1080000000000001</v>
      </c>
      <c r="AD4" cm="1">
        <f t="array" aca="1" ref="AD4" ca="1">TREND($K4:$P4,$K$1:$P$1,AD$1)</f>
        <v>0.1094400000000002</v>
      </c>
      <c r="AE4" cm="1">
        <f t="array" aca="1" ref="AE4" ca="1">TREND($K4:$P4,$K$1:$P$1,AE$1)</f>
        <v>0.11088000000000031</v>
      </c>
      <c r="AF4" cm="1">
        <f t="array" aca="1" ref="AF4" ca="1">TREND($K4:$P4,$K$1:$P$1,AF$1)</f>
        <v>0.11231999999999998</v>
      </c>
      <c r="AG4" cm="1">
        <f t="array" aca="1" ref="AG4" ca="1">TREND($K4:$P4,$K$1:$P$1,AG$1)</f>
        <v>0.11376000000000008</v>
      </c>
      <c r="AH4" cm="1">
        <f t="array" aca="1" ref="AH4" ca="1">TREND($K4:$P4,$K$1:$P$1,AH$1)</f>
        <v>0.11520000000000019</v>
      </c>
      <c r="AI4" cm="1">
        <f t="array" aca="1" ref="AI4" ca="1">TREND($K4:$P4,$K$1:$P$1,AI$1)</f>
        <v>0.1166400000000003</v>
      </c>
      <c r="AJ4" cm="1">
        <f t="array" aca="1" ref="AJ4" ca="1">TREND($K4:$P4,$K$1:$P$1,AJ$1)</f>
        <v>0.11808000000000041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0.99359999999999993</v>
      </c>
      <c r="C5">
        <f t="shared" ca="1" si="3"/>
        <v>0.99719999999999998</v>
      </c>
      <c r="D5">
        <f t="shared" ca="1" si="0"/>
        <v>1.0007999999999999</v>
      </c>
      <c r="E5">
        <f t="shared" ca="1" si="0"/>
        <v>1.0044</v>
      </c>
      <c r="F5" s="32" cm="1">
        <f t="array" aca="1" ref="F5" ca="1">INDIRECT(CONCATENATE("'",HLOOKUP(F$1,$B$21:$E$23,3,FALSE),"'!",$B$25,ROW($A5)+5))*About!$A$27</f>
        <v>1.008</v>
      </c>
      <c r="G5">
        <f t="shared" ca="1" si="4"/>
        <v>1.01664</v>
      </c>
      <c r="H5">
        <f t="shared" ca="1" si="1"/>
        <v>1.02528</v>
      </c>
      <c r="I5">
        <f t="shared" ca="1" si="1"/>
        <v>1.03392</v>
      </c>
      <c r="J5">
        <f t="shared" ca="1" si="1"/>
        <v>1.0425599999999999</v>
      </c>
      <c r="K5" s="32" cm="1">
        <f t="array" aca="1" ref="K5" ca="1">INDIRECT(CONCATENATE("'",HLOOKUP(K$1,$B$21:$E$23,3,FALSE),"'!",$B$25,ROW($A5)+5))*About!$A$27</f>
        <v>1.0511999999999999</v>
      </c>
      <c r="L5">
        <f t="shared" ca="1" si="5"/>
        <v>1.0684799999999999</v>
      </c>
      <c r="M5">
        <f t="shared" ca="1" si="2"/>
        <v>1.0857599999999998</v>
      </c>
      <c r="N5">
        <f t="shared" ca="1" si="2"/>
        <v>1.10304</v>
      </c>
      <c r="O5">
        <f t="shared" ca="1" si="2"/>
        <v>1.12032</v>
      </c>
      <c r="P5" s="32" cm="1">
        <f t="array" aca="1" ref="P5" ca="1">INDIRECT(CONCATENATE("'",HLOOKUP(P$1,$B$21:$E$23,3,FALSE),"'!",$B$25,ROW($A5)+5))*About!$A$27</f>
        <v>1.1375999999999999</v>
      </c>
      <c r="Q5" cm="1">
        <f t="array" aca="1" ref="Q5" ca="1">TREND($K5:$P5,$K$1:$P$1,Q$1)</f>
        <v>1.1548799999999986</v>
      </c>
      <c r="R5" cm="1">
        <f t="array" aca="1" ref="R5" ca="1">TREND($K5:$P5,$K$1:$P$1,R$1)</f>
        <v>1.1721599999999981</v>
      </c>
      <c r="S5" cm="1">
        <f t="array" aca="1" ref="S5" ca="1">TREND($K5:$P5,$K$1:$P$1,S$1)</f>
        <v>1.1894399999999976</v>
      </c>
      <c r="T5" cm="1">
        <f t="array" aca="1" ref="T5" ca="1">TREND($K5:$P5,$K$1:$P$1,T$1)</f>
        <v>1.2067199999999971</v>
      </c>
      <c r="U5" cm="1">
        <f t="array" aca="1" ref="U5" ca="1">TREND($K5:$P5,$K$1:$P$1,U$1)</f>
        <v>1.2239999999999966</v>
      </c>
      <c r="V5" cm="1">
        <f t="array" aca="1" ref="V5" ca="1">TREND($K5:$P5,$K$1:$P$1,V$1)</f>
        <v>1.2412799999999962</v>
      </c>
      <c r="W5" cm="1">
        <f t="array" aca="1" ref="W5" ca="1">TREND($K5:$P5,$K$1:$P$1,W$1)</f>
        <v>1.2585599999999957</v>
      </c>
      <c r="X5" cm="1">
        <f t="array" aca="1" ref="X5" ca="1">TREND($K5:$P5,$K$1:$P$1,X$1)</f>
        <v>1.2758399999999952</v>
      </c>
      <c r="Y5" cm="1">
        <f t="array" aca="1" ref="Y5" ca="1">TREND($K5:$P5,$K$1:$P$1,Y$1)</f>
        <v>1.2931199999999947</v>
      </c>
      <c r="Z5" cm="1">
        <f t="array" aca="1" ref="Z5" ca="1">TREND($K5:$P5,$K$1:$P$1,Z$1)</f>
        <v>1.3103999999999942</v>
      </c>
      <c r="AA5" cm="1">
        <f t="array" aca="1" ref="AA5" ca="1">TREND($K5:$P5,$K$1:$P$1,AA$1)</f>
        <v>1.3276800000000009</v>
      </c>
      <c r="AB5" cm="1">
        <f t="array" aca="1" ref="AB5" ca="1">TREND($K5:$P5,$K$1:$P$1,AB$1)</f>
        <v>1.3449600000000004</v>
      </c>
      <c r="AC5" cm="1">
        <f t="array" aca="1" ref="AC5" ca="1">TREND($K5:$P5,$K$1:$P$1,AC$1)</f>
        <v>1.3622399999999999</v>
      </c>
      <c r="AD5" cm="1">
        <f t="array" aca="1" ref="AD5" ca="1">TREND($K5:$P5,$K$1:$P$1,AD$1)</f>
        <v>1.3795199999999994</v>
      </c>
      <c r="AE5" cm="1">
        <f t="array" aca="1" ref="AE5" ca="1">TREND($K5:$P5,$K$1:$P$1,AE$1)</f>
        <v>1.3967999999999989</v>
      </c>
      <c r="AF5" cm="1">
        <f t="array" aca="1" ref="AF5" ca="1">TREND($K5:$P5,$K$1:$P$1,AF$1)</f>
        <v>1.4140799999999984</v>
      </c>
      <c r="AG5" cm="1">
        <f t="array" aca="1" ref="AG5" ca="1">TREND($K5:$P5,$K$1:$P$1,AG$1)</f>
        <v>1.431359999999998</v>
      </c>
      <c r="AH5" cm="1">
        <f t="array" aca="1" ref="AH5" ca="1">TREND($K5:$P5,$K$1:$P$1,AH$1)</f>
        <v>1.4486399999999975</v>
      </c>
      <c r="AI5" cm="1">
        <f t="array" aca="1" ref="AI5" ca="1">TREND($K5:$P5,$K$1:$P$1,AI$1)</f>
        <v>1.465919999999997</v>
      </c>
      <c r="AJ5" cm="1">
        <f t="array" aca="1" ref="AJ5" ca="1">TREND($K5:$P5,$K$1:$P$1,AJ$1)</f>
        <v>1.4831999999999965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1.4256</v>
      </c>
      <c r="C6">
        <f t="shared" ca="1" si="3"/>
        <v>1.4292</v>
      </c>
      <c r="D6">
        <f t="shared" ca="1" si="0"/>
        <v>1.4327999999999999</v>
      </c>
      <c r="E6">
        <f t="shared" ca="1" si="0"/>
        <v>1.4363999999999999</v>
      </c>
      <c r="F6" s="32" cm="1">
        <f t="array" aca="1" ref="F6" ca="1">INDIRECT(CONCATENATE("'",HLOOKUP(F$1,$B$21:$E$23,3,FALSE),"'!",$B$25,ROW($A6)+5))*About!$A$27</f>
        <v>1.44</v>
      </c>
      <c r="G6">
        <f t="shared" ca="1" si="4"/>
        <v>1.44</v>
      </c>
      <c r="H6">
        <f t="shared" ca="1" si="1"/>
        <v>1.44</v>
      </c>
      <c r="I6">
        <f t="shared" ca="1" si="1"/>
        <v>1.44</v>
      </c>
      <c r="J6">
        <f t="shared" ca="1" si="1"/>
        <v>1.44</v>
      </c>
      <c r="K6" s="32" cm="1">
        <f t="array" aca="1" ref="K6" ca="1">INDIRECT(CONCATENATE("'",HLOOKUP(K$1,$B$21:$E$23,3,FALSE),"'!",$B$25,ROW($A6)+5))*About!$A$27</f>
        <v>1.44</v>
      </c>
      <c r="L6">
        <f t="shared" ca="1" si="5"/>
        <v>1.4687999999999999</v>
      </c>
      <c r="M6">
        <f t="shared" ca="1" si="2"/>
        <v>1.4976</v>
      </c>
      <c r="N6">
        <f t="shared" ca="1" si="2"/>
        <v>1.5264</v>
      </c>
      <c r="O6">
        <f t="shared" ca="1" si="2"/>
        <v>1.5552000000000001</v>
      </c>
      <c r="P6" s="32" cm="1">
        <f t="array" aca="1" ref="P6" ca="1">INDIRECT(CONCATENATE("'",HLOOKUP(P$1,$B$21:$E$23,3,FALSE),"'!",$B$25,ROW($A6)+5))*About!$A$27</f>
        <v>1.5840000000000001</v>
      </c>
      <c r="Q6" cm="1">
        <f t="array" aca="1" ref="Q6" ca="1">TREND($K6:$P6,$K$1:$P$1,Q$1)</f>
        <v>1.6128</v>
      </c>
      <c r="R6" cm="1">
        <f t="array" aca="1" ref="R6" ca="1">TREND($K6:$P6,$K$1:$P$1,R$1)</f>
        <v>1.6416000000000039</v>
      </c>
      <c r="S6" cm="1">
        <f t="array" aca="1" ref="S6" ca="1">TREND($K6:$P6,$K$1:$P$1,S$1)</f>
        <v>1.6704000000000008</v>
      </c>
      <c r="T6" cm="1">
        <f t="array" aca="1" ref="T6" ca="1">TREND($K6:$P6,$K$1:$P$1,T$1)</f>
        <v>1.6992000000000047</v>
      </c>
      <c r="U6" cm="1">
        <f t="array" aca="1" ref="U6" ca="1">TREND($K6:$P6,$K$1:$P$1,U$1)</f>
        <v>1.7280000000000015</v>
      </c>
      <c r="V6" cm="1">
        <f t="array" aca="1" ref="V6" ca="1">TREND($K6:$P6,$K$1:$P$1,V$1)</f>
        <v>1.7568000000000055</v>
      </c>
      <c r="W6" cm="1">
        <f t="array" aca="1" ref="W6" ca="1">TREND($K6:$P6,$K$1:$P$1,W$1)</f>
        <v>1.7856000000000023</v>
      </c>
      <c r="X6" cm="1">
        <f t="array" aca="1" ref="X6" ca="1">TREND($K6:$P6,$K$1:$P$1,X$1)</f>
        <v>1.8143999999999991</v>
      </c>
      <c r="Y6" cm="1">
        <f t="array" aca="1" ref="Y6" ca="1">TREND($K6:$P6,$K$1:$P$1,Y$1)</f>
        <v>1.8432000000000031</v>
      </c>
      <c r="Z6" cm="1">
        <f t="array" aca="1" ref="Z6" ca="1">TREND($K6:$P6,$K$1:$P$1,Z$1)</f>
        <v>1.8719999999999999</v>
      </c>
      <c r="AA6" cm="1">
        <f t="array" aca="1" ref="AA6" ca="1">TREND($K6:$P6,$K$1:$P$1,AA$1)</f>
        <v>1.9008000000000038</v>
      </c>
      <c r="AB6" cm="1">
        <f t="array" aca="1" ref="AB6" ca="1">TREND($K6:$P6,$K$1:$P$1,AB$1)</f>
        <v>1.9296000000000006</v>
      </c>
      <c r="AC6" cm="1">
        <f t="array" aca="1" ref="AC6" ca="1">TREND($K6:$P6,$K$1:$P$1,AC$1)</f>
        <v>1.9584000000000046</v>
      </c>
      <c r="AD6" cm="1">
        <f t="array" aca="1" ref="AD6" ca="1">TREND($K6:$P6,$K$1:$P$1,AD$1)</f>
        <v>1.9872000000000014</v>
      </c>
      <c r="AE6" cm="1">
        <f t="array" aca="1" ref="AE6" ca="1">TREND($K6:$P6,$K$1:$P$1,AE$1)</f>
        <v>2.0160000000000053</v>
      </c>
      <c r="AF6" cm="1">
        <f t="array" aca="1" ref="AF6" ca="1">TREND($K6:$P6,$K$1:$P$1,AF$1)</f>
        <v>2.0448000000000022</v>
      </c>
      <c r="AG6" cm="1">
        <f t="array" aca="1" ref="AG6" ca="1">TREND($K6:$P6,$K$1:$P$1,AG$1)</f>
        <v>2.0736000000000061</v>
      </c>
      <c r="AH6" cm="1">
        <f t="array" aca="1" ref="AH6" ca="1">TREND($K6:$P6,$K$1:$P$1,AH$1)</f>
        <v>2.1024000000000029</v>
      </c>
      <c r="AI6" cm="1">
        <f t="array" aca="1" ref="AI6" ca="1">TREND($K6:$P6,$K$1:$P$1,AI$1)</f>
        <v>2.1311999999999998</v>
      </c>
      <c r="AJ6" cm="1">
        <f t="array" aca="1" ref="AJ6" ca="1">TREND($K6:$P6,$K$1:$P$1,AJ$1)</f>
        <v>2.1600000000000037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43.199999999999996</v>
      </c>
      <c r="C7">
        <f t="shared" ca="1" si="3"/>
        <v>43.199999999999996</v>
      </c>
      <c r="D7">
        <f t="shared" ca="1" si="0"/>
        <v>43.199999999999996</v>
      </c>
      <c r="E7">
        <f t="shared" ca="1" si="0"/>
        <v>43.199999999999996</v>
      </c>
      <c r="F7" s="32" cm="1">
        <f t="array" aca="1" ref="F7" ca="1">INDIRECT(CONCATENATE("'",HLOOKUP(F$1,$B$21:$E$23,3,FALSE),"'!",$B$25,ROW($A7)+5))*About!$A$27</f>
        <v>43.199999999999996</v>
      </c>
      <c r="G7">
        <f t="shared" ca="1" si="4"/>
        <v>43.488</v>
      </c>
      <c r="H7">
        <f t="shared" ca="1" si="1"/>
        <v>43.775999999999996</v>
      </c>
      <c r="I7">
        <f t="shared" ca="1" si="1"/>
        <v>44.064</v>
      </c>
      <c r="J7">
        <f t="shared" ca="1" si="1"/>
        <v>44.351999999999997</v>
      </c>
      <c r="K7" s="32" cm="1">
        <f t="array" aca="1" ref="K7" ca="1">INDIRECT(CONCATENATE("'",HLOOKUP(K$1,$B$21:$E$23,3,FALSE),"'!",$B$25,ROW($A7)+5))*About!$A$27</f>
        <v>44.64</v>
      </c>
      <c r="L7">
        <f t="shared" ca="1" si="5"/>
        <v>44.927999999999997</v>
      </c>
      <c r="M7">
        <f t="shared" ca="1" si="2"/>
        <v>45.216000000000001</v>
      </c>
      <c r="N7">
        <f t="shared" ca="1" si="2"/>
        <v>45.503999999999998</v>
      </c>
      <c r="O7">
        <f t="shared" ca="1" si="2"/>
        <v>45.792000000000002</v>
      </c>
      <c r="P7" s="32" cm="1">
        <f t="array" aca="1" ref="P7" ca="1">INDIRECT(CONCATENATE("'",HLOOKUP(P$1,$B$21:$E$23,3,FALSE),"'!",$B$25,ROW($A7)+5))*About!$A$27</f>
        <v>46.08</v>
      </c>
      <c r="Q7" cm="1">
        <f t="array" aca="1" ref="Q7" ca="1">TREND($K7:$P7,$K$1:$P$1,Q$1)</f>
        <v>46.368000000000052</v>
      </c>
      <c r="R7" cm="1">
        <f t="array" aca="1" ref="R7" ca="1">TREND($K7:$P7,$K$1:$P$1,R$1)</f>
        <v>46.656000000000063</v>
      </c>
      <c r="S7" cm="1">
        <f t="array" aca="1" ref="S7" ca="1">TREND($K7:$P7,$K$1:$P$1,S$1)</f>
        <v>46.94399999999996</v>
      </c>
      <c r="T7" cm="1">
        <f t="array" aca="1" ref="T7" ca="1">TREND($K7:$P7,$K$1:$P$1,T$1)</f>
        <v>47.231999999999971</v>
      </c>
      <c r="U7" cm="1">
        <f t="array" aca="1" ref="U7" ca="1">TREND($K7:$P7,$K$1:$P$1,U$1)</f>
        <v>47.519999999999982</v>
      </c>
      <c r="V7" cm="1">
        <f t="array" aca="1" ref="V7" ca="1">TREND($K7:$P7,$K$1:$P$1,V$1)</f>
        <v>47.807999999999993</v>
      </c>
      <c r="W7" cm="1">
        <f t="array" aca="1" ref="W7" ca="1">TREND($K7:$P7,$K$1:$P$1,W$1)</f>
        <v>48.096000000000004</v>
      </c>
      <c r="X7" cm="1">
        <f t="array" aca="1" ref="X7" ca="1">TREND($K7:$P7,$K$1:$P$1,X$1)</f>
        <v>48.384000000000015</v>
      </c>
      <c r="Y7" cm="1">
        <f t="array" aca="1" ref="Y7" ca="1">TREND($K7:$P7,$K$1:$P$1,Y$1)</f>
        <v>48.672000000000025</v>
      </c>
      <c r="Z7" cm="1">
        <f t="array" aca="1" ref="Z7" ca="1">TREND($K7:$P7,$K$1:$P$1,Z$1)</f>
        <v>48.960000000000036</v>
      </c>
      <c r="AA7" cm="1">
        <f t="array" aca="1" ref="AA7" ca="1">TREND($K7:$P7,$K$1:$P$1,AA$1)</f>
        <v>49.248000000000047</v>
      </c>
      <c r="AB7" cm="1">
        <f t="array" aca="1" ref="AB7" ca="1">TREND($K7:$P7,$K$1:$P$1,AB$1)</f>
        <v>49.536000000000058</v>
      </c>
      <c r="AC7" cm="1">
        <f t="array" aca="1" ref="AC7" ca="1">TREND($K7:$P7,$K$1:$P$1,AC$1)</f>
        <v>49.823999999999955</v>
      </c>
      <c r="AD7" cm="1">
        <f t="array" aca="1" ref="AD7" ca="1">TREND($K7:$P7,$K$1:$P$1,AD$1)</f>
        <v>50.111999999999966</v>
      </c>
      <c r="AE7" cm="1">
        <f t="array" aca="1" ref="AE7" ca="1">TREND($K7:$P7,$K$1:$P$1,AE$1)</f>
        <v>50.399999999999977</v>
      </c>
      <c r="AF7" cm="1">
        <f t="array" aca="1" ref="AF7" ca="1">TREND($K7:$P7,$K$1:$P$1,AF$1)</f>
        <v>50.687999999999988</v>
      </c>
      <c r="AG7" cm="1">
        <f t="array" aca="1" ref="AG7" ca="1">TREND($K7:$P7,$K$1:$P$1,AG$1)</f>
        <v>50.975999999999999</v>
      </c>
      <c r="AH7" cm="1">
        <f t="array" aca="1" ref="AH7" ca="1">TREND($K7:$P7,$K$1:$P$1,AH$1)</f>
        <v>51.26400000000001</v>
      </c>
      <c r="AI7" cm="1">
        <f t="array" aca="1" ref="AI7" ca="1">TREND($K7:$P7,$K$1:$P$1,AI$1)</f>
        <v>51.552000000000021</v>
      </c>
      <c r="AJ7" cm="1">
        <f t="array" aca="1" ref="AJ7" ca="1">TREND($K7:$P7,$K$1:$P$1,AJ$1)</f>
        <v>51.840000000000032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7.3439999999999994</v>
      </c>
      <c r="C8">
        <f t="shared" ca="1" si="3"/>
        <v>7.379999999999999</v>
      </c>
      <c r="D8">
        <f t="shared" ca="1" si="0"/>
        <v>7.4159999999999995</v>
      </c>
      <c r="E8">
        <f t="shared" ca="1" si="0"/>
        <v>7.452</v>
      </c>
      <c r="F8" s="32" cm="1">
        <f t="array" aca="1" ref="F8" ca="1">INDIRECT(CONCATENATE("'",HLOOKUP(F$1,$B$21:$E$23,3,FALSE),"'!",$B$25,ROW($A8)+5))*About!$A$27</f>
        <v>7.4879999999999995</v>
      </c>
      <c r="G8">
        <f t="shared" ca="1" si="4"/>
        <v>7.5167999999999999</v>
      </c>
      <c r="H8">
        <f t="shared" ca="1" si="1"/>
        <v>7.5455999999999994</v>
      </c>
      <c r="I8">
        <f t="shared" ca="1" si="1"/>
        <v>7.5743999999999998</v>
      </c>
      <c r="J8">
        <f t="shared" ca="1" si="1"/>
        <v>7.6031999999999993</v>
      </c>
      <c r="K8" s="32" cm="1">
        <f t="array" aca="1" ref="K8" ca="1">INDIRECT(CONCATENATE("'",HLOOKUP(K$1,$B$21:$E$23,3,FALSE),"'!",$B$25,ROW($A8)+5))*About!$A$27</f>
        <v>7.6319999999999997</v>
      </c>
      <c r="L8">
        <f t="shared" ca="1" si="5"/>
        <v>7.6608000000000001</v>
      </c>
      <c r="M8">
        <f t="shared" ca="1" si="2"/>
        <v>7.6895999999999995</v>
      </c>
      <c r="N8">
        <f t="shared" ca="1" si="2"/>
        <v>7.7183999999999999</v>
      </c>
      <c r="O8">
        <f t="shared" ca="1" si="2"/>
        <v>7.7471999999999994</v>
      </c>
      <c r="P8" s="32" cm="1">
        <f t="array" aca="1" ref="P8" ca="1">INDIRECT(CONCATENATE("'",HLOOKUP(P$1,$B$21:$E$23,3,FALSE),"'!",$B$25,ROW($A8)+5))*About!$A$27</f>
        <v>7.7759999999999998</v>
      </c>
      <c r="Q8" cm="1">
        <f t="array" aca="1" ref="Q8" ca="1">TREND($K8:$P8,$K$1:$P$1,Q$1)</f>
        <v>7.8048000000000002</v>
      </c>
      <c r="R8" cm="1">
        <f t="array" aca="1" ref="R8" ca="1">TREND($K8:$P8,$K$1:$P$1,R$1)</f>
        <v>7.8336000000000041</v>
      </c>
      <c r="S8" cm="1">
        <f t="array" aca="1" ref="S8" ca="1">TREND($K8:$P8,$K$1:$P$1,S$1)</f>
        <v>7.8624000000000009</v>
      </c>
      <c r="T8" cm="1">
        <f t="array" aca="1" ref="T8" ca="1">TREND($K8:$P8,$K$1:$P$1,T$1)</f>
        <v>7.8912000000000049</v>
      </c>
      <c r="U8" cm="1">
        <f t="array" aca="1" ref="U8" ca="1">TREND($K8:$P8,$K$1:$P$1,U$1)</f>
        <v>7.9200000000000017</v>
      </c>
      <c r="V8" cm="1">
        <f t="array" aca="1" ref="V8" ca="1">TREND($K8:$P8,$K$1:$P$1,V$1)</f>
        <v>7.9488000000000056</v>
      </c>
      <c r="W8" cm="1">
        <f t="array" aca="1" ref="W8" ca="1">TREND($K8:$P8,$K$1:$P$1,W$1)</f>
        <v>7.9776000000000025</v>
      </c>
      <c r="X8" cm="1">
        <f t="array" aca="1" ref="X8" ca="1">TREND($K8:$P8,$K$1:$P$1,X$1)</f>
        <v>8.0064000000000064</v>
      </c>
      <c r="Y8" cm="1">
        <f t="array" aca="1" ref="Y8" ca="1">TREND($K8:$P8,$K$1:$P$1,Y$1)</f>
        <v>8.0352000000000032</v>
      </c>
      <c r="Z8" cm="1">
        <f t="array" aca="1" ref="Z8" ca="1">TREND($K8:$P8,$K$1:$P$1,Z$1)</f>
        <v>8.0640000000000001</v>
      </c>
      <c r="AA8" cm="1">
        <f t="array" aca="1" ref="AA8" ca="1">TREND($K8:$P8,$K$1:$P$1,AA$1)</f>
        <v>8.092800000000004</v>
      </c>
      <c r="AB8" cm="1">
        <f t="array" aca="1" ref="AB8" ca="1">TREND($K8:$P8,$K$1:$P$1,AB$1)</f>
        <v>8.1216000000000008</v>
      </c>
      <c r="AC8" cm="1">
        <f t="array" aca="1" ref="AC8" ca="1">TREND($K8:$P8,$K$1:$P$1,AC$1)</f>
        <v>8.1504000000000048</v>
      </c>
      <c r="AD8" cm="1">
        <f t="array" aca="1" ref="AD8" ca="1">TREND($K8:$P8,$K$1:$P$1,AD$1)</f>
        <v>8.1792000000000016</v>
      </c>
      <c r="AE8" cm="1">
        <f t="array" aca="1" ref="AE8" ca="1">TREND($K8:$P8,$K$1:$P$1,AE$1)</f>
        <v>8.2080000000000055</v>
      </c>
      <c r="AF8" cm="1">
        <f t="array" aca="1" ref="AF8" ca="1">TREND($K8:$P8,$K$1:$P$1,AF$1)</f>
        <v>8.2368000000000023</v>
      </c>
      <c r="AG8" cm="1">
        <f t="array" aca="1" ref="AG8" ca="1">TREND($K8:$P8,$K$1:$P$1,AG$1)</f>
        <v>8.2656000000000063</v>
      </c>
      <c r="AH8" cm="1">
        <f t="array" aca="1" ref="AH8" ca="1">TREND($K8:$P8,$K$1:$P$1,AH$1)</f>
        <v>8.2944000000000031</v>
      </c>
      <c r="AI8" cm="1">
        <f t="array" aca="1" ref="AI8" ca="1">TREND($K8:$P8,$K$1:$P$1,AI$1)</f>
        <v>8.3231999999999999</v>
      </c>
      <c r="AJ8" cm="1">
        <f t="array" aca="1" ref="AJ8" ca="1">TREND($K8:$P8,$K$1:$P$1,AJ$1)</f>
        <v>8.3520000000000039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1.728</v>
      </c>
      <c r="C9">
        <f t="shared" ca="1" si="3"/>
        <v>1.728</v>
      </c>
      <c r="D9">
        <f t="shared" ca="1" si="0"/>
        <v>1.728</v>
      </c>
      <c r="E9">
        <f t="shared" ca="1" si="0"/>
        <v>1.728</v>
      </c>
      <c r="F9" s="32" cm="1">
        <f t="array" aca="1" ref="F9" ca="1">INDIRECT(CONCATENATE("'",HLOOKUP(F$1,$B$21:$E$23,3,FALSE),"'!",$B$25,ROW($A9)+5))*About!$A$27</f>
        <v>1.728</v>
      </c>
      <c r="G9">
        <f t="shared" ca="1" si="4"/>
        <v>1.728</v>
      </c>
      <c r="H9">
        <f t="shared" ca="1" si="1"/>
        <v>1.728</v>
      </c>
      <c r="I9">
        <f t="shared" ca="1" si="1"/>
        <v>1.728</v>
      </c>
      <c r="J9">
        <f t="shared" ca="1" si="1"/>
        <v>1.728</v>
      </c>
      <c r="K9" s="32" cm="1">
        <f t="array" aca="1" ref="K9" ca="1">INDIRECT(CONCATENATE("'",HLOOKUP(K$1,$B$21:$E$23,3,FALSE),"'!",$B$25,ROW($A9)+5))*About!$A$27</f>
        <v>1.728</v>
      </c>
      <c r="L9">
        <f t="shared" ca="1" si="5"/>
        <v>1.7567999999999999</v>
      </c>
      <c r="M9">
        <f t="shared" ca="1" si="2"/>
        <v>1.7855999999999999</v>
      </c>
      <c r="N9">
        <f t="shared" ca="1" si="2"/>
        <v>1.8144</v>
      </c>
      <c r="O9">
        <f t="shared" ca="1" si="2"/>
        <v>1.8431999999999999</v>
      </c>
      <c r="P9" s="32" cm="1">
        <f t="array" aca="1" ref="P9" ca="1">INDIRECT(CONCATENATE("'",HLOOKUP(P$1,$B$21:$E$23,3,FALSE),"'!",$B$25,ROW($A9)+5))*About!$A$27</f>
        <v>1.8719999999999999</v>
      </c>
      <c r="Q9" cm="1">
        <f t="array" aca="1" ref="Q9" ca="1">TREND($K9:$P9,$K$1:$P$1,Q$1)</f>
        <v>1.9007999999999967</v>
      </c>
      <c r="R9" cm="1">
        <f t="array" aca="1" ref="R9" ca="1">TREND($K9:$P9,$K$1:$P$1,R$1)</f>
        <v>1.9296000000000006</v>
      </c>
      <c r="S9" cm="1">
        <f t="array" aca="1" ref="S9" ca="1">TREND($K9:$P9,$K$1:$P$1,S$1)</f>
        <v>1.9583999999999975</v>
      </c>
      <c r="T9" cm="1">
        <f t="array" aca="1" ref="T9" ca="1">TREND($K9:$P9,$K$1:$P$1,T$1)</f>
        <v>1.9872000000000014</v>
      </c>
      <c r="U9" cm="1">
        <f t="array" aca="1" ref="U9" ca="1">TREND($K9:$P9,$K$1:$P$1,U$1)</f>
        <v>2.0159999999999982</v>
      </c>
      <c r="V9" cm="1">
        <f t="array" aca="1" ref="V9" ca="1">TREND($K9:$P9,$K$1:$P$1,V$1)</f>
        <v>2.0448000000000022</v>
      </c>
      <c r="W9" cm="1">
        <f t="array" aca="1" ref="W9" ca="1">TREND($K9:$P9,$K$1:$P$1,W$1)</f>
        <v>2.073599999999999</v>
      </c>
      <c r="X9" cm="1">
        <f t="array" aca="1" ref="X9" ca="1">TREND($K9:$P9,$K$1:$P$1,X$1)</f>
        <v>2.1024000000000029</v>
      </c>
      <c r="Y9" cm="1">
        <f t="array" aca="1" ref="Y9" ca="1">TREND($K9:$P9,$K$1:$P$1,Y$1)</f>
        <v>2.1311999999999998</v>
      </c>
      <c r="Z9" cm="1">
        <f t="array" aca="1" ref="Z9" ca="1">TREND($K9:$P9,$K$1:$P$1,Z$1)</f>
        <v>2.1599999999999966</v>
      </c>
      <c r="AA9" cm="1">
        <f t="array" aca="1" ref="AA9" ca="1">TREND($K9:$P9,$K$1:$P$1,AA$1)</f>
        <v>2.1888000000000005</v>
      </c>
      <c r="AB9" cm="1">
        <f t="array" aca="1" ref="AB9" ca="1">TREND($K9:$P9,$K$1:$P$1,AB$1)</f>
        <v>2.2175999999999974</v>
      </c>
      <c r="AC9" cm="1">
        <f t="array" aca="1" ref="AC9" ca="1">TREND($K9:$P9,$K$1:$P$1,AC$1)</f>
        <v>2.2464000000000013</v>
      </c>
      <c r="AD9" cm="1">
        <f t="array" aca="1" ref="AD9" ca="1">TREND($K9:$P9,$K$1:$P$1,AD$1)</f>
        <v>2.2751999999999981</v>
      </c>
      <c r="AE9" cm="1">
        <f t="array" aca="1" ref="AE9" ca="1">TREND($K9:$P9,$K$1:$P$1,AE$1)</f>
        <v>2.304000000000002</v>
      </c>
      <c r="AF9" cm="1">
        <f t="array" aca="1" ref="AF9" ca="1">TREND($K9:$P9,$K$1:$P$1,AF$1)</f>
        <v>2.3327999999999989</v>
      </c>
      <c r="AG9" cm="1">
        <f t="array" aca="1" ref="AG9" ca="1">TREND($K9:$P9,$K$1:$P$1,AG$1)</f>
        <v>2.3616000000000028</v>
      </c>
      <c r="AH9" cm="1">
        <f t="array" aca="1" ref="AH9" ca="1">TREND($K9:$P9,$K$1:$P$1,AH$1)</f>
        <v>2.3903999999999996</v>
      </c>
      <c r="AI9" cm="1">
        <f t="array" aca="1" ref="AI9" ca="1">TREND($K9:$P9,$K$1:$P$1,AI$1)</f>
        <v>2.4191999999999965</v>
      </c>
      <c r="AJ9" cm="1">
        <f t="array" aca="1" ref="AJ9" ca="1">TREND($K9:$P9,$K$1:$P$1,AJ$1)</f>
        <v>2.4480000000000004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1.3103999999999999E-2</v>
      </c>
      <c r="C10">
        <f t="shared" ca="1" si="3"/>
        <v>1.3356E-2</v>
      </c>
      <c r="D10">
        <f t="shared" ca="1" si="0"/>
        <v>1.3607999999999999E-2</v>
      </c>
      <c r="E10">
        <f t="shared" ca="1" si="0"/>
        <v>1.3859999999999999E-2</v>
      </c>
      <c r="F10" s="32" cm="1">
        <f t="array" aca="1" ref="F10" ca="1">INDIRECT(CONCATENATE("'",HLOOKUP(F$1,$B$21:$E$23,3,FALSE),"'!",$B$25,ROW($A10)+5))*About!$A$27</f>
        <v>1.4112E-2</v>
      </c>
      <c r="G10">
        <f t="shared" ca="1" si="4"/>
        <v>1.4457599999999999E-2</v>
      </c>
      <c r="H10">
        <f t="shared" ca="1" si="1"/>
        <v>1.4803199999999999E-2</v>
      </c>
      <c r="I10">
        <f t="shared" ca="1" si="1"/>
        <v>1.51488E-2</v>
      </c>
      <c r="J10">
        <f t="shared" ca="1" si="1"/>
        <v>1.54944E-2</v>
      </c>
      <c r="K10" s="32" cm="1">
        <f t="array" aca="1" ref="K10" ca="1">INDIRECT(CONCATENATE("'",HLOOKUP(K$1,$B$21:$E$23,3,FALSE),"'!",$B$25,ROW($A10)+5))*About!$A$27</f>
        <v>1.584E-2</v>
      </c>
      <c r="L10">
        <f t="shared" ca="1" si="5"/>
        <v>1.6128E-2</v>
      </c>
      <c r="M10">
        <f t="shared" ca="1" si="2"/>
        <v>1.6416E-2</v>
      </c>
      <c r="N10">
        <f t="shared" ca="1" si="2"/>
        <v>1.6704E-2</v>
      </c>
      <c r="O10">
        <f t="shared" ca="1" si="2"/>
        <v>1.6992E-2</v>
      </c>
      <c r="P10" s="32" cm="1">
        <f t="array" aca="1" ref="P10" ca="1">INDIRECT(CONCATENATE("'",HLOOKUP(P$1,$B$21:$E$23,3,FALSE),"'!",$B$25,ROW($A10)+5))*About!$A$27</f>
        <v>1.728E-2</v>
      </c>
      <c r="Q10" cm="1">
        <f t="array" aca="1" ref="Q10" ca="1">TREND($K10:$P10,$K$1:$P$1,Q$1)</f>
        <v>1.7568000000000028E-2</v>
      </c>
      <c r="R10" cm="1">
        <f t="array" aca="1" ref="R10" ca="1">TREND($K10:$P10,$K$1:$P$1,R$1)</f>
        <v>1.7855999999999983E-2</v>
      </c>
      <c r="S10" cm="1">
        <f t="array" aca="1" ref="S10" ca="1">TREND($K10:$P10,$K$1:$P$1,S$1)</f>
        <v>1.8144000000000049E-2</v>
      </c>
      <c r="T10" cm="1">
        <f t="array" aca="1" ref="T10" ca="1">TREND($K10:$P10,$K$1:$P$1,T$1)</f>
        <v>1.8432000000000004E-2</v>
      </c>
      <c r="U10" cm="1">
        <f t="array" aca="1" ref="U10" ca="1">TREND($K10:$P10,$K$1:$P$1,U$1)</f>
        <v>1.872000000000007E-2</v>
      </c>
      <c r="V10" cm="1">
        <f t="array" aca="1" ref="V10" ca="1">TREND($K10:$P10,$K$1:$P$1,V$1)</f>
        <v>1.9008000000000025E-2</v>
      </c>
      <c r="W10" cm="1">
        <f t="array" aca="1" ref="W10" ca="1">TREND($K10:$P10,$K$1:$P$1,W$1)</f>
        <v>1.9296000000000091E-2</v>
      </c>
      <c r="X10" cm="1">
        <f t="array" aca="1" ref="X10" ca="1">TREND($K10:$P10,$K$1:$P$1,X$1)</f>
        <v>1.9584000000000046E-2</v>
      </c>
      <c r="Y10" cm="1">
        <f t="array" aca="1" ref="Y10" ca="1">TREND($K10:$P10,$K$1:$P$1,Y$1)</f>
        <v>1.9872000000000001E-2</v>
      </c>
      <c r="Z10" cm="1">
        <f t="array" aca="1" ref="Z10" ca="1">TREND($K10:$P10,$K$1:$P$1,Z$1)</f>
        <v>2.0160000000000067E-2</v>
      </c>
      <c r="AA10" cm="1">
        <f t="array" aca="1" ref="AA10" ca="1">TREND($K10:$P10,$K$1:$P$1,AA$1)</f>
        <v>2.0448000000000022E-2</v>
      </c>
      <c r="AB10" cm="1">
        <f t="array" aca="1" ref="AB10" ca="1">TREND($K10:$P10,$K$1:$P$1,AB$1)</f>
        <v>2.0736000000000088E-2</v>
      </c>
      <c r="AC10" cm="1">
        <f t="array" aca="1" ref="AC10" ca="1">TREND($K10:$P10,$K$1:$P$1,AC$1)</f>
        <v>2.1024000000000043E-2</v>
      </c>
      <c r="AD10" cm="1">
        <f t="array" aca="1" ref="AD10" ca="1">TREND($K10:$P10,$K$1:$P$1,AD$1)</f>
        <v>2.1311999999999998E-2</v>
      </c>
      <c r="AE10" cm="1">
        <f t="array" aca="1" ref="AE10" ca="1">TREND($K10:$P10,$K$1:$P$1,AE$1)</f>
        <v>2.1600000000000064E-2</v>
      </c>
      <c r="AF10" cm="1">
        <f t="array" aca="1" ref="AF10" ca="1">TREND($K10:$P10,$K$1:$P$1,AF$1)</f>
        <v>2.1888000000000019E-2</v>
      </c>
      <c r="AG10" cm="1">
        <f t="array" aca="1" ref="AG10" ca="1">TREND($K10:$P10,$K$1:$P$1,AG$1)</f>
        <v>2.2176000000000085E-2</v>
      </c>
      <c r="AH10" cm="1">
        <f t="array" aca="1" ref="AH10" ca="1">TREND($K10:$P10,$K$1:$P$1,AH$1)</f>
        <v>2.2464000000000039E-2</v>
      </c>
      <c r="AI10" cm="1">
        <f t="array" aca="1" ref="AI10" ca="1">TREND($K10:$P10,$K$1:$P$1,AI$1)</f>
        <v>2.2751999999999994E-2</v>
      </c>
      <c r="AJ10" cm="1">
        <f t="array" aca="1" ref="AJ10" ca="1">TREND($K10:$P10,$K$1:$P$1,AJ$1)</f>
        <v>2.304000000000006E-2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1.2383999999999999E-2</v>
      </c>
      <c r="C11">
        <f t="shared" ca="1" si="3"/>
        <v>1.2671999999999999E-2</v>
      </c>
      <c r="D11">
        <f t="shared" ca="1" si="0"/>
        <v>1.2959999999999999E-2</v>
      </c>
      <c r="E11">
        <f t="shared" ca="1" si="0"/>
        <v>1.3247999999999999E-2</v>
      </c>
      <c r="F11" s="32" cm="1">
        <f t="array" aca="1" ref="F11" ca="1">INDIRECT(CONCATENATE("'",HLOOKUP(F$1,$B$21:$E$23,3,FALSE),"'!",$B$25,ROW($A11)+5))*About!$A$27</f>
        <v>1.3535999999999999E-2</v>
      </c>
      <c r="G11">
        <f t="shared" ca="1" si="4"/>
        <v>1.39968E-2</v>
      </c>
      <c r="H11">
        <f t="shared" ca="1" si="1"/>
        <v>1.4457599999999999E-2</v>
      </c>
      <c r="I11">
        <f t="shared" ca="1" si="1"/>
        <v>1.49184E-2</v>
      </c>
      <c r="J11">
        <f t="shared" ca="1" si="1"/>
        <v>1.5379199999999999E-2</v>
      </c>
      <c r="K11" s="32" cm="1">
        <f t="array" aca="1" ref="K11" ca="1">INDIRECT(CONCATENATE("'",HLOOKUP(K$1,$B$21:$E$23,3,FALSE),"'!",$B$25,ROW($A11)+5))*About!$A$27</f>
        <v>1.584E-2</v>
      </c>
      <c r="L11">
        <f t="shared" ca="1" si="5"/>
        <v>1.6128E-2</v>
      </c>
      <c r="M11">
        <f t="shared" ca="1" si="2"/>
        <v>1.6416E-2</v>
      </c>
      <c r="N11">
        <f t="shared" ca="1" si="2"/>
        <v>1.6704E-2</v>
      </c>
      <c r="O11">
        <f t="shared" ca="1" si="2"/>
        <v>1.6992E-2</v>
      </c>
      <c r="P11" s="32" cm="1">
        <f t="array" aca="1" ref="P11" ca="1">INDIRECT(CONCATENATE("'",HLOOKUP(P$1,$B$21:$E$23,3,FALSE),"'!",$B$25,ROW($A11)+5))*About!$A$27</f>
        <v>1.728E-2</v>
      </c>
      <c r="Q11" cm="1">
        <f t="array" aca="1" ref="Q11" ca="1">TREND($K11:$P11,$K$1:$P$1,Q$1)</f>
        <v>1.7568000000000028E-2</v>
      </c>
      <c r="R11" cm="1">
        <f t="array" aca="1" ref="R11" ca="1">TREND($K11:$P11,$K$1:$P$1,R$1)</f>
        <v>1.7855999999999983E-2</v>
      </c>
      <c r="S11" cm="1">
        <f t="array" aca="1" ref="S11" ca="1">TREND($K11:$P11,$K$1:$P$1,S$1)</f>
        <v>1.8144000000000049E-2</v>
      </c>
      <c r="T11" cm="1">
        <f t="array" aca="1" ref="T11" ca="1">TREND($K11:$P11,$K$1:$P$1,T$1)</f>
        <v>1.8432000000000004E-2</v>
      </c>
      <c r="U11" cm="1">
        <f t="array" aca="1" ref="U11" ca="1">TREND($K11:$P11,$K$1:$P$1,U$1)</f>
        <v>1.872000000000007E-2</v>
      </c>
      <c r="V11" cm="1">
        <f t="array" aca="1" ref="V11" ca="1">TREND($K11:$P11,$K$1:$P$1,V$1)</f>
        <v>1.9008000000000025E-2</v>
      </c>
      <c r="W11" cm="1">
        <f t="array" aca="1" ref="W11" ca="1">TREND($K11:$P11,$K$1:$P$1,W$1)</f>
        <v>1.9296000000000091E-2</v>
      </c>
      <c r="X11" cm="1">
        <f t="array" aca="1" ref="X11" ca="1">TREND($K11:$P11,$K$1:$P$1,X$1)</f>
        <v>1.9584000000000046E-2</v>
      </c>
      <c r="Y11" cm="1">
        <f t="array" aca="1" ref="Y11" ca="1">TREND($K11:$P11,$K$1:$P$1,Y$1)</f>
        <v>1.9872000000000001E-2</v>
      </c>
      <c r="Z11" cm="1">
        <f t="array" aca="1" ref="Z11" ca="1">TREND($K11:$P11,$K$1:$P$1,Z$1)</f>
        <v>2.0160000000000067E-2</v>
      </c>
      <c r="AA11" cm="1">
        <f t="array" aca="1" ref="AA11" ca="1">TREND($K11:$P11,$K$1:$P$1,AA$1)</f>
        <v>2.0448000000000022E-2</v>
      </c>
      <c r="AB11" cm="1">
        <f t="array" aca="1" ref="AB11" ca="1">TREND($K11:$P11,$K$1:$P$1,AB$1)</f>
        <v>2.0736000000000088E-2</v>
      </c>
      <c r="AC11" cm="1">
        <f t="array" aca="1" ref="AC11" ca="1">TREND($K11:$P11,$K$1:$P$1,AC$1)</f>
        <v>2.1024000000000043E-2</v>
      </c>
      <c r="AD11" cm="1">
        <f t="array" aca="1" ref="AD11" ca="1">TREND($K11:$P11,$K$1:$P$1,AD$1)</f>
        <v>2.1311999999999998E-2</v>
      </c>
      <c r="AE11" cm="1">
        <f t="array" aca="1" ref="AE11" ca="1">TREND($K11:$P11,$K$1:$P$1,AE$1)</f>
        <v>2.1600000000000064E-2</v>
      </c>
      <c r="AF11" cm="1">
        <f t="array" aca="1" ref="AF11" ca="1">TREND($K11:$P11,$K$1:$P$1,AF$1)</f>
        <v>2.1888000000000019E-2</v>
      </c>
      <c r="AG11" cm="1">
        <f t="array" aca="1" ref="AG11" ca="1">TREND($K11:$P11,$K$1:$P$1,AG$1)</f>
        <v>2.2176000000000085E-2</v>
      </c>
      <c r="AH11" cm="1">
        <f t="array" aca="1" ref="AH11" ca="1">TREND($K11:$P11,$K$1:$P$1,AH$1)</f>
        <v>2.2464000000000039E-2</v>
      </c>
      <c r="AI11" cm="1">
        <f t="array" aca="1" ref="AI11" ca="1">TREND($K11:$P11,$K$1:$P$1,AI$1)</f>
        <v>2.2751999999999994E-2</v>
      </c>
      <c r="AJ11" cm="1">
        <f t="array" aca="1" ref="AJ11" ca="1">TREND($K11:$P11,$K$1:$P$1,AJ$1)</f>
        <v>2.304000000000006E-2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5.7455999999999993E-2</v>
      </c>
      <c r="C12">
        <f t="shared" ca="1" si="3"/>
        <v>5.8643999999999995E-2</v>
      </c>
      <c r="D12">
        <f t="shared" ca="1" si="0"/>
        <v>5.9831999999999996E-2</v>
      </c>
      <c r="E12">
        <f t="shared" ca="1" si="0"/>
        <v>6.1019999999999998E-2</v>
      </c>
      <c r="F12" s="33">
        <f ca="1">SUM(INDIRECT(CONCATENATE("'",HLOOKUP(F$1,$B$21:$E$23,3,FALSE),"'!",$B$25,ROW($A12)+5,":",$B$25,ROW($A12)+6)))*About!$A$27</f>
        <v>6.2207999999999999E-2</v>
      </c>
      <c r="G12">
        <f t="shared" ca="1" si="4"/>
        <v>6.3504000000000005E-2</v>
      </c>
      <c r="H12">
        <f t="shared" ca="1" si="1"/>
        <v>6.4799999999999996E-2</v>
      </c>
      <c r="I12">
        <f t="shared" ca="1" si="1"/>
        <v>6.6096000000000002E-2</v>
      </c>
      <c r="J12">
        <f t="shared" ca="1" si="1"/>
        <v>6.7391999999999994E-2</v>
      </c>
      <c r="K12" s="33">
        <f ca="1">SUM(INDIRECT(CONCATENATE("'",HLOOKUP(K$1,$B$21:$E$23,3,FALSE),"'!",$B$25,ROW($A12)+5,":",$B$25,ROW($A12)+6)))*About!$A$27</f>
        <v>6.8687999999999999E-2</v>
      </c>
      <c r="L12">
        <f t="shared" ca="1" si="5"/>
        <v>6.9955199999999995E-2</v>
      </c>
      <c r="M12">
        <f t="shared" ca="1" si="2"/>
        <v>7.1222399999999991E-2</v>
      </c>
      <c r="N12">
        <f t="shared" ca="1" si="2"/>
        <v>7.2489600000000001E-2</v>
      </c>
      <c r="O12">
        <f t="shared" ca="1" si="2"/>
        <v>7.3756799999999997E-2</v>
      </c>
      <c r="P12" s="33">
        <f ca="1">SUM(INDIRECT(CONCATENATE("'",HLOOKUP(P$1,$B$21:$E$23,3,FALSE),"'!",$B$25,ROW($A12)+5,":",$B$25,ROW($A12)+6)))*About!$A$27</f>
        <v>7.5023999999999993E-2</v>
      </c>
      <c r="Q12" cm="1">
        <f t="array" aca="1" ref="Q12" ca="1">TREND($K12:$P12,$K$1:$P$1,Q$1)</f>
        <v>7.6291200000000003E-2</v>
      </c>
      <c r="R12" cm="1">
        <f t="array" aca="1" ref="R12" ca="1">TREND($K12:$P12,$K$1:$P$1,R$1)</f>
        <v>7.7558400000000027E-2</v>
      </c>
      <c r="S12" cm="1">
        <f t="array" aca="1" ref="S12" ca="1">TREND($K12:$P12,$K$1:$P$1,S$1)</f>
        <v>7.8825600000000051E-2</v>
      </c>
      <c r="T12" cm="1">
        <f t="array" aca="1" ref="T12" ca="1">TREND($K12:$P12,$K$1:$P$1,T$1)</f>
        <v>8.0092800000000075E-2</v>
      </c>
      <c r="U12" cm="1">
        <f t="array" aca="1" ref="U12" ca="1">TREND($K12:$P12,$K$1:$P$1,U$1)</f>
        <v>8.1360000000000099E-2</v>
      </c>
      <c r="V12" cm="1">
        <f t="array" aca="1" ref="V12" ca="1">TREND($K12:$P12,$K$1:$P$1,V$1)</f>
        <v>8.2627200000000123E-2</v>
      </c>
      <c r="W12" cm="1">
        <f t="array" aca="1" ref="W12" ca="1">TREND($K12:$P12,$K$1:$P$1,W$1)</f>
        <v>8.3894400000000147E-2</v>
      </c>
      <c r="X12" cm="1">
        <f t="array" aca="1" ref="X12" ca="1">TREND($K12:$P12,$K$1:$P$1,X$1)</f>
        <v>8.516160000000017E-2</v>
      </c>
      <c r="Y12" cm="1">
        <f t="array" aca="1" ref="Y12" ca="1">TREND($K12:$P12,$K$1:$P$1,Y$1)</f>
        <v>8.642879999999975E-2</v>
      </c>
      <c r="Z12" cm="1">
        <f t="array" aca="1" ref="Z12" ca="1">TREND($K12:$P12,$K$1:$P$1,Z$1)</f>
        <v>8.7695999999999774E-2</v>
      </c>
      <c r="AA12" cm="1">
        <f t="array" aca="1" ref="AA12" ca="1">TREND($K12:$P12,$K$1:$P$1,AA$1)</f>
        <v>8.8963199999999798E-2</v>
      </c>
      <c r="AB12" cm="1">
        <f t="array" aca="1" ref="AB12" ca="1">TREND($K12:$P12,$K$1:$P$1,AB$1)</f>
        <v>9.0230399999999822E-2</v>
      </c>
      <c r="AC12" cm="1">
        <f t="array" aca="1" ref="AC12" ca="1">TREND($K12:$P12,$K$1:$P$1,AC$1)</f>
        <v>9.1497599999999846E-2</v>
      </c>
      <c r="AD12" cm="1">
        <f t="array" aca="1" ref="AD12" ca="1">TREND($K12:$P12,$K$1:$P$1,AD$1)</f>
        <v>9.276479999999987E-2</v>
      </c>
      <c r="AE12" cm="1">
        <f t="array" aca="1" ref="AE12" ca="1">TREND($K12:$P12,$K$1:$P$1,AE$1)</f>
        <v>9.4031999999999893E-2</v>
      </c>
      <c r="AF12" cm="1">
        <f t="array" aca="1" ref="AF12" ca="1">TREND($K12:$P12,$K$1:$P$1,AF$1)</f>
        <v>9.5299199999999917E-2</v>
      </c>
      <c r="AG12" cm="1">
        <f t="array" aca="1" ref="AG12" ca="1">TREND($K12:$P12,$K$1:$P$1,AG$1)</f>
        <v>9.6566399999999941E-2</v>
      </c>
      <c r="AH12" cm="1">
        <f t="array" aca="1" ref="AH12" ca="1">TREND($K12:$P12,$K$1:$P$1,AH$1)</f>
        <v>9.7833599999999965E-2</v>
      </c>
      <c r="AI12" cm="1">
        <f t="array" aca="1" ref="AI12" ca="1">TREND($K12:$P12,$K$1:$P$1,AI$1)</f>
        <v>9.9100799999999989E-2</v>
      </c>
      <c r="AJ12" cm="1">
        <f t="array" aca="1" ref="AJ12" ca="1">TREND($K12:$P12,$K$1:$P$1,AJ$1)</f>
        <v>0.10036800000000001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HOIpTP-buildings-PM25</v>
      </c>
    </row>
    <row r="18" spans="1:5" x14ac:dyDescent="0.25">
      <c r="A18" t="s">
        <v>83</v>
      </c>
      <c r="B18" t="str">
        <f ca="1">RIGHT(B17,LEN(B17)-7)</f>
        <v>buildings-PM25</v>
      </c>
    </row>
    <row r="19" spans="1:5" x14ac:dyDescent="0.25">
      <c r="A19" t="s">
        <v>84</v>
      </c>
      <c r="B19" t="str">
        <f ca="1">LEFT(B18,FIND("-",B18)-1)</f>
        <v>buildings</v>
      </c>
    </row>
    <row r="20" spans="1:5" x14ac:dyDescent="0.25">
      <c r="A20" t="s">
        <v>85</v>
      </c>
      <c r="B20" t="str">
        <f ca="1">VLOOKUP($B$19,Mappings!$A$22:$B$26,COLUMN(Mappings!$B$21),FALSE)</f>
        <v>area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5">
      <c r="A23" s="28" t="s">
        <v>82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5">
      <c r="A24" t="s">
        <v>87</v>
      </c>
      <c r="B24" t="str">
        <f ca="1">REPLACE(B18,1,FIND("-",B18),"")</f>
        <v>PM25</v>
      </c>
    </row>
    <row r="25" spans="1:5" x14ac:dyDescent="0.25">
      <c r="A25" t="s">
        <v>88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BAB8-13FD-4F3B-9BA2-4767544296D3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8.3519999999999983E-3</v>
      </c>
      <c r="C2">
        <f ca="1">$B2+($F2-$B2)*(C$1-$B$1)/($F$1-$B$1)</f>
        <v>8.4239999999999992E-3</v>
      </c>
      <c r="D2">
        <f t="shared" ref="D2:E12" ca="1" si="0">$B2+($F2-$B2)*(D$1-$B$1)/($F$1-$B$1)</f>
        <v>8.4960000000000001E-3</v>
      </c>
      <c r="E2">
        <f t="shared" ca="1" si="0"/>
        <v>8.5679999999999992E-3</v>
      </c>
      <c r="F2" s="31" cm="1">
        <f t="array" aca="1" ref="F2" ca="1">INDIRECT(CONCATENATE("'",HLOOKUP(F$1,$B$21:$E$23,3,FALSE),"'!",$B$25,ROW($A2)+3))*About!$A$27</f>
        <v>8.6400000000000001E-3</v>
      </c>
      <c r="G2">
        <f ca="1">$F2+($K2-$F2)*(G$1-$F$1)/($K$1-$F$1)</f>
        <v>8.7551999999999994E-3</v>
      </c>
      <c r="H2">
        <f t="shared" ref="H2:J12" ca="1" si="1">$F2+($K2-$F2)*(H$1-$F$1)/($K$1-$F$1)</f>
        <v>8.8704000000000005E-3</v>
      </c>
      <c r="I2">
        <f t="shared" ca="1" si="1"/>
        <v>8.9855999999999998E-3</v>
      </c>
      <c r="J2">
        <f t="shared" ca="1" si="1"/>
        <v>9.1008000000000009E-3</v>
      </c>
      <c r="K2" s="31" cm="1">
        <f t="array" aca="1" ref="K2" ca="1">INDIRECT(CONCATENATE("'",HLOOKUP(K$1,$B$21:$E$23,3,FALSE),"'!",$B$25,ROW($A2)+3))*About!$A$27</f>
        <v>9.2160000000000002E-3</v>
      </c>
      <c r="L2">
        <f ca="1">$K2+($P2-$K2)*(L$1-$K$1)/($P$1-$K$1)</f>
        <v>9.3311999999999996E-3</v>
      </c>
      <c r="M2">
        <f t="shared" ref="M2:O12" ca="1" si="2">$K2+($P2-$K2)*(M$1-$K$1)/($P$1-$K$1)</f>
        <v>9.4463999999999989E-3</v>
      </c>
      <c r="N2">
        <f t="shared" ca="1" si="2"/>
        <v>9.5616E-3</v>
      </c>
      <c r="O2">
        <f t="shared" ca="1" si="2"/>
        <v>9.6767999999999993E-3</v>
      </c>
      <c r="P2" s="31" cm="1">
        <f t="array" aca="1" ref="P2" ca="1">INDIRECT(CONCATENATE("'",HLOOKUP(P$1,$B$21:$E$23,3,FALSE),"'!",$B$25,ROW($A2)+3))*About!$A$27</f>
        <v>9.7919999999999986E-3</v>
      </c>
      <c r="Q2" cm="1">
        <f t="array" aca="1" ref="Q2" ca="1">TREND($K2:$P2,$K$1:$P$1,Q$1)</f>
        <v>9.9072000000000049E-3</v>
      </c>
      <c r="R2" cm="1">
        <f t="array" aca="1" ref="R2" ca="1">TREND($K2:$P2,$K$1:$P$1,R$1)</f>
        <v>1.0022400000000015E-2</v>
      </c>
      <c r="S2" cm="1">
        <f t="array" aca="1" ref="S2" ca="1">TREND($K2:$P2,$K$1:$P$1,S$1)</f>
        <v>1.0137599999999997E-2</v>
      </c>
      <c r="T2" cm="1">
        <f t="array" aca="1" ref="T2" ca="1">TREND($K2:$P2,$K$1:$P$1,T$1)</f>
        <v>1.0252800000000006E-2</v>
      </c>
      <c r="U2" cm="1">
        <f t="array" aca="1" ref="U2" ca="1">TREND($K2:$P2,$K$1:$P$1,U$1)</f>
        <v>1.0368000000000016E-2</v>
      </c>
      <c r="V2" cm="1">
        <f t="array" aca="1" ref="V2" ca="1">TREND($K2:$P2,$K$1:$P$1,V$1)</f>
        <v>1.0483199999999998E-2</v>
      </c>
      <c r="W2" cm="1">
        <f t="array" aca="1" ref="W2" ca="1">TREND($K2:$P2,$K$1:$P$1,W$1)</f>
        <v>1.0598400000000008E-2</v>
      </c>
      <c r="X2" cm="1">
        <f t="array" aca="1" ref="X2" ca="1">TREND($K2:$P2,$K$1:$P$1,X$1)</f>
        <v>1.0713600000000018E-2</v>
      </c>
      <c r="Y2" cm="1">
        <f t="array" aca="1" ref="Y2" ca="1">TREND($K2:$P2,$K$1:$P$1,Y$1)</f>
        <v>1.08288E-2</v>
      </c>
      <c r="Z2" cm="1">
        <f t="array" aca="1" ref="Z2" ca="1">TREND($K2:$P2,$K$1:$P$1,Z$1)</f>
        <v>1.0944000000000009E-2</v>
      </c>
      <c r="AA2" cm="1">
        <f t="array" aca="1" ref="AA2" ca="1">TREND($K2:$P2,$K$1:$P$1,AA$1)</f>
        <v>1.1059200000000019E-2</v>
      </c>
      <c r="AB2" cm="1">
        <f t="array" aca="1" ref="AB2" ca="1">TREND($K2:$P2,$K$1:$P$1,AB$1)</f>
        <v>1.1174400000000001E-2</v>
      </c>
      <c r="AC2" cm="1">
        <f t="array" aca="1" ref="AC2" ca="1">TREND($K2:$P2,$K$1:$P$1,AC$1)</f>
        <v>1.1289600000000011E-2</v>
      </c>
      <c r="AD2" cm="1">
        <f t="array" aca="1" ref="AD2" ca="1">TREND($K2:$P2,$K$1:$P$1,AD$1)</f>
        <v>1.1404799999999993E-2</v>
      </c>
      <c r="AE2" cm="1">
        <f t="array" aca="1" ref="AE2" ca="1">TREND($K2:$P2,$K$1:$P$1,AE$1)</f>
        <v>1.1520000000000002E-2</v>
      </c>
      <c r="AF2" cm="1">
        <f t="array" aca="1" ref="AF2" ca="1">TREND($K2:$P2,$K$1:$P$1,AF$1)</f>
        <v>1.1635200000000012E-2</v>
      </c>
      <c r="AG2" cm="1">
        <f t="array" aca="1" ref="AG2" ca="1">TREND($K2:$P2,$K$1:$P$1,AG$1)</f>
        <v>1.1750399999999994E-2</v>
      </c>
      <c r="AH2" cm="1">
        <f t="array" aca="1" ref="AH2" ca="1">TREND($K2:$P2,$K$1:$P$1,AH$1)</f>
        <v>1.1865600000000004E-2</v>
      </c>
      <c r="AI2" cm="1">
        <f t="array" aca="1" ref="AI2" ca="1">TREND($K2:$P2,$K$1:$P$1,AI$1)</f>
        <v>1.1980800000000014E-2</v>
      </c>
      <c r="AJ2" cm="1">
        <f t="array" aca="1" ref="AJ2" ca="1">TREND($K2:$P2,$K$1:$P$1,AJ$1)</f>
        <v>1.2095999999999996E-2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4.8959999999999993E-3</v>
      </c>
      <c r="C3">
        <f t="shared" ref="C3:C12" ca="1" si="3">$B3+($F3-$B3)*(C$1-$B$1)/($F$1-$B$1)</f>
        <v>4.9319999999999998E-3</v>
      </c>
      <c r="D3">
        <f t="shared" ca="1" si="0"/>
        <v>4.9680000000000002E-3</v>
      </c>
      <c r="E3">
        <f t="shared" ca="1" si="0"/>
        <v>5.0039999999999998E-3</v>
      </c>
      <c r="F3" s="32" cm="1">
        <f t="array" aca="1" ref="F3" ca="1">INDIRECT(CONCATENATE("'",HLOOKUP(F$1,$B$21:$E$23,3,FALSE),"'!",$B$25,ROW($A3)+5))*About!$A$27</f>
        <v>5.0400000000000002E-3</v>
      </c>
      <c r="G3">
        <f t="shared" ref="G3:G12" ca="1" si="4">$F3+($K3-$F3)*(G$1-$F$1)/($K$1-$F$1)</f>
        <v>5.0975999999999999E-3</v>
      </c>
      <c r="H3">
        <f t="shared" ca="1" si="1"/>
        <v>5.1552000000000004E-3</v>
      </c>
      <c r="I3">
        <f t="shared" ca="1" si="1"/>
        <v>5.2128000000000001E-3</v>
      </c>
      <c r="J3">
        <f t="shared" ca="1" si="1"/>
        <v>5.2704000000000006E-3</v>
      </c>
      <c r="K3" s="32" cm="1">
        <f t="array" aca="1" ref="K3" ca="1">INDIRECT(CONCATENATE("'",HLOOKUP(K$1,$B$21:$E$23,3,FALSE),"'!",$B$25,ROW($A3)+5))*About!$A$27</f>
        <v>5.3280000000000003E-3</v>
      </c>
      <c r="L3">
        <f t="shared" ref="L3:L12" ca="1" si="5">$K3+($P3-$K3)*(L$1-$K$1)/($P$1-$K$1)</f>
        <v>5.3568000000000001E-3</v>
      </c>
      <c r="M3">
        <f t="shared" ca="1" si="2"/>
        <v>5.3855999999999999E-3</v>
      </c>
      <c r="N3">
        <f t="shared" ca="1" si="2"/>
        <v>5.4143999999999998E-3</v>
      </c>
      <c r="O3">
        <f t="shared" ca="1" si="2"/>
        <v>5.4431999999999996E-3</v>
      </c>
      <c r="P3" s="32" cm="1">
        <f t="array" aca="1" ref="P3" ca="1">INDIRECT(CONCATENATE("'",HLOOKUP(P$1,$B$21:$E$23,3,FALSE),"'!",$B$25,ROW($A3)+5))*About!$A$27</f>
        <v>5.4719999999999994E-3</v>
      </c>
      <c r="Q3" cm="1">
        <f t="array" aca="1" ref="Q3" ca="1">TREND($K3:$P3,$K$1:$P$1,Q$1)</f>
        <v>5.5008000000000001E-3</v>
      </c>
      <c r="R3" cm="1">
        <f t="array" aca="1" ref="R3" ca="1">TREND($K3:$P3,$K$1:$P$1,R$1)</f>
        <v>5.5296000000000026E-3</v>
      </c>
      <c r="S3" cm="1">
        <f t="array" aca="1" ref="S3" ca="1">TREND($K3:$P3,$K$1:$P$1,S$1)</f>
        <v>5.558400000000005E-3</v>
      </c>
      <c r="T3" cm="1">
        <f t="array" aca="1" ref="T3" ca="1">TREND($K3:$P3,$K$1:$P$1,T$1)</f>
        <v>5.5872000000000005E-3</v>
      </c>
      <c r="U3" cm="1">
        <f t="array" aca="1" ref="U3" ca="1">TREND($K3:$P3,$K$1:$P$1,U$1)</f>
        <v>5.6160000000000029E-3</v>
      </c>
      <c r="V3" cm="1">
        <f t="array" aca="1" ref="V3" ca="1">TREND($K3:$P3,$K$1:$P$1,V$1)</f>
        <v>5.6447999999999984E-3</v>
      </c>
      <c r="W3" cm="1">
        <f t="array" aca="1" ref="W3" ca="1">TREND($K3:$P3,$K$1:$P$1,W$1)</f>
        <v>5.6736000000000009E-3</v>
      </c>
      <c r="X3" cm="1">
        <f t="array" aca="1" ref="X3" ca="1">TREND($K3:$P3,$K$1:$P$1,X$1)</f>
        <v>5.7024000000000033E-3</v>
      </c>
      <c r="Y3" cm="1">
        <f t="array" aca="1" ref="Y3" ca="1">TREND($K3:$P3,$K$1:$P$1,Y$1)</f>
        <v>5.7311999999999988E-3</v>
      </c>
      <c r="Z3" cm="1">
        <f t="array" aca="1" ref="Z3" ca="1">TREND($K3:$P3,$K$1:$P$1,Z$1)</f>
        <v>5.7600000000000012E-3</v>
      </c>
      <c r="AA3" cm="1">
        <f t="array" aca="1" ref="AA3" ca="1">TREND($K3:$P3,$K$1:$P$1,AA$1)</f>
        <v>5.7888000000000037E-3</v>
      </c>
      <c r="AB3" cm="1">
        <f t="array" aca="1" ref="AB3" ca="1">TREND($K3:$P3,$K$1:$P$1,AB$1)</f>
        <v>5.8175999999999992E-3</v>
      </c>
      <c r="AC3" cm="1">
        <f t="array" aca="1" ref="AC3" ca="1">TREND($K3:$P3,$K$1:$P$1,AC$1)</f>
        <v>5.8464000000000016E-3</v>
      </c>
      <c r="AD3" cm="1">
        <f t="array" aca="1" ref="AD3" ca="1">TREND($K3:$P3,$K$1:$P$1,AD$1)</f>
        <v>5.8751999999999971E-3</v>
      </c>
      <c r="AE3" cm="1">
        <f t="array" aca="1" ref="AE3" ca="1">TREND($K3:$P3,$K$1:$P$1,AE$1)</f>
        <v>5.9039999999999995E-3</v>
      </c>
      <c r="AF3" cm="1">
        <f t="array" aca="1" ref="AF3" ca="1">TREND($K3:$P3,$K$1:$P$1,AF$1)</f>
        <v>5.932800000000002E-3</v>
      </c>
      <c r="AG3" cm="1">
        <f t="array" aca="1" ref="AG3" ca="1">TREND($K3:$P3,$K$1:$P$1,AG$1)</f>
        <v>5.9615999999999975E-3</v>
      </c>
      <c r="AH3" cm="1">
        <f t="array" aca="1" ref="AH3" ca="1">TREND($K3:$P3,$K$1:$P$1,AH$1)</f>
        <v>5.9903999999999999E-3</v>
      </c>
      <c r="AI3" cm="1">
        <f t="array" aca="1" ref="AI3" ca="1">TREND($K3:$P3,$K$1:$P$1,AI$1)</f>
        <v>6.0192000000000023E-3</v>
      </c>
      <c r="AJ3" cm="1">
        <f t="array" aca="1" ref="AJ3" ca="1">TREND($K3:$P3,$K$1:$P$1,AJ$1)</f>
        <v>6.0479999999999978E-3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1.1376000000000001E-2</v>
      </c>
      <c r="C4">
        <f t="shared" ca="1" si="3"/>
        <v>1.1412E-2</v>
      </c>
      <c r="D4">
        <f t="shared" ca="1" si="0"/>
        <v>1.1448E-2</v>
      </c>
      <c r="E4">
        <f t="shared" ca="1" si="0"/>
        <v>1.1483999999999999E-2</v>
      </c>
      <c r="F4" s="32" cm="1">
        <f t="array" aca="1" ref="F4" ca="1">INDIRECT(CONCATENATE("'",HLOOKUP(F$1,$B$21:$E$23,3,FALSE),"'!",$B$25,ROW($A4)+5))*About!$A$27</f>
        <v>1.1519999999999999E-2</v>
      </c>
      <c r="G4">
        <f t="shared" ca="1" si="4"/>
        <v>1.1635199999999998E-2</v>
      </c>
      <c r="H4">
        <f t="shared" ca="1" si="1"/>
        <v>1.1750399999999999E-2</v>
      </c>
      <c r="I4">
        <f t="shared" ca="1" si="1"/>
        <v>1.1865599999999999E-2</v>
      </c>
      <c r="J4">
        <f t="shared" ca="1" si="1"/>
        <v>1.19808E-2</v>
      </c>
      <c r="K4" s="32" cm="1">
        <f t="array" aca="1" ref="K4" ca="1">INDIRECT(CONCATENATE("'",HLOOKUP(K$1,$B$21:$E$23,3,FALSE),"'!",$B$25,ROW($A4)+5))*About!$A$27</f>
        <v>1.2095999999999999E-2</v>
      </c>
      <c r="L4">
        <f t="shared" ca="1" si="5"/>
        <v>1.22688E-2</v>
      </c>
      <c r="M4">
        <f t="shared" ca="1" si="2"/>
        <v>1.2441599999999999E-2</v>
      </c>
      <c r="N4">
        <f t="shared" ca="1" si="2"/>
        <v>1.26144E-2</v>
      </c>
      <c r="O4">
        <f t="shared" ca="1" si="2"/>
        <v>1.2787199999999999E-2</v>
      </c>
      <c r="P4" s="32" cm="1">
        <f t="array" aca="1" ref="P4" ca="1">INDIRECT(CONCATENATE("'",HLOOKUP(P$1,$B$21:$E$23,3,FALSE),"'!",$B$25,ROW($A4)+5))*About!$A$27</f>
        <v>1.2959999999999999E-2</v>
      </c>
      <c r="Q4" cm="1">
        <f t="array" aca="1" ref="Q4" ca="1">TREND($K4:$P4,$K$1:$P$1,Q$1)</f>
        <v>1.31328E-2</v>
      </c>
      <c r="R4" cm="1">
        <f t="array" aca="1" ref="R4" ca="1">TREND($K4:$P4,$K$1:$P$1,R$1)</f>
        <v>1.3305599999999973E-2</v>
      </c>
      <c r="S4" cm="1">
        <f t="array" aca="1" ref="S4" ca="1">TREND($K4:$P4,$K$1:$P$1,S$1)</f>
        <v>1.3478400000000001E-2</v>
      </c>
      <c r="T4" cm="1">
        <f t="array" aca="1" ref="T4" ca="1">TREND($K4:$P4,$K$1:$P$1,T$1)</f>
        <v>1.3651199999999974E-2</v>
      </c>
      <c r="U4" cm="1">
        <f t="array" aca="1" ref="U4" ca="1">TREND($K4:$P4,$K$1:$P$1,U$1)</f>
        <v>1.3824000000000003E-2</v>
      </c>
      <c r="V4" cm="1">
        <f t="array" aca="1" ref="V4" ca="1">TREND($K4:$P4,$K$1:$P$1,V$1)</f>
        <v>1.3996799999999976E-2</v>
      </c>
      <c r="W4" cm="1">
        <f t="array" aca="1" ref="W4" ca="1">TREND($K4:$P4,$K$1:$P$1,W$1)</f>
        <v>1.4169600000000004E-2</v>
      </c>
      <c r="X4" cm="1">
        <f t="array" aca="1" ref="X4" ca="1">TREND($K4:$P4,$K$1:$P$1,X$1)</f>
        <v>1.4342399999999977E-2</v>
      </c>
      <c r="Y4" cm="1">
        <f t="array" aca="1" ref="Y4" ca="1">TREND($K4:$P4,$K$1:$P$1,Y$1)</f>
        <v>1.4515200000000006E-2</v>
      </c>
      <c r="Z4" cm="1">
        <f t="array" aca="1" ref="Z4" ca="1">TREND($K4:$P4,$K$1:$P$1,Z$1)</f>
        <v>1.4687999999999979E-2</v>
      </c>
      <c r="AA4" cm="1">
        <f t="array" aca="1" ref="AA4" ca="1">TREND($K4:$P4,$K$1:$P$1,AA$1)</f>
        <v>1.4860800000000007E-2</v>
      </c>
      <c r="AB4" cm="1">
        <f t="array" aca="1" ref="AB4" ca="1">TREND($K4:$P4,$K$1:$P$1,AB$1)</f>
        <v>1.503359999999998E-2</v>
      </c>
      <c r="AC4" cm="1">
        <f t="array" aca="1" ref="AC4" ca="1">TREND($K4:$P4,$K$1:$P$1,AC$1)</f>
        <v>1.5206400000000009E-2</v>
      </c>
      <c r="AD4" cm="1">
        <f t="array" aca="1" ref="AD4" ca="1">TREND($K4:$P4,$K$1:$P$1,AD$1)</f>
        <v>1.5379199999999982E-2</v>
      </c>
      <c r="AE4" cm="1">
        <f t="array" aca="1" ref="AE4" ca="1">TREND($K4:$P4,$K$1:$P$1,AE$1)</f>
        <v>1.555200000000001E-2</v>
      </c>
      <c r="AF4" cm="1">
        <f t="array" aca="1" ref="AF4" ca="1">TREND($K4:$P4,$K$1:$P$1,AF$1)</f>
        <v>1.5724799999999983E-2</v>
      </c>
      <c r="AG4" cm="1">
        <f t="array" aca="1" ref="AG4" ca="1">TREND($K4:$P4,$K$1:$P$1,AG$1)</f>
        <v>1.5897600000000012E-2</v>
      </c>
      <c r="AH4" cm="1">
        <f t="array" aca="1" ref="AH4" ca="1">TREND($K4:$P4,$K$1:$P$1,AH$1)</f>
        <v>1.6070399999999985E-2</v>
      </c>
      <c r="AI4" cm="1">
        <f t="array" aca="1" ref="AI4" ca="1">TREND($K4:$P4,$K$1:$P$1,AI$1)</f>
        <v>1.6243199999999958E-2</v>
      </c>
      <c r="AJ4" cm="1">
        <f t="array" aca="1" ref="AJ4" ca="1">TREND($K4:$P4,$K$1:$P$1,AJ$1)</f>
        <v>1.6415999999999986E-2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0.14399999999999999</v>
      </c>
      <c r="C5">
        <f t="shared" ca="1" si="3"/>
        <v>0.14399999999999999</v>
      </c>
      <c r="D5">
        <f t="shared" ca="1" si="0"/>
        <v>0.14399999999999999</v>
      </c>
      <c r="E5">
        <f t="shared" ca="1" si="0"/>
        <v>0.14399999999999999</v>
      </c>
      <c r="F5" s="32" cm="1">
        <f t="array" aca="1" ref="F5" ca="1">INDIRECT(CONCATENATE("'",HLOOKUP(F$1,$B$21:$E$23,3,FALSE),"'!",$B$25,ROW($A5)+5))*About!$A$27</f>
        <v>0.14399999999999999</v>
      </c>
      <c r="G5">
        <f t="shared" ca="1" si="4"/>
        <v>0.14687999999999998</v>
      </c>
      <c r="H5">
        <f t="shared" ca="1" si="1"/>
        <v>0.14975999999999998</v>
      </c>
      <c r="I5">
        <f t="shared" ca="1" si="1"/>
        <v>0.15264</v>
      </c>
      <c r="J5">
        <f t="shared" ca="1" si="1"/>
        <v>0.15551999999999999</v>
      </c>
      <c r="K5" s="32" cm="1">
        <f t="array" aca="1" ref="K5" ca="1">INDIRECT(CONCATENATE("'",HLOOKUP(K$1,$B$21:$E$23,3,FALSE),"'!",$B$25,ROW($A5)+5))*About!$A$27</f>
        <v>0.15839999999999999</v>
      </c>
      <c r="L5">
        <f t="shared" ca="1" si="5"/>
        <v>0.16127999999999998</v>
      </c>
      <c r="M5">
        <f t="shared" ca="1" si="2"/>
        <v>0.16415999999999997</v>
      </c>
      <c r="N5">
        <f t="shared" ca="1" si="2"/>
        <v>0.16703999999999999</v>
      </c>
      <c r="O5">
        <f t="shared" ca="1" si="2"/>
        <v>0.16991999999999999</v>
      </c>
      <c r="P5" s="32" cm="1">
        <f t="array" aca="1" ref="P5" ca="1">INDIRECT(CONCATENATE("'",HLOOKUP(P$1,$B$21:$E$23,3,FALSE),"'!",$B$25,ROW($A5)+5))*About!$A$27</f>
        <v>0.17279999999999998</v>
      </c>
      <c r="Q5" cm="1">
        <f t="array" aca="1" ref="Q5" ca="1">TREND($K5:$P5,$K$1:$P$1,Q$1)</f>
        <v>0.17568000000000072</v>
      </c>
      <c r="R5" cm="1">
        <f t="array" aca="1" ref="R5" ca="1">TREND($K5:$P5,$K$1:$P$1,R$1)</f>
        <v>0.17856000000000094</v>
      </c>
      <c r="S5" cm="1">
        <f t="array" aca="1" ref="S5" ca="1">TREND($K5:$P5,$K$1:$P$1,S$1)</f>
        <v>0.18144000000000116</v>
      </c>
      <c r="T5" cm="1">
        <f t="array" aca="1" ref="T5" ca="1">TREND($K5:$P5,$K$1:$P$1,T$1)</f>
        <v>0.18432000000000048</v>
      </c>
      <c r="U5" cm="1">
        <f t="array" aca="1" ref="U5" ca="1">TREND($K5:$P5,$K$1:$P$1,U$1)</f>
        <v>0.1872000000000007</v>
      </c>
      <c r="V5" cm="1">
        <f t="array" aca="1" ref="V5" ca="1">TREND($K5:$P5,$K$1:$P$1,V$1)</f>
        <v>0.19008000000000091</v>
      </c>
      <c r="W5" cm="1">
        <f t="array" aca="1" ref="W5" ca="1">TREND($K5:$P5,$K$1:$P$1,W$1)</f>
        <v>0.19296000000000113</v>
      </c>
      <c r="X5" cm="1">
        <f t="array" aca="1" ref="X5" ca="1">TREND($K5:$P5,$K$1:$P$1,X$1)</f>
        <v>0.19584000000000046</v>
      </c>
      <c r="Y5" cm="1">
        <f t="array" aca="1" ref="Y5" ca="1">TREND($K5:$P5,$K$1:$P$1,Y$1)</f>
        <v>0.19872000000000067</v>
      </c>
      <c r="Z5" cm="1">
        <f t="array" aca="1" ref="Z5" ca="1">TREND($K5:$P5,$K$1:$P$1,Z$1)</f>
        <v>0.20160000000000089</v>
      </c>
      <c r="AA5" cm="1">
        <f t="array" aca="1" ref="AA5" ca="1">TREND($K5:$P5,$K$1:$P$1,AA$1)</f>
        <v>0.20448000000000111</v>
      </c>
      <c r="AB5" cm="1">
        <f t="array" aca="1" ref="AB5" ca="1">TREND($K5:$P5,$K$1:$P$1,AB$1)</f>
        <v>0.20736000000000043</v>
      </c>
      <c r="AC5" cm="1">
        <f t="array" aca="1" ref="AC5" ca="1">TREND($K5:$P5,$K$1:$P$1,AC$1)</f>
        <v>0.21024000000000065</v>
      </c>
      <c r="AD5" cm="1">
        <f t="array" aca="1" ref="AD5" ca="1">TREND($K5:$P5,$K$1:$P$1,AD$1)</f>
        <v>0.21312000000000086</v>
      </c>
      <c r="AE5" cm="1">
        <f t="array" aca="1" ref="AE5" ca="1">TREND($K5:$P5,$K$1:$P$1,AE$1)</f>
        <v>0.21600000000000108</v>
      </c>
      <c r="AF5" cm="1">
        <f t="array" aca="1" ref="AF5" ca="1">TREND($K5:$P5,$K$1:$P$1,AF$1)</f>
        <v>0.21888000000000041</v>
      </c>
      <c r="AG5" cm="1">
        <f t="array" aca="1" ref="AG5" ca="1">TREND($K5:$P5,$K$1:$P$1,AG$1)</f>
        <v>0.22176000000000062</v>
      </c>
      <c r="AH5" cm="1">
        <f t="array" aca="1" ref="AH5" ca="1">TREND($K5:$P5,$K$1:$P$1,AH$1)</f>
        <v>0.22464000000000084</v>
      </c>
      <c r="AI5" cm="1">
        <f t="array" aca="1" ref="AI5" ca="1">TREND($K5:$P5,$K$1:$P$1,AI$1)</f>
        <v>0.22752000000000105</v>
      </c>
      <c r="AJ5" cm="1">
        <f t="array" aca="1" ref="AJ5" ca="1">TREND($K5:$P5,$K$1:$P$1,AJ$1)</f>
        <v>0.23040000000000127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0.216</v>
      </c>
      <c r="C6">
        <f t="shared" ca="1" si="3"/>
        <v>0.216</v>
      </c>
      <c r="D6">
        <f t="shared" ca="1" si="0"/>
        <v>0.216</v>
      </c>
      <c r="E6">
        <f t="shared" ca="1" si="0"/>
        <v>0.216</v>
      </c>
      <c r="F6" s="32" cm="1">
        <f t="array" aca="1" ref="F6" ca="1">INDIRECT(CONCATENATE("'",HLOOKUP(F$1,$B$21:$E$23,3,FALSE),"'!",$B$25,ROW($A6)+5))*About!$A$27</f>
        <v>0.216</v>
      </c>
      <c r="G6">
        <f t="shared" ca="1" si="4"/>
        <v>0.216</v>
      </c>
      <c r="H6">
        <f t="shared" ca="1" si="1"/>
        <v>0.216</v>
      </c>
      <c r="I6">
        <f t="shared" ca="1" si="1"/>
        <v>0.216</v>
      </c>
      <c r="J6">
        <f t="shared" ca="1" si="1"/>
        <v>0.216</v>
      </c>
      <c r="K6" s="32" cm="1">
        <f t="array" aca="1" ref="K6" ca="1">INDIRECT(CONCATENATE("'",HLOOKUP(K$1,$B$21:$E$23,3,FALSE),"'!",$B$25,ROW($A6)+5))*About!$A$27</f>
        <v>0.216</v>
      </c>
      <c r="L6">
        <f t="shared" ca="1" si="5"/>
        <v>0.22176000000000001</v>
      </c>
      <c r="M6">
        <f t="shared" ca="1" si="2"/>
        <v>0.22752</v>
      </c>
      <c r="N6">
        <f t="shared" ca="1" si="2"/>
        <v>0.23328000000000002</v>
      </c>
      <c r="O6">
        <f t="shared" ca="1" si="2"/>
        <v>0.23904</v>
      </c>
      <c r="P6" s="32" cm="1">
        <f t="array" aca="1" ref="P6" ca="1">INDIRECT(CONCATENATE("'",HLOOKUP(P$1,$B$21:$E$23,3,FALSE),"'!",$B$25,ROW($A6)+5))*About!$A$27</f>
        <v>0.24480000000000002</v>
      </c>
      <c r="Q6" cm="1">
        <f t="array" aca="1" ref="Q6" ca="1">TREND($K6:$P6,$K$1:$P$1,Q$1)</f>
        <v>0.25056000000000012</v>
      </c>
      <c r="R6" cm="1">
        <f t="array" aca="1" ref="R6" ca="1">TREND($K6:$P6,$K$1:$P$1,R$1)</f>
        <v>0.25632000000000055</v>
      </c>
      <c r="S6" cm="1">
        <f t="array" aca="1" ref="S6" ca="1">TREND($K6:$P6,$K$1:$P$1,S$1)</f>
        <v>0.26208000000000098</v>
      </c>
      <c r="T6" cm="1">
        <f t="array" aca="1" ref="T6" ca="1">TREND($K6:$P6,$K$1:$P$1,T$1)</f>
        <v>0.26783999999999963</v>
      </c>
      <c r="U6" cm="1">
        <f t="array" aca="1" ref="U6" ca="1">TREND($K6:$P6,$K$1:$P$1,U$1)</f>
        <v>0.27360000000000007</v>
      </c>
      <c r="V6" cm="1">
        <f t="array" aca="1" ref="V6" ca="1">TREND($K6:$P6,$K$1:$P$1,V$1)</f>
        <v>0.2793600000000005</v>
      </c>
      <c r="W6" cm="1">
        <f t="array" aca="1" ref="W6" ca="1">TREND($K6:$P6,$K$1:$P$1,W$1)</f>
        <v>0.28512000000000093</v>
      </c>
      <c r="X6" cm="1">
        <f t="array" aca="1" ref="X6" ca="1">TREND($K6:$P6,$K$1:$P$1,X$1)</f>
        <v>0.29087999999999958</v>
      </c>
      <c r="Y6" cm="1">
        <f t="array" aca="1" ref="Y6" ca="1">TREND($K6:$P6,$K$1:$P$1,Y$1)</f>
        <v>0.29664000000000001</v>
      </c>
      <c r="Z6" cm="1">
        <f t="array" aca="1" ref="Z6" ca="1">TREND($K6:$P6,$K$1:$P$1,Z$1)</f>
        <v>0.30240000000000045</v>
      </c>
      <c r="AA6" cm="1">
        <f t="array" aca="1" ref="AA6" ca="1">TREND($K6:$P6,$K$1:$P$1,AA$1)</f>
        <v>0.30816000000000088</v>
      </c>
      <c r="AB6" cm="1">
        <f t="array" aca="1" ref="AB6" ca="1">TREND($K6:$P6,$K$1:$P$1,AB$1)</f>
        <v>0.31391999999999953</v>
      </c>
      <c r="AC6" cm="1">
        <f t="array" aca="1" ref="AC6" ca="1">TREND($K6:$P6,$K$1:$P$1,AC$1)</f>
        <v>0.31967999999999996</v>
      </c>
      <c r="AD6" cm="1">
        <f t="array" aca="1" ref="AD6" ca="1">TREND($K6:$P6,$K$1:$P$1,AD$1)</f>
        <v>0.3254400000000004</v>
      </c>
      <c r="AE6" cm="1">
        <f t="array" aca="1" ref="AE6" ca="1">TREND($K6:$P6,$K$1:$P$1,AE$1)</f>
        <v>0.33120000000000083</v>
      </c>
      <c r="AF6" cm="1">
        <f t="array" aca="1" ref="AF6" ca="1">TREND($K6:$P6,$K$1:$P$1,AF$1)</f>
        <v>0.33695999999999948</v>
      </c>
      <c r="AG6" cm="1">
        <f t="array" aca="1" ref="AG6" ca="1">TREND($K6:$P6,$K$1:$P$1,AG$1)</f>
        <v>0.34271999999999991</v>
      </c>
      <c r="AH6" cm="1">
        <f t="array" aca="1" ref="AH6" ca="1">TREND($K6:$P6,$K$1:$P$1,AH$1)</f>
        <v>0.34848000000000035</v>
      </c>
      <c r="AI6" cm="1">
        <f t="array" aca="1" ref="AI6" ca="1">TREND($K6:$P6,$K$1:$P$1,AI$1)</f>
        <v>0.35424000000000078</v>
      </c>
      <c r="AJ6" cm="1">
        <f t="array" aca="1" ref="AJ6" ca="1">TREND($K6:$P6,$K$1:$P$1,AJ$1)</f>
        <v>0.36000000000000121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6.3360000000000003</v>
      </c>
      <c r="C7">
        <f t="shared" ca="1" si="3"/>
        <v>6.3719999999999999</v>
      </c>
      <c r="D7">
        <f t="shared" ca="1" si="0"/>
        <v>6.4079999999999995</v>
      </c>
      <c r="E7">
        <f t="shared" ca="1" si="0"/>
        <v>6.444</v>
      </c>
      <c r="F7" s="32" cm="1">
        <f t="array" aca="1" ref="F7" ca="1">INDIRECT(CONCATENATE("'",HLOOKUP(F$1,$B$21:$E$23,3,FALSE),"'!",$B$25,ROW($A7)+5))*About!$A$27</f>
        <v>6.4799999999999995</v>
      </c>
      <c r="G7">
        <f t="shared" ca="1" si="4"/>
        <v>6.4799999999999995</v>
      </c>
      <c r="H7">
        <f t="shared" ca="1" si="1"/>
        <v>6.4799999999999995</v>
      </c>
      <c r="I7">
        <f t="shared" ca="1" si="1"/>
        <v>6.4799999999999995</v>
      </c>
      <c r="J7">
        <f t="shared" ca="1" si="1"/>
        <v>6.4799999999999995</v>
      </c>
      <c r="K7" s="32" cm="1">
        <f t="array" aca="1" ref="K7" ca="1">INDIRECT(CONCATENATE("'",HLOOKUP(K$1,$B$21:$E$23,3,FALSE),"'!",$B$25,ROW($A7)+5))*About!$A$27</f>
        <v>6.4799999999999995</v>
      </c>
      <c r="L7">
        <f t="shared" ca="1" si="5"/>
        <v>6.5087999999999999</v>
      </c>
      <c r="M7">
        <f t="shared" ca="1" si="2"/>
        <v>6.5375999999999994</v>
      </c>
      <c r="N7">
        <f t="shared" ca="1" si="2"/>
        <v>6.5663999999999998</v>
      </c>
      <c r="O7">
        <f t="shared" ca="1" si="2"/>
        <v>6.5951999999999993</v>
      </c>
      <c r="P7" s="32" cm="1">
        <f t="array" aca="1" ref="P7" ca="1">INDIRECT(CONCATENATE("'",HLOOKUP(P$1,$B$21:$E$23,3,FALSE),"'!",$B$25,ROW($A7)+5))*About!$A$27</f>
        <v>6.6239999999999997</v>
      </c>
      <c r="Q7" cm="1">
        <f t="array" aca="1" ref="Q7" ca="1">TREND($K7:$P7,$K$1:$P$1,Q$1)</f>
        <v>6.6527999999999992</v>
      </c>
      <c r="R7" cm="1">
        <f t="array" aca="1" ref="R7" ca="1">TREND($K7:$P7,$K$1:$P$1,R$1)</f>
        <v>6.6816000000000031</v>
      </c>
      <c r="S7" cm="1">
        <f t="array" aca="1" ref="S7" ca="1">TREND($K7:$P7,$K$1:$P$1,S$1)</f>
        <v>6.7103999999999999</v>
      </c>
      <c r="T7" cm="1">
        <f t="array" aca="1" ref="T7" ca="1">TREND($K7:$P7,$K$1:$P$1,T$1)</f>
        <v>6.7392000000000039</v>
      </c>
      <c r="U7" cm="1">
        <f t="array" aca="1" ref="U7" ca="1">TREND($K7:$P7,$K$1:$P$1,U$1)</f>
        <v>6.7680000000000007</v>
      </c>
      <c r="V7" cm="1">
        <f t="array" aca="1" ref="V7" ca="1">TREND($K7:$P7,$K$1:$P$1,V$1)</f>
        <v>6.7968000000000046</v>
      </c>
      <c r="W7" cm="1">
        <f t="array" aca="1" ref="W7" ca="1">TREND($K7:$P7,$K$1:$P$1,W$1)</f>
        <v>6.8256000000000014</v>
      </c>
      <c r="X7" cm="1">
        <f t="array" aca="1" ref="X7" ca="1">TREND($K7:$P7,$K$1:$P$1,X$1)</f>
        <v>6.8544000000000054</v>
      </c>
      <c r="Y7" cm="1">
        <f t="array" aca="1" ref="Y7" ca="1">TREND($K7:$P7,$K$1:$P$1,Y$1)</f>
        <v>6.8832000000000022</v>
      </c>
      <c r="Z7" cm="1">
        <f t="array" aca="1" ref="Z7" ca="1">TREND($K7:$P7,$K$1:$P$1,Z$1)</f>
        <v>6.911999999999999</v>
      </c>
      <c r="AA7" cm="1">
        <f t="array" aca="1" ref="AA7" ca="1">TREND($K7:$P7,$K$1:$P$1,AA$1)</f>
        <v>6.940800000000003</v>
      </c>
      <c r="AB7" cm="1">
        <f t="array" aca="1" ref="AB7" ca="1">TREND($K7:$P7,$K$1:$P$1,AB$1)</f>
        <v>6.9695999999999998</v>
      </c>
      <c r="AC7" cm="1">
        <f t="array" aca="1" ref="AC7" ca="1">TREND($K7:$P7,$K$1:$P$1,AC$1)</f>
        <v>6.9984000000000037</v>
      </c>
      <c r="AD7" cm="1">
        <f t="array" aca="1" ref="AD7" ca="1">TREND($K7:$P7,$K$1:$P$1,AD$1)</f>
        <v>7.0272000000000006</v>
      </c>
      <c r="AE7" cm="1">
        <f t="array" aca="1" ref="AE7" ca="1">TREND($K7:$P7,$K$1:$P$1,AE$1)</f>
        <v>7.0560000000000045</v>
      </c>
      <c r="AF7" cm="1">
        <f t="array" aca="1" ref="AF7" ca="1">TREND($K7:$P7,$K$1:$P$1,AF$1)</f>
        <v>7.0848000000000013</v>
      </c>
      <c r="AG7" cm="1">
        <f t="array" aca="1" ref="AG7" ca="1">TREND($K7:$P7,$K$1:$P$1,AG$1)</f>
        <v>7.1136000000000053</v>
      </c>
      <c r="AH7" cm="1">
        <f t="array" aca="1" ref="AH7" ca="1">TREND($K7:$P7,$K$1:$P$1,AH$1)</f>
        <v>7.1424000000000021</v>
      </c>
      <c r="AI7" cm="1">
        <f t="array" aca="1" ref="AI7" ca="1">TREND($K7:$P7,$K$1:$P$1,AI$1)</f>
        <v>7.1711999999999989</v>
      </c>
      <c r="AJ7" cm="1">
        <f t="array" aca="1" ref="AJ7" ca="1">TREND($K7:$P7,$K$1:$P$1,AJ$1)</f>
        <v>7.2000000000000028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1.0655999999999999</v>
      </c>
      <c r="C8">
        <f t="shared" ca="1" si="3"/>
        <v>1.0728</v>
      </c>
      <c r="D8">
        <f t="shared" ca="1" si="0"/>
        <v>1.08</v>
      </c>
      <c r="E8">
        <f t="shared" ca="1" si="0"/>
        <v>1.0871999999999999</v>
      </c>
      <c r="F8" s="32" cm="1">
        <f t="array" aca="1" ref="F8" ca="1">INDIRECT(CONCATENATE("'",HLOOKUP(F$1,$B$21:$E$23,3,FALSE),"'!",$B$25,ROW($A8)+5))*About!$A$27</f>
        <v>1.0944</v>
      </c>
      <c r="G8">
        <f t="shared" ca="1" si="4"/>
        <v>1.09728</v>
      </c>
      <c r="H8">
        <f t="shared" ca="1" si="1"/>
        <v>1.10016</v>
      </c>
      <c r="I8">
        <f t="shared" ca="1" si="1"/>
        <v>1.10304</v>
      </c>
      <c r="J8">
        <f t="shared" ca="1" si="1"/>
        <v>1.10592</v>
      </c>
      <c r="K8" s="32" cm="1">
        <f t="array" aca="1" ref="K8" ca="1">INDIRECT(CONCATENATE("'",HLOOKUP(K$1,$B$21:$E$23,3,FALSE),"'!",$B$25,ROW($A8)+5))*About!$A$27</f>
        <v>1.1088</v>
      </c>
      <c r="L8">
        <f t="shared" ca="1" si="5"/>
        <v>1.11456</v>
      </c>
      <c r="M8">
        <f t="shared" ca="1" si="2"/>
        <v>1.12032</v>
      </c>
      <c r="N8">
        <f t="shared" ca="1" si="2"/>
        <v>1.12608</v>
      </c>
      <c r="O8">
        <f t="shared" ca="1" si="2"/>
        <v>1.13184</v>
      </c>
      <c r="P8" s="32" cm="1">
        <f t="array" aca="1" ref="P8" ca="1">INDIRECT(CONCATENATE("'",HLOOKUP(P$1,$B$21:$E$23,3,FALSE),"'!",$B$25,ROW($A8)+5))*About!$A$27</f>
        <v>1.1375999999999999</v>
      </c>
      <c r="Q8" cm="1">
        <f t="array" aca="1" ref="Q8" ca="1">TREND($K8:$P8,$K$1:$P$1,Q$1)</f>
        <v>1.1433599999999995</v>
      </c>
      <c r="R8" cm="1">
        <f t="array" aca="1" ref="R8" ca="1">TREND($K8:$P8,$K$1:$P$1,R$1)</f>
        <v>1.1491199999999999</v>
      </c>
      <c r="S8" cm="1">
        <f t="array" aca="1" ref="S8" ca="1">TREND($K8:$P8,$K$1:$P$1,S$1)</f>
        <v>1.1548800000000004</v>
      </c>
      <c r="T8" cm="1">
        <f t="array" aca="1" ref="T8" ca="1">TREND($K8:$P8,$K$1:$P$1,T$1)</f>
        <v>1.1606400000000008</v>
      </c>
      <c r="U8" cm="1">
        <f t="array" aca="1" ref="U8" ca="1">TREND($K8:$P8,$K$1:$P$1,U$1)</f>
        <v>1.1663999999999994</v>
      </c>
      <c r="V8" cm="1">
        <f t="array" aca="1" ref="V8" ca="1">TREND($K8:$P8,$K$1:$P$1,V$1)</f>
        <v>1.1721599999999999</v>
      </c>
      <c r="W8" cm="1">
        <f t="array" aca="1" ref="W8" ca="1">TREND($K8:$P8,$K$1:$P$1,W$1)</f>
        <v>1.1779200000000003</v>
      </c>
      <c r="X8" cm="1">
        <f t="array" aca="1" ref="X8" ca="1">TREND($K8:$P8,$K$1:$P$1,X$1)</f>
        <v>1.183679999999999</v>
      </c>
      <c r="Y8" cm="1">
        <f t="array" aca="1" ref="Y8" ca="1">TREND($K8:$P8,$K$1:$P$1,Y$1)</f>
        <v>1.1894399999999994</v>
      </c>
      <c r="Z8" cm="1">
        <f t="array" aca="1" ref="Z8" ca="1">TREND($K8:$P8,$K$1:$P$1,Z$1)</f>
        <v>1.1951999999999998</v>
      </c>
      <c r="AA8" cm="1">
        <f t="array" aca="1" ref="AA8" ca="1">TREND($K8:$P8,$K$1:$P$1,AA$1)</f>
        <v>1.2009600000000002</v>
      </c>
      <c r="AB8" cm="1">
        <f t="array" aca="1" ref="AB8" ca="1">TREND($K8:$P8,$K$1:$P$1,AB$1)</f>
        <v>1.2067200000000007</v>
      </c>
      <c r="AC8" cm="1">
        <f t="array" aca="1" ref="AC8" ca="1">TREND($K8:$P8,$K$1:$P$1,AC$1)</f>
        <v>1.2124799999999993</v>
      </c>
      <c r="AD8" cm="1">
        <f t="array" aca="1" ref="AD8" ca="1">TREND($K8:$P8,$K$1:$P$1,AD$1)</f>
        <v>1.2182399999999998</v>
      </c>
      <c r="AE8" cm="1">
        <f t="array" aca="1" ref="AE8" ca="1">TREND($K8:$P8,$K$1:$P$1,AE$1)</f>
        <v>1.2240000000000002</v>
      </c>
      <c r="AF8" cm="1">
        <f t="array" aca="1" ref="AF8" ca="1">TREND($K8:$P8,$K$1:$P$1,AF$1)</f>
        <v>1.2297599999999989</v>
      </c>
      <c r="AG8" cm="1">
        <f t="array" aca="1" ref="AG8" ca="1">TREND($K8:$P8,$K$1:$P$1,AG$1)</f>
        <v>1.2355199999999993</v>
      </c>
      <c r="AH8" cm="1">
        <f t="array" aca="1" ref="AH8" ca="1">TREND($K8:$P8,$K$1:$P$1,AH$1)</f>
        <v>1.2412799999999997</v>
      </c>
      <c r="AI8" cm="1">
        <f t="array" aca="1" ref="AI8" ca="1">TREND($K8:$P8,$K$1:$P$1,AI$1)</f>
        <v>1.2470400000000001</v>
      </c>
      <c r="AJ8" cm="1">
        <f t="array" aca="1" ref="AJ8" ca="1">TREND($K8:$P8,$K$1:$P$1,AJ$1)</f>
        <v>1.2528000000000006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0.24480000000000002</v>
      </c>
      <c r="C9">
        <f t="shared" ca="1" si="3"/>
        <v>0.24480000000000002</v>
      </c>
      <c r="D9">
        <f t="shared" ca="1" si="0"/>
        <v>0.24480000000000002</v>
      </c>
      <c r="E9">
        <f t="shared" ca="1" si="0"/>
        <v>0.24480000000000002</v>
      </c>
      <c r="F9" s="32" cm="1">
        <f t="array" aca="1" ref="F9" ca="1">INDIRECT(CONCATENATE("'",HLOOKUP(F$1,$B$21:$E$23,3,FALSE),"'!",$B$25,ROW($A9)+5))*About!$A$27</f>
        <v>0.24480000000000002</v>
      </c>
      <c r="G9">
        <f t="shared" ca="1" si="4"/>
        <v>0.24768000000000001</v>
      </c>
      <c r="H9">
        <f t="shared" ca="1" si="1"/>
        <v>0.25056</v>
      </c>
      <c r="I9">
        <f t="shared" ca="1" si="1"/>
        <v>0.25344</v>
      </c>
      <c r="J9">
        <f t="shared" ca="1" si="1"/>
        <v>0.25631999999999999</v>
      </c>
      <c r="K9" s="32" cm="1">
        <f t="array" aca="1" ref="K9" ca="1">INDIRECT(CONCATENATE("'",HLOOKUP(K$1,$B$21:$E$23,3,FALSE),"'!",$B$25,ROW($A9)+5))*About!$A$27</f>
        <v>0.25919999999999999</v>
      </c>
      <c r="L9">
        <f t="shared" ca="1" si="5"/>
        <v>0.26207999999999998</v>
      </c>
      <c r="M9">
        <f t="shared" ca="1" si="2"/>
        <v>0.26495999999999997</v>
      </c>
      <c r="N9">
        <f t="shared" ca="1" si="2"/>
        <v>0.26784000000000002</v>
      </c>
      <c r="O9">
        <f t="shared" ca="1" si="2"/>
        <v>0.27072000000000002</v>
      </c>
      <c r="P9" s="32" cm="1">
        <f t="array" aca="1" ref="P9" ca="1">INDIRECT(CONCATENATE("'",HLOOKUP(P$1,$B$21:$E$23,3,FALSE),"'!",$B$25,ROW($A9)+5))*About!$A$27</f>
        <v>0.27360000000000001</v>
      </c>
      <c r="Q9" cm="1">
        <f t="array" aca="1" ref="Q9" ca="1">TREND($K9:$P9,$K$1:$P$1,Q$1)</f>
        <v>0.27648000000000028</v>
      </c>
      <c r="R9" cm="1">
        <f t="array" aca="1" ref="R9" ca="1">TREND($K9:$P9,$K$1:$P$1,R$1)</f>
        <v>0.2793600000000005</v>
      </c>
      <c r="S9" cm="1">
        <f t="array" aca="1" ref="S9" ca="1">TREND($K9:$P9,$K$1:$P$1,S$1)</f>
        <v>0.28224000000000071</v>
      </c>
      <c r="T9" cm="1">
        <f t="array" aca="1" ref="T9" ca="1">TREND($K9:$P9,$K$1:$P$1,T$1)</f>
        <v>0.28512000000000004</v>
      </c>
      <c r="U9" cm="1">
        <f t="array" aca="1" ref="U9" ca="1">TREND($K9:$P9,$K$1:$P$1,U$1)</f>
        <v>0.28800000000000026</v>
      </c>
      <c r="V9" cm="1">
        <f t="array" aca="1" ref="V9" ca="1">TREND($K9:$P9,$K$1:$P$1,V$1)</f>
        <v>0.29088000000000047</v>
      </c>
      <c r="W9" cm="1">
        <f t="array" aca="1" ref="W9" ca="1">TREND($K9:$P9,$K$1:$P$1,W$1)</f>
        <v>0.29376000000000069</v>
      </c>
      <c r="X9" cm="1">
        <f t="array" aca="1" ref="X9" ca="1">TREND($K9:$P9,$K$1:$P$1,X$1)</f>
        <v>0.29664000000000001</v>
      </c>
      <c r="Y9" cm="1">
        <f t="array" aca="1" ref="Y9" ca="1">TREND($K9:$P9,$K$1:$P$1,Y$1)</f>
        <v>0.29952000000000023</v>
      </c>
      <c r="Z9" cm="1">
        <f t="array" aca="1" ref="Z9" ca="1">TREND($K9:$P9,$K$1:$P$1,Z$1)</f>
        <v>0.30240000000000045</v>
      </c>
      <c r="AA9" cm="1">
        <f t="array" aca="1" ref="AA9" ca="1">TREND($K9:$P9,$K$1:$P$1,AA$1)</f>
        <v>0.30528000000000066</v>
      </c>
      <c r="AB9" cm="1">
        <f t="array" aca="1" ref="AB9" ca="1">TREND($K9:$P9,$K$1:$P$1,AB$1)</f>
        <v>0.30815999999999999</v>
      </c>
      <c r="AC9" cm="1">
        <f t="array" aca="1" ref="AC9" ca="1">TREND($K9:$P9,$K$1:$P$1,AC$1)</f>
        <v>0.31104000000000021</v>
      </c>
      <c r="AD9" cm="1">
        <f t="array" aca="1" ref="AD9" ca="1">TREND($K9:$P9,$K$1:$P$1,AD$1)</f>
        <v>0.31392000000000042</v>
      </c>
      <c r="AE9" cm="1">
        <f t="array" aca="1" ref="AE9" ca="1">TREND($K9:$P9,$K$1:$P$1,AE$1)</f>
        <v>0.31680000000000064</v>
      </c>
      <c r="AF9" cm="1">
        <f t="array" aca="1" ref="AF9" ca="1">TREND($K9:$P9,$K$1:$P$1,AF$1)</f>
        <v>0.31967999999999996</v>
      </c>
      <c r="AG9" cm="1">
        <f t="array" aca="1" ref="AG9" ca="1">TREND($K9:$P9,$K$1:$P$1,AG$1)</f>
        <v>0.32256000000000018</v>
      </c>
      <c r="AH9" cm="1">
        <f t="array" aca="1" ref="AH9" ca="1">TREND($K9:$P9,$K$1:$P$1,AH$1)</f>
        <v>0.3254400000000004</v>
      </c>
      <c r="AI9" cm="1">
        <f t="array" aca="1" ref="AI9" ca="1">TREND($K9:$P9,$K$1:$P$1,AI$1)</f>
        <v>0.32832000000000061</v>
      </c>
      <c r="AJ9" cm="1">
        <f t="array" aca="1" ref="AJ9" ca="1">TREND($K9:$P9,$K$1:$P$1,AJ$1)</f>
        <v>0.33120000000000083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2.016E-3</v>
      </c>
      <c r="C10">
        <f t="shared" ca="1" si="3"/>
        <v>2.052E-3</v>
      </c>
      <c r="D10">
        <f t="shared" ca="1" si="0"/>
        <v>2.088E-3</v>
      </c>
      <c r="E10">
        <f t="shared" ca="1" si="0"/>
        <v>2.124E-3</v>
      </c>
      <c r="F10" s="32" cm="1">
        <f t="array" aca="1" ref="F10" ca="1">INDIRECT(CONCATENATE("'",HLOOKUP(F$1,$B$21:$E$23,3,FALSE),"'!",$B$25,ROW($A10)+5))*About!$A$27</f>
        <v>2.16E-3</v>
      </c>
      <c r="G10">
        <f t="shared" ca="1" si="4"/>
        <v>2.2176000000000001E-3</v>
      </c>
      <c r="H10">
        <f t="shared" ca="1" si="1"/>
        <v>2.2751999999999998E-3</v>
      </c>
      <c r="I10">
        <f t="shared" ca="1" si="1"/>
        <v>2.3327999999999999E-3</v>
      </c>
      <c r="J10">
        <f t="shared" ca="1" si="1"/>
        <v>2.3903999999999996E-3</v>
      </c>
      <c r="K10" s="32" cm="1">
        <f t="array" aca="1" ref="K10" ca="1">INDIRECT(CONCATENATE("'",HLOOKUP(K$1,$B$21:$E$23,3,FALSE),"'!",$B$25,ROW($A10)+5))*About!$A$27</f>
        <v>2.4479999999999997E-3</v>
      </c>
      <c r="L10">
        <f t="shared" ca="1" si="5"/>
        <v>2.4767999999999995E-3</v>
      </c>
      <c r="M10">
        <f t="shared" ca="1" si="2"/>
        <v>2.5055999999999998E-3</v>
      </c>
      <c r="N10">
        <f t="shared" ca="1" si="2"/>
        <v>2.5343999999999996E-3</v>
      </c>
      <c r="O10">
        <f t="shared" ca="1" si="2"/>
        <v>2.5631999999999999E-3</v>
      </c>
      <c r="P10" s="32" cm="1">
        <f t="array" aca="1" ref="P10" ca="1">INDIRECT(CONCATENATE("'",HLOOKUP(P$1,$B$21:$E$23,3,FALSE),"'!",$B$25,ROW($A10)+5))*About!$A$27</f>
        <v>2.5919999999999997E-3</v>
      </c>
      <c r="Q10" cm="1">
        <f t="array" aca="1" ref="Q10" ca="1">TREND($K10:$P10,$K$1:$P$1,Q$1)</f>
        <v>2.6207999999999995E-3</v>
      </c>
      <c r="R10" cm="1">
        <f t="array" aca="1" ref="R10" ca="1">TREND($K10:$P10,$K$1:$P$1,R$1)</f>
        <v>2.649600000000002E-3</v>
      </c>
      <c r="S10" cm="1">
        <f t="array" aca="1" ref="S10" ca="1">TREND($K10:$P10,$K$1:$P$1,S$1)</f>
        <v>2.6783999999999974E-3</v>
      </c>
      <c r="T10" cm="1">
        <f t="array" aca="1" ref="T10" ca="1">TREND($K10:$P10,$K$1:$P$1,T$1)</f>
        <v>2.7071999999999999E-3</v>
      </c>
      <c r="U10" cm="1">
        <f t="array" aca="1" ref="U10" ca="1">TREND($K10:$P10,$K$1:$P$1,U$1)</f>
        <v>2.7359999999999954E-3</v>
      </c>
      <c r="V10" cm="1">
        <f t="array" aca="1" ref="V10" ca="1">TREND($K10:$P10,$K$1:$P$1,V$1)</f>
        <v>2.7647999999999978E-3</v>
      </c>
      <c r="W10" cm="1">
        <f t="array" aca="1" ref="W10" ca="1">TREND($K10:$P10,$K$1:$P$1,W$1)</f>
        <v>2.7936000000000002E-3</v>
      </c>
      <c r="X10" cm="1">
        <f t="array" aca="1" ref="X10" ca="1">TREND($K10:$P10,$K$1:$P$1,X$1)</f>
        <v>2.8223999999999957E-3</v>
      </c>
      <c r="Y10" cm="1">
        <f t="array" aca="1" ref="Y10" ca="1">TREND($K10:$P10,$K$1:$P$1,Y$1)</f>
        <v>2.8511999999999982E-3</v>
      </c>
      <c r="Z10" cm="1">
        <f t="array" aca="1" ref="Z10" ca="1">TREND($K10:$P10,$K$1:$P$1,Z$1)</f>
        <v>2.8800000000000006E-3</v>
      </c>
      <c r="AA10" cm="1">
        <f t="array" aca="1" ref="AA10" ca="1">TREND($K10:$P10,$K$1:$P$1,AA$1)</f>
        <v>2.9087999999999961E-3</v>
      </c>
      <c r="AB10" cm="1">
        <f t="array" aca="1" ref="AB10" ca="1">TREND($K10:$P10,$K$1:$P$1,AB$1)</f>
        <v>2.9375999999999985E-3</v>
      </c>
      <c r="AC10" cm="1">
        <f t="array" aca="1" ref="AC10" ca="1">TREND($K10:$P10,$K$1:$P$1,AC$1)</f>
        <v>2.966400000000001E-3</v>
      </c>
      <c r="AD10" cm="1">
        <f t="array" aca="1" ref="AD10" ca="1">TREND($K10:$P10,$K$1:$P$1,AD$1)</f>
        <v>2.9951999999999965E-3</v>
      </c>
      <c r="AE10" cm="1">
        <f t="array" aca="1" ref="AE10" ca="1">TREND($K10:$P10,$K$1:$P$1,AE$1)</f>
        <v>3.0239999999999989E-3</v>
      </c>
      <c r="AF10" cm="1">
        <f t="array" aca="1" ref="AF10" ca="1">TREND($K10:$P10,$K$1:$P$1,AF$1)</f>
        <v>3.0528000000000013E-3</v>
      </c>
      <c r="AG10" cm="1">
        <f t="array" aca="1" ref="AG10" ca="1">TREND($K10:$P10,$K$1:$P$1,AG$1)</f>
        <v>3.0815999999999968E-3</v>
      </c>
      <c r="AH10" cm="1">
        <f t="array" aca="1" ref="AH10" ca="1">TREND($K10:$P10,$K$1:$P$1,AH$1)</f>
        <v>3.1103999999999993E-3</v>
      </c>
      <c r="AI10" cm="1">
        <f t="array" aca="1" ref="AI10" ca="1">TREND($K10:$P10,$K$1:$P$1,AI$1)</f>
        <v>3.1392000000000017E-3</v>
      </c>
      <c r="AJ10" cm="1">
        <f t="array" aca="1" ref="AJ10" ca="1">TREND($K10:$P10,$K$1:$P$1,AJ$1)</f>
        <v>3.1679999999999972E-3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1.8719999999999997E-3</v>
      </c>
      <c r="C11">
        <f t="shared" ca="1" si="3"/>
        <v>1.9439999999999998E-3</v>
      </c>
      <c r="D11">
        <f t="shared" ca="1" si="0"/>
        <v>2.016E-3</v>
      </c>
      <c r="E11">
        <f t="shared" ca="1" si="0"/>
        <v>2.088E-3</v>
      </c>
      <c r="F11" s="32" cm="1">
        <f t="array" aca="1" ref="F11" ca="1">INDIRECT(CONCATENATE("'",HLOOKUP(F$1,$B$21:$E$23,3,FALSE),"'!",$B$25,ROW($A11)+5))*About!$A$27</f>
        <v>2.16E-3</v>
      </c>
      <c r="G11">
        <f t="shared" ca="1" si="4"/>
        <v>2.1887999999999999E-3</v>
      </c>
      <c r="H11">
        <f t="shared" ca="1" si="1"/>
        <v>2.2176000000000001E-3</v>
      </c>
      <c r="I11">
        <f t="shared" ca="1" si="1"/>
        <v>2.2464E-3</v>
      </c>
      <c r="J11">
        <f t="shared" ca="1" si="1"/>
        <v>2.2752000000000002E-3</v>
      </c>
      <c r="K11" s="32" cm="1">
        <f t="array" aca="1" ref="K11" ca="1">INDIRECT(CONCATENATE("'",HLOOKUP(K$1,$B$21:$E$23,3,FALSE),"'!",$B$25,ROW($A11)+5))*About!$A$27</f>
        <v>2.3040000000000001E-3</v>
      </c>
      <c r="L11">
        <f t="shared" ca="1" si="5"/>
        <v>2.3616000000000002E-3</v>
      </c>
      <c r="M11">
        <f t="shared" ca="1" si="2"/>
        <v>2.4191999999999998E-3</v>
      </c>
      <c r="N11">
        <f t="shared" ca="1" si="2"/>
        <v>2.4767999999999999E-3</v>
      </c>
      <c r="O11">
        <f t="shared" ca="1" si="2"/>
        <v>2.5343999999999996E-3</v>
      </c>
      <c r="P11" s="32" cm="1">
        <f t="array" aca="1" ref="P11" ca="1">INDIRECT(CONCATENATE("'",HLOOKUP(P$1,$B$21:$E$23,3,FALSE),"'!",$B$25,ROW($A11)+5))*About!$A$27</f>
        <v>2.5919999999999997E-3</v>
      </c>
      <c r="Q11" cm="1">
        <f t="array" aca="1" ref="Q11" ca="1">TREND($K11:$P11,$K$1:$P$1,Q$1)</f>
        <v>2.649600000000002E-3</v>
      </c>
      <c r="R11" cm="1">
        <f t="array" aca="1" ref="R11" ca="1">TREND($K11:$P11,$K$1:$P$1,R$1)</f>
        <v>2.7072000000000068E-3</v>
      </c>
      <c r="S11" cm="1">
        <f t="array" aca="1" ref="S11" ca="1">TREND($K11:$P11,$K$1:$P$1,S$1)</f>
        <v>2.7647999999999978E-3</v>
      </c>
      <c r="T11" cm="1">
        <f t="array" aca="1" ref="T11" ca="1">TREND($K11:$P11,$K$1:$P$1,T$1)</f>
        <v>2.8224000000000027E-3</v>
      </c>
      <c r="U11" cm="1">
        <f t="array" aca="1" ref="U11" ca="1">TREND($K11:$P11,$K$1:$P$1,U$1)</f>
        <v>2.8800000000000076E-3</v>
      </c>
      <c r="V11" cm="1">
        <f t="array" aca="1" ref="V11" ca="1">TREND($K11:$P11,$K$1:$P$1,V$1)</f>
        <v>2.9375999999999985E-3</v>
      </c>
      <c r="W11" cm="1">
        <f t="array" aca="1" ref="W11" ca="1">TREND($K11:$P11,$K$1:$P$1,W$1)</f>
        <v>2.9952000000000034E-3</v>
      </c>
      <c r="X11" cm="1">
        <f t="array" aca="1" ref="X11" ca="1">TREND($K11:$P11,$K$1:$P$1,X$1)</f>
        <v>3.0528000000000083E-3</v>
      </c>
      <c r="Y11" cm="1">
        <f t="array" aca="1" ref="Y11" ca="1">TREND($K11:$P11,$K$1:$P$1,Y$1)</f>
        <v>3.1103999999999993E-3</v>
      </c>
      <c r="Z11" cm="1">
        <f t="array" aca="1" ref="Z11" ca="1">TREND($K11:$P11,$K$1:$P$1,Z$1)</f>
        <v>3.1680000000000041E-3</v>
      </c>
      <c r="AA11" cm="1">
        <f t="array" aca="1" ref="AA11" ca="1">TREND($K11:$P11,$K$1:$P$1,AA$1)</f>
        <v>3.225600000000009E-3</v>
      </c>
      <c r="AB11" cm="1">
        <f t="array" aca="1" ref="AB11" ca="1">TREND($K11:$P11,$K$1:$P$1,AB$1)</f>
        <v>3.2832E-3</v>
      </c>
      <c r="AC11" cm="1">
        <f t="array" aca="1" ref="AC11" ca="1">TREND($K11:$P11,$K$1:$P$1,AC$1)</f>
        <v>3.3408000000000049E-3</v>
      </c>
      <c r="AD11" cm="1">
        <f t="array" aca="1" ref="AD11" ca="1">TREND($K11:$P11,$K$1:$P$1,AD$1)</f>
        <v>3.3983999999999959E-3</v>
      </c>
      <c r="AE11" cm="1">
        <f t="array" aca="1" ref="AE11" ca="1">TREND($K11:$P11,$K$1:$P$1,AE$1)</f>
        <v>3.4560000000000007E-3</v>
      </c>
      <c r="AF11" cm="1">
        <f t="array" aca="1" ref="AF11" ca="1">TREND($K11:$P11,$K$1:$P$1,AF$1)</f>
        <v>3.5136000000000056E-3</v>
      </c>
      <c r="AG11" cm="1">
        <f t="array" aca="1" ref="AG11" ca="1">TREND($K11:$P11,$K$1:$P$1,AG$1)</f>
        <v>3.5711999999999966E-3</v>
      </c>
      <c r="AH11" cm="1">
        <f t="array" aca="1" ref="AH11" ca="1">TREND($K11:$P11,$K$1:$P$1,AH$1)</f>
        <v>3.6288000000000015E-3</v>
      </c>
      <c r="AI11" cm="1">
        <f t="array" aca="1" ref="AI11" ca="1">TREND($K11:$P11,$K$1:$P$1,AI$1)</f>
        <v>3.6864000000000063E-3</v>
      </c>
      <c r="AJ11" cm="1">
        <f t="array" aca="1" ref="AJ11" ca="1">TREND($K11:$P11,$K$1:$P$1,AJ$1)</f>
        <v>3.7439999999999973E-3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8.7839999999999984E-3</v>
      </c>
      <c r="C12">
        <f t="shared" ca="1" si="3"/>
        <v>8.9819999999999987E-3</v>
      </c>
      <c r="D12">
        <f t="shared" ca="1" si="0"/>
        <v>9.1799999999999989E-3</v>
      </c>
      <c r="E12">
        <f t="shared" ca="1" si="0"/>
        <v>9.3779999999999992E-3</v>
      </c>
      <c r="F12" s="33">
        <f ca="1">SUM(INDIRECT(CONCATENATE("'",HLOOKUP(F$1,$B$21:$E$23,3,FALSE),"'!",$B$25,ROW($A12)+5,":",$B$25,ROW($A12)+6)))*About!$A$27</f>
        <v>9.5759999999999994E-3</v>
      </c>
      <c r="G12">
        <f t="shared" ca="1" si="4"/>
        <v>9.7372799999999992E-3</v>
      </c>
      <c r="H12">
        <f t="shared" ca="1" si="1"/>
        <v>9.898559999999999E-3</v>
      </c>
      <c r="I12">
        <f t="shared" ca="1" si="1"/>
        <v>1.0059839999999999E-2</v>
      </c>
      <c r="J12">
        <f t="shared" ca="1" si="1"/>
        <v>1.0221119999999998E-2</v>
      </c>
      <c r="K12" s="33">
        <f ca="1">SUM(INDIRECT(CONCATENATE("'",HLOOKUP(K$1,$B$21:$E$23,3,FALSE),"'!",$B$25,ROW($A12)+5,":",$B$25,ROW($A12)+6)))*About!$A$27</f>
        <v>1.0382399999999998E-2</v>
      </c>
      <c r="L12">
        <f t="shared" ca="1" si="5"/>
        <v>1.0572479999999999E-2</v>
      </c>
      <c r="M12">
        <f t="shared" ca="1" si="2"/>
        <v>1.0762559999999999E-2</v>
      </c>
      <c r="N12">
        <f t="shared" ca="1" si="2"/>
        <v>1.095264E-2</v>
      </c>
      <c r="O12">
        <f t="shared" ca="1" si="2"/>
        <v>1.114272E-2</v>
      </c>
      <c r="P12" s="33">
        <f ca="1">SUM(INDIRECT(CONCATENATE("'",HLOOKUP(P$1,$B$21:$E$23,3,FALSE),"'!",$B$25,ROW($A12)+5,":",$B$25,ROW($A12)+6)))*About!$A$27</f>
        <v>1.1332800000000001E-2</v>
      </c>
      <c r="Q12" cm="1">
        <f t="array" aca="1" ref="Q12" ca="1">TREND($K12:$P12,$K$1:$P$1,Q$1)</f>
        <v>1.1522880000000013E-2</v>
      </c>
      <c r="R12" cm="1">
        <f t="array" aca="1" ref="R12" ca="1">TREND($K12:$P12,$K$1:$P$1,R$1)</f>
        <v>1.1712959999999994E-2</v>
      </c>
      <c r="S12" cm="1">
        <f t="array" aca="1" ref="S12" ca="1">TREND($K12:$P12,$K$1:$P$1,S$1)</f>
        <v>1.1903040000000031E-2</v>
      </c>
      <c r="T12" cm="1">
        <f t="array" aca="1" ref="T12" ca="1">TREND($K12:$P12,$K$1:$P$1,T$1)</f>
        <v>1.2093120000000013E-2</v>
      </c>
      <c r="U12" cm="1">
        <f t="array" aca="1" ref="U12" ca="1">TREND($K12:$P12,$K$1:$P$1,U$1)</f>
        <v>1.228320000000005E-2</v>
      </c>
      <c r="V12" cm="1">
        <f t="array" aca="1" ref="V12" ca="1">TREND($K12:$P12,$K$1:$P$1,V$1)</f>
        <v>1.2473280000000031E-2</v>
      </c>
      <c r="W12" cm="1">
        <f t="array" aca="1" ref="W12" ca="1">TREND($K12:$P12,$K$1:$P$1,W$1)</f>
        <v>1.2663360000000012E-2</v>
      </c>
      <c r="X12" cm="1">
        <f t="array" aca="1" ref="X12" ca="1">TREND($K12:$P12,$K$1:$P$1,X$1)</f>
        <v>1.2853440000000049E-2</v>
      </c>
      <c r="Y12" cm="1">
        <f t="array" aca="1" ref="Y12" ca="1">TREND($K12:$P12,$K$1:$P$1,Y$1)</f>
        <v>1.3043520000000031E-2</v>
      </c>
      <c r="Z12" cm="1">
        <f t="array" aca="1" ref="Z12" ca="1">TREND($K12:$P12,$K$1:$P$1,Z$1)</f>
        <v>1.3233600000000012E-2</v>
      </c>
      <c r="AA12" cm="1">
        <f t="array" aca="1" ref="AA12" ca="1">TREND($K12:$P12,$K$1:$P$1,AA$1)</f>
        <v>1.3423680000000049E-2</v>
      </c>
      <c r="AB12" cm="1">
        <f t="array" aca="1" ref="AB12" ca="1">TREND($K12:$P12,$K$1:$P$1,AB$1)</f>
        <v>1.361376000000003E-2</v>
      </c>
      <c r="AC12" cm="1">
        <f t="array" aca="1" ref="AC12" ca="1">TREND($K12:$P12,$K$1:$P$1,AC$1)</f>
        <v>1.3803840000000012E-2</v>
      </c>
      <c r="AD12" cm="1">
        <f t="array" aca="1" ref="AD12" ca="1">TREND($K12:$P12,$K$1:$P$1,AD$1)</f>
        <v>1.3993920000000049E-2</v>
      </c>
      <c r="AE12" cm="1">
        <f t="array" aca="1" ref="AE12" ca="1">TREND($K12:$P12,$K$1:$P$1,AE$1)</f>
        <v>1.418400000000003E-2</v>
      </c>
      <c r="AF12" cm="1">
        <f t="array" aca="1" ref="AF12" ca="1">TREND($K12:$P12,$K$1:$P$1,AF$1)</f>
        <v>1.4374080000000011E-2</v>
      </c>
      <c r="AG12" cm="1">
        <f t="array" aca="1" ref="AG12" ca="1">TREND($K12:$P12,$K$1:$P$1,AG$1)</f>
        <v>1.4564160000000048E-2</v>
      </c>
      <c r="AH12" cm="1">
        <f t="array" aca="1" ref="AH12" ca="1">TREND($K12:$P12,$K$1:$P$1,AH$1)</f>
        <v>1.475424000000003E-2</v>
      </c>
      <c r="AI12" cm="1">
        <f t="array" aca="1" ref="AI12" ca="1">TREND($K12:$P12,$K$1:$P$1,AI$1)</f>
        <v>1.4944320000000011E-2</v>
      </c>
      <c r="AJ12" cm="1">
        <f t="array" aca="1" ref="AJ12" ca="1">TREND($K12:$P12,$K$1:$P$1,AJ$1)</f>
        <v>1.5134400000000048E-2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HOIpTP-buildings-SO2</v>
      </c>
    </row>
    <row r="18" spans="1:5" x14ac:dyDescent="0.25">
      <c r="A18" t="s">
        <v>83</v>
      </c>
      <c r="B18" t="str">
        <f ca="1">RIGHT(B17,LEN(B17)-7)</f>
        <v>buildings-SO2</v>
      </c>
    </row>
    <row r="19" spans="1:5" x14ac:dyDescent="0.25">
      <c r="A19" t="s">
        <v>84</v>
      </c>
      <c r="B19" t="str">
        <f ca="1">LEFT(B18,FIND("-",B18)-1)</f>
        <v>buildings</v>
      </c>
    </row>
    <row r="20" spans="1:5" x14ac:dyDescent="0.25">
      <c r="A20" t="s">
        <v>85</v>
      </c>
      <c r="B20" t="str">
        <f ca="1">VLOOKUP($B$19,Mappings!$A$22:$B$26,COLUMN(Mappings!$B$21),FALSE)</f>
        <v>area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5">
      <c r="A23" s="28" t="s">
        <v>82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5">
      <c r="A24" t="s">
        <v>87</v>
      </c>
      <c r="B24" t="str">
        <f ca="1">REPLACE(B18,1,FIND("-",B18),"")</f>
        <v>SO2</v>
      </c>
    </row>
    <row r="25" spans="1:5" x14ac:dyDescent="0.25">
      <c r="A25" t="s">
        <v>88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0E1B-F56C-446B-8F62-1098191A6865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1.0943999999999999E-3</v>
      </c>
      <c r="C2">
        <f ca="1">$B2+($F2-$B2)*(C$1-$B$1)/($F$1-$B$1)</f>
        <v>1.1015999999999999E-3</v>
      </c>
      <c r="D2">
        <f t="shared" ref="D2:E12" ca="1" si="0">$B2+($F2-$B2)*(D$1-$B$1)/($F$1-$B$1)</f>
        <v>1.1088000000000001E-3</v>
      </c>
      <c r="E2">
        <f t="shared" ca="1" si="0"/>
        <v>1.116E-3</v>
      </c>
      <c r="F2" s="31" cm="1">
        <f t="array" aca="1" ref="F2" ca="1">INDIRECT(CONCATENATE("'",HLOOKUP(F$1,$B$21:$E$23,3,FALSE),"'!",$B$25,ROW($A2)+3))*About!$A$27</f>
        <v>1.1232E-3</v>
      </c>
      <c r="G2">
        <f ca="1">$F2+($K2-$F2)*(G$1-$F$1)/($K$1-$F$1)</f>
        <v>1.1347199999999999E-3</v>
      </c>
      <c r="H2">
        <f t="shared" ref="H2:J12" ca="1" si="1">$F2+($K2-$F2)*(H$1-$F$1)/($K$1-$F$1)</f>
        <v>1.14624E-3</v>
      </c>
      <c r="I2">
        <f t="shared" ca="1" si="1"/>
        <v>1.1577599999999999E-3</v>
      </c>
      <c r="J2">
        <f t="shared" ca="1" si="1"/>
        <v>1.16928E-3</v>
      </c>
      <c r="K2" s="31" cm="1">
        <f t="array" aca="1" ref="K2" ca="1">INDIRECT(CONCATENATE("'",HLOOKUP(K$1,$B$21:$E$23,3,FALSE),"'!",$B$25,ROW($A2)+3))*About!$A$27</f>
        <v>1.1807999999999999E-3</v>
      </c>
      <c r="L2">
        <f ca="1">$K2+($P2-$K2)*(L$1-$K$1)/($P$1-$K$1)</f>
        <v>1.1980799999999998E-3</v>
      </c>
      <c r="M2">
        <f t="shared" ref="M2:O12" ca="1" si="2">$K2+($P2-$K2)*(M$1-$K$1)/($P$1-$K$1)</f>
        <v>1.21536E-3</v>
      </c>
      <c r="N2">
        <f t="shared" ca="1" si="2"/>
        <v>1.2326399999999999E-3</v>
      </c>
      <c r="O2">
        <f t="shared" ca="1" si="2"/>
        <v>1.2499200000000001E-3</v>
      </c>
      <c r="P2" s="31" cm="1">
        <f t="array" aca="1" ref="P2" ca="1">INDIRECT(CONCATENATE("'",HLOOKUP(P$1,$B$21:$E$23,3,FALSE),"'!",$B$25,ROW($A2)+3))*About!$A$27</f>
        <v>1.2672E-3</v>
      </c>
      <c r="Q2" cm="1">
        <f t="array" aca="1" ref="Q2" ca="1">TREND($K2:$P2,$K$1:$P$1,Q$1)</f>
        <v>1.2844799999999976E-3</v>
      </c>
      <c r="R2" cm="1">
        <f t="array" aca="1" ref="R2" ca="1">TREND($K2:$P2,$K$1:$P$1,R$1)</f>
        <v>1.301759999999999E-3</v>
      </c>
      <c r="S2" cm="1">
        <f t="array" aca="1" ref="S2" ca="1">TREND($K2:$P2,$K$1:$P$1,S$1)</f>
        <v>1.3190400000000005E-3</v>
      </c>
      <c r="T2" cm="1">
        <f t="array" aca="1" ref="T2" ca="1">TREND($K2:$P2,$K$1:$P$1,T$1)</f>
        <v>1.336320000000002E-3</v>
      </c>
      <c r="U2" cm="1">
        <f t="array" aca="1" ref="U2" ca="1">TREND($K2:$P2,$K$1:$P$1,U$1)</f>
        <v>1.3536000000000034E-3</v>
      </c>
      <c r="V2" cm="1">
        <f t="array" aca="1" ref="V2" ca="1">TREND($K2:$P2,$K$1:$P$1,V$1)</f>
        <v>1.3708799999999979E-3</v>
      </c>
      <c r="W2" cm="1">
        <f t="array" aca="1" ref="W2" ca="1">TREND($K2:$P2,$K$1:$P$1,W$1)</f>
        <v>1.3881599999999994E-3</v>
      </c>
      <c r="X2" cm="1">
        <f t="array" aca="1" ref="X2" ca="1">TREND($K2:$P2,$K$1:$P$1,X$1)</f>
        <v>1.4054400000000009E-3</v>
      </c>
      <c r="Y2" cm="1">
        <f t="array" aca="1" ref="Y2" ca="1">TREND($K2:$P2,$K$1:$P$1,Y$1)</f>
        <v>1.4227200000000023E-3</v>
      </c>
      <c r="Z2" cm="1">
        <f t="array" aca="1" ref="Z2" ca="1">TREND($K2:$P2,$K$1:$P$1,Z$1)</f>
        <v>1.4400000000000038E-3</v>
      </c>
      <c r="AA2" cm="1">
        <f t="array" aca="1" ref="AA2" ca="1">TREND($K2:$P2,$K$1:$P$1,AA$1)</f>
        <v>1.4572799999999983E-3</v>
      </c>
      <c r="AB2" cm="1">
        <f t="array" aca="1" ref="AB2" ca="1">TREND($K2:$P2,$K$1:$P$1,AB$1)</f>
        <v>1.4745599999999998E-3</v>
      </c>
      <c r="AC2" cm="1">
        <f t="array" aca="1" ref="AC2" ca="1">TREND($K2:$P2,$K$1:$P$1,AC$1)</f>
        <v>1.4918400000000012E-3</v>
      </c>
      <c r="AD2" cm="1">
        <f t="array" aca="1" ref="AD2" ca="1">TREND($K2:$P2,$K$1:$P$1,AD$1)</f>
        <v>1.5091200000000027E-3</v>
      </c>
      <c r="AE2" cm="1">
        <f t="array" aca="1" ref="AE2" ca="1">TREND($K2:$P2,$K$1:$P$1,AE$1)</f>
        <v>1.5264000000000041E-3</v>
      </c>
      <c r="AF2" cm="1">
        <f t="array" aca="1" ref="AF2" ca="1">TREND($K2:$P2,$K$1:$P$1,AF$1)</f>
        <v>1.5436799999999987E-3</v>
      </c>
      <c r="AG2" cm="1">
        <f t="array" aca="1" ref="AG2" ca="1">TREND($K2:$P2,$K$1:$P$1,AG$1)</f>
        <v>1.5609600000000001E-3</v>
      </c>
      <c r="AH2" cm="1">
        <f t="array" aca="1" ref="AH2" ca="1">TREND($K2:$P2,$K$1:$P$1,AH$1)</f>
        <v>1.5782400000000016E-3</v>
      </c>
      <c r="AI2" cm="1">
        <f t="array" aca="1" ref="AI2" ca="1">TREND($K2:$P2,$K$1:$P$1,AI$1)</f>
        <v>1.595520000000003E-3</v>
      </c>
      <c r="AJ2" cm="1">
        <f t="array" aca="1" ref="AJ2" ca="1">TREND($K2:$P2,$K$1:$P$1,AJ$1)</f>
        <v>1.6128000000000045E-3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5.7600000000000001E-4</v>
      </c>
      <c r="C3">
        <f t="shared" ref="C3:C12" ca="1" si="3">$B3+($F3-$B3)*(C$1-$B$1)/($F$1-$B$1)</f>
        <v>5.7959999999999999E-4</v>
      </c>
      <c r="D3">
        <f t="shared" ca="1" si="0"/>
        <v>5.8319999999999997E-4</v>
      </c>
      <c r="E3">
        <f t="shared" ca="1" si="0"/>
        <v>5.8679999999999995E-4</v>
      </c>
      <c r="F3" s="32" cm="1">
        <f t="array" aca="1" ref="F3" ca="1">INDIRECT(CONCATENATE("'",HLOOKUP(F$1,$B$21:$E$23,3,FALSE),"'!",$B$25,ROW($A3)+5))*About!$A$27</f>
        <v>5.9039999999999993E-4</v>
      </c>
      <c r="G3">
        <f t="shared" ref="G3:G12" ca="1" si="4">$F3+($K3-$F3)*(G$1-$F$1)/($K$1-$F$1)</f>
        <v>5.9327999999999996E-4</v>
      </c>
      <c r="H3">
        <f t="shared" ca="1" si="1"/>
        <v>5.9615999999999998E-4</v>
      </c>
      <c r="I3">
        <f t="shared" ca="1" si="1"/>
        <v>5.990399999999999E-4</v>
      </c>
      <c r="J3">
        <f t="shared" ca="1" si="1"/>
        <v>6.0191999999999993E-4</v>
      </c>
      <c r="K3" s="32" cm="1">
        <f t="array" aca="1" ref="K3" ca="1">INDIRECT(CONCATENATE("'",HLOOKUP(K$1,$B$21:$E$23,3,FALSE),"'!",$B$25,ROW($A3)+5))*About!$A$27</f>
        <v>6.0479999999999996E-4</v>
      </c>
      <c r="L3">
        <f t="shared" ref="L3:L12" ca="1" si="5">$K3+($P3-$K3)*(L$1-$K$1)/($P$1-$K$1)</f>
        <v>6.0767999999999998E-4</v>
      </c>
      <c r="M3">
        <f t="shared" ca="1" si="2"/>
        <v>6.1056000000000001E-4</v>
      </c>
      <c r="N3">
        <f t="shared" ca="1" si="2"/>
        <v>6.1343999999999993E-4</v>
      </c>
      <c r="O3">
        <f t="shared" ca="1" si="2"/>
        <v>6.1631999999999995E-4</v>
      </c>
      <c r="P3" s="32" cm="1">
        <f t="array" aca="1" ref="P3" ca="1">INDIRECT(CONCATENATE("'",HLOOKUP(P$1,$B$21:$E$23,3,FALSE),"'!",$B$25,ROW($A3)+5))*About!$A$27</f>
        <v>6.1919999999999998E-4</v>
      </c>
      <c r="Q3" cm="1">
        <f t="array" aca="1" ref="Q3" ca="1">TREND($K3:$P3,$K$1:$P$1,Q$1)</f>
        <v>6.2207999999999968E-4</v>
      </c>
      <c r="R3" cm="1">
        <f t="array" aca="1" ref="R3" ca="1">TREND($K3:$P3,$K$1:$P$1,R$1)</f>
        <v>6.2495999999999993E-4</v>
      </c>
      <c r="S3" cm="1">
        <f t="array" aca="1" ref="S3" ca="1">TREND($K3:$P3,$K$1:$P$1,S$1)</f>
        <v>6.278399999999993E-4</v>
      </c>
      <c r="T3" cm="1">
        <f t="array" aca="1" ref="T3" ca="1">TREND($K3:$P3,$K$1:$P$1,T$1)</f>
        <v>6.3071999999999954E-4</v>
      </c>
      <c r="U3" cm="1">
        <f t="array" aca="1" ref="U3" ca="1">TREND($K3:$P3,$K$1:$P$1,U$1)</f>
        <v>6.3359999999999979E-4</v>
      </c>
      <c r="V3" cm="1">
        <f t="array" aca="1" ref="V3" ca="1">TREND($K3:$P3,$K$1:$P$1,V$1)</f>
        <v>6.3647999999999916E-4</v>
      </c>
      <c r="W3" cm="1">
        <f t="array" aca="1" ref="W3" ca="1">TREND($K3:$P3,$K$1:$P$1,W$1)</f>
        <v>6.3935999999999941E-4</v>
      </c>
      <c r="X3" cm="1">
        <f t="array" aca="1" ref="X3" ca="1">TREND($K3:$P3,$K$1:$P$1,X$1)</f>
        <v>6.4223999999999965E-4</v>
      </c>
      <c r="Y3" cm="1">
        <f t="array" aca="1" ref="Y3" ca="1">TREND($K3:$P3,$K$1:$P$1,Y$1)</f>
        <v>6.4511999999999989E-4</v>
      </c>
      <c r="Z3" cm="1">
        <f t="array" aca="1" ref="Z3" ca="1">TREND($K3:$P3,$K$1:$P$1,Z$1)</f>
        <v>6.4799999999999927E-4</v>
      </c>
      <c r="AA3" cm="1">
        <f t="array" aca="1" ref="AA3" ca="1">TREND($K3:$P3,$K$1:$P$1,AA$1)</f>
        <v>6.5087999999999951E-4</v>
      </c>
      <c r="AB3" cm="1">
        <f t="array" aca="1" ref="AB3" ca="1">TREND($K3:$P3,$K$1:$P$1,AB$1)</f>
        <v>6.5375999999999976E-4</v>
      </c>
      <c r="AC3" cm="1">
        <f t="array" aca="1" ref="AC3" ca="1">TREND($K3:$P3,$K$1:$P$1,AC$1)</f>
        <v>6.5663999999999913E-4</v>
      </c>
      <c r="AD3" cm="1">
        <f t="array" aca="1" ref="AD3" ca="1">TREND($K3:$P3,$K$1:$P$1,AD$1)</f>
        <v>6.5951999999999938E-4</v>
      </c>
      <c r="AE3" cm="1">
        <f t="array" aca="1" ref="AE3" ca="1">TREND($K3:$P3,$K$1:$P$1,AE$1)</f>
        <v>6.6239999999999962E-4</v>
      </c>
      <c r="AF3" cm="1">
        <f t="array" aca="1" ref="AF3" ca="1">TREND($K3:$P3,$K$1:$P$1,AF$1)</f>
        <v>6.6527999999999986E-4</v>
      </c>
      <c r="AG3" cm="1">
        <f t="array" aca="1" ref="AG3" ca="1">TREND($K3:$P3,$K$1:$P$1,AG$1)</f>
        <v>6.6815999999999924E-4</v>
      </c>
      <c r="AH3" cm="1">
        <f t="array" aca="1" ref="AH3" ca="1">TREND($K3:$P3,$K$1:$P$1,AH$1)</f>
        <v>6.7103999999999948E-4</v>
      </c>
      <c r="AI3" cm="1">
        <f t="array" aca="1" ref="AI3" ca="1">TREND($K3:$P3,$K$1:$P$1,AI$1)</f>
        <v>6.7391999999999973E-4</v>
      </c>
      <c r="AJ3" cm="1">
        <f t="array" aca="1" ref="AJ3" ca="1">TREND($K3:$P3,$K$1:$P$1,AJ$1)</f>
        <v>6.767999999999991E-4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1.5840000000000001E-3</v>
      </c>
      <c r="C4">
        <f t="shared" ca="1" si="3"/>
        <v>1.5840000000000001E-3</v>
      </c>
      <c r="D4">
        <f t="shared" ca="1" si="0"/>
        <v>1.5840000000000001E-3</v>
      </c>
      <c r="E4">
        <f t="shared" ca="1" si="0"/>
        <v>1.5840000000000001E-3</v>
      </c>
      <c r="F4" s="32" cm="1">
        <f t="array" aca="1" ref="F4" ca="1">INDIRECT(CONCATENATE("'",HLOOKUP(F$1,$B$21:$E$23,3,FALSE),"'!",$B$25,ROW($A4)+5))*About!$A$27</f>
        <v>1.5840000000000001E-3</v>
      </c>
      <c r="G4">
        <f t="shared" ca="1" si="4"/>
        <v>1.5840000000000001E-3</v>
      </c>
      <c r="H4">
        <f t="shared" ca="1" si="1"/>
        <v>1.5840000000000001E-3</v>
      </c>
      <c r="I4">
        <f t="shared" ca="1" si="1"/>
        <v>1.5840000000000001E-3</v>
      </c>
      <c r="J4">
        <f t="shared" ca="1" si="1"/>
        <v>1.5840000000000001E-3</v>
      </c>
      <c r="K4" s="32" cm="1">
        <f t="array" aca="1" ref="K4" ca="1">INDIRECT(CONCATENATE("'",HLOOKUP(K$1,$B$21:$E$23,3,FALSE),"'!",$B$25,ROW($A4)+5))*About!$A$27</f>
        <v>1.5840000000000001E-3</v>
      </c>
      <c r="L4">
        <f t="shared" ca="1" si="5"/>
        <v>1.6128E-3</v>
      </c>
      <c r="M4">
        <f t="shared" ca="1" si="2"/>
        <v>1.6416E-3</v>
      </c>
      <c r="N4">
        <f t="shared" ca="1" si="2"/>
        <v>1.6703999999999998E-3</v>
      </c>
      <c r="O4">
        <f t="shared" ca="1" si="2"/>
        <v>1.6991999999999999E-3</v>
      </c>
      <c r="P4" s="32" cm="1">
        <f t="array" aca="1" ref="P4" ca="1">INDIRECT(CONCATENATE("'",HLOOKUP(P$1,$B$21:$E$23,3,FALSE),"'!",$B$25,ROW($A4)+5))*About!$A$27</f>
        <v>1.7279999999999997E-3</v>
      </c>
      <c r="Q4" cm="1">
        <f t="array" aca="1" ref="Q4" ca="1">TREND($K4:$P4,$K$1:$P$1,Q$1)</f>
        <v>1.7567999999999959E-3</v>
      </c>
      <c r="R4" cm="1">
        <f t="array" aca="1" ref="R4" ca="1">TREND($K4:$P4,$K$1:$P$1,R$1)</f>
        <v>1.7855999999999983E-3</v>
      </c>
      <c r="S4" cm="1">
        <f t="array" aca="1" ref="S4" ca="1">TREND($K4:$P4,$K$1:$P$1,S$1)</f>
        <v>1.8143999999999938E-3</v>
      </c>
      <c r="T4" cm="1">
        <f t="array" aca="1" ref="T4" ca="1">TREND($K4:$P4,$K$1:$P$1,T$1)</f>
        <v>1.8431999999999962E-3</v>
      </c>
      <c r="U4" cm="1">
        <f t="array" aca="1" ref="U4" ca="1">TREND($K4:$P4,$K$1:$P$1,U$1)</f>
        <v>1.8719999999999987E-3</v>
      </c>
      <c r="V4" cm="1">
        <f t="array" aca="1" ref="V4" ca="1">TREND($K4:$P4,$K$1:$P$1,V$1)</f>
        <v>1.9007999999999942E-3</v>
      </c>
      <c r="W4" cm="1">
        <f t="array" aca="1" ref="W4" ca="1">TREND($K4:$P4,$K$1:$P$1,W$1)</f>
        <v>1.9295999999999966E-3</v>
      </c>
      <c r="X4" cm="1">
        <f t="array" aca="1" ref="X4" ca="1">TREND($K4:$P4,$K$1:$P$1,X$1)</f>
        <v>1.958399999999999E-3</v>
      </c>
      <c r="Y4" cm="1">
        <f t="array" aca="1" ref="Y4" ca="1">TREND($K4:$P4,$K$1:$P$1,Y$1)</f>
        <v>1.9871999999999945E-3</v>
      </c>
      <c r="Z4" cm="1">
        <f t="array" aca="1" ref="Z4" ca="1">TREND($K4:$P4,$K$1:$P$1,Z$1)</f>
        <v>2.015999999999997E-3</v>
      </c>
      <c r="AA4" cm="1">
        <f t="array" aca="1" ref="AA4" ca="1">TREND($K4:$P4,$K$1:$P$1,AA$1)</f>
        <v>2.0447999999999994E-3</v>
      </c>
      <c r="AB4" cm="1">
        <f t="array" aca="1" ref="AB4" ca="1">TREND($K4:$P4,$K$1:$P$1,AB$1)</f>
        <v>2.0735999999999949E-3</v>
      </c>
      <c r="AC4" cm="1">
        <f t="array" aca="1" ref="AC4" ca="1">TREND($K4:$P4,$K$1:$P$1,AC$1)</f>
        <v>2.1023999999999973E-3</v>
      </c>
      <c r="AD4" cm="1">
        <f t="array" aca="1" ref="AD4" ca="1">TREND($K4:$P4,$K$1:$P$1,AD$1)</f>
        <v>2.1311999999999928E-3</v>
      </c>
      <c r="AE4" cm="1">
        <f t="array" aca="1" ref="AE4" ca="1">TREND($K4:$P4,$K$1:$P$1,AE$1)</f>
        <v>2.1599999999999953E-3</v>
      </c>
      <c r="AF4" cm="1">
        <f t="array" aca="1" ref="AF4" ca="1">TREND($K4:$P4,$K$1:$P$1,AF$1)</f>
        <v>2.1887999999999977E-3</v>
      </c>
      <c r="AG4" cm="1">
        <f t="array" aca="1" ref="AG4" ca="1">TREND($K4:$P4,$K$1:$P$1,AG$1)</f>
        <v>2.2175999999999932E-3</v>
      </c>
      <c r="AH4" cm="1">
        <f t="array" aca="1" ref="AH4" ca="1">TREND($K4:$P4,$K$1:$P$1,AH$1)</f>
        <v>2.2463999999999956E-3</v>
      </c>
      <c r="AI4" cm="1">
        <f t="array" aca="1" ref="AI4" ca="1">TREND($K4:$P4,$K$1:$P$1,AI$1)</f>
        <v>2.2751999999999981E-3</v>
      </c>
      <c r="AJ4" cm="1">
        <f t="array" aca="1" ref="AJ4" ca="1">TREND($K4:$P4,$K$1:$P$1,AJ$1)</f>
        <v>2.3039999999999936E-3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2.0160000000000001E-2</v>
      </c>
      <c r="C5">
        <f t="shared" ca="1" si="3"/>
        <v>2.0160000000000001E-2</v>
      </c>
      <c r="D5">
        <f t="shared" ca="1" si="0"/>
        <v>2.0160000000000001E-2</v>
      </c>
      <c r="E5">
        <f t="shared" ca="1" si="0"/>
        <v>2.0160000000000001E-2</v>
      </c>
      <c r="F5" s="32" cm="1">
        <f t="array" aca="1" ref="F5" ca="1">INDIRECT(CONCATENATE("'",HLOOKUP(F$1,$B$21:$E$23,3,FALSE),"'!",$B$25,ROW($A5)+5))*About!$A$27</f>
        <v>2.0160000000000001E-2</v>
      </c>
      <c r="G5">
        <f t="shared" ca="1" si="4"/>
        <v>2.0160000000000001E-2</v>
      </c>
      <c r="H5">
        <f t="shared" ca="1" si="1"/>
        <v>2.0160000000000001E-2</v>
      </c>
      <c r="I5">
        <f t="shared" ca="1" si="1"/>
        <v>2.0160000000000001E-2</v>
      </c>
      <c r="J5">
        <f t="shared" ca="1" si="1"/>
        <v>2.0160000000000001E-2</v>
      </c>
      <c r="K5" s="32" cm="1">
        <f t="array" aca="1" ref="K5" ca="1">INDIRECT(CONCATENATE("'",HLOOKUP(K$1,$B$21:$E$23,3,FALSE),"'!",$B$25,ROW($A5)+5))*About!$A$27</f>
        <v>2.0160000000000001E-2</v>
      </c>
      <c r="L5">
        <f t="shared" ca="1" si="5"/>
        <v>2.0448000000000001E-2</v>
      </c>
      <c r="M5">
        <f t="shared" ca="1" si="2"/>
        <v>2.0736000000000001E-2</v>
      </c>
      <c r="N5">
        <f t="shared" ca="1" si="2"/>
        <v>2.1023999999999998E-2</v>
      </c>
      <c r="O5">
        <f t="shared" ca="1" si="2"/>
        <v>2.1311999999999998E-2</v>
      </c>
      <c r="P5" s="32" cm="1">
        <f t="array" aca="1" ref="P5" ca="1">INDIRECT(CONCATENATE("'",HLOOKUP(P$1,$B$21:$E$23,3,FALSE),"'!",$B$25,ROW($A5)+5))*About!$A$27</f>
        <v>2.1599999999999998E-2</v>
      </c>
      <c r="Q5" cm="1">
        <f t="array" aca="1" ref="Q5" ca="1">TREND($K5:$P5,$K$1:$P$1,Q$1)</f>
        <v>2.1888000000000019E-2</v>
      </c>
      <c r="R5" cm="1">
        <f t="array" aca="1" ref="R5" ca="1">TREND($K5:$P5,$K$1:$P$1,R$1)</f>
        <v>2.2176000000000085E-2</v>
      </c>
      <c r="S5" cm="1">
        <f t="array" aca="1" ref="S5" ca="1">TREND($K5:$P5,$K$1:$P$1,S$1)</f>
        <v>2.2464000000000039E-2</v>
      </c>
      <c r="T5" cm="1">
        <f t="array" aca="1" ref="T5" ca="1">TREND($K5:$P5,$K$1:$P$1,T$1)</f>
        <v>2.2751999999999994E-2</v>
      </c>
      <c r="U5" cm="1">
        <f t="array" aca="1" ref="U5" ca="1">TREND($K5:$P5,$K$1:$P$1,U$1)</f>
        <v>2.304000000000006E-2</v>
      </c>
      <c r="V5" cm="1">
        <f t="array" aca="1" ref="V5" ca="1">TREND($K5:$P5,$K$1:$P$1,V$1)</f>
        <v>2.3328000000000015E-2</v>
      </c>
      <c r="W5" cm="1">
        <f t="array" aca="1" ref="W5" ca="1">TREND($K5:$P5,$K$1:$P$1,W$1)</f>
        <v>2.3616000000000081E-2</v>
      </c>
      <c r="X5" cm="1">
        <f t="array" aca="1" ref="X5" ca="1">TREND($K5:$P5,$K$1:$P$1,X$1)</f>
        <v>2.3904000000000036E-2</v>
      </c>
      <c r="Y5" cm="1">
        <f t="array" aca="1" ref="Y5" ca="1">TREND($K5:$P5,$K$1:$P$1,Y$1)</f>
        <v>2.4191999999999991E-2</v>
      </c>
      <c r="Z5" cm="1">
        <f t="array" aca="1" ref="Z5" ca="1">TREND($K5:$P5,$K$1:$P$1,Z$1)</f>
        <v>2.4480000000000057E-2</v>
      </c>
      <c r="AA5" cm="1">
        <f t="array" aca="1" ref="AA5" ca="1">TREND($K5:$P5,$K$1:$P$1,AA$1)</f>
        <v>2.4768000000000012E-2</v>
      </c>
      <c r="AB5" cm="1">
        <f t="array" aca="1" ref="AB5" ca="1">TREND($K5:$P5,$K$1:$P$1,AB$1)</f>
        <v>2.5056000000000078E-2</v>
      </c>
      <c r="AC5" cm="1">
        <f t="array" aca="1" ref="AC5" ca="1">TREND($K5:$P5,$K$1:$P$1,AC$1)</f>
        <v>2.5344000000000033E-2</v>
      </c>
      <c r="AD5" cm="1">
        <f t="array" aca="1" ref="AD5" ca="1">TREND($K5:$P5,$K$1:$P$1,AD$1)</f>
        <v>2.5631999999999988E-2</v>
      </c>
      <c r="AE5" cm="1">
        <f t="array" aca="1" ref="AE5" ca="1">TREND($K5:$P5,$K$1:$P$1,AE$1)</f>
        <v>2.5920000000000054E-2</v>
      </c>
      <c r="AF5" cm="1">
        <f t="array" aca="1" ref="AF5" ca="1">TREND($K5:$P5,$K$1:$P$1,AF$1)</f>
        <v>2.6208000000000009E-2</v>
      </c>
      <c r="AG5" cm="1">
        <f t="array" aca="1" ref="AG5" ca="1">TREND($K5:$P5,$K$1:$P$1,AG$1)</f>
        <v>2.6496000000000075E-2</v>
      </c>
      <c r="AH5" cm="1">
        <f t="array" aca="1" ref="AH5" ca="1">TREND($K5:$P5,$K$1:$P$1,AH$1)</f>
        <v>2.678400000000003E-2</v>
      </c>
      <c r="AI5" cm="1">
        <f t="array" aca="1" ref="AI5" ca="1">TREND($K5:$P5,$K$1:$P$1,AI$1)</f>
        <v>2.7071999999999985E-2</v>
      </c>
      <c r="AJ5" cm="1">
        <f t="array" aca="1" ref="AJ5" ca="1">TREND($K5:$P5,$K$1:$P$1,AJ$1)</f>
        <v>2.7360000000000051E-2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2.8799999999999999E-2</v>
      </c>
      <c r="C6">
        <f t="shared" ca="1" si="3"/>
        <v>2.8799999999999999E-2</v>
      </c>
      <c r="D6">
        <f t="shared" ca="1" si="0"/>
        <v>2.8799999999999999E-2</v>
      </c>
      <c r="E6">
        <f t="shared" ca="1" si="0"/>
        <v>2.8799999999999999E-2</v>
      </c>
      <c r="F6" s="32" cm="1">
        <f t="array" aca="1" ref="F6" ca="1">INDIRECT(CONCATENATE("'",HLOOKUP(F$1,$B$21:$E$23,3,FALSE),"'!",$B$25,ROW($A6)+5))*About!$A$27</f>
        <v>2.8799999999999999E-2</v>
      </c>
      <c r="G6">
        <f t="shared" ca="1" si="4"/>
        <v>2.8799999999999999E-2</v>
      </c>
      <c r="H6">
        <f t="shared" ca="1" si="1"/>
        <v>2.8799999999999999E-2</v>
      </c>
      <c r="I6">
        <f t="shared" ca="1" si="1"/>
        <v>2.8799999999999999E-2</v>
      </c>
      <c r="J6">
        <f t="shared" ca="1" si="1"/>
        <v>2.8799999999999999E-2</v>
      </c>
      <c r="K6" s="32" cm="1">
        <f t="array" aca="1" ref="K6" ca="1">INDIRECT(CONCATENATE("'",HLOOKUP(K$1,$B$21:$E$23,3,FALSE),"'!",$B$25,ROW($A6)+5))*About!$A$27</f>
        <v>2.8799999999999999E-2</v>
      </c>
      <c r="L6">
        <f t="shared" ca="1" si="5"/>
        <v>2.9375999999999999E-2</v>
      </c>
      <c r="M6">
        <f t="shared" ca="1" si="2"/>
        <v>2.9951999999999999E-2</v>
      </c>
      <c r="N6">
        <f t="shared" ca="1" si="2"/>
        <v>3.0528E-2</v>
      </c>
      <c r="O6">
        <f t="shared" ca="1" si="2"/>
        <v>3.1104E-2</v>
      </c>
      <c r="P6" s="32" cm="1">
        <f t="array" aca="1" ref="P6" ca="1">INDIRECT(CONCATENATE("'",HLOOKUP(P$1,$B$21:$E$23,3,FALSE),"'!",$B$25,ROW($A6)+5))*About!$A$27</f>
        <v>3.168E-2</v>
      </c>
      <c r="Q6" cm="1">
        <f t="array" aca="1" ref="Q6" ca="1">TREND($K6:$P6,$K$1:$P$1,Q$1)</f>
        <v>3.2256000000000062E-2</v>
      </c>
      <c r="R6" cm="1">
        <f t="array" aca="1" ref="R6" ca="1">TREND($K6:$P6,$K$1:$P$1,R$1)</f>
        <v>3.2831999999999972E-2</v>
      </c>
      <c r="S6" cm="1">
        <f t="array" aca="1" ref="S6" ca="1">TREND($K6:$P6,$K$1:$P$1,S$1)</f>
        <v>3.3408000000000104E-2</v>
      </c>
      <c r="T6" cm="1">
        <f t="array" aca="1" ref="T6" ca="1">TREND($K6:$P6,$K$1:$P$1,T$1)</f>
        <v>3.3984000000000014E-2</v>
      </c>
      <c r="U6" cm="1">
        <f t="array" aca="1" ref="U6" ca="1">TREND($K6:$P6,$K$1:$P$1,U$1)</f>
        <v>3.4560000000000146E-2</v>
      </c>
      <c r="V6" cm="1">
        <f t="array" aca="1" ref="V6" ca="1">TREND($K6:$P6,$K$1:$P$1,V$1)</f>
        <v>3.5136000000000056E-2</v>
      </c>
      <c r="W6" cm="1">
        <f t="array" aca="1" ref="W6" ca="1">TREND($K6:$P6,$K$1:$P$1,W$1)</f>
        <v>3.5712000000000188E-2</v>
      </c>
      <c r="X6" cm="1">
        <f t="array" aca="1" ref="X6" ca="1">TREND($K6:$P6,$K$1:$P$1,X$1)</f>
        <v>3.6288000000000098E-2</v>
      </c>
      <c r="Y6" cm="1">
        <f t="array" aca="1" ref="Y6" ca="1">TREND($K6:$P6,$K$1:$P$1,Y$1)</f>
        <v>3.6864000000000008E-2</v>
      </c>
      <c r="Z6" cm="1">
        <f t="array" aca="1" ref="Z6" ca="1">TREND($K6:$P6,$K$1:$P$1,Z$1)</f>
        <v>3.744000000000014E-2</v>
      </c>
      <c r="AA6" cm="1">
        <f t="array" aca="1" ref="AA6" ca="1">TREND($K6:$P6,$K$1:$P$1,AA$1)</f>
        <v>3.801600000000005E-2</v>
      </c>
      <c r="AB6" cm="1">
        <f t="array" aca="1" ref="AB6" ca="1">TREND($K6:$P6,$K$1:$P$1,AB$1)</f>
        <v>3.8592000000000182E-2</v>
      </c>
      <c r="AC6" cm="1">
        <f t="array" aca="1" ref="AC6" ca="1">TREND($K6:$P6,$K$1:$P$1,AC$1)</f>
        <v>3.9168000000000092E-2</v>
      </c>
      <c r="AD6" cm="1">
        <f t="array" aca="1" ref="AD6" ca="1">TREND($K6:$P6,$K$1:$P$1,AD$1)</f>
        <v>3.9744000000000002E-2</v>
      </c>
      <c r="AE6" cm="1">
        <f t="array" aca="1" ref="AE6" ca="1">TREND($K6:$P6,$K$1:$P$1,AE$1)</f>
        <v>4.0320000000000134E-2</v>
      </c>
      <c r="AF6" cm="1">
        <f t="array" aca="1" ref="AF6" ca="1">TREND($K6:$P6,$K$1:$P$1,AF$1)</f>
        <v>4.0896000000000043E-2</v>
      </c>
      <c r="AG6" cm="1">
        <f t="array" aca="1" ref="AG6" ca="1">TREND($K6:$P6,$K$1:$P$1,AG$1)</f>
        <v>4.1472000000000175E-2</v>
      </c>
      <c r="AH6" cm="1">
        <f t="array" aca="1" ref="AH6" ca="1">TREND($K6:$P6,$K$1:$P$1,AH$1)</f>
        <v>4.2048000000000085E-2</v>
      </c>
      <c r="AI6" cm="1">
        <f t="array" aca="1" ref="AI6" ca="1">TREND($K6:$P6,$K$1:$P$1,AI$1)</f>
        <v>4.2623999999999995E-2</v>
      </c>
      <c r="AJ6" cm="1">
        <f t="array" aca="1" ref="AJ6" ca="1">TREND($K6:$P6,$K$1:$P$1,AJ$1)</f>
        <v>4.3200000000000127E-2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0.82079999999999986</v>
      </c>
      <c r="C7">
        <f t="shared" ca="1" si="3"/>
        <v>0.82079999999999986</v>
      </c>
      <c r="D7">
        <f t="shared" ca="1" si="0"/>
        <v>0.82079999999999986</v>
      </c>
      <c r="E7">
        <f t="shared" ca="1" si="0"/>
        <v>0.82079999999999986</v>
      </c>
      <c r="F7" s="32" cm="1">
        <f t="array" aca="1" ref="F7" ca="1">INDIRECT(CONCATENATE("'",HLOOKUP(F$1,$B$21:$E$23,3,FALSE),"'!",$B$25,ROW($A7)+5))*About!$A$27</f>
        <v>0.82079999999999986</v>
      </c>
      <c r="G7">
        <f t="shared" ca="1" si="4"/>
        <v>0.82367999999999986</v>
      </c>
      <c r="H7">
        <f t="shared" ca="1" si="1"/>
        <v>0.82655999999999985</v>
      </c>
      <c r="I7">
        <f t="shared" ca="1" si="1"/>
        <v>0.82943999999999996</v>
      </c>
      <c r="J7">
        <f t="shared" ca="1" si="1"/>
        <v>0.83231999999999995</v>
      </c>
      <c r="K7" s="32" cm="1">
        <f t="array" aca="1" ref="K7" ca="1">INDIRECT(CONCATENATE("'",HLOOKUP(K$1,$B$21:$E$23,3,FALSE),"'!",$B$25,ROW($A7)+5))*About!$A$27</f>
        <v>0.83519999999999994</v>
      </c>
      <c r="L7">
        <f t="shared" ca="1" si="5"/>
        <v>0.83519999999999994</v>
      </c>
      <c r="M7">
        <f t="shared" ca="1" si="2"/>
        <v>0.83519999999999994</v>
      </c>
      <c r="N7">
        <f t="shared" ca="1" si="2"/>
        <v>0.83519999999999994</v>
      </c>
      <c r="O7">
        <f t="shared" ca="1" si="2"/>
        <v>0.83519999999999994</v>
      </c>
      <c r="P7" s="32" cm="1">
        <f t="array" aca="1" ref="P7" ca="1">INDIRECT(CONCATENATE("'",HLOOKUP(P$1,$B$21:$E$23,3,FALSE),"'!",$B$25,ROW($A7)+5))*About!$A$27</f>
        <v>0.83519999999999994</v>
      </c>
      <c r="Q7" cm="1">
        <f t="array" aca="1" ref="Q7" ca="1">TREND($K7:$P7,$K$1:$P$1,Q$1)</f>
        <v>0.83520000000000005</v>
      </c>
      <c r="R7" cm="1">
        <f t="array" aca="1" ref="R7" ca="1">TREND($K7:$P7,$K$1:$P$1,R$1)</f>
        <v>0.83520000000000005</v>
      </c>
      <c r="S7" cm="1">
        <f t="array" aca="1" ref="S7" ca="1">TREND($K7:$P7,$K$1:$P$1,S$1)</f>
        <v>0.83520000000000005</v>
      </c>
      <c r="T7" cm="1">
        <f t="array" aca="1" ref="T7" ca="1">TREND($K7:$P7,$K$1:$P$1,T$1)</f>
        <v>0.83520000000000005</v>
      </c>
      <c r="U7" cm="1">
        <f t="array" aca="1" ref="U7" ca="1">TREND($K7:$P7,$K$1:$P$1,U$1)</f>
        <v>0.83520000000000005</v>
      </c>
      <c r="V7" cm="1">
        <f t="array" aca="1" ref="V7" ca="1">TREND($K7:$P7,$K$1:$P$1,V$1)</f>
        <v>0.83520000000000005</v>
      </c>
      <c r="W7" cm="1">
        <f t="array" aca="1" ref="W7" ca="1">TREND($K7:$P7,$K$1:$P$1,W$1)</f>
        <v>0.83520000000000005</v>
      </c>
      <c r="X7" cm="1">
        <f t="array" aca="1" ref="X7" ca="1">TREND($K7:$P7,$K$1:$P$1,X$1)</f>
        <v>0.83520000000000005</v>
      </c>
      <c r="Y7" cm="1">
        <f t="array" aca="1" ref="Y7" ca="1">TREND($K7:$P7,$K$1:$P$1,Y$1)</f>
        <v>0.83520000000000005</v>
      </c>
      <c r="Z7" cm="1">
        <f t="array" aca="1" ref="Z7" ca="1">TREND($K7:$P7,$K$1:$P$1,Z$1)</f>
        <v>0.83520000000000005</v>
      </c>
      <c r="AA7" cm="1">
        <f t="array" aca="1" ref="AA7" ca="1">TREND($K7:$P7,$K$1:$P$1,AA$1)</f>
        <v>0.83520000000000005</v>
      </c>
      <c r="AB7" cm="1">
        <f t="array" aca="1" ref="AB7" ca="1">TREND($K7:$P7,$K$1:$P$1,AB$1)</f>
        <v>0.83520000000000005</v>
      </c>
      <c r="AC7" cm="1">
        <f t="array" aca="1" ref="AC7" ca="1">TREND($K7:$P7,$K$1:$P$1,AC$1)</f>
        <v>0.83520000000000005</v>
      </c>
      <c r="AD7" cm="1">
        <f t="array" aca="1" ref="AD7" ca="1">TREND($K7:$P7,$K$1:$P$1,AD$1)</f>
        <v>0.83520000000000005</v>
      </c>
      <c r="AE7" cm="1">
        <f t="array" aca="1" ref="AE7" ca="1">TREND($K7:$P7,$K$1:$P$1,AE$1)</f>
        <v>0.83520000000000005</v>
      </c>
      <c r="AF7" cm="1">
        <f t="array" aca="1" ref="AF7" ca="1">TREND($K7:$P7,$K$1:$P$1,AF$1)</f>
        <v>0.83520000000000005</v>
      </c>
      <c r="AG7" cm="1">
        <f t="array" aca="1" ref="AG7" ca="1">TREND($K7:$P7,$K$1:$P$1,AG$1)</f>
        <v>0.83520000000000005</v>
      </c>
      <c r="AH7" cm="1">
        <f t="array" aca="1" ref="AH7" ca="1">TREND($K7:$P7,$K$1:$P$1,AH$1)</f>
        <v>0.83520000000000005</v>
      </c>
      <c r="AI7" cm="1">
        <f t="array" aca="1" ref="AI7" ca="1">TREND($K7:$P7,$K$1:$P$1,AI$1)</f>
        <v>0.83520000000000005</v>
      </c>
      <c r="AJ7" cm="1">
        <f t="array" aca="1" ref="AJ7" ca="1">TREND($K7:$P7,$K$1:$P$1,AJ$1)</f>
        <v>0.83520000000000005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0.13824</v>
      </c>
      <c r="C8">
        <f t="shared" ca="1" si="3"/>
        <v>0.1386</v>
      </c>
      <c r="D8">
        <f t="shared" ca="1" si="0"/>
        <v>0.13896</v>
      </c>
      <c r="E8">
        <f t="shared" ca="1" si="0"/>
        <v>0.13932</v>
      </c>
      <c r="F8" s="32" cm="1">
        <f t="array" aca="1" ref="F8" ca="1">INDIRECT(CONCATENATE("'",HLOOKUP(F$1,$B$21:$E$23,3,FALSE),"'!",$B$25,ROW($A8)+5))*About!$A$27</f>
        <v>0.13968</v>
      </c>
      <c r="G8">
        <f t="shared" ca="1" si="4"/>
        <v>0.13996800000000001</v>
      </c>
      <c r="H8">
        <f t="shared" ca="1" si="1"/>
        <v>0.14025599999999999</v>
      </c>
      <c r="I8">
        <f t="shared" ca="1" si="1"/>
        <v>0.140544</v>
      </c>
      <c r="J8">
        <f t="shared" ca="1" si="1"/>
        <v>0.14083199999999998</v>
      </c>
      <c r="K8" s="32" cm="1">
        <f t="array" aca="1" ref="K8" ca="1">INDIRECT(CONCATENATE("'",HLOOKUP(K$1,$B$21:$E$23,3,FALSE),"'!",$B$25,ROW($A8)+5))*About!$A$27</f>
        <v>0.14112</v>
      </c>
      <c r="L8">
        <f t="shared" ca="1" si="5"/>
        <v>0.14140800000000001</v>
      </c>
      <c r="M8">
        <f t="shared" ca="1" si="2"/>
        <v>0.14169599999999999</v>
      </c>
      <c r="N8">
        <f t="shared" ca="1" si="2"/>
        <v>0.141984</v>
      </c>
      <c r="O8">
        <f t="shared" ca="1" si="2"/>
        <v>0.14227199999999998</v>
      </c>
      <c r="P8" s="32" cm="1">
        <f t="array" aca="1" ref="P8" ca="1">INDIRECT(CONCATENATE("'",HLOOKUP(P$1,$B$21:$E$23,3,FALSE),"'!",$B$25,ROW($A8)+5))*About!$A$27</f>
        <v>0.14255999999999999</v>
      </c>
      <c r="Q8" cm="1">
        <f t="array" aca="1" ref="Q8" ca="1">TREND($K8:$P8,$K$1:$P$1,Q$1)</f>
        <v>0.14284799999999986</v>
      </c>
      <c r="R8" cm="1">
        <f t="array" aca="1" ref="R8" ca="1">TREND($K8:$P8,$K$1:$P$1,R$1)</f>
        <v>0.14313599999999993</v>
      </c>
      <c r="S8" cm="1">
        <f t="array" aca="1" ref="S8" ca="1">TREND($K8:$P8,$K$1:$P$1,S$1)</f>
        <v>0.14342399999999988</v>
      </c>
      <c r="T8" cm="1">
        <f t="array" aca="1" ref="T8" ca="1">TREND($K8:$P8,$K$1:$P$1,T$1)</f>
        <v>0.14371199999999995</v>
      </c>
      <c r="U8" cm="1">
        <f t="array" aca="1" ref="U8" ca="1">TREND($K8:$P8,$K$1:$P$1,U$1)</f>
        <v>0.14399999999999991</v>
      </c>
      <c r="V8" cm="1">
        <f t="array" aca="1" ref="V8" ca="1">TREND($K8:$P8,$K$1:$P$1,V$1)</f>
        <v>0.14428799999999986</v>
      </c>
      <c r="W8" cm="1">
        <f t="array" aca="1" ref="W8" ca="1">TREND($K8:$P8,$K$1:$P$1,W$1)</f>
        <v>0.14457599999999993</v>
      </c>
      <c r="X8" cm="1">
        <f t="array" aca="1" ref="X8" ca="1">TREND($K8:$P8,$K$1:$P$1,X$1)</f>
        <v>0.14486399999999988</v>
      </c>
      <c r="Y8" cm="1">
        <f t="array" aca="1" ref="Y8" ca="1">TREND($K8:$P8,$K$1:$P$1,Y$1)</f>
        <v>0.14515199999999995</v>
      </c>
      <c r="Z8" cm="1">
        <f t="array" aca="1" ref="Z8" ca="1">TREND($K8:$P8,$K$1:$P$1,Z$1)</f>
        <v>0.1454399999999999</v>
      </c>
      <c r="AA8" cm="1">
        <f t="array" aca="1" ref="AA8" ca="1">TREND($K8:$P8,$K$1:$P$1,AA$1)</f>
        <v>0.14572799999999986</v>
      </c>
      <c r="AB8" cm="1">
        <f t="array" aca="1" ref="AB8" ca="1">TREND($K8:$P8,$K$1:$P$1,AB$1)</f>
        <v>0.14601599999999992</v>
      </c>
      <c r="AC8" cm="1">
        <f t="array" aca="1" ref="AC8" ca="1">TREND($K8:$P8,$K$1:$P$1,AC$1)</f>
        <v>0.14630399999999988</v>
      </c>
      <c r="AD8" cm="1">
        <f t="array" aca="1" ref="AD8" ca="1">TREND($K8:$P8,$K$1:$P$1,AD$1)</f>
        <v>0.14659199999999983</v>
      </c>
      <c r="AE8" cm="1">
        <f t="array" aca="1" ref="AE8" ca="1">TREND($K8:$P8,$K$1:$P$1,AE$1)</f>
        <v>0.1468799999999999</v>
      </c>
      <c r="AF8" cm="1">
        <f t="array" aca="1" ref="AF8" ca="1">TREND($K8:$P8,$K$1:$P$1,AF$1)</f>
        <v>0.14716799999999985</v>
      </c>
      <c r="AG8" cm="1">
        <f t="array" aca="1" ref="AG8" ca="1">TREND($K8:$P8,$K$1:$P$1,AG$1)</f>
        <v>0.14745599999999992</v>
      </c>
      <c r="AH8" cm="1">
        <f t="array" aca="1" ref="AH8" ca="1">TREND($K8:$P8,$K$1:$P$1,AH$1)</f>
        <v>0.14774399999999988</v>
      </c>
      <c r="AI8" cm="1">
        <f t="array" aca="1" ref="AI8" ca="1">TREND($K8:$P8,$K$1:$P$1,AI$1)</f>
        <v>0.14803199999999983</v>
      </c>
      <c r="AJ8" cm="1">
        <f t="array" aca="1" ref="AJ8" ca="1">TREND($K8:$P8,$K$1:$P$1,AJ$1)</f>
        <v>0.1483199999999999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3.3119999999999997E-2</v>
      </c>
      <c r="C9">
        <f t="shared" ca="1" si="3"/>
        <v>3.3119999999999997E-2</v>
      </c>
      <c r="D9">
        <f t="shared" ca="1" si="0"/>
        <v>3.3119999999999997E-2</v>
      </c>
      <c r="E9">
        <f t="shared" ca="1" si="0"/>
        <v>3.3119999999999997E-2</v>
      </c>
      <c r="F9" s="32" cm="1">
        <f t="array" aca="1" ref="F9" ca="1">INDIRECT(CONCATENATE("'",HLOOKUP(F$1,$B$21:$E$23,3,FALSE),"'!",$B$25,ROW($A9)+5))*About!$A$27</f>
        <v>3.3119999999999997E-2</v>
      </c>
      <c r="G9">
        <f t="shared" ca="1" si="4"/>
        <v>3.3408E-2</v>
      </c>
      <c r="H9">
        <f t="shared" ca="1" si="1"/>
        <v>3.3695999999999997E-2</v>
      </c>
      <c r="I9">
        <f t="shared" ca="1" si="1"/>
        <v>3.3984E-2</v>
      </c>
      <c r="J9">
        <f t="shared" ca="1" si="1"/>
        <v>3.4271999999999997E-2</v>
      </c>
      <c r="K9" s="32" cm="1">
        <f t="array" aca="1" ref="K9" ca="1">INDIRECT(CONCATENATE("'",HLOOKUP(K$1,$B$21:$E$23,3,FALSE),"'!",$B$25,ROW($A9)+5))*About!$A$27</f>
        <v>3.456E-2</v>
      </c>
      <c r="L9">
        <f t="shared" ca="1" si="5"/>
        <v>3.4847999999999997E-2</v>
      </c>
      <c r="M9">
        <f t="shared" ca="1" si="2"/>
        <v>3.5136000000000001E-2</v>
      </c>
      <c r="N9">
        <f t="shared" ca="1" si="2"/>
        <v>3.5423999999999997E-2</v>
      </c>
      <c r="O9">
        <f t="shared" ca="1" si="2"/>
        <v>3.5712000000000001E-2</v>
      </c>
      <c r="P9" s="32" cm="1">
        <f t="array" aca="1" ref="P9" ca="1">INDIRECT(CONCATENATE("'",HLOOKUP(P$1,$B$21:$E$23,3,FALSE),"'!",$B$25,ROW($A9)+5))*About!$A$27</f>
        <v>3.5999999999999997E-2</v>
      </c>
      <c r="Q9" cm="1">
        <f t="array" aca="1" ref="Q9" ca="1">TREND($K9:$P9,$K$1:$P$1,Q$1)</f>
        <v>3.6287999999999987E-2</v>
      </c>
      <c r="R9" cm="1">
        <f t="array" aca="1" ref="R9" ca="1">TREND($K9:$P9,$K$1:$P$1,R$1)</f>
        <v>3.6576000000000053E-2</v>
      </c>
      <c r="S9" cm="1">
        <f t="array" aca="1" ref="S9" ca="1">TREND($K9:$P9,$K$1:$P$1,S$1)</f>
        <v>3.6864000000000008E-2</v>
      </c>
      <c r="T9" cm="1">
        <f t="array" aca="1" ref="T9" ca="1">TREND($K9:$P9,$K$1:$P$1,T$1)</f>
        <v>3.7151999999999963E-2</v>
      </c>
      <c r="U9" cm="1">
        <f t="array" aca="1" ref="U9" ca="1">TREND($K9:$P9,$K$1:$P$1,U$1)</f>
        <v>3.7440000000000029E-2</v>
      </c>
      <c r="V9" cm="1">
        <f t="array" aca="1" ref="V9" ca="1">TREND($K9:$P9,$K$1:$P$1,V$1)</f>
        <v>3.7727999999999984E-2</v>
      </c>
      <c r="W9" cm="1">
        <f t="array" aca="1" ref="W9" ca="1">TREND($K9:$P9,$K$1:$P$1,W$1)</f>
        <v>3.801600000000005E-2</v>
      </c>
      <c r="X9" cm="1">
        <f t="array" aca="1" ref="X9" ca="1">TREND($K9:$P9,$K$1:$P$1,X$1)</f>
        <v>3.8304000000000005E-2</v>
      </c>
      <c r="Y9" cm="1">
        <f t="array" aca="1" ref="Y9" ca="1">TREND($K9:$P9,$K$1:$P$1,Y$1)</f>
        <v>3.859199999999996E-2</v>
      </c>
      <c r="Z9" cm="1">
        <f t="array" aca="1" ref="Z9" ca="1">TREND($K9:$P9,$K$1:$P$1,Z$1)</f>
        <v>3.8880000000000026E-2</v>
      </c>
      <c r="AA9" cm="1">
        <f t="array" aca="1" ref="AA9" ca="1">TREND($K9:$P9,$K$1:$P$1,AA$1)</f>
        <v>3.9167999999999981E-2</v>
      </c>
      <c r="AB9" cm="1">
        <f t="array" aca="1" ref="AB9" ca="1">TREND($K9:$P9,$K$1:$P$1,AB$1)</f>
        <v>3.9456000000000047E-2</v>
      </c>
      <c r="AC9" cm="1">
        <f t="array" aca="1" ref="AC9" ca="1">TREND($K9:$P9,$K$1:$P$1,AC$1)</f>
        <v>3.9744000000000002E-2</v>
      </c>
      <c r="AD9" cm="1">
        <f t="array" aca="1" ref="AD9" ca="1">TREND($K9:$P9,$K$1:$P$1,AD$1)</f>
        <v>4.0031999999999957E-2</v>
      </c>
      <c r="AE9" cm="1">
        <f t="array" aca="1" ref="AE9" ca="1">TREND($K9:$P9,$K$1:$P$1,AE$1)</f>
        <v>4.0320000000000022E-2</v>
      </c>
      <c r="AF9" cm="1">
        <f t="array" aca="1" ref="AF9" ca="1">TREND($K9:$P9,$K$1:$P$1,AF$1)</f>
        <v>4.0607999999999977E-2</v>
      </c>
      <c r="AG9" cm="1">
        <f t="array" aca="1" ref="AG9" ca="1">TREND($K9:$P9,$K$1:$P$1,AG$1)</f>
        <v>4.0896000000000043E-2</v>
      </c>
      <c r="AH9" cm="1">
        <f t="array" aca="1" ref="AH9" ca="1">TREND($K9:$P9,$K$1:$P$1,AH$1)</f>
        <v>4.1183999999999998E-2</v>
      </c>
      <c r="AI9" cm="1">
        <f t="array" aca="1" ref="AI9" ca="1">TREND($K9:$P9,$K$1:$P$1,AI$1)</f>
        <v>4.1471999999999953E-2</v>
      </c>
      <c r="AJ9" cm="1">
        <f t="array" aca="1" ref="AJ9" ca="1">TREND($K9:$P9,$K$1:$P$1,AJ$1)</f>
        <v>4.1760000000000019E-2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2.4479999999999999E-4</v>
      </c>
      <c r="C10">
        <f t="shared" ca="1" si="3"/>
        <v>2.52E-4</v>
      </c>
      <c r="D10">
        <f t="shared" ca="1" si="0"/>
        <v>2.5920000000000001E-4</v>
      </c>
      <c r="E10">
        <f t="shared" ca="1" si="0"/>
        <v>2.6639999999999997E-4</v>
      </c>
      <c r="F10" s="32" cm="1">
        <f t="array" aca="1" ref="F10" ca="1">INDIRECT(CONCATENATE("'",HLOOKUP(F$1,$B$21:$E$23,3,FALSE),"'!",$B$25,ROW($A10)+5))*About!$A$27</f>
        <v>2.7359999999999998E-4</v>
      </c>
      <c r="G10">
        <f t="shared" ca="1" si="4"/>
        <v>2.7648000000000001E-4</v>
      </c>
      <c r="H10">
        <f t="shared" ca="1" si="1"/>
        <v>2.7935999999999998E-4</v>
      </c>
      <c r="I10">
        <f t="shared" ca="1" si="1"/>
        <v>2.8224000000000001E-4</v>
      </c>
      <c r="J10">
        <f t="shared" ca="1" si="1"/>
        <v>2.8511999999999998E-4</v>
      </c>
      <c r="K10" s="32" cm="1">
        <f t="array" aca="1" ref="K10" ca="1">INDIRECT(CONCATENATE("'",HLOOKUP(K$1,$B$21:$E$23,3,FALSE),"'!",$B$25,ROW($A10)+5))*About!$A$27</f>
        <v>2.8800000000000001E-4</v>
      </c>
      <c r="L10">
        <f t="shared" ca="1" si="5"/>
        <v>2.9376000000000001E-4</v>
      </c>
      <c r="M10">
        <f t="shared" ca="1" si="2"/>
        <v>2.9952000000000001E-4</v>
      </c>
      <c r="N10">
        <f t="shared" ca="1" si="2"/>
        <v>3.0528E-4</v>
      </c>
      <c r="O10">
        <f t="shared" ca="1" si="2"/>
        <v>3.1104E-4</v>
      </c>
      <c r="P10" s="32" cm="1">
        <f t="array" aca="1" ref="P10" ca="1">INDIRECT(CONCATENATE("'",HLOOKUP(P$1,$B$21:$E$23,3,FALSE),"'!",$B$25,ROW($A10)+5))*About!$A$27</f>
        <v>3.168E-4</v>
      </c>
      <c r="Q10" cm="1">
        <f t="array" aca="1" ref="Q10" ca="1">TREND($K10:$P10,$K$1:$P$1,Q$1)</f>
        <v>3.2255999999999951E-4</v>
      </c>
      <c r="R10" cm="1">
        <f t="array" aca="1" ref="R10" ca="1">TREND($K10:$P10,$K$1:$P$1,R$1)</f>
        <v>3.2831999999999827E-4</v>
      </c>
      <c r="S10" cm="1">
        <f t="array" aca="1" ref="S10" ca="1">TREND($K10:$P10,$K$1:$P$1,S$1)</f>
        <v>3.3407999999999875E-4</v>
      </c>
      <c r="T10" cm="1">
        <f t="array" aca="1" ref="T10" ca="1">TREND($K10:$P10,$K$1:$P$1,T$1)</f>
        <v>3.3983999999999924E-4</v>
      </c>
      <c r="U10" cm="1">
        <f t="array" aca="1" ref="U10" ca="1">TREND($K10:$P10,$K$1:$P$1,U$1)</f>
        <v>3.4559999999999973E-4</v>
      </c>
      <c r="V10" cm="1">
        <f t="array" aca="1" ref="V10" ca="1">TREND($K10:$P10,$K$1:$P$1,V$1)</f>
        <v>3.5135999999999848E-4</v>
      </c>
      <c r="W10" cm="1">
        <f t="array" aca="1" ref="W10" ca="1">TREND($K10:$P10,$K$1:$P$1,W$1)</f>
        <v>3.5711999999999897E-4</v>
      </c>
      <c r="X10" cm="1">
        <f t="array" aca="1" ref="X10" ca="1">TREND($K10:$P10,$K$1:$P$1,X$1)</f>
        <v>3.6287999999999945E-4</v>
      </c>
      <c r="Y10" cm="1">
        <f t="array" aca="1" ref="Y10" ca="1">TREND($K10:$P10,$K$1:$P$1,Y$1)</f>
        <v>3.6863999999999994E-4</v>
      </c>
      <c r="Z10" cm="1">
        <f t="array" aca="1" ref="Z10" ca="1">TREND($K10:$P10,$K$1:$P$1,Z$1)</f>
        <v>3.7439999999999869E-4</v>
      </c>
      <c r="AA10" cm="1">
        <f t="array" aca="1" ref="AA10" ca="1">TREND($K10:$P10,$K$1:$P$1,AA$1)</f>
        <v>3.8015999999999918E-4</v>
      </c>
      <c r="AB10" cm="1">
        <f t="array" aca="1" ref="AB10" ca="1">TREND($K10:$P10,$K$1:$P$1,AB$1)</f>
        <v>3.8591999999999967E-4</v>
      </c>
      <c r="AC10" cm="1">
        <f t="array" aca="1" ref="AC10" ca="1">TREND($K10:$P10,$K$1:$P$1,AC$1)</f>
        <v>3.9167999999999842E-4</v>
      </c>
      <c r="AD10" cm="1">
        <f t="array" aca="1" ref="AD10" ca="1">TREND($K10:$P10,$K$1:$P$1,AD$1)</f>
        <v>3.9743999999999891E-4</v>
      </c>
      <c r="AE10" cm="1">
        <f t="array" aca="1" ref="AE10" ca="1">TREND($K10:$P10,$K$1:$P$1,AE$1)</f>
        <v>4.0319999999999939E-4</v>
      </c>
      <c r="AF10" cm="1">
        <f t="array" aca="1" ref="AF10" ca="1">TREND($K10:$P10,$K$1:$P$1,AF$1)</f>
        <v>4.0895999999999988E-4</v>
      </c>
      <c r="AG10" cm="1">
        <f t="array" aca="1" ref="AG10" ca="1">TREND($K10:$P10,$K$1:$P$1,AG$1)</f>
        <v>4.1471999999999863E-4</v>
      </c>
      <c r="AH10" cm="1">
        <f t="array" aca="1" ref="AH10" ca="1">TREND($K10:$P10,$K$1:$P$1,AH$1)</f>
        <v>4.2047999999999912E-4</v>
      </c>
      <c r="AI10" cm="1">
        <f t="array" aca="1" ref="AI10" ca="1">TREND($K10:$P10,$K$1:$P$1,AI$1)</f>
        <v>4.2623999999999961E-4</v>
      </c>
      <c r="AJ10" cm="1">
        <f t="array" aca="1" ref="AJ10" ca="1">TREND($K10:$P10,$K$1:$P$1,AJ$1)</f>
        <v>4.3199999999999836E-4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2.4479999999999999E-4</v>
      </c>
      <c r="C11">
        <f t="shared" ca="1" si="3"/>
        <v>2.4839999999999997E-4</v>
      </c>
      <c r="D11">
        <f t="shared" ca="1" si="0"/>
        <v>2.52E-4</v>
      </c>
      <c r="E11">
        <f t="shared" ca="1" si="0"/>
        <v>2.5560000000000003E-4</v>
      </c>
      <c r="F11" s="32" cm="1">
        <f t="array" aca="1" ref="F11" ca="1">INDIRECT(CONCATENATE("'",HLOOKUP(F$1,$B$21:$E$23,3,FALSE),"'!",$B$25,ROW($A11)+5))*About!$A$27</f>
        <v>2.5920000000000001E-4</v>
      </c>
      <c r="G11">
        <f t="shared" ca="1" si="4"/>
        <v>2.6496000000000001E-4</v>
      </c>
      <c r="H11">
        <f t="shared" ca="1" si="1"/>
        <v>2.7072000000000001E-4</v>
      </c>
      <c r="I11">
        <f t="shared" ca="1" si="1"/>
        <v>2.7648000000000001E-4</v>
      </c>
      <c r="J11">
        <f t="shared" ca="1" si="1"/>
        <v>2.8224000000000001E-4</v>
      </c>
      <c r="K11" s="32" cm="1">
        <f t="array" aca="1" ref="K11" ca="1">INDIRECT(CONCATENATE("'",HLOOKUP(K$1,$B$21:$E$23,3,FALSE),"'!",$B$25,ROW($A11)+5))*About!$A$27</f>
        <v>2.8800000000000001E-4</v>
      </c>
      <c r="L11">
        <f t="shared" ca="1" si="5"/>
        <v>2.9376000000000001E-4</v>
      </c>
      <c r="M11">
        <f t="shared" ca="1" si="2"/>
        <v>2.9952000000000001E-4</v>
      </c>
      <c r="N11">
        <f t="shared" ca="1" si="2"/>
        <v>3.0528E-4</v>
      </c>
      <c r="O11">
        <f t="shared" ca="1" si="2"/>
        <v>3.1104E-4</v>
      </c>
      <c r="P11" s="32" cm="1">
        <f t="array" aca="1" ref="P11" ca="1">INDIRECT(CONCATENATE("'",HLOOKUP(P$1,$B$21:$E$23,3,FALSE),"'!",$B$25,ROW($A11)+5))*About!$A$27</f>
        <v>3.168E-4</v>
      </c>
      <c r="Q11" cm="1">
        <f t="array" aca="1" ref="Q11" ca="1">TREND($K11:$P11,$K$1:$P$1,Q$1)</f>
        <v>3.2255999999999951E-4</v>
      </c>
      <c r="R11" cm="1">
        <f t="array" aca="1" ref="R11" ca="1">TREND($K11:$P11,$K$1:$P$1,R$1)</f>
        <v>3.2831999999999827E-4</v>
      </c>
      <c r="S11" cm="1">
        <f t="array" aca="1" ref="S11" ca="1">TREND($K11:$P11,$K$1:$P$1,S$1)</f>
        <v>3.3407999999999875E-4</v>
      </c>
      <c r="T11" cm="1">
        <f t="array" aca="1" ref="T11" ca="1">TREND($K11:$P11,$K$1:$P$1,T$1)</f>
        <v>3.3983999999999924E-4</v>
      </c>
      <c r="U11" cm="1">
        <f t="array" aca="1" ref="U11" ca="1">TREND($K11:$P11,$K$1:$P$1,U$1)</f>
        <v>3.4559999999999973E-4</v>
      </c>
      <c r="V11" cm="1">
        <f t="array" aca="1" ref="V11" ca="1">TREND($K11:$P11,$K$1:$P$1,V$1)</f>
        <v>3.5135999999999848E-4</v>
      </c>
      <c r="W11" cm="1">
        <f t="array" aca="1" ref="W11" ca="1">TREND($K11:$P11,$K$1:$P$1,W$1)</f>
        <v>3.5711999999999897E-4</v>
      </c>
      <c r="X11" cm="1">
        <f t="array" aca="1" ref="X11" ca="1">TREND($K11:$P11,$K$1:$P$1,X$1)</f>
        <v>3.6287999999999945E-4</v>
      </c>
      <c r="Y11" cm="1">
        <f t="array" aca="1" ref="Y11" ca="1">TREND($K11:$P11,$K$1:$P$1,Y$1)</f>
        <v>3.6863999999999994E-4</v>
      </c>
      <c r="Z11" cm="1">
        <f t="array" aca="1" ref="Z11" ca="1">TREND($K11:$P11,$K$1:$P$1,Z$1)</f>
        <v>3.7439999999999869E-4</v>
      </c>
      <c r="AA11" cm="1">
        <f t="array" aca="1" ref="AA11" ca="1">TREND($K11:$P11,$K$1:$P$1,AA$1)</f>
        <v>3.8015999999999918E-4</v>
      </c>
      <c r="AB11" cm="1">
        <f t="array" aca="1" ref="AB11" ca="1">TREND($K11:$P11,$K$1:$P$1,AB$1)</f>
        <v>3.8591999999999967E-4</v>
      </c>
      <c r="AC11" cm="1">
        <f t="array" aca="1" ref="AC11" ca="1">TREND($K11:$P11,$K$1:$P$1,AC$1)</f>
        <v>3.9167999999999842E-4</v>
      </c>
      <c r="AD11" cm="1">
        <f t="array" aca="1" ref="AD11" ca="1">TREND($K11:$P11,$K$1:$P$1,AD$1)</f>
        <v>3.9743999999999891E-4</v>
      </c>
      <c r="AE11" cm="1">
        <f t="array" aca="1" ref="AE11" ca="1">TREND($K11:$P11,$K$1:$P$1,AE$1)</f>
        <v>4.0319999999999939E-4</v>
      </c>
      <c r="AF11" cm="1">
        <f t="array" aca="1" ref="AF11" ca="1">TREND($K11:$P11,$K$1:$P$1,AF$1)</f>
        <v>4.0895999999999988E-4</v>
      </c>
      <c r="AG11" cm="1">
        <f t="array" aca="1" ref="AG11" ca="1">TREND($K11:$P11,$K$1:$P$1,AG$1)</f>
        <v>4.1471999999999863E-4</v>
      </c>
      <c r="AH11" cm="1">
        <f t="array" aca="1" ref="AH11" ca="1">TREND($K11:$P11,$K$1:$P$1,AH$1)</f>
        <v>4.2047999999999912E-4</v>
      </c>
      <c r="AI11" cm="1">
        <f t="array" aca="1" ref="AI11" ca="1">TREND($K11:$P11,$K$1:$P$1,AI$1)</f>
        <v>4.2623999999999961E-4</v>
      </c>
      <c r="AJ11" cm="1">
        <f t="array" aca="1" ref="AJ11" ca="1">TREND($K11:$P11,$K$1:$P$1,AJ$1)</f>
        <v>4.3199999999999836E-4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1.1318400000000001E-3</v>
      </c>
      <c r="C12">
        <f t="shared" ca="1" si="3"/>
        <v>1.1480399999999999E-3</v>
      </c>
      <c r="D12">
        <f t="shared" ca="1" si="0"/>
        <v>1.16424E-3</v>
      </c>
      <c r="E12">
        <f t="shared" ca="1" si="0"/>
        <v>1.18044E-3</v>
      </c>
      <c r="F12" s="33">
        <f ca="1">SUM(INDIRECT(CONCATENATE("'",HLOOKUP(F$1,$B$21:$E$23,3,FALSE),"'!",$B$25,ROW($A12)+5,":",$B$25,ROW($A12)+6)))*About!$A$27</f>
        <v>1.1966399999999999E-3</v>
      </c>
      <c r="G12">
        <f t="shared" ca="1" si="4"/>
        <v>1.218816E-3</v>
      </c>
      <c r="H12">
        <f t="shared" ca="1" si="1"/>
        <v>1.240992E-3</v>
      </c>
      <c r="I12">
        <f t="shared" ca="1" si="1"/>
        <v>1.2631679999999998E-3</v>
      </c>
      <c r="J12">
        <f t="shared" ca="1" si="1"/>
        <v>1.2853439999999999E-3</v>
      </c>
      <c r="K12" s="33">
        <f ca="1">SUM(INDIRECT(CONCATENATE("'",HLOOKUP(K$1,$B$21:$E$23,3,FALSE),"'!",$B$25,ROW($A12)+5,":",$B$25,ROW($A12)+6)))*About!$A$27</f>
        <v>1.3075199999999999E-3</v>
      </c>
      <c r="L12">
        <f t="shared" ca="1" si="5"/>
        <v>1.329984E-3</v>
      </c>
      <c r="M12">
        <f t="shared" ca="1" si="2"/>
        <v>1.352448E-3</v>
      </c>
      <c r="N12">
        <f t="shared" ca="1" si="2"/>
        <v>1.3749119999999998E-3</v>
      </c>
      <c r="O12">
        <f t="shared" ca="1" si="2"/>
        <v>1.3973759999999999E-3</v>
      </c>
      <c r="P12" s="33">
        <f ca="1">SUM(INDIRECT(CONCATENATE("'",HLOOKUP(P$1,$B$21:$E$23,3,FALSE),"'!",$B$25,ROW($A12)+5,":",$B$25,ROW($A12)+6)))*About!$A$27</f>
        <v>1.4198399999999999E-3</v>
      </c>
      <c r="Q12" cm="1">
        <f t="array" aca="1" ref="Q12" ca="1">TREND($K12:$P12,$K$1:$P$1,Q$1)</f>
        <v>1.4423039999999984E-3</v>
      </c>
      <c r="R12" cm="1">
        <f t="array" aca="1" ref="R12" ca="1">TREND($K12:$P12,$K$1:$P$1,R$1)</f>
        <v>1.4647679999999982E-3</v>
      </c>
      <c r="S12" cm="1">
        <f t="array" aca="1" ref="S12" ca="1">TREND($K12:$P12,$K$1:$P$1,S$1)</f>
        <v>1.4872319999999981E-3</v>
      </c>
      <c r="T12" cm="1">
        <f t="array" aca="1" ref="T12" ca="1">TREND($K12:$P12,$K$1:$P$1,T$1)</f>
        <v>1.5096959999999979E-3</v>
      </c>
      <c r="U12" cm="1">
        <f t="array" aca="1" ref="U12" ca="1">TREND($K12:$P12,$K$1:$P$1,U$1)</f>
        <v>1.5321599999999977E-3</v>
      </c>
      <c r="V12" cm="1">
        <f t="array" aca="1" ref="V12" ca="1">TREND($K12:$P12,$K$1:$P$1,V$1)</f>
        <v>1.5546239999999975E-3</v>
      </c>
      <c r="W12" cm="1">
        <f t="array" aca="1" ref="W12" ca="1">TREND($K12:$P12,$K$1:$P$1,W$1)</f>
        <v>1.5770879999999973E-3</v>
      </c>
      <c r="X12" cm="1">
        <f t="array" aca="1" ref="X12" ca="1">TREND($K12:$P12,$K$1:$P$1,X$1)</f>
        <v>1.5995519999999971E-3</v>
      </c>
      <c r="Y12" cm="1">
        <f t="array" aca="1" ref="Y12" ca="1">TREND($K12:$P12,$K$1:$P$1,Y$1)</f>
        <v>1.622015999999997E-3</v>
      </c>
      <c r="Z12" cm="1">
        <f t="array" aca="1" ref="Z12" ca="1">TREND($K12:$P12,$K$1:$P$1,Z$1)</f>
        <v>1.6444799999999968E-3</v>
      </c>
      <c r="AA12" cm="1">
        <f t="array" aca="1" ref="AA12" ca="1">TREND($K12:$P12,$K$1:$P$1,AA$1)</f>
        <v>1.6669439999999966E-3</v>
      </c>
      <c r="AB12" cm="1">
        <f t="array" aca="1" ref="AB12" ca="1">TREND($K12:$P12,$K$1:$P$1,AB$1)</f>
        <v>1.6894079999999964E-3</v>
      </c>
      <c r="AC12" cm="1">
        <f t="array" aca="1" ref="AC12" ca="1">TREND($K12:$P12,$K$1:$P$1,AC$1)</f>
        <v>1.7118719999999962E-3</v>
      </c>
      <c r="AD12" cm="1">
        <f t="array" aca="1" ref="AD12" ca="1">TREND($K12:$P12,$K$1:$P$1,AD$1)</f>
        <v>1.734335999999996E-3</v>
      </c>
      <c r="AE12" cm="1">
        <f t="array" aca="1" ref="AE12" ca="1">TREND($K12:$P12,$K$1:$P$1,AE$1)</f>
        <v>1.7567999999999959E-3</v>
      </c>
      <c r="AF12" cm="1">
        <f t="array" aca="1" ref="AF12" ca="1">TREND($K12:$P12,$K$1:$P$1,AF$1)</f>
        <v>1.7792639999999957E-3</v>
      </c>
      <c r="AG12" cm="1">
        <f t="array" aca="1" ref="AG12" ca="1">TREND($K12:$P12,$K$1:$P$1,AG$1)</f>
        <v>1.8017279999999955E-3</v>
      </c>
      <c r="AH12" cm="1">
        <f t="array" aca="1" ref="AH12" ca="1">TREND($K12:$P12,$K$1:$P$1,AH$1)</f>
        <v>1.8241919999999953E-3</v>
      </c>
      <c r="AI12" cm="1">
        <f t="array" aca="1" ref="AI12" ca="1">TREND($K12:$P12,$K$1:$P$1,AI$1)</f>
        <v>1.8466559999999951E-3</v>
      </c>
      <c r="AJ12" cm="1">
        <f t="array" aca="1" ref="AJ12" ca="1">TREND($K12:$P12,$K$1:$P$1,AJ$1)</f>
        <v>1.869119999999995E-3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HOIpTP-industry-NOx</v>
      </c>
    </row>
    <row r="18" spans="1:5" x14ac:dyDescent="0.25">
      <c r="A18" t="s">
        <v>83</v>
      </c>
      <c r="B18" t="str">
        <f ca="1">RIGHT(B17,LEN(B17)-7)</f>
        <v>industry-NOx</v>
      </c>
    </row>
    <row r="19" spans="1:5" x14ac:dyDescent="0.25">
      <c r="A19" t="s">
        <v>84</v>
      </c>
      <c r="B19" t="str">
        <f ca="1">LEFT(B18,FIND("-",B18)-1)</f>
        <v>industry</v>
      </c>
    </row>
    <row r="20" spans="1:5" x14ac:dyDescent="0.25">
      <c r="A20" t="s">
        <v>85</v>
      </c>
      <c r="B20" t="str">
        <f ca="1">VLOOKUP($B$19,Mappings!$A$22:$B$26,COLUMN(Mappings!$B$21),FALSE)</f>
        <v>industrial point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5">
      <c r="A23" s="28" t="s">
        <v>82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5">
      <c r="A24" t="s">
        <v>87</v>
      </c>
      <c r="B24" t="str">
        <f ca="1">REPLACE(B18,1,FIND("-",B18),"")</f>
        <v>NOx</v>
      </c>
    </row>
    <row r="25" spans="1:5" x14ac:dyDescent="0.25">
      <c r="A25" t="s">
        <v>88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2845-1FFB-4C94-BF0D-65AC3E006328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4.4639999999999999E-2</v>
      </c>
      <c r="C2">
        <f ca="1">$B2+($F2-$B2)*(C$1-$B$1)/($F$1-$B$1)</f>
        <v>4.5359999999999998E-2</v>
      </c>
      <c r="D2">
        <f t="shared" ref="D2:E12" ca="1" si="0">$B2+($F2-$B2)*(D$1-$B$1)/($F$1-$B$1)</f>
        <v>4.6079999999999996E-2</v>
      </c>
      <c r="E2">
        <f t="shared" ca="1" si="0"/>
        <v>4.6800000000000001E-2</v>
      </c>
      <c r="F2" s="31" cm="1">
        <f t="array" aca="1" ref="F2" ca="1">INDIRECT(CONCATENATE("'",HLOOKUP(F$1,$B$21:$E$23,3,FALSE),"'!",$B$25,ROW($A2)+3))*About!$A$27</f>
        <v>4.752E-2</v>
      </c>
      <c r="G2">
        <f ca="1">$F2+($K2-$F2)*(G$1-$F$1)/($K$1-$F$1)</f>
        <v>4.8096E-2</v>
      </c>
      <c r="H2">
        <f t="shared" ref="H2:J12" ca="1" si="1">$F2+($K2-$F2)*(H$1-$F$1)/($K$1-$F$1)</f>
        <v>4.8672E-2</v>
      </c>
      <c r="I2">
        <f t="shared" ca="1" si="1"/>
        <v>4.9248E-2</v>
      </c>
      <c r="J2">
        <f t="shared" ca="1" si="1"/>
        <v>4.9824E-2</v>
      </c>
      <c r="K2" s="31" cm="1">
        <f t="array" aca="1" ref="K2" ca="1">INDIRECT(CONCATENATE("'",HLOOKUP(K$1,$B$21:$E$23,3,FALSE),"'!",$B$25,ROW($A2)+3))*About!$A$27</f>
        <v>5.04E-2</v>
      </c>
      <c r="L2">
        <f ca="1">$K2+($P2-$K2)*(L$1-$K$1)/($P$1-$K$1)</f>
        <v>5.0976E-2</v>
      </c>
      <c r="M2">
        <f t="shared" ref="M2:O12" ca="1" si="2">$K2+($P2-$K2)*(M$1-$K$1)/($P$1-$K$1)</f>
        <v>5.1552000000000001E-2</v>
      </c>
      <c r="N2">
        <f t="shared" ca="1" si="2"/>
        <v>5.2127999999999994E-2</v>
      </c>
      <c r="O2">
        <f t="shared" ca="1" si="2"/>
        <v>5.2703999999999994E-2</v>
      </c>
      <c r="P2" s="31" cm="1">
        <f t="array" aca="1" ref="P2" ca="1">INDIRECT(CONCATENATE("'",HLOOKUP(P$1,$B$21:$E$23,3,FALSE),"'!",$B$25,ROW($A2)+3))*About!$A$27</f>
        <v>5.3279999999999994E-2</v>
      </c>
      <c r="Q2" cm="1">
        <f t="array" aca="1" ref="Q2" ca="1">TREND($K2:$P2,$K$1:$P$1,Q$1)</f>
        <v>5.3856000000000126E-2</v>
      </c>
      <c r="R2" cm="1">
        <f t="array" aca="1" ref="R2" ca="1">TREND($K2:$P2,$K$1:$P$1,R$1)</f>
        <v>5.4432000000000258E-2</v>
      </c>
      <c r="S2" cm="1">
        <f t="array" aca="1" ref="S2" ca="1">TREND($K2:$P2,$K$1:$P$1,S$1)</f>
        <v>5.5008000000000168E-2</v>
      </c>
      <c r="T2" cm="1">
        <f t="array" aca="1" ref="T2" ca="1">TREND($K2:$P2,$K$1:$P$1,T$1)</f>
        <v>5.5584000000000078E-2</v>
      </c>
      <c r="U2" cm="1">
        <f t="array" aca="1" ref="U2" ca="1">TREND($K2:$P2,$K$1:$P$1,U$1)</f>
        <v>5.616000000000021E-2</v>
      </c>
      <c r="V2" cm="1">
        <f t="array" aca="1" ref="V2" ca="1">TREND($K2:$P2,$K$1:$P$1,V$1)</f>
        <v>5.673600000000012E-2</v>
      </c>
      <c r="W2" cm="1">
        <f t="array" aca="1" ref="W2" ca="1">TREND($K2:$P2,$K$1:$P$1,W$1)</f>
        <v>5.7312000000000252E-2</v>
      </c>
      <c r="X2" cm="1">
        <f t="array" aca="1" ref="X2" ca="1">TREND($K2:$P2,$K$1:$P$1,X$1)</f>
        <v>5.7888000000000162E-2</v>
      </c>
      <c r="Y2" cm="1">
        <f t="array" aca="1" ref="Y2" ca="1">TREND($K2:$P2,$K$1:$P$1,Y$1)</f>
        <v>5.8464000000000071E-2</v>
      </c>
      <c r="Z2" cm="1">
        <f t="array" aca="1" ref="Z2" ca="1">TREND($K2:$P2,$K$1:$P$1,Z$1)</f>
        <v>5.9040000000000203E-2</v>
      </c>
      <c r="AA2" cm="1">
        <f t="array" aca="1" ref="AA2" ca="1">TREND($K2:$P2,$K$1:$P$1,AA$1)</f>
        <v>5.9616000000000113E-2</v>
      </c>
      <c r="AB2" cm="1">
        <f t="array" aca="1" ref="AB2" ca="1">TREND($K2:$P2,$K$1:$P$1,AB$1)</f>
        <v>6.0192000000000245E-2</v>
      </c>
      <c r="AC2" cm="1">
        <f t="array" aca="1" ref="AC2" ca="1">TREND($K2:$P2,$K$1:$P$1,AC$1)</f>
        <v>6.0768000000000155E-2</v>
      </c>
      <c r="AD2" cm="1">
        <f t="array" aca="1" ref="AD2" ca="1">TREND($K2:$P2,$K$1:$P$1,AD$1)</f>
        <v>6.1344000000000065E-2</v>
      </c>
      <c r="AE2" cm="1">
        <f t="array" aca="1" ref="AE2" ca="1">TREND($K2:$P2,$K$1:$P$1,AE$1)</f>
        <v>6.1920000000000197E-2</v>
      </c>
      <c r="AF2" cm="1">
        <f t="array" aca="1" ref="AF2" ca="1">TREND($K2:$P2,$K$1:$P$1,AF$1)</f>
        <v>6.2496000000000107E-2</v>
      </c>
      <c r="AG2" cm="1">
        <f t="array" aca="1" ref="AG2" ca="1">TREND($K2:$P2,$K$1:$P$1,AG$1)</f>
        <v>6.3072000000000239E-2</v>
      </c>
      <c r="AH2" cm="1">
        <f t="array" aca="1" ref="AH2" ca="1">TREND($K2:$P2,$K$1:$P$1,AH$1)</f>
        <v>6.3648000000000149E-2</v>
      </c>
      <c r="AI2" cm="1">
        <f t="array" aca="1" ref="AI2" ca="1">TREND($K2:$P2,$K$1:$P$1,AI$1)</f>
        <v>6.4224000000000059E-2</v>
      </c>
      <c r="AJ2" cm="1">
        <f t="array" aca="1" ref="AJ2" ca="1">TREND($K2:$P2,$K$1:$P$1,AJ$1)</f>
        <v>6.4800000000000191E-2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2.4480000000000002E-2</v>
      </c>
      <c r="C3">
        <f t="shared" ref="C3:C12" ca="1" si="3">$B3+($F3-$B3)*(C$1-$B$1)/($F$1-$B$1)</f>
        <v>2.4480000000000002E-2</v>
      </c>
      <c r="D3">
        <f t="shared" ca="1" si="0"/>
        <v>2.4480000000000002E-2</v>
      </c>
      <c r="E3">
        <f t="shared" ca="1" si="0"/>
        <v>2.4480000000000002E-2</v>
      </c>
      <c r="F3" s="32" cm="1">
        <f t="array" aca="1" ref="F3" ca="1">INDIRECT(CONCATENATE("'",HLOOKUP(F$1,$B$21:$E$23,3,FALSE),"'!",$B$25,ROW($A3)+5))*About!$A$27</f>
        <v>2.4480000000000002E-2</v>
      </c>
      <c r="G3">
        <f t="shared" ref="G3:G12" ca="1" si="4">$F3+($K3-$F3)*(G$1-$F$1)/($K$1-$F$1)</f>
        <v>2.4768000000000002E-2</v>
      </c>
      <c r="H3">
        <f t="shared" ca="1" si="1"/>
        <v>2.5056000000000002E-2</v>
      </c>
      <c r="I3">
        <f t="shared" ca="1" si="1"/>
        <v>2.5343999999999998E-2</v>
      </c>
      <c r="J3">
        <f t="shared" ca="1" si="1"/>
        <v>2.5631999999999999E-2</v>
      </c>
      <c r="K3" s="32" cm="1">
        <f t="array" aca="1" ref="K3" ca="1">INDIRECT(CONCATENATE("'",HLOOKUP(K$1,$B$21:$E$23,3,FALSE),"'!",$B$25,ROW($A3)+5))*About!$A$27</f>
        <v>2.5919999999999999E-2</v>
      </c>
      <c r="L3">
        <f t="shared" ref="L3:L12" ca="1" si="5">$K3+($P3-$K3)*(L$1-$K$1)/($P$1-$K$1)</f>
        <v>2.6207999999999999E-2</v>
      </c>
      <c r="M3">
        <f t="shared" ca="1" si="2"/>
        <v>2.6495999999999999E-2</v>
      </c>
      <c r="N3">
        <f t="shared" ca="1" si="2"/>
        <v>2.6783999999999999E-2</v>
      </c>
      <c r="O3">
        <f t="shared" ca="1" si="2"/>
        <v>2.7071999999999999E-2</v>
      </c>
      <c r="P3" s="32" cm="1">
        <f t="array" aca="1" ref="P3" ca="1">INDIRECT(CONCATENATE("'",HLOOKUP(P$1,$B$21:$E$23,3,FALSE),"'!",$B$25,ROW($A3)+5))*About!$A$27</f>
        <v>2.7359999999999999E-2</v>
      </c>
      <c r="Q3" cm="1">
        <f t="array" aca="1" ref="Q3" ca="1">TREND($K3:$P3,$K$1:$P$1,Q$1)</f>
        <v>2.7648000000000006E-2</v>
      </c>
      <c r="R3" cm="1">
        <f t="array" aca="1" ref="R3" ca="1">TREND($K3:$P3,$K$1:$P$1,R$1)</f>
        <v>2.7935999999999961E-2</v>
      </c>
      <c r="S3" cm="1">
        <f t="array" aca="1" ref="S3" ca="1">TREND($K3:$P3,$K$1:$P$1,S$1)</f>
        <v>2.8224000000000027E-2</v>
      </c>
      <c r="T3" cm="1">
        <f t="array" aca="1" ref="T3" ca="1">TREND($K3:$P3,$K$1:$P$1,T$1)</f>
        <v>2.8511999999999982E-2</v>
      </c>
      <c r="U3" cm="1">
        <f t="array" aca="1" ref="U3" ca="1">TREND($K3:$P3,$K$1:$P$1,U$1)</f>
        <v>2.8800000000000048E-2</v>
      </c>
      <c r="V3" cm="1">
        <f t="array" aca="1" ref="V3" ca="1">TREND($K3:$P3,$K$1:$P$1,V$1)</f>
        <v>2.9088000000000003E-2</v>
      </c>
      <c r="W3" cm="1">
        <f t="array" aca="1" ref="W3" ca="1">TREND($K3:$P3,$K$1:$P$1,W$1)</f>
        <v>2.9376000000000069E-2</v>
      </c>
      <c r="X3" cm="1">
        <f t="array" aca="1" ref="X3" ca="1">TREND($K3:$P3,$K$1:$P$1,X$1)</f>
        <v>2.9664000000000024E-2</v>
      </c>
      <c r="Y3" cm="1">
        <f t="array" aca="1" ref="Y3" ca="1">TREND($K3:$P3,$K$1:$P$1,Y$1)</f>
        <v>2.9951999999999979E-2</v>
      </c>
      <c r="Z3" cm="1">
        <f t="array" aca="1" ref="Z3" ca="1">TREND($K3:$P3,$K$1:$P$1,Z$1)</f>
        <v>3.0240000000000045E-2</v>
      </c>
      <c r="AA3" cm="1">
        <f t="array" aca="1" ref="AA3" ca="1">TREND($K3:$P3,$K$1:$P$1,AA$1)</f>
        <v>3.0528E-2</v>
      </c>
      <c r="AB3" cm="1">
        <f t="array" aca="1" ref="AB3" ca="1">TREND($K3:$P3,$K$1:$P$1,AB$1)</f>
        <v>3.0816000000000066E-2</v>
      </c>
      <c r="AC3" cm="1">
        <f t="array" aca="1" ref="AC3" ca="1">TREND($K3:$P3,$K$1:$P$1,AC$1)</f>
        <v>3.1104000000000021E-2</v>
      </c>
      <c r="AD3" cm="1">
        <f t="array" aca="1" ref="AD3" ca="1">TREND($K3:$P3,$K$1:$P$1,AD$1)</f>
        <v>3.1391999999999975E-2</v>
      </c>
      <c r="AE3" cm="1">
        <f t="array" aca="1" ref="AE3" ca="1">TREND($K3:$P3,$K$1:$P$1,AE$1)</f>
        <v>3.1680000000000041E-2</v>
      </c>
      <c r="AF3" cm="1">
        <f t="array" aca="1" ref="AF3" ca="1">TREND($K3:$P3,$K$1:$P$1,AF$1)</f>
        <v>3.1967999999999996E-2</v>
      </c>
      <c r="AG3" cm="1">
        <f t="array" aca="1" ref="AG3" ca="1">TREND($K3:$P3,$K$1:$P$1,AG$1)</f>
        <v>3.2256000000000062E-2</v>
      </c>
      <c r="AH3" cm="1">
        <f t="array" aca="1" ref="AH3" ca="1">TREND($K3:$P3,$K$1:$P$1,AH$1)</f>
        <v>3.2544000000000017E-2</v>
      </c>
      <c r="AI3" cm="1">
        <f t="array" aca="1" ref="AI3" ca="1">TREND($K3:$P3,$K$1:$P$1,AI$1)</f>
        <v>3.2831999999999972E-2</v>
      </c>
      <c r="AJ3" cm="1">
        <f t="array" aca="1" ref="AJ3" ca="1">TREND($K3:$P3,$K$1:$P$1,AJ$1)</f>
        <v>3.3120000000000038E-2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6.336E-2</v>
      </c>
      <c r="C4">
        <f t="shared" ca="1" si="3"/>
        <v>6.336E-2</v>
      </c>
      <c r="D4">
        <f t="shared" ca="1" si="0"/>
        <v>6.336E-2</v>
      </c>
      <c r="E4">
        <f t="shared" ca="1" si="0"/>
        <v>6.336E-2</v>
      </c>
      <c r="F4" s="32" cm="1">
        <f t="array" aca="1" ref="F4" ca="1">INDIRECT(CONCATENATE("'",HLOOKUP(F$1,$B$21:$E$23,3,FALSE),"'!",$B$25,ROW($A4)+5))*About!$A$27</f>
        <v>6.336E-2</v>
      </c>
      <c r="G4">
        <f t="shared" ca="1" si="4"/>
        <v>6.4224000000000003E-2</v>
      </c>
      <c r="H4">
        <f t="shared" ca="1" si="1"/>
        <v>6.5088000000000007E-2</v>
      </c>
      <c r="I4">
        <f t="shared" ca="1" si="1"/>
        <v>6.5951999999999997E-2</v>
      </c>
      <c r="J4">
        <f t="shared" ca="1" si="1"/>
        <v>6.6816E-2</v>
      </c>
      <c r="K4" s="32" cm="1">
        <f t="array" aca="1" ref="K4" ca="1">INDIRECT(CONCATENATE("'",HLOOKUP(K$1,$B$21:$E$23,3,FALSE),"'!",$B$25,ROW($A4)+5))*About!$A$27</f>
        <v>6.7680000000000004E-2</v>
      </c>
      <c r="L4">
        <f t="shared" ca="1" si="5"/>
        <v>6.8544000000000008E-2</v>
      </c>
      <c r="M4">
        <f t="shared" ca="1" si="2"/>
        <v>6.9407999999999997E-2</v>
      </c>
      <c r="N4">
        <f t="shared" ca="1" si="2"/>
        <v>7.0272000000000001E-2</v>
      </c>
      <c r="O4">
        <f t="shared" ca="1" si="2"/>
        <v>7.1135999999999991E-2</v>
      </c>
      <c r="P4" s="32" cm="1">
        <f t="array" aca="1" ref="P4" ca="1">INDIRECT(CONCATENATE("'",HLOOKUP(P$1,$B$21:$E$23,3,FALSE),"'!",$B$25,ROW($A4)+5))*About!$A$27</f>
        <v>7.1999999999999995E-2</v>
      </c>
      <c r="Q4" cm="1">
        <f t="array" aca="1" ref="Q4" ca="1">TREND($K4:$P4,$K$1:$P$1,Q$1)</f>
        <v>7.2863999999999818E-2</v>
      </c>
      <c r="R4" cm="1">
        <f t="array" aca="1" ref="R4" ca="1">TREND($K4:$P4,$K$1:$P$1,R$1)</f>
        <v>7.3727999999999794E-2</v>
      </c>
      <c r="S4" cm="1">
        <f t="array" aca="1" ref="S4" ca="1">TREND($K4:$P4,$K$1:$P$1,S$1)</f>
        <v>7.4591999999999992E-2</v>
      </c>
      <c r="T4" cm="1">
        <f t="array" aca="1" ref="T4" ca="1">TREND($K4:$P4,$K$1:$P$1,T$1)</f>
        <v>7.5455999999999968E-2</v>
      </c>
      <c r="U4" cm="1">
        <f t="array" aca="1" ref="U4" ca="1">TREND($K4:$P4,$K$1:$P$1,U$1)</f>
        <v>7.6319999999999943E-2</v>
      </c>
      <c r="V4" cm="1">
        <f t="array" aca="1" ref="V4" ca="1">TREND($K4:$P4,$K$1:$P$1,V$1)</f>
        <v>7.7183999999999919E-2</v>
      </c>
      <c r="W4" cm="1">
        <f t="array" aca="1" ref="W4" ca="1">TREND($K4:$P4,$K$1:$P$1,W$1)</f>
        <v>7.8047999999999895E-2</v>
      </c>
      <c r="X4" cm="1">
        <f t="array" aca="1" ref="X4" ca="1">TREND($K4:$P4,$K$1:$P$1,X$1)</f>
        <v>7.8911999999999871E-2</v>
      </c>
      <c r="Y4" cm="1">
        <f t="array" aca="1" ref="Y4" ca="1">TREND($K4:$P4,$K$1:$P$1,Y$1)</f>
        <v>7.9775999999999847E-2</v>
      </c>
      <c r="Z4" cm="1">
        <f t="array" aca="1" ref="Z4" ca="1">TREND($K4:$P4,$K$1:$P$1,Z$1)</f>
        <v>8.0639999999999823E-2</v>
      </c>
      <c r="AA4" cm="1">
        <f t="array" aca="1" ref="AA4" ca="1">TREND($K4:$P4,$K$1:$P$1,AA$1)</f>
        <v>8.1503999999999799E-2</v>
      </c>
      <c r="AB4" cm="1">
        <f t="array" aca="1" ref="AB4" ca="1">TREND($K4:$P4,$K$1:$P$1,AB$1)</f>
        <v>8.2367999999999775E-2</v>
      </c>
      <c r="AC4" cm="1">
        <f t="array" aca="1" ref="AC4" ca="1">TREND($K4:$P4,$K$1:$P$1,AC$1)</f>
        <v>8.3231999999999973E-2</v>
      </c>
      <c r="AD4" cm="1">
        <f t="array" aca="1" ref="AD4" ca="1">TREND($K4:$P4,$K$1:$P$1,AD$1)</f>
        <v>8.4095999999999949E-2</v>
      </c>
      <c r="AE4" cm="1">
        <f t="array" aca="1" ref="AE4" ca="1">TREND($K4:$P4,$K$1:$P$1,AE$1)</f>
        <v>8.4959999999999924E-2</v>
      </c>
      <c r="AF4" cm="1">
        <f t="array" aca="1" ref="AF4" ca="1">TREND($K4:$P4,$K$1:$P$1,AF$1)</f>
        <v>8.58239999999999E-2</v>
      </c>
      <c r="AG4" cm="1">
        <f t="array" aca="1" ref="AG4" ca="1">TREND($K4:$P4,$K$1:$P$1,AG$1)</f>
        <v>8.6687999999999876E-2</v>
      </c>
      <c r="AH4" cm="1">
        <f t="array" aca="1" ref="AH4" ca="1">TREND($K4:$P4,$K$1:$P$1,AH$1)</f>
        <v>8.7551999999999852E-2</v>
      </c>
      <c r="AI4" cm="1">
        <f t="array" aca="1" ref="AI4" ca="1">TREND($K4:$P4,$K$1:$P$1,AI$1)</f>
        <v>8.8415999999999828E-2</v>
      </c>
      <c r="AJ4" cm="1">
        <f t="array" aca="1" ref="AJ4" ca="1">TREND($K4:$P4,$K$1:$P$1,AJ$1)</f>
        <v>8.9279999999999804E-2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0.80640000000000001</v>
      </c>
      <c r="C5">
        <f t="shared" ca="1" si="3"/>
        <v>0.80640000000000001</v>
      </c>
      <c r="D5">
        <f t="shared" ca="1" si="0"/>
        <v>0.80640000000000001</v>
      </c>
      <c r="E5">
        <f t="shared" ca="1" si="0"/>
        <v>0.80640000000000001</v>
      </c>
      <c r="F5" s="32" cm="1">
        <f t="array" aca="1" ref="F5" ca="1">INDIRECT(CONCATENATE("'",HLOOKUP(F$1,$B$21:$E$23,3,FALSE),"'!",$B$25,ROW($A5)+5))*About!$A$27</f>
        <v>0.80640000000000001</v>
      </c>
      <c r="G5">
        <f t="shared" ca="1" si="4"/>
        <v>0.81503999999999999</v>
      </c>
      <c r="H5">
        <f t="shared" ca="1" si="1"/>
        <v>0.82367999999999997</v>
      </c>
      <c r="I5">
        <f t="shared" ca="1" si="1"/>
        <v>0.83231999999999995</v>
      </c>
      <c r="J5">
        <f t="shared" ca="1" si="1"/>
        <v>0.84095999999999993</v>
      </c>
      <c r="K5" s="32" cm="1">
        <f t="array" aca="1" ref="K5" ca="1">INDIRECT(CONCATENATE("'",HLOOKUP(K$1,$B$21:$E$23,3,FALSE),"'!",$B$25,ROW($A5)+5))*About!$A$27</f>
        <v>0.84959999999999991</v>
      </c>
      <c r="L5">
        <f t="shared" ca="1" si="5"/>
        <v>0.86399999999999988</v>
      </c>
      <c r="M5">
        <f t="shared" ca="1" si="2"/>
        <v>0.87839999999999996</v>
      </c>
      <c r="N5">
        <f t="shared" ca="1" si="2"/>
        <v>0.89279999999999993</v>
      </c>
      <c r="O5">
        <f t="shared" ca="1" si="2"/>
        <v>0.90720000000000001</v>
      </c>
      <c r="P5" s="32" cm="1">
        <f t="array" aca="1" ref="P5" ca="1">INDIRECT(CONCATENATE("'",HLOOKUP(P$1,$B$21:$E$23,3,FALSE),"'!",$B$25,ROW($A5)+5))*About!$A$27</f>
        <v>0.92159999999999997</v>
      </c>
      <c r="Q5" cm="1">
        <f t="array" aca="1" ref="Q5" ca="1">TREND($K5:$P5,$K$1:$P$1,Q$1)</f>
        <v>0.93599999999999994</v>
      </c>
      <c r="R5" cm="1">
        <f t="array" aca="1" ref="R5" ca="1">TREND($K5:$P5,$K$1:$P$1,R$1)</f>
        <v>0.95040000000000191</v>
      </c>
      <c r="S5" cm="1">
        <f t="array" aca="1" ref="S5" ca="1">TREND($K5:$P5,$K$1:$P$1,S$1)</f>
        <v>0.96480000000000032</v>
      </c>
      <c r="T5" cm="1">
        <f t="array" aca="1" ref="T5" ca="1">TREND($K5:$P5,$K$1:$P$1,T$1)</f>
        <v>0.97920000000000229</v>
      </c>
      <c r="U5" cm="1">
        <f t="array" aca="1" ref="U5" ca="1">TREND($K5:$P5,$K$1:$P$1,U$1)</f>
        <v>0.9936000000000007</v>
      </c>
      <c r="V5" cm="1">
        <f t="array" aca="1" ref="V5" ca="1">TREND($K5:$P5,$K$1:$P$1,V$1)</f>
        <v>1.0080000000000027</v>
      </c>
      <c r="W5" cm="1">
        <f t="array" aca="1" ref="W5" ca="1">TREND($K5:$P5,$K$1:$P$1,W$1)</f>
        <v>1.0224000000000011</v>
      </c>
      <c r="X5" cm="1">
        <f t="array" aca="1" ref="X5" ca="1">TREND($K5:$P5,$K$1:$P$1,X$1)</f>
        <v>1.0367999999999995</v>
      </c>
      <c r="Y5" cm="1">
        <f t="array" aca="1" ref="Y5" ca="1">TREND($K5:$P5,$K$1:$P$1,Y$1)</f>
        <v>1.0512000000000015</v>
      </c>
      <c r="Z5" cm="1">
        <f t="array" aca="1" ref="Z5" ca="1">TREND($K5:$P5,$K$1:$P$1,Z$1)</f>
        <v>1.0655999999999999</v>
      </c>
      <c r="AA5" cm="1">
        <f t="array" aca="1" ref="AA5" ca="1">TREND($K5:$P5,$K$1:$P$1,AA$1)</f>
        <v>1.0800000000000018</v>
      </c>
      <c r="AB5" cm="1">
        <f t="array" aca="1" ref="AB5" ca="1">TREND($K5:$P5,$K$1:$P$1,AB$1)</f>
        <v>1.0944000000000003</v>
      </c>
      <c r="AC5" cm="1">
        <f t="array" aca="1" ref="AC5" ca="1">TREND($K5:$P5,$K$1:$P$1,AC$1)</f>
        <v>1.1088000000000022</v>
      </c>
      <c r="AD5" cm="1">
        <f t="array" aca="1" ref="AD5" ca="1">TREND($K5:$P5,$K$1:$P$1,AD$1)</f>
        <v>1.1232000000000006</v>
      </c>
      <c r="AE5" cm="1">
        <f t="array" aca="1" ref="AE5" ca="1">TREND($K5:$P5,$K$1:$P$1,AE$1)</f>
        <v>1.1376000000000026</v>
      </c>
      <c r="AF5" cm="1">
        <f t="array" aca="1" ref="AF5" ca="1">TREND($K5:$P5,$K$1:$P$1,AF$1)</f>
        <v>1.152000000000001</v>
      </c>
      <c r="AG5" cm="1">
        <f t="array" aca="1" ref="AG5" ca="1">TREND($K5:$P5,$K$1:$P$1,AG$1)</f>
        <v>1.166400000000003</v>
      </c>
      <c r="AH5" cm="1">
        <f t="array" aca="1" ref="AH5" ca="1">TREND($K5:$P5,$K$1:$P$1,AH$1)</f>
        <v>1.1808000000000014</v>
      </c>
      <c r="AI5" cm="1">
        <f t="array" aca="1" ref="AI5" ca="1">TREND($K5:$P5,$K$1:$P$1,AI$1)</f>
        <v>1.1951999999999998</v>
      </c>
      <c r="AJ5" cm="1">
        <f t="array" aca="1" ref="AJ5" ca="1">TREND($K5:$P5,$K$1:$P$1,AJ$1)</f>
        <v>1.2096000000000018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1.1519999999999999</v>
      </c>
      <c r="C6">
        <f t="shared" ca="1" si="3"/>
        <v>1.1556</v>
      </c>
      <c r="D6">
        <f t="shared" ca="1" si="0"/>
        <v>1.1592</v>
      </c>
      <c r="E6">
        <f t="shared" ca="1" si="0"/>
        <v>1.1628000000000001</v>
      </c>
      <c r="F6" s="32" cm="1">
        <f t="array" aca="1" ref="F6" ca="1">INDIRECT(CONCATENATE("'",HLOOKUP(F$1,$B$21:$E$23,3,FALSE),"'!",$B$25,ROW($A6)+5))*About!$A$27</f>
        <v>1.1664000000000001</v>
      </c>
      <c r="G6">
        <f t="shared" ca="1" si="4"/>
        <v>1.1750400000000001</v>
      </c>
      <c r="H6">
        <f t="shared" ca="1" si="1"/>
        <v>1.1836800000000001</v>
      </c>
      <c r="I6">
        <f t="shared" ca="1" si="1"/>
        <v>1.19232</v>
      </c>
      <c r="J6">
        <f t="shared" ca="1" si="1"/>
        <v>1.20096</v>
      </c>
      <c r="K6" s="32" cm="1">
        <f t="array" aca="1" ref="K6" ca="1">INDIRECT(CONCATENATE("'",HLOOKUP(K$1,$B$21:$E$23,3,FALSE),"'!",$B$25,ROW($A6)+5))*About!$A$27</f>
        <v>1.2096</v>
      </c>
      <c r="L6">
        <f t="shared" ca="1" si="5"/>
        <v>1.23264</v>
      </c>
      <c r="M6">
        <f t="shared" ca="1" si="2"/>
        <v>1.2556799999999999</v>
      </c>
      <c r="N6">
        <f t="shared" ca="1" si="2"/>
        <v>1.2787200000000001</v>
      </c>
      <c r="O6">
        <f t="shared" ca="1" si="2"/>
        <v>1.30176</v>
      </c>
      <c r="P6" s="32" cm="1">
        <f t="array" aca="1" ref="P6" ca="1">INDIRECT(CONCATENATE("'",HLOOKUP(P$1,$B$21:$E$23,3,FALSE),"'!",$B$25,ROW($A6)+5))*About!$A$27</f>
        <v>1.3248</v>
      </c>
      <c r="Q6" cm="1">
        <f t="array" aca="1" ref="Q6" ca="1">TREND($K6:$P6,$K$1:$P$1,Q$1)</f>
        <v>1.347840000000005</v>
      </c>
      <c r="R6" cm="1">
        <f t="array" aca="1" ref="R6" ca="1">TREND($K6:$P6,$K$1:$P$1,R$1)</f>
        <v>1.3708800000000068</v>
      </c>
      <c r="S6" cm="1">
        <f t="array" aca="1" ref="S6" ca="1">TREND($K6:$P6,$K$1:$P$1,S$1)</f>
        <v>1.3939200000000085</v>
      </c>
      <c r="T6" cm="1">
        <f t="array" aca="1" ref="T6" ca="1">TREND($K6:$P6,$K$1:$P$1,T$1)</f>
        <v>1.4169600000000031</v>
      </c>
      <c r="U6" cm="1">
        <f t="array" aca="1" ref="U6" ca="1">TREND($K6:$P6,$K$1:$P$1,U$1)</f>
        <v>1.4400000000000048</v>
      </c>
      <c r="V6" cm="1">
        <f t="array" aca="1" ref="V6" ca="1">TREND($K6:$P6,$K$1:$P$1,V$1)</f>
        <v>1.4630400000000066</v>
      </c>
      <c r="W6" cm="1">
        <f t="array" aca="1" ref="W6" ca="1">TREND($K6:$P6,$K$1:$P$1,W$1)</f>
        <v>1.4860800000000083</v>
      </c>
      <c r="X6" cm="1">
        <f t="array" aca="1" ref="X6" ca="1">TREND($K6:$P6,$K$1:$P$1,X$1)</f>
        <v>1.5091200000000029</v>
      </c>
      <c r="Y6" cm="1">
        <f t="array" aca="1" ref="Y6" ca="1">TREND($K6:$P6,$K$1:$P$1,Y$1)</f>
        <v>1.5321600000000046</v>
      </c>
      <c r="Z6" cm="1">
        <f t="array" aca="1" ref="Z6" ca="1">TREND($K6:$P6,$K$1:$P$1,Z$1)</f>
        <v>1.5552000000000064</v>
      </c>
      <c r="AA6" cm="1">
        <f t="array" aca="1" ref="AA6" ca="1">TREND($K6:$P6,$K$1:$P$1,AA$1)</f>
        <v>1.5782400000000081</v>
      </c>
      <c r="AB6" cm="1">
        <f t="array" aca="1" ref="AB6" ca="1">TREND($K6:$P6,$K$1:$P$1,AB$1)</f>
        <v>1.6012800000000027</v>
      </c>
      <c r="AC6" cm="1">
        <f t="array" aca="1" ref="AC6" ca="1">TREND($K6:$P6,$K$1:$P$1,AC$1)</f>
        <v>1.6243200000000044</v>
      </c>
      <c r="AD6" cm="1">
        <f t="array" aca="1" ref="AD6" ca="1">TREND($K6:$P6,$K$1:$P$1,AD$1)</f>
        <v>1.6473600000000062</v>
      </c>
      <c r="AE6" cm="1">
        <f t="array" aca="1" ref="AE6" ca="1">TREND($K6:$P6,$K$1:$P$1,AE$1)</f>
        <v>1.6704000000000079</v>
      </c>
      <c r="AF6" cm="1">
        <f t="array" aca="1" ref="AF6" ca="1">TREND($K6:$P6,$K$1:$P$1,AF$1)</f>
        <v>1.6934400000000025</v>
      </c>
      <c r="AG6" cm="1">
        <f t="array" aca="1" ref="AG6" ca="1">TREND($K6:$P6,$K$1:$P$1,AG$1)</f>
        <v>1.7164800000000042</v>
      </c>
      <c r="AH6" cm="1">
        <f t="array" aca="1" ref="AH6" ca="1">TREND($K6:$P6,$K$1:$P$1,AH$1)</f>
        <v>1.739520000000006</v>
      </c>
      <c r="AI6" cm="1">
        <f t="array" aca="1" ref="AI6" ca="1">TREND($K6:$P6,$K$1:$P$1,AI$1)</f>
        <v>1.7625600000000077</v>
      </c>
      <c r="AJ6" cm="1">
        <f t="array" aca="1" ref="AJ6" ca="1">TREND($K6:$P6,$K$1:$P$1,AJ$1)</f>
        <v>1.7856000000000094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34.56</v>
      </c>
      <c r="C7">
        <f t="shared" ca="1" si="3"/>
        <v>34.56</v>
      </c>
      <c r="D7">
        <f t="shared" ca="1" si="0"/>
        <v>34.56</v>
      </c>
      <c r="E7">
        <f t="shared" ca="1" si="0"/>
        <v>34.56</v>
      </c>
      <c r="F7" s="32" cm="1">
        <f t="array" aca="1" ref="F7" ca="1">INDIRECT(CONCATENATE("'",HLOOKUP(F$1,$B$21:$E$23,3,FALSE),"'!",$B$25,ROW($A7)+5))*About!$A$27</f>
        <v>34.56</v>
      </c>
      <c r="G7">
        <f t="shared" ca="1" si="4"/>
        <v>34.847999999999999</v>
      </c>
      <c r="H7">
        <f t="shared" ca="1" si="1"/>
        <v>35.136000000000003</v>
      </c>
      <c r="I7">
        <f t="shared" ca="1" si="1"/>
        <v>35.423999999999999</v>
      </c>
      <c r="J7">
        <f t="shared" ca="1" si="1"/>
        <v>35.712000000000003</v>
      </c>
      <c r="K7" s="32" cm="1">
        <f t="array" aca="1" ref="K7" ca="1">INDIRECT(CONCATENATE("'",HLOOKUP(K$1,$B$21:$E$23,3,FALSE),"'!",$B$25,ROW($A7)+5))*About!$A$27</f>
        <v>36</v>
      </c>
      <c r="L7">
        <f t="shared" ca="1" si="5"/>
        <v>36</v>
      </c>
      <c r="M7">
        <f t="shared" ca="1" si="2"/>
        <v>36</v>
      </c>
      <c r="N7">
        <f t="shared" ca="1" si="2"/>
        <v>36</v>
      </c>
      <c r="O7">
        <f t="shared" ca="1" si="2"/>
        <v>36</v>
      </c>
      <c r="P7" s="32" cm="1">
        <f t="array" aca="1" ref="P7" ca="1">INDIRECT(CONCATENATE("'",HLOOKUP(P$1,$B$21:$E$23,3,FALSE),"'!",$B$25,ROW($A7)+5))*About!$A$27</f>
        <v>36</v>
      </c>
      <c r="Q7" cm="1">
        <f t="array" aca="1" ref="Q7" ca="1">TREND($K7:$P7,$K$1:$P$1,Q$1)</f>
        <v>36</v>
      </c>
      <c r="R7" cm="1">
        <f t="array" aca="1" ref="R7" ca="1">TREND($K7:$P7,$K$1:$P$1,R$1)</f>
        <v>36</v>
      </c>
      <c r="S7" cm="1">
        <f t="array" aca="1" ref="S7" ca="1">TREND($K7:$P7,$K$1:$P$1,S$1)</f>
        <v>36</v>
      </c>
      <c r="T7" cm="1">
        <f t="array" aca="1" ref="T7" ca="1">TREND($K7:$P7,$K$1:$P$1,T$1)</f>
        <v>36</v>
      </c>
      <c r="U7" cm="1">
        <f t="array" aca="1" ref="U7" ca="1">TREND($K7:$P7,$K$1:$P$1,U$1)</f>
        <v>36</v>
      </c>
      <c r="V7" cm="1">
        <f t="array" aca="1" ref="V7" ca="1">TREND($K7:$P7,$K$1:$P$1,V$1)</f>
        <v>36</v>
      </c>
      <c r="W7" cm="1">
        <f t="array" aca="1" ref="W7" ca="1">TREND($K7:$P7,$K$1:$P$1,W$1)</f>
        <v>36</v>
      </c>
      <c r="X7" cm="1">
        <f t="array" aca="1" ref="X7" ca="1">TREND($K7:$P7,$K$1:$P$1,X$1)</f>
        <v>36</v>
      </c>
      <c r="Y7" cm="1">
        <f t="array" aca="1" ref="Y7" ca="1">TREND($K7:$P7,$K$1:$P$1,Y$1)</f>
        <v>36</v>
      </c>
      <c r="Z7" cm="1">
        <f t="array" aca="1" ref="Z7" ca="1">TREND($K7:$P7,$K$1:$P$1,Z$1)</f>
        <v>36</v>
      </c>
      <c r="AA7" cm="1">
        <f t="array" aca="1" ref="AA7" ca="1">TREND($K7:$P7,$K$1:$P$1,AA$1)</f>
        <v>36</v>
      </c>
      <c r="AB7" cm="1">
        <f t="array" aca="1" ref="AB7" ca="1">TREND($K7:$P7,$K$1:$P$1,AB$1)</f>
        <v>36</v>
      </c>
      <c r="AC7" cm="1">
        <f t="array" aca="1" ref="AC7" ca="1">TREND($K7:$P7,$K$1:$P$1,AC$1)</f>
        <v>36</v>
      </c>
      <c r="AD7" cm="1">
        <f t="array" aca="1" ref="AD7" ca="1">TREND($K7:$P7,$K$1:$P$1,AD$1)</f>
        <v>36</v>
      </c>
      <c r="AE7" cm="1">
        <f t="array" aca="1" ref="AE7" ca="1">TREND($K7:$P7,$K$1:$P$1,AE$1)</f>
        <v>36</v>
      </c>
      <c r="AF7" cm="1">
        <f t="array" aca="1" ref="AF7" ca="1">TREND($K7:$P7,$K$1:$P$1,AF$1)</f>
        <v>36</v>
      </c>
      <c r="AG7" cm="1">
        <f t="array" aca="1" ref="AG7" ca="1">TREND($K7:$P7,$K$1:$P$1,AG$1)</f>
        <v>36</v>
      </c>
      <c r="AH7" cm="1">
        <f t="array" aca="1" ref="AH7" ca="1">TREND($K7:$P7,$K$1:$P$1,AH$1)</f>
        <v>36</v>
      </c>
      <c r="AI7" cm="1">
        <f t="array" aca="1" ref="AI7" ca="1">TREND($K7:$P7,$K$1:$P$1,AI$1)</f>
        <v>36</v>
      </c>
      <c r="AJ7" cm="1">
        <f t="array" aca="1" ref="AJ7" ca="1">TREND($K7:$P7,$K$1:$P$1,AJ$1)</f>
        <v>36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5.76</v>
      </c>
      <c r="C8">
        <f t="shared" ca="1" si="3"/>
        <v>5.7959999999999994</v>
      </c>
      <c r="D8">
        <f t="shared" ca="1" si="0"/>
        <v>5.831999999999999</v>
      </c>
      <c r="E8">
        <f t="shared" ca="1" si="0"/>
        <v>5.8679999999999994</v>
      </c>
      <c r="F8" s="32" cm="1">
        <f t="array" aca="1" ref="F8" ca="1">INDIRECT(CONCATENATE("'",HLOOKUP(F$1,$B$21:$E$23,3,FALSE),"'!",$B$25,ROW($A8)+5))*About!$A$27</f>
        <v>5.903999999999999</v>
      </c>
      <c r="G8">
        <f t="shared" ca="1" si="4"/>
        <v>5.9327999999999994</v>
      </c>
      <c r="H8">
        <f t="shared" ca="1" si="1"/>
        <v>5.9615999999999998</v>
      </c>
      <c r="I8">
        <f t="shared" ca="1" si="1"/>
        <v>5.9903999999999993</v>
      </c>
      <c r="J8">
        <f t="shared" ca="1" si="1"/>
        <v>6.0191999999999997</v>
      </c>
      <c r="K8" s="32" cm="1">
        <f t="array" aca="1" ref="K8" ca="1">INDIRECT(CONCATENATE("'",HLOOKUP(K$1,$B$21:$E$23,3,FALSE),"'!",$B$25,ROW($A8)+5))*About!$A$27</f>
        <v>6.048</v>
      </c>
      <c r="L8">
        <f t="shared" ca="1" si="5"/>
        <v>6.0767999999999995</v>
      </c>
      <c r="M8">
        <f t="shared" ca="1" si="2"/>
        <v>6.1055999999999999</v>
      </c>
      <c r="N8">
        <f t="shared" ca="1" si="2"/>
        <v>6.1343999999999994</v>
      </c>
      <c r="O8">
        <f t="shared" ca="1" si="2"/>
        <v>6.1631999999999998</v>
      </c>
      <c r="P8" s="32" cm="1">
        <f t="array" aca="1" ref="P8" ca="1">INDIRECT(CONCATENATE("'",HLOOKUP(P$1,$B$21:$E$23,3,FALSE),"'!",$B$25,ROW($A8)+5))*About!$A$27</f>
        <v>6.1919999999999993</v>
      </c>
      <c r="Q8" cm="1">
        <f t="array" aca="1" ref="Q8" ca="1">TREND($K8:$P8,$K$1:$P$1,Q$1)</f>
        <v>6.220799999999997</v>
      </c>
      <c r="R8" cm="1">
        <f t="array" aca="1" ref="R8" ca="1">TREND($K8:$P8,$K$1:$P$1,R$1)</f>
        <v>6.2495999999999938</v>
      </c>
      <c r="S8" cm="1">
        <f t="array" aca="1" ref="S8" ca="1">TREND($K8:$P8,$K$1:$P$1,S$1)</f>
        <v>6.2783999999999978</v>
      </c>
      <c r="T8" cm="1">
        <f t="array" aca="1" ref="T8" ca="1">TREND($K8:$P8,$K$1:$P$1,T$1)</f>
        <v>6.3071999999999946</v>
      </c>
      <c r="U8" cm="1">
        <f t="array" aca="1" ref="U8" ca="1">TREND($K8:$P8,$K$1:$P$1,U$1)</f>
        <v>6.3359999999999914</v>
      </c>
      <c r="V8" cm="1">
        <f t="array" aca="1" ref="V8" ca="1">TREND($K8:$P8,$K$1:$P$1,V$1)</f>
        <v>6.3647999999999954</v>
      </c>
      <c r="W8" cm="1">
        <f t="array" aca="1" ref="W8" ca="1">TREND($K8:$P8,$K$1:$P$1,W$1)</f>
        <v>6.3935999999999922</v>
      </c>
      <c r="X8" cm="1">
        <f t="array" aca="1" ref="X8" ca="1">TREND($K8:$P8,$K$1:$P$1,X$1)</f>
        <v>6.4223999999999961</v>
      </c>
      <c r="Y8" cm="1">
        <f t="array" aca="1" ref="Y8" ca="1">TREND($K8:$P8,$K$1:$P$1,Y$1)</f>
        <v>6.4511999999999929</v>
      </c>
      <c r="Z8" cm="1">
        <f t="array" aca="1" ref="Z8" ca="1">TREND($K8:$P8,$K$1:$P$1,Z$1)</f>
        <v>6.4799999999999969</v>
      </c>
      <c r="AA8" cm="1">
        <f t="array" aca="1" ref="AA8" ca="1">TREND($K8:$P8,$K$1:$P$1,AA$1)</f>
        <v>6.5087999999999937</v>
      </c>
      <c r="AB8" cm="1">
        <f t="array" aca="1" ref="AB8" ca="1">TREND($K8:$P8,$K$1:$P$1,AB$1)</f>
        <v>6.5375999999999905</v>
      </c>
      <c r="AC8" cm="1">
        <f t="array" aca="1" ref="AC8" ca="1">TREND($K8:$P8,$K$1:$P$1,AC$1)</f>
        <v>6.5663999999999945</v>
      </c>
      <c r="AD8" cm="1">
        <f t="array" aca="1" ref="AD8" ca="1">TREND($K8:$P8,$K$1:$P$1,AD$1)</f>
        <v>6.5951999999999913</v>
      </c>
      <c r="AE8" cm="1">
        <f t="array" aca="1" ref="AE8" ca="1">TREND($K8:$P8,$K$1:$P$1,AE$1)</f>
        <v>6.6239999999999952</v>
      </c>
      <c r="AF8" cm="1">
        <f t="array" aca="1" ref="AF8" ca="1">TREND($K8:$P8,$K$1:$P$1,AF$1)</f>
        <v>6.6527999999999921</v>
      </c>
      <c r="AG8" cm="1">
        <f t="array" aca="1" ref="AG8" ca="1">TREND($K8:$P8,$K$1:$P$1,AG$1)</f>
        <v>6.681599999999996</v>
      </c>
      <c r="AH8" cm="1">
        <f t="array" aca="1" ref="AH8" ca="1">TREND($K8:$P8,$K$1:$P$1,AH$1)</f>
        <v>6.7103999999999928</v>
      </c>
      <c r="AI8" cm="1">
        <f t="array" aca="1" ref="AI8" ca="1">TREND($K8:$P8,$K$1:$P$1,AI$1)</f>
        <v>6.7391999999999896</v>
      </c>
      <c r="AJ8" cm="1">
        <f t="array" aca="1" ref="AJ8" ca="1">TREND($K8:$P8,$K$1:$P$1,AJ$1)</f>
        <v>6.7679999999999936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1.3535999999999999</v>
      </c>
      <c r="C9">
        <f t="shared" ca="1" si="3"/>
        <v>1.3535999999999999</v>
      </c>
      <c r="D9">
        <f t="shared" ca="1" si="0"/>
        <v>1.3535999999999999</v>
      </c>
      <c r="E9">
        <f t="shared" ca="1" si="0"/>
        <v>1.3535999999999999</v>
      </c>
      <c r="F9" s="32" cm="1">
        <f t="array" aca="1" ref="F9" ca="1">INDIRECT(CONCATENATE("'",HLOOKUP(F$1,$B$21:$E$23,3,FALSE),"'!",$B$25,ROW($A9)+5))*About!$A$27</f>
        <v>1.3535999999999999</v>
      </c>
      <c r="G9">
        <f t="shared" ca="1" si="4"/>
        <v>1.3679999999999999</v>
      </c>
      <c r="H9">
        <f t="shared" ca="1" si="1"/>
        <v>1.3823999999999999</v>
      </c>
      <c r="I9">
        <f t="shared" ca="1" si="1"/>
        <v>1.3968</v>
      </c>
      <c r="J9">
        <f t="shared" ca="1" si="1"/>
        <v>1.4112</v>
      </c>
      <c r="K9" s="32" cm="1">
        <f t="array" aca="1" ref="K9" ca="1">INDIRECT(CONCATENATE("'",HLOOKUP(K$1,$B$21:$E$23,3,FALSE),"'!",$B$25,ROW($A9)+5))*About!$A$27</f>
        <v>1.4256</v>
      </c>
      <c r="L9">
        <f t="shared" ca="1" si="5"/>
        <v>1.4572799999999999</v>
      </c>
      <c r="M9">
        <f t="shared" ca="1" si="2"/>
        <v>1.4889600000000001</v>
      </c>
      <c r="N9">
        <f t="shared" ca="1" si="2"/>
        <v>1.52064</v>
      </c>
      <c r="O9">
        <f t="shared" ca="1" si="2"/>
        <v>1.5523200000000001</v>
      </c>
      <c r="P9" s="32" cm="1">
        <f t="array" aca="1" ref="P9" ca="1">INDIRECT(CONCATENATE("'",HLOOKUP(P$1,$B$21:$E$23,3,FALSE),"'!",$B$25,ROW($A9)+5))*About!$A$27</f>
        <v>1.5840000000000001</v>
      </c>
      <c r="Q9" cm="1">
        <f t="array" aca="1" ref="Q9" ca="1">TREND($K9:$P9,$K$1:$P$1,Q$1)</f>
        <v>1.6156799999999976</v>
      </c>
      <c r="R9" cm="1">
        <f t="array" aca="1" ref="R9" ca="1">TREND($K9:$P9,$K$1:$P$1,R$1)</f>
        <v>1.6473600000000062</v>
      </c>
      <c r="S9" cm="1">
        <f t="array" aca="1" ref="S9" ca="1">TREND($K9:$P9,$K$1:$P$1,S$1)</f>
        <v>1.6790400000000005</v>
      </c>
      <c r="T9" cm="1">
        <f t="array" aca="1" ref="T9" ca="1">TREND($K9:$P9,$K$1:$P$1,T$1)</f>
        <v>1.7107199999999949</v>
      </c>
      <c r="U9" cm="1">
        <f t="array" aca="1" ref="U9" ca="1">TREND($K9:$P9,$K$1:$P$1,U$1)</f>
        <v>1.7424000000000035</v>
      </c>
      <c r="V9" cm="1">
        <f t="array" aca="1" ref="V9" ca="1">TREND($K9:$P9,$K$1:$P$1,V$1)</f>
        <v>1.7740799999999979</v>
      </c>
      <c r="W9" cm="1">
        <f t="array" aca="1" ref="W9" ca="1">TREND($K9:$P9,$K$1:$P$1,W$1)</f>
        <v>1.8057600000000065</v>
      </c>
      <c r="X9" cm="1">
        <f t="array" aca="1" ref="X9" ca="1">TREND($K9:$P9,$K$1:$P$1,X$1)</f>
        <v>1.8374400000000009</v>
      </c>
      <c r="Y9" cm="1">
        <f t="array" aca="1" ref="Y9" ca="1">TREND($K9:$P9,$K$1:$P$1,Y$1)</f>
        <v>1.8691199999999952</v>
      </c>
      <c r="Z9" cm="1">
        <f t="array" aca="1" ref="Z9" ca="1">TREND($K9:$P9,$K$1:$P$1,Z$1)</f>
        <v>1.9008000000000038</v>
      </c>
      <c r="AA9" cm="1">
        <f t="array" aca="1" ref="AA9" ca="1">TREND($K9:$P9,$K$1:$P$1,AA$1)</f>
        <v>1.9324799999999982</v>
      </c>
      <c r="AB9" cm="1">
        <f t="array" aca="1" ref="AB9" ca="1">TREND($K9:$P9,$K$1:$P$1,AB$1)</f>
        <v>1.9641600000000068</v>
      </c>
      <c r="AC9" cm="1">
        <f t="array" aca="1" ref="AC9" ca="1">TREND($K9:$P9,$K$1:$P$1,AC$1)</f>
        <v>1.9958400000000012</v>
      </c>
      <c r="AD9" cm="1">
        <f t="array" aca="1" ref="AD9" ca="1">TREND($K9:$P9,$K$1:$P$1,AD$1)</f>
        <v>2.0275199999999955</v>
      </c>
      <c r="AE9" cm="1">
        <f t="array" aca="1" ref="AE9" ca="1">TREND($K9:$P9,$K$1:$P$1,AE$1)</f>
        <v>2.0592000000000041</v>
      </c>
      <c r="AF9" cm="1">
        <f t="array" aca="1" ref="AF9" ca="1">TREND($K9:$P9,$K$1:$P$1,AF$1)</f>
        <v>2.0908799999999985</v>
      </c>
      <c r="AG9" cm="1">
        <f t="array" aca="1" ref="AG9" ca="1">TREND($K9:$P9,$K$1:$P$1,AG$1)</f>
        <v>2.1225600000000071</v>
      </c>
      <c r="AH9" cm="1">
        <f t="array" aca="1" ref="AH9" ca="1">TREND($K9:$P9,$K$1:$P$1,AH$1)</f>
        <v>2.1542400000000015</v>
      </c>
      <c r="AI9" cm="1">
        <f t="array" aca="1" ref="AI9" ca="1">TREND($K9:$P9,$K$1:$P$1,AI$1)</f>
        <v>2.1859199999999959</v>
      </c>
      <c r="AJ9" cm="1">
        <f t="array" aca="1" ref="AJ9" ca="1">TREND($K9:$P9,$K$1:$P$1,AJ$1)</f>
        <v>2.2176000000000045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1.0943999999999999E-2</v>
      </c>
      <c r="C10">
        <f t="shared" ca="1" si="3"/>
        <v>1.116E-2</v>
      </c>
      <c r="D10">
        <f t="shared" ca="1" si="0"/>
        <v>1.1376000000000001E-2</v>
      </c>
      <c r="E10">
        <f t="shared" ca="1" si="0"/>
        <v>1.1592E-2</v>
      </c>
      <c r="F10" s="32" cm="1">
        <f t="array" aca="1" ref="F10" ca="1">INDIRECT(CONCATENATE("'",HLOOKUP(F$1,$B$21:$E$23,3,FALSE),"'!",$B$25,ROW($A10)+5))*About!$A$27</f>
        <v>1.1808000000000001E-2</v>
      </c>
      <c r="G10">
        <f t="shared" ca="1" si="4"/>
        <v>1.20672E-2</v>
      </c>
      <c r="H10">
        <f t="shared" ca="1" si="1"/>
        <v>1.23264E-2</v>
      </c>
      <c r="I10">
        <f t="shared" ca="1" si="1"/>
        <v>1.2585600000000001E-2</v>
      </c>
      <c r="J10">
        <f t="shared" ca="1" si="1"/>
        <v>1.28448E-2</v>
      </c>
      <c r="K10" s="32" cm="1">
        <f t="array" aca="1" ref="K10" ca="1">INDIRECT(CONCATENATE("'",HLOOKUP(K$1,$B$21:$E$23,3,FALSE),"'!",$B$25,ROW($A10)+5))*About!$A$27</f>
        <v>1.3103999999999999E-2</v>
      </c>
      <c r="L10">
        <f t="shared" ca="1" si="5"/>
        <v>1.3363199999999999E-2</v>
      </c>
      <c r="M10">
        <f t="shared" ca="1" si="2"/>
        <v>1.36224E-2</v>
      </c>
      <c r="N10">
        <f t="shared" ca="1" si="2"/>
        <v>1.3881599999999999E-2</v>
      </c>
      <c r="O10">
        <f t="shared" ca="1" si="2"/>
        <v>1.41408E-2</v>
      </c>
      <c r="P10" s="32" cm="1">
        <f t="array" aca="1" ref="P10" ca="1">INDIRECT(CONCATENATE("'",HLOOKUP(P$1,$B$21:$E$23,3,FALSE),"'!",$B$25,ROW($A10)+5))*About!$A$27</f>
        <v>1.44E-2</v>
      </c>
      <c r="Q10" cm="1">
        <f t="array" aca="1" ref="Q10" ca="1">TREND($K10:$P10,$K$1:$P$1,Q$1)</f>
        <v>1.4659199999999983E-2</v>
      </c>
      <c r="R10" cm="1">
        <f t="array" aca="1" ref="R10" ca="1">TREND($K10:$P10,$K$1:$P$1,R$1)</f>
        <v>1.4918399999999998E-2</v>
      </c>
      <c r="S10" cm="1">
        <f t="array" aca="1" ref="S10" ca="1">TREND($K10:$P10,$K$1:$P$1,S$1)</f>
        <v>1.5177600000000013E-2</v>
      </c>
      <c r="T10" cm="1">
        <f t="array" aca="1" ref="T10" ca="1">TREND($K10:$P10,$K$1:$P$1,T$1)</f>
        <v>1.5436800000000028E-2</v>
      </c>
      <c r="U10" cm="1">
        <f t="array" aca="1" ref="U10" ca="1">TREND($K10:$P10,$K$1:$P$1,U$1)</f>
        <v>1.5696000000000043E-2</v>
      </c>
      <c r="V10" cm="1">
        <f t="array" aca="1" ref="V10" ca="1">TREND($K10:$P10,$K$1:$P$1,V$1)</f>
        <v>1.5955200000000058E-2</v>
      </c>
      <c r="W10" cm="1">
        <f t="array" aca="1" ref="W10" ca="1">TREND($K10:$P10,$K$1:$P$1,W$1)</f>
        <v>1.6214399999999962E-2</v>
      </c>
      <c r="X10" cm="1">
        <f t="array" aca="1" ref="X10" ca="1">TREND($K10:$P10,$K$1:$P$1,X$1)</f>
        <v>1.6473599999999977E-2</v>
      </c>
      <c r="Y10" cm="1">
        <f t="array" aca="1" ref="Y10" ca="1">TREND($K10:$P10,$K$1:$P$1,Y$1)</f>
        <v>1.6732799999999992E-2</v>
      </c>
      <c r="Z10" cm="1">
        <f t="array" aca="1" ref="Z10" ca="1">TREND($K10:$P10,$K$1:$P$1,Z$1)</f>
        <v>1.6992000000000007E-2</v>
      </c>
      <c r="AA10" cm="1">
        <f t="array" aca="1" ref="AA10" ca="1">TREND($K10:$P10,$K$1:$P$1,AA$1)</f>
        <v>1.7251200000000022E-2</v>
      </c>
      <c r="AB10" cm="1">
        <f t="array" aca="1" ref="AB10" ca="1">TREND($K10:$P10,$K$1:$P$1,AB$1)</f>
        <v>1.7510400000000037E-2</v>
      </c>
      <c r="AC10" cm="1">
        <f t="array" aca="1" ref="AC10" ca="1">TREND($K10:$P10,$K$1:$P$1,AC$1)</f>
        <v>1.7769600000000052E-2</v>
      </c>
      <c r="AD10" cm="1">
        <f t="array" aca="1" ref="AD10" ca="1">TREND($K10:$P10,$K$1:$P$1,AD$1)</f>
        <v>1.8028800000000067E-2</v>
      </c>
      <c r="AE10" cm="1">
        <f t="array" aca="1" ref="AE10" ca="1">TREND($K10:$P10,$K$1:$P$1,AE$1)</f>
        <v>1.8287999999999971E-2</v>
      </c>
      <c r="AF10" cm="1">
        <f t="array" aca="1" ref="AF10" ca="1">TREND($K10:$P10,$K$1:$P$1,AF$1)</f>
        <v>1.8547199999999986E-2</v>
      </c>
      <c r="AG10" cm="1">
        <f t="array" aca="1" ref="AG10" ca="1">TREND($K10:$P10,$K$1:$P$1,AG$1)</f>
        <v>1.8806400000000001E-2</v>
      </c>
      <c r="AH10" cm="1">
        <f t="array" aca="1" ref="AH10" ca="1">TREND($K10:$P10,$K$1:$P$1,AH$1)</f>
        <v>1.9065600000000016E-2</v>
      </c>
      <c r="AI10" cm="1">
        <f t="array" aca="1" ref="AI10" ca="1">TREND($K10:$P10,$K$1:$P$1,AI$1)</f>
        <v>1.9324800000000031E-2</v>
      </c>
      <c r="AJ10" cm="1">
        <f t="array" aca="1" ref="AJ10" ca="1">TREND($K10:$P10,$K$1:$P$1,AJ$1)</f>
        <v>1.9584000000000046E-2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1.0367999999999999E-2</v>
      </c>
      <c r="C11">
        <f t="shared" ca="1" si="3"/>
        <v>1.0619999999999999E-2</v>
      </c>
      <c r="D11">
        <f t="shared" ca="1" si="0"/>
        <v>1.0872E-2</v>
      </c>
      <c r="E11">
        <f t="shared" ca="1" si="0"/>
        <v>1.1124E-2</v>
      </c>
      <c r="F11" s="32" cm="1">
        <f t="array" aca="1" ref="F11" ca="1">INDIRECT(CONCATENATE("'",HLOOKUP(F$1,$B$21:$E$23,3,FALSE),"'!",$B$25,ROW($A11)+5))*About!$A$27</f>
        <v>1.1376000000000001E-2</v>
      </c>
      <c r="G11">
        <f t="shared" ca="1" si="4"/>
        <v>1.16352E-2</v>
      </c>
      <c r="H11">
        <f t="shared" ca="1" si="1"/>
        <v>1.1894400000000001E-2</v>
      </c>
      <c r="I11">
        <f t="shared" ca="1" si="1"/>
        <v>1.2153600000000001E-2</v>
      </c>
      <c r="J11">
        <f t="shared" ca="1" si="1"/>
        <v>1.2412800000000002E-2</v>
      </c>
      <c r="K11" s="32" cm="1">
        <f t="array" aca="1" ref="K11" ca="1">INDIRECT(CONCATENATE("'",HLOOKUP(K$1,$B$21:$E$23,3,FALSE),"'!",$B$25,ROW($A11)+5))*About!$A$27</f>
        <v>1.2672000000000001E-2</v>
      </c>
      <c r="L11">
        <f t="shared" ca="1" si="5"/>
        <v>1.2960000000000001E-2</v>
      </c>
      <c r="M11">
        <f t="shared" ca="1" si="2"/>
        <v>1.3248000000000001E-2</v>
      </c>
      <c r="N11">
        <f t="shared" ca="1" si="2"/>
        <v>1.3535999999999999E-2</v>
      </c>
      <c r="O11">
        <f t="shared" ca="1" si="2"/>
        <v>1.3823999999999999E-2</v>
      </c>
      <c r="P11" s="32" cm="1">
        <f t="array" aca="1" ref="P11" ca="1">INDIRECT(CONCATENATE("'",HLOOKUP(P$1,$B$21:$E$23,3,FALSE),"'!",$B$25,ROW($A11)+5))*About!$A$27</f>
        <v>1.4112E-2</v>
      </c>
      <c r="Q11" cm="1">
        <f t="array" aca="1" ref="Q11" ca="1">TREND($K11:$P11,$K$1:$P$1,Q$1)</f>
        <v>1.4399999999999968E-2</v>
      </c>
      <c r="R11" cm="1">
        <f t="array" aca="1" ref="R11" ca="1">TREND($K11:$P11,$K$1:$P$1,R$1)</f>
        <v>1.4688000000000034E-2</v>
      </c>
      <c r="S11" cm="1">
        <f t="array" aca="1" ref="S11" ca="1">TREND($K11:$P11,$K$1:$P$1,S$1)</f>
        <v>1.4975999999999989E-2</v>
      </c>
      <c r="T11" cm="1">
        <f t="array" aca="1" ref="T11" ca="1">TREND($K11:$P11,$K$1:$P$1,T$1)</f>
        <v>1.5263999999999944E-2</v>
      </c>
      <c r="U11" cm="1">
        <f t="array" aca="1" ref="U11" ca="1">TREND($K11:$P11,$K$1:$P$1,U$1)</f>
        <v>1.555200000000001E-2</v>
      </c>
      <c r="V11" cm="1">
        <f t="array" aca="1" ref="V11" ca="1">TREND($K11:$P11,$K$1:$P$1,V$1)</f>
        <v>1.5839999999999965E-2</v>
      </c>
      <c r="W11" cm="1">
        <f t="array" aca="1" ref="W11" ca="1">TREND($K11:$P11,$K$1:$P$1,W$1)</f>
        <v>1.6128000000000031E-2</v>
      </c>
      <c r="X11" cm="1">
        <f t="array" aca="1" ref="X11" ca="1">TREND($K11:$P11,$K$1:$P$1,X$1)</f>
        <v>1.6415999999999986E-2</v>
      </c>
      <c r="Y11" cm="1">
        <f t="array" aca="1" ref="Y11" ca="1">TREND($K11:$P11,$K$1:$P$1,Y$1)</f>
        <v>1.6703999999999941E-2</v>
      </c>
      <c r="Z11" cm="1">
        <f t="array" aca="1" ref="Z11" ca="1">TREND($K11:$P11,$K$1:$P$1,Z$1)</f>
        <v>1.6992000000000007E-2</v>
      </c>
      <c r="AA11" cm="1">
        <f t="array" aca="1" ref="AA11" ca="1">TREND($K11:$P11,$K$1:$P$1,AA$1)</f>
        <v>1.7279999999999962E-2</v>
      </c>
      <c r="AB11" cm="1">
        <f t="array" aca="1" ref="AB11" ca="1">TREND($K11:$P11,$K$1:$P$1,AB$1)</f>
        <v>1.7568000000000028E-2</v>
      </c>
      <c r="AC11" cm="1">
        <f t="array" aca="1" ref="AC11" ca="1">TREND($K11:$P11,$K$1:$P$1,AC$1)</f>
        <v>1.7855999999999983E-2</v>
      </c>
      <c r="AD11" cm="1">
        <f t="array" aca="1" ref="AD11" ca="1">TREND($K11:$P11,$K$1:$P$1,AD$1)</f>
        <v>1.8143999999999938E-2</v>
      </c>
      <c r="AE11" cm="1">
        <f t="array" aca="1" ref="AE11" ca="1">TREND($K11:$P11,$K$1:$P$1,AE$1)</f>
        <v>1.8432000000000004E-2</v>
      </c>
      <c r="AF11" cm="1">
        <f t="array" aca="1" ref="AF11" ca="1">TREND($K11:$P11,$K$1:$P$1,AF$1)</f>
        <v>1.8719999999999959E-2</v>
      </c>
      <c r="AG11" cm="1">
        <f t="array" aca="1" ref="AG11" ca="1">TREND($K11:$P11,$K$1:$P$1,AG$1)</f>
        <v>1.9008000000000025E-2</v>
      </c>
      <c r="AH11" cm="1">
        <f t="array" aca="1" ref="AH11" ca="1">TREND($K11:$P11,$K$1:$P$1,AH$1)</f>
        <v>1.929599999999998E-2</v>
      </c>
      <c r="AI11" cm="1">
        <f t="array" aca="1" ref="AI11" ca="1">TREND($K11:$P11,$K$1:$P$1,AI$1)</f>
        <v>1.9583999999999935E-2</v>
      </c>
      <c r="AJ11" cm="1">
        <f t="array" aca="1" ref="AJ11" ca="1">TREND($K11:$P11,$K$1:$P$1,AJ$1)</f>
        <v>1.9872000000000001E-2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4.9391999999999991E-2</v>
      </c>
      <c r="C12">
        <f t="shared" ca="1" si="3"/>
        <v>5.0219999999999994E-2</v>
      </c>
      <c r="D12">
        <f t="shared" ca="1" si="0"/>
        <v>5.1047999999999996E-2</v>
      </c>
      <c r="E12">
        <f t="shared" ca="1" si="0"/>
        <v>5.1875999999999999E-2</v>
      </c>
      <c r="F12" s="33">
        <f ca="1">SUM(INDIRECT(CONCATENATE("'",HLOOKUP(F$1,$B$21:$E$23,3,FALSE),"'!",$B$25,ROW($A12)+5,":",$B$25,ROW($A12)+6)))*About!$A$27</f>
        <v>5.2704000000000001E-2</v>
      </c>
      <c r="G12">
        <f t="shared" ca="1" si="4"/>
        <v>5.3654399999999998E-2</v>
      </c>
      <c r="H12">
        <f t="shared" ca="1" si="1"/>
        <v>5.4604799999999995E-2</v>
      </c>
      <c r="I12">
        <f t="shared" ca="1" si="1"/>
        <v>5.5555199999999999E-2</v>
      </c>
      <c r="J12">
        <f t="shared" ca="1" si="1"/>
        <v>5.6505599999999996E-2</v>
      </c>
      <c r="K12" s="33">
        <f ca="1">SUM(INDIRECT(CONCATENATE("'",HLOOKUP(K$1,$B$21:$E$23,3,FALSE),"'!",$B$25,ROW($A12)+5,":",$B$25,ROW($A12)+6)))*About!$A$27</f>
        <v>5.7455999999999993E-2</v>
      </c>
      <c r="L12">
        <f t="shared" ca="1" si="5"/>
        <v>5.8723199999999996E-2</v>
      </c>
      <c r="M12">
        <f t="shared" ca="1" si="2"/>
        <v>5.9990399999999999E-2</v>
      </c>
      <c r="N12">
        <f t="shared" ca="1" si="2"/>
        <v>6.1257599999999995E-2</v>
      </c>
      <c r="O12">
        <f t="shared" ca="1" si="2"/>
        <v>6.2524800000000005E-2</v>
      </c>
      <c r="P12" s="33">
        <f ca="1">SUM(INDIRECT(CONCATENATE("'",HLOOKUP(P$1,$B$21:$E$23,3,FALSE),"'!",$B$25,ROW($A12)+5,":",$B$25,ROW($A12)+6)))*About!$A$27</f>
        <v>6.3792000000000001E-2</v>
      </c>
      <c r="Q12" cm="1">
        <f t="array" aca="1" ref="Q12" ca="1">TREND($K12:$P12,$K$1:$P$1,Q$1)</f>
        <v>6.5059199999999873E-2</v>
      </c>
      <c r="R12" cm="1">
        <f t="array" aca="1" ref="R12" ca="1">TREND($K12:$P12,$K$1:$P$1,R$1)</f>
        <v>6.6326399999999897E-2</v>
      </c>
      <c r="S12" cm="1">
        <f t="array" aca="1" ref="S12" ca="1">TREND($K12:$P12,$K$1:$P$1,S$1)</f>
        <v>6.759359999999992E-2</v>
      </c>
      <c r="T12" cm="1">
        <f t="array" aca="1" ref="T12" ca="1">TREND($K12:$P12,$K$1:$P$1,T$1)</f>
        <v>6.8860799999999944E-2</v>
      </c>
      <c r="U12" cm="1">
        <f t="array" aca="1" ref="U12" ca="1">TREND($K12:$P12,$K$1:$P$1,U$1)</f>
        <v>7.0127999999999968E-2</v>
      </c>
      <c r="V12" cm="1">
        <f t="array" aca="1" ref="V12" ca="1">TREND($K12:$P12,$K$1:$P$1,V$1)</f>
        <v>7.1395199999999992E-2</v>
      </c>
      <c r="W12" cm="1">
        <f t="array" aca="1" ref="W12" ca="1">TREND($K12:$P12,$K$1:$P$1,W$1)</f>
        <v>7.2662400000000016E-2</v>
      </c>
      <c r="X12" cm="1">
        <f t="array" aca="1" ref="X12" ca="1">TREND($K12:$P12,$K$1:$P$1,X$1)</f>
        <v>7.3929599999999596E-2</v>
      </c>
      <c r="Y12" cm="1">
        <f t="array" aca="1" ref="Y12" ca="1">TREND($K12:$P12,$K$1:$P$1,Y$1)</f>
        <v>7.519679999999962E-2</v>
      </c>
      <c r="Z12" cm="1">
        <f t="array" aca="1" ref="Z12" ca="1">TREND($K12:$P12,$K$1:$P$1,Z$1)</f>
        <v>7.6463999999999643E-2</v>
      </c>
      <c r="AA12" cm="1">
        <f t="array" aca="1" ref="AA12" ca="1">TREND($K12:$P12,$K$1:$P$1,AA$1)</f>
        <v>7.7731199999999667E-2</v>
      </c>
      <c r="AB12" cm="1">
        <f t="array" aca="1" ref="AB12" ca="1">TREND($K12:$P12,$K$1:$P$1,AB$1)</f>
        <v>7.8998399999999691E-2</v>
      </c>
      <c r="AC12" cm="1">
        <f t="array" aca="1" ref="AC12" ca="1">TREND($K12:$P12,$K$1:$P$1,AC$1)</f>
        <v>8.0265599999999715E-2</v>
      </c>
      <c r="AD12" cm="1">
        <f t="array" aca="1" ref="AD12" ca="1">TREND($K12:$P12,$K$1:$P$1,AD$1)</f>
        <v>8.1532799999999739E-2</v>
      </c>
      <c r="AE12" cm="1">
        <f t="array" aca="1" ref="AE12" ca="1">TREND($K12:$P12,$K$1:$P$1,AE$1)</f>
        <v>8.2799999999999763E-2</v>
      </c>
      <c r="AF12" cm="1">
        <f t="array" aca="1" ref="AF12" ca="1">TREND($K12:$P12,$K$1:$P$1,AF$1)</f>
        <v>8.4067199999999787E-2</v>
      </c>
      <c r="AG12" cm="1">
        <f t="array" aca="1" ref="AG12" ca="1">TREND($K12:$P12,$K$1:$P$1,AG$1)</f>
        <v>8.533439999999981E-2</v>
      </c>
      <c r="AH12" cm="1">
        <f t="array" aca="1" ref="AH12" ca="1">TREND($K12:$P12,$K$1:$P$1,AH$1)</f>
        <v>8.6601599999999834E-2</v>
      </c>
      <c r="AI12" cm="1">
        <f t="array" aca="1" ref="AI12" ca="1">TREND($K12:$P12,$K$1:$P$1,AI$1)</f>
        <v>8.7868799999999858E-2</v>
      </c>
      <c r="AJ12" cm="1">
        <f t="array" aca="1" ref="AJ12" ca="1">TREND($K12:$P12,$K$1:$P$1,AJ$1)</f>
        <v>8.9135999999999882E-2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HOIpTP-industry-PM25</v>
      </c>
    </row>
    <row r="18" spans="1:5" x14ac:dyDescent="0.25">
      <c r="A18" t="s">
        <v>83</v>
      </c>
      <c r="B18" t="str">
        <f ca="1">RIGHT(B17,LEN(B17)-7)</f>
        <v>industry-PM25</v>
      </c>
    </row>
    <row r="19" spans="1:5" x14ac:dyDescent="0.25">
      <c r="A19" t="s">
        <v>84</v>
      </c>
      <c r="B19" t="str">
        <f ca="1">LEFT(B18,FIND("-",B18)-1)</f>
        <v>industry</v>
      </c>
    </row>
    <row r="20" spans="1:5" x14ac:dyDescent="0.25">
      <c r="A20" t="s">
        <v>85</v>
      </c>
      <c r="B20" t="str">
        <f ca="1">VLOOKUP($B$19,Mappings!$A$22:$B$26,COLUMN(Mappings!$B$21),FALSE)</f>
        <v>industrial point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5">
      <c r="A23" s="28" t="s">
        <v>82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5">
      <c r="A24" t="s">
        <v>87</v>
      </c>
      <c r="B24" t="str">
        <f ca="1">REPLACE(B18,1,FIND("-",B18),"")</f>
        <v>PM25</v>
      </c>
    </row>
    <row r="25" spans="1:5" x14ac:dyDescent="0.25">
      <c r="A25" t="s">
        <v>88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5420-C192-410E-A762-AC413F5C5FE7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7.0559999999999998E-3</v>
      </c>
      <c r="C2">
        <f ca="1">$B2+($F2-$B2)*(C$1-$B$1)/($F$1-$B$1)</f>
        <v>7.0919999999999993E-3</v>
      </c>
      <c r="D2">
        <f t="shared" ref="D2:E12" ca="1" si="0">$B2+($F2-$B2)*(D$1-$B$1)/($F$1-$B$1)</f>
        <v>7.1279999999999998E-3</v>
      </c>
      <c r="E2">
        <f t="shared" ca="1" si="0"/>
        <v>7.1640000000000002E-3</v>
      </c>
      <c r="F2" s="31" cm="1">
        <f t="array" aca="1" ref="F2" ca="1">INDIRECT(CONCATENATE("'",HLOOKUP(F$1,$B$21:$E$23,3,FALSE),"'!",$B$25,ROW($A2)+3))*About!$A$27</f>
        <v>7.1999999999999998E-3</v>
      </c>
      <c r="G2">
        <f ca="1">$F2+($K2-$F2)*(G$1-$F$1)/($K$1-$F$1)</f>
        <v>7.3152E-3</v>
      </c>
      <c r="H2">
        <f t="shared" ref="H2:J12" ca="1" si="1">$F2+($K2-$F2)*(H$1-$F$1)/($K$1-$F$1)</f>
        <v>7.4304000000000002E-3</v>
      </c>
      <c r="I2">
        <f t="shared" ca="1" si="1"/>
        <v>7.5455999999999995E-3</v>
      </c>
      <c r="J2">
        <f t="shared" ca="1" si="1"/>
        <v>7.6607999999999997E-3</v>
      </c>
      <c r="K2" s="31" cm="1">
        <f t="array" aca="1" ref="K2" ca="1">INDIRECT(CONCATENATE("'",HLOOKUP(K$1,$B$21:$E$23,3,FALSE),"'!",$B$25,ROW($A2)+3))*About!$A$27</f>
        <v>7.7759999999999999E-3</v>
      </c>
      <c r="L2">
        <f ca="1">$K2+($P2-$K2)*(L$1-$K$1)/($P$1-$K$1)</f>
        <v>7.8624000000000003E-3</v>
      </c>
      <c r="M2">
        <f t="shared" ref="M2:O12" ca="1" si="2">$K2+($P2-$K2)*(M$1-$K$1)/($P$1-$K$1)</f>
        <v>7.9488000000000007E-3</v>
      </c>
      <c r="N2">
        <f t="shared" ca="1" si="2"/>
        <v>8.0351999999999993E-3</v>
      </c>
      <c r="O2">
        <f t="shared" ca="1" si="2"/>
        <v>8.1215999999999997E-3</v>
      </c>
      <c r="P2" s="31" cm="1">
        <f t="array" aca="1" ref="P2" ca="1">INDIRECT(CONCATENATE("'",HLOOKUP(P$1,$B$21:$E$23,3,FALSE),"'!",$B$25,ROW($A2)+3))*About!$A$27</f>
        <v>8.208E-3</v>
      </c>
      <c r="Q2" cm="1">
        <f t="array" aca="1" ref="Q2" ca="1">TREND($K2:$P2,$K$1:$P$1,Q$1)</f>
        <v>8.2944000000000073E-3</v>
      </c>
      <c r="R2" cm="1">
        <f t="array" aca="1" ref="R2" ca="1">TREND($K2:$P2,$K$1:$P$1,R$1)</f>
        <v>8.3807999999999938E-3</v>
      </c>
      <c r="S2" cm="1">
        <f t="array" aca="1" ref="S2" ca="1">TREND($K2:$P2,$K$1:$P$1,S$1)</f>
        <v>8.4672000000000081E-3</v>
      </c>
      <c r="T2" cm="1">
        <f t="array" aca="1" ref="T2" ca="1">TREND($K2:$P2,$K$1:$P$1,T$1)</f>
        <v>8.5535999999999945E-3</v>
      </c>
      <c r="U2" cm="1">
        <f t="array" aca="1" ref="U2" ca="1">TREND($K2:$P2,$K$1:$P$1,U$1)</f>
        <v>8.6400000000000088E-3</v>
      </c>
      <c r="V2" cm="1">
        <f t="array" aca="1" ref="V2" ca="1">TREND($K2:$P2,$K$1:$P$1,V$1)</f>
        <v>8.7263999999999953E-3</v>
      </c>
      <c r="W2" cm="1">
        <f t="array" aca="1" ref="W2" ca="1">TREND($K2:$P2,$K$1:$P$1,W$1)</f>
        <v>8.8128000000000095E-3</v>
      </c>
      <c r="X2" cm="1">
        <f t="array" aca="1" ref="X2" ca="1">TREND($K2:$P2,$K$1:$P$1,X$1)</f>
        <v>8.899199999999996E-3</v>
      </c>
      <c r="Y2" cm="1">
        <f t="array" aca="1" ref="Y2" ca="1">TREND($K2:$P2,$K$1:$P$1,Y$1)</f>
        <v>8.9856000000000102E-3</v>
      </c>
      <c r="Z2" cm="1">
        <f t="array" aca="1" ref="Z2" ca="1">TREND($K2:$P2,$K$1:$P$1,Z$1)</f>
        <v>9.0719999999999967E-3</v>
      </c>
      <c r="AA2" cm="1">
        <f t="array" aca="1" ref="AA2" ca="1">TREND($K2:$P2,$K$1:$P$1,AA$1)</f>
        <v>9.158400000000011E-3</v>
      </c>
      <c r="AB2" cm="1">
        <f t="array" aca="1" ref="AB2" ca="1">TREND($K2:$P2,$K$1:$P$1,AB$1)</f>
        <v>9.2447999999999975E-3</v>
      </c>
      <c r="AC2" cm="1">
        <f t="array" aca="1" ref="AC2" ca="1">TREND($K2:$P2,$K$1:$P$1,AC$1)</f>
        <v>9.3312000000000117E-3</v>
      </c>
      <c r="AD2" cm="1">
        <f t="array" aca="1" ref="AD2" ca="1">TREND($K2:$P2,$K$1:$P$1,AD$1)</f>
        <v>9.4175999999999982E-3</v>
      </c>
      <c r="AE2" cm="1">
        <f t="array" aca="1" ref="AE2" ca="1">TREND($K2:$P2,$K$1:$P$1,AE$1)</f>
        <v>9.5040000000000124E-3</v>
      </c>
      <c r="AF2" cm="1">
        <f t="array" aca="1" ref="AF2" ca="1">TREND($K2:$P2,$K$1:$P$1,AF$1)</f>
        <v>9.5903999999999989E-3</v>
      </c>
      <c r="AG2" cm="1">
        <f t="array" aca="1" ref="AG2" ca="1">TREND($K2:$P2,$K$1:$P$1,AG$1)</f>
        <v>9.6768000000000132E-3</v>
      </c>
      <c r="AH2" cm="1">
        <f t="array" aca="1" ref="AH2" ca="1">TREND($K2:$P2,$K$1:$P$1,AH$1)</f>
        <v>9.7631999999999997E-3</v>
      </c>
      <c r="AI2" cm="1">
        <f t="array" aca="1" ref="AI2" ca="1">TREND($K2:$P2,$K$1:$P$1,AI$1)</f>
        <v>9.8495999999999861E-3</v>
      </c>
      <c r="AJ2" cm="1">
        <f t="array" aca="1" ref="AJ2" ca="1">TREND($K2:$P2,$K$1:$P$1,AJ$1)</f>
        <v>9.9360000000000004E-3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3.7439999999999995E-3</v>
      </c>
      <c r="C3">
        <f t="shared" ref="C3:C12" ca="1" si="3">$B3+($F3-$B3)*(C$1-$B$1)/($F$1-$B$1)</f>
        <v>3.7799999999999995E-3</v>
      </c>
      <c r="D3">
        <f t="shared" ca="1" si="0"/>
        <v>3.8159999999999999E-3</v>
      </c>
      <c r="E3">
        <f t="shared" ca="1" si="0"/>
        <v>3.852E-3</v>
      </c>
      <c r="F3" s="32" cm="1">
        <f t="array" aca="1" ref="F3" ca="1">INDIRECT(CONCATENATE("'",HLOOKUP(F$1,$B$21:$E$23,3,FALSE),"'!",$B$25,ROW($A3)+5))*About!$A$27</f>
        <v>3.888E-3</v>
      </c>
      <c r="G3">
        <f t="shared" ref="G3:G12" ca="1" si="4">$F3+($K3-$F3)*(G$1-$F$1)/($K$1-$F$1)</f>
        <v>3.9167999999999998E-3</v>
      </c>
      <c r="H3">
        <f t="shared" ca="1" si="1"/>
        <v>3.9455999999999996E-3</v>
      </c>
      <c r="I3">
        <f t="shared" ca="1" si="1"/>
        <v>3.9744000000000003E-3</v>
      </c>
      <c r="J3">
        <f t="shared" ca="1" si="1"/>
        <v>4.0032000000000002E-3</v>
      </c>
      <c r="K3" s="32" cm="1">
        <f t="array" aca="1" ref="K3" ca="1">INDIRECT(CONCATENATE("'",HLOOKUP(K$1,$B$21:$E$23,3,FALSE),"'!",$B$25,ROW($A3)+5))*About!$A$27</f>
        <v>4.032E-3</v>
      </c>
      <c r="L3">
        <f t="shared" ref="L3:L12" ca="1" si="5">$K3+($P3-$K3)*(L$1-$K$1)/($P$1-$K$1)</f>
        <v>4.0607999999999998E-3</v>
      </c>
      <c r="M3">
        <f t="shared" ca="1" si="2"/>
        <v>4.0895999999999997E-3</v>
      </c>
      <c r="N3">
        <f t="shared" ca="1" si="2"/>
        <v>4.1183999999999995E-3</v>
      </c>
      <c r="O3">
        <f t="shared" ca="1" si="2"/>
        <v>4.1471999999999993E-3</v>
      </c>
      <c r="P3" s="32" cm="1">
        <f t="array" aca="1" ref="P3" ca="1">INDIRECT(CONCATENATE("'",HLOOKUP(P$1,$B$21:$E$23,3,FALSE),"'!",$B$25,ROW($A3)+5))*About!$A$27</f>
        <v>4.1759999999999992E-3</v>
      </c>
      <c r="Q3" cm="1">
        <f t="array" aca="1" ref="Q3" ca="1">TREND($K3:$P3,$K$1:$P$1,Q$1)</f>
        <v>4.2047999999999947E-3</v>
      </c>
      <c r="R3" cm="1">
        <f t="array" aca="1" ref="R3" ca="1">TREND($K3:$P3,$K$1:$P$1,R$1)</f>
        <v>4.2335999999999971E-3</v>
      </c>
      <c r="S3" cm="1">
        <f t="array" aca="1" ref="S3" ca="1">TREND($K3:$P3,$K$1:$P$1,S$1)</f>
        <v>4.2623999999999995E-3</v>
      </c>
      <c r="T3" cm="1">
        <f t="array" aca="1" ref="T3" ca="1">TREND($K3:$P3,$K$1:$P$1,T$1)</f>
        <v>4.291199999999995E-3</v>
      </c>
      <c r="U3" cm="1">
        <f t="array" aca="1" ref="U3" ca="1">TREND($K3:$P3,$K$1:$P$1,U$1)</f>
        <v>4.3199999999999975E-3</v>
      </c>
      <c r="V3" cm="1">
        <f t="array" aca="1" ref="V3" ca="1">TREND($K3:$P3,$K$1:$P$1,V$1)</f>
        <v>4.3487999999999929E-3</v>
      </c>
      <c r="W3" cm="1">
        <f t="array" aca="1" ref="W3" ca="1">TREND($K3:$P3,$K$1:$P$1,W$1)</f>
        <v>4.3775999999999954E-3</v>
      </c>
      <c r="X3" cm="1">
        <f t="array" aca="1" ref="X3" ca="1">TREND($K3:$P3,$K$1:$P$1,X$1)</f>
        <v>4.4063999999999978E-3</v>
      </c>
      <c r="Y3" cm="1">
        <f t="array" aca="1" ref="Y3" ca="1">TREND($K3:$P3,$K$1:$P$1,Y$1)</f>
        <v>4.4351999999999933E-3</v>
      </c>
      <c r="Z3" cm="1">
        <f t="array" aca="1" ref="Z3" ca="1">TREND($K3:$P3,$K$1:$P$1,Z$1)</f>
        <v>4.4639999999999957E-3</v>
      </c>
      <c r="AA3" cm="1">
        <f t="array" aca="1" ref="AA3" ca="1">TREND($K3:$P3,$K$1:$P$1,AA$1)</f>
        <v>4.4927999999999982E-3</v>
      </c>
      <c r="AB3" cm="1">
        <f t="array" aca="1" ref="AB3" ca="1">TREND($K3:$P3,$K$1:$P$1,AB$1)</f>
        <v>4.5215999999999937E-3</v>
      </c>
      <c r="AC3" cm="1">
        <f t="array" aca="1" ref="AC3" ca="1">TREND($K3:$P3,$K$1:$P$1,AC$1)</f>
        <v>4.5503999999999961E-3</v>
      </c>
      <c r="AD3" cm="1">
        <f t="array" aca="1" ref="AD3" ca="1">TREND($K3:$P3,$K$1:$P$1,AD$1)</f>
        <v>4.5791999999999916E-3</v>
      </c>
      <c r="AE3" cm="1">
        <f t="array" aca="1" ref="AE3" ca="1">TREND($K3:$P3,$K$1:$P$1,AE$1)</f>
        <v>4.607999999999994E-3</v>
      </c>
      <c r="AF3" cm="1">
        <f t="array" aca="1" ref="AF3" ca="1">TREND($K3:$P3,$K$1:$P$1,AF$1)</f>
        <v>4.6367999999999965E-3</v>
      </c>
      <c r="AG3" cm="1">
        <f t="array" aca="1" ref="AG3" ca="1">TREND($K3:$P3,$K$1:$P$1,AG$1)</f>
        <v>4.665599999999992E-3</v>
      </c>
      <c r="AH3" cm="1">
        <f t="array" aca="1" ref="AH3" ca="1">TREND($K3:$P3,$K$1:$P$1,AH$1)</f>
        <v>4.6943999999999944E-3</v>
      </c>
      <c r="AI3" cm="1">
        <f t="array" aca="1" ref="AI3" ca="1">TREND($K3:$P3,$K$1:$P$1,AI$1)</f>
        <v>4.7231999999999968E-3</v>
      </c>
      <c r="AJ3" cm="1">
        <f t="array" aca="1" ref="AJ3" ca="1">TREND($K3:$P3,$K$1:$P$1,AJ$1)</f>
        <v>4.7519999999999923E-3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9.2160000000000002E-3</v>
      </c>
      <c r="C4">
        <f t="shared" ca="1" si="3"/>
        <v>9.2160000000000002E-3</v>
      </c>
      <c r="D4">
        <f t="shared" ca="1" si="0"/>
        <v>9.2160000000000002E-3</v>
      </c>
      <c r="E4">
        <f t="shared" ca="1" si="0"/>
        <v>9.2160000000000002E-3</v>
      </c>
      <c r="F4" s="32" cm="1">
        <f t="array" aca="1" ref="F4" ca="1">INDIRECT(CONCATENATE("'",HLOOKUP(F$1,$B$21:$E$23,3,FALSE),"'!",$B$25,ROW($A4)+5))*About!$A$27</f>
        <v>9.2160000000000002E-3</v>
      </c>
      <c r="G4">
        <f t="shared" ca="1" si="4"/>
        <v>9.3311999999999996E-3</v>
      </c>
      <c r="H4">
        <f t="shared" ca="1" si="1"/>
        <v>9.4463999999999989E-3</v>
      </c>
      <c r="I4">
        <f t="shared" ca="1" si="1"/>
        <v>9.5616E-3</v>
      </c>
      <c r="J4">
        <f t="shared" ca="1" si="1"/>
        <v>9.6767999999999993E-3</v>
      </c>
      <c r="K4" s="32" cm="1">
        <f t="array" aca="1" ref="K4" ca="1">INDIRECT(CONCATENATE("'",HLOOKUP(K$1,$B$21:$E$23,3,FALSE),"'!",$B$25,ROW($A4)+5))*About!$A$27</f>
        <v>9.7919999999999986E-3</v>
      </c>
      <c r="L4">
        <f t="shared" ca="1" si="5"/>
        <v>9.9359999999999987E-3</v>
      </c>
      <c r="M4">
        <f t="shared" ca="1" si="2"/>
        <v>1.0079999999999999E-2</v>
      </c>
      <c r="N4">
        <f t="shared" ca="1" si="2"/>
        <v>1.0224E-2</v>
      </c>
      <c r="O4">
        <f t="shared" ca="1" si="2"/>
        <v>1.0368E-2</v>
      </c>
      <c r="P4" s="32" cm="1">
        <f t="array" aca="1" ref="P4" ca="1">INDIRECT(CONCATENATE("'",HLOOKUP(P$1,$B$21:$E$23,3,FALSE),"'!",$B$25,ROW($A4)+5))*About!$A$27</f>
        <v>1.0512000000000001E-2</v>
      </c>
      <c r="Q4" cm="1">
        <f t="array" aca="1" ref="Q4" ca="1">TREND($K4:$P4,$K$1:$P$1,Q$1)</f>
        <v>1.0655999999999999E-2</v>
      </c>
      <c r="R4" cm="1">
        <f t="array" aca="1" ref="R4" ca="1">TREND($K4:$P4,$K$1:$P$1,R$1)</f>
        <v>1.0799999999999976E-2</v>
      </c>
      <c r="S4" cm="1">
        <f t="array" aca="1" ref="S4" ca="1">TREND($K4:$P4,$K$1:$P$1,S$1)</f>
        <v>1.0944000000000009E-2</v>
      </c>
      <c r="T4" cm="1">
        <f t="array" aca="1" ref="T4" ca="1">TREND($K4:$P4,$K$1:$P$1,T$1)</f>
        <v>1.1087999999999987E-2</v>
      </c>
      <c r="U4" cm="1">
        <f t="array" aca="1" ref="U4" ca="1">TREND($K4:$P4,$K$1:$P$1,U$1)</f>
        <v>1.123200000000002E-2</v>
      </c>
      <c r="V4" cm="1">
        <f t="array" aca="1" ref="V4" ca="1">TREND($K4:$P4,$K$1:$P$1,V$1)</f>
        <v>1.1375999999999997E-2</v>
      </c>
      <c r="W4" cm="1">
        <f t="array" aca="1" ref="W4" ca="1">TREND($K4:$P4,$K$1:$P$1,W$1)</f>
        <v>1.1519999999999975E-2</v>
      </c>
      <c r="X4" cm="1">
        <f t="array" aca="1" ref="X4" ca="1">TREND($K4:$P4,$K$1:$P$1,X$1)</f>
        <v>1.1664000000000008E-2</v>
      </c>
      <c r="Y4" cm="1">
        <f t="array" aca="1" ref="Y4" ca="1">TREND($K4:$P4,$K$1:$P$1,Y$1)</f>
        <v>1.1807999999999985E-2</v>
      </c>
      <c r="Z4" cm="1">
        <f t="array" aca="1" ref="Z4" ca="1">TREND($K4:$P4,$K$1:$P$1,Z$1)</f>
        <v>1.1952000000000018E-2</v>
      </c>
      <c r="AA4" cm="1">
        <f t="array" aca="1" ref="AA4" ca="1">TREND($K4:$P4,$K$1:$P$1,AA$1)</f>
        <v>1.2095999999999996E-2</v>
      </c>
      <c r="AB4" cm="1">
        <f t="array" aca="1" ref="AB4" ca="1">TREND($K4:$P4,$K$1:$P$1,AB$1)</f>
        <v>1.2240000000000029E-2</v>
      </c>
      <c r="AC4" cm="1">
        <f t="array" aca="1" ref="AC4" ca="1">TREND($K4:$P4,$K$1:$P$1,AC$1)</f>
        <v>1.2384000000000006E-2</v>
      </c>
      <c r="AD4" cm="1">
        <f t="array" aca="1" ref="AD4" ca="1">TREND($K4:$P4,$K$1:$P$1,AD$1)</f>
        <v>1.2527999999999984E-2</v>
      </c>
      <c r="AE4" cm="1">
        <f t="array" aca="1" ref="AE4" ca="1">TREND($K4:$P4,$K$1:$P$1,AE$1)</f>
        <v>1.2672000000000017E-2</v>
      </c>
      <c r="AF4" cm="1">
        <f t="array" aca="1" ref="AF4" ca="1">TREND($K4:$P4,$K$1:$P$1,AF$1)</f>
        <v>1.2815999999999994E-2</v>
      </c>
      <c r="AG4" cm="1">
        <f t="array" aca="1" ref="AG4" ca="1">TREND($K4:$P4,$K$1:$P$1,AG$1)</f>
        <v>1.2960000000000027E-2</v>
      </c>
      <c r="AH4" cm="1">
        <f t="array" aca="1" ref="AH4" ca="1">TREND($K4:$P4,$K$1:$P$1,AH$1)</f>
        <v>1.3104000000000005E-2</v>
      </c>
      <c r="AI4" cm="1">
        <f t="array" aca="1" ref="AI4" ca="1">TREND($K4:$P4,$K$1:$P$1,AI$1)</f>
        <v>1.3247999999999982E-2</v>
      </c>
      <c r="AJ4" cm="1">
        <f t="array" aca="1" ref="AJ4" ca="1">TREND($K4:$P4,$K$1:$P$1,AJ$1)</f>
        <v>1.3392000000000015E-2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0.11808</v>
      </c>
      <c r="C5">
        <f t="shared" ca="1" si="3"/>
        <v>0.11808</v>
      </c>
      <c r="D5">
        <f t="shared" ca="1" si="0"/>
        <v>0.11808</v>
      </c>
      <c r="E5">
        <f t="shared" ca="1" si="0"/>
        <v>0.11808</v>
      </c>
      <c r="F5" s="32" cm="1">
        <f t="array" aca="1" ref="F5" ca="1">INDIRECT(CONCATENATE("'",HLOOKUP(F$1,$B$21:$E$23,3,FALSE),"'!",$B$25,ROW($A5)+5))*About!$A$27</f>
        <v>0.11808</v>
      </c>
      <c r="G5">
        <f t="shared" ca="1" si="4"/>
        <v>0.119232</v>
      </c>
      <c r="H5">
        <f t="shared" ca="1" si="1"/>
        <v>0.120384</v>
      </c>
      <c r="I5">
        <f t="shared" ca="1" si="1"/>
        <v>0.12153599999999999</v>
      </c>
      <c r="J5">
        <f t="shared" ca="1" si="1"/>
        <v>0.12268799999999999</v>
      </c>
      <c r="K5" s="32" cm="1">
        <f t="array" aca="1" ref="K5" ca="1">INDIRECT(CONCATENATE("'",HLOOKUP(K$1,$B$21:$E$23,3,FALSE),"'!",$B$25,ROW($A5)+5))*About!$A$27</f>
        <v>0.12383999999999999</v>
      </c>
      <c r="L5">
        <f t="shared" ca="1" si="5"/>
        <v>0.125856</v>
      </c>
      <c r="M5">
        <f t="shared" ca="1" si="2"/>
        <v>0.12787199999999999</v>
      </c>
      <c r="N5">
        <f t="shared" ca="1" si="2"/>
        <v>0.12988799999999998</v>
      </c>
      <c r="O5">
        <f t="shared" ca="1" si="2"/>
        <v>0.13190399999999999</v>
      </c>
      <c r="P5" s="32" cm="1">
        <f t="array" aca="1" ref="P5" ca="1">INDIRECT(CONCATENATE("'",HLOOKUP(P$1,$B$21:$E$23,3,FALSE),"'!",$B$25,ROW($A5)+5))*About!$A$27</f>
        <v>0.13391999999999998</v>
      </c>
      <c r="Q5" cm="1">
        <f t="array" aca="1" ref="Q5" ca="1">TREND($K5:$P5,$K$1:$P$1,Q$1)</f>
        <v>0.1359360000000005</v>
      </c>
      <c r="R5" cm="1">
        <f t="array" aca="1" ref="R5" ca="1">TREND($K5:$P5,$K$1:$P$1,R$1)</f>
        <v>0.13795199999999985</v>
      </c>
      <c r="S5" cm="1">
        <f t="array" aca="1" ref="S5" ca="1">TREND($K5:$P5,$K$1:$P$1,S$1)</f>
        <v>0.13996800000000009</v>
      </c>
      <c r="T5" cm="1">
        <f t="array" aca="1" ref="T5" ca="1">TREND($K5:$P5,$K$1:$P$1,T$1)</f>
        <v>0.14198400000000033</v>
      </c>
      <c r="U5" cm="1">
        <f t="array" aca="1" ref="U5" ca="1">TREND($K5:$P5,$K$1:$P$1,U$1)</f>
        <v>0.14400000000000057</v>
      </c>
      <c r="V5" cm="1">
        <f t="array" aca="1" ref="V5" ca="1">TREND($K5:$P5,$K$1:$P$1,V$1)</f>
        <v>0.14601599999999992</v>
      </c>
      <c r="W5" cm="1">
        <f t="array" aca="1" ref="W5" ca="1">TREND($K5:$P5,$K$1:$P$1,W$1)</f>
        <v>0.14803200000000016</v>
      </c>
      <c r="X5" cm="1">
        <f t="array" aca="1" ref="X5" ca="1">TREND($K5:$P5,$K$1:$P$1,X$1)</f>
        <v>0.1500480000000004</v>
      </c>
      <c r="Y5" cm="1">
        <f t="array" aca="1" ref="Y5" ca="1">TREND($K5:$P5,$K$1:$P$1,Y$1)</f>
        <v>0.15206399999999975</v>
      </c>
      <c r="Z5" cm="1">
        <f t="array" aca="1" ref="Z5" ca="1">TREND($K5:$P5,$K$1:$P$1,Z$1)</f>
        <v>0.15407999999999999</v>
      </c>
      <c r="AA5" cm="1">
        <f t="array" aca="1" ref="AA5" ca="1">TREND($K5:$P5,$K$1:$P$1,AA$1)</f>
        <v>0.15609600000000023</v>
      </c>
      <c r="AB5" cm="1">
        <f t="array" aca="1" ref="AB5" ca="1">TREND($K5:$P5,$K$1:$P$1,AB$1)</f>
        <v>0.15811200000000047</v>
      </c>
      <c r="AC5" cm="1">
        <f t="array" aca="1" ref="AC5" ca="1">TREND($K5:$P5,$K$1:$P$1,AC$1)</f>
        <v>0.16012799999999983</v>
      </c>
      <c r="AD5" cm="1">
        <f t="array" aca="1" ref="AD5" ca="1">TREND($K5:$P5,$K$1:$P$1,AD$1)</f>
        <v>0.16214400000000007</v>
      </c>
      <c r="AE5" cm="1">
        <f t="array" aca="1" ref="AE5" ca="1">TREND($K5:$P5,$K$1:$P$1,AE$1)</f>
        <v>0.16416000000000031</v>
      </c>
      <c r="AF5" cm="1">
        <f t="array" aca="1" ref="AF5" ca="1">TREND($K5:$P5,$K$1:$P$1,AF$1)</f>
        <v>0.16617600000000055</v>
      </c>
      <c r="AG5" cm="1">
        <f t="array" aca="1" ref="AG5" ca="1">TREND($K5:$P5,$K$1:$P$1,AG$1)</f>
        <v>0.1681919999999999</v>
      </c>
      <c r="AH5" cm="1">
        <f t="array" aca="1" ref="AH5" ca="1">TREND($K5:$P5,$K$1:$P$1,AH$1)</f>
        <v>0.17020800000000014</v>
      </c>
      <c r="AI5" cm="1">
        <f t="array" aca="1" ref="AI5" ca="1">TREND($K5:$P5,$K$1:$P$1,AI$1)</f>
        <v>0.17222400000000038</v>
      </c>
      <c r="AJ5" cm="1">
        <f t="array" aca="1" ref="AJ5" ca="1">TREND($K5:$P5,$K$1:$P$1,AJ$1)</f>
        <v>0.17423999999999973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0.17279999999999998</v>
      </c>
      <c r="C6">
        <f t="shared" ca="1" si="3"/>
        <v>0.17279999999999998</v>
      </c>
      <c r="D6">
        <f t="shared" ca="1" si="0"/>
        <v>0.17279999999999998</v>
      </c>
      <c r="E6">
        <f t="shared" ca="1" si="0"/>
        <v>0.17279999999999998</v>
      </c>
      <c r="F6" s="32" cm="1">
        <f t="array" aca="1" ref="F6" ca="1">INDIRECT(CONCATENATE("'",HLOOKUP(F$1,$B$21:$E$23,3,FALSE),"'!",$B$25,ROW($A6)+5))*About!$A$27</f>
        <v>0.17279999999999998</v>
      </c>
      <c r="G6">
        <f t="shared" ca="1" si="4"/>
        <v>0.17279999999999998</v>
      </c>
      <c r="H6">
        <f t="shared" ca="1" si="1"/>
        <v>0.17279999999999998</v>
      </c>
      <c r="I6">
        <f t="shared" ca="1" si="1"/>
        <v>0.17279999999999998</v>
      </c>
      <c r="J6">
        <f t="shared" ca="1" si="1"/>
        <v>0.17279999999999998</v>
      </c>
      <c r="K6" s="32" cm="1">
        <f t="array" aca="1" ref="K6" ca="1">INDIRECT(CONCATENATE("'",HLOOKUP(K$1,$B$21:$E$23,3,FALSE),"'!",$B$25,ROW($A6)+5))*About!$A$27</f>
        <v>0.17279999999999998</v>
      </c>
      <c r="L6">
        <f t="shared" ca="1" si="5"/>
        <v>0.17567999999999998</v>
      </c>
      <c r="M6">
        <f t="shared" ca="1" si="2"/>
        <v>0.17856</v>
      </c>
      <c r="N6">
        <f t="shared" ca="1" si="2"/>
        <v>0.18143999999999999</v>
      </c>
      <c r="O6">
        <f t="shared" ca="1" si="2"/>
        <v>0.18432000000000001</v>
      </c>
      <c r="P6" s="32" cm="1">
        <f t="array" aca="1" ref="P6" ca="1">INDIRECT(CONCATENATE("'",HLOOKUP(P$1,$B$21:$E$23,3,FALSE),"'!",$B$25,ROW($A6)+5))*About!$A$27</f>
        <v>0.18720000000000001</v>
      </c>
      <c r="Q6" cm="1">
        <f t="array" aca="1" ref="Q6" ca="1">TREND($K6:$P6,$K$1:$P$1,Q$1)</f>
        <v>0.19008000000000003</v>
      </c>
      <c r="R6" cm="1">
        <f t="array" aca="1" ref="R6" ca="1">TREND($K6:$P6,$K$1:$P$1,R$1)</f>
        <v>0.19296000000000024</v>
      </c>
      <c r="S6" cm="1">
        <f t="array" aca="1" ref="S6" ca="1">TREND($K6:$P6,$K$1:$P$1,S$1)</f>
        <v>0.19584000000000046</v>
      </c>
      <c r="T6" cm="1">
        <f t="array" aca="1" ref="T6" ca="1">TREND($K6:$P6,$K$1:$P$1,T$1)</f>
        <v>0.19871999999999979</v>
      </c>
      <c r="U6" cm="1">
        <f t="array" aca="1" ref="U6" ca="1">TREND($K6:$P6,$K$1:$P$1,U$1)</f>
        <v>0.2016</v>
      </c>
      <c r="V6" cm="1">
        <f t="array" aca="1" ref="V6" ca="1">TREND($K6:$P6,$K$1:$P$1,V$1)</f>
        <v>0.20448000000000022</v>
      </c>
      <c r="W6" cm="1">
        <f t="array" aca="1" ref="W6" ca="1">TREND($K6:$P6,$K$1:$P$1,W$1)</f>
        <v>0.20736000000000043</v>
      </c>
      <c r="X6" cm="1">
        <f t="array" aca="1" ref="X6" ca="1">TREND($K6:$P6,$K$1:$P$1,X$1)</f>
        <v>0.21023999999999976</v>
      </c>
      <c r="Y6" cm="1">
        <f t="array" aca="1" ref="Y6" ca="1">TREND($K6:$P6,$K$1:$P$1,Y$1)</f>
        <v>0.21311999999999998</v>
      </c>
      <c r="Z6" cm="1">
        <f t="array" aca="1" ref="Z6" ca="1">TREND($K6:$P6,$K$1:$P$1,Z$1)</f>
        <v>0.21600000000000019</v>
      </c>
      <c r="AA6" cm="1">
        <f t="array" aca="1" ref="AA6" ca="1">TREND($K6:$P6,$K$1:$P$1,AA$1)</f>
        <v>0.21888000000000041</v>
      </c>
      <c r="AB6" cm="1">
        <f t="array" aca="1" ref="AB6" ca="1">TREND($K6:$P6,$K$1:$P$1,AB$1)</f>
        <v>0.22175999999999974</v>
      </c>
      <c r="AC6" cm="1">
        <f t="array" aca="1" ref="AC6" ca="1">TREND($K6:$P6,$K$1:$P$1,AC$1)</f>
        <v>0.22463999999999995</v>
      </c>
      <c r="AD6" cm="1">
        <f t="array" aca="1" ref="AD6" ca="1">TREND($K6:$P6,$K$1:$P$1,AD$1)</f>
        <v>0.22752000000000017</v>
      </c>
      <c r="AE6" cm="1">
        <f t="array" aca="1" ref="AE6" ca="1">TREND($K6:$P6,$K$1:$P$1,AE$1)</f>
        <v>0.23040000000000038</v>
      </c>
      <c r="AF6" cm="1">
        <f t="array" aca="1" ref="AF6" ca="1">TREND($K6:$P6,$K$1:$P$1,AF$1)</f>
        <v>0.23327999999999971</v>
      </c>
      <c r="AG6" cm="1">
        <f t="array" aca="1" ref="AG6" ca="1">TREND($K6:$P6,$K$1:$P$1,AG$1)</f>
        <v>0.23615999999999993</v>
      </c>
      <c r="AH6" cm="1">
        <f t="array" aca="1" ref="AH6" ca="1">TREND($K6:$P6,$K$1:$P$1,AH$1)</f>
        <v>0.23904000000000014</v>
      </c>
      <c r="AI6" cm="1">
        <f t="array" aca="1" ref="AI6" ca="1">TREND($K6:$P6,$K$1:$P$1,AI$1)</f>
        <v>0.24192000000000036</v>
      </c>
      <c r="AJ6" cm="1">
        <f t="array" aca="1" ref="AJ6" ca="1">TREND($K6:$P6,$K$1:$P$1,AJ$1)</f>
        <v>0.24480000000000057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5.04</v>
      </c>
      <c r="C7">
        <f t="shared" ca="1" si="3"/>
        <v>5.04</v>
      </c>
      <c r="D7">
        <f t="shared" ca="1" si="0"/>
        <v>5.04</v>
      </c>
      <c r="E7">
        <f t="shared" ca="1" si="0"/>
        <v>5.04</v>
      </c>
      <c r="F7" s="32" cm="1">
        <f t="array" aca="1" ref="F7" ca="1">INDIRECT(CONCATENATE("'",HLOOKUP(F$1,$B$21:$E$23,3,FALSE),"'!",$B$25,ROW($A7)+5))*About!$A$27</f>
        <v>5.04</v>
      </c>
      <c r="G7">
        <f t="shared" ca="1" si="4"/>
        <v>5.0688000000000004</v>
      </c>
      <c r="H7">
        <f t="shared" ca="1" si="1"/>
        <v>5.0975999999999999</v>
      </c>
      <c r="I7">
        <f t="shared" ca="1" si="1"/>
        <v>5.1264000000000003</v>
      </c>
      <c r="J7">
        <f t="shared" ca="1" si="1"/>
        <v>5.1551999999999998</v>
      </c>
      <c r="K7" s="32" cm="1">
        <f t="array" aca="1" ref="K7" ca="1">INDIRECT(CONCATENATE("'",HLOOKUP(K$1,$B$21:$E$23,3,FALSE),"'!",$B$25,ROW($A7)+5))*About!$A$27</f>
        <v>5.1840000000000002</v>
      </c>
      <c r="L7">
        <f t="shared" ca="1" si="5"/>
        <v>5.1840000000000002</v>
      </c>
      <c r="M7">
        <f t="shared" ca="1" si="2"/>
        <v>5.1840000000000002</v>
      </c>
      <c r="N7">
        <f t="shared" ca="1" si="2"/>
        <v>5.1840000000000002</v>
      </c>
      <c r="O7">
        <f t="shared" ca="1" si="2"/>
        <v>5.1840000000000002</v>
      </c>
      <c r="P7" s="32" cm="1">
        <f t="array" aca="1" ref="P7" ca="1">INDIRECT(CONCATENATE("'",HLOOKUP(P$1,$B$21:$E$23,3,FALSE),"'!",$B$25,ROW($A7)+5))*About!$A$27</f>
        <v>5.1840000000000002</v>
      </c>
      <c r="Q7" cm="1">
        <f t="array" aca="1" ref="Q7" ca="1">TREND($K7:$P7,$K$1:$P$1,Q$1)</f>
        <v>5.1840000000000002</v>
      </c>
      <c r="R7" cm="1">
        <f t="array" aca="1" ref="R7" ca="1">TREND($K7:$P7,$K$1:$P$1,R$1)</f>
        <v>5.1840000000000002</v>
      </c>
      <c r="S7" cm="1">
        <f t="array" aca="1" ref="S7" ca="1">TREND($K7:$P7,$K$1:$P$1,S$1)</f>
        <v>5.1840000000000002</v>
      </c>
      <c r="T7" cm="1">
        <f t="array" aca="1" ref="T7" ca="1">TREND($K7:$P7,$K$1:$P$1,T$1)</f>
        <v>5.1840000000000002</v>
      </c>
      <c r="U7" cm="1">
        <f t="array" aca="1" ref="U7" ca="1">TREND($K7:$P7,$K$1:$P$1,U$1)</f>
        <v>5.1840000000000002</v>
      </c>
      <c r="V7" cm="1">
        <f t="array" aca="1" ref="V7" ca="1">TREND($K7:$P7,$K$1:$P$1,V$1)</f>
        <v>5.1840000000000002</v>
      </c>
      <c r="W7" cm="1">
        <f t="array" aca="1" ref="W7" ca="1">TREND($K7:$P7,$K$1:$P$1,W$1)</f>
        <v>5.1840000000000002</v>
      </c>
      <c r="X7" cm="1">
        <f t="array" aca="1" ref="X7" ca="1">TREND($K7:$P7,$K$1:$P$1,X$1)</f>
        <v>5.1840000000000002</v>
      </c>
      <c r="Y7" cm="1">
        <f t="array" aca="1" ref="Y7" ca="1">TREND($K7:$P7,$K$1:$P$1,Y$1)</f>
        <v>5.1840000000000002</v>
      </c>
      <c r="Z7" cm="1">
        <f t="array" aca="1" ref="Z7" ca="1">TREND($K7:$P7,$K$1:$P$1,Z$1)</f>
        <v>5.1840000000000002</v>
      </c>
      <c r="AA7" cm="1">
        <f t="array" aca="1" ref="AA7" ca="1">TREND($K7:$P7,$K$1:$P$1,AA$1)</f>
        <v>5.1840000000000002</v>
      </c>
      <c r="AB7" cm="1">
        <f t="array" aca="1" ref="AB7" ca="1">TREND($K7:$P7,$K$1:$P$1,AB$1)</f>
        <v>5.1840000000000002</v>
      </c>
      <c r="AC7" cm="1">
        <f t="array" aca="1" ref="AC7" ca="1">TREND($K7:$P7,$K$1:$P$1,AC$1)</f>
        <v>5.1840000000000002</v>
      </c>
      <c r="AD7" cm="1">
        <f t="array" aca="1" ref="AD7" ca="1">TREND($K7:$P7,$K$1:$P$1,AD$1)</f>
        <v>5.1840000000000002</v>
      </c>
      <c r="AE7" cm="1">
        <f t="array" aca="1" ref="AE7" ca="1">TREND($K7:$P7,$K$1:$P$1,AE$1)</f>
        <v>5.1840000000000002</v>
      </c>
      <c r="AF7" cm="1">
        <f t="array" aca="1" ref="AF7" ca="1">TREND($K7:$P7,$K$1:$P$1,AF$1)</f>
        <v>5.1840000000000002</v>
      </c>
      <c r="AG7" cm="1">
        <f t="array" aca="1" ref="AG7" ca="1">TREND($K7:$P7,$K$1:$P$1,AG$1)</f>
        <v>5.1840000000000002</v>
      </c>
      <c r="AH7" cm="1">
        <f t="array" aca="1" ref="AH7" ca="1">TREND($K7:$P7,$K$1:$P$1,AH$1)</f>
        <v>5.1840000000000002</v>
      </c>
      <c r="AI7" cm="1">
        <f t="array" aca="1" ref="AI7" ca="1">TREND($K7:$P7,$K$1:$P$1,AI$1)</f>
        <v>5.1840000000000002</v>
      </c>
      <c r="AJ7" cm="1">
        <f t="array" aca="1" ref="AJ7" ca="1">TREND($K7:$P7,$K$1:$P$1,AJ$1)</f>
        <v>5.1840000000000002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0.83519999999999994</v>
      </c>
      <c r="C8">
        <f t="shared" ca="1" si="3"/>
        <v>0.83879999999999999</v>
      </c>
      <c r="D8">
        <f t="shared" ca="1" si="0"/>
        <v>0.84239999999999993</v>
      </c>
      <c r="E8">
        <f t="shared" ca="1" si="0"/>
        <v>0.84599999999999986</v>
      </c>
      <c r="F8" s="32" cm="1">
        <f t="array" aca="1" ref="F8" ca="1">INDIRECT(CONCATENATE("'",HLOOKUP(F$1,$B$21:$E$23,3,FALSE),"'!",$B$25,ROW($A8)+5))*About!$A$27</f>
        <v>0.84959999999999991</v>
      </c>
      <c r="G8">
        <f t="shared" ca="1" si="4"/>
        <v>0.8553599999999999</v>
      </c>
      <c r="H8">
        <f t="shared" ca="1" si="1"/>
        <v>0.86111999999999989</v>
      </c>
      <c r="I8">
        <f t="shared" ca="1" si="1"/>
        <v>0.86687999999999998</v>
      </c>
      <c r="J8">
        <f t="shared" ca="1" si="1"/>
        <v>0.87263999999999997</v>
      </c>
      <c r="K8" s="32" cm="1">
        <f t="array" aca="1" ref="K8" ca="1">INDIRECT(CONCATENATE("'",HLOOKUP(K$1,$B$21:$E$23,3,FALSE),"'!",$B$25,ROW($A8)+5))*About!$A$27</f>
        <v>0.87839999999999996</v>
      </c>
      <c r="L8">
        <f t="shared" ca="1" si="5"/>
        <v>0.88127999999999995</v>
      </c>
      <c r="M8">
        <f t="shared" ca="1" si="2"/>
        <v>0.88415999999999995</v>
      </c>
      <c r="N8">
        <f t="shared" ca="1" si="2"/>
        <v>0.88703999999999994</v>
      </c>
      <c r="O8">
        <f t="shared" ca="1" si="2"/>
        <v>0.88991999999999993</v>
      </c>
      <c r="P8" s="32" cm="1">
        <f t="array" aca="1" ref="P8" ca="1">INDIRECT(CONCATENATE("'",HLOOKUP(P$1,$B$21:$E$23,3,FALSE),"'!",$B$25,ROW($A8)+5))*About!$A$27</f>
        <v>0.89279999999999993</v>
      </c>
      <c r="Q8" cm="1">
        <f t="array" aca="1" ref="Q8" ca="1">TREND($K8:$P8,$K$1:$P$1,Q$1)</f>
        <v>0.89567999999999959</v>
      </c>
      <c r="R8" cm="1">
        <f t="array" aca="1" ref="R8" ca="1">TREND($K8:$P8,$K$1:$P$1,R$1)</f>
        <v>0.8985599999999998</v>
      </c>
      <c r="S8" cm="1">
        <f t="array" aca="1" ref="S8" ca="1">TREND($K8:$P8,$K$1:$P$1,S$1)</f>
        <v>0.90144000000000002</v>
      </c>
      <c r="T8" cm="1">
        <f t="array" aca="1" ref="T8" ca="1">TREND($K8:$P8,$K$1:$P$1,T$1)</f>
        <v>0.90432000000000023</v>
      </c>
      <c r="U8" cm="1">
        <f t="array" aca="1" ref="U8" ca="1">TREND($K8:$P8,$K$1:$P$1,U$1)</f>
        <v>0.90719999999999956</v>
      </c>
      <c r="V8" cm="1">
        <f t="array" aca="1" ref="V8" ca="1">TREND($K8:$P8,$K$1:$P$1,V$1)</f>
        <v>0.91007999999999978</v>
      </c>
      <c r="W8" cm="1">
        <f t="array" aca="1" ref="W8" ca="1">TREND($K8:$P8,$K$1:$P$1,W$1)</f>
        <v>0.91295999999999999</v>
      </c>
      <c r="X8" cm="1">
        <f t="array" aca="1" ref="X8" ca="1">TREND($K8:$P8,$K$1:$P$1,X$1)</f>
        <v>0.91583999999999932</v>
      </c>
      <c r="Y8" cm="1">
        <f t="array" aca="1" ref="Y8" ca="1">TREND($K8:$P8,$K$1:$P$1,Y$1)</f>
        <v>0.91871999999999954</v>
      </c>
      <c r="Z8" cm="1">
        <f t="array" aca="1" ref="Z8" ca="1">TREND($K8:$P8,$K$1:$P$1,Z$1)</f>
        <v>0.92159999999999975</v>
      </c>
      <c r="AA8" cm="1">
        <f t="array" aca="1" ref="AA8" ca="1">TREND($K8:$P8,$K$1:$P$1,AA$1)</f>
        <v>0.92447999999999997</v>
      </c>
      <c r="AB8" cm="1">
        <f t="array" aca="1" ref="AB8" ca="1">TREND($K8:$P8,$K$1:$P$1,AB$1)</f>
        <v>0.92736000000000018</v>
      </c>
      <c r="AC8" cm="1">
        <f t="array" aca="1" ref="AC8" ca="1">TREND($K8:$P8,$K$1:$P$1,AC$1)</f>
        <v>0.93023999999999951</v>
      </c>
      <c r="AD8" cm="1">
        <f t="array" aca="1" ref="AD8" ca="1">TREND($K8:$P8,$K$1:$P$1,AD$1)</f>
        <v>0.93311999999999973</v>
      </c>
      <c r="AE8" cm="1">
        <f t="array" aca="1" ref="AE8" ca="1">TREND($K8:$P8,$K$1:$P$1,AE$1)</f>
        <v>0.93599999999999994</v>
      </c>
      <c r="AF8" cm="1">
        <f t="array" aca="1" ref="AF8" ca="1">TREND($K8:$P8,$K$1:$P$1,AF$1)</f>
        <v>0.93887999999999927</v>
      </c>
      <c r="AG8" cm="1">
        <f t="array" aca="1" ref="AG8" ca="1">TREND($K8:$P8,$K$1:$P$1,AG$1)</f>
        <v>0.94175999999999949</v>
      </c>
      <c r="AH8" cm="1">
        <f t="array" aca="1" ref="AH8" ca="1">TREND($K8:$P8,$K$1:$P$1,AH$1)</f>
        <v>0.9446399999999997</v>
      </c>
      <c r="AI8" cm="1">
        <f t="array" aca="1" ref="AI8" ca="1">TREND($K8:$P8,$K$1:$P$1,AI$1)</f>
        <v>0.94751999999999992</v>
      </c>
      <c r="AJ8" cm="1">
        <f t="array" aca="1" ref="AJ8" ca="1">TREND($K8:$P8,$K$1:$P$1,AJ$1)</f>
        <v>0.95040000000000013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0.2016</v>
      </c>
      <c r="C9">
        <f t="shared" ca="1" si="3"/>
        <v>0.2016</v>
      </c>
      <c r="D9">
        <f t="shared" ca="1" si="0"/>
        <v>0.2016</v>
      </c>
      <c r="E9">
        <f t="shared" ca="1" si="0"/>
        <v>0.2016</v>
      </c>
      <c r="F9" s="32" cm="1">
        <f t="array" aca="1" ref="F9" ca="1">INDIRECT(CONCATENATE("'",HLOOKUP(F$1,$B$21:$E$23,3,FALSE),"'!",$B$25,ROW($A9)+5))*About!$A$27</f>
        <v>0.2016</v>
      </c>
      <c r="G9">
        <f t="shared" ca="1" si="4"/>
        <v>0.2016</v>
      </c>
      <c r="H9">
        <f t="shared" ca="1" si="1"/>
        <v>0.2016</v>
      </c>
      <c r="I9">
        <f t="shared" ca="1" si="1"/>
        <v>0.2016</v>
      </c>
      <c r="J9">
        <f t="shared" ca="1" si="1"/>
        <v>0.2016</v>
      </c>
      <c r="K9" s="32" cm="1">
        <f t="array" aca="1" ref="K9" ca="1">INDIRECT(CONCATENATE("'",HLOOKUP(K$1,$B$21:$E$23,3,FALSE),"'!",$B$25,ROW($A9)+5))*About!$A$27</f>
        <v>0.2016</v>
      </c>
      <c r="L9">
        <f t="shared" ca="1" si="5"/>
        <v>0.20448</v>
      </c>
      <c r="M9">
        <f t="shared" ca="1" si="2"/>
        <v>0.20735999999999999</v>
      </c>
      <c r="N9">
        <f t="shared" ca="1" si="2"/>
        <v>0.21024000000000001</v>
      </c>
      <c r="O9">
        <f t="shared" ca="1" si="2"/>
        <v>0.21312</v>
      </c>
      <c r="P9" s="32" cm="1">
        <f t="array" aca="1" ref="P9" ca="1">INDIRECT(CONCATENATE("'",HLOOKUP(P$1,$B$21:$E$23,3,FALSE),"'!",$B$25,ROW($A9)+5))*About!$A$27</f>
        <v>0.216</v>
      </c>
      <c r="Q9" cm="1">
        <f t="array" aca="1" ref="Q9" ca="1">TREND($K9:$P9,$K$1:$P$1,Q$1)</f>
        <v>0.21888000000000041</v>
      </c>
      <c r="R9" cm="1">
        <f t="array" aca="1" ref="R9" ca="1">TREND($K9:$P9,$K$1:$P$1,R$1)</f>
        <v>0.22176000000000062</v>
      </c>
      <c r="S9" cm="1">
        <f t="array" aca="1" ref="S9" ca="1">TREND($K9:$P9,$K$1:$P$1,S$1)</f>
        <v>0.22464000000000084</v>
      </c>
      <c r="T9" cm="1">
        <f t="array" aca="1" ref="T9" ca="1">TREND($K9:$P9,$K$1:$P$1,T$1)</f>
        <v>0.22752000000000017</v>
      </c>
      <c r="U9" cm="1">
        <f t="array" aca="1" ref="U9" ca="1">TREND($K9:$P9,$K$1:$P$1,U$1)</f>
        <v>0.23040000000000038</v>
      </c>
      <c r="V9" cm="1">
        <f t="array" aca="1" ref="V9" ca="1">TREND($K9:$P9,$K$1:$P$1,V$1)</f>
        <v>0.2332800000000006</v>
      </c>
      <c r="W9" cm="1">
        <f t="array" aca="1" ref="W9" ca="1">TREND($K9:$P9,$K$1:$P$1,W$1)</f>
        <v>0.23616000000000081</v>
      </c>
      <c r="X9" cm="1">
        <f t="array" aca="1" ref="X9" ca="1">TREND($K9:$P9,$K$1:$P$1,X$1)</f>
        <v>0.23904000000000014</v>
      </c>
      <c r="Y9" cm="1">
        <f t="array" aca="1" ref="Y9" ca="1">TREND($K9:$P9,$K$1:$P$1,Y$1)</f>
        <v>0.24192000000000036</v>
      </c>
      <c r="Z9" cm="1">
        <f t="array" aca="1" ref="Z9" ca="1">TREND($K9:$P9,$K$1:$P$1,Z$1)</f>
        <v>0.24480000000000057</v>
      </c>
      <c r="AA9" cm="1">
        <f t="array" aca="1" ref="AA9" ca="1">TREND($K9:$P9,$K$1:$P$1,AA$1)</f>
        <v>0.24768000000000079</v>
      </c>
      <c r="AB9" cm="1">
        <f t="array" aca="1" ref="AB9" ca="1">TREND($K9:$P9,$K$1:$P$1,AB$1)</f>
        <v>0.25056000000000012</v>
      </c>
      <c r="AC9" cm="1">
        <f t="array" aca="1" ref="AC9" ca="1">TREND($K9:$P9,$K$1:$P$1,AC$1)</f>
        <v>0.25344000000000033</v>
      </c>
      <c r="AD9" cm="1">
        <f t="array" aca="1" ref="AD9" ca="1">TREND($K9:$P9,$K$1:$P$1,AD$1)</f>
        <v>0.25632000000000055</v>
      </c>
      <c r="AE9" cm="1">
        <f t="array" aca="1" ref="AE9" ca="1">TREND($K9:$P9,$K$1:$P$1,AE$1)</f>
        <v>0.25920000000000076</v>
      </c>
      <c r="AF9" cm="1">
        <f t="array" aca="1" ref="AF9" ca="1">TREND($K9:$P9,$K$1:$P$1,AF$1)</f>
        <v>0.26208000000000009</v>
      </c>
      <c r="AG9" cm="1">
        <f t="array" aca="1" ref="AG9" ca="1">TREND($K9:$P9,$K$1:$P$1,AG$1)</f>
        <v>0.26496000000000031</v>
      </c>
      <c r="AH9" cm="1">
        <f t="array" aca="1" ref="AH9" ca="1">TREND($K9:$P9,$K$1:$P$1,AH$1)</f>
        <v>0.26784000000000052</v>
      </c>
      <c r="AI9" cm="1">
        <f t="array" aca="1" ref="AI9" ca="1">TREND($K9:$P9,$K$1:$P$1,AI$1)</f>
        <v>0.27072000000000074</v>
      </c>
      <c r="AJ9" cm="1">
        <f t="array" aca="1" ref="AJ9" ca="1">TREND($K9:$P9,$K$1:$P$1,AJ$1)</f>
        <v>0.27360000000000095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1.7279999999999997E-3</v>
      </c>
      <c r="C10">
        <f t="shared" ca="1" si="3"/>
        <v>1.7639999999999997E-3</v>
      </c>
      <c r="D10">
        <f t="shared" ca="1" si="0"/>
        <v>1.7999999999999997E-3</v>
      </c>
      <c r="E10">
        <f t="shared" ca="1" si="0"/>
        <v>1.8359999999999997E-3</v>
      </c>
      <c r="F10" s="32" cm="1">
        <f t="array" aca="1" ref="F10" ca="1">INDIRECT(CONCATENATE("'",HLOOKUP(F$1,$B$21:$E$23,3,FALSE),"'!",$B$25,ROW($A10)+5))*About!$A$27</f>
        <v>1.8719999999999997E-3</v>
      </c>
      <c r="G10">
        <f t="shared" ca="1" si="4"/>
        <v>1.9007999999999998E-3</v>
      </c>
      <c r="H10">
        <f t="shared" ca="1" si="1"/>
        <v>1.9295999999999998E-3</v>
      </c>
      <c r="I10">
        <f t="shared" ca="1" si="1"/>
        <v>1.9583999999999999E-3</v>
      </c>
      <c r="J10">
        <f t="shared" ca="1" si="1"/>
        <v>1.9871999999999997E-3</v>
      </c>
      <c r="K10" s="32" cm="1">
        <f t="array" aca="1" ref="K10" ca="1">INDIRECT(CONCATENATE("'",HLOOKUP(K$1,$B$21:$E$23,3,FALSE),"'!",$B$25,ROW($A10)+5))*About!$A$27</f>
        <v>2.016E-3</v>
      </c>
      <c r="L10">
        <f t="shared" ca="1" si="5"/>
        <v>2.0447999999999998E-3</v>
      </c>
      <c r="M10">
        <f t="shared" ca="1" si="2"/>
        <v>2.0736000000000001E-3</v>
      </c>
      <c r="N10">
        <f t="shared" ca="1" si="2"/>
        <v>2.1023999999999999E-3</v>
      </c>
      <c r="O10">
        <f t="shared" ca="1" si="2"/>
        <v>2.1312000000000002E-3</v>
      </c>
      <c r="P10" s="32" cm="1">
        <f t="array" aca="1" ref="P10" ca="1">INDIRECT(CONCATENATE("'",HLOOKUP(P$1,$B$21:$E$23,3,FALSE),"'!",$B$25,ROW($A10)+5))*About!$A$27</f>
        <v>2.16E-3</v>
      </c>
      <c r="Q10" cm="1">
        <f t="array" aca="1" ref="Q10" ca="1">TREND($K10:$P10,$K$1:$P$1,Q$1)</f>
        <v>2.1887999999999977E-3</v>
      </c>
      <c r="R10" cm="1">
        <f t="array" aca="1" ref="R10" ca="1">TREND($K10:$P10,$K$1:$P$1,R$1)</f>
        <v>2.2176000000000001E-3</v>
      </c>
      <c r="S10" cm="1">
        <f t="array" aca="1" ref="S10" ca="1">TREND($K10:$P10,$K$1:$P$1,S$1)</f>
        <v>2.2463999999999956E-3</v>
      </c>
      <c r="T10" cm="1">
        <f t="array" aca="1" ref="T10" ca="1">TREND($K10:$P10,$K$1:$P$1,T$1)</f>
        <v>2.2751999999999981E-3</v>
      </c>
      <c r="U10" cm="1">
        <f t="array" aca="1" ref="U10" ca="1">TREND($K10:$P10,$K$1:$P$1,U$1)</f>
        <v>2.3039999999999936E-3</v>
      </c>
      <c r="V10" cm="1">
        <f t="array" aca="1" ref="V10" ca="1">TREND($K10:$P10,$K$1:$P$1,V$1)</f>
        <v>2.332799999999996E-3</v>
      </c>
      <c r="W10" cm="1">
        <f t="array" aca="1" ref="W10" ca="1">TREND($K10:$P10,$K$1:$P$1,W$1)</f>
        <v>2.3615999999999984E-3</v>
      </c>
      <c r="X10" cm="1">
        <f t="array" aca="1" ref="X10" ca="1">TREND($K10:$P10,$K$1:$P$1,X$1)</f>
        <v>2.3903999999999939E-3</v>
      </c>
      <c r="Y10" cm="1">
        <f t="array" aca="1" ref="Y10" ca="1">TREND($K10:$P10,$K$1:$P$1,Y$1)</f>
        <v>2.4191999999999964E-3</v>
      </c>
      <c r="Z10" cm="1">
        <f t="array" aca="1" ref="Z10" ca="1">TREND($K10:$P10,$K$1:$P$1,Z$1)</f>
        <v>2.4479999999999988E-3</v>
      </c>
      <c r="AA10" cm="1">
        <f t="array" aca="1" ref="AA10" ca="1">TREND($K10:$P10,$K$1:$P$1,AA$1)</f>
        <v>2.4767999999999943E-3</v>
      </c>
      <c r="AB10" cm="1">
        <f t="array" aca="1" ref="AB10" ca="1">TREND($K10:$P10,$K$1:$P$1,AB$1)</f>
        <v>2.5055999999999967E-3</v>
      </c>
      <c r="AC10" cm="1">
        <f t="array" aca="1" ref="AC10" ca="1">TREND($K10:$P10,$K$1:$P$1,AC$1)</f>
        <v>2.5343999999999992E-3</v>
      </c>
      <c r="AD10" cm="1">
        <f t="array" aca="1" ref="AD10" ca="1">TREND($K10:$P10,$K$1:$P$1,AD$1)</f>
        <v>2.5631999999999946E-3</v>
      </c>
      <c r="AE10" cm="1">
        <f t="array" aca="1" ref="AE10" ca="1">TREND($K10:$P10,$K$1:$P$1,AE$1)</f>
        <v>2.5919999999999971E-3</v>
      </c>
      <c r="AF10" cm="1">
        <f t="array" aca="1" ref="AF10" ca="1">TREND($K10:$P10,$K$1:$P$1,AF$1)</f>
        <v>2.6207999999999995E-3</v>
      </c>
      <c r="AG10" cm="1">
        <f t="array" aca="1" ref="AG10" ca="1">TREND($K10:$P10,$K$1:$P$1,AG$1)</f>
        <v>2.649599999999995E-3</v>
      </c>
      <c r="AH10" cm="1">
        <f t="array" aca="1" ref="AH10" ca="1">TREND($K10:$P10,$K$1:$P$1,AH$1)</f>
        <v>2.6783999999999974E-3</v>
      </c>
      <c r="AI10" cm="1">
        <f t="array" aca="1" ref="AI10" ca="1">TREND($K10:$P10,$K$1:$P$1,AI$1)</f>
        <v>2.7071999999999999E-3</v>
      </c>
      <c r="AJ10" cm="1">
        <f t="array" aca="1" ref="AJ10" ca="1">TREND($K10:$P10,$K$1:$P$1,AJ$1)</f>
        <v>2.7359999999999954E-3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1.5840000000000001E-3</v>
      </c>
      <c r="C11">
        <f t="shared" ca="1" si="3"/>
        <v>1.6199999999999999E-3</v>
      </c>
      <c r="D11">
        <f t="shared" ca="1" si="0"/>
        <v>1.6559999999999999E-3</v>
      </c>
      <c r="E11">
        <f t="shared" ca="1" si="0"/>
        <v>1.6919999999999999E-3</v>
      </c>
      <c r="F11" s="32" cm="1">
        <f t="array" aca="1" ref="F11" ca="1">INDIRECT(CONCATENATE("'",HLOOKUP(F$1,$B$21:$E$23,3,FALSE),"'!",$B$25,ROW($A11)+5))*About!$A$27</f>
        <v>1.7279999999999997E-3</v>
      </c>
      <c r="G11">
        <f t="shared" ca="1" si="4"/>
        <v>1.7855999999999998E-3</v>
      </c>
      <c r="H11">
        <f t="shared" ca="1" si="1"/>
        <v>1.8431999999999999E-3</v>
      </c>
      <c r="I11">
        <f t="shared" ca="1" si="1"/>
        <v>1.9007999999999998E-3</v>
      </c>
      <c r="J11">
        <f t="shared" ca="1" si="1"/>
        <v>1.9583999999999999E-3</v>
      </c>
      <c r="K11" s="32" cm="1">
        <f t="array" aca="1" ref="K11" ca="1">INDIRECT(CONCATENATE("'",HLOOKUP(K$1,$B$21:$E$23,3,FALSE),"'!",$B$25,ROW($A11)+5))*About!$A$27</f>
        <v>2.016E-3</v>
      </c>
      <c r="L11">
        <f t="shared" ca="1" si="5"/>
        <v>2.0447999999999998E-3</v>
      </c>
      <c r="M11">
        <f t="shared" ca="1" si="2"/>
        <v>2.0736000000000001E-3</v>
      </c>
      <c r="N11">
        <f t="shared" ca="1" si="2"/>
        <v>2.1023999999999999E-3</v>
      </c>
      <c r="O11">
        <f t="shared" ca="1" si="2"/>
        <v>2.1312000000000002E-3</v>
      </c>
      <c r="P11" s="32" cm="1">
        <f t="array" aca="1" ref="P11" ca="1">INDIRECT(CONCATENATE("'",HLOOKUP(P$1,$B$21:$E$23,3,FALSE),"'!",$B$25,ROW($A11)+5))*About!$A$27</f>
        <v>2.16E-3</v>
      </c>
      <c r="Q11" cm="1">
        <f t="array" aca="1" ref="Q11" ca="1">TREND($K11:$P11,$K$1:$P$1,Q$1)</f>
        <v>2.1887999999999977E-3</v>
      </c>
      <c r="R11" cm="1">
        <f t="array" aca="1" ref="R11" ca="1">TREND($K11:$P11,$K$1:$P$1,R$1)</f>
        <v>2.2176000000000001E-3</v>
      </c>
      <c r="S11" cm="1">
        <f t="array" aca="1" ref="S11" ca="1">TREND($K11:$P11,$K$1:$P$1,S$1)</f>
        <v>2.2463999999999956E-3</v>
      </c>
      <c r="T11" cm="1">
        <f t="array" aca="1" ref="T11" ca="1">TREND($K11:$P11,$K$1:$P$1,T$1)</f>
        <v>2.2751999999999981E-3</v>
      </c>
      <c r="U11" cm="1">
        <f t="array" aca="1" ref="U11" ca="1">TREND($K11:$P11,$K$1:$P$1,U$1)</f>
        <v>2.3039999999999936E-3</v>
      </c>
      <c r="V11" cm="1">
        <f t="array" aca="1" ref="V11" ca="1">TREND($K11:$P11,$K$1:$P$1,V$1)</f>
        <v>2.332799999999996E-3</v>
      </c>
      <c r="W11" cm="1">
        <f t="array" aca="1" ref="W11" ca="1">TREND($K11:$P11,$K$1:$P$1,W$1)</f>
        <v>2.3615999999999984E-3</v>
      </c>
      <c r="X11" cm="1">
        <f t="array" aca="1" ref="X11" ca="1">TREND($K11:$P11,$K$1:$P$1,X$1)</f>
        <v>2.3903999999999939E-3</v>
      </c>
      <c r="Y11" cm="1">
        <f t="array" aca="1" ref="Y11" ca="1">TREND($K11:$P11,$K$1:$P$1,Y$1)</f>
        <v>2.4191999999999964E-3</v>
      </c>
      <c r="Z11" cm="1">
        <f t="array" aca="1" ref="Z11" ca="1">TREND($K11:$P11,$K$1:$P$1,Z$1)</f>
        <v>2.4479999999999988E-3</v>
      </c>
      <c r="AA11" cm="1">
        <f t="array" aca="1" ref="AA11" ca="1">TREND($K11:$P11,$K$1:$P$1,AA$1)</f>
        <v>2.4767999999999943E-3</v>
      </c>
      <c r="AB11" cm="1">
        <f t="array" aca="1" ref="AB11" ca="1">TREND($K11:$P11,$K$1:$P$1,AB$1)</f>
        <v>2.5055999999999967E-3</v>
      </c>
      <c r="AC11" cm="1">
        <f t="array" aca="1" ref="AC11" ca="1">TREND($K11:$P11,$K$1:$P$1,AC$1)</f>
        <v>2.5343999999999992E-3</v>
      </c>
      <c r="AD11" cm="1">
        <f t="array" aca="1" ref="AD11" ca="1">TREND($K11:$P11,$K$1:$P$1,AD$1)</f>
        <v>2.5631999999999946E-3</v>
      </c>
      <c r="AE11" cm="1">
        <f t="array" aca="1" ref="AE11" ca="1">TREND($K11:$P11,$K$1:$P$1,AE$1)</f>
        <v>2.5919999999999971E-3</v>
      </c>
      <c r="AF11" cm="1">
        <f t="array" aca="1" ref="AF11" ca="1">TREND($K11:$P11,$K$1:$P$1,AF$1)</f>
        <v>2.6207999999999995E-3</v>
      </c>
      <c r="AG11" cm="1">
        <f t="array" aca="1" ref="AG11" ca="1">TREND($K11:$P11,$K$1:$P$1,AG$1)</f>
        <v>2.649599999999995E-3</v>
      </c>
      <c r="AH11" cm="1">
        <f t="array" aca="1" ref="AH11" ca="1">TREND($K11:$P11,$K$1:$P$1,AH$1)</f>
        <v>2.6783999999999974E-3</v>
      </c>
      <c r="AI11" cm="1">
        <f t="array" aca="1" ref="AI11" ca="1">TREND($K11:$P11,$K$1:$P$1,AI$1)</f>
        <v>2.7071999999999999E-3</v>
      </c>
      <c r="AJ11" cm="1">
        <f t="array" aca="1" ref="AJ11" ca="1">TREND($K11:$P11,$K$1:$P$1,AJ$1)</f>
        <v>2.7359999999999954E-3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7.5024000000000002E-3</v>
      </c>
      <c r="C12">
        <f t="shared" ca="1" si="3"/>
        <v>7.6608000000000006E-3</v>
      </c>
      <c r="D12">
        <f t="shared" ca="1" si="0"/>
        <v>7.8192000000000001E-3</v>
      </c>
      <c r="E12">
        <f t="shared" ca="1" si="0"/>
        <v>7.9776000000000014E-3</v>
      </c>
      <c r="F12" s="33">
        <f ca="1">SUM(INDIRECT(CONCATENATE("'",HLOOKUP(F$1,$B$21:$E$23,3,FALSE),"'!",$B$25,ROW($A12)+5,":",$B$25,ROW($A12)+6)))*About!$A$27</f>
        <v>8.1360000000000009E-3</v>
      </c>
      <c r="G12">
        <f t="shared" ca="1" si="4"/>
        <v>8.2655999999999997E-3</v>
      </c>
      <c r="H12">
        <f t="shared" ca="1" si="1"/>
        <v>8.3952000000000002E-3</v>
      </c>
      <c r="I12">
        <f t="shared" ca="1" si="1"/>
        <v>8.524799999999999E-3</v>
      </c>
      <c r="J12">
        <f t="shared" ca="1" si="1"/>
        <v>8.6543999999999996E-3</v>
      </c>
      <c r="K12" s="33">
        <f ca="1">SUM(INDIRECT(CONCATENATE("'",HLOOKUP(K$1,$B$21:$E$23,3,FALSE),"'!",$B$25,ROW($A12)+5,":",$B$25,ROW($A12)+6)))*About!$A$27</f>
        <v>8.7839999999999984E-3</v>
      </c>
      <c r="L12">
        <f t="shared" ca="1" si="5"/>
        <v>8.9423999999999979E-3</v>
      </c>
      <c r="M12">
        <f t="shared" ca="1" si="2"/>
        <v>9.1007999999999992E-3</v>
      </c>
      <c r="N12">
        <f t="shared" ca="1" si="2"/>
        <v>9.2591999999999987E-3</v>
      </c>
      <c r="O12">
        <f t="shared" ca="1" si="2"/>
        <v>9.4175999999999999E-3</v>
      </c>
      <c r="P12" s="33">
        <f ca="1">SUM(INDIRECT(CONCATENATE("'",HLOOKUP(P$1,$B$21:$E$23,3,FALSE),"'!",$B$25,ROW($A12)+5,":",$B$25,ROW($A12)+6)))*About!$A$27</f>
        <v>9.5759999999999994E-3</v>
      </c>
      <c r="Q12" cm="1">
        <f t="array" aca="1" ref="Q12" ca="1">TREND($K12:$P12,$K$1:$P$1,Q$1)</f>
        <v>9.7344000000000319E-3</v>
      </c>
      <c r="R12" cm="1">
        <f t="array" aca="1" ref="R12" ca="1">TREND($K12:$P12,$K$1:$P$1,R$1)</f>
        <v>9.8928000000000349E-3</v>
      </c>
      <c r="S12" cm="1">
        <f t="array" aca="1" ref="S12" ca="1">TREND($K12:$P12,$K$1:$P$1,S$1)</f>
        <v>1.0051200000000038E-2</v>
      </c>
      <c r="T12" cm="1">
        <f t="array" aca="1" ref="T12" ca="1">TREND($K12:$P12,$K$1:$P$1,T$1)</f>
        <v>1.0209600000000041E-2</v>
      </c>
      <c r="U12" cm="1">
        <f t="array" aca="1" ref="U12" ca="1">TREND($K12:$P12,$K$1:$P$1,U$1)</f>
        <v>1.0368000000000044E-2</v>
      </c>
      <c r="V12" cm="1">
        <f t="array" aca="1" ref="V12" ca="1">TREND($K12:$P12,$K$1:$P$1,V$1)</f>
        <v>1.0526400000000047E-2</v>
      </c>
      <c r="W12" cm="1">
        <f t="array" aca="1" ref="W12" ca="1">TREND($K12:$P12,$K$1:$P$1,W$1)</f>
        <v>1.068480000000005E-2</v>
      </c>
      <c r="X12" cm="1">
        <f t="array" aca="1" ref="X12" ca="1">TREND($K12:$P12,$K$1:$P$1,X$1)</f>
        <v>1.0843199999999997E-2</v>
      </c>
      <c r="Y12" cm="1">
        <f t="array" aca="1" ref="Y12" ca="1">TREND($K12:$P12,$K$1:$P$1,Y$1)</f>
        <v>1.10016E-2</v>
      </c>
      <c r="Z12" cm="1">
        <f t="array" aca="1" ref="Z12" ca="1">TREND($K12:$P12,$K$1:$P$1,Z$1)</f>
        <v>1.1160000000000003E-2</v>
      </c>
      <c r="AA12" cm="1">
        <f t="array" aca="1" ref="AA12" ca="1">TREND($K12:$P12,$K$1:$P$1,AA$1)</f>
        <v>1.1318400000000006E-2</v>
      </c>
      <c r="AB12" cm="1">
        <f t="array" aca="1" ref="AB12" ca="1">TREND($K12:$P12,$K$1:$P$1,AB$1)</f>
        <v>1.1476800000000009E-2</v>
      </c>
      <c r="AC12" cm="1">
        <f t="array" aca="1" ref="AC12" ca="1">TREND($K12:$P12,$K$1:$P$1,AC$1)</f>
        <v>1.1635200000000012E-2</v>
      </c>
      <c r="AD12" cm="1">
        <f t="array" aca="1" ref="AD12" ca="1">TREND($K12:$P12,$K$1:$P$1,AD$1)</f>
        <v>1.1793600000000015E-2</v>
      </c>
      <c r="AE12" cm="1">
        <f t="array" aca="1" ref="AE12" ca="1">TREND($K12:$P12,$K$1:$P$1,AE$1)</f>
        <v>1.1952000000000018E-2</v>
      </c>
      <c r="AF12" cm="1">
        <f t="array" aca="1" ref="AF12" ca="1">TREND($K12:$P12,$K$1:$P$1,AF$1)</f>
        <v>1.2110400000000021E-2</v>
      </c>
      <c r="AG12" cm="1">
        <f t="array" aca="1" ref="AG12" ca="1">TREND($K12:$P12,$K$1:$P$1,AG$1)</f>
        <v>1.2268800000000024E-2</v>
      </c>
      <c r="AH12" cm="1">
        <f t="array" aca="1" ref="AH12" ca="1">TREND($K12:$P12,$K$1:$P$1,AH$1)</f>
        <v>1.2427200000000027E-2</v>
      </c>
      <c r="AI12" cm="1">
        <f t="array" aca="1" ref="AI12" ca="1">TREND($K12:$P12,$K$1:$P$1,AI$1)</f>
        <v>1.258560000000003E-2</v>
      </c>
      <c r="AJ12" cm="1">
        <f t="array" aca="1" ref="AJ12" ca="1">TREND($K12:$P12,$K$1:$P$1,AJ$1)</f>
        <v>1.2744000000000033E-2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HOIpTP-industry-SO2</v>
      </c>
    </row>
    <row r="18" spans="1:5" x14ac:dyDescent="0.25">
      <c r="A18" t="s">
        <v>83</v>
      </c>
      <c r="B18" t="str">
        <f ca="1">RIGHT(B17,LEN(B17)-7)</f>
        <v>industry-SO2</v>
      </c>
    </row>
    <row r="19" spans="1:5" x14ac:dyDescent="0.25">
      <c r="A19" t="s">
        <v>84</v>
      </c>
      <c r="B19" t="str">
        <f ca="1">LEFT(B18,FIND("-",B18)-1)</f>
        <v>industry</v>
      </c>
    </row>
    <row r="20" spans="1:5" x14ac:dyDescent="0.25">
      <c r="A20" t="s">
        <v>85</v>
      </c>
      <c r="B20" t="str">
        <f ca="1">VLOOKUP($B$19,Mappings!$A$22:$B$26,COLUMN(Mappings!$B$21),FALSE)</f>
        <v>industrial point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5">
      <c r="A23" s="28" t="s">
        <v>82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5">
      <c r="A24" t="s">
        <v>87</v>
      </c>
      <c r="B24" t="str">
        <f ca="1">REPLACE(B18,1,FIND("-",B18),"")</f>
        <v>SO2</v>
      </c>
    </row>
    <row r="25" spans="1:5" x14ac:dyDescent="0.25">
      <c r="A25" t="s">
        <v>88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2EC1-04D2-4053-8674-0DBD4D41DFB5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1.2815999999999999E-3</v>
      </c>
      <c r="C2">
        <f ca="1">$B2+($F2-$B2)*(C$1-$B$1)/($F$1-$B$1)</f>
        <v>1.2924E-3</v>
      </c>
      <c r="D2">
        <f t="shared" ref="D2:E12" ca="1" si="0">$B2+($F2-$B2)*(D$1-$B$1)/($F$1-$B$1)</f>
        <v>1.3032E-3</v>
      </c>
      <c r="E2">
        <f t="shared" ca="1" si="0"/>
        <v>1.3139999999999998E-3</v>
      </c>
      <c r="F2" s="31" cm="1">
        <f t="array" aca="1" ref="F2" ca="1">INDIRECT(CONCATENATE("'",HLOOKUP(F$1,$B$21:$E$23,3,FALSE),"'!",$B$25,ROW($A2)+3))*About!$A$27</f>
        <v>1.3247999999999999E-3</v>
      </c>
      <c r="G2">
        <f ca="1">$F2+($K2-$F2)*(G$1-$F$1)/($K$1-$F$1)</f>
        <v>1.3420799999999998E-3</v>
      </c>
      <c r="H2">
        <f t="shared" ref="H2:J12" ca="1" si="1">$F2+($K2-$F2)*(H$1-$F$1)/($K$1-$F$1)</f>
        <v>1.3593599999999998E-3</v>
      </c>
      <c r="I2">
        <f t="shared" ca="1" si="1"/>
        <v>1.3766399999999999E-3</v>
      </c>
      <c r="J2">
        <f t="shared" ca="1" si="1"/>
        <v>1.3939199999999999E-3</v>
      </c>
      <c r="K2" s="31" cm="1">
        <f t="array" aca="1" ref="K2" ca="1">INDIRECT(CONCATENATE("'",HLOOKUP(K$1,$B$21:$E$23,3,FALSE),"'!",$B$25,ROW($A2)+3))*About!$A$27</f>
        <v>1.4111999999999998E-3</v>
      </c>
      <c r="L2">
        <f ca="1">$K2+($P2-$K2)*(L$1-$K$1)/($P$1-$K$1)</f>
        <v>1.4169599999999999E-3</v>
      </c>
      <c r="M2">
        <f t="shared" ref="M2:O12" ca="1" si="2">$K2+($P2-$K2)*(M$1-$K$1)/($P$1-$K$1)</f>
        <v>1.4227199999999999E-3</v>
      </c>
      <c r="N2">
        <f t="shared" ca="1" si="2"/>
        <v>1.4284799999999998E-3</v>
      </c>
      <c r="O2">
        <f t="shared" ca="1" si="2"/>
        <v>1.4342399999999998E-3</v>
      </c>
      <c r="P2" s="31" cm="1">
        <f t="array" aca="1" ref="P2" ca="1">INDIRECT(CONCATENATE("'",HLOOKUP(P$1,$B$21:$E$23,3,FALSE),"'!",$B$25,ROW($A2)+3))*About!$A$27</f>
        <v>1.4399999999999999E-3</v>
      </c>
      <c r="Q2" cm="1">
        <f t="array" aca="1" ref="Q2" ca="1">TREND($K2:$P2,$K$1:$P$1,Q$1)</f>
        <v>1.4457600000000008E-3</v>
      </c>
      <c r="R2" cm="1">
        <f t="array" aca="1" ref="R2" ca="1">TREND($K2:$P2,$K$1:$P$1,R$1)</f>
        <v>1.4515200000000013E-3</v>
      </c>
      <c r="S2" cm="1">
        <f t="array" aca="1" ref="S2" ca="1">TREND($K2:$P2,$K$1:$P$1,S$1)</f>
        <v>1.45728E-3</v>
      </c>
      <c r="T2" cm="1">
        <f t="array" aca="1" ref="T2" ca="1">TREND($K2:$P2,$K$1:$P$1,T$1)</f>
        <v>1.4630400000000005E-3</v>
      </c>
      <c r="U2" cm="1">
        <f t="array" aca="1" ref="U2" ca="1">TREND($K2:$P2,$K$1:$P$1,U$1)</f>
        <v>1.468800000000001E-3</v>
      </c>
      <c r="V2" cm="1">
        <f t="array" aca="1" ref="V2" ca="1">TREND($K2:$P2,$K$1:$P$1,V$1)</f>
        <v>1.4745599999999998E-3</v>
      </c>
      <c r="W2" cm="1">
        <f t="array" aca="1" ref="W2" ca="1">TREND($K2:$P2,$K$1:$P$1,W$1)</f>
        <v>1.4803200000000002E-3</v>
      </c>
      <c r="X2" cm="1">
        <f t="array" aca="1" ref="X2" ca="1">TREND($K2:$P2,$K$1:$P$1,X$1)</f>
        <v>1.4860800000000007E-3</v>
      </c>
      <c r="Y2" cm="1">
        <f t="array" aca="1" ref="Y2" ca="1">TREND($K2:$P2,$K$1:$P$1,Y$1)</f>
        <v>1.4918400000000012E-3</v>
      </c>
      <c r="Z2" cm="1">
        <f t="array" aca="1" ref="Z2" ca="1">TREND($K2:$P2,$K$1:$P$1,Z$1)</f>
        <v>1.4976E-3</v>
      </c>
      <c r="AA2" cm="1">
        <f t="array" aca="1" ref="AA2" ca="1">TREND($K2:$P2,$K$1:$P$1,AA$1)</f>
        <v>1.5033600000000005E-3</v>
      </c>
      <c r="AB2" cm="1">
        <f t="array" aca="1" ref="AB2" ca="1">TREND($K2:$P2,$K$1:$P$1,AB$1)</f>
        <v>1.5091200000000009E-3</v>
      </c>
      <c r="AC2" cm="1">
        <f t="array" aca="1" ref="AC2" ca="1">TREND($K2:$P2,$K$1:$P$1,AC$1)</f>
        <v>1.5148799999999997E-3</v>
      </c>
      <c r="AD2" cm="1">
        <f t="array" aca="1" ref="AD2" ca="1">TREND($K2:$P2,$K$1:$P$1,AD$1)</f>
        <v>1.5206400000000002E-3</v>
      </c>
      <c r="AE2" cm="1">
        <f t="array" aca="1" ref="AE2" ca="1">TREND($K2:$P2,$K$1:$P$1,AE$1)</f>
        <v>1.5264000000000007E-3</v>
      </c>
      <c r="AF2" cm="1">
        <f t="array" aca="1" ref="AF2" ca="1">TREND($K2:$P2,$K$1:$P$1,AF$1)</f>
        <v>1.5321600000000012E-3</v>
      </c>
      <c r="AG2" cm="1">
        <f t="array" aca="1" ref="AG2" ca="1">TREND($K2:$P2,$K$1:$P$1,AG$1)</f>
        <v>1.5379199999999999E-3</v>
      </c>
      <c r="AH2" cm="1">
        <f t="array" aca="1" ref="AH2" ca="1">TREND($K2:$P2,$K$1:$P$1,AH$1)</f>
        <v>1.5436800000000004E-3</v>
      </c>
      <c r="AI2" cm="1">
        <f t="array" aca="1" ref="AI2" ca="1">TREND($K2:$P2,$K$1:$P$1,AI$1)</f>
        <v>1.5494400000000009E-3</v>
      </c>
      <c r="AJ2" cm="1">
        <f t="array" aca="1" ref="AJ2" ca="1">TREND($K2:$P2,$K$1:$P$1,AJ$1)</f>
        <v>1.5551999999999996E-3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7.0559999999999991E-4</v>
      </c>
      <c r="C3">
        <f t="shared" ref="C3:C12" ca="1" si="3">$B3+($F3-$B3)*(C$1-$B$1)/($F$1-$B$1)</f>
        <v>7.0919999999999989E-4</v>
      </c>
      <c r="D3">
        <f t="shared" ca="1" si="0"/>
        <v>7.1279999999999998E-4</v>
      </c>
      <c r="E3">
        <f t="shared" ca="1" si="0"/>
        <v>7.1639999999999996E-4</v>
      </c>
      <c r="F3" s="32" cm="1">
        <f t="array" aca="1" ref="F3" ca="1">INDIRECT(CONCATENATE("'",HLOOKUP(F$1,$B$21:$E$23,3,FALSE),"'!",$B$25,ROW($A3)+5))*About!$A$27</f>
        <v>7.1999999999999994E-4</v>
      </c>
      <c r="G3">
        <f t="shared" ref="G3:G12" ca="1" si="4">$F3+($K3-$F3)*(G$1-$F$1)/($K$1-$F$1)</f>
        <v>7.2575999999999988E-4</v>
      </c>
      <c r="H3">
        <f t="shared" ca="1" si="1"/>
        <v>7.3151999999999994E-4</v>
      </c>
      <c r="I3">
        <f t="shared" ca="1" si="1"/>
        <v>7.3727999999999988E-4</v>
      </c>
      <c r="J3">
        <f t="shared" ca="1" si="1"/>
        <v>7.4303999999999993E-4</v>
      </c>
      <c r="K3" s="32" cm="1">
        <f t="array" aca="1" ref="K3" ca="1">INDIRECT(CONCATENATE("'",HLOOKUP(K$1,$B$21:$E$23,3,FALSE),"'!",$B$25,ROW($A3)+5))*About!$A$27</f>
        <v>7.4879999999999988E-4</v>
      </c>
      <c r="L3">
        <f t="shared" ref="L3:L12" ca="1" si="5">$K3+($P3-$K3)*(L$1-$K$1)/($P$1-$K$1)</f>
        <v>7.516799999999999E-4</v>
      </c>
      <c r="M3">
        <f t="shared" ca="1" si="2"/>
        <v>7.5455999999999993E-4</v>
      </c>
      <c r="N3">
        <f t="shared" ca="1" si="2"/>
        <v>7.5743999999999985E-4</v>
      </c>
      <c r="O3">
        <f t="shared" ca="1" si="2"/>
        <v>7.6031999999999988E-4</v>
      </c>
      <c r="P3" s="32" cm="1">
        <f t="array" aca="1" ref="P3" ca="1">INDIRECT(CONCATENATE("'",HLOOKUP(P$1,$B$21:$E$23,3,FALSE),"'!",$B$25,ROW($A3)+5))*About!$A$27</f>
        <v>7.631999999999999E-4</v>
      </c>
      <c r="Q3" cm="1">
        <f t="array" aca="1" ref="Q3" ca="1">TREND($K3:$P3,$K$1:$P$1,Q$1)</f>
        <v>7.6607999999999971E-4</v>
      </c>
      <c r="R3" cm="1">
        <f t="array" aca="1" ref="R3" ca="1">TREND($K3:$P3,$K$1:$P$1,R$1)</f>
        <v>7.6895999999999909E-4</v>
      </c>
      <c r="S3" cm="1">
        <f t="array" aca="1" ref="S3" ca="1">TREND($K3:$P3,$K$1:$P$1,S$1)</f>
        <v>7.7183999999999933E-4</v>
      </c>
      <c r="T3" cm="1">
        <f t="array" aca="1" ref="T3" ca="1">TREND($K3:$P3,$K$1:$P$1,T$1)</f>
        <v>7.7471999999999958E-4</v>
      </c>
      <c r="U3" cm="1">
        <f t="array" aca="1" ref="U3" ca="1">TREND($K3:$P3,$K$1:$P$1,U$1)</f>
        <v>7.7759999999999982E-4</v>
      </c>
      <c r="V3" cm="1">
        <f t="array" aca="1" ref="V3" ca="1">TREND($K3:$P3,$K$1:$P$1,V$1)</f>
        <v>7.804799999999992E-4</v>
      </c>
      <c r="W3" cm="1">
        <f t="array" aca="1" ref="W3" ca="1">TREND($K3:$P3,$K$1:$P$1,W$1)</f>
        <v>7.8335999999999944E-4</v>
      </c>
      <c r="X3" cm="1">
        <f t="array" aca="1" ref="X3" ca="1">TREND($K3:$P3,$K$1:$P$1,X$1)</f>
        <v>7.8623999999999968E-4</v>
      </c>
      <c r="Y3" cm="1">
        <f t="array" aca="1" ref="Y3" ca="1">TREND($K3:$P3,$K$1:$P$1,Y$1)</f>
        <v>7.8911999999999993E-4</v>
      </c>
      <c r="Z3" cm="1">
        <f t="array" aca="1" ref="Z3" ca="1">TREND($K3:$P3,$K$1:$P$1,Z$1)</f>
        <v>7.919999999999993E-4</v>
      </c>
      <c r="AA3" cm="1">
        <f t="array" aca="1" ref="AA3" ca="1">TREND($K3:$P3,$K$1:$P$1,AA$1)</f>
        <v>7.9487999999999955E-4</v>
      </c>
      <c r="AB3" cm="1">
        <f t="array" aca="1" ref="AB3" ca="1">TREND($K3:$P3,$K$1:$P$1,AB$1)</f>
        <v>7.9775999999999979E-4</v>
      </c>
      <c r="AC3" cm="1">
        <f t="array" aca="1" ref="AC3" ca="1">TREND($K3:$P3,$K$1:$P$1,AC$1)</f>
        <v>8.0063999999999916E-4</v>
      </c>
      <c r="AD3" cm="1">
        <f t="array" aca="1" ref="AD3" ca="1">TREND($K3:$P3,$K$1:$P$1,AD$1)</f>
        <v>8.0351999999999941E-4</v>
      </c>
      <c r="AE3" cm="1">
        <f t="array" aca="1" ref="AE3" ca="1">TREND($K3:$P3,$K$1:$P$1,AE$1)</f>
        <v>8.0639999999999965E-4</v>
      </c>
      <c r="AF3" cm="1">
        <f t="array" aca="1" ref="AF3" ca="1">TREND($K3:$P3,$K$1:$P$1,AF$1)</f>
        <v>8.092799999999999E-4</v>
      </c>
      <c r="AG3" cm="1">
        <f t="array" aca="1" ref="AG3" ca="1">TREND($K3:$P3,$K$1:$P$1,AG$1)</f>
        <v>8.1215999999999927E-4</v>
      </c>
      <c r="AH3" cm="1">
        <f t="array" aca="1" ref="AH3" ca="1">TREND($K3:$P3,$K$1:$P$1,AH$1)</f>
        <v>8.1503999999999951E-4</v>
      </c>
      <c r="AI3" cm="1">
        <f t="array" aca="1" ref="AI3" ca="1">TREND($K3:$P3,$K$1:$P$1,AI$1)</f>
        <v>8.1791999999999976E-4</v>
      </c>
      <c r="AJ3" cm="1">
        <f t="array" aca="1" ref="AJ3" ca="1">TREND($K3:$P3,$K$1:$P$1,AJ$1)</f>
        <v>8.2079999999999913E-4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1.8719999999999997E-3</v>
      </c>
      <c r="C4">
        <f t="shared" ca="1" si="3"/>
        <v>1.8719999999999997E-3</v>
      </c>
      <c r="D4">
        <f t="shared" ca="1" si="0"/>
        <v>1.8719999999999997E-3</v>
      </c>
      <c r="E4">
        <f t="shared" ca="1" si="0"/>
        <v>1.8719999999999997E-3</v>
      </c>
      <c r="F4" s="32" cm="1">
        <f t="array" aca="1" ref="F4" ca="1">INDIRECT(CONCATENATE("'",HLOOKUP(F$1,$B$21:$E$23,3,FALSE),"'!",$B$25,ROW($A4)+5))*About!$A$27</f>
        <v>1.8719999999999997E-3</v>
      </c>
      <c r="G4">
        <f t="shared" ca="1" si="4"/>
        <v>1.8719999999999997E-3</v>
      </c>
      <c r="H4">
        <f t="shared" ca="1" si="1"/>
        <v>1.8719999999999997E-3</v>
      </c>
      <c r="I4">
        <f t="shared" ca="1" si="1"/>
        <v>1.8719999999999997E-3</v>
      </c>
      <c r="J4">
        <f t="shared" ca="1" si="1"/>
        <v>1.8719999999999997E-3</v>
      </c>
      <c r="K4" s="32" cm="1">
        <f t="array" aca="1" ref="K4" ca="1">INDIRECT(CONCATENATE("'",HLOOKUP(K$1,$B$21:$E$23,3,FALSE),"'!",$B$25,ROW($A4)+5))*About!$A$27</f>
        <v>1.8719999999999997E-3</v>
      </c>
      <c r="L4">
        <f t="shared" ca="1" si="5"/>
        <v>1.9007999999999998E-3</v>
      </c>
      <c r="M4">
        <f t="shared" ca="1" si="2"/>
        <v>1.9295999999999998E-3</v>
      </c>
      <c r="N4">
        <f t="shared" ca="1" si="2"/>
        <v>1.9583999999999999E-3</v>
      </c>
      <c r="O4">
        <f t="shared" ca="1" si="2"/>
        <v>1.9871999999999997E-3</v>
      </c>
      <c r="P4" s="32" cm="1">
        <f t="array" aca="1" ref="P4" ca="1">INDIRECT(CONCATENATE("'",HLOOKUP(P$1,$B$21:$E$23,3,FALSE),"'!",$B$25,ROW($A4)+5))*About!$A$27</f>
        <v>2.016E-3</v>
      </c>
      <c r="Q4" cm="1">
        <f t="array" aca="1" ref="Q4" ca="1">TREND($K4:$P4,$K$1:$P$1,Q$1)</f>
        <v>2.0447999999999994E-3</v>
      </c>
      <c r="R4" cm="1">
        <f t="array" aca="1" ref="R4" ca="1">TREND($K4:$P4,$K$1:$P$1,R$1)</f>
        <v>2.0736000000000018E-3</v>
      </c>
      <c r="S4" cm="1">
        <f t="array" aca="1" ref="S4" ca="1">TREND($K4:$P4,$K$1:$P$1,S$1)</f>
        <v>2.1023999999999973E-3</v>
      </c>
      <c r="T4" cm="1">
        <f t="array" aca="1" ref="T4" ca="1">TREND($K4:$P4,$K$1:$P$1,T$1)</f>
        <v>2.1311999999999998E-3</v>
      </c>
      <c r="U4" cm="1">
        <f t="array" aca="1" ref="U4" ca="1">TREND($K4:$P4,$K$1:$P$1,U$1)</f>
        <v>2.1600000000000022E-3</v>
      </c>
      <c r="V4" cm="1">
        <f t="array" aca="1" ref="V4" ca="1">TREND($K4:$P4,$K$1:$P$1,V$1)</f>
        <v>2.1887999999999977E-3</v>
      </c>
      <c r="W4" cm="1">
        <f t="array" aca="1" ref="W4" ca="1">TREND($K4:$P4,$K$1:$P$1,W$1)</f>
        <v>2.2176000000000001E-3</v>
      </c>
      <c r="X4" cm="1">
        <f t="array" aca="1" ref="X4" ca="1">TREND($K4:$P4,$K$1:$P$1,X$1)</f>
        <v>2.2463999999999956E-3</v>
      </c>
      <c r="Y4" cm="1">
        <f t="array" aca="1" ref="Y4" ca="1">TREND($K4:$P4,$K$1:$P$1,Y$1)</f>
        <v>2.2751999999999981E-3</v>
      </c>
      <c r="Z4" cm="1">
        <f t="array" aca="1" ref="Z4" ca="1">TREND($K4:$P4,$K$1:$P$1,Z$1)</f>
        <v>2.3040000000000005E-3</v>
      </c>
      <c r="AA4" cm="1">
        <f t="array" aca="1" ref="AA4" ca="1">TREND($K4:$P4,$K$1:$P$1,AA$1)</f>
        <v>2.332799999999996E-3</v>
      </c>
      <c r="AB4" cm="1">
        <f t="array" aca="1" ref="AB4" ca="1">TREND($K4:$P4,$K$1:$P$1,AB$1)</f>
        <v>2.3615999999999984E-3</v>
      </c>
      <c r="AC4" cm="1">
        <f t="array" aca="1" ref="AC4" ca="1">TREND($K4:$P4,$K$1:$P$1,AC$1)</f>
        <v>2.3904000000000009E-3</v>
      </c>
      <c r="AD4" cm="1">
        <f t="array" aca="1" ref="AD4" ca="1">TREND($K4:$P4,$K$1:$P$1,AD$1)</f>
        <v>2.4191999999999964E-3</v>
      </c>
      <c r="AE4" cm="1">
        <f t="array" aca="1" ref="AE4" ca="1">TREND($K4:$P4,$K$1:$P$1,AE$1)</f>
        <v>2.4479999999999988E-3</v>
      </c>
      <c r="AF4" cm="1">
        <f t="array" aca="1" ref="AF4" ca="1">TREND($K4:$P4,$K$1:$P$1,AF$1)</f>
        <v>2.4768000000000012E-3</v>
      </c>
      <c r="AG4" cm="1">
        <f t="array" aca="1" ref="AG4" ca="1">TREND($K4:$P4,$K$1:$P$1,AG$1)</f>
        <v>2.5055999999999967E-3</v>
      </c>
      <c r="AH4" cm="1">
        <f t="array" aca="1" ref="AH4" ca="1">TREND($K4:$P4,$K$1:$P$1,AH$1)</f>
        <v>2.5343999999999992E-3</v>
      </c>
      <c r="AI4" cm="1">
        <f t="array" aca="1" ref="AI4" ca="1">TREND($K4:$P4,$K$1:$P$1,AI$1)</f>
        <v>2.5632000000000016E-3</v>
      </c>
      <c r="AJ4" cm="1">
        <f t="array" aca="1" ref="AJ4" ca="1">TREND($K4:$P4,$K$1:$P$1,AJ$1)</f>
        <v>2.5919999999999971E-3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2.3039999999999998E-2</v>
      </c>
      <c r="C5">
        <f t="shared" ca="1" si="3"/>
        <v>2.3039999999999998E-2</v>
      </c>
      <c r="D5">
        <f t="shared" ca="1" si="0"/>
        <v>2.3039999999999998E-2</v>
      </c>
      <c r="E5">
        <f t="shared" ca="1" si="0"/>
        <v>2.3039999999999998E-2</v>
      </c>
      <c r="F5" s="32" cm="1">
        <f t="array" aca="1" ref="F5" ca="1">INDIRECT(CONCATENATE("'",HLOOKUP(F$1,$B$21:$E$23,3,FALSE),"'!",$B$25,ROW($A5)+5))*About!$A$27</f>
        <v>2.3039999999999998E-2</v>
      </c>
      <c r="G5">
        <f t="shared" ca="1" si="4"/>
        <v>2.3327999999999998E-2</v>
      </c>
      <c r="H5">
        <f t="shared" ca="1" si="1"/>
        <v>2.3615999999999998E-2</v>
      </c>
      <c r="I5">
        <f t="shared" ca="1" si="1"/>
        <v>2.3904000000000002E-2</v>
      </c>
      <c r="J5">
        <f t="shared" ca="1" si="1"/>
        <v>2.4192000000000002E-2</v>
      </c>
      <c r="K5" s="32" cm="1">
        <f t="array" aca="1" ref="K5" ca="1">INDIRECT(CONCATENATE("'",HLOOKUP(K$1,$B$21:$E$23,3,FALSE),"'!",$B$25,ROW($A5)+5))*About!$A$27</f>
        <v>2.4480000000000002E-2</v>
      </c>
      <c r="L5">
        <f t="shared" ca="1" si="5"/>
        <v>2.4768000000000002E-2</v>
      </c>
      <c r="M5">
        <f t="shared" ca="1" si="2"/>
        <v>2.5056000000000002E-2</v>
      </c>
      <c r="N5">
        <f t="shared" ca="1" si="2"/>
        <v>2.5343999999999998E-2</v>
      </c>
      <c r="O5">
        <f t="shared" ca="1" si="2"/>
        <v>2.5631999999999999E-2</v>
      </c>
      <c r="P5" s="32" cm="1">
        <f t="array" aca="1" ref="P5" ca="1">INDIRECT(CONCATENATE("'",HLOOKUP(P$1,$B$21:$E$23,3,FALSE),"'!",$B$25,ROW($A5)+5))*About!$A$27</f>
        <v>2.5919999999999999E-2</v>
      </c>
      <c r="Q5" cm="1">
        <f t="array" aca="1" ref="Q5" ca="1">TREND($K5:$P5,$K$1:$P$1,Q$1)</f>
        <v>2.6208000000000009E-2</v>
      </c>
      <c r="R5" cm="1">
        <f t="array" aca="1" ref="R5" ca="1">TREND($K5:$P5,$K$1:$P$1,R$1)</f>
        <v>2.6496000000000075E-2</v>
      </c>
      <c r="S5" cm="1">
        <f t="array" aca="1" ref="S5" ca="1">TREND($K5:$P5,$K$1:$P$1,S$1)</f>
        <v>2.678400000000003E-2</v>
      </c>
      <c r="T5" cm="1">
        <f t="array" aca="1" ref="T5" ca="1">TREND($K5:$P5,$K$1:$P$1,T$1)</f>
        <v>2.7071999999999985E-2</v>
      </c>
      <c r="U5" cm="1">
        <f t="array" aca="1" ref="U5" ca="1">TREND($K5:$P5,$K$1:$P$1,U$1)</f>
        <v>2.7360000000000051E-2</v>
      </c>
      <c r="V5" cm="1">
        <f t="array" aca="1" ref="V5" ca="1">TREND($K5:$P5,$K$1:$P$1,V$1)</f>
        <v>2.7648000000000006E-2</v>
      </c>
      <c r="W5" cm="1">
        <f t="array" aca="1" ref="W5" ca="1">TREND($K5:$P5,$K$1:$P$1,W$1)</f>
        <v>2.7936000000000072E-2</v>
      </c>
      <c r="X5" cm="1">
        <f t="array" aca="1" ref="X5" ca="1">TREND($K5:$P5,$K$1:$P$1,X$1)</f>
        <v>2.8224000000000027E-2</v>
      </c>
      <c r="Y5" cm="1">
        <f t="array" aca="1" ref="Y5" ca="1">TREND($K5:$P5,$K$1:$P$1,Y$1)</f>
        <v>2.8511999999999982E-2</v>
      </c>
      <c r="Z5" cm="1">
        <f t="array" aca="1" ref="Z5" ca="1">TREND($K5:$P5,$K$1:$P$1,Z$1)</f>
        <v>2.8800000000000048E-2</v>
      </c>
      <c r="AA5" cm="1">
        <f t="array" aca="1" ref="AA5" ca="1">TREND($K5:$P5,$K$1:$P$1,AA$1)</f>
        <v>2.9088000000000003E-2</v>
      </c>
      <c r="AB5" cm="1">
        <f t="array" aca="1" ref="AB5" ca="1">TREND($K5:$P5,$K$1:$P$1,AB$1)</f>
        <v>2.9376000000000069E-2</v>
      </c>
      <c r="AC5" cm="1">
        <f t="array" aca="1" ref="AC5" ca="1">TREND($K5:$P5,$K$1:$P$1,AC$1)</f>
        <v>2.9664000000000024E-2</v>
      </c>
      <c r="AD5" cm="1">
        <f t="array" aca="1" ref="AD5" ca="1">TREND($K5:$P5,$K$1:$P$1,AD$1)</f>
        <v>2.9951999999999979E-2</v>
      </c>
      <c r="AE5" cm="1">
        <f t="array" aca="1" ref="AE5" ca="1">TREND($K5:$P5,$K$1:$P$1,AE$1)</f>
        <v>3.0240000000000045E-2</v>
      </c>
      <c r="AF5" cm="1">
        <f t="array" aca="1" ref="AF5" ca="1">TREND($K5:$P5,$K$1:$P$1,AF$1)</f>
        <v>3.0528E-2</v>
      </c>
      <c r="AG5" cm="1">
        <f t="array" aca="1" ref="AG5" ca="1">TREND($K5:$P5,$K$1:$P$1,AG$1)</f>
        <v>3.0816000000000066E-2</v>
      </c>
      <c r="AH5" cm="1">
        <f t="array" aca="1" ref="AH5" ca="1">TREND($K5:$P5,$K$1:$P$1,AH$1)</f>
        <v>3.1104000000000021E-2</v>
      </c>
      <c r="AI5" cm="1">
        <f t="array" aca="1" ref="AI5" ca="1">TREND($K5:$P5,$K$1:$P$1,AI$1)</f>
        <v>3.1391999999999975E-2</v>
      </c>
      <c r="AJ5" cm="1">
        <f t="array" aca="1" ref="AJ5" ca="1">TREND($K5:$P5,$K$1:$P$1,AJ$1)</f>
        <v>3.1680000000000041E-2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3.456E-2</v>
      </c>
      <c r="C6">
        <f t="shared" ca="1" si="3"/>
        <v>3.456E-2</v>
      </c>
      <c r="D6">
        <f t="shared" ca="1" si="0"/>
        <v>3.456E-2</v>
      </c>
      <c r="E6">
        <f t="shared" ca="1" si="0"/>
        <v>3.456E-2</v>
      </c>
      <c r="F6" s="32" cm="1">
        <f t="array" aca="1" ref="F6" ca="1">INDIRECT(CONCATENATE("'",HLOOKUP(F$1,$B$21:$E$23,3,FALSE),"'!",$B$25,ROW($A6)+5))*About!$A$27</f>
        <v>3.456E-2</v>
      </c>
      <c r="G6">
        <f t="shared" ca="1" si="4"/>
        <v>3.4847999999999997E-2</v>
      </c>
      <c r="H6">
        <f t="shared" ca="1" si="1"/>
        <v>3.5136000000000001E-2</v>
      </c>
      <c r="I6">
        <f t="shared" ca="1" si="1"/>
        <v>3.5423999999999997E-2</v>
      </c>
      <c r="J6">
        <f t="shared" ca="1" si="1"/>
        <v>3.5712000000000001E-2</v>
      </c>
      <c r="K6" s="32" cm="1">
        <f t="array" aca="1" ref="K6" ca="1">INDIRECT(CONCATENATE("'",HLOOKUP(K$1,$B$21:$E$23,3,FALSE),"'!",$B$25,ROW($A6)+5))*About!$A$27</f>
        <v>3.5999999999999997E-2</v>
      </c>
      <c r="L6">
        <f t="shared" ca="1" si="5"/>
        <v>3.6287999999999994E-2</v>
      </c>
      <c r="M6">
        <f t="shared" ca="1" si="2"/>
        <v>3.6575999999999997E-2</v>
      </c>
      <c r="N6">
        <f t="shared" ca="1" si="2"/>
        <v>3.6863999999999994E-2</v>
      </c>
      <c r="O6">
        <f t="shared" ca="1" si="2"/>
        <v>3.7151999999999998E-2</v>
      </c>
      <c r="P6" s="32" cm="1">
        <f t="array" aca="1" ref="P6" ca="1">INDIRECT(CONCATENATE("'",HLOOKUP(P$1,$B$21:$E$23,3,FALSE),"'!",$B$25,ROW($A6)+5))*About!$A$27</f>
        <v>3.7439999999999994E-2</v>
      </c>
      <c r="Q6" cm="1">
        <f t="array" aca="1" ref="Q6" ca="1">TREND($K6:$P6,$K$1:$P$1,Q$1)</f>
        <v>3.7727999999999984E-2</v>
      </c>
      <c r="R6" cm="1">
        <f t="array" aca="1" ref="R6" ca="1">TREND($K6:$P6,$K$1:$P$1,R$1)</f>
        <v>3.801600000000005E-2</v>
      </c>
      <c r="S6" cm="1">
        <f t="array" aca="1" ref="S6" ca="1">TREND($K6:$P6,$K$1:$P$1,S$1)</f>
        <v>3.8304000000000005E-2</v>
      </c>
      <c r="T6" cm="1">
        <f t="array" aca="1" ref="T6" ca="1">TREND($K6:$P6,$K$1:$P$1,T$1)</f>
        <v>3.859199999999996E-2</v>
      </c>
      <c r="U6" cm="1">
        <f t="array" aca="1" ref="U6" ca="1">TREND($K6:$P6,$K$1:$P$1,U$1)</f>
        <v>3.8880000000000026E-2</v>
      </c>
      <c r="V6" cm="1">
        <f t="array" aca="1" ref="V6" ca="1">TREND($K6:$P6,$K$1:$P$1,V$1)</f>
        <v>3.9167999999999981E-2</v>
      </c>
      <c r="W6" cm="1">
        <f t="array" aca="1" ref="W6" ca="1">TREND($K6:$P6,$K$1:$P$1,W$1)</f>
        <v>3.9456000000000047E-2</v>
      </c>
      <c r="X6" cm="1">
        <f t="array" aca="1" ref="X6" ca="1">TREND($K6:$P6,$K$1:$P$1,X$1)</f>
        <v>3.9744000000000002E-2</v>
      </c>
      <c r="Y6" cm="1">
        <f t="array" aca="1" ref="Y6" ca="1">TREND($K6:$P6,$K$1:$P$1,Y$1)</f>
        <v>4.0031999999999957E-2</v>
      </c>
      <c r="Z6" cm="1">
        <f t="array" aca="1" ref="Z6" ca="1">TREND($K6:$P6,$K$1:$P$1,Z$1)</f>
        <v>4.0320000000000022E-2</v>
      </c>
      <c r="AA6" cm="1">
        <f t="array" aca="1" ref="AA6" ca="1">TREND($K6:$P6,$K$1:$P$1,AA$1)</f>
        <v>4.0607999999999977E-2</v>
      </c>
      <c r="AB6" cm="1">
        <f t="array" aca="1" ref="AB6" ca="1">TREND($K6:$P6,$K$1:$P$1,AB$1)</f>
        <v>4.0896000000000043E-2</v>
      </c>
      <c r="AC6" cm="1">
        <f t="array" aca="1" ref="AC6" ca="1">TREND($K6:$P6,$K$1:$P$1,AC$1)</f>
        <v>4.1183999999999998E-2</v>
      </c>
      <c r="AD6" cm="1">
        <f t="array" aca="1" ref="AD6" ca="1">TREND($K6:$P6,$K$1:$P$1,AD$1)</f>
        <v>4.1471999999999953E-2</v>
      </c>
      <c r="AE6" cm="1">
        <f t="array" aca="1" ref="AE6" ca="1">TREND($K6:$P6,$K$1:$P$1,AE$1)</f>
        <v>4.1760000000000019E-2</v>
      </c>
      <c r="AF6" cm="1">
        <f t="array" aca="1" ref="AF6" ca="1">TREND($K6:$P6,$K$1:$P$1,AF$1)</f>
        <v>4.2047999999999974E-2</v>
      </c>
      <c r="AG6" cm="1">
        <f t="array" aca="1" ref="AG6" ca="1">TREND($K6:$P6,$K$1:$P$1,AG$1)</f>
        <v>4.233600000000004E-2</v>
      </c>
      <c r="AH6" cm="1">
        <f t="array" aca="1" ref="AH6" ca="1">TREND($K6:$P6,$K$1:$P$1,AH$1)</f>
        <v>4.2623999999999995E-2</v>
      </c>
      <c r="AI6" cm="1">
        <f t="array" aca="1" ref="AI6" ca="1">TREND($K6:$P6,$K$1:$P$1,AI$1)</f>
        <v>4.291199999999995E-2</v>
      </c>
      <c r="AJ6" cm="1">
        <f t="array" aca="1" ref="AJ6" ca="1">TREND($K6:$P6,$K$1:$P$1,AJ$1)</f>
        <v>4.3200000000000016E-2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0.99359999999999993</v>
      </c>
      <c r="C7">
        <f t="shared" ca="1" si="3"/>
        <v>0.99719999999999998</v>
      </c>
      <c r="D7">
        <f t="shared" ca="1" si="0"/>
        <v>1.0007999999999999</v>
      </c>
      <c r="E7">
        <f t="shared" ca="1" si="0"/>
        <v>1.0044</v>
      </c>
      <c r="F7" s="32" cm="1">
        <f t="array" aca="1" ref="F7" ca="1">INDIRECT(CONCATENATE("'",HLOOKUP(F$1,$B$21:$E$23,3,FALSE),"'!",$B$25,ROW($A7)+5))*About!$A$27</f>
        <v>1.008</v>
      </c>
      <c r="G7">
        <f t="shared" ca="1" si="4"/>
        <v>1.008</v>
      </c>
      <c r="H7">
        <f t="shared" ca="1" si="1"/>
        <v>1.008</v>
      </c>
      <c r="I7">
        <f t="shared" ca="1" si="1"/>
        <v>1.008</v>
      </c>
      <c r="J7">
        <f t="shared" ca="1" si="1"/>
        <v>1.008</v>
      </c>
      <c r="K7" s="32" cm="1">
        <f t="array" aca="1" ref="K7" ca="1">INDIRECT(CONCATENATE("'",HLOOKUP(K$1,$B$21:$E$23,3,FALSE),"'!",$B$25,ROW($A7)+5))*About!$A$27</f>
        <v>1.008</v>
      </c>
      <c r="L7">
        <f t="shared" ca="1" si="5"/>
        <v>1.01088</v>
      </c>
      <c r="M7">
        <f t="shared" ca="1" si="2"/>
        <v>1.01376</v>
      </c>
      <c r="N7">
        <f t="shared" ca="1" si="2"/>
        <v>1.01664</v>
      </c>
      <c r="O7">
        <f t="shared" ca="1" si="2"/>
        <v>1.01952</v>
      </c>
      <c r="P7" s="32" cm="1">
        <f t="array" aca="1" ref="P7" ca="1">INDIRECT(CONCATENATE("'",HLOOKUP(P$1,$B$21:$E$23,3,FALSE),"'!",$B$25,ROW($A7)+5))*About!$A$27</f>
        <v>1.0224</v>
      </c>
      <c r="Q7" cm="1">
        <f t="array" aca="1" ref="Q7" ca="1">TREND($K7:$P7,$K$1:$P$1,Q$1)</f>
        <v>1.0252799999999995</v>
      </c>
      <c r="R7" cm="1">
        <f t="array" aca="1" ref="R7" ca="1">TREND($K7:$P7,$K$1:$P$1,R$1)</f>
        <v>1.0281599999999997</v>
      </c>
      <c r="S7" cm="1">
        <f t="array" aca="1" ref="S7" ca="1">TREND($K7:$P7,$K$1:$P$1,S$1)</f>
        <v>1.03104</v>
      </c>
      <c r="T7" cm="1">
        <f t="array" aca="1" ref="T7" ca="1">TREND($K7:$P7,$K$1:$P$1,T$1)</f>
        <v>1.0339200000000002</v>
      </c>
      <c r="U7" cm="1">
        <f t="array" aca="1" ref="U7" ca="1">TREND($K7:$P7,$K$1:$P$1,U$1)</f>
        <v>1.0367999999999995</v>
      </c>
      <c r="V7" cm="1">
        <f t="array" aca="1" ref="V7" ca="1">TREND($K7:$P7,$K$1:$P$1,V$1)</f>
        <v>1.0396799999999997</v>
      </c>
      <c r="W7" cm="1">
        <f t="array" aca="1" ref="W7" ca="1">TREND($K7:$P7,$K$1:$P$1,W$1)</f>
        <v>1.0425599999999999</v>
      </c>
      <c r="X7" cm="1">
        <f t="array" aca="1" ref="X7" ca="1">TREND($K7:$P7,$K$1:$P$1,X$1)</f>
        <v>1.0454399999999993</v>
      </c>
      <c r="Y7" cm="1">
        <f t="array" aca="1" ref="Y7" ca="1">TREND($K7:$P7,$K$1:$P$1,Y$1)</f>
        <v>1.0483199999999995</v>
      </c>
      <c r="Z7" cm="1">
        <f t="array" aca="1" ref="Z7" ca="1">TREND($K7:$P7,$K$1:$P$1,Z$1)</f>
        <v>1.0511999999999997</v>
      </c>
      <c r="AA7" cm="1">
        <f t="array" aca="1" ref="AA7" ca="1">TREND($K7:$P7,$K$1:$P$1,AA$1)</f>
        <v>1.0540799999999999</v>
      </c>
      <c r="AB7" cm="1">
        <f t="array" aca="1" ref="AB7" ca="1">TREND($K7:$P7,$K$1:$P$1,AB$1)</f>
        <v>1.0569600000000001</v>
      </c>
      <c r="AC7" cm="1">
        <f t="array" aca="1" ref="AC7" ca="1">TREND($K7:$P7,$K$1:$P$1,AC$1)</f>
        <v>1.0598399999999994</v>
      </c>
      <c r="AD7" cm="1">
        <f t="array" aca="1" ref="AD7" ca="1">TREND($K7:$P7,$K$1:$P$1,AD$1)</f>
        <v>1.0627199999999997</v>
      </c>
      <c r="AE7" cm="1">
        <f t="array" aca="1" ref="AE7" ca="1">TREND($K7:$P7,$K$1:$P$1,AE$1)</f>
        <v>1.0655999999999999</v>
      </c>
      <c r="AF7" cm="1">
        <f t="array" aca="1" ref="AF7" ca="1">TREND($K7:$P7,$K$1:$P$1,AF$1)</f>
        <v>1.0684799999999992</v>
      </c>
      <c r="AG7" cm="1">
        <f t="array" aca="1" ref="AG7" ca="1">TREND($K7:$P7,$K$1:$P$1,AG$1)</f>
        <v>1.0713599999999994</v>
      </c>
      <c r="AH7" cm="1">
        <f t="array" aca="1" ref="AH7" ca="1">TREND($K7:$P7,$K$1:$P$1,AH$1)</f>
        <v>1.0742399999999996</v>
      </c>
      <c r="AI7" cm="1">
        <f t="array" aca="1" ref="AI7" ca="1">TREND($K7:$P7,$K$1:$P$1,AI$1)</f>
        <v>1.0771199999999999</v>
      </c>
      <c r="AJ7" cm="1">
        <f t="array" aca="1" ref="AJ7" ca="1">TREND($K7:$P7,$K$1:$P$1,AJ$1)</f>
        <v>1.08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0.17279999999999998</v>
      </c>
      <c r="C8">
        <f t="shared" ca="1" si="3"/>
        <v>0.17279999999999998</v>
      </c>
      <c r="D8">
        <f t="shared" ca="1" si="0"/>
        <v>0.17279999999999998</v>
      </c>
      <c r="E8">
        <f t="shared" ca="1" si="0"/>
        <v>0.17279999999999998</v>
      </c>
      <c r="F8" s="32" cm="1">
        <f t="array" aca="1" ref="F8" ca="1">INDIRECT(CONCATENATE("'",HLOOKUP(F$1,$B$21:$E$23,3,FALSE),"'!",$B$25,ROW($A8)+5))*About!$A$27</f>
        <v>0.17279999999999998</v>
      </c>
      <c r="G8">
        <f t="shared" ca="1" si="4"/>
        <v>0.17279999999999998</v>
      </c>
      <c r="H8">
        <f t="shared" ca="1" si="1"/>
        <v>0.17279999999999998</v>
      </c>
      <c r="I8">
        <f t="shared" ca="1" si="1"/>
        <v>0.17279999999999998</v>
      </c>
      <c r="J8">
        <f t="shared" ca="1" si="1"/>
        <v>0.17279999999999998</v>
      </c>
      <c r="K8" s="32" cm="1">
        <f t="array" aca="1" ref="K8" ca="1">INDIRECT(CONCATENATE("'",HLOOKUP(K$1,$B$21:$E$23,3,FALSE),"'!",$B$25,ROW($A8)+5))*About!$A$27</f>
        <v>0.17279999999999998</v>
      </c>
      <c r="L8">
        <f t="shared" ca="1" si="5"/>
        <v>0.17279999999999998</v>
      </c>
      <c r="M8">
        <f t="shared" ca="1" si="2"/>
        <v>0.17279999999999998</v>
      </c>
      <c r="N8">
        <f t="shared" ca="1" si="2"/>
        <v>0.17279999999999998</v>
      </c>
      <c r="O8">
        <f t="shared" ca="1" si="2"/>
        <v>0.17279999999999998</v>
      </c>
      <c r="P8" s="32" cm="1">
        <f t="array" aca="1" ref="P8" ca="1">INDIRECT(CONCATENATE("'",HLOOKUP(P$1,$B$21:$E$23,3,FALSE),"'!",$B$25,ROW($A8)+5))*About!$A$27</f>
        <v>0.17279999999999998</v>
      </c>
      <c r="Q8" cm="1">
        <f t="array" aca="1" ref="Q8" ca="1">TREND($K8:$P8,$K$1:$P$1,Q$1)</f>
        <v>0.17279999999999998</v>
      </c>
      <c r="R8" cm="1">
        <f t="array" aca="1" ref="R8" ca="1">TREND($K8:$P8,$K$1:$P$1,R$1)</f>
        <v>0.17279999999999998</v>
      </c>
      <c r="S8" cm="1">
        <f t="array" aca="1" ref="S8" ca="1">TREND($K8:$P8,$K$1:$P$1,S$1)</f>
        <v>0.17279999999999998</v>
      </c>
      <c r="T8" cm="1">
        <f t="array" aca="1" ref="T8" ca="1">TREND($K8:$P8,$K$1:$P$1,T$1)</f>
        <v>0.17279999999999998</v>
      </c>
      <c r="U8" cm="1">
        <f t="array" aca="1" ref="U8" ca="1">TREND($K8:$P8,$K$1:$P$1,U$1)</f>
        <v>0.17279999999999998</v>
      </c>
      <c r="V8" cm="1">
        <f t="array" aca="1" ref="V8" ca="1">TREND($K8:$P8,$K$1:$P$1,V$1)</f>
        <v>0.17279999999999998</v>
      </c>
      <c r="W8" cm="1">
        <f t="array" aca="1" ref="W8" ca="1">TREND($K8:$P8,$K$1:$P$1,W$1)</f>
        <v>0.17279999999999998</v>
      </c>
      <c r="X8" cm="1">
        <f t="array" aca="1" ref="X8" ca="1">TREND($K8:$P8,$K$1:$P$1,X$1)</f>
        <v>0.17279999999999998</v>
      </c>
      <c r="Y8" cm="1">
        <f t="array" aca="1" ref="Y8" ca="1">TREND($K8:$P8,$K$1:$P$1,Y$1)</f>
        <v>0.17279999999999998</v>
      </c>
      <c r="Z8" cm="1">
        <f t="array" aca="1" ref="Z8" ca="1">TREND($K8:$P8,$K$1:$P$1,Z$1)</f>
        <v>0.17279999999999998</v>
      </c>
      <c r="AA8" cm="1">
        <f t="array" aca="1" ref="AA8" ca="1">TREND($K8:$P8,$K$1:$P$1,AA$1)</f>
        <v>0.17279999999999998</v>
      </c>
      <c r="AB8" cm="1">
        <f t="array" aca="1" ref="AB8" ca="1">TREND($K8:$P8,$K$1:$P$1,AB$1)</f>
        <v>0.17279999999999998</v>
      </c>
      <c r="AC8" cm="1">
        <f t="array" aca="1" ref="AC8" ca="1">TREND($K8:$P8,$K$1:$P$1,AC$1)</f>
        <v>0.17279999999999998</v>
      </c>
      <c r="AD8" cm="1">
        <f t="array" aca="1" ref="AD8" ca="1">TREND($K8:$P8,$K$1:$P$1,AD$1)</f>
        <v>0.17279999999999998</v>
      </c>
      <c r="AE8" cm="1">
        <f t="array" aca="1" ref="AE8" ca="1">TREND($K8:$P8,$K$1:$P$1,AE$1)</f>
        <v>0.17279999999999998</v>
      </c>
      <c r="AF8" cm="1">
        <f t="array" aca="1" ref="AF8" ca="1">TREND($K8:$P8,$K$1:$P$1,AF$1)</f>
        <v>0.17279999999999998</v>
      </c>
      <c r="AG8" cm="1">
        <f t="array" aca="1" ref="AG8" ca="1">TREND($K8:$P8,$K$1:$P$1,AG$1)</f>
        <v>0.17279999999999998</v>
      </c>
      <c r="AH8" cm="1">
        <f t="array" aca="1" ref="AH8" ca="1">TREND($K8:$P8,$K$1:$P$1,AH$1)</f>
        <v>0.17279999999999998</v>
      </c>
      <c r="AI8" cm="1">
        <f t="array" aca="1" ref="AI8" ca="1">TREND($K8:$P8,$K$1:$P$1,AI$1)</f>
        <v>0.17279999999999998</v>
      </c>
      <c r="AJ8" cm="1">
        <f t="array" aca="1" ref="AJ8" ca="1">TREND($K8:$P8,$K$1:$P$1,AJ$1)</f>
        <v>0.17279999999999998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4.0320000000000002E-2</v>
      </c>
      <c r="C9">
        <f t="shared" ca="1" si="3"/>
        <v>4.0320000000000002E-2</v>
      </c>
      <c r="D9">
        <f t="shared" ca="1" si="0"/>
        <v>4.0320000000000002E-2</v>
      </c>
      <c r="E9">
        <f t="shared" ca="1" si="0"/>
        <v>4.0320000000000002E-2</v>
      </c>
      <c r="F9" s="32" cm="1">
        <f t="array" aca="1" ref="F9" ca="1">INDIRECT(CONCATENATE("'",HLOOKUP(F$1,$B$21:$E$23,3,FALSE),"'!",$B$25,ROW($A9)+5))*About!$A$27</f>
        <v>4.0320000000000002E-2</v>
      </c>
      <c r="G9">
        <f t="shared" ca="1" si="4"/>
        <v>4.0607999999999998E-2</v>
      </c>
      <c r="H9">
        <f t="shared" ca="1" si="1"/>
        <v>4.0896000000000002E-2</v>
      </c>
      <c r="I9">
        <f t="shared" ca="1" si="1"/>
        <v>4.1183999999999998E-2</v>
      </c>
      <c r="J9">
        <f t="shared" ca="1" si="1"/>
        <v>4.1472000000000002E-2</v>
      </c>
      <c r="K9" s="32" cm="1">
        <f t="array" aca="1" ref="K9" ca="1">INDIRECT(CONCATENATE("'",HLOOKUP(K$1,$B$21:$E$23,3,FALSE),"'!",$B$25,ROW($A9)+5))*About!$A$27</f>
        <v>4.1759999999999999E-2</v>
      </c>
      <c r="L9">
        <f t="shared" ca="1" si="5"/>
        <v>4.2335999999999999E-2</v>
      </c>
      <c r="M9">
        <f t="shared" ca="1" si="2"/>
        <v>4.2911999999999999E-2</v>
      </c>
      <c r="N9">
        <f t="shared" ca="1" si="2"/>
        <v>4.3487999999999999E-2</v>
      </c>
      <c r="O9">
        <f t="shared" ca="1" si="2"/>
        <v>4.4063999999999999E-2</v>
      </c>
      <c r="P9" s="32" cm="1">
        <f t="array" aca="1" ref="P9" ca="1">INDIRECT(CONCATENATE("'",HLOOKUP(P$1,$B$21:$E$23,3,FALSE),"'!",$B$25,ROW($A9)+5))*About!$A$27</f>
        <v>4.4639999999999999E-2</v>
      </c>
      <c r="Q9" cm="1">
        <f t="array" aca="1" ref="Q9" ca="1">TREND($K9:$P9,$K$1:$P$1,Q$1)</f>
        <v>4.5215999999999923E-2</v>
      </c>
      <c r="R9" cm="1">
        <f t="array" aca="1" ref="R9" ca="1">TREND($K9:$P9,$K$1:$P$1,R$1)</f>
        <v>4.5791999999999833E-2</v>
      </c>
      <c r="S9" cm="1">
        <f t="array" aca="1" ref="S9" ca="1">TREND($K9:$P9,$K$1:$P$1,S$1)</f>
        <v>4.6367999999999965E-2</v>
      </c>
      <c r="T9" cm="1">
        <f t="array" aca="1" ref="T9" ca="1">TREND($K9:$P9,$K$1:$P$1,T$1)</f>
        <v>4.6943999999999875E-2</v>
      </c>
      <c r="U9" cm="1">
        <f t="array" aca="1" ref="U9" ca="1">TREND($K9:$P9,$K$1:$P$1,U$1)</f>
        <v>4.7520000000000007E-2</v>
      </c>
      <c r="V9" cm="1">
        <f t="array" aca="1" ref="V9" ca="1">TREND($K9:$P9,$K$1:$P$1,V$1)</f>
        <v>4.8095999999999917E-2</v>
      </c>
      <c r="W9" cm="1">
        <f t="array" aca="1" ref="W9" ca="1">TREND($K9:$P9,$K$1:$P$1,W$1)</f>
        <v>4.8672000000000049E-2</v>
      </c>
      <c r="X9" cm="1">
        <f t="array" aca="1" ref="X9" ca="1">TREND($K9:$P9,$K$1:$P$1,X$1)</f>
        <v>4.9247999999999958E-2</v>
      </c>
      <c r="Y9" cm="1">
        <f t="array" aca="1" ref="Y9" ca="1">TREND($K9:$P9,$K$1:$P$1,Y$1)</f>
        <v>4.9823999999999868E-2</v>
      </c>
      <c r="Z9" cm="1">
        <f t="array" aca="1" ref="Z9" ca="1">TREND($K9:$P9,$K$1:$P$1,Z$1)</f>
        <v>5.04E-2</v>
      </c>
      <c r="AA9" cm="1">
        <f t="array" aca="1" ref="AA9" ca="1">TREND($K9:$P9,$K$1:$P$1,AA$1)</f>
        <v>5.097599999999991E-2</v>
      </c>
      <c r="AB9" cm="1">
        <f t="array" aca="1" ref="AB9" ca="1">TREND($K9:$P9,$K$1:$P$1,AB$1)</f>
        <v>5.1552000000000042E-2</v>
      </c>
      <c r="AC9" cm="1">
        <f t="array" aca="1" ref="AC9" ca="1">TREND($K9:$P9,$K$1:$P$1,AC$1)</f>
        <v>5.2127999999999952E-2</v>
      </c>
      <c r="AD9" cm="1">
        <f t="array" aca="1" ref="AD9" ca="1">TREND($K9:$P9,$K$1:$P$1,AD$1)</f>
        <v>5.2703999999999862E-2</v>
      </c>
      <c r="AE9" cm="1">
        <f t="array" aca="1" ref="AE9" ca="1">TREND($K9:$P9,$K$1:$P$1,AE$1)</f>
        <v>5.3279999999999994E-2</v>
      </c>
      <c r="AF9" cm="1">
        <f t="array" aca="1" ref="AF9" ca="1">TREND($K9:$P9,$K$1:$P$1,AF$1)</f>
        <v>5.3855999999999904E-2</v>
      </c>
      <c r="AG9" cm="1">
        <f t="array" aca="1" ref="AG9" ca="1">TREND($K9:$P9,$K$1:$P$1,AG$1)</f>
        <v>5.4432000000000036E-2</v>
      </c>
      <c r="AH9" cm="1">
        <f t="array" aca="1" ref="AH9" ca="1">TREND($K9:$P9,$K$1:$P$1,AH$1)</f>
        <v>5.5007999999999946E-2</v>
      </c>
      <c r="AI9" cm="1">
        <f t="array" aca="1" ref="AI9" ca="1">TREND($K9:$P9,$K$1:$P$1,AI$1)</f>
        <v>5.5583999999999856E-2</v>
      </c>
      <c r="AJ9" cm="1">
        <f t="array" aca="1" ref="AJ9" ca="1">TREND($K9:$P9,$K$1:$P$1,AJ$1)</f>
        <v>5.6159999999999988E-2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3.0239999999999998E-4</v>
      </c>
      <c r="C10">
        <f t="shared" ca="1" si="3"/>
        <v>3.0599999999999996E-4</v>
      </c>
      <c r="D10">
        <f t="shared" ca="1" si="0"/>
        <v>3.0959999999999999E-4</v>
      </c>
      <c r="E10">
        <f t="shared" ca="1" si="0"/>
        <v>3.1320000000000002E-4</v>
      </c>
      <c r="F10" s="32" cm="1">
        <f t="array" aca="1" ref="F10" ca="1">INDIRECT(CONCATENATE("'",HLOOKUP(F$1,$B$21:$E$23,3,FALSE),"'!",$B$25,ROW($A10)+5))*About!$A$27</f>
        <v>3.168E-4</v>
      </c>
      <c r="G10">
        <f t="shared" ca="1" si="4"/>
        <v>3.2543999999999997E-4</v>
      </c>
      <c r="H10">
        <f t="shared" ca="1" si="1"/>
        <v>3.3408E-4</v>
      </c>
      <c r="I10">
        <f t="shared" ca="1" si="1"/>
        <v>3.4271999999999997E-4</v>
      </c>
      <c r="J10">
        <f t="shared" ca="1" si="1"/>
        <v>3.5136E-4</v>
      </c>
      <c r="K10" s="32" cm="1">
        <f t="array" aca="1" ref="K10" ca="1">INDIRECT(CONCATENATE("'",HLOOKUP(K$1,$B$21:$E$23,3,FALSE),"'!",$B$25,ROW($A10)+5))*About!$A$27</f>
        <v>3.5999999999999997E-4</v>
      </c>
      <c r="L10">
        <f t="shared" ca="1" si="5"/>
        <v>3.6575999999999997E-4</v>
      </c>
      <c r="M10">
        <f t="shared" ca="1" si="2"/>
        <v>3.7151999999999997E-4</v>
      </c>
      <c r="N10">
        <f t="shared" ca="1" si="2"/>
        <v>3.7727999999999997E-4</v>
      </c>
      <c r="O10">
        <f t="shared" ca="1" si="2"/>
        <v>3.8303999999999996E-4</v>
      </c>
      <c r="P10" s="32" cm="1">
        <f t="array" aca="1" ref="P10" ca="1">INDIRECT(CONCATENATE("'",HLOOKUP(P$1,$B$21:$E$23,3,FALSE),"'!",$B$25,ROW($A10)+5))*About!$A$27</f>
        <v>3.8879999999999996E-4</v>
      </c>
      <c r="Q10" cm="1">
        <f t="array" aca="1" ref="Q10" ca="1">TREND($K10:$P10,$K$1:$P$1,Q$1)</f>
        <v>3.945600000000004E-4</v>
      </c>
      <c r="R10" cm="1">
        <f t="array" aca="1" ref="R10" ca="1">TREND($K10:$P10,$K$1:$P$1,R$1)</f>
        <v>4.0031999999999915E-4</v>
      </c>
      <c r="S10" cm="1">
        <f t="array" aca="1" ref="S10" ca="1">TREND($K10:$P10,$K$1:$P$1,S$1)</f>
        <v>4.0607999999999964E-4</v>
      </c>
      <c r="T10" cm="1">
        <f t="array" aca="1" ref="T10" ca="1">TREND($K10:$P10,$K$1:$P$1,T$1)</f>
        <v>4.1184000000000012E-4</v>
      </c>
      <c r="U10" cm="1">
        <f t="array" aca="1" ref="U10" ca="1">TREND($K10:$P10,$K$1:$P$1,U$1)</f>
        <v>4.1760000000000061E-4</v>
      </c>
      <c r="V10" cm="1">
        <f t="array" aca="1" ref="V10" ca="1">TREND($K10:$P10,$K$1:$P$1,V$1)</f>
        <v>4.2335999999999936E-4</v>
      </c>
      <c r="W10" cm="1">
        <f t="array" aca="1" ref="W10" ca="1">TREND($K10:$P10,$K$1:$P$1,W$1)</f>
        <v>4.2911999999999985E-4</v>
      </c>
      <c r="X10" cm="1">
        <f t="array" aca="1" ref="X10" ca="1">TREND($K10:$P10,$K$1:$P$1,X$1)</f>
        <v>4.3488000000000034E-4</v>
      </c>
      <c r="Y10" cm="1">
        <f t="array" aca="1" ref="Y10" ca="1">TREND($K10:$P10,$K$1:$P$1,Y$1)</f>
        <v>4.4064000000000082E-4</v>
      </c>
      <c r="Z10" cm="1">
        <f t="array" aca="1" ref="Z10" ca="1">TREND($K10:$P10,$K$1:$P$1,Z$1)</f>
        <v>4.4639999999999957E-4</v>
      </c>
      <c r="AA10" cm="1">
        <f t="array" aca="1" ref="AA10" ca="1">TREND($K10:$P10,$K$1:$P$1,AA$1)</f>
        <v>4.5216000000000006E-4</v>
      </c>
      <c r="AB10" cm="1">
        <f t="array" aca="1" ref="AB10" ca="1">TREND($K10:$P10,$K$1:$P$1,AB$1)</f>
        <v>4.5792000000000055E-4</v>
      </c>
      <c r="AC10" cm="1">
        <f t="array" aca="1" ref="AC10" ca="1">TREND($K10:$P10,$K$1:$P$1,AC$1)</f>
        <v>4.636799999999993E-4</v>
      </c>
      <c r="AD10" cm="1">
        <f t="array" aca="1" ref="AD10" ca="1">TREND($K10:$P10,$K$1:$P$1,AD$1)</f>
        <v>4.6943999999999979E-4</v>
      </c>
      <c r="AE10" cm="1">
        <f t="array" aca="1" ref="AE10" ca="1">TREND($K10:$P10,$K$1:$P$1,AE$1)</f>
        <v>4.7520000000000027E-4</v>
      </c>
      <c r="AF10" cm="1">
        <f t="array" aca="1" ref="AF10" ca="1">TREND($K10:$P10,$K$1:$P$1,AF$1)</f>
        <v>4.8096000000000076E-4</v>
      </c>
      <c r="AG10" cm="1">
        <f t="array" aca="1" ref="AG10" ca="1">TREND($K10:$P10,$K$1:$P$1,AG$1)</f>
        <v>4.8671999999999951E-4</v>
      </c>
      <c r="AH10" cm="1">
        <f t="array" aca="1" ref="AH10" ca="1">TREND($K10:$P10,$K$1:$P$1,AH$1)</f>
        <v>4.9248E-4</v>
      </c>
      <c r="AI10" cm="1">
        <f t="array" aca="1" ref="AI10" ca="1">TREND($K10:$P10,$K$1:$P$1,AI$1)</f>
        <v>4.9824000000000049E-4</v>
      </c>
      <c r="AJ10" cm="1">
        <f t="array" aca="1" ref="AJ10" ca="1">TREND($K10:$P10,$K$1:$P$1,AJ$1)</f>
        <v>5.0399999999999924E-4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2.8800000000000001E-4</v>
      </c>
      <c r="C11">
        <f t="shared" ca="1" si="3"/>
        <v>2.9159999999999999E-4</v>
      </c>
      <c r="D11">
        <f t="shared" ca="1" si="0"/>
        <v>2.9520000000000002E-4</v>
      </c>
      <c r="E11">
        <f t="shared" ca="1" si="0"/>
        <v>2.988E-4</v>
      </c>
      <c r="F11" s="32" cm="1">
        <f t="array" aca="1" ref="F11" ca="1">INDIRECT(CONCATENATE("'",HLOOKUP(F$1,$B$21:$E$23,3,FALSE),"'!",$B$25,ROW($A11)+5))*About!$A$27</f>
        <v>3.0239999999999998E-4</v>
      </c>
      <c r="G11">
        <f t="shared" ca="1" si="4"/>
        <v>3.1104E-4</v>
      </c>
      <c r="H11">
        <f t="shared" ca="1" si="1"/>
        <v>3.1967999999999998E-4</v>
      </c>
      <c r="I11">
        <f t="shared" ca="1" si="1"/>
        <v>3.2832E-4</v>
      </c>
      <c r="J11">
        <f t="shared" ca="1" si="1"/>
        <v>3.3695999999999997E-4</v>
      </c>
      <c r="K11" s="32" cm="1">
        <f t="array" aca="1" ref="K11" ca="1">INDIRECT(CONCATENATE("'",HLOOKUP(K$1,$B$21:$E$23,3,FALSE),"'!",$B$25,ROW($A11)+5))*About!$A$27</f>
        <v>3.456E-4</v>
      </c>
      <c r="L11">
        <f t="shared" ca="1" si="5"/>
        <v>3.5136E-4</v>
      </c>
      <c r="M11">
        <f t="shared" ca="1" si="2"/>
        <v>3.5712E-4</v>
      </c>
      <c r="N11">
        <f t="shared" ca="1" si="2"/>
        <v>3.6287999999999994E-4</v>
      </c>
      <c r="O11">
        <f t="shared" ca="1" si="2"/>
        <v>3.6863999999999994E-4</v>
      </c>
      <c r="P11" s="32" cm="1">
        <f t="array" aca="1" ref="P11" ca="1">INDIRECT(CONCATENATE("'",HLOOKUP(P$1,$B$21:$E$23,3,FALSE),"'!",$B$25,ROW($A11)+5))*About!$A$27</f>
        <v>3.7439999999999994E-4</v>
      </c>
      <c r="Q11" cm="1">
        <f t="array" aca="1" ref="Q11" ca="1">TREND($K11:$P11,$K$1:$P$1,Q$1)</f>
        <v>3.8015999999999918E-4</v>
      </c>
      <c r="R11" cm="1">
        <f t="array" aca="1" ref="R11" ca="1">TREND($K11:$P11,$K$1:$P$1,R$1)</f>
        <v>3.8591999999999967E-4</v>
      </c>
      <c r="S11" cm="1">
        <f t="array" aca="1" ref="S11" ca="1">TREND($K11:$P11,$K$1:$P$1,S$1)</f>
        <v>3.9167999999999842E-4</v>
      </c>
      <c r="T11" cm="1">
        <f t="array" aca="1" ref="T11" ca="1">TREND($K11:$P11,$K$1:$P$1,T$1)</f>
        <v>3.9743999999999891E-4</v>
      </c>
      <c r="U11" cm="1">
        <f t="array" aca="1" ref="U11" ca="1">TREND($K11:$P11,$K$1:$P$1,U$1)</f>
        <v>4.0319999999999939E-4</v>
      </c>
      <c r="V11" cm="1">
        <f t="array" aca="1" ref="V11" ca="1">TREND($K11:$P11,$K$1:$P$1,V$1)</f>
        <v>4.0895999999999814E-4</v>
      </c>
      <c r="W11" cm="1">
        <f t="array" aca="1" ref="W11" ca="1">TREND($K11:$P11,$K$1:$P$1,W$1)</f>
        <v>4.1471999999999863E-4</v>
      </c>
      <c r="X11" cm="1">
        <f t="array" aca="1" ref="X11" ca="1">TREND($K11:$P11,$K$1:$P$1,X$1)</f>
        <v>4.2047999999999912E-4</v>
      </c>
      <c r="Y11" cm="1">
        <f t="array" aca="1" ref="Y11" ca="1">TREND($K11:$P11,$K$1:$P$1,Y$1)</f>
        <v>4.2623999999999961E-4</v>
      </c>
      <c r="Z11" cm="1">
        <f t="array" aca="1" ref="Z11" ca="1">TREND($K11:$P11,$K$1:$P$1,Z$1)</f>
        <v>4.3199999999999836E-4</v>
      </c>
      <c r="AA11" cm="1">
        <f t="array" aca="1" ref="AA11" ca="1">TREND($K11:$P11,$K$1:$P$1,AA$1)</f>
        <v>4.3775999999999884E-4</v>
      </c>
      <c r="AB11" cm="1">
        <f t="array" aca="1" ref="AB11" ca="1">TREND($K11:$P11,$K$1:$P$1,AB$1)</f>
        <v>4.4351999999999933E-4</v>
      </c>
      <c r="AC11" cm="1">
        <f t="array" aca="1" ref="AC11" ca="1">TREND($K11:$P11,$K$1:$P$1,AC$1)</f>
        <v>4.4927999999999808E-4</v>
      </c>
      <c r="AD11" cm="1">
        <f t="array" aca="1" ref="AD11" ca="1">TREND($K11:$P11,$K$1:$P$1,AD$1)</f>
        <v>4.5503999999999857E-4</v>
      </c>
      <c r="AE11" cm="1">
        <f t="array" aca="1" ref="AE11" ca="1">TREND($K11:$P11,$K$1:$P$1,AE$1)</f>
        <v>4.6079999999999906E-4</v>
      </c>
      <c r="AF11" cm="1">
        <f t="array" aca="1" ref="AF11" ca="1">TREND($K11:$P11,$K$1:$P$1,AF$1)</f>
        <v>4.6655999999999954E-4</v>
      </c>
      <c r="AG11" cm="1">
        <f t="array" aca="1" ref="AG11" ca="1">TREND($K11:$P11,$K$1:$P$1,AG$1)</f>
        <v>4.723199999999983E-4</v>
      </c>
      <c r="AH11" cm="1">
        <f t="array" aca="1" ref="AH11" ca="1">TREND($K11:$P11,$K$1:$P$1,AH$1)</f>
        <v>4.7807999999999878E-4</v>
      </c>
      <c r="AI11" cm="1">
        <f t="array" aca="1" ref="AI11" ca="1">TREND($K11:$P11,$K$1:$P$1,AI$1)</f>
        <v>4.8383999999999927E-4</v>
      </c>
      <c r="AJ11" cm="1">
        <f t="array" aca="1" ref="AJ11" ca="1">TREND($K11:$P11,$K$1:$P$1,AJ$1)</f>
        <v>4.8959999999999802E-4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1.3406400000000001E-3</v>
      </c>
      <c r="C12">
        <f t="shared" ca="1" si="3"/>
        <v>1.3644E-3</v>
      </c>
      <c r="D12">
        <f t="shared" ca="1" si="0"/>
        <v>1.38816E-3</v>
      </c>
      <c r="E12">
        <f t="shared" ca="1" si="0"/>
        <v>1.4119200000000001E-3</v>
      </c>
      <c r="F12" s="33">
        <f ca="1">SUM(INDIRECT(CONCATENATE("'",HLOOKUP(F$1,$B$21:$E$23,3,FALSE),"'!",$B$25,ROW($A12)+5,":",$B$25,ROW($A12)+6)))*About!$A$27</f>
        <v>1.4356799999999999E-3</v>
      </c>
      <c r="G12">
        <f t="shared" ca="1" si="4"/>
        <v>1.4624639999999999E-3</v>
      </c>
      <c r="H12">
        <f t="shared" ca="1" si="1"/>
        <v>1.4892479999999999E-3</v>
      </c>
      <c r="I12">
        <f t="shared" ca="1" si="1"/>
        <v>1.5160320000000001E-3</v>
      </c>
      <c r="J12">
        <f t="shared" ca="1" si="1"/>
        <v>1.542816E-3</v>
      </c>
      <c r="K12" s="33">
        <f ca="1">SUM(INDIRECT(CONCATENATE("'",HLOOKUP(K$1,$B$21:$E$23,3,FALSE),"'!",$B$25,ROW($A12)+5,":",$B$25,ROW($A12)+6)))*About!$A$27</f>
        <v>1.5696E-3</v>
      </c>
      <c r="L12">
        <f t="shared" ca="1" si="5"/>
        <v>1.6041600000000001E-3</v>
      </c>
      <c r="M12">
        <f t="shared" ca="1" si="2"/>
        <v>1.63872E-3</v>
      </c>
      <c r="N12">
        <f t="shared" ca="1" si="2"/>
        <v>1.6732800000000001E-3</v>
      </c>
      <c r="O12">
        <f t="shared" ca="1" si="2"/>
        <v>1.70784E-3</v>
      </c>
      <c r="P12" s="33">
        <f ca="1">SUM(INDIRECT(CONCATENATE("'",HLOOKUP(P$1,$B$21:$E$23,3,FALSE),"'!",$B$25,ROW($A12)+5,":",$B$25,ROW($A12)+6)))*About!$A$27</f>
        <v>1.7424000000000001E-3</v>
      </c>
      <c r="Q12" cm="1">
        <f t="array" aca="1" ref="Q12" ca="1">TREND($K12:$P12,$K$1:$P$1,Q$1)</f>
        <v>1.776960000000008E-3</v>
      </c>
      <c r="R12" cm="1">
        <f t="array" aca="1" ref="R12" ca="1">TREND($K12:$P12,$K$1:$P$1,R$1)</f>
        <v>1.811519999999997E-3</v>
      </c>
      <c r="S12" cm="1">
        <f t="array" aca="1" ref="S12" ca="1">TREND($K12:$P12,$K$1:$P$1,S$1)</f>
        <v>1.8460799999999999E-3</v>
      </c>
      <c r="T12" cm="1">
        <f t="array" aca="1" ref="T12" ca="1">TREND($K12:$P12,$K$1:$P$1,T$1)</f>
        <v>1.8806400000000029E-3</v>
      </c>
      <c r="U12" cm="1">
        <f t="array" aca="1" ref="U12" ca="1">TREND($K12:$P12,$K$1:$P$1,U$1)</f>
        <v>1.9152000000000058E-3</v>
      </c>
      <c r="V12" cm="1">
        <f t="array" aca="1" ref="V12" ca="1">TREND($K12:$P12,$K$1:$P$1,V$1)</f>
        <v>1.9497600000000087E-3</v>
      </c>
      <c r="W12" cm="1">
        <f t="array" aca="1" ref="W12" ca="1">TREND($K12:$P12,$K$1:$P$1,W$1)</f>
        <v>1.9843199999999978E-3</v>
      </c>
      <c r="X12" cm="1">
        <f t="array" aca="1" ref="X12" ca="1">TREND($K12:$P12,$K$1:$P$1,X$1)</f>
        <v>2.0188800000000007E-3</v>
      </c>
      <c r="Y12" cm="1">
        <f t="array" aca="1" ref="Y12" ca="1">TREND($K12:$P12,$K$1:$P$1,Y$1)</f>
        <v>2.0534400000000036E-3</v>
      </c>
      <c r="Z12" cm="1">
        <f t="array" aca="1" ref="Z12" ca="1">TREND($K12:$P12,$K$1:$P$1,Z$1)</f>
        <v>2.0880000000000065E-3</v>
      </c>
      <c r="AA12" cm="1">
        <f t="array" aca="1" ref="AA12" ca="1">TREND($K12:$P12,$K$1:$P$1,AA$1)</f>
        <v>2.1225599999999956E-3</v>
      </c>
      <c r="AB12" cm="1">
        <f t="array" aca="1" ref="AB12" ca="1">TREND($K12:$P12,$K$1:$P$1,AB$1)</f>
        <v>2.1571199999999985E-3</v>
      </c>
      <c r="AC12" cm="1">
        <f t="array" aca="1" ref="AC12" ca="1">TREND($K12:$P12,$K$1:$P$1,AC$1)</f>
        <v>2.1916800000000014E-3</v>
      </c>
      <c r="AD12" cm="1">
        <f t="array" aca="1" ref="AD12" ca="1">TREND($K12:$P12,$K$1:$P$1,AD$1)</f>
        <v>2.2262400000000043E-3</v>
      </c>
      <c r="AE12" cm="1">
        <f t="array" aca="1" ref="AE12" ca="1">TREND($K12:$P12,$K$1:$P$1,AE$1)</f>
        <v>2.2608000000000072E-3</v>
      </c>
      <c r="AF12" cm="1">
        <f t="array" aca="1" ref="AF12" ca="1">TREND($K12:$P12,$K$1:$P$1,AF$1)</f>
        <v>2.2953599999999963E-3</v>
      </c>
      <c r="AG12" cm="1">
        <f t="array" aca="1" ref="AG12" ca="1">TREND($K12:$P12,$K$1:$P$1,AG$1)</f>
        <v>2.3299199999999992E-3</v>
      </c>
      <c r="AH12" cm="1">
        <f t="array" aca="1" ref="AH12" ca="1">TREND($K12:$P12,$K$1:$P$1,AH$1)</f>
        <v>2.3644800000000021E-3</v>
      </c>
      <c r="AI12" cm="1">
        <f t="array" aca="1" ref="AI12" ca="1">TREND($K12:$P12,$K$1:$P$1,AI$1)</f>
        <v>2.3990400000000051E-3</v>
      </c>
      <c r="AJ12" cm="1">
        <f t="array" aca="1" ref="AJ12" ca="1">TREND($K12:$P12,$K$1:$P$1,AJ$1)</f>
        <v>2.433600000000008E-3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HOIpTP-LULUCF-NOx</v>
      </c>
    </row>
    <row r="18" spans="1:5" x14ac:dyDescent="0.25">
      <c r="A18" t="s">
        <v>83</v>
      </c>
      <c r="B18" t="str">
        <f ca="1">RIGHT(B17,LEN(B17)-7)</f>
        <v>LULUCF-NOx</v>
      </c>
    </row>
    <row r="19" spans="1:5" x14ac:dyDescent="0.25">
      <c r="A19" t="s">
        <v>84</v>
      </c>
      <c r="B19" t="str">
        <f ca="1">LEFT(B18,FIND("-",B18)-1)</f>
        <v>LULUCF</v>
      </c>
    </row>
    <row r="20" spans="1:5" x14ac:dyDescent="0.25">
      <c r="A20" t="s">
        <v>85</v>
      </c>
      <c r="B20" t="str">
        <f ca="1">VLOOKUP($B$19,Mappings!$A$22:$B$26,COLUMN(Mappings!$B$21),FALSE)</f>
        <v>on-road mobile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5">
      <c r="A23" s="28" t="s">
        <v>82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5">
      <c r="A24" t="s">
        <v>87</v>
      </c>
      <c r="B24" t="str">
        <f ca="1">REPLACE(B18,1,FIND("-",B18),"")</f>
        <v>NOx</v>
      </c>
    </row>
    <row r="25" spans="1:5" x14ac:dyDescent="0.25">
      <c r="A25" t="s">
        <v>88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528A-A838-4DA0-8F41-C3BEAD5D3470}">
  <sheetPr>
    <tabColor theme="4" tint="-0.249977111117893"/>
  </sheetPr>
  <dimension ref="A1:AJ25"/>
  <sheetViews>
    <sheetView tabSelected="1" workbookViewId="0">
      <selection activeCell="G23" sqref="G23"/>
    </sheetView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6.1919999999999996E-2</v>
      </c>
      <c r="C2">
        <f ca="1">$B2+($F2-$B2)*(C$1-$B$1)/($F$1-$B$1)</f>
        <v>6.2279999999999995E-2</v>
      </c>
      <c r="D2">
        <f t="shared" ref="D2:E12" ca="1" si="0">$B2+($F2-$B2)*(D$1-$B$1)/($F$1-$B$1)</f>
        <v>6.2640000000000001E-2</v>
      </c>
      <c r="E2">
        <f t="shared" ca="1" si="0"/>
        <v>6.3E-2</v>
      </c>
      <c r="F2" s="31" cm="1">
        <f t="array" aca="1" ref="F2" ca="1">INDIRECT(CONCATENATE("'",HLOOKUP(F$1,$B$21:$E$23,3,FALSE),"'!",$B$25,ROW($A2)+3))*About!$A$27</f>
        <v>6.336E-2</v>
      </c>
      <c r="G2">
        <f ca="1">$F2+($K2-$F2)*(G$1-$F$1)/($K$1-$F$1)</f>
        <v>6.4512E-2</v>
      </c>
      <c r="H2">
        <f t="shared" ref="H2:J12" ca="1" si="1">$F2+($K2-$F2)*(H$1-$F$1)/($K$1-$F$1)</f>
        <v>6.5664E-2</v>
      </c>
      <c r="I2">
        <f t="shared" ca="1" si="1"/>
        <v>6.6816E-2</v>
      </c>
      <c r="J2">
        <f t="shared" ca="1" si="1"/>
        <v>6.7968000000000001E-2</v>
      </c>
      <c r="K2" s="31" cm="1">
        <f t="array" aca="1" ref="K2" ca="1">INDIRECT(CONCATENATE("'",HLOOKUP(K$1,$B$21:$E$23,3,FALSE),"'!",$B$25,ROW($A2)+3))*About!$A$27</f>
        <v>6.9120000000000001E-2</v>
      </c>
      <c r="L2">
        <f ca="1">$K2+($P2-$K2)*(L$1-$K$1)/($P$1-$K$1)</f>
        <v>6.9984000000000005E-2</v>
      </c>
      <c r="M2">
        <f t="shared" ref="M2:O12" ca="1" si="2">$K2+($P2-$K2)*(M$1-$K$1)/($P$1-$K$1)</f>
        <v>7.0847999999999994E-2</v>
      </c>
      <c r="N2">
        <f t="shared" ca="1" si="2"/>
        <v>7.1711999999999998E-2</v>
      </c>
      <c r="O2">
        <f t="shared" ca="1" si="2"/>
        <v>7.2575999999999988E-2</v>
      </c>
      <c r="P2" s="31" cm="1">
        <f t="array" aca="1" ref="P2" ca="1">INDIRECT(CONCATENATE("'",HLOOKUP(P$1,$B$21:$E$23,3,FALSE),"'!",$B$25,ROW($A2)+3))*About!$A$27</f>
        <v>7.3439999999999991E-2</v>
      </c>
      <c r="Q2" cm="1">
        <f t="array" aca="1" ref="Q2" ca="1">TREND($K2:$P2,$K$1:$P$1,Q$1)</f>
        <v>7.4303999999999926E-2</v>
      </c>
      <c r="R2" cm="1">
        <f t="array" aca="1" ref="R2" ca="1">TREND($K2:$P2,$K$1:$P$1,R$1)</f>
        <v>7.5167999999999902E-2</v>
      </c>
      <c r="S2" cm="1">
        <f t="array" aca="1" ref="S2" ca="1">TREND($K2:$P2,$K$1:$P$1,S$1)</f>
        <v>7.60320000000001E-2</v>
      </c>
      <c r="T2" cm="1">
        <f t="array" aca="1" ref="T2" ca="1">TREND($K2:$P2,$K$1:$P$1,T$1)</f>
        <v>7.6896000000000075E-2</v>
      </c>
      <c r="U2" cm="1">
        <f t="array" aca="1" ref="U2" ca="1">TREND($K2:$P2,$K$1:$P$1,U$1)</f>
        <v>7.7760000000000051E-2</v>
      </c>
      <c r="V2" cm="1">
        <f t="array" aca="1" ref="V2" ca="1">TREND($K2:$P2,$K$1:$P$1,V$1)</f>
        <v>7.8624000000000027E-2</v>
      </c>
      <c r="W2" cm="1">
        <f t="array" aca="1" ref="W2" ca="1">TREND($K2:$P2,$K$1:$P$1,W$1)</f>
        <v>7.9488000000000003E-2</v>
      </c>
      <c r="X2" cm="1">
        <f t="array" aca="1" ref="X2" ca="1">TREND($K2:$P2,$K$1:$P$1,X$1)</f>
        <v>8.0351999999999979E-2</v>
      </c>
      <c r="Y2" cm="1">
        <f t="array" aca="1" ref="Y2" ca="1">TREND($K2:$P2,$K$1:$P$1,Y$1)</f>
        <v>8.1215999999999955E-2</v>
      </c>
      <c r="Z2" cm="1">
        <f t="array" aca="1" ref="Z2" ca="1">TREND($K2:$P2,$K$1:$P$1,Z$1)</f>
        <v>8.2079999999999931E-2</v>
      </c>
      <c r="AA2" cm="1">
        <f t="array" aca="1" ref="AA2" ca="1">TREND($K2:$P2,$K$1:$P$1,AA$1)</f>
        <v>8.2943999999999907E-2</v>
      </c>
      <c r="AB2" cm="1">
        <f t="array" aca="1" ref="AB2" ca="1">TREND($K2:$P2,$K$1:$P$1,AB$1)</f>
        <v>8.3807999999999883E-2</v>
      </c>
      <c r="AC2" cm="1">
        <f t="array" aca="1" ref="AC2" ca="1">TREND($K2:$P2,$K$1:$P$1,AC$1)</f>
        <v>8.4672000000000081E-2</v>
      </c>
      <c r="AD2" cm="1">
        <f t="array" aca="1" ref="AD2" ca="1">TREND($K2:$P2,$K$1:$P$1,AD$1)</f>
        <v>8.5536000000000056E-2</v>
      </c>
      <c r="AE2" cm="1">
        <f t="array" aca="1" ref="AE2" ca="1">TREND($K2:$P2,$K$1:$P$1,AE$1)</f>
        <v>8.6400000000000032E-2</v>
      </c>
      <c r="AF2" cm="1">
        <f t="array" aca="1" ref="AF2" ca="1">TREND($K2:$P2,$K$1:$P$1,AF$1)</f>
        <v>8.7264000000000008E-2</v>
      </c>
      <c r="AG2" cm="1">
        <f t="array" aca="1" ref="AG2" ca="1">TREND($K2:$P2,$K$1:$P$1,AG$1)</f>
        <v>8.8127999999999984E-2</v>
      </c>
      <c r="AH2" cm="1">
        <f t="array" aca="1" ref="AH2" ca="1">TREND($K2:$P2,$K$1:$P$1,AH$1)</f>
        <v>8.899199999999996E-2</v>
      </c>
      <c r="AI2" cm="1">
        <f t="array" aca="1" ref="AI2" ca="1">TREND($K2:$P2,$K$1:$P$1,AI$1)</f>
        <v>8.9855999999999936E-2</v>
      </c>
      <c r="AJ2" cm="1">
        <f t="array" aca="1" ref="AJ2" ca="1">TREND($K2:$P2,$K$1:$P$1,AJ$1)</f>
        <v>9.0719999999999912E-2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3.5999999999999997E-2</v>
      </c>
      <c r="C3">
        <f t="shared" ref="C3:C12" ca="1" si="3">$B3+($F3-$B3)*(C$1-$B$1)/($F$1-$B$1)</f>
        <v>3.6359999999999996E-2</v>
      </c>
      <c r="D3">
        <f t="shared" ca="1" si="0"/>
        <v>3.6719999999999996E-2</v>
      </c>
      <c r="E3">
        <f t="shared" ca="1" si="0"/>
        <v>3.7079999999999995E-2</v>
      </c>
      <c r="F3" s="32" cm="1">
        <f t="array" aca="1" ref="F3" ca="1">INDIRECT(CONCATENATE("'",HLOOKUP(F$1,$B$21:$E$23,3,FALSE),"'!",$B$25,ROW($A3)+5))*About!$A$27</f>
        <v>3.7439999999999994E-2</v>
      </c>
      <c r="G3">
        <f t="shared" ref="G3:G12" ca="1" si="4">$F3+($K3-$F3)*(G$1-$F$1)/($K$1-$F$1)</f>
        <v>3.7727999999999998E-2</v>
      </c>
      <c r="H3">
        <f t="shared" ca="1" si="1"/>
        <v>3.8015999999999994E-2</v>
      </c>
      <c r="I3">
        <f t="shared" ca="1" si="1"/>
        <v>3.8303999999999998E-2</v>
      </c>
      <c r="J3">
        <f t="shared" ca="1" si="1"/>
        <v>3.8591999999999994E-2</v>
      </c>
      <c r="K3" s="32" cm="1">
        <f t="array" aca="1" ref="K3" ca="1">INDIRECT(CONCATENATE("'",HLOOKUP(K$1,$B$21:$E$23,3,FALSE),"'!",$B$25,ROW($A3)+5))*About!$A$27</f>
        <v>3.8879999999999998E-2</v>
      </c>
      <c r="L3">
        <f t="shared" ref="L3:L12" ca="1" si="5">$K3+($P3-$K3)*(L$1-$K$1)/($P$1-$K$1)</f>
        <v>3.9168000000000001E-2</v>
      </c>
      <c r="M3">
        <f t="shared" ca="1" si="2"/>
        <v>3.9455999999999998E-2</v>
      </c>
      <c r="N3">
        <f t="shared" ca="1" si="2"/>
        <v>3.9744000000000002E-2</v>
      </c>
      <c r="O3">
        <f t="shared" ca="1" si="2"/>
        <v>4.0031999999999998E-2</v>
      </c>
      <c r="P3" s="32" cm="1">
        <f t="array" aca="1" ref="P3" ca="1">INDIRECT(CONCATENATE("'",HLOOKUP(P$1,$B$21:$E$23,3,FALSE),"'!",$B$25,ROW($A3)+5))*About!$A$27</f>
        <v>4.0320000000000002E-2</v>
      </c>
      <c r="Q3" cm="1">
        <f t="array" aca="1" ref="Q3" ca="1">TREND($K3:$P3,$K$1:$P$1,Q$1)</f>
        <v>4.0607999999999977E-2</v>
      </c>
      <c r="R3" cm="1">
        <f t="array" aca="1" ref="R3" ca="1">TREND($K3:$P3,$K$1:$P$1,R$1)</f>
        <v>4.0895999999999932E-2</v>
      </c>
      <c r="S3" cm="1">
        <f t="array" aca="1" ref="S3" ca="1">TREND($K3:$P3,$K$1:$P$1,S$1)</f>
        <v>4.1183999999999998E-2</v>
      </c>
      <c r="T3" cm="1">
        <f t="array" aca="1" ref="T3" ca="1">TREND($K3:$P3,$K$1:$P$1,T$1)</f>
        <v>4.1471999999999953E-2</v>
      </c>
      <c r="U3" cm="1">
        <f t="array" aca="1" ref="U3" ca="1">TREND($K3:$P3,$K$1:$P$1,U$1)</f>
        <v>4.1760000000000019E-2</v>
      </c>
      <c r="V3" cm="1">
        <f t="array" aca="1" ref="V3" ca="1">TREND($K3:$P3,$K$1:$P$1,V$1)</f>
        <v>4.2047999999999974E-2</v>
      </c>
      <c r="W3" cm="1">
        <f t="array" aca="1" ref="W3" ca="1">TREND($K3:$P3,$K$1:$P$1,W$1)</f>
        <v>4.2335999999999929E-2</v>
      </c>
      <c r="X3" cm="1">
        <f t="array" aca="1" ref="X3" ca="1">TREND($K3:$P3,$K$1:$P$1,X$1)</f>
        <v>4.2623999999999995E-2</v>
      </c>
      <c r="Y3" cm="1">
        <f t="array" aca="1" ref="Y3" ca="1">TREND($K3:$P3,$K$1:$P$1,Y$1)</f>
        <v>4.291199999999995E-2</v>
      </c>
      <c r="Z3" cm="1">
        <f t="array" aca="1" ref="Z3" ca="1">TREND($K3:$P3,$K$1:$P$1,Z$1)</f>
        <v>4.3200000000000016E-2</v>
      </c>
      <c r="AA3" cm="1">
        <f t="array" aca="1" ref="AA3" ca="1">TREND($K3:$P3,$K$1:$P$1,AA$1)</f>
        <v>4.3487999999999971E-2</v>
      </c>
      <c r="AB3" cm="1">
        <f t="array" aca="1" ref="AB3" ca="1">TREND($K3:$P3,$K$1:$P$1,AB$1)</f>
        <v>4.3776000000000037E-2</v>
      </c>
      <c r="AC3" cm="1">
        <f t="array" aca="1" ref="AC3" ca="1">TREND($K3:$P3,$K$1:$P$1,AC$1)</f>
        <v>4.4063999999999992E-2</v>
      </c>
      <c r="AD3" cm="1">
        <f t="array" aca="1" ref="AD3" ca="1">TREND($K3:$P3,$K$1:$P$1,AD$1)</f>
        <v>4.4351999999999947E-2</v>
      </c>
      <c r="AE3" cm="1">
        <f t="array" aca="1" ref="AE3" ca="1">TREND($K3:$P3,$K$1:$P$1,AE$1)</f>
        <v>4.4640000000000013E-2</v>
      </c>
      <c r="AF3" cm="1">
        <f t="array" aca="1" ref="AF3" ca="1">TREND($K3:$P3,$K$1:$P$1,AF$1)</f>
        <v>4.4927999999999968E-2</v>
      </c>
      <c r="AG3" cm="1">
        <f t="array" aca="1" ref="AG3" ca="1">TREND($K3:$P3,$K$1:$P$1,AG$1)</f>
        <v>4.5216000000000034E-2</v>
      </c>
      <c r="AH3" cm="1">
        <f t="array" aca="1" ref="AH3" ca="1">TREND($K3:$P3,$K$1:$P$1,AH$1)</f>
        <v>4.5503999999999989E-2</v>
      </c>
      <c r="AI3" cm="1">
        <f t="array" aca="1" ref="AI3" ca="1">TREND($K3:$P3,$K$1:$P$1,AI$1)</f>
        <v>4.5791999999999944E-2</v>
      </c>
      <c r="AJ3" cm="1">
        <f t="array" aca="1" ref="AJ3" ca="1">TREND($K3:$P3,$K$1:$P$1,AJ$1)</f>
        <v>4.608000000000001E-2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9.2159999999999992E-2</v>
      </c>
      <c r="C4">
        <f t="shared" ca="1" si="3"/>
        <v>9.2159999999999992E-2</v>
      </c>
      <c r="D4">
        <f t="shared" ca="1" si="0"/>
        <v>9.2159999999999992E-2</v>
      </c>
      <c r="E4">
        <f t="shared" ca="1" si="0"/>
        <v>9.2159999999999992E-2</v>
      </c>
      <c r="F4" s="32" cm="1">
        <f t="array" aca="1" ref="F4" ca="1">INDIRECT(CONCATENATE("'",HLOOKUP(F$1,$B$21:$E$23,3,FALSE),"'!",$B$25,ROW($A4)+5))*About!$A$27</f>
        <v>9.2159999999999992E-2</v>
      </c>
      <c r="G4">
        <f t="shared" ca="1" si="4"/>
        <v>9.3023999999999996E-2</v>
      </c>
      <c r="H4">
        <f t="shared" ca="1" si="1"/>
        <v>9.3887999999999999E-2</v>
      </c>
      <c r="I4">
        <f t="shared" ca="1" si="1"/>
        <v>9.4751999999999989E-2</v>
      </c>
      <c r="J4">
        <f t="shared" ca="1" si="1"/>
        <v>9.5615999999999993E-2</v>
      </c>
      <c r="K4" s="32" cm="1">
        <f t="array" aca="1" ref="K4" ca="1">INDIRECT(CONCATENATE("'",HLOOKUP(K$1,$B$21:$E$23,3,FALSE),"'!",$B$25,ROW($A4)+5))*About!$A$27</f>
        <v>9.6479999999999996E-2</v>
      </c>
      <c r="L4">
        <f t="shared" ca="1" si="5"/>
        <v>9.820799999999999E-2</v>
      </c>
      <c r="M4">
        <f t="shared" ca="1" si="2"/>
        <v>9.9935999999999997E-2</v>
      </c>
      <c r="N4">
        <f t="shared" ca="1" si="2"/>
        <v>0.10166399999999999</v>
      </c>
      <c r="O4">
        <f t="shared" ca="1" si="2"/>
        <v>0.103392</v>
      </c>
      <c r="P4" s="32" cm="1">
        <f t="array" aca="1" ref="P4" ca="1">INDIRECT(CONCATENATE("'",HLOOKUP(P$1,$B$21:$E$23,3,FALSE),"'!",$B$25,ROW($A4)+5))*About!$A$27</f>
        <v>0.10511999999999999</v>
      </c>
      <c r="Q4" cm="1">
        <f t="array" aca="1" ref="Q4" ca="1">TREND($K4:$P4,$K$1:$P$1,Q$1)</f>
        <v>0.10684799999999983</v>
      </c>
      <c r="R4" cm="1">
        <f t="array" aca="1" ref="R4" ca="1">TREND($K4:$P4,$K$1:$P$1,R$1)</f>
        <v>0.10857599999999978</v>
      </c>
      <c r="S4" cm="1">
        <f t="array" aca="1" ref="S4" ca="1">TREND($K4:$P4,$K$1:$P$1,S$1)</f>
        <v>0.11030399999999974</v>
      </c>
      <c r="T4" cm="1">
        <f t="array" aca="1" ref="T4" ca="1">TREND($K4:$P4,$K$1:$P$1,T$1)</f>
        <v>0.11203199999999969</v>
      </c>
      <c r="U4" cm="1">
        <f t="array" aca="1" ref="U4" ca="1">TREND($K4:$P4,$K$1:$P$1,U$1)</f>
        <v>0.11376000000000008</v>
      </c>
      <c r="V4" cm="1">
        <f t="array" aca="1" ref="V4" ca="1">TREND($K4:$P4,$K$1:$P$1,V$1)</f>
        <v>0.11548800000000004</v>
      </c>
      <c r="W4" cm="1">
        <f t="array" aca="1" ref="W4" ca="1">TREND($K4:$P4,$K$1:$P$1,W$1)</f>
        <v>0.11721599999999999</v>
      </c>
      <c r="X4" cm="1">
        <f t="array" aca="1" ref="X4" ca="1">TREND($K4:$P4,$K$1:$P$1,X$1)</f>
        <v>0.11894399999999994</v>
      </c>
      <c r="Y4" cm="1">
        <f t="array" aca="1" ref="Y4" ca="1">TREND($K4:$P4,$K$1:$P$1,Y$1)</f>
        <v>0.12067199999999989</v>
      </c>
      <c r="Z4" cm="1">
        <f t="array" aca="1" ref="Z4" ca="1">TREND($K4:$P4,$K$1:$P$1,Z$1)</f>
        <v>0.12239999999999984</v>
      </c>
      <c r="AA4" cm="1">
        <f t="array" aca="1" ref="AA4" ca="1">TREND($K4:$P4,$K$1:$P$1,AA$1)</f>
        <v>0.12412799999999979</v>
      </c>
      <c r="AB4" cm="1">
        <f t="array" aca="1" ref="AB4" ca="1">TREND($K4:$P4,$K$1:$P$1,AB$1)</f>
        <v>0.12585599999999975</v>
      </c>
      <c r="AC4" cm="1">
        <f t="array" aca="1" ref="AC4" ca="1">TREND($K4:$P4,$K$1:$P$1,AC$1)</f>
        <v>0.1275839999999997</v>
      </c>
      <c r="AD4" cm="1">
        <f t="array" aca="1" ref="AD4" ca="1">TREND($K4:$P4,$K$1:$P$1,AD$1)</f>
        <v>0.12931200000000009</v>
      </c>
      <c r="AE4" cm="1">
        <f t="array" aca="1" ref="AE4" ca="1">TREND($K4:$P4,$K$1:$P$1,AE$1)</f>
        <v>0.13104000000000005</v>
      </c>
      <c r="AF4" cm="1">
        <f t="array" aca="1" ref="AF4" ca="1">TREND($K4:$P4,$K$1:$P$1,AF$1)</f>
        <v>0.132768</v>
      </c>
      <c r="AG4" cm="1">
        <f t="array" aca="1" ref="AG4" ca="1">TREND($K4:$P4,$K$1:$P$1,AG$1)</f>
        <v>0.13449599999999995</v>
      </c>
      <c r="AH4" cm="1">
        <f t="array" aca="1" ref="AH4" ca="1">TREND($K4:$P4,$K$1:$P$1,AH$1)</f>
        <v>0.1362239999999999</v>
      </c>
      <c r="AI4" cm="1">
        <f t="array" aca="1" ref="AI4" ca="1">TREND($K4:$P4,$K$1:$P$1,AI$1)</f>
        <v>0.13795199999999985</v>
      </c>
      <c r="AJ4" cm="1">
        <f t="array" aca="1" ref="AJ4" ca="1">TREND($K4:$P4,$K$1:$P$1,AJ$1)</f>
        <v>0.1396799999999998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1.1664000000000001</v>
      </c>
      <c r="C5">
        <f t="shared" ca="1" si="3"/>
        <v>1.17</v>
      </c>
      <c r="D5">
        <f t="shared" ca="1" si="0"/>
        <v>1.1736</v>
      </c>
      <c r="E5">
        <f t="shared" ca="1" si="0"/>
        <v>1.1772</v>
      </c>
      <c r="F5" s="32" cm="1">
        <f t="array" aca="1" ref="F5" ca="1">INDIRECT(CONCATENATE("'",HLOOKUP(F$1,$B$21:$E$23,3,FALSE),"'!",$B$25,ROW($A5)+5))*About!$A$27</f>
        <v>1.1807999999999998</v>
      </c>
      <c r="G5">
        <f t="shared" ca="1" si="4"/>
        <v>1.1923199999999998</v>
      </c>
      <c r="H5">
        <f t="shared" ca="1" si="1"/>
        <v>1.2038399999999998</v>
      </c>
      <c r="I5">
        <f t="shared" ca="1" si="1"/>
        <v>1.21536</v>
      </c>
      <c r="J5">
        <f t="shared" ca="1" si="1"/>
        <v>1.22688</v>
      </c>
      <c r="K5" s="32" cm="1">
        <f t="array" aca="1" ref="K5" ca="1">INDIRECT(CONCATENATE("'",HLOOKUP(K$1,$B$21:$E$23,3,FALSE),"'!",$B$25,ROW($A5)+5))*About!$A$27</f>
        <v>1.2383999999999999</v>
      </c>
      <c r="L5">
        <f t="shared" ca="1" si="5"/>
        <v>1.2585599999999999</v>
      </c>
      <c r="M5">
        <f t="shared" ca="1" si="2"/>
        <v>1.2787199999999999</v>
      </c>
      <c r="N5">
        <f t="shared" ca="1" si="2"/>
        <v>1.29888</v>
      </c>
      <c r="O5">
        <f t="shared" ca="1" si="2"/>
        <v>1.31904</v>
      </c>
      <c r="P5" s="32" cm="1">
        <f t="array" aca="1" ref="P5" ca="1">INDIRECT(CONCATENATE("'",HLOOKUP(P$1,$B$21:$E$23,3,FALSE),"'!",$B$25,ROW($A5)+5))*About!$A$27</f>
        <v>1.3391999999999999</v>
      </c>
      <c r="Q5" cm="1">
        <f t="array" aca="1" ref="Q5" ca="1">TREND($K5:$P5,$K$1:$P$1,Q$1)</f>
        <v>1.3593600000000023</v>
      </c>
      <c r="R5" cm="1">
        <f t="array" aca="1" ref="R5" ca="1">TREND($K5:$P5,$K$1:$P$1,R$1)</f>
        <v>1.3795199999999994</v>
      </c>
      <c r="S5" cm="1">
        <f t="array" aca="1" ref="S5" ca="1">TREND($K5:$P5,$K$1:$P$1,S$1)</f>
        <v>1.3996800000000036</v>
      </c>
      <c r="T5" cm="1">
        <f t="array" aca="1" ref="T5" ca="1">TREND($K5:$P5,$K$1:$P$1,T$1)</f>
        <v>1.4198400000000007</v>
      </c>
      <c r="U5" cm="1">
        <f t="array" aca="1" ref="U5" ca="1">TREND($K5:$P5,$K$1:$P$1,U$1)</f>
        <v>1.4400000000000048</v>
      </c>
      <c r="V5" cm="1">
        <f t="array" aca="1" ref="V5" ca="1">TREND($K5:$P5,$K$1:$P$1,V$1)</f>
        <v>1.4601600000000019</v>
      </c>
      <c r="W5" cm="1">
        <f t="array" aca="1" ref="W5" ca="1">TREND($K5:$P5,$K$1:$P$1,W$1)</f>
        <v>1.480319999999999</v>
      </c>
      <c r="X5" cm="1">
        <f t="array" aca="1" ref="X5" ca="1">TREND($K5:$P5,$K$1:$P$1,X$1)</f>
        <v>1.5004800000000031</v>
      </c>
      <c r="Y5" cm="1">
        <f t="array" aca="1" ref="Y5" ca="1">TREND($K5:$P5,$K$1:$P$1,Y$1)</f>
        <v>1.5206400000000002</v>
      </c>
      <c r="Z5" cm="1">
        <f t="array" aca="1" ref="Z5" ca="1">TREND($K5:$P5,$K$1:$P$1,Z$1)</f>
        <v>1.5408000000000044</v>
      </c>
      <c r="AA5" cm="1">
        <f t="array" aca="1" ref="AA5" ca="1">TREND($K5:$P5,$K$1:$P$1,AA$1)</f>
        <v>1.5609600000000015</v>
      </c>
      <c r="AB5" cm="1">
        <f t="array" aca="1" ref="AB5" ca="1">TREND($K5:$P5,$K$1:$P$1,AB$1)</f>
        <v>1.5811200000000056</v>
      </c>
      <c r="AC5" cm="1">
        <f t="array" aca="1" ref="AC5" ca="1">TREND($K5:$P5,$K$1:$P$1,AC$1)</f>
        <v>1.6012800000000027</v>
      </c>
      <c r="AD5" cm="1">
        <f t="array" aca="1" ref="AD5" ca="1">TREND($K5:$P5,$K$1:$P$1,AD$1)</f>
        <v>1.6214399999999998</v>
      </c>
      <c r="AE5" cm="1">
        <f t="array" aca="1" ref="AE5" ca="1">TREND($K5:$P5,$K$1:$P$1,AE$1)</f>
        <v>1.6416000000000039</v>
      </c>
      <c r="AF5" cm="1">
        <f t="array" aca="1" ref="AF5" ca="1">TREND($K5:$P5,$K$1:$P$1,AF$1)</f>
        <v>1.661760000000001</v>
      </c>
      <c r="AG5" cm="1">
        <f t="array" aca="1" ref="AG5" ca="1">TREND($K5:$P5,$K$1:$P$1,AG$1)</f>
        <v>1.6819200000000052</v>
      </c>
      <c r="AH5" cm="1">
        <f t="array" aca="1" ref="AH5" ca="1">TREND($K5:$P5,$K$1:$P$1,AH$1)</f>
        <v>1.7020800000000023</v>
      </c>
      <c r="AI5" cm="1">
        <f t="array" aca="1" ref="AI5" ca="1">TREND($K5:$P5,$K$1:$P$1,AI$1)</f>
        <v>1.7222399999999993</v>
      </c>
      <c r="AJ5" cm="1">
        <f t="array" aca="1" ref="AJ5" ca="1">TREND($K5:$P5,$K$1:$P$1,AJ$1)</f>
        <v>1.7424000000000035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1.728</v>
      </c>
      <c r="C6">
        <f t="shared" ca="1" si="3"/>
        <v>1.728</v>
      </c>
      <c r="D6">
        <f t="shared" ca="1" si="0"/>
        <v>1.728</v>
      </c>
      <c r="E6">
        <f t="shared" ca="1" si="0"/>
        <v>1.728</v>
      </c>
      <c r="F6" s="32" cm="1">
        <f t="array" aca="1" ref="F6" ca="1">INDIRECT(CONCATENATE("'",HLOOKUP(F$1,$B$21:$E$23,3,FALSE),"'!",$B$25,ROW($A6)+5))*About!$A$27</f>
        <v>1.728</v>
      </c>
      <c r="G6">
        <f t="shared" ca="1" si="4"/>
        <v>1.728</v>
      </c>
      <c r="H6">
        <f t="shared" ca="1" si="1"/>
        <v>1.728</v>
      </c>
      <c r="I6">
        <f t="shared" ca="1" si="1"/>
        <v>1.728</v>
      </c>
      <c r="J6">
        <f t="shared" ca="1" si="1"/>
        <v>1.728</v>
      </c>
      <c r="K6" s="32" cm="1">
        <f t="array" aca="1" ref="K6" ca="1">INDIRECT(CONCATENATE("'",HLOOKUP(K$1,$B$21:$E$23,3,FALSE),"'!",$B$25,ROW($A6)+5))*About!$A$27</f>
        <v>1.728</v>
      </c>
      <c r="L6">
        <f t="shared" ca="1" si="5"/>
        <v>1.7567999999999999</v>
      </c>
      <c r="M6">
        <f t="shared" ca="1" si="2"/>
        <v>1.7855999999999999</v>
      </c>
      <c r="N6">
        <f t="shared" ca="1" si="2"/>
        <v>1.8144</v>
      </c>
      <c r="O6">
        <f t="shared" ca="1" si="2"/>
        <v>1.8431999999999999</v>
      </c>
      <c r="P6" s="32" cm="1">
        <f t="array" aca="1" ref="P6" ca="1">INDIRECT(CONCATENATE("'",HLOOKUP(P$1,$B$21:$E$23,3,FALSE),"'!",$B$25,ROW($A6)+5))*About!$A$27</f>
        <v>1.8719999999999999</v>
      </c>
      <c r="Q6" cm="1">
        <f t="array" aca="1" ref="Q6" ca="1">TREND($K6:$P6,$K$1:$P$1,Q$1)</f>
        <v>1.9007999999999967</v>
      </c>
      <c r="R6" cm="1">
        <f t="array" aca="1" ref="R6" ca="1">TREND($K6:$P6,$K$1:$P$1,R$1)</f>
        <v>1.9296000000000006</v>
      </c>
      <c r="S6" cm="1">
        <f t="array" aca="1" ref="S6" ca="1">TREND($K6:$P6,$K$1:$P$1,S$1)</f>
        <v>1.9583999999999975</v>
      </c>
      <c r="T6" cm="1">
        <f t="array" aca="1" ref="T6" ca="1">TREND($K6:$P6,$K$1:$P$1,T$1)</f>
        <v>1.9872000000000014</v>
      </c>
      <c r="U6" cm="1">
        <f t="array" aca="1" ref="U6" ca="1">TREND($K6:$P6,$K$1:$P$1,U$1)</f>
        <v>2.0159999999999982</v>
      </c>
      <c r="V6" cm="1">
        <f t="array" aca="1" ref="V6" ca="1">TREND($K6:$P6,$K$1:$P$1,V$1)</f>
        <v>2.0448000000000022</v>
      </c>
      <c r="W6" cm="1">
        <f t="array" aca="1" ref="W6" ca="1">TREND($K6:$P6,$K$1:$P$1,W$1)</f>
        <v>2.073599999999999</v>
      </c>
      <c r="X6" cm="1">
        <f t="array" aca="1" ref="X6" ca="1">TREND($K6:$P6,$K$1:$P$1,X$1)</f>
        <v>2.1024000000000029</v>
      </c>
      <c r="Y6" cm="1">
        <f t="array" aca="1" ref="Y6" ca="1">TREND($K6:$P6,$K$1:$P$1,Y$1)</f>
        <v>2.1311999999999998</v>
      </c>
      <c r="Z6" cm="1">
        <f t="array" aca="1" ref="Z6" ca="1">TREND($K6:$P6,$K$1:$P$1,Z$1)</f>
        <v>2.1599999999999966</v>
      </c>
      <c r="AA6" cm="1">
        <f t="array" aca="1" ref="AA6" ca="1">TREND($K6:$P6,$K$1:$P$1,AA$1)</f>
        <v>2.1888000000000005</v>
      </c>
      <c r="AB6" cm="1">
        <f t="array" aca="1" ref="AB6" ca="1">TREND($K6:$P6,$K$1:$P$1,AB$1)</f>
        <v>2.2175999999999974</v>
      </c>
      <c r="AC6" cm="1">
        <f t="array" aca="1" ref="AC6" ca="1">TREND($K6:$P6,$K$1:$P$1,AC$1)</f>
        <v>2.2464000000000013</v>
      </c>
      <c r="AD6" cm="1">
        <f t="array" aca="1" ref="AD6" ca="1">TREND($K6:$P6,$K$1:$P$1,AD$1)</f>
        <v>2.2751999999999981</v>
      </c>
      <c r="AE6" cm="1">
        <f t="array" aca="1" ref="AE6" ca="1">TREND($K6:$P6,$K$1:$P$1,AE$1)</f>
        <v>2.304000000000002</v>
      </c>
      <c r="AF6" cm="1">
        <f t="array" aca="1" ref="AF6" ca="1">TREND($K6:$P6,$K$1:$P$1,AF$1)</f>
        <v>2.3327999999999989</v>
      </c>
      <c r="AG6" cm="1">
        <f t="array" aca="1" ref="AG6" ca="1">TREND($K6:$P6,$K$1:$P$1,AG$1)</f>
        <v>2.3616000000000028</v>
      </c>
      <c r="AH6" cm="1">
        <f t="array" aca="1" ref="AH6" ca="1">TREND($K6:$P6,$K$1:$P$1,AH$1)</f>
        <v>2.3903999999999996</v>
      </c>
      <c r="AI6" cm="1">
        <f t="array" aca="1" ref="AI6" ca="1">TREND($K6:$P6,$K$1:$P$1,AI$1)</f>
        <v>2.4191999999999965</v>
      </c>
      <c r="AJ6" cm="1">
        <f t="array" aca="1" ref="AJ6" ca="1">TREND($K6:$P6,$K$1:$P$1,AJ$1)</f>
        <v>2.4480000000000004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50.4</v>
      </c>
      <c r="C7">
        <f t="shared" ca="1" si="3"/>
        <v>50.76</v>
      </c>
      <c r="D7">
        <f t="shared" ca="1" si="0"/>
        <v>51.12</v>
      </c>
      <c r="E7">
        <f t="shared" ca="1" si="0"/>
        <v>51.48</v>
      </c>
      <c r="F7" s="32" cm="1">
        <f t="array" aca="1" ref="F7" ca="1">INDIRECT(CONCATENATE("'",HLOOKUP(F$1,$B$21:$E$23,3,FALSE),"'!",$B$25,ROW($A7)+5))*About!$A$27</f>
        <v>51.839999999999996</v>
      </c>
      <c r="G7">
        <f t="shared" ca="1" si="4"/>
        <v>51.839999999999996</v>
      </c>
      <c r="H7">
        <f t="shared" ca="1" si="1"/>
        <v>51.839999999999996</v>
      </c>
      <c r="I7">
        <f t="shared" ca="1" si="1"/>
        <v>51.839999999999996</v>
      </c>
      <c r="J7">
        <f t="shared" ca="1" si="1"/>
        <v>51.839999999999996</v>
      </c>
      <c r="K7" s="32" cm="1">
        <f t="array" aca="1" ref="K7" ca="1">INDIRECT(CONCATENATE("'",HLOOKUP(K$1,$B$21:$E$23,3,FALSE),"'!",$B$25,ROW($A7)+5))*About!$A$27</f>
        <v>51.839999999999996</v>
      </c>
      <c r="L7">
        <f t="shared" ca="1" si="5"/>
        <v>52.128</v>
      </c>
      <c r="M7">
        <f t="shared" ca="1" si="2"/>
        <v>52.415999999999997</v>
      </c>
      <c r="N7">
        <f t="shared" ca="1" si="2"/>
        <v>52.704000000000001</v>
      </c>
      <c r="O7">
        <f t="shared" ca="1" si="2"/>
        <v>52.991999999999997</v>
      </c>
      <c r="P7" s="32" cm="1">
        <f t="array" aca="1" ref="P7" ca="1">INDIRECT(CONCATENATE("'",HLOOKUP(P$1,$B$21:$E$23,3,FALSE),"'!",$B$25,ROW($A7)+5))*About!$A$27</f>
        <v>53.28</v>
      </c>
      <c r="Q7" cm="1">
        <f t="array" aca="1" ref="Q7" ca="1">TREND($K7:$P7,$K$1:$P$1,Q$1)</f>
        <v>53.567999999999984</v>
      </c>
      <c r="R7" cm="1">
        <f t="array" aca="1" ref="R7" ca="1">TREND($K7:$P7,$K$1:$P$1,R$1)</f>
        <v>53.855999999999881</v>
      </c>
      <c r="S7" cm="1">
        <f t="array" aca="1" ref="S7" ca="1">TREND($K7:$P7,$K$1:$P$1,S$1)</f>
        <v>54.143999999999892</v>
      </c>
      <c r="T7" cm="1">
        <f t="array" aca="1" ref="T7" ca="1">TREND($K7:$P7,$K$1:$P$1,T$1)</f>
        <v>54.431999999999903</v>
      </c>
      <c r="U7" cm="1">
        <f t="array" aca="1" ref="U7" ca="1">TREND($K7:$P7,$K$1:$P$1,U$1)</f>
        <v>54.719999999999914</v>
      </c>
      <c r="V7" cm="1">
        <f t="array" aca="1" ref="V7" ca="1">TREND($K7:$P7,$K$1:$P$1,V$1)</f>
        <v>55.007999999999925</v>
      </c>
      <c r="W7" cm="1">
        <f t="array" aca="1" ref="W7" ca="1">TREND($K7:$P7,$K$1:$P$1,W$1)</f>
        <v>55.295999999999935</v>
      </c>
      <c r="X7" cm="1">
        <f t="array" aca="1" ref="X7" ca="1">TREND($K7:$P7,$K$1:$P$1,X$1)</f>
        <v>55.583999999999946</v>
      </c>
      <c r="Y7" cm="1">
        <f t="array" aca="1" ref="Y7" ca="1">TREND($K7:$P7,$K$1:$P$1,Y$1)</f>
        <v>55.871999999999957</v>
      </c>
      <c r="Z7" cm="1">
        <f t="array" aca="1" ref="Z7" ca="1">TREND($K7:$P7,$K$1:$P$1,Z$1)</f>
        <v>56.159999999999968</v>
      </c>
      <c r="AA7" cm="1">
        <f t="array" aca="1" ref="AA7" ca="1">TREND($K7:$P7,$K$1:$P$1,AA$1)</f>
        <v>56.447999999999979</v>
      </c>
      <c r="AB7" cm="1">
        <f t="array" aca="1" ref="AB7" ca="1">TREND($K7:$P7,$K$1:$P$1,AB$1)</f>
        <v>56.73599999999999</v>
      </c>
      <c r="AC7" cm="1">
        <f t="array" aca="1" ref="AC7" ca="1">TREND($K7:$P7,$K$1:$P$1,AC$1)</f>
        <v>57.023999999999887</v>
      </c>
      <c r="AD7" cm="1">
        <f t="array" aca="1" ref="AD7" ca="1">TREND($K7:$P7,$K$1:$P$1,AD$1)</f>
        <v>57.311999999999898</v>
      </c>
      <c r="AE7" cm="1">
        <f t="array" aca="1" ref="AE7" ca="1">TREND($K7:$P7,$K$1:$P$1,AE$1)</f>
        <v>57.599999999999909</v>
      </c>
      <c r="AF7" cm="1">
        <f t="array" aca="1" ref="AF7" ca="1">TREND($K7:$P7,$K$1:$P$1,AF$1)</f>
        <v>57.88799999999992</v>
      </c>
      <c r="AG7" cm="1">
        <f t="array" aca="1" ref="AG7" ca="1">TREND($K7:$P7,$K$1:$P$1,AG$1)</f>
        <v>58.175999999999931</v>
      </c>
      <c r="AH7" cm="1">
        <f t="array" aca="1" ref="AH7" ca="1">TREND($K7:$P7,$K$1:$P$1,AH$1)</f>
        <v>58.463999999999942</v>
      </c>
      <c r="AI7" cm="1">
        <f t="array" aca="1" ref="AI7" ca="1">TREND($K7:$P7,$K$1:$P$1,AI$1)</f>
        <v>58.751999999999953</v>
      </c>
      <c r="AJ7" cm="1">
        <f t="array" aca="1" ref="AJ7" ca="1">TREND($K7:$P7,$K$1:$P$1,AJ$1)</f>
        <v>59.039999999999964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8.4960000000000004</v>
      </c>
      <c r="C8">
        <f t="shared" ca="1" si="3"/>
        <v>8.5679999999999996</v>
      </c>
      <c r="D8">
        <f t="shared" ca="1" si="0"/>
        <v>8.64</v>
      </c>
      <c r="E8">
        <f t="shared" ca="1" si="0"/>
        <v>8.7119999999999997</v>
      </c>
      <c r="F8" s="32" cm="1">
        <f t="array" aca="1" ref="F8" ca="1">INDIRECT(CONCATENATE("'",HLOOKUP(F$1,$B$21:$E$23,3,FALSE),"'!",$B$25,ROW($A8)+5))*About!$A$27</f>
        <v>8.7839999999999989</v>
      </c>
      <c r="G8">
        <f t="shared" ca="1" si="4"/>
        <v>8.8127999999999993</v>
      </c>
      <c r="H8">
        <f t="shared" ca="1" si="1"/>
        <v>8.8415999999999997</v>
      </c>
      <c r="I8">
        <f t="shared" ca="1" si="1"/>
        <v>8.8703999999999983</v>
      </c>
      <c r="J8">
        <f t="shared" ca="1" si="1"/>
        <v>8.8991999999999987</v>
      </c>
      <c r="K8" s="32" cm="1">
        <f t="array" aca="1" ref="K8" ca="1">INDIRECT(CONCATENATE("'",HLOOKUP(K$1,$B$21:$E$23,3,FALSE),"'!",$B$25,ROW($A8)+5))*About!$A$27</f>
        <v>8.927999999999999</v>
      </c>
      <c r="L8">
        <f t="shared" ca="1" si="5"/>
        <v>8.9567999999999994</v>
      </c>
      <c r="M8">
        <f t="shared" ca="1" si="2"/>
        <v>8.9855999999999998</v>
      </c>
      <c r="N8">
        <f t="shared" ca="1" si="2"/>
        <v>9.0143999999999984</v>
      </c>
      <c r="O8">
        <f t="shared" ca="1" si="2"/>
        <v>9.0431999999999988</v>
      </c>
      <c r="P8" s="32" cm="1">
        <f t="array" aca="1" ref="P8" ca="1">INDIRECT(CONCATENATE("'",HLOOKUP(P$1,$B$21:$E$23,3,FALSE),"'!",$B$25,ROW($A8)+5))*About!$A$27</f>
        <v>9.0719999999999992</v>
      </c>
      <c r="Q8" cm="1">
        <f t="array" aca="1" ref="Q8" ca="1">TREND($K8:$P8,$K$1:$P$1,Q$1)</f>
        <v>9.1007999999999996</v>
      </c>
      <c r="R8" cm="1">
        <f t="array" aca="1" ref="R8" ca="1">TREND($K8:$P8,$K$1:$P$1,R$1)</f>
        <v>9.1295999999999964</v>
      </c>
      <c r="S8" cm="1">
        <f t="array" aca="1" ref="S8" ca="1">TREND($K8:$P8,$K$1:$P$1,S$1)</f>
        <v>9.1583999999999932</v>
      </c>
      <c r="T8" cm="1">
        <f t="array" aca="1" ref="T8" ca="1">TREND($K8:$P8,$K$1:$P$1,T$1)</f>
        <v>9.1871999999999971</v>
      </c>
      <c r="U8" cm="1">
        <f t="array" aca="1" ref="U8" ca="1">TREND($K8:$P8,$K$1:$P$1,U$1)</f>
        <v>9.215999999999994</v>
      </c>
      <c r="V8" cm="1">
        <f t="array" aca="1" ref="V8" ca="1">TREND($K8:$P8,$K$1:$P$1,V$1)</f>
        <v>9.2447999999999979</v>
      </c>
      <c r="W8" cm="1">
        <f t="array" aca="1" ref="W8" ca="1">TREND($K8:$P8,$K$1:$P$1,W$1)</f>
        <v>9.2735999999999947</v>
      </c>
      <c r="X8" cm="1">
        <f t="array" aca="1" ref="X8" ca="1">TREND($K8:$P8,$K$1:$P$1,X$1)</f>
        <v>9.3023999999999987</v>
      </c>
      <c r="Y8" cm="1">
        <f t="array" aca="1" ref="Y8" ca="1">TREND($K8:$P8,$K$1:$P$1,Y$1)</f>
        <v>9.3311999999999955</v>
      </c>
      <c r="Z8" cm="1">
        <f t="array" aca="1" ref="Z8" ca="1">TREND($K8:$P8,$K$1:$P$1,Z$1)</f>
        <v>9.36</v>
      </c>
      <c r="AA8" cm="1">
        <f t="array" aca="1" ref="AA8" ca="1">TREND($K8:$P8,$K$1:$P$1,AA$1)</f>
        <v>9.3887999999999963</v>
      </c>
      <c r="AB8" cm="1">
        <f t="array" aca="1" ref="AB8" ca="1">TREND($K8:$P8,$K$1:$P$1,AB$1)</f>
        <v>9.4175999999999931</v>
      </c>
      <c r="AC8" cm="1">
        <f t="array" aca="1" ref="AC8" ca="1">TREND($K8:$P8,$K$1:$P$1,AC$1)</f>
        <v>9.446399999999997</v>
      </c>
      <c r="AD8" cm="1">
        <f t="array" aca="1" ref="AD8" ca="1">TREND($K8:$P8,$K$1:$P$1,AD$1)</f>
        <v>9.4751999999999938</v>
      </c>
      <c r="AE8" cm="1">
        <f t="array" aca="1" ref="AE8" ca="1">TREND($K8:$P8,$K$1:$P$1,AE$1)</f>
        <v>9.5039999999999978</v>
      </c>
      <c r="AF8" cm="1">
        <f t="array" aca="1" ref="AF8" ca="1">TREND($K8:$P8,$K$1:$P$1,AF$1)</f>
        <v>9.5327999999999946</v>
      </c>
      <c r="AG8" cm="1">
        <f t="array" aca="1" ref="AG8" ca="1">TREND($K8:$P8,$K$1:$P$1,AG$1)</f>
        <v>9.5615999999999985</v>
      </c>
      <c r="AH8" cm="1">
        <f t="array" aca="1" ref="AH8" ca="1">TREND($K8:$P8,$K$1:$P$1,AH$1)</f>
        <v>9.5903999999999954</v>
      </c>
      <c r="AI8" cm="1">
        <f t="array" aca="1" ref="AI8" ca="1">TREND($K8:$P8,$K$1:$P$1,AI$1)</f>
        <v>9.6191999999999922</v>
      </c>
      <c r="AJ8" cm="1">
        <f t="array" aca="1" ref="AJ8" ca="1">TREND($K8:$P8,$K$1:$P$1,AJ$1)</f>
        <v>9.6479999999999961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2.016</v>
      </c>
      <c r="C9">
        <f t="shared" ca="1" si="3"/>
        <v>2.016</v>
      </c>
      <c r="D9">
        <f t="shared" ca="1" si="0"/>
        <v>2.016</v>
      </c>
      <c r="E9">
        <f t="shared" ca="1" si="0"/>
        <v>2.016</v>
      </c>
      <c r="F9" s="32" cm="1">
        <f t="array" aca="1" ref="F9" ca="1">INDIRECT(CONCATENATE("'",HLOOKUP(F$1,$B$21:$E$23,3,FALSE),"'!",$B$25,ROW($A9)+5))*About!$A$27</f>
        <v>2.016</v>
      </c>
      <c r="G9">
        <f t="shared" ca="1" si="4"/>
        <v>2.016</v>
      </c>
      <c r="H9">
        <f t="shared" ca="1" si="1"/>
        <v>2.016</v>
      </c>
      <c r="I9">
        <f t="shared" ca="1" si="1"/>
        <v>2.016</v>
      </c>
      <c r="J9">
        <f t="shared" ca="1" si="1"/>
        <v>2.016</v>
      </c>
      <c r="K9" s="32" cm="1">
        <f t="array" aca="1" ref="K9" ca="1">INDIRECT(CONCATENATE("'",HLOOKUP(K$1,$B$21:$E$23,3,FALSE),"'!",$B$25,ROW($A9)+5))*About!$A$27</f>
        <v>2.016</v>
      </c>
      <c r="L9">
        <f t="shared" ca="1" si="5"/>
        <v>2.0448</v>
      </c>
      <c r="M9">
        <f t="shared" ca="1" si="2"/>
        <v>2.0735999999999999</v>
      </c>
      <c r="N9">
        <f t="shared" ca="1" si="2"/>
        <v>2.1024000000000003</v>
      </c>
      <c r="O9">
        <f t="shared" ca="1" si="2"/>
        <v>2.1312000000000002</v>
      </c>
      <c r="P9" s="32" cm="1">
        <f t="array" aca="1" ref="P9" ca="1">INDIRECT(CONCATENATE("'",HLOOKUP(P$1,$B$21:$E$23,3,FALSE),"'!",$B$25,ROW($A9)+5))*About!$A$27</f>
        <v>2.16</v>
      </c>
      <c r="Q9" cm="1">
        <f t="array" aca="1" ref="Q9" ca="1">TREND($K9:$P9,$K$1:$P$1,Q$1)</f>
        <v>2.1888000000000005</v>
      </c>
      <c r="R9" cm="1">
        <f t="array" aca="1" ref="R9" ca="1">TREND($K9:$P9,$K$1:$P$1,R$1)</f>
        <v>2.2176000000000045</v>
      </c>
      <c r="S9" cm="1">
        <f t="array" aca="1" ref="S9" ca="1">TREND($K9:$P9,$K$1:$P$1,S$1)</f>
        <v>2.2464000000000013</v>
      </c>
      <c r="T9" cm="1">
        <f t="array" aca="1" ref="T9" ca="1">TREND($K9:$P9,$K$1:$P$1,T$1)</f>
        <v>2.2752000000000052</v>
      </c>
      <c r="U9" cm="1">
        <f t="array" aca="1" ref="U9" ca="1">TREND($K9:$P9,$K$1:$P$1,U$1)</f>
        <v>2.304000000000002</v>
      </c>
      <c r="V9" cm="1">
        <f t="array" aca="1" ref="V9" ca="1">TREND($K9:$P9,$K$1:$P$1,V$1)</f>
        <v>2.332800000000006</v>
      </c>
      <c r="W9" cm="1">
        <f t="array" aca="1" ref="W9" ca="1">TREND($K9:$P9,$K$1:$P$1,W$1)</f>
        <v>2.3616000000000028</v>
      </c>
      <c r="X9" cm="1">
        <f t="array" aca="1" ref="X9" ca="1">TREND($K9:$P9,$K$1:$P$1,X$1)</f>
        <v>2.3903999999999996</v>
      </c>
      <c r="Y9" cm="1">
        <f t="array" aca="1" ref="Y9" ca="1">TREND($K9:$P9,$K$1:$P$1,Y$1)</f>
        <v>2.4192000000000036</v>
      </c>
      <c r="Z9" cm="1">
        <f t="array" aca="1" ref="Z9" ca="1">TREND($K9:$P9,$K$1:$P$1,Z$1)</f>
        <v>2.4480000000000004</v>
      </c>
      <c r="AA9" cm="1">
        <f t="array" aca="1" ref="AA9" ca="1">TREND($K9:$P9,$K$1:$P$1,AA$1)</f>
        <v>2.4768000000000043</v>
      </c>
      <c r="AB9" cm="1">
        <f t="array" aca="1" ref="AB9" ca="1">TREND($K9:$P9,$K$1:$P$1,AB$1)</f>
        <v>2.5056000000000012</v>
      </c>
      <c r="AC9" cm="1">
        <f t="array" aca="1" ref="AC9" ca="1">TREND($K9:$P9,$K$1:$P$1,AC$1)</f>
        <v>2.5344000000000051</v>
      </c>
      <c r="AD9" cm="1">
        <f t="array" aca="1" ref="AD9" ca="1">TREND($K9:$P9,$K$1:$P$1,AD$1)</f>
        <v>2.5632000000000019</v>
      </c>
      <c r="AE9" cm="1">
        <f t="array" aca="1" ref="AE9" ca="1">TREND($K9:$P9,$K$1:$P$1,AE$1)</f>
        <v>2.5920000000000059</v>
      </c>
      <c r="AF9" cm="1">
        <f t="array" aca="1" ref="AF9" ca="1">TREND($K9:$P9,$K$1:$P$1,AF$1)</f>
        <v>2.6208000000000027</v>
      </c>
      <c r="AG9" cm="1">
        <f t="array" aca="1" ref="AG9" ca="1">TREND($K9:$P9,$K$1:$P$1,AG$1)</f>
        <v>2.6496000000000066</v>
      </c>
      <c r="AH9" cm="1">
        <f t="array" aca="1" ref="AH9" ca="1">TREND($K9:$P9,$K$1:$P$1,AH$1)</f>
        <v>2.6784000000000034</v>
      </c>
      <c r="AI9" cm="1">
        <f t="array" aca="1" ref="AI9" ca="1">TREND($K9:$P9,$K$1:$P$1,AI$1)</f>
        <v>2.7072000000000003</v>
      </c>
      <c r="AJ9" cm="1">
        <f t="array" aca="1" ref="AJ9" ca="1">TREND($K9:$P9,$K$1:$P$1,AJ$1)</f>
        <v>2.7360000000000042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1.44E-2</v>
      </c>
      <c r="C10">
        <f t="shared" ca="1" si="3"/>
        <v>1.4759999999999999E-2</v>
      </c>
      <c r="D10">
        <f t="shared" ca="1" si="0"/>
        <v>1.512E-2</v>
      </c>
      <c r="E10">
        <f t="shared" ca="1" si="0"/>
        <v>1.5480000000000001E-2</v>
      </c>
      <c r="F10" s="32" cm="1">
        <f t="array" aca="1" ref="F10" ca="1">INDIRECT(CONCATENATE("'",HLOOKUP(F$1,$B$21:$E$23,3,FALSE),"'!",$B$25,ROW($A10)+5))*About!$A$27</f>
        <v>1.584E-2</v>
      </c>
      <c r="G10">
        <f t="shared" ca="1" si="4"/>
        <v>1.6128E-2</v>
      </c>
      <c r="H10">
        <f t="shared" ca="1" si="1"/>
        <v>1.6416E-2</v>
      </c>
      <c r="I10">
        <f t="shared" ca="1" si="1"/>
        <v>1.6704E-2</v>
      </c>
      <c r="J10">
        <f t="shared" ca="1" si="1"/>
        <v>1.6992E-2</v>
      </c>
      <c r="K10" s="32" cm="1">
        <f t="array" aca="1" ref="K10" ca="1">INDIRECT(CONCATENATE("'",HLOOKUP(K$1,$B$21:$E$23,3,FALSE),"'!",$B$25,ROW($A10)+5))*About!$A$27</f>
        <v>1.728E-2</v>
      </c>
      <c r="L10">
        <f t="shared" ca="1" si="5"/>
        <v>1.7856E-2</v>
      </c>
      <c r="M10">
        <f t="shared" ca="1" si="2"/>
        <v>1.8432E-2</v>
      </c>
      <c r="N10">
        <f t="shared" ca="1" si="2"/>
        <v>1.9008000000000001E-2</v>
      </c>
      <c r="O10">
        <f t="shared" ca="1" si="2"/>
        <v>1.9584000000000001E-2</v>
      </c>
      <c r="P10" s="32" cm="1">
        <f t="array" aca="1" ref="P10" ca="1">INDIRECT(CONCATENATE("'",HLOOKUP(P$1,$B$21:$E$23,3,FALSE),"'!",$B$25,ROW($A10)+5))*About!$A$27</f>
        <v>2.0160000000000001E-2</v>
      </c>
      <c r="Q10" cm="1">
        <f t="array" aca="1" ref="Q10" ca="1">TREND($K10:$P10,$K$1:$P$1,Q$1)</f>
        <v>2.0736000000000088E-2</v>
      </c>
      <c r="R10" cm="1">
        <f t="array" aca="1" ref="R10" ca="1">TREND($K10:$P10,$K$1:$P$1,R$1)</f>
        <v>2.1311999999999998E-2</v>
      </c>
      <c r="S10" cm="1">
        <f t="array" aca="1" ref="S10" ca="1">TREND($K10:$P10,$K$1:$P$1,S$1)</f>
        <v>2.188800000000013E-2</v>
      </c>
      <c r="T10" cm="1">
        <f t="array" aca="1" ref="T10" ca="1">TREND($K10:$P10,$K$1:$P$1,T$1)</f>
        <v>2.2464000000000039E-2</v>
      </c>
      <c r="U10" cm="1">
        <f t="array" aca="1" ref="U10" ca="1">TREND($K10:$P10,$K$1:$P$1,U$1)</f>
        <v>2.3040000000000171E-2</v>
      </c>
      <c r="V10" cm="1">
        <f t="array" aca="1" ref="V10" ca="1">TREND($K10:$P10,$K$1:$P$1,V$1)</f>
        <v>2.3616000000000081E-2</v>
      </c>
      <c r="W10" cm="1">
        <f t="array" aca="1" ref="W10" ca="1">TREND($K10:$P10,$K$1:$P$1,W$1)</f>
        <v>2.4192000000000213E-2</v>
      </c>
      <c r="X10" cm="1">
        <f t="array" aca="1" ref="X10" ca="1">TREND($K10:$P10,$K$1:$P$1,X$1)</f>
        <v>2.4768000000000123E-2</v>
      </c>
      <c r="Y10" cm="1">
        <f t="array" aca="1" ref="Y10" ca="1">TREND($K10:$P10,$K$1:$P$1,Y$1)</f>
        <v>2.5344000000000033E-2</v>
      </c>
      <c r="Z10" cm="1">
        <f t="array" aca="1" ref="Z10" ca="1">TREND($K10:$P10,$K$1:$P$1,Z$1)</f>
        <v>2.5920000000000165E-2</v>
      </c>
      <c r="AA10" cm="1">
        <f t="array" aca="1" ref="AA10" ca="1">TREND($K10:$P10,$K$1:$P$1,AA$1)</f>
        <v>2.6496000000000075E-2</v>
      </c>
      <c r="AB10" cm="1">
        <f t="array" aca="1" ref="AB10" ca="1">TREND($K10:$P10,$K$1:$P$1,AB$1)</f>
        <v>2.7072000000000207E-2</v>
      </c>
      <c r="AC10" cm="1">
        <f t="array" aca="1" ref="AC10" ca="1">TREND($K10:$P10,$K$1:$P$1,AC$1)</f>
        <v>2.7648000000000117E-2</v>
      </c>
      <c r="AD10" cm="1">
        <f t="array" aca="1" ref="AD10" ca="1">TREND($K10:$P10,$K$1:$P$1,AD$1)</f>
        <v>2.8224000000000027E-2</v>
      </c>
      <c r="AE10" cm="1">
        <f t="array" aca="1" ref="AE10" ca="1">TREND($K10:$P10,$K$1:$P$1,AE$1)</f>
        <v>2.8800000000000159E-2</v>
      </c>
      <c r="AF10" cm="1">
        <f t="array" aca="1" ref="AF10" ca="1">TREND($K10:$P10,$K$1:$P$1,AF$1)</f>
        <v>2.9376000000000069E-2</v>
      </c>
      <c r="AG10" cm="1">
        <f t="array" aca="1" ref="AG10" ca="1">TREND($K10:$P10,$K$1:$P$1,AG$1)</f>
        <v>2.9952000000000201E-2</v>
      </c>
      <c r="AH10" cm="1">
        <f t="array" aca="1" ref="AH10" ca="1">TREND($K10:$P10,$K$1:$P$1,AH$1)</f>
        <v>3.0528000000000111E-2</v>
      </c>
      <c r="AI10" cm="1">
        <f t="array" aca="1" ref="AI10" ca="1">TREND($K10:$P10,$K$1:$P$1,AI$1)</f>
        <v>3.1104000000000021E-2</v>
      </c>
      <c r="AJ10" cm="1">
        <f t="array" aca="1" ref="AJ10" ca="1">TREND($K10:$P10,$K$1:$P$1,AJ$1)</f>
        <v>3.1680000000000152E-2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1.4112E-2</v>
      </c>
      <c r="C11">
        <f t="shared" ca="1" si="3"/>
        <v>1.4544E-2</v>
      </c>
      <c r="D11">
        <f t="shared" ca="1" si="0"/>
        <v>1.4976E-2</v>
      </c>
      <c r="E11">
        <f t="shared" ca="1" si="0"/>
        <v>1.5408E-2</v>
      </c>
      <c r="F11" s="32" cm="1">
        <f t="array" aca="1" ref="F11" ca="1">INDIRECT(CONCATENATE("'",HLOOKUP(F$1,$B$21:$E$23,3,FALSE),"'!",$B$25,ROW($A11)+5))*About!$A$27</f>
        <v>1.584E-2</v>
      </c>
      <c r="G11">
        <f t="shared" ca="1" si="4"/>
        <v>1.6128E-2</v>
      </c>
      <c r="H11">
        <f t="shared" ca="1" si="1"/>
        <v>1.6416E-2</v>
      </c>
      <c r="I11">
        <f t="shared" ca="1" si="1"/>
        <v>1.6704E-2</v>
      </c>
      <c r="J11">
        <f t="shared" ca="1" si="1"/>
        <v>1.6992E-2</v>
      </c>
      <c r="K11" s="32" cm="1">
        <f t="array" aca="1" ref="K11" ca="1">INDIRECT(CONCATENATE("'",HLOOKUP(K$1,$B$21:$E$23,3,FALSE),"'!",$B$25,ROW($A11)+5))*About!$A$27</f>
        <v>1.728E-2</v>
      </c>
      <c r="L11">
        <f t="shared" ca="1" si="5"/>
        <v>1.7568E-2</v>
      </c>
      <c r="M11">
        <f t="shared" ca="1" si="2"/>
        <v>1.7856E-2</v>
      </c>
      <c r="N11">
        <f t="shared" ca="1" si="2"/>
        <v>1.8143999999999997E-2</v>
      </c>
      <c r="O11">
        <f t="shared" ca="1" si="2"/>
        <v>1.8431999999999997E-2</v>
      </c>
      <c r="P11" s="32" cm="1">
        <f t="array" aca="1" ref="P11" ca="1">INDIRECT(CONCATENATE("'",HLOOKUP(P$1,$B$21:$E$23,3,FALSE),"'!",$B$25,ROW($A11)+5))*About!$A$27</f>
        <v>1.8719999999999997E-2</v>
      </c>
      <c r="Q11" cm="1">
        <f t="array" aca="1" ref="Q11" ca="1">TREND($K11:$P11,$K$1:$P$1,Q$1)</f>
        <v>1.9008000000000025E-2</v>
      </c>
      <c r="R11" cm="1">
        <f t="array" aca="1" ref="R11" ca="1">TREND($K11:$P11,$K$1:$P$1,R$1)</f>
        <v>1.9296000000000091E-2</v>
      </c>
      <c r="S11" cm="1">
        <f t="array" aca="1" ref="S11" ca="1">TREND($K11:$P11,$K$1:$P$1,S$1)</f>
        <v>1.9584000000000046E-2</v>
      </c>
      <c r="T11" cm="1">
        <f t="array" aca="1" ref="T11" ca="1">TREND($K11:$P11,$K$1:$P$1,T$1)</f>
        <v>1.9872000000000001E-2</v>
      </c>
      <c r="U11" cm="1">
        <f t="array" aca="1" ref="U11" ca="1">TREND($K11:$P11,$K$1:$P$1,U$1)</f>
        <v>2.0160000000000067E-2</v>
      </c>
      <c r="V11" cm="1">
        <f t="array" aca="1" ref="V11" ca="1">TREND($K11:$P11,$K$1:$P$1,V$1)</f>
        <v>2.0448000000000022E-2</v>
      </c>
      <c r="W11" cm="1">
        <f t="array" aca="1" ref="W11" ca="1">TREND($K11:$P11,$K$1:$P$1,W$1)</f>
        <v>2.0736000000000088E-2</v>
      </c>
      <c r="X11" cm="1">
        <f t="array" aca="1" ref="X11" ca="1">TREND($K11:$P11,$K$1:$P$1,X$1)</f>
        <v>2.1024000000000043E-2</v>
      </c>
      <c r="Y11" cm="1">
        <f t="array" aca="1" ref="Y11" ca="1">TREND($K11:$P11,$K$1:$P$1,Y$1)</f>
        <v>2.1311999999999998E-2</v>
      </c>
      <c r="Z11" cm="1">
        <f t="array" aca="1" ref="Z11" ca="1">TREND($K11:$P11,$K$1:$P$1,Z$1)</f>
        <v>2.1600000000000064E-2</v>
      </c>
      <c r="AA11" cm="1">
        <f t="array" aca="1" ref="AA11" ca="1">TREND($K11:$P11,$K$1:$P$1,AA$1)</f>
        <v>2.1888000000000019E-2</v>
      </c>
      <c r="AB11" cm="1">
        <f t="array" aca="1" ref="AB11" ca="1">TREND($K11:$P11,$K$1:$P$1,AB$1)</f>
        <v>2.2176000000000085E-2</v>
      </c>
      <c r="AC11" cm="1">
        <f t="array" aca="1" ref="AC11" ca="1">TREND($K11:$P11,$K$1:$P$1,AC$1)</f>
        <v>2.2464000000000039E-2</v>
      </c>
      <c r="AD11" cm="1">
        <f t="array" aca="1" ref="AD11" ca="1">TREND($K11:$P11,$K$1:$P$1,AD$1)</f>
        <v>2.2751999999999994E-2</v>
      </c>
      <c r="AE11" cm="1">
        <f t="array" aca="1" ref="AE11" ca="1">TREND($K11:$P11,$K$1:$P$1,AE$1)</f>
        <v>2.304000000000006E-2</v>
      </c>
      <c r="AF11" cm="1">
        <f t="array" aca="1" ref="AF11" ca="1">TREND($K11:$P11,$K$1:$P$1,AF$1)</f>
        <v>2.3328000000000015E-2</v>
      </c>
      <c r="AG11" cm="1">
        <f t="array" aca="1" ref="AG11" ca="1">TREND($K11:$P11,$K$1:$P$1,AG$1)</f>
        <v>2.3616000000000081E-2</v>
      </c>
      <c r="AH11" cm="1">
        <f t="array" aca="1" ref="AH11" ca="1">TREND($K11:$P11,$K$1:$P$1,AH$1)</f>
        <v>2.3904000000000036E-2</v>
      </c>
      <c r="AI11" cm="1">
        <f t="array" aca="1" ref="AI11" ca="1">TREND($K11:$P11,$K$1:$P$1,AI$1)</f>
        <v>2.4191999999999991E-2</v>
      </c>
      <c r="AJ11" cm="1">
        <f t="array" aca="1" ref="AJ11" ca="1">TREND($K11:$P11,$K$1:$P$1,AJ$1)</f>
        <v>2.4480000000000057E-2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6.5519999999999995E-2</v>
      </c>
      <c r="C12">
        <f t="shared" ca="1" si="3"/>
        <v>6.7067999999999989E-2</v>
      </c>
      <c r="D12">
        <f t="shared" ca="1" si="0"/>
        <v>6.8615999999999996E-2</v>
      </c>
      <c r="E12">
        <f t="shared" ca="1" si="0"/>
        <v>7.0164000000000004E-2</v>
      </c>
      <c r="F12" s="33">
        <f ca="1">SUM(INDIRECT(CONCATENATE("'",HLOOKUP(F$1,$B$21:$E$23,3,FALSE),"'!",$B$25,ROW($A12)+5,":",$B$25,ROW($A12)+6)))*About!$A$27</f>
        <v>7.1711999999999998E-2</v>
      </c>
      <c r="G12">
        <f t="shared" ca="1" si="4"/>
        <v>7.3008000000000003E-2</v>
      </c>
      <c r="H12">
        <f t="shared" ca="1" si="1"/>
        <v>7.4303999999999995E-2</v>
      </c>
      <c r="I12">
        <f t="shared" ca="1" si="1"/>
        <v>7.5600000000000001E-2</v>
      </c>
      <c r="J12">
        <f t="shared" ca="1" si="1"/>
        <v>7.6895999999999992E-2</v>
      </c>
      <c r="K12" s="33">
        <f ca="1">SUM(INDIRECT(CONCATENATE("'",HLOOKUP(K$1,$B$21:$E$23,3,FALSE),"'!",$B$25,ROW($A12)+5,":",$B$25,ROW($A12)+6)))*About!$A$27</f>
        <v>7.8191999999999998E-2</v>
      </c>
      <c r="L12">
        <f t="shared" ca="1" si="5"/>
        <v>7.9776E-2</v>
      </c>
      <c r="M12">
        <f t="shared" ca="1" si="2"/>
        <v>8.1360000000000002E-2</v>
      </c>
      <c r="N12">
        <f t="shared" ca="1" si="2"/>
        <v>8.294399999999999E-2</v>
      </c>
      <c r="O12">
        <f t="shared" ca="1" si="2"/>
        <v>8.4527999999999992E-2</v>
      </c>
      <c r="P12" s="33">
        <f ca="1">SUM(INDIRECT(CONCATENATE("'",HLOOKUP(P$1,$B$21:$E$23,3,FALSE),"'!",$B$25,ROW($A12)+5,":",$B$25,ROW($A12)+6)))*About!$A$27</f>
        <v>8.6111999999999994E-2</v>
      </c>
      <c r="Q12" cm="1">
        <f t="array" aca="1" ref="Q12" ca="1">TREND($K12:$P12,$K$1:$P$1,Q$1)</f>
        <v>8.7695999999999774E-2</v>
      </c>
      <c r="R12" cm="1">
        <f t="array" aca="1" ref="R12" ca="1">TREND($K12:$P12,$K$1:$P$1,R$1)</f>
        <v>8.9279999999999582E-2</v>
      </c>
      <c r="S12" cm="1">
        <f t="array" aca="1" ref="S12" ca="1">TREND($K12:$P12,$K$1:$P$1,S$1)</f>
        <v>9.0863999999999834E-2</v>
      </c>
      <c r="T12" cm="1">
        <f t="array" aca="1" ref="T12" ca="1">TREND($K12:$P12,$K$1:$P$1,T$1)</f>
        <v>9.2447999999999642E-2</v>
      </c>
      <c r="U12" cm="1">
        <f t="array" aca="1" ref="U12" ca="1">TREND($K12:$P12,$K$1:$P$1,U$1)</f>
        <v>9.4031999999999449E-2</v>
      </c>
      <c r="V12" cm="1">
        <f t="array" aca="1" ref="V12" ca="1">TREND($K12:$P12,$K$1:$P$1,V$1)</f>
        <v>9.5615999999999701E-2</v>
      </c>
      <c r="W12" cm="1">
        <f t="array" aca="1" ref="W12" ca="1">TREND($K12:$P12,$K$1:$P$1,W$1)</f>
        <v>9.7199999999999509E-2</v>
      </c>
      <c r="X12" cm="1">
        <f t="array" aca="1" ref="X12" ca="1">TREND($K12:$P12,$K$1:$P$1,X$1)</f>
        <v>9.8783999999999761E-2</v>
      </c>
      <c r="Y12" cm="1">
        <f t="array" aca="1" ref="Y12" ca="1">TREND($K12:$P12,$K$1:$P$1,Y$1)</f>
        <v>0.10036799999999957</v>
      </c>
      <c r="Z12" cm="1">
        <f t="array" aca="1" ref="Z12" ca="1">TREND($K12:$P12,$K$1:$P$1,Z$1)</f>
        <v>0.10195199999999982</v>
      </c>
      <c r="AA12" cm="1">
        <f t="array" aca="1" ref="AA12" ca="1">TREND($K12:$P12,$K$1:$P$1,AA$1)</f>
        <v>0.10353599999999963</v>
      </c>
      <c r="AB12" cm="1">
        <f t="array" aca="1" ref="AB12" ca="1">TREND($K12:$P12,$K$1:$P$1,AB$1)</f>
        <v>0.10511999999999944</v>
      </c>
      <c r="AC12" cm="1">
        <f t="array" aca="1" ref="AC12" ca="1">TREND($K12:$P12,$K$1:$P$1,AC$1)</f>
        <v>0.10670399999999969</v>
      </c>
      <c r="AD12" cm="1">
        <f t="array" aca="1" ref="AD12" ca="1">TREND($K12:$P12,$K$1:$P$1,AD$1)</f>
        <v>0.1082879999999995</v>
      </c>
      <c r="AE12" cm="1">
        <f t="array" aca="1" ref="AE12" ca="1">TREND($K12:$P12,$K$1:$P$1,AE$1)</f>
        <v>0.10987199999999975</v>
      </c>
      <c r="AF12" cm="1">
        <f t="array" aca="1" ref="AF12" ca="1">TREND($K12:$P12,$K$1:$P$1,AF$1)</f>
        <v>0.11145599999999956</v>
      </c>
      <c r="AG12" cm="1">
        <f t="array" aca="1" ref="AG12" ca="1">TREND($K12:$P12,$K$1:$P$1,AG$1)</f>
        <v>0.11303999999999981</v>
      </c>
      <c r="AH12" cm="1">
        <f t="array" aca="1" ref="AH12" ca="1">TREND($K12:$P12,$K$1:$P$1,AH$1)</f>
        <v>0.11462399999999962</v>
      </c>
      <c r="AI12" cm="1">
        <f t="array" aca="1" ref="AI12" ca="1">TREND($K12:$P12,$K$1:$P$1,AI$1)</f>
        <v>0.11620799999999942</v>
      </c>
      <c r="AJ12" cm="1">
        <f t="array" aca="1" ref="AJ12" ca="1">TREND($K12:$P12,$K$1:$P$1,AJ$1)</f>
        <v>0.11779199999999967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HOIpTP-LULUCF-PM25</v>
      </c>
    </row>
    <row r="18" spans="1:5" x14ac:dyDescent="0.25">
      <c r="A18" t="s">
        <v>83</v>
      </c>
      <c r="B18" t="str">
        <f ca="1">RIGHT(B17,LEN(B17)-7)</f>
        <v>LULUCF-PM25</v>
      </c>
    </row>
    <row r="19" spans="1:5" x14ac:dyDescent="0.25">
      <c r="A19" t="s">
        <v>84</v>
      </c>
      <c r="B19" t="str">
        <f ca="1">LEFT(B18,FIND("-",B18)-1)</f>
        <v>LULUCF</v>
      </c>
    </row>
    <row r="20" spans="1:5" x14ac:dyDescent="0.25">
      <c r="A20" t="s">
        <v>85</v>
      </c>
      <c r="B20" t="str">
        <f ca="1">VLOOKUP($B$19,Mappings!$A$22:$B$26,COLUMN(Mappings!$B$21),FALSE)</f>
        <v>on-road mobile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5">
      <c r="A23" s="28" t="s">
        <v>82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5">
      <c r="A24" t="s">
        <v>87</v>
      </c>
      <c r="B24" t="str">
        <f ca="1">REPLACE(B18,1,FIND("-",B18),"")</f>
        <v>PM25</v>
      </c>
    </row>
    <row r="25" spans="1:5" x14ac:dyDescent="0.25">
      <c r="A25" t="s">
        <v>88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156B-D3F6-4121-BED7-F3065CFECF43}">
  <sheetPr>
    <tabColor theme="4" tint="-0.249977111117893"/>
  </sheetPr>
  <dimension ref="A1:AJ25"/>
  <sheetViews>
    <sheetView workbookViewId="0"/>
  </sheetViews>
  <sheetFormatPr defaultColWidth="8.7109375" defaultRowHeight="15" x14ac:dyDescent="0.25"/>
  <cols>
    <col min="1" max="1" width="33.7109375" customWidth="1"/>
  </cols>
  <sheetData>
    <row r="1" spans="1:36" s="1" customFormat="1" x14ac:dyDescent="0.25">
      <c r="A1" s="22" t="s">
        <v>69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70</v>
      </c>
      <c r="B2" s="31" cm="1">
        <f t="array" aca="1" ref="B2" ca="1">INDIRECT(CONCATENATE("'",HLOOKUP(B$1,$B$21:$E$23,3,FALSE),"'!",$B$25,ROW($A2)+3))*About!$A$27</f>
        <v>3.3119999999999998E-3</v>
      </c>
      <c r="C2">
        <f ca="1">$B2+($F2-$B2)*(C$1-$B$1)/($F$1-$B$1)</f>
        <v>3.3479999999999998E-3</v>
      </c>
      <c r="D2">
        <f t="shared" ref="D2:E12" ca="1" si="0">$B2+($F2-$B2)*(D$1-$B$1)/($F$1-$B$1)</f>
        <v>3.3839999999999999E-3</v>
      </c>
      <c r="E2">
        <f t="shared" ca="1" si="0"/>
        <v>3.4199999999999994E-3</v>
      </c>
      <c r="F2" s="31" cm="1">
        <f t="array" aca="1" ref="F2" ca="1">INDIRECT(CONCATENATE("'",HLOOKUP(F$1,$B$21:$E$23,3,FALSE),"'!",$B$25,ROW($A2)+3))*About!$A$27</f>
        <v>3.4559999999999994E-3</v>
      </c>
      <c r="G2">
        <f ca="1">$F2+($K2-$F2)*(G$1-$F$1)/($K$1-$F$1)</f>
        <v>3.5135999999999995E-3</v>
      </c>
      <c r="H2">
        <f t="shared" ref="H2:J12" ca="1" si="1">$F2+($K2-$F2)*(H$1-$F$1)/($K$1-$F$1)</f>
        <v>3.5711999999999996E-3</v>
      </c>
      <c r="I2">
        <f t="shared" ca="1" si="1"/>
        <v>3.6287999999999993E-3</v>
      </c>
      <c r="J2">
        <f t="shared" ca="1" si="1"/>
        <v>3.6863999999999994E-3</v>
      </c>
      <c r="K2" s="31" cm="1">
        <f t="array" aca="1" ref="K2" ca="1">INDIRECT(CONCATENATE("'",HLOOKUP(K$1,$B$21:$E$23,3,FALSE),"'!",$B$25,ROW($A2)+3))*About!$A$27</f>
        <v>3.7439999999999995E-3</v>
      </c>
      <c r="L2">
        <f ca="1">$K2+($P2-$K2)*(L$1-$K$1)/($P$1-$K$1)</f>
        <v>3.8303999999999994E-3</v>
      </c>
      <c r="M2">
        <f t="shared" ref="M2:O12" ca="1" si="2">$K2+($P2-$K2)*(M$1-$K$1)/($P$1-$K$1)</f>
        <v>3.9167999999999998E-3</v>
      </c>
      <c r="N2">
        <f t="shared" ca="1" si="2"/>
        <v>4.0031999999999993E-3</v>
      </c>
      <c r="O2">
        <f t="shared" ca="1" si="2"/>
        <v>4.0895999999999988E-3</v>
      </c>
      <c r="P2" s="31" cm="1">
        <f t="array" aca="1" ref="P2" ca="1">INDIRECT(CONCATENATE("'",HLOOKUP(P$1,$B$21:$E$23,3,FALSE),"'!",$B$25,ROW($A2)+3))*About!$A$27</f>
        <v>4.1759999999999992E-3</v>
      </c>
      <c r="Q2" cm="1">
        <f t="array" aca="1" ref="Q2" ca="1">TREND($K2:$P2,$K$1:$P$1,Q$1)</f>
        <v>4.2623999999999995E-3</v>
      </c>
      <c r="R2" cm="1">
        <f t="array" aca="1" ref="R2" ca="1">TREND($K2:$P2,$K$1:$P$1,R$1)</f>
        <v>4.348799999999986E-3</v>
      </c>
      <c r="S2" cm="1">
        <f t="array" aca="1" ref="S2" ca="1">TREND($K2:$P2,$K$1:$P$1,S$1)</f>
        <v>4.4352000000000003E-3</v>
      </c>
      <c r="T2" cm="1">
        <f t="array" aca="1" ref="T2" ca="1">TREND($K2:$P2,$K$1:$P$1,T$1)</f>
        <v>4.5215999999999867E-3</v>
      </c>
      <c r="U2" cm="1">
        <f t="array" aca="1" ref="U2" ca="1">TREND($K2:$P2,$K$1:$P$1,U$1)</f>
        <v>4.608000000000001E-3</v>
      </c>
      <c r="V2" cm="1">
        <f t="array" aca="1" ref="V2" ca="1">TREND($K2:$P2,$K$1:$P$1,V$1)</f>
        <v>4.6943999999999875E-3</v>
      </c>
      <c r="W2" cm="1">
        <f t="array" aca="1" ref="W2" ca="1">TREND($K2:$P2,$K$1:$P$1,W$1)</f>
        <v>4.7808000000000017E-3</v>
      </c>
      <c r="X2" cm="1">
        <f t="array" aca="1" ref="X2" ca="1">TREND($K2:$P2,$K$1:$P$1,X$1)</f>
        <v>4.8671999999999882E-3</v>
      </c>
      <c r="Y2" cm="1">
        <f t="array" aca="1" ref="Y2" ca="1">TREND($K2:$P2,$K$1:$P$1,Y$1)</f>
        <v>4.9536000000000024E-3</v>
      </c>
      <c r="Z2" cm="1">
        <f t="array" aca="1" ref="Z2" ca="1">TREND($K2:$P2,$K$1:$P$1,Z$1)</f>
        <v>5.0399999999999889E-3</v>
      </c>
      <c r="AA2" cm="1">
        <f t="array" aca="1" ref="AA2" ca="1">TREND($K2:$P2,$K$1:$P$1,AA$1)</f>
        <v>5.1264000000000032E-3</v>
      </c>
      <c r="AB2" cm="1">
        <f t="array" aca="1" ref="AB2" ca="1">TREND($K2:$P2,$K$1:$P$1,AB$1)</f>
        <v>5.2127999999999897E-3</v>
      </c>
      <c r="AC2" cm="1">
        <f t="array" aca="1" ref="AC2" ca="1">TREND($K2:$P2,$K$1:$P$1,AC$1)</f>
        <v>5.2992000000000039E-3</v>
      </c>
      <c r="AD2" cm="1">
        <f t="array" aca="1" ref="AD2" ca="1">TREND($K2:$P2,$K$1:$P$1,AD$1)</f>
        <v>5.3855999999999904E-3</v>
      </c>
      <c r="AE2" cm="1">
        <f t="array" aca="1" ref="AE2" ca="1">TREND($K2:$P2,$K$1:$P$1,AE$1)</f>
        <v>5.4720000000000046E-3</v>
      </c>
      <c r="AF2" cm="1">
        <f t="array" aca="1" ref="AF2" ca="1">TREND($K2:$P2,$K$1:$P$1,AF$1)</f>
        <v>5.5583999999999911E-3</v>
      </c>
      <c r="AG2" cm="1">
        <f t="array" aca="1" ref="AG2" ca="1">TREND($K2:$P2,$K$1:$P$1,AG$1)</f>
        <v>5.6448000000000054E-3</v>
      </c>
      <c r="AH2" cm="1">
        <f t="array" aca="1" ref="AH2" ca="1">TREND($K2:$P2,$K$1:$P$1,AH$1)</f>
        <v>5.7311999999999919E-3</v>
      </c>
      <c r="AI2" cm="1">
        <f t="array" aca="1" ref="AI2" ca="1">TREND($K2:$P2,$K$1:$P$1,AI$1)</f>
        <v>5.8175999999999783E-3</v>
      </c>
      <c r="AJ2" cm="1">
        <f t="array" aca="1" ref="AJ2" ca="1">TREND($K2:$P2,$K$1:$P$1,AJ$1)</f>
        <v>5.9039999999999926E-3</v>
      </c>
    </row>
    <row r="3" spans="1:36" x14ac:dyDescent="0.25">
      <c r="A3" t="s">
        <v>71</v>
      </c>
      <c r="B3" s="32" cm="1">
        <f t="array" aca="1" ref="B3" ca="1">INDIRECT(CONCATENATE("'",HLOOKUP(B$1,$B$21:$E$23,3,FALSE),"'!",$B$25,ROW($A3)+5))*About!$A$27</f>
        <v>1.7279999999999997E-3</v>
      </c>
      <c r="C3">
        <f t="shared" ref="C3:C12" ca="1" si="3">$B3+($F3-$B3)*(C$1-$B$1)/($F$1-$B$1)</f>
        <v>1.7639999999999997E-3</v>
      </c>
      <c r="D3">
        <f t="shared" ca="1" si="0"/>
        <v>1.7999999999999997E-3</v>
      </c>
      <c r="E3">
        <f t="shared" ca="1" si="0"/>
        <v>1.8359999999999997E-3</v>
      </c>
      <c r="F3" s="32" cm="1">
        <f t="array" aca="1" ref="F3" ca="1">INDIRECT(CONCATENATE("'",HLOOKUP(F$1,$B$21:$E$23,3,FALSE),"'!",$B$25,ROW($A3)+5))*About!$A$27</f>
        <v>1.8719999999999997E-3</v>
      </c>
      <c r="G3">
        <f t="shared" ref="G3:G12" ca="1" si="4">$F3+($K3-$F3)*(G$1-$F$1)/($K$1-$F$1)</f>
        <v>1.9007999999999998E-3</v>
      </c>
      <c r="H3">
        <f t="shared" ca="1" si="1"/>
        <v>1.9295999999999998E-3</v>
      </c>
      <c r="I3">
        <f t="shared" ca="1" si="1"/>
        <v>1.9583999999999999E-3</v>
      </c>
      <c r="J3">
        <f t="shared" ca="1" si="1"/>
        <v>1.9871999999999997E-3</v>
      </c>
      <c r="K3" s="32" cm="1">
        <f t="array" aca="1" ref="K3" ca="1">INDIRECT(CONCATENATE("'",HLOOKUP(K$1,$B$21:$E$23,3,FALSE),"'!",$B$25,ROW($A3)+5))*About!$A$27</f>
        <v>2.016E-3</v>
      </c>
      <c r="L3">
        <f t="shared" ref="L3:L12" ca="1" si="5">$K3+($P3-$K3)*(L$1-$K$1)/($P$1-$K$1)</f>
        <v>2.0447999999999998E-3</v>
      </c>
      <c r="M3">
        <f t="shared" ca="1" si="2"/>
        <v>2.0736000000000001E-3</v>
      </c>
      <c r="N3">
        <f t="shared" ca="1" si="2"/>
        <v>2.1023999999999999E-3</v>
      </c>
      <c r="O3">
        <f t="shared" ca="1" si="2"/>
        <v>2.1312000000000002E-3</v>
      </c>
      <c r="P3" s="32" cm="1">
        <f t="array" aca="1" ref="P3" ca="1">INDIRECT(CONCATENATE("'",HLOOKUP(P$1,$B$21:$E$23,3,FALSE),"'!",$B$25,ROW($A3)+5))*About!$A$27</f>
        <v>2.16E-3</v>
      </c>
      <c r="Q3" cm="1">
        <f t="array" aca="1" ref="Q3" ca="1">TREND($K3:$P3,$K$1:$P$1,Q$1)</f>
        <v>2.1887999999999977E-3</v>
      </c>
      <c r="R3" cm="1">
        <f t="array" aca="1" ref="R3" ca="1">TREND($K3:$P3,$K$1:$P$1,R$1)</f>
        <v>2.2176000000000001E-3</v>
      </c>
      <c r="S3" cm="1">
        <f t="array" aca="1" ref="S3" ca="1">TREND($K3:$P3,$K$1:$P$1,S$1)</f>
        <v>2.2463999999999956E-3</v>
      </c>
      <c r="T3" cm="1">
        <f t="array" aca="1" ref="T3" ca="1">TREND($K3:$P3,$K$1:$P$1,T$1)</f>
        <v>2.2751999999999981E-3</v>
      </c>
      <c r="U3" cm="1">
        <f t="array" aca="1" ref="U3" ca="1">TREND($K3:$P3,$K$1:$P$1,U$1)</f>
        <v>2.3039999999999936E-3</v>
      </c>
      <c r="V3" cm="1">
        <f t="array" aca="1" ref="V3" ca="1">TREND($K3:$P3,$K$1:$P$1,V$1)</f>
        <v>2.332799999999996E-3</v>
      </c>
      <c r="W3" cm="1">
        <f t="array" aca="1" ref="W3" ca="1">TREND($K3:$P3,$K$1:$P$1,W$1)</f>
        <v>2.3615999999999984E-3</v>
      </c>
      <c r="X3" cm="1">
        <f t="array" aca="1" ref="X3" ca="1">TREND($K3:$P3,$K$1:$P$1,X$1)</f>
        <v>2.3903999999999939E-3</v>
      </c>
      <c r="Y3" cm="1">
        <f t="array" aca="1" ref="Y3" ca="1">TREND($K3:$P3,$K$1:$P$1,Y$1)</f>
        <v>2.4191999999999964E-3</v>
      </c>
      <c r="Z3" cm="1">
        <f t="array" aca="1" ref="Z3" ca="1">TREND($K3:$P3,$K$1:$P$1,Z$1)</f>
        <v>2.4479999999999988E-3</v>
      </c>
      <c r="AA3" cm="1">
        <f t="array" aca="1" ref="AA3" ca="1">TREND($K3:$P3,$K$1:$P$1,AA$1)</f>
        <v>2.4767999999999943E-3</v>
      </c>
      <c r="AB3" cm="1">
        <f t="array" aca="1" ref="AB3" ca="1">TREND($K3:$P3,$K$1:$P$1,AB$1)</f>
        <v>2.5055999999999967E-3</v>
      </c>
      <c r="AC3" cm="1">
        <f t="array" aca="1" ref="AC3" ca="1">TREND($K3:$P3,$K$1:$P$1,AC$1)</f>
        <v>2.5343999999999992E-3</v>
      </c>
      <c r="AD3" cm="1">
        <f t="array" aca="1" ref="AD3" ca="1">TREND($K3:$P3,$K$1:$P$1,AD$1)</f>
        <v>2.5631999999999946E-3</v>
      </c>
      <c r="AE3" cm="1">
        <f t="array" aca="1" ref="AE3" ca="1">TREND($K3:$P3,$K$1:$P$1,AE$1)</f>
        <v>2.5919999999999971E-3</v>
      </c>
      <c r="AF3" cm="1">
        <f t="array" aca="1" ref="AF3" ca="1">TREND($K3:$P3,$K$1:$P$1,AF$1)</f>
        <v>2.6207999999999995E-3</v>
      </c>
      <c r="AG3" cm="1">
        <f t="array" aca="1" ref="AG3" ca="1">TREND($K3:$P3,$K$1:$P$1,AG$1)</f>
        <v>2.649599999999995E-3</v>
      </c>
      <c r="AH3" cm="1">
        <f t="array" aca="1" ref="AH3" ca="1">TREND($K3:$P3,$K$1:$P$1,AH$1)</f>
        <v>2.6783999999999974E-3</v>
      </c>
      <c r="AI3" cm="1">
        <f t="array" aca="1" ref="AI3" ca="1">TREND($K3:$P3,$K$1:$P$1,AI$1)</f>
        <v>2.7071999999999999E-3</v>
      </c>
      <c r="AJ3" cm="1">
        <f t="array" aca="1" ref="AJ3" ca="1">TREND($K3:$P3,$K$1:$P$1,AJ$1)</f>
        <v>2.7359999999999954E-3</v>
      </c>
    </row>
    <row r="4" spans="1:36" x14ac:dyDescent="0.25">
      <c r="A4" t="s">
        <v>72</v>
      </c>
      <c r="B4" s="32" cm="1">
        <f t="array" aca="1" ref="B4" ca="1">INDIRECT(CONCATENATE("'",HLOOKUP(B$1,$B$21:$E$23,3,FALSE),"'!",$B$25,ROW($A4)+5))*About!$A$27</f>
        <v>5.4719999999999994E-3</v>
      </c>
      <c r="C4">
        <f t="shared" ca="1" si="3"/>
        <v>5.507999999999999E-3</v>
      </c>
      <c r="D4">
        <f t="shared" ca="1" si="0"/>
        <v>5.5439999999999994E-3</v>
      </c>
      <c r="E4">
        <f t="shared" ca="1" si="0"/>
        <v>5.5799999999999999E-3</v>
      </c>
      <c r="F4" s="32" cm="1">
        <f t="array" aca="1" ref="F4" ca="1">INDIRECT(CONCATENATE("'",HLOOKUP(F$1,$B$21:$E$23,3,FALSE),"'!",$B$25,ROW($A4)+5))*About!$A$27</f>
        <v>5.6159999999999995E-3</v>
      </c>
      <c r="G4">
        <f t="shared" ca="1" si="4"/>
        <v>5.6736E-3</v>
      </c>
      <c r="H4">
        <f t="shared" ca="1" si="1"/>
        <v>5.7311999999999997E-3</v>
      </c>
      <c r="I4">
        <f t="shared" ca="1" si="1"/>
        <v>5.7888000000000002E-3</v>
      </c>
      <c r="J4">
        <f t="shared" ca="1" si="1"/>
        <v>5.8463999999999999E-3</v>
      </c>
      <c r="K4" s="32" cm="1">
        <f t="array" aca="1" ref="K4" ca="1">INDIRECT(CONCATENATE("'",HLOOKUP(K$1,$B$21:$E$23,3,FALSE),"'!",$B$25,ROW($A4)+5))*About!$A$27</f>
        <v>5.9040000000000004E-3</v>
      </c>
      <c r="L4">
        <f t="shared" ca="1" si="5"/>
        <v>6.0192000000000006E-3</v>
      </c>
      <c r="M4">
        <f t="shared" ca="1" si="2"/>
        <v>6.1343999999999999E-3</v>
      </c>
      <c r="N4">
        <f t="shared" ca="1" si="2"/>
        <v>6.2496000000000001E-3</v>
      </c>
      <c r="O4">
        <f t="shared" ca="1" si="2"/>
        <v>6.3647999999999995E-3</v>
      </c>
      <c r="P4" s="32" cm="1">
        <f t="array" aca="1" ref="P4" ca="1">INDIRECT(CONCATENATE("'",HLOOKUP(P$1,$B$21:$E$23,3,FALSE),"'!",$B$25,ROW($A4)+5))*About!$A$27</f>
        <v>6.4799999999999996E-3</v>
      </c>
      <c r="Q4" cm="1">
        <f t="array" aca="1" ref="Q4" ca="1">TREND($K4:$P4,$K$1:$P$1,Q$1)</f>
        <v>6.5951999999999955E-3</v>
      </c>
      <c r="R4" cm="1">
        <f t="array" aca="1" ref="R4" ca="1">TREND($K4:$P4,$K$1:$P$1,R$1)</f>
        <v>6.7104000000000052E-3</v>
      </c>
      <c r="S4" cm="1">
        <f t="array" aca="1" ref="S4" ca="1">TREND($K4:$P4,$K$1:$P$1,S$1)</f>
        <v>6.8255999999999872E-3</v>
      </c>
      <c r="T4" cm="1">
        <f t="array" aca="1" ref="T4" ca="1">TREND($K4:$P4,$K$1:$P$1,T$1)</f>
        <v>6.940799999999997E-3</v>
      </c>
      <c r="U4" cm="1">
        <f t="array" aca="1" ref="U4" ca="1">TREND($K4:$P4,$K$1:$P$1,U$1)</f>
        <v>7.0560000000000067E-3</v>
      </c>
      <c r="V4" cm="1">
        <f t="array" aca="1" ref="V4" ca="1">TREND($K4:$P4,$K$1:$P$1,V$1)</f>
        <v>7.1711999999999887E-3</v>
      </c>
      <c r="W4" cm="1">
        <f t="array" aca="1" ref="W4" ca="1">TREND($K4:$P4,$K$1:$P$1,W$1)</f>
        <v>7.2863999999999984E-3</v>
      </c>
      <c r="X4" cm="1">
        <f t="array" aca="1" ref="X4" ca="1">TREND($K4:$P4,$K$1:$P$1,X$1)</f>
        <v>7.4016000000000082E-3</v>
      </c>
      <c r="Y4" cm="1">
        <f t="array" aca="1" ref="Y4" ca="1">TREND($K4:$P4,$K$1:$P$1,Y$1)</f>
        <v>7.5167999999999902E-3</v>
      </c>
      <c r="Z4" cm="1">
        <f t="array" aca="1" ref="Z4" ca="1">TREND($K4:$P4,$K$1:$P$1,Z$1)</f>
        <v>7.6319999999999999E-3</v>
      </c>
      <c r="AA4" cm="1">
        <f t="array" aca="1" ref="AA4" ca="1">TREND($K4:$P4,$K$1:$P$1,AA$1)</f>
        <v>7.7472000000000096E-3</v>
      </c>
      <c r="AB4" cm="1">
        <f t="array" aca="1" ref="AB4" ca="1">TREND($K4:$P4,$K$1:$P$1,AB$1)</f>
        <v>7.8623999999999916E-3</v>
      </c>
      <c r="AC4" cm="1">
        <f t="array" aca="1" ref="AC4" ca="1">TREND($K4:$P4,$K$1:$P$1,AC$1)</f>
        <v>7.9776000000000014E-3</v>
      </c>
      <c r="AD4" cm="1">
        <f t="array" aca="1" ref="AD4" ca="1">TREND($K4:$P4,$K$1:$P$1,AD$1)</f>
        <v>8.0927999999999833E-3</v>
      </c>
      <c r="AE4" cm="1">
        <f t="array" aca="1" ref="AE4" ca="1">TREND($K4:$P4,$K$1:$P$1,AE$1)</f>
        <v>8.2079999999999931E-3</v>
      </c>
      <c r="AF4" cm="1">
        <f t="array" aca="1" ref="AF4" ca="1">TREND($K4:$P4,$K$1:$P$1,AF$1)</f>
        <v>8.3232000000000028E-3</v>
      </c>
      <c r="AG4" cm="1">
        <f t="array" aca="1" ref="AG4" ca="1">TREND($K4:$P4,$K$1:$P$1,AG$1)</f>
        <v>8.4383999999999848E-3</v>
      </c>
      <c r="AH4" cm="1">
        <f t="array" aca="1" ref="AH4" ca="1">TREND($K4:$P4,$K$1:$P$1,AH$1)</f>
        <v>8.5535999999999945E-3</v>
      </c>
      <c r="AI4" cm="1">
        <f t="array" aca="1" ref="AI4" ca="1">TREND($K4:$P4,$K$1:$P$1,AI$1)</f>
        <v>8.6688000000000043E-3</v>
      </c>
      <c r="AJ4" cm="1">
        <f t="array" aca="1" ref="AJ4" ca="1">TREND($K4:$P4,$K$1:$P$1,AJ$1)</f>
        <v>8.7839999999999863E-3</v>
      </c>
    </row>
    <row r="5" spans="1:36" x14ac:dyDescent="0.25">
      <c r="A5" t="s">
        <v>73</v>
      </c>
      <c r="B5" s="32" cm="1">
        <f t="array" aca="1" ref="B5" ca="1">INDIRECT(CONCATENATE("'",HLOOKUP(B$1,$B$21:$E$23,3,FALSE),"'!",$B$25,ROW($A5)+5))*About!$A$27</f>
        <v>6.9120000000000001E-2</v>
      </c>
      <c r="C5">
        <f t="shared" ca="1" si="3"/>
        <v>6.948E-2</v>
      </c>
      <c r="D5">
        <f t="shared" ca="1" si="0"/>
        <v>6.9839999999999999E-2</v>
      </c>
      <c r="E5">
        <f t="shared" ca="1" si="0"/>
        <v>7.0199999999999999E-2</v>
      </c>
      <c r="F5" s="32" cm="1">
        <f t="array" aca="1" ref="F5" ca="1">INDIRECT(CONCATENATE("'",HLOOKUP(F$1,$B$21:$E$23,3,FALSE),"'!",$B$25,ROW($A5)+5))*About!$A$27</f>
        <v>7.0559999999999998E-2</v>
      </c>
      <c r="G5">
        <f t="shared" ca="1" si="4"/>
        <v>7.1424000000000001E-2</v>
      </c>
      <c r="H5">
        <f t="shared" ca="1" si="1"/>
        <v>7.2287999999999991E-2</v>
      </c>
      <c r="I5">
        <f t="shared" ca="1" si="1"/>
        <v>7.3151999999999995E-2</v>
      </c>
      <c r="J5">
        <f t="shared" ca="1" si="1"/>
        <v>7.4015999999999985E-2</v>
      </c>
      <c r="K5" s="32" cm="1">
        <f t="array" aca="1" ref="K5" ca="1">INDIRECT(CONCATENATE("'",HLOOKUP(K$1,$B$21:$E$23,3,FALSE),"'!",$B$25,ROW($A5)+5))*About!$A$27</f>
        <v>7.4879999999999988E-2</v>
      </c>
      <c r="L5">
        <f t="shared" ca="1" si="5"/>
        <v>7.6319999999999985E-2</v>
      </c>
      <c r="M5">
        <f t="shared" ca="1" si="2"/>
        <v>7.7759999999999996E-2</v>
      </c>
      <c r="N5">
        <f t="shared" ca="1" si="2"/>
        <v>7.9199999999999993E-2</v>
      </c>
      <c r="O5">
        <f t="shared" ca="1" si="2"/>
        <v>8.0640000000000003E-2</v>
      </c>
      <c r="P5" s="32" cm="1">
        <f t="array" aca="1" ref="P5" ca="1">INDIRECT(CONCATENATE("'",HLOOKUP(P$1,$B$21:$E$23,3,FALSE),"'!",$B$25,ROW($A5)+5))*About!$A$27</f>
        <v>8.208E-2</v>
      </c>
      <c r="Q5" cm="1">
        <f t="array" aca="1" ref="Q5" ca="1">TREND($K5:$P5,$K$1:$P$1,Q$1)</f>
        <v>8.3520000000000039E-2</v>
      </c>
      <c r="R5" cm="1">
        <f t="array" aca="1" ref="R5" ca="1">TREND($K5:$P5,$K$1:$P$1,R$1)</f>
        <v>8.4960000000000147E-2</v>
      </c>
      <c r="S5" cm="1">
        <f t="array" aca="1" ref="S5" ca="1">TREND($K5:$P5,$K$1:$P$1,S$1)</f>
        <v>8.6400000000000254E-2</v>
      </c>
      <c r="T5" cm="1">
        <f t="array" aca="1" ref="T5" ca="1">TREND($K5:$P5,$K$1:$P$1,T$1)</f>
        <v>8.7839999999999918E-2</v>
      </c>
      <c r="U5" cm="1">
        <f t="array" aca="1" ref="U5" ca="1">TREND($K5:$P5,$K$1:$P$1,U$1)</f>
        <v>8.9280000000000026E-2</v>
      </c>
      <c r="V5" cm="1">
        <f t="array" aca="1" ref="V5" ca="1">TREND($K5:$P5,$K$1:$P$1,V$1)</f>
        <v>9.0720000000000134E-2</v>
      </c>
      <c r="W5" cm="1">
        <f t="array" aca="1" ref="W5" ca="1">TREND($K5:$P5,$K$1:$P$1,W$1)</f>
        <v>9.2160000000000242E-2</v>
      </c>
      <c r="X5" cm="1">
        <f t="array" aca="1" ref="X5" ca="1">TREND($K5:$P5,$K$1:$P$1,X$1)</f>
        <v>9.3599999999999905E-2</v>
      </c>
      <c r="Y5" cm="1">
        <f t="array" aca="1" ref="Y5" ca="1">TREND($K5:$P5,$K$1:$P$1,Y$1)</f>
        <v>9.5040000000000013E-2</v>
      </c>
      <c r="Z5" cm="1">
        <f t="array" aca="1" ref="Z5" ca="1">TREND($K5:$P5,$K$1:$P$1,Z$1)</f>
        <v>9.6480000000000121E-2</v>
      </c>
      <c r="AA5" cm="1">
        <f t="array" aca="1" ref="AA5" ca="1">TREND($K5:$P5,$K$1:$P$1,AA$1)</f>
        <v>9.7920000000000229E-2</v>
      </c>
      <c r="AB5" cm="1">
        <f t="array" aca="1" ref="AB5" ca="1">TREND($K5:$P5,$K$1:$P$1,AB$1)</f>
        <v>9.9359999999999893E-2</v>
      </c>
      <c r="AC5" cm="1">
        <f t="array" aca="1" ref="AC5" ca="1">TREND($K5:$P5,$K$1:$P$1,AC$1)</f>
        <v>0.1008</v>
      </c>
      <c r="AD5" cm="1">
        <f t="array" aca="1" ref="AD5" ca="1">TREND($K5:$P5,$K$1:$P$1,AD$1)</f>
        <v>0.10224000000000011</v>
      </c>
      <c r="AE5" cm="1">
        <f t="array" aca="1" ref="AE5" ca="1">TREND($K5:$P5,$K$1:$P$1,AE$1)</f>
        <v>0.10368000000000022</v>
      </c>
      <c r="AF5" cm="1">
        <f t="array" aca="1" ref="AF5" ca="1">TREND($K5:$P5,$K$1:$P$1,AF$1)</f>
        <v>0.10511999999999988</v>
      </c>
      <c r="AG5" cm="1">
        <f t="array" aca="1" ref="AG5" ca="1">TREND($K5:$P5,$K$1:$P$1,AG$1)</f>
        <v>0.10655999999999999</v>
      </c>
      <c r="AH5" cm="1">
        <f t="array" aca="1" ref="AH5" ca="1">TREND($K5:$P5,$K$1:$P$1,AH$1)</f>
        <v>0.1080000000000001</v>
      </c>
      <c r="AI5" cm="1">
        <f t="array" aca="1" ref="AI5" ca="1">TREND($K5:$P5,$K$1:$P$1,AI$1)</f>
        <v>0.1094400000000002</v>
      </c>
      <c r="AJ5" cm="1">
        <f t="array" aca="1" ref="AJ5" ca="1">TREND($K5:$P5,$K$1:$P$1,AJ$1)</f>
        <v>0.11088000000000031</v>
      </c>
    </row>
    <row r="6" spans="1:36" x14ac:dyDescent="0.25">
      <c r="A6" t="s">
        <v>74</v>
      </c>
      <c r="B6" s="32" cm="1">
        <f t="array" aca="1" ref="B6" ca="1">INDIRECT(CONCATENATE("'",HLOOKUP(B$1,$B$21:$E$23,3,FALSE),"'!",$B$25,ROW($A6)+5))*About!$A$27</f>
        <v>9.9360000000000004E-2</v>
      </c>
      <c r="C6">
        <f t="shared" ca="1" si="3"/>
        <v>9.9720000000000003E-2</v>
      </c>
      <c r="D6">
        <f t="shared" ca="1" si="0"/>
        <v>0.10008</v>
      </c>
      <c r="E6">
        <f t="shared" ca="1" si="0"/>
        <v>0.10044</v>
      </c>
      <c r="F6" s="32" cm="1">
        <f t="array" aca="1" ref="F6" ca="1">INDIRECT(CONCATENATE("'",HLOOKUP(F$1,$B$21:$E$23,3,FALSE),"'!",$B$25,ROW($A6)+5))*About!$A$27</f>
        <v>0.1008</v>
      </c>
      <c r="G6">
        <f t="shared" ca="1" si="4"/>
        <v>0.101952</v>
      </c>
      <c r="H6">
        <f t="shared" ca="1" si="1"/>
        <v>0.103104</v>
      </c>
      <c r="I6">
        <f t="shared" ca="1" si="1"/>
        <v>0.10425599999999999</v>
      </c>
      <c r="J6">
        <f t="shared" ca="1" si="1"/>
        <v>0.10540799999999999</v>
      </c>
      <c r="K6" s="32" cm="1">
        <f t="array" aca="1" ref="K6" ca="1">INDIRECT(CONCATENATE("'",HLOOKUP(K$1,$B$21:$E$23,3,FALSE),"'!",$B$25,ROW($A6)+5))*About!$A$27</f>
        <v>0.10655999999999999</v>
      </c>
      <c r="L6">
        <f t="shared" ca="1" si="5"/>
        <v>0.10886399999999999</v>
      </c>
      <c r="M6">
        <f t="shared" ca="1" si="2"/>
        <v>0.11116799999999999</v>
      </c>
      <c r="N6">
        <f t="shared" ca="1" si="2"/>
        <v>0.113472</v>
      </c>
      <c r="O6">
        <f t="shared" ca="1" si="2"/>
        <v>0.115776</v>
      </c>
      <c r="P6" s="32" cm="1">
        <f t="array" aca="1" ref="P6" ca="1">INDIRECT(CONCATENATE("'",HLOOKUP(P$1,$B$21:$E$23,3,FALSE),"'!",$B$25,ROW($A6)+5))*About!$A$27</f>
        <v>0.11808</v>
      </c>
      <c r="Q6" cm="1">
        <f t="array" aca="1" ref="Q6" ca="1">TREND($K6:$P6,$K$1:$P$1,Q$1)</f>
        <v>0.12038400000000049</v>
      </c>
      <c r="R6" cm="1">
        <f t="array" aca="1" ref="R6" ca="1">TREND($K6:$P6,$K$1:$P$1,R$1)</f>
        <v>0.12268800000000013</v>
      </c>
      <c r="S6" cm="1">
        <f t="array" aca="1" ref="S6" ca="1">TREND($K6:$P6,$K$1:$P$1,S$1)</f>
        <v>0.12499200000000066</v>
      </c>
      <c r="T6" cm="1">
        <f t="array" aca="1" ref="T6" ca="1">TREND($K6:$P6,$K$1:$P$1,T$1)</f>
        <v>0.1272960000000003</v>
      </c>
      <c r="U6" cm="1">
        <f t="array" aca="1" ref="U6" ca="1">TREND($K6:$P6,$K$1:$P$1,U$1)</f>
        <v>0.12960000000000083</v>
      </c>
      <c r="V6" cm="1">
        <f t="array" aca="1" ref="V6" ca="1">TREND($K6:$P6,$K$1:$P$1,V$1)</f>
        <v>0.13190400000000047</v>
      </c>
      <c r="W6" cm="1">
        <f t="array" aca="1" ref="W6" ca="1">TREND($K6:$P6,$K$1:$P$1,W$1)</f>
        <v>0.1342080000000001</v>
      </c>
      <c r="X6" cm="1">
        <f t="array" aca="1" ref="X6" ca="1">TREND($K6:$P6,$K$1:$P$1,X$1)</f>
        <v>0.13651200000000063</v>
      </c>
      <c r="Y6" cm="1">
        <f t="array" aca="1" ref="Y6" ca="1">TREND($K6:$P6,$K$1:$P$1,Y$1)</f>
        <v>0.13881600000000027</v>
      </c>
      <c r="Z6" cm="1">
        <f t="array" aca="1" ref="Z6" ca="1">TREND($K6:$P6,$K$1:$P$1,Z$1)</f>
        <v>0.1411200000000008</v>
      </c>
      <c r="AA6" cm="1">
        <f t="array" aca="1" ref="AA6" ca="1">TREND($K6:$P6,$K$1:$P$1,AA$1)</f>
        <v>0.14342400000000044</v>
      </c>
      <c r="AB6" cm="1">
        <f t="array" aca="1" ref="AB6" ca="1">TREND($K6:$P6,$K$1:$P$1,AB$1)</f>
        <v>0.14572800000000097</v>
      </c>
      <c r="AC6" cm="1">
        <f t="array" aca="1" ref="AC6" ca="1">TREND($K6:$P6,$K$1:$P$1,AC$1)</f>
        <v>0.14803200000000061</v>
      </c>
      <c r="AD6" cm="1">
        <f t="array" aca="1" ref="AD6" ca="1">TREND($K6:$P6,$K$1:$P$1,AD$1)</f>
        <v>0.15033600000000025</v>
      </c>
      <c r="AE6" cm="1">
        <f t="array" aca="1" ref="AE6" ca="1">TREND($K6:$P6,$K$1:$P$1,AE$1)</f>
        <v>0.15264000000000078</v>
      </c>
      <c r="AF6" cm="1">
        <f t="array" aca="1" ref="AF6" ca="1">TREND($K6:$P6,$K$1:$P$1,AF$1)</f>
        <v>0.15494400000000041</v>
      </c>
      <c r="AG6" cm="1">
        <f t="array" aca="1" ref="AG6" ca="1">TREND($K6:$P6,$K$1:$P$1,AG$1)</f>
        <v>0.15724800000000094</v>
      </c>
      <c r="AH6" cm="1">
        <f t="array" aca="1" ref="AH6" ca="1">TREND($K6:$P6,$K$1:$P$1,AH$1)</f>
        <v>0.15955200000000058</v>
      </c>
      <c r="AI6" cm="1">
        <f t="array" aca="1" ref="AI6" ca="1">TREND($K6:$P6,$K$1:$P$1,AI$1)</f>
        <v>0.16185600000000022</v>
      </c>
      <c r="AJ6" cm="1">
        <f t="array" aca="1" ref="AJ6" ca="1">TREND($K6:$P6,$K$1:$P$1,AJ$1)</f>
        <v>0.16416000000000075</v>
      </c>
    </row>
    <row r="7" spans="1:36" x14ac:dyDescent="0.25">
      <c r="A7" t="s">
        <v>75</v>
      </c>
      <c r="B7" s="32" cm="1">
        <f t="array" aca="1" ref="B7" ca="1">INDIRECT(CONCATENATE("'",HLOOKUP(B$1,$B$21:$E$23,3,FALSE),"'!",$B$25,ROW($A7)+5))*About!$A$27</f>
        <v>2.7359999999999998</v>
      </c>
      <c r="C7">
        <f t="shared" ca="1" si="3"/>
        <v>2.7719999999999998</v>
      </c>
      <c r="D7">
        <f t="shared" ca="1" si="0"/>
        <v>2.8079999999999998</v>
      </c>
      <c r="E7">
        <f t="shared" ca="1" si="0"/>
        <v>2.8439999999999999</v>
      </c>
      <c r="F7" s="32" cm="1">
        <f t="array" aca="1" ref="F7" ca="1">INDIRECT(CONCATENATE("'",HLOOKUP(F$1,$B$21:$E$23,3,FALSE),"'!",$B$25,ROW($A7)+5))*About!$A$27</f>
        <v>2.88</v>
      </c>
      <c r="G7">
        <f t="shared" ca="1" si="4"/>
        <v>2.9087999999999998</v>
      </c>
      <c r="H7">
        <f t="shared" ca="1" si="1"/>
        <v>2.9375999999999998</v>
      </c>
      <c r="I7">
        <f t="shared" ca="1" si="1"/>
        <v>2.9664000000000001</v>
      </c>
      <c r="J7">
        <f t="shared" ca="1" si="1"/>
        <v>2.9952000000000001</v>
      </c>
      <c r="K7" s="32" cm="1">
        <f t="array" aca="1" ref="K7" ca="1">INDIRECT(CONCATENATE("'",HLOOKUP(K$1,$B$21:$E$23,3,FALSE),"'!",$B$25,ROW($A7)+5))*About!$A$27</f>
        <v>3.024</v>
      </c>
      <c r="L7">
        <f t="shared" ca="1" si="5"/>
        <v>3.024</v>
      </c>
      <c r="M7">
        <f t="shared" ca="1" si="2"/>
        <v>3.024</v>
      </c>
      <c r="N7">
        <f t="shared" ca="1" si="2"/>
        <v>3.024</v>
      </c>
      <c r="O7">
        <f t="shared" ca="1" si="2"/>
        <v>3.024</v>
      </c>
      <c r="P7" s="32" cm="1">
        <f t="array" aca="1" ref="P7" ca="1">INDIRECT(CONCATENATE("'",HLOOKUP(P$1,$B$21:$E$23,3,FALSE),"'!",$B$25,ROW($A7)+5))*About!$A$27</f>
        <v>3.024</v>
      </c>
      <c r="Q7" cm="1">
        <f t="array" aca="1" ref="Q7" ca="1">TREND($K7:$P7,$K$1:$P$1,Q$1)</f>
        <v>3.0240000000000005</v>
      </c>
      <c r="R7" cm="1">
        <f t="array" aca="1" ref="R7" ca="1">TREND($K7:$P7,$K$1:$P$1,R$1)</f>
        <v>3.0240000000000005</v>
      </c>
      <c r="S7" cm="1">
        <f t="array" aca="1" ref="S7" ca="1">TREND($K7:$P7,$K$1:$P$1,S$1)</f>
        <v>3.0240000000000005</v>
      </c>
      <c r="T7" cm="1">
        <f t="array" aca="1" ref="T7" ca="1">TREND($K7:$P7,$K$1:$P$1,T$1)</f>
        <v>3.0240000000000005</v>
      </c>
      <c r="U7" cm="1">
        <f t="array" aca="1" ref="U7" ca="1">TREND($K7:$P7,$K$1:$P$1,U$1)</f>
        <v>3.0240000000000005</v>
      </c>
      <c r="V7" cm="1">
        <f t="array" aca="1" ref="V7" ca="1">TREND($K7:$P7,$K$1:$P$1,V$1)</f>
        <v>3.0240000000000005</v>
      </c>
      <c r="W7" cm="1">
        <f t="array" aca="1" ref="W7" ca="1">TREND($K7:$P7,$K$1:$P$1,W$1)</f>
        <v>3.0240000000000005</v>
      </c>
      <c r="X7" cm="1">
        <f t="array" aca="1" ref="X7" ca="1">TREND($K7:$P7,$K$1:$P$1,X$1)</f>
        <v>3.0240000000000005</v>
      </c>
      <c r="Y7" cm="1">
        <f t="array" aca="1" ref="Y7" ca="1">TREND($K7:$P7,$K$1:$P$1,Y$1)</f>
        <v>3.0240000000000005</v>
      </c>
      <c r="Z7" cm="1">
        <f t="array" aca="1" ref="Z7" ca="1">TREND($K7:$P7,$K$1:$P$1,Z$1)</f>
        <v>3.0240000000000005</v>
      </c>
      <c r="AA7" cm="1">
        <f t="array" aca="1" ref="AA7" ca="1">TREND($K7:$P7,$K$1:$P$1,AA$1)</f>
        <v>3.0240000000000005</v>
      </c>
      <c r="AB7" cm="1">
        <f t="array" aca="1" ref="AB7" ca="1">TREND($K7:$P7,$K$1:$P$1,AB$1)</f>
        <v>3.0240000000000005</v>
      </c>
      <c r="AC7" cm="1">
        <f t="array" aca="1" ref="AC7" ca="1">TREND($K7:$P7,$K$1:$P$1,AC$1)</f>
        <v>3.0240000000000005</v>
      </c>
      <c r="AD7" cm="1">
        <f t="array" aca="1" ref="AD7" ca="1">TREND($K7:$P7,$K$1:$P$1,AD$1)</f>
        <v>3.0240000000000005</v>
      </c>
      <c r="AE7" cm="1">
        <f t="array" aca="1" ref="AE7" ca="1">TREND($K7:$P7,$K$1:$P$1,AE$1)</f>
        <v>3.0240000000000005</v>
      </c>
      <c r="AF7" cm="1">
        <f t="array" aca="1" ref="AF7" ca="1">TREND($K7:$P7,$K$1:$P$1,AF$1)</f>
        <v>3.0240000000000005</v>
      </c>
      <c r="AG7" cm="1">
        <f t="array" aca="1" ref="AG7" ca="1">TREND($K7:$P7,$K$1:$P$1,AG$1)</f>
        <v>3.0240000000000005</v>
      </c>
      <c r="AH7" cm="1">
        <f t="array" aca="1" ref="AH7" ca="1">TREND($K7:$P7,$K$1:$P$1,AH$1)</f>
        <v>3.0240000000000005</v>
      </c>
      <c r="AI7" cm="1">
        <f t="array" aca="1" ref="AI7" ca="1">TREND($K7:$P7,$K$1:$P$1,AI$1)</f>
        <v>3.0240000000000005</v>
      </c>
      <c r="AJ7" cm="1">
        <f t="array" aca="1" ref="AJ7" ca="1">TREND($K7:$P7,$K$1:$P$1,AJ$1)</f>
        <v>3.0240000000000005</v>
      </c>
    </row>
    <row r="8" spans="1:36" x14ac:dyDescent="0.25">
      <c r="A8" t="s">
        <v>76</v>
      </c>
      <c r="B8" s="32" cm="1">
        <f t="array" aca="1" ref="B8" ca="1">INDIRECT(CONCATENATE("'",HLOOKUP(B$1,$B$21:$E$23,3,FALSE),"'!",$B$25,ROW($A8)+5))*About!$A$27</f>
        <v>0.47520000000000001</v>
      </c>
      <c r="C8">
        <f t="shared" ca="1" si="3"/>
        <v>0.4788</v>
      </c>
      <c r="D8">
        <f t="shared" ca="1" si="0"/>
        <v>0.48240000000000005</v>
      </c>
      <c r="E8">
        <f t="shared" ca="1" si="0"/>
        <v>0.48600000000000004</v>
      </c>
      <c r="F8" s="32" cm="1">
        <f t="array" aca="1" ref="F8" ca="1">INDIRECT(CONCATENATE("'",HLOOKUP(F$1,$B$21:$E$23,3,FALSE),"'!",$B$25,ROW($A8)+5))*About!$A$27</f>
        <v>0.48960000000000004</v>
      </c>
      <c r="G8">
        <f t="shared" ca="1" si="4"/>
        <v>0.49248000000000003</v>
      </c>
      <c r="H8">
        <f t="shared" ca="1" si="1"/>
        <v>0.49536000000000002</v>
      </c>
      <c r="I8">
        <f t="shared" ca="1" si="1"/>
        <v>0.49824000000000002</v>
      </c>
      <c r="J8">
        <f t="shared" ca="1" si="1"/>
        <v>0.50112000000000001</v>
      </c>
      <c r="K8" s="32" cm="1">
        <f t="array" aca="1" ref="K8" ca="1">INDIRECT(CONCATENATE("'",HLOOKUP(K$1,$B$21:$E$23,3,FALSE),"'!",$B$25,ROW($A8)+5))*About!$A$27</f>
        <v>0.504</v>
      </c>
      <c r="L8">
        <f t="shared" ca="1" si="5"/>
        <v>0.50975999999999999</v>
      </c>
      <c r="M8">
        <f t="shared" ca="1" si="2"/>
        <v>0.51551999999999998</v>
      </c>
      <c r="N8">
        <f t="shared" ca="1" si="2"/>
        <v>0.52127999999999997</v>
      </c>
      <c r="O8">
        <f t="shared" ca="1" si="2"/>
        <v>0.52703999999999995</v>
      </c>
      <c r="P8" s="32" cm="1">
        <f t="array" aca="1" ref="P8" ca="1">INDIRECT(CONCATENATE("'",HLOOKUP(P$1,$B$21:$E$23,3,FALSE),"'!",$B$25,ROW($A8)+5))*About!$A$27</f>
        <v>0.53279999999999994</v>
      </c>
      <c r="Q8" cm="1">
        <f t="array" aca="1" ref="Q8" ca="1">TREND($K8:$P8,$K$1:$P$1,Q$1)</f>
        <v>0.5385599999999986</v>
      </c>
      <c r="R8" cm="1">
        <f t="array" aca="1" ref="R8" ca="1">TREND($K8:$P8,$K$1:$P$1,R$1)</f>
        <v>0.54431999999999903</v>
      </c>
      <c r="S8" cm="1">
        <f t="array" aca="1" ref="S8" ca="1">TREND($K8:$P8,$K$1:$P$1,S$1)</f>
        <v>0.55007999999999946</v>
      </c>
      <c r="T8" cm="1">
        <f t="array" aca="1" ref="T8" ca="1">TREND($K8:$P8,$K$1:$P$1,T$1)</f>
        <v>0.55583999999999989</v>
      </c>
      <c r="U8" cm="1">
        <f t="array" aca="1" ref="U8" ca="1">TREND($K8:$P8,$K$1:$P$1,U$1)</f>
        <v>0.56159999999999854</v>
      </c>
      <c r="V8" cm="1">
        <f t="array" aca="1" ref="V8" ca="1">TREND($K8:$P8,$K$1:$P$1,V$1)</f>
        <v>0.56735999999999898</v>
      </c>
      <c r="W8" cm="1">
        <f t="array" aca="1" ref="W8" ca="1">TREND($K8:$P8,$K$1:$P$1,W$1)</f>
        <v>0.57311999999999941</v>
      </c>
      <c r="X8" cm="1">
        <f t="array" aca="1" ref="X8" ca="1">TREND($K8:$P8,$K$1:$P$1,X$1)</f>
        <v>0.57887999999999806</v>
      </c>
      <c r="Y8" cm="1">
        <f t="array" aca="1" ref="Y8" ca="1">TREND($K8:$P8,$K$1:$P$1,Y$1)</f>
        <v>0.58463999999999849</v>
      </c>
      <c r="Z8" cm="1">
        <f t="array" aca="1" ref="Z8" ca="1">TREND($K8:$P8,$K$1:$P$1,Z$1)</f>
        <v>0.59039999999999893</v>
      </c>
      <c r="AA8" cm="1">
        <f t="array" aca="1" ref="AA8" ca="1">TREND($K8:$P8,$K$1:$P$1,AA$1)</f>
        <v>0.59615999999999936</v>
      </c>
      <c r="AB8" cm="1">
        <f t="array" aca="1" ref="AB8" ca="1">TREND($K8:$P8,$K$1:$P$1,AB$1)</f>
        <v>0.60191999999999979</v>
      </c>
      <c r="AC8" cm="1">
        <f t="array" aca="1" ref="AC8" ca="1">TREND($K8:$P8,$K$1:$P$1,AC$1)</f>
        <v>0.60767999999999844</v>
      </c>
      <c r="AD8" cm="1">
        <f t="array" aca="1" ref="AD8" ca="1">TREND($K8:$P8,$K$1:$P$1,AD$1)</f>
        <v>0.61343999999999888</v>
      </c>
      <c r="AE8" cm="1">
        <f t="array" aca="1" ref="AE8" ca="1">TREND($K8:$P8,$K$1:$P$1,AE$1)</f>
        <v>0.61919999999999931</v>
      </c>
      <c r="AF8" cm="1">
        <f t="array" aca="1" ref="AF8" ca="1">TREND($K8:$P8,$K$1:$P$1,AF$1)</f>
        <v>0.62495999999999796</v>
      </c>
      <c r="AG8" cm="1">
        <f t="array" aca="1" ref="AG8" ca="1">TREND($K8:$P8,$K$1:$P$1,AG$1)</f>
        <v>0.63071999999999839</v>
      </c>
      <c r="AH8" cm="1">
        <f t="array" aca="1" ref="AH8" ca="1">TREND($K8:$P8,$K$1:$P$1,AH$1)</f>
        <v>0.63647999999999882</v>
      </c>
      <c r="AI8" cm="1">
        <f t="array" aca="1" ref="AI8" ca="1">TREND($K8:$P8,$K$1:$P$1,AI$1)</f>
        <v>0.64223999999999926</v>
      </c>
      <c r="AJ8" cm="1">
        <f t="array" aca="1" ref="AJ8" ca="1">TREND($K8:$P8,$K$1:$P$1,AJ$1)</f>
        <v>0.64799999999999969</v>
      </c>
    </row>
    <row r="9" spans="1:36" x14ac:dyDescent="0.25">
      <c r="A9" t="s">
        <v>77</v>
      </c>
      <c r="B9" s="32" cm="1">
        <f t="array" aca="1" ref="B9" ca="1">INDIRECT(CONCATENATE("'",HLOOKUP(B$1,$B$21:$E$23,3,FALSE),"'!",$B$25,ROW($A9)+5))*About!$A$27</f>
        <v>0.11663999999999999</v>
      </c>
      <c r="C9">
        <f t="shared" ca="1" si="3"/>
        <v>0.11699999999999999</v>
      </c>
      <c r="D9">
        <f t="shared" ca="1" si="0"/>
        <v>0.11735999999999999</v>
      </c>
      <c r="E9">
        <f t="shared" ca="1" si="0"/>
        <v>0.11772000000000001</v>
      </c>
      <c r="F9" s="32" cm="1">
        <f t="array" aca="1" ref="F9" ca="1">INDIRECT(CONCATENATE("'",HLOOKUP(F$1,$B$21:$E$23,3,FALSE),"'!",$B$25,ROW($A9)+5))*About!$A$27</f>
        <v>0.11808</v>
      </c>
      <c r="G9">
        <f t="shared" ca="1" si="4"/>
        <v>0.11952</v>
      </c>
      <c r="H9">
        <f t="shared" ca="1" si="1"/>
        <v>0.12096</v>
      </c>
      <c r="I9">
        <f t="shared" ca="1" si="1"/>
        <v>0.12239999999999998</v>
      </c>
      <c r="J9">
        <f t="shared" ca="1" si="1"/>
        <v>0.12383999999999998</v>
      </c>
      <c r="K9" s="32" cm="1">
        <f t="array" aca="1" ref="K9" ca="1">INDIRECT(CONCATENATE("'",HLOOKUP(K$1,$B$21:$E$23,3,FALSE),"'!",$B$25,ROW($A9)+5))*About!$A$27</f>
        <v>0.12527999999999997</v>
      </c>
      <c r="L9">
        <f t="shared" ca="1" si="5"/>
        <v>0.12729599999999999</v>
      </c>
      <c r="M9">
        <f t="shared" ca="1" si="2"/>
        <v>0.12931199999999998</v>
      </c>
      <c r="N9">
        <f t="shared" ca="1" si="2"/>
        <v>0.131328</v>
      </c>
      <c r="O9">
        <f t="shared" ca="1" si="2"/>
        <v>0.13334399999999999</v>
      </c>
      <c r="P9" s="32" cm="1">
        <f t="array" aca="1" ref="P9" ca="1">INDIRECT(CONCATENATE("'",HLOOKUP(P$1,$B$21:$E$23,3,FALSE),"'!",$B$25,ROW($A9)+5))*About!$A$27</f>
        <v>0.13536000000000001</v>
      </c>
      <c r="Q9" cm="1">
        <f t="array" aca="1" ref="Q9" ca="1">TREND($K9:$P9,$K$1:$P$1,Q$1)</f>
        <v>0.13737599999999972</v>
      </c>
      <c r="R9" cm="1">
        <f t="array" aca="1" ref="R9" ca="1">TREND($K9:$P9,$K$1:$P$1,R$1)</f>
        <v>0.13939199999999996</v>
      </c>
      <c r="S9" cm="1">
        <f t="array" aca="1" ref="S9" ca="1">TREND($K9:$P9,$K$1:$P$1,S$1)</f>
        <v>0.1414080000000002</v>
      </c>
      <c r="T9" cm="1">
        <f t="array" aca="1" ref="T9" ca="1">TREND($K9:$P9,$K$1:$P$1,T$1)</f>
        <v>0.14342400000000044</v>
      </c>
      <c r="U9" cm="1">
        <f t="array" aca="1" ref="U9" ca="1">TREND($K9:$P9,$K$1:$P$1,U$1)</f>
        <v>0.14543999999999979</v>
      </c>
      <c r="V9" cm="1">
        <f t="array" aca="1" ref="V9" ca="1">TREND($K9:$P9,$K$1:$P$1,V$1)</f>
        <v>0.14745600000000003</v>
      </c>
      <c r="W9" cm="1">
        <f t="array" aca="1" ref="W9" ca="1">TREND($K9:$P9,$K$1:$P$1,W$1)</f>
        <v>0.14947200000000027</v>
      </c>
      <c r="X9" cm="1">
        <f t="array" aca="1" ref="X9" ca="1">TREND($K9:$P9,$K$1:$P$1,X$1)</f>
        <v>0.15148800000000051</v>
      </c>
      <c r="Y9" cm="1">
        <f t="array" aca="1" ref="Y9" ca="1">TREND($K9:$P9,$K$1:$P$1,Y$1)</f>
        <v>0.15350399999999986</v>
      </c>
      <c r="Z9" cm="1">
        <f t="array" aca="1" ref="Z9" ca="1">TREND($K9:$P9,$K$1:$P$1,Z$1)</f>
        <v>0.1555200000000001</v>
      </c>
      <c r="AA9" cm="1">
        <f t="array" aca="1" ref="AA9" ca="1">TREND($K9:$P9,$K$1:$P$1,AA$1)</f>
        <v>0.15753600000000034</v>
      </c>
      <c r="AB9" cm="1">
        <f t="array" aca="1" ref="AB9" ca="1">TREND($K9:$P9,$K$1:$P$1,AB$1)</f>
        <v>0.15955200000000058</v>
      </c>
      <c r="AC9" cm="1">
        <f t="array" aca="1" ref="AC9" ca="1">TREND($K9:$P9,$K$1:$P$1,AC$1)</f>
        <v>0.16156799999999993</v>
      </c>
      <c r="AD9" cm="1">
        <f t="array" aca="1" ref="AD9" ca="1">TREND($K9:$P9,$K$1:$P$1,AD$1)</f>
        <v>0.16358400000000017</v>
      </c>
      <c r="AE9" cm="1">
        <f t="array" aca="1" ref="AE9" ca="1">TREND($K9:$P9,$K$1:$P$1,AE$1)</f>
        <v>0.16560000000000041</v>
      </c>
      <c r="AF9" cm="1">
        <f t="array" aca="1" ref="AF9" ca="1">TREND($K9:$P9,$K$1:$P$1,AF$1)</f>
        <v>0.16761600000000065</v>
      </c>
      <c r="AG9" cm="1">
        <f t="array" aca="1" ref="AG9" ca="1">TREND($K9:$P9,$K$1:$P$1,AG$1)</f>
        <v>0.16963200000000001</v>
      </c>
      <c r="AH9" cm="1">
        <f t="array" aca="1" ref="AH9" ca="1">TREND($K9:$P9,$K$1:$P$1,AH$1)</f>
        <v>0.17164800000000024</v>
      </c>
      <c r="AI9" cm="1">
        <f t="array" aca="1" ref="AI9" ca="1">TREND($K9:$P9,$K$1:$P$1,AI$1)</f>
        <v>0.17366400000000048</v>
      </c>
      <c r="AJ9" cm="1">
        <f t="array" aca="1" ref="AJ9" ca="1">TREND($K9:$P9,$K$1:$P$1,AJ$1)</f>
        <v>0.17567999999999984</v>
      </c>
    </row>
    <row r="10" spans="1:36" x14ac:dyDescent="0.25">
      <c r="A10" t="s">
        <v>78</v>
      </c>
      <c r="B10" s="32" cm="1">
        <f t="array" aca="1" ref="B10" ca="1">INDIRECT(CONCATENATE("'",HLOOKUP(B$1,$B$21:$E$23,3,FALSE),"'!",$B$25,ROW($A10)+5))*About!$A$27</f>
        <v>7.1999999999999994E-4</v>
      </c>
      <c r="C10">
        <f t="shared" ca="1" si="3"/>
        <v>7.3799999999999994E-4</v>
      </c>
      <c r="D10">
        <f t="shared" ca="1" si="0"/>
        <v>7.5599999999999994E-4</v>
      </c>
      <c r="E10">
        <f t="shared" ca="1" si="0"/>
        <v>7.7400000000000006E-4</v>
      </c>
      <c r="F10" s="32" cm="1">
        <f t="array" aca="1" ref="F10" ca="1">INDIRECT(CONCATENATE("'",HLOOKUP(F$1,$B$21:$E$23,3,FALSE),"'!",$B$25,ROW($A10)+5))*About!$A$27</f>
        <v>7.9200000000000006E-4</v>
      </c>
      <c r="G10">
        <f t="shared" ca="1" si="4"/>
        <v>8.1216000000000003E-4</v>
      </c>
      <c r="H10">
        <f t="shared" ca="1" si="1"/>
        <v>8.3232E-4</v>
      </c>
      <c r="I10">
        <f t="shared" ca="1" si="1"/>
        <v>8.5248000000000008E-4</v>
      </c>
      <c r="J10">
        <f t="shared" ca="1" si="1"/>
        <v>8.7264000000000005E-4</v>
      </c>
      <c r="K10" s="32" cm="1">
        <f t="array" aca="1" ref="K10" ca="1">INDIRECT(CONCATENATE("'",HLOOKUP(K$1,$B$21:$E$23,3,FALSE),"'!",$B$25,ROW($A10)+5))*About!$A$27</f>
        <v>8.9280000000000002E-4</v>
      </c>
      <c r="L10">
        <f t="shared" ca="1" si="5"/>
        <v>9.1584000000000001E-4</v>
      </c>
      <c r="M10">
        <f t="shared" ca="1" si="2"/>
        <v>9.3888000000000001E-4</v>
      </c>
      <c r="N10">
        <f t="shared" ca="1" si="2"/>
        <v>9.6192000000000001E-4</v>
      </c>
      <c r="O10">
        <f t="shared" ca="1" si="2"/>
        <v>9.8496E-4</v>
      </c>
      <c r="P10" s="32" cm="1">
        <f t="array" aca="1" ref="P10" ca="1">INDIRECT(CONCATENATE("'",HLOOKUP(P$1,$B$21:$E$23,3,FALSE),"'!",$B$25,ROW($A10)+5))*About!$A$27</f>
        <v>1.008E-3</v>
      </c>
      <c r="Q10" cm="1">
        <f t="array" aca="1" ref="Q10" ca="1">TREND($K10:$P10,$K$1:$P$1,Q$1)</f>
        <v>1.031039999999997E-3</v>
      </c>
      <c r="R10" cm="1">
        <f t="array" aca="1" ref="R10" ca="1">TREND($K10:$P10,$K$1:$P$1,R$1)</f>
        <v>1.054079999999992E-3</v>
      </c>
      <c r="S10" cm="1">
        <f t="array" aca="1" ref="S10" ca="1">TREND($K10:$P10,$K$1:$P$1,S$1)</f>
        <v>1.0771199999999939E-3</v>
      </c>
      <c r="T10" cm="1">
        <f t="array" aca="1" ref="T10" ca="1">TREND($K10:$P10,$K$1:$P$1,T$1)</f>
        <v>1.1001599999999959E-3</v>
      </c>
      <c r="U10" cm="1">
        <f t="array" aca="1" ref="U10" ca="1">TREND($K10:$P10,$K$1:$P$1,U$1)</f>
        <v>1.1231999999999978E-3</v>
      </c>
      <c r="V10" cm="1">
        <f t="array" aca="1" ref="V10" ca="1">TREND($K10:$P10,$K$1:$P$1,V$1)</f>
        <v>1.1462399999999928E-3</v>
      </c>
      <c r="W10" cm="1">
        <f t="array" aca="1" ref="W10" ca="1">TREND($K10:$P10,$K$1:$P$1,W$1)</f>
        <v>1.1692799999999948E-3</v>
      </c>
      <c r="X10" cm="1">
        <f t="array" aca="1" ref="X10" ca="1">TREND($K10:$P10,$K$1:$P$1,X$1)</f>
        <v>1.1923199999999967E-3</v>
      </c>
      <c r="Y10" cm="1">
        <f t="array" aca="1" ref="Y10" ca="1">TREND($K10:$P10,$K$1:$P$1,Y$1)</f>
        <v>1.2153599999999987E-3</v>
      </c>
      <c r="Z10" cm="1">
        <f t="array" aca="1" ref="Z10" ca="1">TREND($K10:$P10,$K$1:$P$1,Z$1)</f>
        <v>1.2383999999999937E-3</v>
      </c>
      <c r="AA10" cm="1">
        <f t="array" aca="1" ref="AA10" ca="1">TREND($K10:$P10,$K$1:$P$1,AA$1)</f>
        <v>1.2614399999999956E-3</v>
      </c>
      <c r="AB10" cm="1">
        <f t="array" aca="1" ref="AB10" ca="1">TREND($K10:$P10,$K$1:$P$1,AB$1)</f>
        <v>1.2844799999999976E-3</v>
      </c>
      <c r="AC10" cm="1">
        <f t="array" aca="1" ref="AC10" ca="1">TREND($K10:$P10,$K$1:$P$1,AC$1)</f>
        <v>1.3075199999999926E-3</v>
      </c>
      <c r="AD10" cm="1">
        <f t="array" aca="1" ref="AD10" ca="1">TREND($K10:$P10,$K$1:$P$1,AD$1)</f>
        <v>1.3305599999999945E-3</v>
      </c>
      <c r="AE10" cm="1">
        <f t="array" aca="1" ref="AE10" ca="1">TREND($K10:$P10,$K$1:$P$1,AE$1)</f>
        <v>1.3535999999999965E-3</v>
      </c>
      <c r="AF10" cm="1">
        <f t="array" aca="1" ref="AF10" ca="1">TREND($K10:$P10,$K$1:$P$1,AF$1)</f>
        <v>1.3766399999999984E-3</v>
      </c>
      <c r="AG10" cm="1">
        <f t="array" aca="1" ref="AG10" ca="1">TREND($K10:$P10,$K$1:$P$1,AG$1)</f>
        <v>1.3996799999999934E-3</v>
      </c>
      <c r="AH10" cm="1">
        <f t="array" aca="1" ref="AH10" ca="1">TREND($K10:$P10,$K$1:$P$1,AH$1)</f>
        <v>1.4227199999999954E-3</v>
      </c>
      <c r="AI10" cm="1">
        <f t="array" aca="1" ref="AI10" ca="1">TREND($K10:$P10,$K$1:$P$1,AI$1)</f>
        <v>1.4457599999999973E-3</v>
      </c>
      <c r="AJ10" cm="1">
        <f t="array" aca="1" ref="AJ10" ca="1">TREND($K10:$P10,$K$1:$P$1,AJ$1)</f>
        <v>1.4687999999999923E-3</v>
      </c>
    </row>
    <row r="11" spans="1:36" x14ac:dyDescent="0.25">
      <c r="A11" t="s">
        <v>79</v>
      </c>
      <c r="B11" s="32" cm="1">
        <f t="array" aca="1" ref="B11" ca="1">INDIRECT(CONCATENATE("'",HLOOKUP(B$1,$B$21:$E$23,3,FALSE),"'!",$B$25,ROW($A11)+5))*About!$A$27</f>
        <v>6.912E-4</v>
      </c>
      <c r="C11">
        <f t="shared" ca="1" si="3"/>
        <v>7.092E-4</v>
      </c>
      <c r="D11">
        <f t="shared" ca="1" si="0"/>
        <v>7.271999999999999E-4</v>
      </c>
      <c r="E11">
        <f t="shared" ca="1" si="0"/>
        <v>7.451999999999999E-4</v>
      </c>
      <c r="F11" s="32" cm="1">
        <f t="array" aca="1" ref="F11" ca="1">INDIRECT(CONCATENATE("'",HLOOKUP(F$1,$B$21:$E$23,3,FALSE),"'!",$B$25,ROW($A11)+5))*About!$A$27</f>
        <v>7.631999999999999E-4</v>
      </c>
      <c r="G11">
        <f t="shared" ca="1" si="4"/>
        <v>7.8335999999999987E-4</v>
      </c>
      <c r="H11">
        <f t="shared" ca="1" si="1"/>
        <v>8.0351999999999984E-4</v>
      </c>
      <c r="I11">
        <f t="shared" ca="1" si="1"/>
        <v>8.2367999999999992E-4</v>
      </c>
      <c r="J11">
        <f t="shared" ca="1" si="1"/>
        <v>8.4383999999999989E-4</v>
      </c>
      <c r="K11" s="32" cm="1">
        <f t="array" aca="1" ref="K11" ca="1">INDIRECT(CONCATENATE("'",HLOOKUP(K$1,$B$21:$E$23,3,FALSE),"'!",$B$25,ROW($A11)+5))*About!$A$27</f>
        <v>8.6399999999999986E-4</v>
      </c>
      <c r="L11">
        <f t="shared" ca="1" si="5"/>
        <v>8.8703999999999986E-4</v>
      </c>
      <c r="M11">
        <f t="shared" ca="1" si="2"/>
        <v>9.1007999999999985E-4</v>
      </c>
      <c r="N11">
        <f t="shared" ca="1" si="2"/>
        <v>9.3311999999999996E-4</v>
      </c>
      <c r="O11">
        <f t="shared" ca="1" si="2"/>
        <v>9.5615999999999995E-4</v>
      </c>
      <c r="P11" s="32" cm="1">
        <f t="array" aca="1" ref="P11" ca="1">INDIRECT(CONCATENATE("'",HLOOKUP(P$1,$B$21:$E$23,3,FALSE),"'!",$B$25,ROW($A11)+5))*About!$A$27</f>
        <v>9.7919999999999995E-4</v>
      </c>
      <c r="Q11" cm="1">
        <f t="array" aca="1" ref="Q11" ca="1">TREND($K11:$P11,$K$1:$P$1,Q$1)</f>
        <v>1.0022400000000015E-3</v>
      </c>
      <c r="R11" cm="1">
        <f t="array" aca="1" ref="R11" ca="1">TREND($K11:$P11,$K$1:$P$1,R$1)</f>
        <v>1.0252799999999965E-3</v>
      </c>
      <c r="S11" cm="1">
        <f t="array" aca="1" ref="S11" ca="1">TREND($K11:$P11,$K$1:$P$1,S$1)</f>
        <v>1.0483199999999984E-3</v>
      </c>
      <c r="T11" cm="1">
        <f t="array" aca="1" ref="T11" ca="1">TREND($K11:$P11,$K$1:$P$1,T$1)</f>
        <v>1.0713600000000004E-3</v>
      </c>
      <c r="U11" cm="1">
        <f t="array" aca="1" ref="U11" ca="1">TREND($K11:$P11,$K$1:$P$1,U$1)</f>
        <v>1.0944000000000023E-3</v>
      </c>
      <c r="V11" cm="1">
        <f t="array" aca="1" ref="V11" ca="1">TREND($K11:$P11,$K$1:$P$1,V$1)</f>
        <v>1.1174399999999973E-3</v>
      </c>
      <c r="W11" cm="1">
        <f t="array" aca="1" ref="W11" ca="1">TREND($K11:$P11,$K$1:$P$1,W$1)</f>
        <v>1.1404799999999993E-3</v>
      </c>
      <c r="X11" cm="1">
        <f t="array" aca="1" ref="X11" ca="1">TREND($K11:$P11,$K$1:$P$1,X$1)</f>
        <v>1.1635200000000012E-3</v>
      </c>
      <c r="Y11" cm="1">
        <f t="array" aca="1" ref="Y11" ca="1">TREND($K11:$P11,$K$1:$P$1,Y$1)</f>
        <v>1.1865600000000032E-3</v>
      </c>
      <c r="Z11" cm="1">
        <f t="array" aca="1" ref="Z11" ca="1">TREND($K11:$P11,$K$1:$P$1,Z$1)</f>
        <v>1.2095999999999982E-3</v>
      </c>
      <c r="AA11" cm="1">
        <f t="array" aca="1" ref="AA11" ca="1">TREND($K11:$P11,$K$1:$P$1,AA$1)</f>
        <v>1.2326400000000001E-3</v>
      </c>
      <c r="AB11" cm="1">
        <f t="array" aca="1" ref="AB11" ca="1">TREND($K11:$P11,$K$1:$P$1,AB$1)</f>
        <v>1.2556800000000021E-3</v>
      </c>
      <c r="AC11" cm="1">
        <f t="array" aca="1" ref="AC11" ca="1">TREND($K11:$P11,$K$1:$P$1,AC$1)</f>
        <v>1.2787199999999971E-3</v>
      </c>
      <c r="AD11" cm="1">
        <f t="array" aca="1" ref="AD11" ca="1">TREND($K11:$P11,$K$1:$P$1,AD$1)</f>
        <v>1.301759999999999E-3</v>
      </c>
      <c r="AE11" cm="1">
        <f t="array" aca="1" ref="AE11" ca="1">TREND($K11:$P11,$K$1:$P$1,AE$1)</f>
        <v>1.324800000000001E-3</v>
      </c>
      <c r="AF11" cm="1">
        <f t="array" aca="1" ref="AF11" ca="1">TREND($K11:$P11,$K$1:$P$1,AF$1)</f>
        <v>1.3478400000000029E-3</v>
      </c>
      <c r="AG11" cm="1">
        <f t="array" aca="1" ref="AG11" ca="1">TREND($K11:$P11,$K$1:$P$1,AG$1)</f>
        <v>1.3708799999999979E-3</v>
      </c>
      <c r="AH11" cm="1">
        <f t="array" aca="1" ref="AH11" ca="1">TREND($K11:$P11,$K$1:$P$1,AH$1)</f>
        <v>1.3939199999999999E-3</v>
      </c>
      <c r="AI11" cm="1">
        <f t="array" aca="1" ref="AI11" ca="1">TREND($K11:$P11,$K$1:$P$1,AI$1)</f>
        <v>1.4169600000000018E-3</v>
      </c>
      <c r="AJ11" cm="1">
        <f t="array" aca="1" ref="AJ11" ca="1">TREND($K11:$P11,$K$1:$P$1,AJ$1)</f>
        <v>1.4399999999999968E-3</v>
      </c>
    </row>
    <row r="12" spans="1:36" x14ac:dyDescent="0.25">
      <c r="A12" t="s">
        <v>80</v>
      </c>
      <c r="B12" s="33">
        <f ca="1">SUM(INDIRECT(CONCATENATE("'",HLOOKUP(B$1,$B$21:$E$23,3,FALSE),"'!",$B$25,ROW($A12)+5,":",$B$25,ROW($A12)+6)))*About!$A$27</f>
        <v>3.1968000000000001E-3</v>
      </c>
      <c r="C12">
        <f t="shared" ca="1" si="3"/>
        <v>3.2760000000000003E-3</v>
      </c>
      <c r="D12">
        <f t="shared" ca="1" si="0"/>
        <v>3.3552E-3</v>
      </c>
      <c r="E12">
        <f t="shared" ca="1" si="0"/>
        <v>3.4344000000000002E-3</v>
      </c>
      <c r="F12" s="33">
        <f ca="1">SUM(INDIRECT(CONCATENATE("'",HLOOKUP(F$1,$B$21:$E$23,3,FALSE),"'!",$B$25,ROW($A12)+5,":",$B$25,ROW($A12)+6)))*About!$A$27</f>
        <v>3.5136000000000004E-3</v>
      </c>
      <c r="G12">
        <f t="shared" ca="1" si="4"/>
        <v>3.6086400000000002E-3</v>
      </c>
      <c r="H12">
        <f t="shared" ca="1" si="1"/>
        <v>3.70368E-3</v>
      </c>
      <c r="I12">
        <f t="shared" ca="1" si="1"/>
        <v>3.7987200000000002E-3</v>
      </c>
      <c r="J12">
        <f t="shared" ca="1" si="1"/>
        <v>3.89376E-3</v>
      </c>
      <c r="K12" s="33">
        <f ca="1">SUM(INDIRECT(CONCATENATE("'",HLOOKUP(K$1,$B$21:$E$23,3,FALSE),"'!",$B$25,ROW($A12)+5,":",$B$25,ROW($A12)+6)))*About!$A$27</f>
        <v>3.9887999999999998E-3</v>
      </c>
      <c r="L12">
        <f t="shared" ca="1" si="5"/>
        <v>4.08384E-3</v>
      </c>
      <c r="M12">
        <f t="shared" ca="1" si="2"/>
        <v>4.1788800000000003E-3</v>
      </c>
      <c r="N12">
        <f t="shared" ca="1" si="2"/>
        <v>4.2739199999999996E-3</v>
      </c>
      <c r="O12">
        <f t="shared" ca="1" si="2"/>
        <v>4.3689599999999999E-3</v>
      </c>
      <c r="P12" s="33">
        <f ca="1">SUM(INDIRECT(CONCATENATE("'",HLOOKUP(P$1,$B$21:$E$23,3,FALSE),"'!",$B$25,ROW($A12)+5,":",$B$25,ROW($A12)+6)))*About!$A$27</f>
        <v>4.4640000000000001E-3</v>
      </c>
      <c r="Q12" cm="1">
        <f t="array" aca="1" ref="Q12" ca="1">TREND($K12:$P12,$K$1:$P$1,Q$1)</f>
        <v>4.5590399999999864E-3</v>
      </c>
      <c r="R12" cm="1">
        <f t="array" aca="1" ref="R12" ca="1">TREND($K12:$P12,$K$1:$P$1,R$1)</f>
        <v>4.6540800000000049E-3</v>
      </c>
      <c r="S12" cm="1">
        <f t="array" aca="1" ref="S12" ca="1">TREND($K12:$P12,$K$1:$P$1,S$1)</f>
        <v>4.7491199999999956E-3</v>
      </c>
      <c r="T12" cm="1">
        <f t="array" aca="1" ref="T12" ca="1">TREND($K12:$P12,$K$1:$P$1,T$1)</f>
        <v>4.8441599999999863E-3</v>
      </c>
      <c r="U12" cm="1">
        <f t="array" aca="1" ref="U12" ca="1">TREND($K12:$P12,$K$1:$P$1,U$1)</f>
        <v>4.9392000000000047E-3</v>
      </c>
      <c r="V12" cm="1">
        <f t="array" aca="1" ref="V12" ca="1">TREND($K12:$P12,$K$1:$P$1,V$1)</f>
        <v>5.0342399999999954E-3</v>
      </c>
      <c r="W12" cm="1">
        <f t="array" aca="1" ref="W12" ca="1">TREND($K12:$P12,$K$1:$P$1,W$1)</f>
        <v>5.1292799999999861E-3</v>
      </c>
      <c r="X12" cm="1">
        <f t="array" aca="1" ref="X12" ca="1">TREND($K12:$P12,$K$1:$P$1,X$1)</f>
        <v>5.2243200000000045E-3</v>
      </c>
      <c r="Y12" cm="1">
        <f t="array" aca="1" ref="Y12" ca="1">TREND($K12:$P12,$K$1:$P$1,Y$1)</f>
        <v>5.3193599999999952E-3</v>
      </c>
      <c r="Z12" cm="1">
        <f t="array" aca="1" ref="Z12" ca="1">TREND($K12:$P12,$K$1:$P$1,Z$1)</f>
        <v>5.4143999999999859E-3</v>
      </c>
      <c r="AA12" cm="1">
        <f t="array" aca="1" ref="AA12" ca="1">TREND($K12:$P12,$K$1:$P$1,AA$1)</f>
        <v>5.5094400000000043E-3</v>
      </c>
      <c r="AB12" cm="1">
        <f t="array" aca="1" ref="AB12" ca="1">TREND($K12:$P12,$K$1:$P$1,AB$1)</f>
        <v>5.604479999999995E-3</v>
      </c>
      <c r="AC12" cm="1">
        <f t="array" aca="1" ref="AC12" ca="1">TREND($K12:$P12,$K$1:$P$1,AC$1)</f>
        <v>5.6995199999999857E-3</v>
      </c>
      <c r="AD12" cm="1">
        <f t="array" aca="1" ref="AD12" ca="1">TREND($K12:$P12,$K$1:$P$1,AD$1)</f>
        <v>5.7945600000000042E-3</v>
      </c>
      <c r="AE12" cm="1">
        <f t="array" aca="1" ref="AE12" ca="1">TREND($K12:$P12,$K$1:$P$1,AE$1)</f>
        <v>5.8895999999999948E-3</v>
      </c>
      <c r="AF12" cm="1">
        <f t="array" aca="1" ref="AF12" ca="1">TREND($K12:$P12,$K$1:$P$1,AF$1)</f>
        <v>5.9846399999999855E-3</v>
      </c>
      <c r="AG12" cm="1">
        <f t="array" aca="1" ref="AG12" ca="1">TREND($K12:$P12,$K$1:$P$1,AG$1)</f>
        <v>6.079680000000004E-3</v>
      </c>
      <c r="AH12" cm="1">
        <f t="array" aca="1" ref="AH12" ca="1">TREND($K12:$P12,$K$1:$P$1,AH$1)</f>
        <v>6.1747199999999947E-3</v>
      </c>
      <c r="AI12" cm="1">
        <f t="array" aca="1" ref="AI12" ca="1">TREND($K12:$P12,$K$1:$P$1,AI$1)</f>
        <v>6.2697599999999853E-3</v>
      </c>
      <c r="AJ12" cm="1">
        <f t="array" aca="1" ref="AJ12" ca="1">TREND($K12:$P12,$K$1:$P$1,AJ$1)</f>
        <v>6.3648000000000038E-3</v>
      </c>
    </row>
    <row r="16" spans="1:36" x14ac:dyDescent="0.25">
      <c r="A16" s="20" t="s">
        <v>81</v>
      </c>
      <c r="B16" s="21"/>
      <c r="C16" s="21"/>
      <c r="D16" s="21"/>
    </row>
    <row r="17" spans="1:5" x14ac:dyDescent="0.25">
      <c r="A17" t="s">
        <v>82</v>
      </c>
      <c r="B17" t="str" cm="1">
        <f t="array" aca="1" ref="B17" ca="1">MID(CELL("filename",A17),FIND("]",CELL("filename",A17))+1,255)</f>
        <v>HOIpTP-LULUCF-SO2</v>
      </c>
    </row>
    <row r="18" spans="1:5" x14ac:dyDescent="0.25">
      <c r="A18" t="s">
        <v>83</v>
      </c>
      <c r="B18" t="str">
        <f ca="1">RIGHT(B17,LEN(B17)-7)</f>
        <v>LULUCF-SO2</v>
      </c>
    </row>
    <row r="19" spans="1:5" x14ac:dyDescent="0.25">
      <c r="A19" t="s">
        <v>84</v>
      </c>
      <c r="B19" t="str">
        <f ca="1">LEFT(B18,FIND("-",B18)-1)</f>
        <v>LULUCF</v>
      </c>
    </row>
    <row r="20" spans="1:5" x14ac:dyDescent="0.25">
      <c r="A20" t="s">
        <v>85</v>
      </c>
      <c r="B20" t="str">
        <f ca="1">VLOOKUP($B$19,Mappings!$A$22:$B$26,COLUMN(Mappings!$B$21),FALSE)</f>
        <v>on-road mobile sources</v>
      </c>
    </row>
    <row r="21" spans="1:5" x14ac:dyDescent="0.25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5">
      <c r="A22" s="26" t="s">
        <v>86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5">
      <c r="A23" s="28" t="s">
        <v>82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5">
      <c r="A24" t="s">
        <v>87</v>
      </c>
      <c r="B24" t="str">
        <f ca="1">REPLACE(B18,1,FIND("-",B18),"")</f>
        <v>SO2</v>
      </c>
    </row>
    <row r="25" spans="1:5" x14ac:dyDescent="0.25">
      <c r="A25" t="s">
        <v>88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66F7-AA2A-4ED8-A3BC-566EC5837B8D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89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6.8000000000000005E-4</v>
      </c>
      <c r="C5" s="10">
        <v>5.1999999999999998E-3</v>
      </c>
      <c r="D5" s="10">
        <v>4.2000000000000003E-2</v>
      </c>
    </row>
    <row r="6" spans="1:4" ht="15" customHeight="1" x14ac:dyDescent="0.25">
      <c r="A6" s="9" t="s">
        <v>94</v>
      </c>
      <c r="B6" s="10">
        <v>1.5E-3</v>
      </c>
      <c r="C6" s="10">
        <v>1.2E-2</v>
      </c>
      <c r="D6" s="10">
        <v>9.7000000000000003E-2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3.6999999999999999E-4</v>
      </c>
      <c r="C8" s="10">
        <v>2.8E-3</v>
      </c>
      <c r="D8" s="10">
        <v>2.3E-2</v>
      </c>
    </row>
    <row r="9" spans="1:4" ht="15" customHeight="1" x14ac:dyDescent="0.25">
      <c r="A9" s="9" t="s">
        <v>72</v>
      </c>
      <c r="B9" s="10">
        <v>9.6000000000000002E-4</v>
      </c>
      <c r="C9" s="10">
        <v>6.7000000000000002E-3</v>
      </c>
      <c r="D9" s="10">
        <v>6.3E-2</v>
      </c>
    </row>
    <row r="10" spans="1:4" ht="15" customHeight="1" x14ac:dyDescent="0.25">
      <c r="A10" s="9" t="s">
        <v>73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5">
      <c r="A11" s="9" t="s">
        <v>74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5">
      <c r="A12" s="9" t="s">
        <v>75</v>
      </c>
      <c r="B12" s="10">
        <v>0.51</v>
      </c>
      <c r="C12" s="10">
        <v>3.7</v>
      </c>
      <c r="D12" s="10">
        <v>33</v>
      </c>
    </row>
    <row r="13" spans="1:4" ht="15" customHeight="1" x14ac:dyDescent="0.25">
      <c r="A13" s="9" t="s">
        <v>76</v>
      </c>
      <c r="B13" s="10">
        <v>8.5999999999999993E-2</v>
      </c>
      <c r="C13" s="10">
        <v>0.61</v>
      </c>
      <c r="D13" s="10">
        <v>5.5</v>
      </c>
    </row>
    <row r="14" spans="1:4" ht="15" customHeight="1" x14ac:dyDescent="0.25">
      <c r="A14" s="9" t="s">
        <v>77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5">
      <c r="A15" s="9" t="s">
        <v>78</v>
      </c>
      <c r="B15" s="10">
        <v>1.6000000000000001E-4</v>
      </c>
      <c r="C15" s="10">
        <v>1.1999999999999999E-3</v>
      </c>
      <c r="D15" s="10">
        <v>9.9000000000000008E-3</v>
      </c>
    </row>
    <row r="16" spans="1:4" ht="15" customHeight="1" x14ac:dyDescent="0.25">
      <c r="A16" s="9" t="s">
        <v>79</v>
      </c>
      <c r="B16" s="10">
        <v>1.4999999999999999E-4</v>
      </c>
      <c r="C16" s="10">
        <v>1.1999999999999999E-3</v>
      </c>
      <c r="D16" s="10">
        <v>8.9999999999999993E-3</v>
      </c>
    </row>
    <row r="17" spans="1:4" ht="15" customHeight="1" x14ac:dyDescent="0.25">
      <c r="A17" s="9" t="s">
        <v>96</v>
      </c>
      <c r="B17" s="10">
        <v>6.3000000000000003E-4</v>
      </c>
      <c r="C17" s="10">
        <v>4.8999999999999998E-3</v>
      </c>
      <c r="D17" s="10">
        <v>4.1000000000000002E-2</v>
      </c>
    </row>
    <row r="18" spans="1:4" ht="15" customHeight="1" x14ac:dyDescent="0.25">
      <c r="A18" s="16" t="s">
        <v>97</v>
      </c>
      <c r="B18" s="13">
        <v>6.7999999999999999E-5</v>
      </c>
      <c r="C18" s="13">
        <v>5.2999999999999998E-4</v>
      </c>
      <c r="D18" s="13">
        <v>4.4000000000000003E-3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5FE3-93E5-4401-B515-FC7BECD14F28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98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4.4999999999999999E-4</v>
      </c>
      <c r="C5" s="10">
        <v>5.4999999999999997E-3</v>
      </c>
      <c r="D5" s="10">
        <v>1.7999999999999999E-2</v>
      </c>
    </row>
    <row r="6" spans="1:4" ht="15" customHeight="1" x14ac:dyDescent="0.25">
      <c r="A6" s="9" t="s">
        <v>94</v>
      </c>
      <c r="B6" s="10">
        <v>1E-3</v>
      </c>
      <c r="C6" s="10">
        <v>1.2999999999999999E-2</v>
      </c>
      <c r="D6" s="10">
        <v>4.2000000000000003E-2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2.3000000000000001E-4</v>
      </c>
      <c r="C8" s="10">
        <v>2.7000000000000001E-3</v>
      </c>
      <c r="D8" s="10">
        <v>8.3000000000000001E-3</v>
      </c>
    </row>
    <row r="9" spans="1:4" ht="15" customHeight="1" x14ac:dyDescent="0.25">
      <c r="A9" s="9" t="s">
        <v>72</v>
      </c>
      <c r="B9" s="10">
        <v>5.8E-4</v>
      </c>
      <c r="C9" s="10">
        <v>6.7999999999999996E-3</v>
      </c>
      <c r="D9" s="10">
        <v>2.3E-2</v>
      </c>
    </row>
    <row r="10" spans="1:4" ht="15" customHeight="1" x14ac:dyDescent="0.25">
      <c r="A10" s="9" t="s">
        <v>73</v>
      </c>
      <c r="B10" s="10">
        <v>7.4000000000000003E-3</v>
      </c>
      <c r="C10" s="10">
        <v>8.6999999999999994E-2</v>
      </c>
      <c r="D10" s="10">
        <v>0.28999999999999998</v>
      </c>
    </row>
    <row r="11" spans="1:4" ht="15" customHeight="1" x14ac:dyDescent="0.25">
      <c r="A11" s="9" t="s">
        <v>74</v>
      </c>
      <c r="B11" s="10">
        <v>1.0999999999999999E-2</v>
      </c>
      <c r="C11" s="10">
        <v>0.12</v>
      </c>
      <c r="D11" s="10">
        <v>0.41</v>
      </c>
    </row>
    <row r="12" spans="1:4" ht="15" customHeight="1" x14ac:dyDescent="0.25">
      <c r="A12" s="9" t="s">
        <v>75</v>
      </c>
      <c r="B12" s="10">
        <v>0.32</v>
      </c>
      <c r="C12" s="10">
        <v>3.7</v>
      </c>
      <c r="D12" s="10">
        <v>12</v>
      </c>
    </row>
    <row r="13" spans="1:4" ht="15" customHeight="1" x14ac:dyDescent="0.25">
      <c r="A13" s="9" t="s">
        <v>76</v>
      </c>
      <c r="B13" s="10">
        <v>5.2999999999999999E-2</v>
      </c>
      <c r="C13" s="10">
        <v>0.62</v>
      </c>
      <c r="D13" s="10">
        <v>2</v>
      </c>
    </row>
    <row r="14" spans="1:4" ht="15" customHeight="1" x14ac:dyDescent="0.25">
      <c r="A14" s="9" t="s">
        <v>77</v>
      </c>
      <c r="B14" s="10">
        <v>1.2E-2</v>
      </c>
      <c r="C14" s="10">
        <v>0.15</v>
      </c>
      <c r="D14" s="10">
        <v>0.48</v>
      </c>
    </row>
    <row r="15" spans="1:4" ht="15" customHeight="1" x14ac:dyDescent="0.25">
      <c r="A15" s="9" t="s">
        <v>78</v>
      </c>
      <c r="B15" s="10">
        <v>1E-4</v>
      </c>
      <c r="C15" s="10">
        <v>1.2999999999999999E-3</v>
      </c>
      <c r="D15" s="10">
        <v>4.4000000000000003E-3</v>
      </c>
    </row>
    <row r="16" spans="1:4" ht="15" customHeight="1" x14ac:dyDescent="0.25">
      <c r="A16" s="9" t="s">
        <v>79</v>
      </c>
      <c r="B16" s="10">
        <v>9.5000000000000005E-5</v>
      </c>
      <c r="C16" s="10">
        <v>1.1999999999999999E-3</v>
      </c>
      <c r="D16" s="10">
        <v>4.1000000000000003E-3</v>
      </c>
    </row>
    <row r="17" spans="1:4" ht="15" customHeight="1" x14ac:dyDescent="0.25">
      <c r="A17" s="9" t="s">
        <v>96</v>
      </c>
      <c r="B17" s="10">
        <v>4.0999999999999999E-4</v>
      </c>
      <c r="C17" s="10">
        <v>5.3E-3</v>
      </c>
      <c r="D17" s="10">
        <v>1.7999999999999999E-2</v>
      </c>
    </row>
    <row r="18" spans="1:4" ht="15" customHeight="1" x14ac:dyDescent="0.25">
      <c r="A18" s="16" t="s">
        <v>97</v>
      </c>
      <c r="B18" s="13">
        <v>4.3999999999999999E-5</v>
      </c>
      <c r="C18" s="13">
        <v>5.6999999999999998E-4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357A-7531-4086-80A0-FBB67BDD17E0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2" t="s">
        <v>99</v>
      </c>
      <c r="B1" s="42"/>
      <c r="C1" s="42"/>
      <c r="D1" s="42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7.9000000000000001E-4</v>
      </c>
      <c r="C5" s="10">
        <v>7.9000000000000008E-3</v>
      </c>
      <c r="D5" s="10">
        <v>3.6999999999999998E-2</v>
      </c>
    </row>
    <row r="6" spans="1:4" ht="15" customHeight="1" x14ac:dyDescent="0.25">
      <c r="A6" s="9" t="s">
        <v>94</v>
      </c>
      <c r="B6" s="10">
        <v>1.8E-3</v>
      </c>
      <c r="C6" s="10">
        <v>1.7999999999999999E-2</v>
      </c>
      <c r="D6" s="10">
        <v>8.5000000000000006E-2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4.2000000000000002E-4</v>
      </c>
      <c r="C8" s="10">
        <v>4.4000000000000003E-3</v>
      </c>
      <c r="D8" s="10">
        <v>2.1999999999999999E-2</v>
      </c>
    </row>
    <row r="9" spans="1:4" ht="15" customHeight="1" x14ac:dyDescent="0.25">
      <c r="A9" s="9" t="s">
        <v>72</v>
      </c>
      <c r="B9" s="10">
        <v>1.1999999999999999E-3</v>
      </c>
      <c r="C9" s="10">
        <v>1.2E-2</v>
      </c>
      <c r="D9" s="10">
        <v>5.8000000000000003E-2</v>
      </c>
    </row>
    <row r="10" spans="1:4" ht="15" customHeight="1" x14ac:dyDescent="0.25">
      <c r="A10" s="9" t="s">
        <v>73</v>
      </c>
      <c r="B10" s="10">
        <v>1.6E-2</v>
      </c>
      <c r="C10" s="10">
        <v>0.16</v>
      </c>
      <c r="D10" s="10">
        <v>0.73</v>
      </c>
    </row>
    <row r="11" spans="1:4" ht="15" customHeight="1" x14ac:dyDescent="0.25">
      <c r="A11" s="9" t="s">
        <v>74</v>
      </c>
      <c r="B11" s="10">
        <v>2.1999999999999999E-2</v>
      </c>
      <c r="C11" s="10">
        <v>0.22</v>
      </c>
      <c r="D11" s="10">
        <v>1</v>
      </c>
    </row>
    <row r="12" spans="1:4" ht="15" customHeight="1" x14ac:dyDescent="0.25">
      <c r="A12" s="9" t="s">
        <v>75</v>
      </c>
      <c r="B12" s="10">
        <v>0.66</v>
      </c>
      <c r="C12" s="10">
        <v>6.6</v>
      </c>
      <c r="D12" s="10">
        <v>31</v>
      </c>
    </row>
    <row r="13" spans="1:4" ht="15" customHeight="1" x14ac:dyDescent="0.25">
      <c r="A13" s="9" t="s">
        <v>76</v>
      </c>
      <c r="B13" s="10">
        <v>0.11</v>
      </c>
      <c r="C13" s="10">
        <v>1.1000000000000001</v>
      </c>
      <c r="D13" s="10">
        <v>5.2</v>
      </c>
    </row>
    <row r="14" spans="1:4" ht="15" customHeight="1" x14ac:dyDescent="0.25">
      <c r="A14" s="9" t="s">
        <v>77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5">
      <c r="A15" s="9" t="s">
        <v>78</v>
      </c>
      <c r="B15" s="10">
        <v>1.9000000000000001E-4</v>
      </c>
      <c r="C15" s="10">
        <v>1.9E-3</v>
      </c>
      <c r="D15" s="10">
        <v>8.8000000000000005E-3</v>
      </c>
    </row>
    <row r="16" spans="1:4" ht="15" customHeight="1" x14ac:dyDescent="0.25">
      <c r="A16" s="9" t="s">
        <v>79</v>
      </c>
      <c r="B16" s="10">
        <v>1.8000000000000001E-4</v>
      </c>
      <c r="C16" s="10">
        <v>1.8E-3</v>
      </c>
      <c r="D16" s="10">
        <v>8.2000000000000007E-3</v>
      </c>
    </row>
    <row r="17" spans="1:4" ht="15" customHeight="1" x14ac:dyDescent="0.25">
      <c r="A17" s="9" t="s">
        <v>96</v>
      </c>
      <c r="B17" s="10">
        <v>7.5000000000000002E-4</v>
      </c>
      <c r="C17" s="10">
        <v>7.6E-3</v>
      </c>
      <c r="D17" s="10">
        <v>3.5000000000000003E-2</v>
      </c>
    </row>
    <row r="18" spans="1:4" ht="15" customHeight="1" x14ac:dyDescent="0.25">
      <c r="A18" s="16" t="s">
        <v>97</v>
      </c>
      <c r="B18" s="13">
        <v>8.0000000000000007E-5</v>
      </c>
      <c r="C18" s="13">
        <v>8.1999999999999998E-4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33D0-09F6-43B7-BC93-7A5A83D987BB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2" t="s">
        <v>100</v>
      </c>
      <c r="B1" s="42"/>
      <c r="C1" s="42"/>
      <c r="D1" s="42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1.2999999999999999E-3</v>
      </c>
      <c r="C5" s="10">
        <v>6.3E-3</v>
      </c>
      <c r="D5" s="10">
        <v>5.5E-2</v>
      </c>
    </row>
    <row r="6" spans="1:4" ht="15" customHeight="1" x14ac:dyDescent="0.25">
      <c r="A6" s="9" t="s">
        <v>94</v>
      </c>
      <c r="B6" s="10">
        <v>3.0000000000000001E-3</v>
      </c>
      <c r="C6" s="10">
        <v>1.4E-2</v>
      </c>
      <c r="D6" s="10">
        <v>0.13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6.8000000000000005E-4</v>
      </c>
      <c r="C8" s="10">
        <v>3.0000000000000001E-3</v>
      </c>
      <c r="D8" s="10">
        <v>2.5000000000000001E-2</v>
      </c>
    </row>
    <row r="9" spans="1:4" ht="15" customHeight="1" x14ac:dyDescent="0.25">
      <c r="A9" s="9" t="s">
        <v>72</v>
      </c>
      <c r="B9" s="10">
        <v>1.6000000000000001E-3</v>
      </c>
      <c r="C9" s="10">
        <v>7.6E-3</v>
      </c>
      <c r="D9" s="10">
        <v>6.3E-2</v>
      </c>
    </row>
    <row r="10" spans="1:4" ht="15" customHeight="1" x14ac:dyDescent="0.25">
      <c r="A10" s="9" t="s">
        <v>73</v>
      </c>
      <c r="B10" s="10">
        <v>0.02</v>
      </c>
      <c r="C10" s="10">
        <v>9.7000000000000003E-2</v>
      </c>
      <c r="D10" s="10">
        <v>0.8</v>
      </c>
    </row>
    <row r="11" spans="1:4" ht="15" customHeight="1" x14ac:dyDescent="0.25">
      <c r="A11" s="9" t="s">
        <v>74</v>
      </c>
      <c r="B11" s="10">
        <v>2.9000000000000001E-2</v>
      </c>
      <c r="C11" s="10">
        <v>0.14000000000000001</v>
      </c>
      <c r="D11" s="10">
        <v>1.1000000000000001</v>
      </c>
    </row>
    <row r="12" spans="1:4" ht="15" customHeight="1" x14ac:dyDescent="0.25">
      <c r="A12" s="9" t="s">
        <v>75</v>
      </c>
      <c r="B12" s="10">
        <v>0.88</v>
      </c>
      <c r="C12" s="10">
        <v>4.2</v>
      </c>
      <c r="D12" s="10">
        <v>35</v>
      </c>
    </row>
    <row r="13" spans="1:4" ht="15" customHeight="1" x14ac:dyDescent="0.25">
      <c r="A13" s="9" t="s">
        <v>76</v>
      </c>
      <c r="B13" s="10">
        <v>0.15</v>
      </c>
      <c r="C13" s="10">
        <v>0.7</v>
      </c>
      <c r="D13" s="10">
        <v>5.8</v>
      </c>
    </row>
    <row r="14" spans="1:4" ht="15" customHeight="1" x14ac:dyDescent="0.25">
      <c r="A14" s="9" t="s">
        <v>77</v>
      </c>
      <c r="B14" s="10">
        <v>3.4000000000000002E-2</v>
      </c>
      <c r="C14" s="10">
        <v>0.16</v>
      </c>
      <c r="D14" s="10">
        <v>1.3</v>
      </c>
    </row>
    <row r="15" spans="1:4" ht="15" customHeight="1" x14ac:dyDescent="0.25">
      <c r="A15" s="9" t="s">
        <v>78</v>
      </c>
      <c r="B15" s="10">
        <v>2.9999999999999997E-4</v>
      </c>
      <c r="C15" s="10">
        <v>1.5E-3</v>
      </c>
      <c r="D15" s="10">
        <v>1.2999999999999999E-2</v>
      </c>
    </row>
    <row r="16" spans="1:4" ht="15" customHeight="1" x14ac:dyDescent="0.25">
      <c r="A16" s="9" t="s">
        <v>79</v>
      </c>
      <c r="B16" s="10">
        <v>2.7999999999999998E-4</v>
      </c>
      <c r="C16" s="10">
        <v>1.4E-3</v>
      </c>
      <c r="D16" s="10">
        <v>1.2E-2</v>
      </c>
    </row>
    <row r="17" spans="1:4" ht="15" customHeight="1" x14ac:dyDescent="0.25">
      <c r="A17" s="9" t="s">
        <v>96</v>
      </c>
      <c r="B17" s="10">
        <v>1.1999999999999999E-3</v>
      </c>
      <c r="C17" s="10">
        <v>6.1000000000000004E-3</v>
      </c>
      <c r="D17" s="10">
        <v>5.0999999999999997E-2</v>
      </c>
    </row>
    <row r="18" spans="1:4" ht="15" customHeight="1" x14ac:dyDescent="0.25">
      <c r="A18" s="16" t="s">
        <v>97</v>
      </c>
      <c r="B18" s="13">
        <v>1.2999999999999999E-4</v>
      </c>
      <c r="C18" s="13">
        <v>6.6E-4</v>
      </c>
      <c r="D18" s="13">
        <v>5.4999999999999997E-3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B205-E3C4-4FA1-8032-6BA17437B6E2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101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1.9E-3</v>
      </c>
      <c r="C5" s="10">
        <v>4.9000000000000002E-2</v>
      </c>
      <c r="D5" s="10">
        <v>0.06</v>
      </c>
    </row>
    <row r="6" spans="1:4" ht="15" customHeight="1" x14ac:dyDescent="0.25">
      <c r="A6" s="9" t="s">
        <v>94</v>
      </c>
      <c r="B6" s="10">
        <v>4.4000000000000003E-3</v>
      </c>
      <c r="C6" s="10">
        <v>0.11</v>
      </c>
      <c r="D6" s="10">
        <v>0.14000000000000001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1.1000000000000001E-3</v>
      </c>
      <c r="C8" s="10">
        <v>2.4E-2</v>
      </c>
      <c r="D8" s="10">
        <v>2.9000000000000001E-2</v>
      </c>
    </row>
    <row r="9" spans="1:4" ht="15" customHeight="1" x14ac:dyDescent="0.25">
      <c r="A9" s="9" t="s">
        <v>72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5">
      <c r="A10" s="9" t="s">
        <v>73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5">
      <c r="A11" s="9" t="s">
        <v>74</v>
      </c>
      <c r="B11" s="10">
        <v>5.3999999999999999E-2</v>
      </c>
      <c r="C11" s="10">
        <v>1.1000000000000001</v>
      </c>
      <c r="D11" s="10">
        <v>1.5</v>
      </c>
    </row>
    <row r="12" spans="1:4" ht="15" customHeight="1" x14ac:dyDescent="0.25">
      <c r="A12" s="9" t="s">
        <v>75</v>
      </c>
      <c r="B12" s="10">
        <v>1.6</v>
      </c>
      <c r="C12" s="10">
        <v>35</v>
      </c>
      <c r="D12" s="10">
        <v>45</v>
      </c>
    </row>
    <row r="13" spans="1:4" ht="15" customHeight="1" x14ac:dyDescent="0.25">
      <c r="A13" s="9" t="s">
        <v>76</v>
      </c>
      <c r="B13" s="10">
        <v>0.27</v>
      </c>
      <c r="C13" s="10">
        <v>5.9</v>
      </c>
      <c r="D13" s="10">
        <v>7.5</v>
      </c>
    </row>
    <row r="14" spans="1:4" ht="15" customHeight="1" x14ac:dyDescent="0.25">
      <c r="A14" s="9" t="s">
        <v>77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5">
      <c r="A15" s="9" t="s">
        <v>78</v>
      </c>
      <c r="B15" s="10">
        <v>4.6999999999999999E-4</v>
      </c>
      <c r="C15" s="10">
        <v>1.0999999999999999E-2</v>
      </c>
      <c r="D15" s="10">
        <v>1.4E-2</v>
      </c>
    </row>
    <row r="16" spans="1:4" ht="15" customHeight="1" x14ac:dyDescent="0.25">
      <c r="A16" s="9" t="s">
        <v>79</v>
      </c>
      <c r="B16" s="10">
        <v>4.4000000000000002E-4</v>
      </c>
      <c r="C16" s="10">
        <v>1.0999999999999999E-2</v>
      </c>
      <c r="D16" s="10">
        <v>1.4E-2</v>
      </c>
    </row>
    <row r="17" spans="1:4" ht="15" customHeight="1" x14ac:dyDescent="0.25">
      <c r="A17" s="9" t="s">
        <v>96</v>
      </c>
      <c r="B17" s="10">
        <v>1.9E-3</v>
      </c>
      <c r="C17" s="10">
        <v>4.7E-2</v>
      </c>
      <c r="D17" s="10">
        <v>5.8999999999999997E-2</v>
      </c>
    </row>
    <row r="18" spans="1:4" ht="15" customHeight="1" x14ac:dyDescent="0.25">
      <c r="A18" s="16" t="s">
        <v>97</v>
      </c>
      <c r="B18" s="13">
        <v>2.0000000000000001E-4</v>
      </c>
      <c r="C18" s="13">
        <v>5.0000000000000001E-3</v>
      </c>
      <c r="D18" s="13">
        <v>6.4000000000000003E-3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B367-D7BE-4A14-B662-7477992455C7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102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1.6000000000000001E-3</v>
      </c>
      <c r="C5" s="10">
        <v>1.0999999999999999E-2</v>
      </c>
      <c r="D5" s="10">
        <v>5.8999999999999997E-2</v>
      </c>
    </row>
    <row r="6" spans="1:4" ht="15" customHeight="1" x14ac:dyDescent="0.25">
      <c r="A6" s="9" t="s">
        <v>94</v>
      </c>
      <c r="B6" s="10">
        <v>3.8E-3</v>
      </c>
      <c r="C6" s="10">
        <v>2.4E-2</v>
      </c>
      <c r="D6" s="10">
        <v>0.13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8.3000000000000001E-4</v>
      </c>
      <c r="C8" s="10">
        <v>5.4999999999999997E-3</v>
      </c>
      <c r="D8" s="10">
        <v>2.8000000000000001E-2</v>
      </c>
    </row>
    <row r="9" spans="1:4" ht="15" customHeight="1" x14ac:dyDescent="0.25">
      <c r="A9" s="9" t="s">
        <v>72</v>
      </c>
      <c r="B9" s="10">
        <v>2.0999999999999999E-3</v>
      </c>
      <c r="C9" s="10">
        <v>1.2999999999999999E-2</v>
      </c>
      <c r="D9" s="10">
        <v>7.1999999999999995E-2</v>
      </c>
    </row>
    <row r="10" spans="1:4" ht="15" customHeight="1" x14ac:dyDescent="0.25">
      <c r="A10" s="9" t="s">
        <v>73</v>
      </c>
      <c r="B10" s="10">
        <v>2.5999999999999999E-2</v>
      </c>
      <c r="C10" s="10">
        <v>0.17</v>
      </c>
      <c r="D10" s="10">
        <v>0.91</v>
      </c>
    </row>
    <row r="11" spans="1:4" ht="15" customHeight="1" x14ac:dyDescent="0.25">
      <c r="A11" s="9" t="s">
        <v>74</v>
      </c>
      <c r="B11" s="10">
        <v>3.7999999999999999E-2</v>
      </c>
      <c r="C11" s="10">
        <v>0.24</v>
      </c>
      <c r="D11" s="10">
        <v>1.3</v>
      </c>
    </row>
    <row r="12" spans="1:4" ht="15" customHeight="1" x14ac:dyDescent="0.25">
      <c r="A12" s="9" t="s">
        <v>75</v>
      </c>
      <c r="B12" s="10">
        <v>1.1000000000000001</v>
      </c>
      <c r="C12" s="10">
        <v>7.2</v>
      </c>
      <c r="D12" s="10">
        <v>39</v>
      </c>
    </row>
    <row r="13" spans="1:4" ht="15" customHeight="1" x14ac:dyDescent="0.25">
      <c r="A13" s="9" t="s">
        <v>76</v>
      </c>
      <c r="B13" s="10">
        <v>0.19</v>
      </c>
      <c r="C13" s="10">
        <v>1.2</v>
      </c>
      <c r="D13" s="10">
        <v>6.5</v>
      </c>
    </row>
    <row r="14" spans="1:4" ht="15" customHeight="1" x14ac:dyDescent="0.25">
      <c r="A14" s="9" t="s">
        <v>77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5">
      <c r="A15" s="9" t="s">
        <v>78</v>
      </c>
      <c r="B15" s="10">
        <v>3.8000000000000002E-4</v>
      </c>
      <c r="C15" s="10">
        <v>2.5000000000000001E-3</v>
      </c>
      <c r="D15" s="10">
        <v>1.4E-2</v>
      </c>
    </row>
    <row r="16" spans="1:4" ht="15" customHeight="1" x14ac:dyDescent="0.25">
      <c r="A16" s="9" t="s">
        <v>79</v>
      </c>
      <c r="B16" s="10">
        <v>3.6000000000000002E-4</v>
      </c>
      <c r="C16" s="10">
        <v>2.5000000000000001E-3</v>
      </c>
      <c r="D16" s="10">
        <v>1.2999999999999999E-2</v>
      </c>
    </row>
    <row r="17" spans="1:4" ht="15" customHeight="1" x14ac:dyDescent="0.25">
      <c r="A17" s="9" t="s">
        <v>96</v>
      </c>
      <c r="B17" s="10">
        <v>1.5E-3</v>
      </c>
      <c r="C17" s="10">
        <v>0.01</v>
      </c>
      <c r="D17" s="10">
        <v>5.6000000000000001E-2</v>
      </c>
    </row>
    <row r="18" spans="1:4" ht="15" customHeight="1" x14ac:dyDescent="0.25">
      <c r="A18" s="16" t="s">
        <v>97</v>
      </c>
      <c r="B18" s="13">
        <v>1.6000000000000001E-4</v>
      </c>
      <c r="C18" s="13">
        <v>1.1000000000000001E-3</v>
      </c>
      <c r="D18" s="13">
        <v>6.0000000000000001E-3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F7F8-3CED-4E9D-8811-BA4E6FC26CB7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103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1.1999999999999999E-3</v>
      </c>
      <c r="C5" s="10">
        <v>9.7000000000000003E-3</v>
      </c>
      <c r="D5" s="10">
        <v>5.1999999999999998E-2</v>
      </c>
    </row>
    <row r="6" spans="1:4" ht="15" customHeight="1" x14ac:dyDescent="0.25">
      <c r="A6" s="9" t="s">
        <v>94</v>
      </c>
      <c r="B6" s="10">
        <v>2.7000000000000001E-3</v>
      </c>
      <c r="C6" s="10">
        <v>2.1999999999999999E-2</v>
      </c>
      <c r="D6" s="10">
        <v>0.12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6.4000000000000005E-4</v>
      </c>
      <c r="C8" s="10">
        <v>4.7000000000000002E-3</v>
      </c>
      <c r="D8" s="10">
        <v>2.5999999999999999E-2</v>
      </c>
    </row>
    <row r="9" spans="1:4" ht="15" customHeight="1" x14ac:dyDescent="0.25">
      <c r="A9" s="9" t="s">
        <v>72</v>
      </c>
      <c r="B9" s="10">
        <v>1.5E-3</v>
      </c>
      <c r="C9" s="10">
        <v>1.2E-2</v>
      </c>
      <c r="D9" s="10">
        <v>6.3E-2</v>
      </c>
    </row>
    <row r="10" spans="1:4" ht="15" customHeight="1" x14ac:dyDescent="0.25">
      <c r="A10" s="9" t="s">
        <v>73</v>
      </c>
      <c r="B10" s="10">
        <v>1.9E-2</v>
      </c>
      <c r="C10" s="10">
        <v>0.15</v>
      </c>
      <c r="D10" s="10">
        <v>0.8</v>
      </c>
    </row>
    <row r="11" spans="1:4" ht="15" customHeight="1" x14ac:dyDescent="0.25">
      <c r="A11" s="9" t="s">
        <v>74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5">
      <c r="A12" s="9" t="s">
        <v>75</v>
      </c>
      <c r="B12" s="10">
        <v>0.82</v>
      </c>
      <c r="C12" s="10">
        <v>6.4</v>
      </c>
      <c r="D12" s="10">
        <v>34</v>
      </c>
    </row>
    <row r="13" spans="1:4" ht="15" customHeight="1" x14ac:dyDescent="0.25">
      <c r="A13" s="9" t="s">
        <v>76</v>
      </c>
      <c r="B13" s="10">
        <v>0.14000000000000001</v>
      </c>
      <c r="C13" s="10">
        <v>1.1000000000000001</v>
      </c>
      <c r="D13" s="10">
        <v>5.7</v>
      </c>
    </row>
    <row r="14" spans="1:4" ht="15" customHeight="1" x14ac:dyDescent="0.25">
      <c r="A14" s="9" t="s">
        <v>77</v>
      </c>
      <c r="B14" s="10">
        <v>3.3000000000000002E-2</v>
      </c>
      <c r="C14" s="10">
        <v>0.25</v>
      </c>
      <c r="D14" s="10">
        <v>1.3</v>
      </c>
    </row>
    <row r="15" spans="1:4" ht="15" customHeight="1" x14ac:dyDescent="0.25">
      <c r="A15" s="9" t="s">
        <v>78</v>
      </c>
      <c r="B15" s="10">
        <v>2.7E-4</v>
      </c>
      <c r="C15" s="10">
        <v>2.3E-3</v>
      </c>
      <c r="D15" s="10">
        <v>1.2999999999999999E-2</v>
      </c>
    </row>
    <row r="16" spans="1:4" ht="15" customHeight="1" x14ac:dyDescent="0.25">
      <c r="A16" s="9" t="s">
        <v>79</v>
      </c>
      <c r="B16" s="10">
        <v>2.5999999999999998E-4</v>
      </c>
      <c r="C16" s="10">
        <v>2.3E-3</v>
      </c>
      <c r="D16" s="10">
        <v>1.2E-2</v>
      </c>
    </row>
    <row r="17" spans="1:4" ht="15" customHeight="1" x14ac:dyDescent="0.25">
      <c r="A17" s="9" t="s">
        <v>96</v>
      </c>
      <c r="B17" s="10">
        <v>1.1000000000000001E-3</v>
      </c>
      <c r="C17" s="10">
        <v>9.7999999999999997E-3</v>
      </c>
      <c r="D17" s="10">
        <v>5.3999999999999999E-2</v>
      </c>
    </row>
    <row r="18" spans="1:4" ht="15" customHeight="1" x14ac:dyDescent="0.25">
      <c r="A18" s="16" t="s">
        <v>97</v>
      </c>
      <c r="B18" s="13">
        <v>1.2E-4</v>
      </c>
      <c r="C18" s="13">
        <v>1.1000000000000001E-3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6888-297E-4AFB-A3BE-EE3F405B679C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104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7.5000000000000002E-4</v>
      </c>
      <c r="C5" s="10">
        <v>4.1000000000000003E-3</v>
      </c>
      <c r="D5" s="10">
        <v>0.01</v>
      </c>
    </row>
    <row r="6" spans="1:4" ht="15" customHeight="1" x14ac:dyDescent="0.25">
      <c r="A6" s="9" t="s">
        <v>94</v>
      </c>
      <c r="B6" s="10">
        <v>1.6999999999999999E-3</v>
      </c>
      <c r="C6" s="10">
        <v>9.4000000000000004E-3</v>
      </c>
      <c r="D6" s="10">
        <v>2.4E-2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3.5E-4</v>
      </c>
      <c r="C8" s="10">
        <v>1.9E-3</v>
      </c>
      <c r="D8" s="10">
        <v>4.3E-3</v>
      </c>
    </row>
    <row r="9" spans="1:4" ht="15" customHeight="1" x14ac:dyDescent="0.25">
      <c r="A9" s="9" t="s">
        <v>72</v>
      </c>
      <c r="B9" s="10">
        <v>9.6000000000000002E-4</v>
      </c>
      <c r="C9" s="10">
        <v>5.1000000000000004E-3</v>
      </c>
      <c r="D9" s="10">
        <v>1.2E-2</v>
      </c>
    </row>
    <row r="10" spans="1:4" ht="15" customHeight="1" x14ac:dyDescent="0.25">
      <c r="A10" s="9" t="s">
        <v>73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5">
      <c r="A11" s="9" t="s">
        <v>74</v>
      </c>
      <c r="B11" s="10">
        <v>1.7000000000000001E-2</v>
      </c>
      <c r="C11" s="10">
        <v>9.2999999999999999E-2</v>
      </c>
      <c r="D11" s="10">
        <v>0.22</v>
      </c>
    </row>
    <row r="12" spans="1:4" ht="15" customHeight="1" x14ac:dyDescent="0.25">
      <c r="A12" s="9" t="s">
        <v>75</v>
      </c>
      <c r="B12" s="10">
        <v>0.53</v>
      </c>
      <c r="C12" s="10">
        <v>2.8</v>
      </c>
      <c r="D12" s="10">
        <v>6.7</v>
      </c>
    </row>
    <row r="13" spans="1:4" ht="15" customHeight="1" x14ac:dyDescent="0.25">
      <c r="A13" s="9" t="s">
        <v>76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5">
      <c r="A14" s="9" t="s">
        <v>77</v>
      </c>
      <c r="B14" s="10">
        <v>0.02</v>
      </c>
      <c r="C14" s="10">
        <v>0.11</v>
      </c>
      <c r="D14" s="10">
        <v>0.26</v>
      </c>
    </row>
    <row r="15" spans="1:4" ht="15" customHeight="1" x14ac:dyDescent="0.25">
      <c r="A15" s="9" t="s">
        <v>78</v>
      </c>
      <c r="B15" s="10">
        <v>1.6000000000000001E-4</v>
      </c>
      <c r="C15" s="10">
        <v>9.2000000000000003E-4</v>
      </c>
      <c r="D15" s="10">
        <v>2.2000000000000001E-3</v>
      </c>
    </row>
    <row r="16" spans="1:4" ht="15" customHeight="1" x14ac:dyDescent="0.25">
      <c r="A16" s="9" t="s">
        <v>79</v>
      </c>
      <c r="B16" s="10">
        <v>1.4999999999999999E-4</v>
      </c>
      <c r="C16" s="10">
        <v>8.8000000000000003E-4</v>
      </c>
      <c r="D16" s="10">
        <v>2.0999999999999999E-3</v>
      </c>
    </row>
    <row r="17" spans="1:4" ht="15" customHeight="1" x14ac:dyDescent="0.25">
      <c r="A17" s="9" t="s">
        <v>96</v>
      </c>
      <c r="B17" s="10">
        <v>6.7000000000000002E-4</v>
      </c>
      <c r="C17" s="10">
        <v>3.8E-3</v>
      </c>
      <c r="D17" s="10">
        <v>9.5999999999999992E-3</v>
      </c>
    </row>
    <row r="18" spans="1:4" ht="15" customHeight="1" x14ac:dyDescent="0.25">
      <c r="A18" s="16" t="s">
        <v>97</v>
      </c>
      <c r="B18" s="13">
        <v>7.2000000000000002E-5</v>
      </c>
      <c r="C18" s="13">
        <v>4.0999999999999999E-4</v>
      </c>
      <c r="D18" s="13">
        <v>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3B8F-4773-43A3-8792-30489CDDFBD4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105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5.5000000000000003E-4</v>
      </c>
      <c r="C5" s="10">
        <v>5.4000000000000003E-3</v>
      </c>
      <c r="D5" s="10">
        <v>3.4000000000000002E-2</v>
      </c>
    </row>
    <row r="6" spans="1:4" ht="15" customHeight="1" x14ac:dyDescent="0.25">
      <c r="A6" s="9" t="s">
        <v>94</v>
      </c>
      <c r="B6" s="10">
        <v>1.2999999999999999E-3</v>
      </c>
      <c r="C6" s="10">
        <v>1.2E-2</v>
      </c>
      <c r="D6" s="10">
        <v>7.9000000000000001E-2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2.3000000000000001E-4</v>
      </c>
      <c r="C8" s="10">
        <v>2.3999999999999998E-3</v>
      </c>
      <c r="D8" s="10">
        <v>1.6E-2</v>
      </c>
    </row>
    <row r="9" spans="1:4" ht="15" customHeight="1" x14ac:dyDescent="0.25">
      <c r="A9" s="9" t="s">
        <v>72</v>
      </c>
      <c r="B9" s="10">
        <v>5.9999999999999995E-4</v>
      </c>
      <c r="C9" s="10">
        <v>6.3E-3</v>
      </c>
      <c r="D9" s="10">
        <v>0.04</v>
      </c>
    </row>
    <row r="10" spans="1:4" ht="15" customHeight="1" x14ac:dyDescent="0.25">
      <c r="A10" s="9" t="s">
        <v>73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5">
      <c r="A11" s="9" t="s">
        <v>74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5">
      <c r="A12" s="9" t="s">
        <v>75</v>
      </c>
      <c r="B12" s="10">
        <v>0.34</v>
      </c>
      <c r="C12" s="10">
        <v>3.5</v>
      </c>
      <c r="D12" s="10">
        <v>22</v>
      </c>
    </row>
    <row r="13" spans="1:4" ht="15" customHeight="1" x14ac:dyDescent="0.25">
      <c r="A13" s="9" t="s">
        <v>76</v>
      </c>
      <c r="B13" s="10">
        <v>5.7000000000000002E-2</v>
      </c>
      <c r="C13" s="10">
        <v>0.57999999999999996</v>
      </c>
      <c r="D13" s="10">
        <v>3.7</v>
      </c>
    </row>
    <row r="14" spans="1:4" ht="15" customHeight="1" x14ac:dyDescent="0.25">
      <c r="A14" s="9" t="s">
        <v>77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5">
      <c r="A15" s="9" t="s">
        <v>78</v>
      </c>
      <c r="B15" s="10">
        <v>1.2E-4</v>
      </c>
      <c r="C15" s="10">
        <v>1.2999999999999999E-3</v>
      </c>
      <c r="D15" s="10">
        <v>8.0999999999999996E-3</v>
      </c>
    </row>
    <row r="16" spans="1:4" ht="15" customHeight="1" x14ac:dyDescent="0.25">
      <c r="A16" s="9" t="s">
        <v>79</v>
      </c>
      <c r="B16" s="10">
        <v>1.1E-4</v>
      </c>
      <c r="C16" s="10">
        <v>1.2999999999999999E-3</v>
      </c>
      <c r="D16" s="10">
        <v>7.9000000000000008E-3</v>
      </c>
    </row>
    <row r="17" spans="1:4" ht="15" customHeight="1" x14ac:dyDescent="0.25">
      <c r="A17" s="9" t="s">
        <v>96</v>
      </c>
      <c r="B17" s="10">
        <v>5.0000000000000001E-4</v>
      </c>
      <c r="C17" s="10">
        <v>5.4999999999999997E-3</v>
      </c>
      <c r="D17" s="10">
        <v>3.5000000000000003E-2</v>
      </c>
    </row>
    <row r="18" spans="1:4" ht="15" customHeight="1" x14ac:dyDescent="0.25">
      <c r="A18" s="16" t="s">
        <v>97</v>
      </c>
      <c r="B18" s="13">
        <v>5.3999999999999998E-5</v>
      </c>
      <c r="C18" s="13">
        <v>5.9000000000000003E-4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DCC2-4FED-427A-A75D-4E54B5C80527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106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1.6000000000000001E-3</v>
      </c>
      <c r="C5" s="10">
        <v>1.2E-2</v>
      </c>
      <c r="D5" s="10">
        <v>4.2999999999999997E-2</v>
      </c>
    </row>
    <row r="6" spans="1:4" ht="15" customHeight="1" x14ac:dyDescent="0.25">
      <c r="A6" s="9" t="s">
        <v>94</v>
      </c>
      <c r="B6" s="10">
        <v>3.5999999999999999E-3</v>
      </c>
      <c r="C6" s="10">
        <v>2.7E-2</v>
      </c>
      <c r="D6" s="10">
        <v>9.8000000000000004E-2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8.4999999999999995E-4</v>
      </c>
      <c r="C8" s="10">
        <v>6.0000000000000001E-3</v>
      </c>
      <c r="D8" s="10">
        <v>2.1999999999999999E-2</v>
      </c>
    </row>
    <row r="9" spans="1:4" ht="15" customHeight="1" x14ac:dyDescent="0.25">
      <c r="A9" s="9" t="s">
        <v>72</v>
      </c>
      <c r="B9" s="10">
        <v>2.3E-3</v>
      </c>
      <c r="C9" s="10">
        <v>1.6E-2</v>
      </c>
      <c r="D9" s="10">
        <v>6.0999999999999999E-2</v>
      </c>
    </row>
    <row r="10" spans="1:4" ht="15" customHeight="1" x14ac:dyDescent="0.25">
      <c r="A10" s="9" t="s">
        <v>73</v>
      </c>
      <c r="B10" s="10">
        <v>2.9000000000000001E-2</v>
      </c>
      <c r="C10" s="10">
        <v>0.21</v>
      </c>
      <c r="D10" s="10">
        <v>0.77</v>
      </c>
    </row>
    <row r="11" spans="1:4" ht="15" customHeight="1" x14ac:dyDescent="0.25">
      <c r="A11" s="9" t="s">
        <v>74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5">
      <c r="A12" s="9" t="s">
        <v>75</v>
      </c>
      <c r="B12" s="10">
        <v>1.2</v>
      </c>
      <c r="C12" s="10">
        <v>9.1999999999999993</v>
      </c>
      <c r="D12" s="10">
        <v>34</v>
      </c>
    </row>
    <row r="13" spans="1:4" ht="15" customHeight="1" x14ac:dyDescent="0.25">
      <c r="A13" s="9" t="s">
        <v>76</v>
      </c>
      <c r="B13" s="10">
        <v>0.21</v>
      </c>
      <c r="C13" s="10">
        <v>1.5</v>
      </c>
      <c r="D13" s="10">
        <v>5.7</v>
      </c>
    </row>
    <row r="14" spans="1:4" ht="15" customHeight="1" x14ac:dyDescent="0.25">
      <c r="A14" s="9" t="s">
        <v>77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5">
      <c r="A15" s="9" t="s">
        <v>78</v>
      </c>
      <c r="B15" s="10">
        <v>3.5E-4</v>
      </c>
      <c r="C15" s="10">
        <v>2.5999999999999999E-3</v>
      </c>
      <c r="D15" s="10">
        <v>9.5999999999999992E-3</v>
      </c>
    </row>
    <row r="16" spans="1:4" ht="15" customHeight="1" x14ac:dyDescent="0.25">
      <c r="A16" s="9" t="s">
        <v>79</v>
      </c>
      <c r="B16" s="10">
        <v>3.3E-4</v>
      </c>
      <c r="C16" s="10">
        <v>2.3999999999999998E-3</v>
      </c>
      <c r="D16" s="10">
        <v>8.8999999999999999E-3</v>
      </c>
    </row>
    <row r="17" spans="1:4" ht="15" customHeight="1" x14ac:dyDescent="0.25">
      <c r="A17" s="9" t="s">
        <v>96</v>
      </c>
      <c r="B17" s="10">
        <v>1.4E-3</v>
      </c>
      <c r="C17" s="10">
        <v>1.0999999999999999E-2</v>
      </c>
      <c r="D17" s="10">
        <v>3.9E-2</v>
      </c>
    </row>
    <row r="18" spans="1:4" ht="15" customHeight="1" x14ac:dyDescent="0.25">
      <c r="A18" s="16" t="s">
        <v>97</v>
      </c>
      <c r="B18" s="13">
        <v>1.6000000000000001E-4</v>
      </c>
      <c r="C18" s="13">
        <v>1.1000000000000001E-3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D357-2213-4A63-AAB3-3B4629B9178B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107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9.3000000000000005E-4</v>
      </c>
      <c r="C5" s="10">
        <v>5.7999999999999996E-3</v>
      </c>
      <c r="D5" s="10">
        <v>3.7999999999999999E-2</v>
      </c>
    </row>
    <row r="6" spans="1:4" ht="15" customHeight="1" x14ac:dyDescent="0.25">
      <c r="A6" s="9" t="s">
        <v>94</v>
      </c>
      <c r="B6" s="10">
        <v>2.0999999999999999E-3</v>
      </c>
      <c r="C6" s="10">
        <v>1.2999999999999999E-2</v>
      </c>
      <c r="D6" s="10">
        <v>8.6999999999999994E-2</v>
      </c>
    </row>
    <row r="7" spans="1:4" ht="15" customHeight="1" x14ac:dyDescent="0.25">
      <c r="A7" s="11" t="s">
        <v>95</v>
      </c>
      <c r="B7" s="15"/>
      <c r="C7" s="18"/>
      <c r="D7" s="14"/>
    </row>
    <row r="8" spans="1:4" ht="15" customHeight="1" x14ac:dyDescent="0.25">
      <c r="A8" s="9" t="s">
        <v>71</v>
      </c>
      <c r="B8" s="10">
        <v>5.1999999999999995E-4</v>
      </c>
      <c r="C8" s="10">
        <v>3.3999999999999998E-3</v>
      </c>
      <c r="D8" s="10">
        <v>2.1999999999999999E-2</v>
      </c>
    </row>
    <row r="9" spans="1:4" ht="15" customHeight="1" x14ac:dyDescent="0.25">
      <c r="A9" s="9" t="s">
        <v>72</v>
      </c>
      <c r="B9" s="10">
        <v>1.4E-3</v>
      </c>
      <c r="C9" s="10">
        <v>7.9000000000000008E-3</v>
      </c>
      <c r="D9" s="10">
        <v>5.3999999999999999E-2</v>
      </c>
    </row>
    <row r="10" spans="1:4" ht="15" customHeight="1" x14ac:dyDescent="0.25">
      <c r="A10" s="9" t="s">
        <v>73</v>
      </c>
      <c r="B10" s="10">
        <v>1.7000000000000001E-2</v>
      </c>
      <c r="C10" s="10">
        <v>0.1</v>
      </c>
      <c r="D10" s="10">
        <v>0.69</v>
      </c>
    </row>
    <row r="11" spans="1:4" ht="15" customHeight="1" x14ac:dyDescent="0.25">
      <c r="A11" s="9" t="s">
        <v>74</v>
      </c>
      <c r="B11" s="10">
        <v>2.5000000000000001E-2</v>
      </c>
      <c r="C11" s="10">
        <v>0.15</v>
      </c>
      <c r="D11" s="10">
        <v>0.99</v>
      </c>
    </row>
    <row r="12" spans="1:4" ht="15" customHeight="1" x14ac:dyDescent="0.25">
      <c r="A12" s="9" t="s">
        <v>75</v>
      </c>
      <c r="B12" s="10">
        <v>0.72</v>
      </c>
      <c r="C12" s="10">
        <v>4.4000000000000004</v>
      </c>
      <c r="D12" s="10">
        <v>30</v>
      </c>
    </row>
    <row r="13" spans="1:4" ht="15" customHeight="1" x14ac:dyDescent="0.25">
      <c r="A13" s="9" t="s">
        <v>76</v>
      </c>
      <c r="B13" s="10">
        <v>0.12</v>
      </c>
      <c r="C13" s="10">
        <v>0.74</v>
      </c>
      <c r="D13" s="10">
        <v>5.0999999999999996</v>
      </c>
    </row>
    <row r="14" spans="1:4" ht="15" customHeight="1" x14ac:dyDescent="0.25">
      <c r="A14" s="9" t="s">
        <v>77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5">
      <c r="A15" s="9" t="s">
        <v>78</v>
      </c>
      <c r="B15" s="10">
        <v>2.1000000000000001E-4</v>
      </c>
      <c r="C15" s="10">
        <v>1.4E-3</v>
      </c>
      <c r="D15" s="10">
        <v>9.1000000000000004E-3</v>
      </c>
    </row>
    <row r="16" spans="1:4" ht="15" customHeight="1" x14ac:dyDescent="0.25">
      <c r="A16" s="9" t="s">
        <v>79</v>
      </c>
      <c r="B16" s="10">
        <v>2.0000000000000001E-4</v>
      </c>
      <c r="C16" s="10">
        <v>1.2999999999999999E-3</v>
      </c>
      <c r="D16" s="10">
        <v>8.6E-3</v>
      </c>
    </row>
    <row r="17" spans="1:4" ht="15" customHeight="1" x14ac:dyDescent="0.25">
      <c r="A17" s="9" t="s">
        <v>96</v>
      </c>
      <c r="B17" s="10">
        <v>8.5999999999999998E-4</v>
      </c>
      <c r="C17" s="10">
        <v>5.4999999999999997E-3</v>
      </c>
      <c r="D17" s="10">
        <v>3.5999999999999997E-2</v>
      </c>
    </row>
    <row r="18" spans="1:4" ht="15" customHeight="1" x14ac:dyDescent="0.25">
      <c r="A18" s="16" t="s">
        <v>97</v>
      </c>
      <c r="B18" s="13">
        <v>9.2E-5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F75F-0F60-4AED-9F1C-00A1E83F8F61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108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7.6000000000000004E-4</v>
      </c>
      <c r="C5" s="10">
        <v>4.8999999999999998E-3</v>
      </c>
      <c r="D5" s="10">
        <v>3.1E-2</v>
      </c>
    </row>
    <row r="6" spans="1:4" ht="15" customHeight="1" x14ac:dyDescent="0.25">
      <c r="A6" s="9" t="s">
        <v>94</v>
      </c>
      <c r="B6" s="10">
        <v>1.6999999999999999E-3</v>
      </c>
      <c r="C6" s="10">
        <v>1.0999999999999999E-2</v>
      </c>
      <c r="D6" s="10">
        <v>7.1999999999999995E-2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4.0000000000000002E-4</v>
      </c>
      <c r="C8" s="10">
        <v>2.5999999999999999E-3</v>
      </c>
      <c r="D8" s="10">
        <v>1.7000000000000001E-2</v>
      </c>
    </row>
    <row r="9" spans="1:4" ht="15" customHeight="1" x14ac:dyDescent="0.25">
      <c r="A9" s="9" t="s">
        <v>72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5">
      <c r="A10" s="9" t="s">
        <v>73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5">
      <c r="A11" s="9" t="s">
        <v>74</v>
      </c>
      <c r="B11" s="10">
        <v>0.02</v>
      </c>
      <c r="C11" s="10">
        <v>0.12</v>
      </c>
      <c r="D11" s="10">
        <v>0.8</v>
      </c>
    </row>
    <row r="12" spans="1:4" ht="15" customHeight="1" x14ac:dyDescent="0.25">
      <c r="A12" s="9" t="s">
        <v>75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5">
      <c r="A13" s="9" t="s">
        <v>76</v>
      </c>
      <c r="B13" s="10">
        <v>9.6000000000000002E-2</v>
      </c>
      <c r="C13" s="10">
        <v>0.57999999999999996</v>
      </c>
      <c r="D13" s="10">
        <v>4</v>
      </c>
    </row>
    <row r="14" spans="1:4" ht="15" customHeight="1" x14ac:dyDescent="0.25">
      <c r="A14" s="9" t="s">
        <v>77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5">
      <c r="A15" s="9" t="s">
        <v>78</v>
      </c>
      <c r="B15" s="10">
        <v>1.7000000000000001E-4</v>
      </c>
      <c r="C15" s="10">
        <v>1.1999999999999999E-3</v>
      </c>
      <c r="D15" s="10">
        <v>7.6E-3</v>
      </c>
    </row>
    <row r="16" spans="1:4" ht="15" customHeight="1" x14ac:dyDescent="0.25">
      <c r="A16" s="9" t="s">
        <v>79</v>
      </c>
      <c r="B16" s="10">
        <v>1.7000000000000001E-4</v>
      </c>
      <c r="C16" s="10">
        <v>1.1000000000000001E-3</v>
      </c>
      <c r="D16" s="10">
        <v>7.1999999999999998E-3</v>
      </c>
    </row>
    <row r="17" spans="1:4" ht="15" customHeight="1" x14ac:dyDescent="0.25">
      <c r="A17" s="9" t="s">
        <v>96</v>
      </c>
      <c r="B17" s="10">
        <v>7.1000000000000002E-4</v>
      </c>
      <c r="C17" s="10">
        <v>4.7000000000000002E-3</v>
      </c>
      <c r="D17" s="10">
        <v>3.1E-2</v>
      </c>
    </row>
    <row r="18" spans="1:4" ht="15" customHeight="1" x14ac:dyDescent="0.25">
      <c r="A18" s="16" t="s">
        <v>97</v>
      </c>
      <c r="B18" s="13">
        <v>7.6000000000000004E-5</v>
      </c>
      <c r="C18" s="13">
        <v>5.1000000000000004E-4</v>
      </c>
      <c r="D18" s="13">
        <v>3.3E-3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9AB3-EC38-4D24-8D3C-3F31366FEB14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109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8.4000000000000003E-4</v>
      </c>
      <c r="C5" s="10">
        <v>9.5999999999999992E-3</v>
      </c>
      <c r="D5" s="10">
        <v>2.8000000000000001E-2</v>
      </c>
    </row>
    <row r="6" spans="1:4" ht="15" customHeight="1" x14ac:dyDescent="0.25">
      <c r="A6" s="9" t="s">
        <v>94</v>
      </c>
      <c r="B6" s="10">
        <v>1.9E-3</v>
      </c>
      <c r="C6" s="10">
        <v>2.1999999999999999E-2</v>
      </c>
      <c r="D6" s="10">
        <v>6.4000000000000001E-2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4.2999999999999999E-4</v>
      </c>
      <c r="C8" s="10">
        <v>5.1999999999999998E-3</v>
      </c>
      <c r="D8" s="10">
        <v>1.6E-2</v>
      </c>
    </row>
    <row r="9" spans="1:4" ht="15" customHeight="1" x14ac:dyDescent="0.25">
      <c r="A9" s="9" t="s">
        <v>72</v>
      </c>
      <c r="B9" s="10">
        <v>1.1999999999999999E-3</v>
      </c>
      <c r="C9" s="10">
        <v>1.7000000000000001E-2</v>
      </c>
      <c r="D9" s="10">
        <v>0.04</v>
      </c>
    </row>
    <row r="10" spans="1:4" ht="15" customHeight="1" x14ac:dyDescent="0.25">
      <c r="A10" s="9" t="s">
        <v>73</v>
      </c>
      <c r="B10" s="10">
        <v>1.6E-2</v>
      </c>
      <c r="C10" s="10">
        <v>0.22</v>
      </c>
      <c r="D10" s="10">
        <v>0.52</v>
      </c>
    </row>
    <row r="11" spans="1:4" ht="15" customHeight="1" x14ac:dyDescent="0.25">
      <c r="A11" s="9" t="s">
        <v>74</v>
      </c>
      <c r="B11" s="10">
        <v>2.1999999999999999E-2</v>
      </c>
      <c r="C11" s="10">
        <v>0.31</v>
      </c>
      <c r="D11" s="10">
        <v>0.74</v>
      </c>
    </row>
    <row r="12" spans="1:4" ht="15" customHeight="1" x14ac:dyDescent="0.25">
      <c r="A12" s="9" t="s">
        <v>75</v>
      </c>
      <c r="B12" s="10">
        <v>0.66</v>
      </c>
      <c r="C12" s="10">
        <v>9.6</v>
      </c>
      <c r="D12" s="10">
        <v>23</v>
      </c>
    </row>
    <row r="13" spans="1:4" ht="15" customHeight="1" x14ac:dyDescent="0.25">
      <c r="A13" s="9" t="s">
        <v>76</v>
      </c>
      <c r="B13" s="10">
        <v>0.11</v>
      </c>
      <c r="C13" s="10">
        <v>1.6</v>
      </c>
      <c r="D13" s="10">
        <v>3.9</v>
      </c>
    </row>
    <row r="14" spans="1:4" ht="15" customHeight="1" x14ac:dyDescent="0.25">
      <c r="A14" s="9" t="s">
        <v>77</v>
      </c>
      <c r="B14" s="10">
        <v>2.5999999999999999E-2</v>
      </c>
      <c r="C14" s="10">
        <v>0.37</v>
      </c>
      <c r="D14" s="10">
        <v>0.87</v>
      </c>
    </row>
    <row r="15" spans="1:4" ht="15" customHeight="1" x14ac:dyDescent="0.25">
      <c r="A15" s="9" t="s">
        <v>78</v>
      </c>
      <c r="B15" s="10">
        <v>2.0000000000000001E-4</v>
      </c>
      <c r="C15" s="10">
        <v>2.5000000000000001E-3</v>
      </c>
      <c r="D15" s="10">
        <v>6.7999999999999996E-3</v>
      </c>
    </row>
    <row r="16" spans="1:4" ht="15" customHeight="1" x14ac:dyDescent="0.25">
      <c r="A16" s="9" t="s">
        <v>79</v>
      </c>
      <c r="B16" s="10">
        <v>1.9000000000000001E-4</v>
      </c>
      <c r="C16" s="10">
        <v>2.2000000000000001E-3</v>
      </c>
      <c r="D16" s="10">
        <v>6.4000000000000003E-3</v>
      </c>
    </row>
    <row r="17" spans="1:4" ht="15" customHeight="1" x14ac:dyDescent="0.25">
      <c r="A17" s="9" t="s">
        <v>96</v>
      </c>
      <c r="B17" s="10">
        <v>8.0000000000000004E-4</v>
      </c>
      <c r="C17" s="10">
        <v>9.4999999999999998E-3</v>
      </c>
      <c r="D17" s="10">
        <v>2.7E-2</v>
      </c>
    </row>
    <row r="18" spans="1:4" ht="15" customHeight="1" x14ac:dyDescent="0.25">
      <c r="A18" s="16" t="s">
        <v>97</v>
      </c>
      <c r="B18" s="13">
        <v>8.6000000000000003E-5</v>
      </c>
      <c r="C18" s="13">
        <v>1E-3</v>
      </c>
      <c r="D18" s="13">
        <v>2.8999999999999998E-3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D342-6CF9-4A7E-BAB5-C302958F3E28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110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8.0000000000000004E-4</v>
      </c>
      <c r="C5" s="10">
        <v>5.1000000000000004E-3</v>
      </c>
      <c r="D5" s="10">
        <v>3.5999999999999997E-2</v>
      </c>
    </row>
    <row r="6" spans="1:4" ht="15" customHeight="1" x14ac:dyDescent="0.25">
      <c r="A6" s="9" t="s">
        <v>94</v>
      </c>
      <c r="B6" s="10">
        <v>1.8E-3</v>
      </c>
      <c r="C6" s="10">
        <v>1.2E-2</v>
      </c>
      <c r="D6" s="10">
        <v>8.3000000000000004E-2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4.4000000000000002E-4</v>
      </c>
      <c r="C8" s="10">
        <v>2.8E-3</v>
      </c>
      <c r="D8" s="10">
        <v>2.1999999999999999E-2</v>
      </c>
    </row>
    <row r="9" spans="1:4" ht="15" customHeight="1" x14ac:dyDescent="0.25">
      <c r="A9" s="9" t="s">
        <v>72</v>
      </c>
      <c r="B9" s="10">
        <v>1.1999999999999999E-3</v>
      </c>
      <c r="C9" s="10">
        <v>8.6999999999999994E-3</v>
      </c>
      <c r="D9" s="10">
        <v>5.2999999999999999E-2</v>
      </c>
    </row>
    <row r="10" spans="1:4" ht="15" customHeight="1" x14ac:dyDescent="0.25">
      <c r="A10" s="9" t="s">
        <v>73</v>
      </c>
      <c r="B10" s="10">
        <v>1.6E-2</v>
      </c>
      <c r="C10" s="10">
        <v>0.11</v>
      </c>
      <c r="D10" s="10">
        <v>0.68</v>
      </c>
    </row>
    <row r="11" spans="1:4" ht="15" customHeight="1" x14ac:dyDescent="0.25">
      <c r="A11" s="9" t="s">
        <v>74</v>
      </c>
      <c r="B11" s="10">
        <v>2.1999999999999999E-2</v>
      </c>
      <c r="C11" s="10">
        <v>0.16</v>
      </c>
      <c r="D11" s="10">
        <v>0.97</v>
      </c>
    </row>
    <row r="12" spans="1:4" ht="15" customHeight="1" x14ac:dyDescent="0.25">
      <c r="A12" s="9" t="s">
        <v>75</v>
      </c>
      <c r="B12" s="10">
        <v>0.65</v>
      </c>
      <c r="C12" s="10">
        <v>4.3</v>
      </c>
      <c r="D12" s="10">
        <v>30</v>
      </c>
    </row>
    <row r="13" spans="1:4" ht="15" customHeight="1" x14ac:dyDescent="0.25">
      <c r="A13" s="9" t="s">
        <v>76</v>
      </c>
      <c r="B13" s="10">
        <v>0.11</v>
      </c>
      <c r="C13" s="10">
        <v>0.73</v>
      </c>
      <c r="D13" s="10">
        <v>5</v>
      </c>
    </row>
    <row r="14" spans="1:4" ht="15" customHeight="1" x14ac:dyDescent="0.25">
      <c r="A14" s="9" t="s">
        <v>77</v>
      </c>
      <c r="B14" s="10">
        <v>2.5999999999999999E-2</v>
      </c>
      <c r="C14" s="10">
        <v>0.18</v>
      </c>
      <c r="D14" s="10">
        <v>1.1000000000000001</v>
      </c>
    </row>
    <row r="15" spans="1:4" ht="15" customHeight="1" x14ac:dyDescent="0.25">
      <c r="A15" s="9" t="s">
        <v>78</v>
      </c>
      <c r="B15" s="10">
        <v>1.9000000000000001E-4</v>
      </c>
      <c r="C15" s="10">
        <v>1.1000000000000001E-3</v>
      </c>
      <c r="D15" s="10">
        <v>8.8999999999999999E-3</v>
      </c>
    </row>
    <row r="16" spans="1:4" ht="15" customHeight="1" x14ac:dyDescent="0.25">
      <c r="A16" s="9" t="s">
        <v>79</v>
      </c>
      <c r="B16" s="10">
        <v>1.8000000000000001E-4</v>
      </c>
      <c r="C16" s="10">
        <v>1E-3</v>
      </c>
      <c r="D16" s="10">
        <v>8.3000000000000001E-3</v>
      </c>
    </row>
    <row r="17" spans="1:4" ht="15" customHeight="1" x14ac:dyDescent="0.25">
      <c r="A17" s="9" t="s">
        <v>96</v>
      </c>
      <c r="B17" s="10">
        <v>7.6000000000000004E-4</v>
      </c>
      <c r="C17" s="10">
        <v>4.4999999999999997E-3</v>
      </c>
      <c r="D17" s="10">
        <v>3.5000000000000003E-2</v>
      </c>
    </row>
    <row r="18" spans="1:4" ht="15" customHeight="1" x14ac:dyDescent="0.25">
      <c r="A18" s="16" t="s">
        <v>97</v>
      </c>
      <c r="B18" s="13">
        <v>8.2000000000000001E-5</v>
      </c>
      <c r="C18" s="13">
        <v>4.8999999999999998E-4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1797-D0DA-4CC6-862A-0C1CA7C13646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111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8.8999999999999995E-4</v>
      </c>
      <c r="C5" s="10">
        <v>2.3E-3</v>
      </c>
      <c r="D5" s="10">
        <v>4.2999999999999997E-2</v>
      </c>
    </row>
    <row r="6" spans="1:4" ht="15" customHeight="1" x14ac:dyDescent="0.25">
      <c r="A6" s="9" t="s">
        <v>94</v>
      </c>
      <c r="B6" s="10">
        <v>2E-3</v>
      </c>
      <c r="C6" s="10">
        <v>5.1999999999999998E-3</v>
      </c>
      <c r="D6" s="10">
        <v>9.7000000000000003E-2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4.8999999999999998E-4</v>
      </c>
      <c r="C8" s="10">
        <v>1.1999999999999999E-3</v>
      </c>
      <c r="D8" s="10">
        <v>2.5000000000000001E-2</v>
      </c>
    </row>
    <row r="9" spans="1:4" ht="15" customHeight="1" x14ac:dyDescent="0.25">
      <c r="A9" s="9" t="s">
        <v>72</v>
      </c>
      <c r="B9" s="10">
        <v>1.2999999999999999E-3</v>
      </c>
      <c r="C9" s="10">
        <v>3.8E-3</v>
      </c>
      <c r="D9" s="10">
        <v>6.4000000000000001E-2</v>
      </c>
    </row>
    <row r="10" spans="1:4" ht="15" customHeight="1" x14ac:dyDescent="0.25">
      <c r="A10" s="9" t="s">
        <v>73</v>
      </c>
      <c r="B10" s="10">
        <v>1.6E-2</v>
      </c>
      <c r="C10" s="10">
        <v>4.8000000000000001E-2</v>
      </c>
      <c r="D10" s="10">
        <v>0.81</v>
      </c>
    </row>
    <row r="11" spans="1:4" ht="15" customHeight="1" x14ac:dyDescent="0.25">
      <c r="A11" s="9" t="s">
        <v>74</v>
      </c>
      <c r="B11" s="10">
        <v>2.4E-2</v>
      </c>
      <c r="C11" s="10">
        <v>6.9000000000000006E-2</v>
      </c>
      <c r="D11" s="10">
        <v>1.2</v>
      </c>
    </row>
    <row r="12" spans="1:4" ht="15" customHeight="1" x14ac:dyDescent="0.25">
      <c r="A12" s="9" t="s">
        <v>75</v>
      </c>
      <c r="B12" s="10">
        <v>0.69</v>
      </c>
      <c r="C12" s="10">
        <v>1.9</v>
      </c>
      <c r="D12" s="10">
        <v>35</v>
      </c>
    </row>
    <row r="13" spans="1:4" ht="15" customHeight="1" x14ac:dyDescent="0.25">
      <c r="A13" s="9" t="s">
        <v>76</v>
      </c>
      <c r="B13" s="10">
        <v>0.12</v>
      </c>
      <c r="C13" s="10">
        <v>0.33</v>
      </c>
      <c r="D13" s="10">
        <v>5.9</v>
      </c>
    </row>
    <row r="14" spans="1:4" ht="15" customHeight="1" x14ac:dyDescent="0.25">
      <c r="A14" s="9" t="s">
        <v>77</v>
      </c>
      <c r="B14" s="10">
        <v>2.8000000000000001E-2</v>
      </c>
      <c r="C14" s="10">
        <v>8.1000000000000003E-2</v>
      </c>
      <c r="D14" s="10">
        <v>1.4</v>
      </c>
    </row>
    <row r="15" spans="1:4" ht="15" customHeight="1" x14ac:dyDescent="0.25">
      <c r="A15" s="9" t="s">
        <v>78</v>
      </c>
      <c r="B15" s="10">
        <v>2.1000000000000001E-4</v>
      </c>
      <c r="C15" s="10">
        <v>5.0000000000000001E-4</v>
      </c>
      <c r="D15" s="10">
        <v>0.01</v>
      </c>
    </row>
    <row r="16" spans="1:4" ht="15" customHeight="1" x14ac:dyDescent="0.25">
      <c r="A16" s="9" t="s">
        <v>79</v>
      </c>
      <c r="B16" s="10">
        <v>2.0000000000000001E-4</v>
      </c>
      <c r="C16" s="10">
        <v>4.8000000000000001E-4</v>
      </c>
      <c r="D16" s="10">
        <v>9.7999999999999997E-3</v>
      </c>
    </row>
    <row r="17" spans="1:4" ht="15" customHeight="1" x14ac:dyDescent="0.25">
      <c r="A17" s="9" t="s">
        <v>96</v>
      </c>
      <c r="B17" s="10">
        <v>8.4000000000000003E-4</v>
      </c>
      <c r="C17" s="10">
        <v>2E-3</v>
      </c>
      <c r="D17" s="10">
        <v>4.1000000000000002E-2</v>
      </c>
    </row>
    <row r="18" spans="1:4" ht="15" customHeight="1" x14ac:dyDescent="0.25">
      <c r="A18" s="16" t="s">
        <v>97</v>
      </c>
      <c r="B18" s="13">
        <v>9.1000000000000003E-5</v>
      </c>
      <c r="C18" s="13">
        <v>2.2000000000000001E-4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04B-56C2-4409-BE21-187E165E03E5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112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6.4999999999999997E-4</v>
      </c>
      <c r="C5" s="10">
        <v>4.4000000000000003E-3</v>
      </c>
      <c r="D5" s="10">
        <v>1.6E-2</v>
      </c>
    </row>
    <row r="6" spans="1:4" ht="15" customHeight="1" x14ac:dyDescent="0.25">
      <c r="A6" s="9" t="s">
        <v>94</v>
      </c>
      <c r="B6" s="10">
        <v>1.5E-3</v>
      </c>
      <c r="C6" s="10">
        <v>0.01</v>
      </c>
      <c r="D6" s="10">
        <v>3.5999999999999997E-2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3.2000000000000003E-4</v>
      </c>
      <c r="C8" s="10">
        <v>2.2000000000000001E-3</v>
      </c>
      <c r="D8" s="10">
        <v>8.8000000000000005E-3</v>
      </c>
    </row>
    <row r="9" spans="1:4" ht="15" customHeight="1" x14ac:dyDescent="0.25">
      <c r="A9" s="9" t="s">
        <v>72</v>
      </c>
      <c r="B9" s="10">
        <v>8.4999999999999995E-4</v>
      </c>
      <c r="C9" s="10">
        <v>5.4000000000000003E-3</v>
      </c>
      <c r="D9" s="10">
        <v>2.1000000000000001E-2</v>
      </c>
    </row>
    <row r="10" spans="1:4" ht="15" customHeight="1" x14ac:dyDescent="0.25">
      <c r="A10" s="9" t="s">
        <v>73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5">
      <c r="A11" s="9" t="s">
        <v>74</v>
      </c>
      <c r="B11" s="10">
        <v>1.6E-2</v>
      </c>
      <c r="C11" s="10">
        <v>0.1</v>
      </c>
      <c r="D11" s="10">
        <v>0.39</v>
      </c>
    </row>
    <row r="12" spans="1:4" ht="15" customHeight="1" x14ac:dyDescent="0.25">
      <c r="A12" s="9" t="s">
        <v>75</v>
      </c>
      <c r="B12" s="10">
        <v>0.45</v>
      </c>
      <c r="C12" s="10">
        <v>3</v>
      </c>
      <c r="D12" s="10">
        <v>12</v>
      </c>
    </row>
    <row r="13" spans="1:4" ht="15" customHeight="1" x14ac:dyDescent="0.25">
      <c r="A13" s="9" t="s">
        <v>76</v>
      </c>
      <c r="B13" s="10">
        <v>7.5999999999999998E-2</v>
      </c>
      <c r="C13" s="10">
        <v>0.5</v>
      </c>
      <c r="D13" s="10">
        <v>1.9</v>
      </c>
    </row>
    <row r="14" spans="1:4" ht="15" customHeight="1" x14ac:dyDescent="0.25">
      <c r="A14" s="9" t="s">
        <v>77</v>
      </c>
      <c r="B14" s="10">
        <v>1.7999999999999999E-2</v>
      </c>
      <c r="C14" s="10">
        <v>0.12</v>
      </c>
      <c r="D14" s="10">
        <v>0.45</v>
      </c>
    </row>
    <row r="15" spans="1:4" ht="15" customHeight="1" x14ac:dyDescent="0.25">
      <c r="A15" s="9" t="s">
        <v>78</v>
      </c>
      <c r="B15" s="10">
        <v>1.4999999999999999E-4</v>
      </c>
      <c r="C15" s="10">
        <v>1E-3</v>
      </c>
      <c r="D15" s="10">
        <v>3.7000000000000002E-3</v>
      </c>
    </row>
    <row r="16" spans="1:4" ht="15" customHeight="1" x14ac:dyDescent="0.25">
      <c r="A16" s="9" t="s">
        <v>79</v>
      </c>
      <c r="B16" s="10">
        <v>1.3999999999999999E-4</v>
      </c>
      <c r="C16" s="10">
        <v>1E-3</v>
      </c>
      <c r="D16" s="10">
        <v>3.5000000000000001E-3</v>
      </c>
    </row>
    <row r="17" spans="1:4" ht="15" customHeight="1" x14ac:dyDescent="0.25">
      <c r="A17" s="9" t="s">
        <v>96</v>
      </c>
      <c r="B17" s="10">
        <v>5.9999999999999995E-4</v>
      </c>
      <c r="C17" s="10">
        <v>4.1999999999999997E-3</v>
      </c>
      <c r="D17" s="10">
        <v>1.4999999999999999E-2</v>
      </c>
    </row>
    <row r="18" spans="1:4" ht="15" customHeight="1" x14ac:dyDescent="0.25">
      <c r="A18" s="16" t="s">
        <v>97</v>
      </c>
      <c r="B18" s="13">
        <v>6.3999999999999997E-5</v>
      </c>
      <c r="C18" s="13">
        <v>4.6000000000000001E-4</v>
      </c>
      <c r="D18" s="13">
        <v>1.6000000000000001E-3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3F4D-55B8-497D-9C95-FE4667991A44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113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2.1000000000000001E-4</v>
      </c>
      <c r="C5" s="10">
        <v>1.4E-3</v>
      </c>
      <c r="D5" s="10">
        <v>5.1999999999999998E-3</v>
      </c>
    </row>
    <row r="6" spans="1:4" ht="15" customHeight="1" x14ac:dyDescent="0.25">
      <c r="A6" s="9" t="s">
        <v>94</v>
      </c>
      <c r="B6" s="10">
        <v>4.8000000000000001E-4</v>
      </c>
      <c r="C6" s="10">
        <v>3.0999999999999999E-3</v>
      </c>
      <c r="D6" s="10">
        <v>1.2E-2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1.2999999999999999E-4</v>
      </c>
      <c r="C8" s="10">
        <v>7.6000000000000004E-4</v>
      </c>
      <c r="D8" s="10">
        <v>2.8999999999999998E-3</v>
      </c>
    </row>
    <row r="9" spans="1:4" ht="15" customHeight="1" x14ac:dyDescent="0.25">
      <c r="A9" s="9" t="s">
        <v>72</v>
      </c>
      <c r="B9" s="10">
        <v>3.6000000000000002E-4</v>
      </c>
      <c r="C9" s="10">
        <v>1.9E-3</v>
      </c>
      <c r="D9" s="10">
        <v>7.4999999999999997E-3</v>
      </c>
    </row>
    <row r="10" spans="1:4" ht="15" customHeight="1" x14ac:dyDescent="0.25">
      <c r="A10" s="9" t="s">
        <v>73</v>
      </c>
      <c r="B10" s="10">
        <v>4.5999999999999999E-3</v>
      </c>
      <c r="C10" s="10">
        <v>2.4E-2</v>
      </c>
      <c r="D10" s="10">
        <v>9.5000000000000001E-2</v>
      </c>
    </row>
    <row r="11" spans="1:4" ht="15" customHeight="1" x14ac:dyDescent="0.25">
      <c r="A11" s="9" t="s">
        <v>74</v>
      </c>
      <c r="B11" s="10">
        <v>6.6E-3</v>
      </c>
      <c r="C11" s="10">
        <v>3.4000000000000002E-2</v>
      </c>
      <c r="D11" s="10">
        <v>0.14000000000000001</v>
      </c>
    </row>
    <row r="12" spans="1:4" ht="15" customHeight="1" x14ac:dyDescent="0.25">
      <c r="A12" s="9" t="s">
        <v>75</v>
      </c>
      <c r="B12" s="10">
        <v>0.2</v>
      </c>
      <c r="C12" s="10">
        <v>1.1000000000000001</v>
      </c>
      <c r="D12" s="10">
        <v>4.3</v>
      </c>
    </row>
    <row r="13" spans="1:4" ht="15" customHeight="1" x14ac:dyDescent="0.25">
      <c r="A13" s="9" t="s">
        <v>76</v>
      </c>
      <c r="B13" s="10">
        <v>3.4000000000000002E-2</v>
      </c>
      <c r="C13" s="10">
        <v>0.18</v>
      </c>
      <c r="D13" s="10">
        <v>0.72</v>
      </c>
    </row>
    <row r="14" spans="1:4" ht="15" customHeight="1" x14ac:dyDescent="0.25">
      <c r="A14" s="9" t="s">
        <v>77</v>
      </c>
      <c r="B14" s="10">
        <v>7.7999999999999996E-3</v>
      </c>
      <c r="C14" s="10">
        <v>0.04</v>
      </c>
      <c r="D14" s="10">
        <v>0.16</v>
      </c>
    </row>
    <row r="15" spans="1:4" ht="15" customHeight="1" x14ac:dyDescent="0.25">
      <c r="A15" s="9" t="s">
        <v>78</v>
      </c>
      <c r="B15" s="10">
        <v>5.3999999999999998E-5</v>
      </c>
      <c r="C15" s="10">
        <v>3.4000000000000002E-4</v>
      </c>
      <c r="D15" s="10">
        <v>1.2999999999999999E-3</v>
      </c>
    </row>
    <row r="16" spans="1:4" ht="15" customHeight="1" x14ac:dyDescent="0.25">
      <c r="A16" s="9" t="s">
        <v>79</v>
      </c>
      <c r="B16" s="10">
        <v>5.0000000000000002E-5</v>
      </c>
      <c r="C16" s="10">
        <v>3.2000000000000003E-4</v>
      </c>
      <c r="D16" s="10">
        <v>1.1999999999999999E-3</v>
      </c>
    </row>
    <row r="17" spans="1:4" ht="15" customHeight="1" x14ac:dyDescent="0.25">
      <c r="A17" s="9" t="s">
        <v>96</v>
      </c>
      <c r="B17" s="10">
        <v>2.1000000000000001E-4</v>
      </c>
      <c r="C17" s="10">
        <v>1.2999999999999999E-3</v>
      </c>
      <c r="D17" s="10">
        <v>5.0000000000000001E-3</v>
      </c>
    </row>
    <row r="18" spans="1:4" ht="15" customHeight="1" x14ac:dyDescent="0.25">
      <c r="A18" s="16" t="s">
        <v>97</v>
      </c>
      <c r="B18" s="13">
        <v>2.3E-5</v>
      </c>
      <c r="C18" s="13">
        <v>1.3999999999999999E-4</v>
      </c>
      <c r="D18" s="13">
        <v>5.4000000000000001E-4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4A0E-10C6-4319-A8D5-B1EE3AA888EE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114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6.9999999999999999E-4</v>
      </c>
      <c r="C5" s="10">
        <v>5.4000000000000003E-3</v>
      </c>
      <c r="D5" s="10">
        <v>4.3999999999999997E-2</v>
      </c>
    </row>
    <row r="6" spans="1:4" ht="15" customHeight="1" x14ac:dyDescent="0.25">
      <c r="A6" s="9" t="s">
        <v>94</v>
      </c>
      <c r="B6" s="10">
        <v>1.6000000000000001E-3</v>
      </c>
      <c r="C6" s="10">
        <v>1.2E-2</v>
      </c>
      <c r="D6" s="10">
        <v>0.1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3.8000000000000002E-4</v>
      </c>
      <c r="C8" s="10">
        <v>2.8E-3</v>
      </c>
      <c r="D8" s="10">
        <v>2.3E-2</v>
      </c>
    </row>
    <row r="9" spans="1:4" ht="15" customHeight="1" x14ac:dyDescent="0.25">
      <c r="A9" s="9" t="s">
        <v>72</v>
      </c>
      <c r="B9" s="10">
        <v>9.6000000000000002E-4</v>
      </c>
      <c r="C9" s="10">
        <v>6.7999999999999996E-3</v>
      </c>
      <c r="D9" s="10">
        <v>6.4000000000000001E-2</v>
      </c>
    </row>
    <row r="10" spans="1:4" ht="15" customHeight="1" x14ac:dyDescent="0.25">
      <c r="A10" s="9" t="s">
        <v>73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5">
      <c r="A11" s="9" t="s">
        <v>74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5">
      <c r="A12" s="9" t="s">
        <v>75</v>
      </c>
      <c r="B12" s="10">
        <v>0.52</v>
      </c>
      <c r="C12" s="10">
        <v>3.7</v>
      </c>
      <c r="D12" s="10">
        <v>34</v>
      </c>
    </row>
    <row r="13" spans="1:4" ht="15" customHeight="1" x14ac:dyDescent="0.25">
      <c r="A13" s="9" t="s">
        <v>76</v>
      </c>
      <c r="B13" s="10">
        <v>8.7999999999999995E-2</v>
      </c>
      <c r="C13" s="10">
        <v>0.62</v>
      </c>
      <c r="D13" s="10">
        <v>5.7</v>
      </c>
    </row>
    <row r="14" spans="1:4" ht="15" customHeight="1" x14ac:dyDescent="0.25">
      <c r="A14" s="9" t="s">
        <v>77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5">
      <c r="A15" s="9" t="s">
        <v>78</v>
      </c>
      <c r="B15" s="10">
        <v>1.7000000000000001E-4</v>
      </c>
      <c r="C15" s="10">
        <v>1.2999999999999999E-3</v>
      </c>
      <c r="D15" s="10">
        <v>1.0999999999999999E-2</v>
      </c>
    </row>
    <row r="16" spans="1:4" ht="15" customHeight="1" x14ac:dyDescent="0.25">
      <c r="A16" s="9" t="s">
        <v>79</v>
      </c>
      <c r="B16" s="10">
        <v>1.6000000000000001E-4</v>
      </c>
      <c r="C16" s="10">
        <v>1.2999999999999999E-3</v>
      </c>
      <c r="D16" s="10">
        <v>9.9000000000000008E-3</v>
      </c>
    </row>
    <row r="17" spans="1:4" ht="15" customHeight="1" x14ac:dyDescent="0.25">
      <c r="A17" s="9" t="s">
        <v>96</v>
      </c>
      <c r="B17" s="10">
        <v>6.7000000000000002E-4</v>
      </c>
      <c r="C17" s="10">
        <v>5.3E-3</v>
      </c>
      <c r="D17" s="10">
        <v>4.3999999999999997E-2</v>
      </c>
    </row>
    <row r="18" spans="1:4" ht="15" customHeight="1" x14ac:dyDescent="0.25">
      <c r="A18" s="16" t="s">
        <v>97</v>
      </c>
      <c r="B18" s="13">
        <v>7.2000000000000002E-5</v>
      </c>
      <c r="C18" s="13">
        <v>5.6999999999999998E-4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EEC7-AF94-43AB-8D0F-03D0FC037BD5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115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4.6000000000000001E-4</v>
      </c>
      <c r="C5" s="10">
        <v>5.7000000000000002E-3</v>
      </c>
      <c r="D5" s="10">
        <v>1.9E-2</v>
      </c>
    </row>
    <row r="6" spans="1:4" ht="15" customHeight="1" x14ac:dyDescent="0.25">
      <c r="A6" s="9" t="s">
        <v>94</v>
      </c>
      <c r="B6" s="10">
        <v>1.1000000000000001E-3</v>
      </c>
      <c r="C6" s="10">
        <v>1.2999999999999999E-2</v>
      </c>
      <c r="D6" s="10">
        <v>4.2999999999999997E-2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2.4000000000000001E-4</v>
      </c>
      <c r="C8" s="10">
        <v>2.8E-3</v>
      </c>
      <c r="D8" s="10">
        <v>8.6E-3</v>
      </c>
    </row>
    <row r="9" spans="1:4" ht="15" customHeight="1" x14ac:dyDescent="0.25">
      <c r="A9" s="9" t="s">
        <v>72</v>
      </c>
      <c r="B9" s="10">
        <v>5.8E-4</v>
      </c>
      <c r="C9" s="10">
        <v>6.8999999999999999E-3</v>
      </c>
      <c r="D9" s="10">
        <v>2.3E-2</v>
      </c>
    </row>
    <row r="10" spans="1:4" ht="15" customHeight="1" x14ac:dyDescent="0.25">
      <c r="A10" s="9" t="s">
        <v>73</v>
      </c>
      <c r="B10" s="10">
        <v>7.4000000000000003E-3</v>
      </c>
      <c r="C10" s="10">
        <v>8.7999999999999995E-2</v>
      </c>
      <c r="D10" s="10">
        <v>0.28999999999999998</v>
      </c>
    </row>
    <row r="11" spans="1:4" ht="15" customHeight="1" x14ac:dyDescent="0.25">
      <c r="A11" s="9" t="s">
        <v>74</v>
      </c>
      <c r="B11" s="10">
        <v>1.0999999999999999E-2</v>
      </c>
      <c r="C11" s="10">
        <v>0.13</v>
      </c>
      <c r="D11" s="10">
        <v>0.42</v>
      </c>
    </row>
    <row r="12" spans="1:4" ht="15" customHeight="1" x14ac:dyDescent="0.25">
      <c r="A12" s="9" t="s">
        <v>75</v>
      </c>
      <c r="B12" s="10">
        <v>0.32</v>
      </c>
      <c r="C12" s="10">
        <v>3.8</v>
      </c>
      <c r="D12" s="10">
        <v>12</v>
      </c>
    </row>
    <row r="13" spans="1:4" ht="15" customHeight="1" x14ac:dyDescent="0.25">
      <c r="A13" s="9" t="s">
        <v>76</v>
      </c>
      <c r="B13" s="10">
        <v>5.3999999999999999E-2</v>
      </c>
      <c r="C13" s="10">
        <v>0.64</v>
      </c>
      <c r="D13" s="10">
        <v>2.1</v>
      </c>
    </row>
    <row r="14" spans="1:4" ht="15" customHeight="1" x14ac:dyDescent="0.25">
      <c r="A14" s="9" t="s">
        <v>77</v>
      </c>
      <c r="B14" s="10">
        <v>1.2E-2</v>
      </c>
      <c r="C14" s="10">
        <v>0.15</v>
      </c>
      <c r="D14" s="10">
        <v>0.48</v>
      </c>
    </row>
    <row r="15" spans="1:4" ht="15" customHeight="1" x14ac:dyDescent="0.25">
      <c r="A15" s="9" t="s">
        <v>78</v>
      </c>
      <c r="B15" s="10">
        <v>1.1E-4</v>
      </c>
      <c r="C15" s="10">
        <v>1.4E-3</v>
      </c>
      <c r="D15" s="10">
        <v>4.7000000000000002E-3</v>
      </c>
    </row>
    <row r="16" spans="1:4" ht="15" customHeight="1" x14ac:dyDescent="0.25">
      <c r="A16" s="9" t="s">
        <v>79</v>
      </c>
      <c r="B16" s="10">
        <v>1E-4</v>
      </c>
      <c r="C16" s="10">
        <v>1.4E-3</v>
      </c>
      <c r="D16" s="10">
        <v>4.4999999999999997E-3</v>
      </c>
    </row>
    <row r="17" spans="1:4" ht="15" customHeight="1" x14ac:dyDescent="0.25">
      <c r="A17" s="9" t="s">
        <v>96</v>
      </c>
      <c r="B17" s="10">
        <v>4.4000000000000002E-4</v>
      </c>
      <c r="C17" s="10">
        <v>5.7000000000000002E-3</v>
      </c>
      <c r="D17" s="10">
        <v>1.9E-2</v>
      </c>
    </row>
    <row r="18" spans="1:4" ht="15" customHeight="1" x14ac:dyDescent="0.25">
      <c r="A18" s="16" t="s">
        <v>97</v>
      </c>
      <c r="B18" s="13">
        <v>4.6999999999999997E-5</v>
      </c>
      <c r="C18" s="13">
        <v>6.2E-4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E6A1-3F60-4BD4-9687-A2D52E987FB7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2" t="s">
        <v>116</v>
      </c>
      <c r="B1" s="42"/>
      <c r="C1" s="42"/>
      <c r="D1" s="42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8.1999999999999998E-4</v>
      </c>
      <c r="C5" s="10">
        <v>8.2000000000000007E-3</v>
      </c>
      <c r="D5" s="10">
        <v>3.9E-2</v>
      </c>
    </row>
    <row r="6" spans="1:4" ht="15" customHeight="1" x14ac:dyDescent="0.25">
      <c r="A6" s="9" t="s">
        <v>94</v>
      </c>
      <c r="B6" s="10">
        <v>1.9E-3</v>
      </c>
      <c r="C6" s="10">
        <v>1.9E-2</v>
      </c>
      <c r="D6" s="10">
        <v>8.7999999999999995E-2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4.4000000000000002E-4</v>
      </c>
      <c r="C8" s="10">
        <v>4.4999999999999997E-3</v>
      </c>
      <c r="D8" s="10">
        <v>2.1999999999999999E-2</v>
      </c>
    </row>
    <row r="9" spans="1:4" ht="15" customHeight="1" x14ac:dyDescent="0.25">
      <c r="A9" s="9" t="s">
        <v>72</v>
      </c>
      <c r="B9" s="10">
        <v>1.1999999999999999E-3</v>
      </c>
      <c r="C9" s="10">
        <v>1.2E-2</v>
      </c>
      <c r="D9" s="10">
        <v>5.8999999999999997E-2</v>
      </c>
    </row>
    <row r="10" spans="1:4" ht="15" customHeight="1" x14ac:dyDescent="0.25">
      <c r="A10" s="9" t="s">
        <v>73</v>
      </c>
      <c r="B10" s="10">
        <v>1.6E-2</v>
      </c>
      <c r="C10" s="10">
        <v>0.16</v>
      </c>
      <c r="D10" s="10">
        <v>0.75</v>
      </c>
    </row>
    <row r="11" spans="1:4" ht="15" customHeight="1" x14ac:dyDescent="0.25">
      <c r="A11" s="9" t="s">
        <v>74</v>
      </c>
      <c r="B11" s="10">
        <v>2.3E-2</v>
      </c>
      <c r="C11" s="10">
        <v>0.22</v>
      </c>
      <c r="D11" s="10">
        <v>1.1000000000000001</v>
      </c>
    </row>
    <row r="12" spans="1:4" ht="15" customHeight="1" x14ac:dyDescent="0.25">
      <c r="A12" s="9" t="s">
        <v>75</v>
      </c>
      <c r="B12" s="10">
        <v>0.66</v>
      </c>
      <c r="C12" s="10">
        <v>6.7</v>
      </c>
      <c r="D12" s="10">
        <v>31</v>
      </c>
    </row>
    <row r="13" spans="1:4" ht="15" customHeight="1" x14ac:dyDescent="0.25">
      <c r="A13" s="9" t="s">
        <v>76</v>
      </c>
      <c r="B13" s="10">
        <v>0.11</v>
      </c>
      <c r="C13" s="10">
        <v>1.1000000000000001</v>
      </c>
      <c r="D13" s="10">
        <v>5.3</v>
      </c>
    </row>
    <row r="14" spans="1:4" ht="15" customHeight="1" x14ac:dyDescent="0.25">
      <c r="A14" s="9" t="s">
        <v>77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5">
      <c r="A15" s="9" t="s">
        <v>78</v>
      </c>
      <c r="B15" s="10">
        <v>2.0000000000000001E-4</v>
      </c>
      <c r="C15" s="10">
        <v>2.0999999999999999E-3</v>
      </c>
      <c r="D15" s="10">
        <v>9.4999999999999998E-3</v>
      </c>
    </row>
    <row r="16" spans="1:4" ht="15" customHeight="1" x14ac:dyDescent="0.25">
      <c r="A16" s="9" t="s">
        <v>79</v>
      </c>
      <c r="B16" s="10">
        <v>1.9000000000000001E-4</v>
      </c>
      <c r="C16" s="10">
        <v>2E-3</v>
      </c>
      <c r="D16" s="10">
        <v>8.8999999999999999E-3</v>
      </c>
    </row>
    <row r="17" spans="1:4" ht="15" customHeight="1" x14ac:dyDescent="0.25">
      <c r="A17" s="9" t="s">
        <v>96</v>
      </c>
      <c r="B17" s="10">
        <v>8.0000000000000004E-4</v>
      </c>
      <c r="C17" s="10">
        <v>8.2000000000000007E-3</v>
      </c>
      <c r="D17" s="10">
        <v>3.7999999999999999E-2</v>
      </c>
    </row>
    <row r="18" spans="1:4" ht="15" customHeight="1" x14ac:dyDescent="0.25">
      <c r="A18" s="16" t="s">
        <v>97</v>
      </c>
      <c r="B18" s="13">
        <v>8.7000000000000001E-5</v>
      </c>
      <c r="C18" s="13">
        <v>8.8999999999999995E-4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DE0-6663-4F97-A675-45578702863C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2" t="s">
        <v>117</v>
      </c>
      <c r="B1" s="42"/>
      <c r="C1" s="42"/>
      <c r="D1" s="42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1.2999999999999999E-3</v>
      </c>
      <c r="C5" s="10">
        <v>6.4000000000000003E-3</v>
      </c>
      <c r="D5" s="10">
        <v>5.6000000000000001E-2</v>
      </c>
    </row>
    <row r="6" spans="1:4" ht="15" customHeight="1" x14ac:dyDescent="0.25">
      <c r="A6" s="9" t="s">
        <v>94</v>
      </c>
      <c r="B6" s="10">
        <v>3.0000000000000001E-3</v>
      </c>
      <c r="C6" s="10">
        <v>1.4999999999999999E-2</v>
      </c>
      <c r="D6" s="10">
        <v>0.13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6.8999999999999997E-4</v>
      </c>
      <c r="C8" s="10">
        <v>3.0999999999999999E-3</v>
      </c>
      <c r="D8" s="10">
        <v>2.5000000000000001E-2</v>
      </c>
    </row>
    <row r="9" spans="1:4" ht="15" customHeight="1" x14ac:dyDescent="0.25">
      <c r="A9" s="9" t="s">
        <v>72</v>
      </c>
      <c r="B9" s="10">
        <v>1.6000000000000001E-3</v>
      </c>
      <c r="C9" s="10">
        <v>7.6E-3</v>
      </c>
      <c r="D9" s="10">
        <v>6.2E-2</v>
      </c>
    </row>
    <row r="10" spans="1:4" ht="15" customHeight="1" x14ac:dyDescent="0.25">
      <c r="A10" s="9" t="s">
        <v>73</v>
      </c>
      <c r="B10" s="10">
        <v>0.02</v>
      </c>
      <c r="C10" s="10">
        <v>9.6000000000000002E-2</v>
      </c>
      <c r="D10" s="10">
        <v>0.8</v>
      </c>
    </row>
    <row r="11" spans="1:4" ht="15" customHeight="1" x14ac:dyDescent="0.25">
      <c r="A11" s="9" t="s">
        <v>74</v>
      </c>
      <c r="B11" s="10">
        <v>2.8000000000000001E-2</v>
      </c>
      <c r="C11" s="10">
        <v>0.14000000000000001</v>
      </c>
      <c r="D11" s="10">
        <v>1.1000000000000001</v>
      </c>
    </row>
    <row r="12" spans="1:4" ht="15" customHeight="1" x14ac:dyDescent="0.25">
      <c r="A12" s="9" t="s">
        <v>75</v>
      </c>
      <c r="B12" s="10">
        <v>0.87</v>
      </c>
      <c r="C12" s="10">
        <v>4.2</v>
      </c>
      <c r="D12" s="10">
        <v>34</v>
      </c>
    </row>
    <row r="13" spans="1:4" ht="15" customHeight="1" x14ac:dyDescent="0.25">
      <c r="A13" s="9" t="s">
        <v>76</v>
      </c>
      <c r="B13" s="10">
        <v>0.15</v>
      </c>
      <c r="C13" s="10">
        <v>0.7</v>
      </c>
      <c r="D13" s="10">
        <v>5.8</v>
      </c>
    </row>
    <row r="14" spans="1:4" ht="15" customHeight="1" x14ac:dyDescent="0.25">
      <c r="A14" s="9" t="s">
        <v>77</v>
      </c>
      <c r="B14" s="10">
        <v>3.3000000000000002E-2</v>
      </c>
      <c r="C14" s="10">
        <v>0.16</v>
      </c>
      <c r="D14" s="10">
        <v>1.3</v>
      </c>
    </row>
    <row r="15" spans="1:4" ht="15" customHeight="1" x14ac:dyDescent="0.25">
      <c r="A15" s="9" t="s">
        <v>78</v>
      </c>
      <c r="B15" s="10">
        <v>3.1E-4</v>
      </c>
      <c r="C15" s="10">
        <v>1.6000000000000001E-3</v>
      </c>
      <c r="D15" s="10">
        <v>1.2999999999999999E-2</v>
      </c>
    </row>
    <row r="16" spans="1:4" ht="15" customHeight="1" x14ac:dyDescent="0.25">
      <c r="A16" s="9" t="s">
        <v>79</v>
      </c>
      <c r="B16" s="10">
        <v>2.9999999999999997E-4</v>
      </c>
      <c r="C16" s="10">
        <v>1.6000000000000001E-3</v>
      </c>
      <c r="D16" s="10">
        <v>1.2999999999999999E-2</v>
      </c>
    </row>
    <row r="17" spans="1:4" ht="15" customHeight="1" x14ac:dyDescent="0.25">
      <c r="A17" s="9" t="s">
        <v>96</v>
      </c>
      <c r="B17" s="10">
        <v>1.1999999999999999E-3</v>
      </c>
      <c r="C17" s="10">
        <v>6.4999999999999997E-3</v>
      </c>
      <c r="D17" s="10">
        <v>5.3999999999999999E-2</v>
      </c>
    </row>
    <row r="18" spans="1:4" ht="15" customHeight="1" x14ac:dyDescent="0.25">
      <c r="A18" s="16" t="s">
        <v>97</v>
      </c>
      <c r="B18" s="13">
        <v>1.2999999999999999E-4</v>
      </c>
      <c r="C18" s="13">
        <v>6.9999999999999999E-4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79FA-B898-4241-B083-BBAECFF03B43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118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2E-3</v>
      </c>
      <c r="C5" s="10">
        <v>0.05</v>
      </c>
      <c r="D5" s="10">
        <v>6.2E-2</v>
      </c>
    </row>
    <row r="6" spans="1:4" ht="15" customHeight="1" x14ac:dyDescent="0.25">
      <c r="A6" s="9" t="s">
        <v>94</v>
      </c>
      <c r="B6" s="10">
        <v>4.5999999999999999E-3</v>
      </c>
      <c r="C6" s="10">
        <v>0.11</v>
      </c>
      <c r="D6" s="10">
        <v>0.14000000000000001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1.1000000000000001E-3</v>
      </c>
      <c r="C8" s="10">
        <v>2.4E-2</v>
      </c>
      <c r="D8" s="10">
        <v>0.03</v>
      </c>
    </row>
    <row r="9" spans="1:4" ht="15" customHeight="1" x14ac:dyDescent="0.25">
      <c r="A9" s="9" t="s">
        <v>72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5">
      <c r="A10" s="9" t="s">
        <v>73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5">
      <c r="A11" s="9" t="s">
        <v>74</v>
      </c>
      <c r="B11" s="10">
        <v>5.5E-2</v>
      </c>
      <c r="C11" s="10">
        <v>1.1000000000000001</v>
      </c>
      <c r="D11" s="10">
        <v>1.5</v>
      </c>
    </row>
    <row r="12" spans="1:4" ht="15" customHeight="1" x14ac:dyDescent="0.25">
      <c r="A12" s="9" t="s">
        <v>75</v>
      </c>
      <c r="B12" s="10">
        <v>1.6</v>
      </c>
      <c r="C12" s="10">
        <v>35</v>
      </c>
      <c r="D12" s="10">
        <v>45</v>
      </c>
    </row>
    <row r="13" spans="1:4" ht="15" customHeight="1" x14ac:dyDescent="0.25">
      <c r="A13" s="9" t="s">
        <v>76</v>
      </c>
      <c r="B13" s="10">
        <v>0.27</v>
      </c>
      <c r="C13" s="10">
        <v>5.9</v>
      </c>
      <c r="D13" s="10">
        <v>7.6</v>
      </c>
    </row>
    <row r="14" spans="1:4" ht="15" customHeight="1" x14ac:dyDescent="0.25">
      <c r="A14" s="9" t="s">
        <v>77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5">
      <c r="A15" s="9" t="s">
        <v>78</v>
      </c>
      <c r="B15" s="10">
        <v>5.1000000000000004E-4</v>
      </c>
      <c r="C15" s="10">
        <v>1.2E-2</v>
      </c>
      <c r="D15" s="10">
        <v>1.4999999999999999E-2</v>
      </c>
    </row>
    <row r="16" spans="1:4" ht="15" customHeight="1" x14ac:dyDescent="0.25">
      <c r="A16" s="9" t="s">
        <v>79</v>
      </c>
      <c r="B16" s="10">
        <v>4.8000000000000001E-4</v>
      </c>
      <c r="C16" s="10">
        <v>1.2E-2</v>
      </c>
      <c r="D16" s="10">
        <v>1.4999999999999999E-2</v>
      </c>
    </row>
    <row r="17" spans="1:4" ht="15" customHeight="1" x14ac:dyDescent="0.25">
      <c r="A17" s="9" t="s">
        <v>96</v>
      </c>
      <c r="B17" s="10">
        <v>2E-3</v>
      </c>
      <c r="C17" s="10">
        <v>0.05</v>
      </c>
      <c r="D17" s="10">
        <v>6.3E-2</v>
      </c>
    </row>
    <row r="18" spans="1:4" ht="15" customHeight="1" x14ac:dyDescent="0.25">
      <c r="A18" s="16" t="s">
        <v>97</v>
      </c>
      <c r="B18" s="13">
        <v>2.2000000000000001E-4</v>
      </c>
      <c r="C18" s="13">
        <v>5.4000000000000003E-3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A423-63AF-43BE-AE10-9D4726FDC396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119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1.6999999999999999E-3</v>
      </c>
      <c r="C5" s="10">
        <v>1.0999999999999999E-2</v>
      </c>
      <c r="D5" s="10">
        <v>5.8999999999999997E-2</v>
      </c>
    </row>
    <row r="6" spans="1:4" ht="15" customHeight="1" x14ac:dyDescent="0.25">
      <c r="A6" s="9" t="s">
        <v>94</v>
      </c>
      <c r="B6" s="10">
        <v>3.8E-3</v>
      </c>
      <c r="C6" s="10">
        <v>2.4E-2</v>
      </c>
      <c r="D6" s="10">
        <v>0.14000000000000001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8.4000000000000003E-4</v>
      </c>
      <c r="C8" s="10">
        <v>5.5999999999999999E-3</v>
      </c>
      <c r="D8" s="10">
        <v>2.9000000000000001E-2</v>
      </c>
    </row>
    <row r="9" spans="1:4" ht="15" customHeight="1" x14ac:dyDescent="0.25">
      <c r="A9" s="9" t="s">
        <v>72</v>
      </c>
      <c r="B9" s="10">
        <v>2.0999999999999999E-3</v>
      </c>
      <c r="C9" s="10">
        <v>1.2999999999999999E-2</v>
      </c>
      <c r="D9" s="10">
        <v>7.0999999999999994E-2</v>
      </c>
    </row>
    <row r="10" spans="1:4" ht="15" customHeight="1" x14ac:dyDescent="0.25">
      <c r="A10" s="9" t="s">
        <v>73</v>
      </c>
      <c r="B10" s="10">
        <v>2.5999999999999999E-2</v>
      </c>
      <c r="C10" s="10">
        <v>0.17</v>
      </c>
      <c r="D10" s="10">
        <v>0.9</v>
      </c>
    </row>
    <row r="11" spans="1:4" ht="15" customHeight="1" x14ac:dyDescent="0.25">
      <c r="A11" s="9" t="s">
        <v>74</v>
      </c>
      <c r="B11" s="10">
        <v>3.6999999999999998E-2</v>
      </c>
      <c r="C11" s="10">
        <v>0.24</v>
      </c>
      <c r="D11" s="10">
        <v>1.3</v>
      </c>
    </row>
    <row r="12" spans="1:4" ht="15" customHeight="1" x14ac:dyDescent="0.25">
      <c r="A12" s="9" t="s">
        <v>75</v>
      </c>
      <c r="B12" s="10">
        <v>1.1000000000000001</v>
      </c>
      <c r="C12" s="10">
        <v>7.1</v>
      </c>
      <c r="D12" s="10">
        <v>38</v>
      </c>
    </row>
    <row r="13" spans="1:4" ht="15" customHeight="1" x14ac:dyDescent="0.25">
      <c r="A13" s="9" t="s">
        <v>76</v>
      </c>
      <c r="B13" s="10">
        <v>0.19</v>
      </c>
      <c r="C13" s="10">
        <v>1.2</v>
      </c>
      <c r="D13" s="10">
        <v>6.5</v>
      </c>
    </row>
    <row r="14" spans="1:4" ht="15" customHeight="1" x14ac:dyDescent="0.25">
      <c r="A14" s="9" t="s">
        <v>77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5">
      <c r="A15" s="9" t="s">
        <v>78</v>
      </c>
      <c r="B15" s="10">
        <v>4.0000000000000002E-4</v>
      </c>
      <c r="C15" s="10">
        <v>2.7000000000000001E-3</v>
      </c>
      <c r="D15" s="10">
        <v>1.4999999999999999E-2</v>
      </c>
    </row>
    <row r="16" spans="1:4" ht="15" customHeight="1" x14ac:dyDescent="0.25">
      <c r="A16" s="9" t="s">
        <v>79</v>
      </c>
      <c r="B16" s="10">
        <v>3.8999999999999999E-4</v>
      </c>
      <c r="C16" s="10">
        <v>2.5999999999999999E-3</v>
      </c>
      <c r="D16" s="10">
        <v>1.4E-2</v>
      </c>
    </row>
    <row r="17" spans="1:4" ht="15" customHeight="1" x14ac:dyDescent="0.25">
      <c r="A17" s="9" t="s">
        <v>96</v>
      </c>
      <c r="B17" s="10">
        <v>1.6000000000000001E-3</v>
      </c>
      <c r="C17" s="10">
        <v>1.0999999999999999E-2</v>
      </c>
      <c r="D17" s="10">
        <v>5.8999999999999997E-2</v>
      </c>
    </row>
    <row r="18" spans="1:4" ht="15" customHeight="1" x14ac:dyDescent="0.25">
      <c r="A18" s="16" t="s">
        <v>97</v>
      </c>
      <c r="B18" s="13">
        <v>1.7000000000000001E-4</v>
      </c>
      <c r="C18" s="13">
        <v>1.1999999999999999E-3</v>
      </c>
      <c r="D18" s="13">
        <v>6.3E-3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8F10-4E87-4BCE-B58F-FA55D39CA19E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120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1.1999999999999999E-3</v>
      </c>
      <c r="C5" s="10">
        <v>9.9000000000000008E-3</v>
      </c>
      <c r="D5" s="10">
        <v>5.2999999999999999E-2</v>
      </c>
    </row>
    <row r="6" spans="1:4" ht="15" customHeight="1" x14ac:dyDescent="0.25">
      <c r="A6" s="9" t="s">
        <v>94</v>
      </c>
      <c r="B6" s="10">
        <v>2.7000000000000001E-3</v>
      </c>
      <c r="C6" s="10">
        <v>2.3E-2</v>
      </c>
      <c r="D6" s="10">
        <v>0.12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6.4999999999999997E-4</v>
      </c>
      <c r="C8" s="10">
        <v>4.7999999999999996E-3</v>
      </c>
      <c r="D8" s="10">
        <v>2.5999999999999999E-2</v>
      </c>
    </row>
    <row r="9" spans="1:4" ht="15" customHeight="1" x14ac:dyDescent="0.25">
      <c r="A9" s="9" t="s">
        <v>72</v>
      </c>
      <c r="B9" s="10">
        <v>1.5E-3</v>
      </c>
      <c r="C9" s="10">
        <v>1.2E-2</v>
      </c>
      <c r="D9" s="10">
        <v>6.3E-2</v>
      </c>
    </row>
    <row r="10" spans="1:4" ht="15" customHeight="1" x14ac:dyDescent="0.25">
      <c r="A10" s="9" t="s">
        <v>73</v>
      </c>
      <c r="B10" s="10">
        <v>1.9E-2</v>
      </c>
      <c r="C10" s="10">
        <v>0.15</v>
      </c>
      <c r="D10" s="10">
        <v>0.8</v>
      </c>
    </row>
    <row r="11" spans="1:4" ht="15" customHeight="1" x14ac:dyDescent="0.25">
      <c r="A11" s="9" t="s">
        <v>74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5">
      <c r="A12" s="9" t="s">
        <v>75</v>
      </c>
      <c r="B12" s="10">
        <v>0.83</v>
      </c>
      <c r="C12" s="10">
        <v>6.5</v>
      </c>
      <c r="D12" s="10">
        <v>34</v>
      </c>
    </row>
    <row r="13" spans="1:4" ht="15" customHeight="1" x14ac:dyDescent="0.25">
      <c r="A13" s="9" t="s">
        <v>76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5">
      <c r="A14" s="9" t="s">
        <v>77</v>
      </c>
      <c r="B14" s="10">
        <v>3.2000000000000001E-2</v>
      </c>
      <c r="C14" s="10">
        <v>0.25</v>
      </c>
      <c r="D14" s="10">
        <v>1.3</v>
      </c>
    </row>
    <row r="15" spans="1:4" ht="15" customHeight="1" x14ac:dyDescent="0.25">
      <c r="A15" s="9" t="s">
        <v>78</v>
      </c>
      <c r="B15" s="10">
        <v>2.9E-4</v>
      </c>
      <c r="C15" s="10">
        <v>2.5000000000000001E-3</v>
      </c>
      <c r="D15" s="10">
        <v>1.2999999999999999E-2</v>
      </c>
    </row>
    <row r="16" spans="1:4" ht="15" customHeight="1" x14ac:dyDescent="0.25">
      <c r="A16" s="9" t="s">
        <v>79</v>
      </c>
      <c r="B16" s="10">
        <v>2.7999999999999998E-4</v>
      </c>
      <c r="C16" s="10">
        <v>2.3999999999999998E-3</v>
      </c>
      <c r="D16" s="10">
        <v>1.2999999999999999E-2</v>
      </c>
    </row>
    <row r="17" spans="1:4" ht="15" customHeight="1" x14ac:dyDescent="0.25">
      <c r="A17" s="9" t="s">
        <v>96</v>
      </c>
      <c r="B17" s="10">
        <v>1.1999999999999999E-3</v>
      </c>
      <c r="C17" s="10">
        <v>0.01</v>
      </c>
      <c r="D17" s="10">
        <v>5.7000000000000002E-2</v>
      </c>
    </row>
    <row r="18" spans="1:4" ht="15" customHeight="1" x14ac:dyDescent="0.25">
      <c r="A18" s="16" t="s">
        <v>97</v>
      </c>
      <c r="B18" s="13">
        <v>1.2E-4</v>
      </c>
      <c r="C18" s="13">
        <v>1.1000000000000001E-3</v>
      </c>
      <c r="D18" s="13">
        <v>6.1999999999999998E-3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3D7E-9387-4529-9A1C-6ABE77322109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121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7.6999999999999996E-4</v>
      </c>
      <c r="C5" s="10">
        <v>4.1999999999999997E-3</v>
      </c>
      <c r="D5" s="10">
        <v>1.0999999999999999E-2</v>
      </c>
    </row>
    <row r="6" spans="1:4" ht="15" customHeight="1" x14ac:dyDescent="0.25">
      <c r="A6" s="9" t="s">
        <v>94</v>
      </c>
      <c r="B6" s="10">
        <v>1.8E-3</v>
      </c>
      <c r="C6" s="10">
        <v>9.5999999999999992E-3</v>
      </c>
      <c r="D6" s="10">
        <v>2.4E-2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3.6000000000000002E-4</v>
      </c>
      <c r="C8" s="10">
        <v>2E-3</v>
      </c>
      <c r="D8" s="10">
        <v>4.4000000000000003E-3</v>
      </c>
    </row>
    <row r="9" spans="1:4" ht="15" customHeight="1" x14ac:dyDescent="0.25">
      <c r="A9" s="9" t="s">
        <v>72</v>
      </c>
      <c r="B9" s="10">
        <v>9.5E-4</v>
      </c>
      <c r="C9" s="10">
        <v>5.1000000000000004E-3</v>
      </c>
      <c r="D9" s="10">
        <v>1.2E-2</v>
      </c>
    </row>
    <row r="10" spans="1:4" ht="15" customHeight="1" x14ac:dyDescent="0.25">
      <c r="A10" s="9" t="s">
        <v>73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5">
      <c r="A11" s="9" t="s">
        <v>74</v>
      </c>
      <c r="B11" s="10">
        <v>1.7000000000000001E-2</v>
      </c>
      <c r="C11" s="10">
        <v>9.1999999999999998E-2</v>
      </c>
      <c r="D11" s="10">
        <v>0.22</v>
      </c>
    </row>
    <row r="12" spans="1:4" ht="15" customHeight="1" x14ac:dyDescent="0.25">
      <c r="A12" s="9" t="s">
        <v>75</v>
      </c>
      <c r="B12" s="10">
        <v>0.52</v>
      </c>
      <c r="C12" s="10">
        <v>2.8</v>
      </c>
      <c r="D12" s="10">
        <v>6.7</v>
      </c>
    </row>
    <row r="13" spans="1:4" ht="15" customHeight="1" x14ac:dyDescent="0.25">
      <c r="A13" s="9" t="s">
        <v>76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5">
      <c r="A14" s="9" t="s">
        <v>77</v>
      </c>
      <c r="B14" s="10">
        <v>0.02</v>
      </c>
      <c r="C14" s="10">
        <v>0.11</v>
      </c>
      <c r="D14" s="10">
        <v>0.26</v>
      </c>
    </row>
    <row r="15" spans="1:4" ht="15" customHeight="1" x14ac:dyDescent="0.25">
      <c r="A15" s="9" t="s">
        <v>78</v>
      </c>
      <c r="B15" s="10">
        <v>1.7000000000000001E-4</v>
      </c>
      <c r="C15" s="10">
        <v>9.8999999999999999E-4</v>
      </c>
      <c r="D15" s="10">
        <v>2.3999999999999998E-3</v>
      </c>
    </row>
    <row r="16" spans="1:4" ht="15" customHeight="1" x14ac:dyDescent="0.25">
      <c r="A16" s="9" t="s">
        <v>79</v>
      </c>
      <c r="B16" s="10">
        <v>1.6000000000000001E-4</v>
      </c>
      <c r="C16" s="10">
        <v>9.5E-4</v>
      </c>
      <c r="D16" s="10">
        <v>2.3E-3</v>
      </c>
    </row>
    <row r="17" spans="1:4" ht="15" customHeight="1" x14ac:dyDescent="0.25">
      <c r="A17" s="9" t="s">
        <v>96</v>
      </c>
      <c r="B17" s="10">
        <v>7.1000000000000002E-4</v>
      </c>
      <c r="C17" s="10">
        <v>4.1000000000000003E-3</v>
      </c>
      <c r="D17" s="10">
        <v>0.01</v>
      </c>
    </row>
    <row r="18" spans="1:4" ht="15" customHeight="1" x14ac:dyDescent="0.25">
      <c r="A18" s="16" t="s">
        <v>97</v>
      </c>
      <c r="B18" s="13">
        <v>7.6000000000000004E-5</v>
      </c>
      <c r="C18" s="13">
        <v>4.4000000000000002E-4</v>
      </c>
      <c r="D18" s="13">
        <v>1.1000000000000001E-3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E921-76AE-442F-BA84-627DDA229032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122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5.5999999999999995E-4</v>
      </c>
      <c r="C5" s="10">
        <v>5.5999999999999999E-3</v>
      </c>
      <c r="D5" s="10">
        <v>3.5000000000000003E-2</v>
      </c>
    </row>
    <row r="6" spans="1:4" ht="15" customHeight="1" x14ac:dyDescent="0.25">
      <c r="A6" s="9" t="s">
        <v>94</v>
      </c>
      <c r="B6" s="10">
        <v>1.2999999999999999E-3</v>
      </c>
      <c r="C6" s="10">
        <v>1.2999999999999999E-2</v>
      </c>
      <c r="D6" s="10">
        <v>0.08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2.3000000000000001E-4</v>
      </c>
      <c r="C8" s="10">
        <v>2.5000000000000001E-3</v>
      </c>
      <c r="D8" s="10">
        <v>1.6E-2</v>
      </c>
    </row>
    <row r="9" spans="1:4" ht="15" customHeight="1" x14ac:dyDescent="0.25">
      <c r="A9" s="9" t="s">
        <v>72</v>
      </c>
      <c r="B9" s="10">
        <v>5.9999999999999995E-4</v>
      </c>
      <c r="C9" s="10">
        <v>6.4000000000000003E-3</v>
      </c>
      <c r="D9" s="10">
        <v>0.04</v>
      </c>
    </row>
    <row r="10" spans="1:4" ht="15" customHeight="1" x14ac:dyDescent="0.25">
      <c r="A10" s="9" t="s">
        <v>73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5">
      <c r="A11" s="9" t="s">
        <v>74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5">
      <c r="A12" s="9" t="s">
        <v>75</v>
      </c>
      <c r="B12" s="10">
        <v>0.34</v>
      </c>
      <c r="C12" s="10">
        <v>3.5</v>
      </c>
      <c r="D12" s="10">
        <v>22</v>
      </c>
    </row>
    <row r="13" spans="1:4" ht="15" customHeight="1" x14ac:dyDescent="0.25">
      <c r="A13" s="9" t="s">
        <v>76</v>
      </c>
      <c r="B13" s="10">
        <v>5.8000000000000003E-2</v>
      </c>
      <c r="C13" s="10">
        <v>0.59</v>
      </c>
      <c r="D13" s="10">
        <v>3.7</v>
      </c>
    </row>
    <row r="14" spans="1:4" ht="15" customHeight="1" x14ac:dyDescent="0.25">
      <c r="A14" s="9" t="s">
        <v>77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5">
      <c r="A15" s="9" t="s">
        <v>78</v>
      </c>
      <c r="B15" s="10">
        <v>1.2999999999999999E-4</v>
      </c>
      <c r="C15" s="10">
        <v>1.4E-3</v>
      </c>
      <c r="D15" s="10">
        <v>8.6E-3</v>
      </c>
    </row>
    <row r="16" spans="1:4" ht="15" customHeight="1" x14ac:dyDescent="0.25">
      <c r="A16" s="9" t="s">
        <v>79</v>
      </c>
      <c r="B16" s="10">
        <v>1.2E-4</v>
      </c>
      <c r="C16" s="10">
        <v>1.4E-3</v>
      </c>
      <c r="D16" s="10">
        <v>8.5000000000000006E-3</v>
      </c>
    </row>
    <row r="17" spans="1:4" ht="15" customHeight="1" x14ac:dyDescent="0.25">
      <c r="A17" s="9" t="s">
        <v>96</v>
      </c>
      <c r="B17" s="10">
        <v>5.2999999999999998E-4</v>
      </c>
      <c r="C17" s="10">
        <v>5.8999999999999999E-3</v>
      </c>
      <c r="D17" s="10">
        <v>3.6999999999999998E-2</v>
      </c>
    </row>
    <row r="18" spans="1:4" ht="15" customHeight="1" x14ac:dyDescent="0.25">
      <c r="A18" s="16" t="s">
        <v>97</v>
      </c>
      <c r="B18" s="13">
        <v>5.8E-5</v>
      </c>
      <c r="C18" s="13">
        <v>6.3000000000000003E-4</v>
      </c>
      <c r="D18" s="13">
        <v>4.0000000000000001E-3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2C81-7A2F-492C-8781-77F4BE3C2215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123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1.6000000000000001E-3</v>
      </c>
      <c r="C5" s="10">
        <v>1.2E-2</v>
      </c>
      <c r="D5" s="10">
        <v>4.4999999999999998E-2</v>
      </c>
    </row>
    <row r="6" spans="1:4" ht="15" customHeight="1" x14ac:dyDescent="0.25">
      <c r="A6" s="9" t="s">
        <v>94</v>
      </c>
      <c r="B6" s="10">
        <v>3.7000000000000002E-3</v>
      </c>
      <c r="C6" s="10">
        <v>2.8000000000000001E-2</v>
      </c>
      <c r="D6" s="10">
        <v>0.1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8.7000000000000001E-4</v>
      </c>
      <c r="C8" s="10">
        <v>6.1999999999999998E-3</v>
      </c>
      <c r="D8" s="10">
        <v>2.3E-2</v>
      </c>
    </row>
    <row r="9" spans="1:4" ht="15" customHeight="1" x14ac:dyDescent="0.25">
      <c r="A9" s="9" t="s">
        <v>72</v>
      </c>
      <c r="B9" s="10">
        <v>2.3E-3</v>
      </c>
      <c r="C9" s="10">
        <v>1.7000000000000001E-2</v>
      </c>
      <c r="D9" s="10">
        <v>6.0999999999999999E-2</v>
      </c>
    </row>
    <row r="10" spans="1:4" ht="15" customHeight="1" x14ac:dyDescent="0.25">
      <c r="A10" s="9" t="s">
        <v>73</v>
      </c>
      <c r="B10" s="10">
        <v>2.9000000000000001E-2</v>
      </c>
      <c r="C10" s="10">
        <v>0.21</v>
      </c>
      <c r="D10" s="10">
        <v>0.78</v>
      </c>
    </row>
    <row r="11" spans="1:4" ht="15" customHeight="1" x14ac:dyDescent="0.25">
      <c r="A11" s="9" t="s">
        <v>74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5">
      <c r="A12" s="9" t="s">
        <v>75</v>
      </c>
      <c r="B12" s="10">
        <v>1.2</v>
      </c>
      <c r="C12" s="10">
        <v>9.3000000000000007</v>
      </c>
      <c r="D12" s="10">
        <v>34</v>
      </c>
    </row>
    <row r="13" spans="1:4" ht="15" customHeight="1" x14ac:dyDescent="0.25">
      <c r="A13" s="9" t="s">
        <v>76</v>
      </c>
      <c r="B13" s="10">
        <v>0.21</v>
      </c>
      <c r="C13" s="10">
        <v>1.6</v>
      </c>
      <c r="D13" s="10">
        <v>5.8</v>
      </c>
    </row>
    <row r="14" spans="1:4" ht="15" customHeight="1" x14ac:dyDescent="0.25">
      <c r="A14" s="9" t="s">
        <v>77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5">
      <c r="A15" s="9" t="s">
        <v>78</v>
      </c>
      <c r="B15" s="10">
        <v>3.8000000000000002E-4</v>
      </c>
      <c r="C15" s="10">
        <v>2.8E-3</v>
      </c>
      <c r="D15" s="10">
        <v>0.01</v>
      </c>
    </row>
    <row r="16" spans="1:4" ht="15" customHeight="1" x14ac:dyDescent="0.25">
      <c r="A16" s="9" t="s">
        <v>79</v>
      </c>
      <c r="B16" s="10">
        <v>3.5E-4</v>
      </c>
      <c r="C16" s="10">
        <v>2.5999999999999999E-3</v>
      </c>
      <c r="D16" s="10">
        <v>9.7000000000000003E-3</v>
      </c>
    </row>
    <row r="17" spans="1:4" ht="15" customHeight="1" x14ac:dyDescent="0.25">
      <c r="A17" s="9" t="s">
        <v>96</v>
      </c>
      <c r="B17" s="10">
        <v>1.6000000000000001E-3</v>
      </c>
      <c r="C17" s="10">
        <v>1.2E-2</v>
      </c>
      <c r="D17" s="10">
        <v>4.2999999999999997E-2</v>
      </c>
    </row>
    <row r="18" spans="1:4" ht="15" customHeight="1" x14ac:dyDescent="0.25">
      <c r="A18" s="16" t="s">
        <v>97</v>
      </c>
      <c r="B18" s="13">
        <v>1.7000000000000001E-4</v>
      </c>
      <c r="C18" s="13">
        <v>1.1999999999999999E-3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5B9B-737E-4036-9A34-00BB9A711582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124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9.5E-4</v>
      </c>
      <c r="C5" s="10">
        <v>6.0000000000000001E-3</v>
      </c>
      <c r="D5" s="10">
        <v>0.04</v>
      </c>
    </row>
    <row r="6" spans="1:4" ht="15" customHeight="1" x14ac:dyDescent="0.25">
      <c r="A6" s="9" t="s">
        <v>94</v>
      </c>
      <c r="B6" s="10">
        <v>2.2000000000000001E-3</v>
      </c>
      <c r="C6" s="10">
        <v>1.4E-2</v>
      </c>
      <c r="D6" s="10">
        <v>0.09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5.2999999999999998E-4</v>
      </c>
      <c r="C8" s="10">
        <v>3.5000000000000001E-3</v>
      </c>
      <c r="D8" s="10">
        <v>2.3E-2</v>
      </c>
    </row>
    <row r="9" spans="1:4" ht="15" customHeight="1" x14ac:dyDescent="0.25">
      <c r="A9" s="9" t="s">
        <v>72</v>
      </c>
      <c r="B9" s="10">
        <v>1.4E-3</v>
      </c>
      <c r="C9" s="10">
        <v>8.0000000000000002E-3</v>
      </c>
      <c r="D9" s="10">
        <v>5.3999999999999999E-2</v>
      </c>
    </row>
    <row r="10" spans="1:4" ht="15" customHeight="1" x14ac:dyDescent="0.25">
      <c r="A10" s="9" t="s">
        <v>73</v>
      </c>
      <c r="B10" s="10">
        <v>1.7000000000000001E-2</v>
      </c>
      <c r="C10" s="10">
        <v>0.1</v>
      </c>
      <c r="D10" s="10">
        <v>0.7</v>
      </c>
    </row>
    <row r="11" spans="1:4" ht="15" customHeight="1" x14ac:dyDescent="0.25">
      <c r="A11" s="9" t="s">
        <v>74</v>
      </c>
      <c r="B11" s="10">
        <v>2.5000000000000001E-2</v>
      </c>
      <c r="C11" s="10">
        <v>0.15</v>
      </c>
      <c r="D11" s="10">
        <v>1</v>
      </c>
    </row>
    <row r="12" spans="1:4" ht="15" customHeight="1" x14ac:dyDescent="0.25">
      <c r="A12" s="9" t="s">
        <v>75</v>
      </c>
      <c r="B12" s="10">
        <v>0.73</v>
      </c>
      <c r="C12" s="10">
        <v>4.5</v>
      </c>
      <c r="D12" s="10">
        <v>30</v>
      </c>
    </row>
    <row r="13" spans="1:4" ht="15" customHeight="1" x14ac:dyDescent="0.25">
      <c r="A13" s="9" t="s">
        <v>76</v>
      </c>
      <c r="B13" s="10">
        <v>0.12</v>
      </c>
      <c r="C13" s="10">
        <v>0.76</v>
      </c>
      <c r="D13" s="10">
        <v>5.2</v>
      </c>
    </row>
    <row r="14" spans="1:4" ht="15" customHeight="1" x14ac:dyDescent="0.25">
      <c r="A14" s="9" t="s">
        <v>77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5">
      <c r="A15" s="9" t="s">
        <v>78</v>
      </c>
      <c r="B15" s="10">
        <v>2.3000000000000001E-4</v>
      </c>
      <c r="C15" s="10">
        <v>1.5E-3</v>
      </c>
      <c r="D15" s="10">
        <v>9.7999999999999997E-3</v>
      </c>
    </row>
    <row r="16" spans="1:4" ht="15" customHeight="1" x14ac:dyDescent="0.25">
      <c r="A16" s="9" t="s">
        <v>79</v>
      </c>
      <c r="B16" s="10">
        <v>2.2000000000000001E-4</v>
      </c>
      <c r="C16" s="10">
        <v>1.5E-3</v>
      </c>
      <c r="D16" s="10">
        <v>9.4000000000000004E-3</v>
      </c>
    </row>
    <row r="17" spans="1:4" ht="15" customHeight="1" x14ac:dyDescent="0.25">
      <c r="A17" s="9" t="s">
        <v>96</v>
      </c>
      <c r="B17" s="10">
        <v>9.2000000000000003E-4</v>
      </c>
      <c r="C17" s="10">
        <v>6.0000000000000001E-3</v>
      </c>
      <c r="D17" s="10">
        <v>3.9E-2</v>
      </c>
    </row>
    <row r="18" spans="1:4" ht="15" customHeight="1" x14ac:dyDescent="0.25">
      <c r="A18" s="16" t="s">
        <v>97</v>
      </c>
      <c r="B18" s="13">
        <v>9.8999999999999994E-5</v>
      </c>
      <c r="C18" s="13">
        <v>6.4999999999999997E-4</v>
      </c>
      <c r="D18" s="13">
        <v>4.1999999999999997E-3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25BF-DED2-4181-8117-A6AB59B5AD20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125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7.7999999999999999E-4</v>
      </c>
      <c r="C5" s="10">
        <v>5.0000000000000001E-3</v>
      </c>
      <c r="D5" s="10">
        <v>3.3000000000000002E-2</v>
      </c>
    </row>
    <row r="6" spans="1:4" ht="15" customHeight="1" x14ac:dyDescent="0.25">
      <c r="A6" s="9" t="s">
        <v>94</v>
      </c>
      <c r="B6" s="10">
        <v>1.8E-3</v>
      </c>
      <c r="C6" s="10">
        <v>1.0999999999999999E-2</v>
      </c>
      <c r="D6" s="10">
        <v>7.3999999999999996E-2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4.0999999999999999E-4</v>
      </c>
      <c r="C8" s="10">
        <v>2.7000000000000001E-3</v>
      </c>
      <c r="D8" s="10">
        <v>1.7000000000000001E-2</v>
      </c>
    </row>
    <row r="9" spans="1:4" ht="15" customHeight="1" x14ac:dyDescent="0.25">
      <c r="A9" s="9" t="s">
        <v>72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5">
      <c r="A10" s="9" t="s">
        <v>73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5">
      <c r="A11" s="9" t="s">
        <v>74</v>
      </c>
      <c r="B11" s="10">
        <v>0.02</v>
      </c>
      <c r="C11" s="10">
        <v>0.12</v>
      </c>
      <c r="D11" s="10">
        <v>0.81</v>
      </c>
    </row>
    <row r="12" spans="1:4" ht="15" customHeight="1" x14ac:dyDescent="0.25">
      <c r="A12" s="9" t="s">
        <v>75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5">
      <c r="A13" s="9" t="s">
        <v>76</v>
      </c>
      <c r="B13" s="10">
        <v>9.7000000000000003E-2</v>
      </c>
      <c r="C13" s="10">
        <v>0.59</v>
      </c>
      <c r="D13" s="10">
        <v>4.0999999999999996</v>
      </c>
    </row>
    <row r="14" spans="1:4" ht="15" customHeight="1" x14ac:dyDescent="0.25">
      <c r="A14" s="9" t="s">
        <v>77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5">
      <c r="A15" s="9" t="s">
        <v>78</v>
      </c>
      <c r="B15" s="10">
        <v>1.9000000000000001E-4</v>
      </c>
      <c r="C15" s="10">
        <v>1.2999999999999999E-3</v>
      </c>
      <c r="D15" s="10">
        <v>8.2000000000000007E-3</v>
      </c>
    </row>
    <row r="16" spans="1:4" ht="15" customHeight="1" x14ac:dyDescent="0.25">
      <c r="A16" s="9" t="s">
        <v>79</v>
      </c>
      <c r="B16" s="10">
        <v>1.8000000000000001E-4</v>
      </c>
      <c r="C16" s="10">
        <v>1.1999999999999999E-3</v>
      </c>
      <c r="D16" s="10">
        <v>7.9000000000000008E-3</v>
      </c>
    </row>
    <row r="17" spans="1:4" ht="15" customHeight="1" x14ac:dyDescent="0.25">
      <c r="A17" s="9" t="s">
        <v>96</v>
      </c>
      <c r="B17" s="10">
        <v>7.5000000000000002E-4</v>
      </c>
      <c r="C17" s="10">
        <v>5.1000000000000004E-3</v>
      </c>
      <c r="D17" s="10">
        <v>3.3000000000000002E-2</v>
      </c>
    </row>
    <row r="18" spans="1:4" ht="15" customHeight="1" x14ac:dyDescent="0.25">
      <c r="A18" s="16" t="s">
        <v>97</v>
      </c>
      <c r="B18" s="13">
        <v>8.1000000000000004E-5</v>
      </c>
      <c r="C18" s="13">
        <v>5.5000000000000003E-4</v>
      </c>
      <c r="D18" s="13">
        <v>3.5999999999999999E-3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EBE1-2766-4145-9CAC-0BB5BF083376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126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8.5999999999999998E-4</v>
      </c>
      <c r="C5" s="10">
        <v>0.01</v>
      </c>
      <c r="D5" s="10">
        <v>2.9000000000000001E-2</v>
      </c>
    </row>
    <row r="6" spans="1:4" ht="15" customHeight="1" x14ac:dyDescent="0.25">
      <c r="A6" s="9" t="s">
        <v>94</v>
      </c>
      <c r="B6" s="10">
        <v>2E-3</v>
      </c>
      <c r="C6" s="10">
        <v>2.3E-2</v>
      </c>
      <c r="D6" s="10">
        <v>6.7000000000000004E-2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4.4999999999999999E-4</v>
      </c>
      <c r="C8" s="10">
        <v>5.4000000000000003E-3</v>
      </c>
      <c r="D8" s="10">
        <v>1.6E-2</v>
      </c>
    </row>
    <row r="9" spans="1:4" ht="15" customHeight="1" x14ac:dyDescent="0.25">
      <c r="A9" s="9" t="s">
        <v>72</v>
      </c>
      <c r="B9" s="10">
        <v>1.1999999999999999E-3</v>
      </c>
      <c r="C9" s="10">
        <v>1.7999999999999999E-2</v>
      </c>
      <c r="D9" s="10">
        <v>4.1000000000000002E-2</v>
      </c>
    </row>
    <row r="10" spans="1:4" ht="15" customHeight="1" x14ac:dyDescent="0.25">
      <c r="A10" s="9" t="s">
        <v>73</v>
      </c>
      <c r="B10" s="10">
        <v>1.6E-2</v>
      </c>
      <c r="C10" s="10">
        <v>0.22</v>
      </c>
      <c r="D10" s="10">
        <v>0.52</v>
      </c>
    </row>
    <row r="11" spans="1:4" ht="15" customHeight="1" x14ac:dyDescent="0.25">
      <c r="A11" s="9" t="s">
        <v>74</v>
      </c>
      <c r="B11" s="10">
        <v>2.1999999999999999E-2</v>
      </c>
      <c r="C11" s="10">
        <v>0.32</v>
      </c>
      <c r="D11" s="10">
        <v>0.75</v>
      </c>
    </row>
    <row r="12" spans="1:4" ht="15" customHeight="1" x14ac:dyDescent="0.25">
      <c r="A12" s="9" t="s">
        <v>75</v>
      </c>
      <c r="B12" s="10">
        <v>0.67</v>
      </c>
      <c r="C12" s="10">
        <v>9.8000000000000007</v>
      </c>
      <c r="D12" s="10">
        <v>23</v>
      </c>
    </row>
    <row r="13" spans="1:4" ht="15" customHeight="1" x14ac:dyDescent="0.25">
      <c r="A13" s="9" t="s">
        <v>76</v>
      </c>
      <c r="B13" s="10">
        <v>0.11</v>
      </c>
      <c r="C13" s="10">
        <v>1.7</v>
      </c>
      <c r="D13" s="10">
        <v>3.9</v>
      </c>
    </row>
    <row r="14" spans="1:4" ht="15" customHeight="1" x14ac:dyDescent="0.25">
      <c r="A14" s="9" t="s">
        <v>77</v>
      </c>
      <c r="B14" s="10">
        <v>2.5999999999999999E-2</v>
      </c>
      <c r="C14" s="10">
        <v>0.37</v>
      </c>
      <c r="D14" s="10">
        <v>0.88</v>
      </c>
    </row>
    <row r="15" spans="1:4" ht="15" customHeight="1" x14ac:dyDescent="0.25">
      <c r="A15" s="9" t="s">
        <v>78</v>
      </c>
      <c r="B15" s="10">
        <v>2.1000000000000001E-4</v>
      </c>
      <c r="C15" s="10">
        <v>2.7000000000000001E-3</v>
      </c>
      <c r="D15" s="10">
        <v>7.3000000000000001E-3</v>
      </c>
    </row>
    <row r="16" spans="1:4" ht="15" customHeight="1" x14ac:dyDescent="0.25">
      <c r="A16" s="9" t="s">
        <v>79</v>
      </c>
      <c r="B16" s="10">
        <v>2.0000000000000001E-4</v>
      </c>
      <c r="C16" s="10">
        <v>2.5000000000000001E-3</v>
      </c>
      <c r="D16" s="10">
        <v>7.0000000000000001E-3</v>
      </c>
    </row>
    <row r="17" spans="1:4" ht="15" customHeight="1" x14ac:dyDescent="0.25">
      <c r="A17" s="9" t="s">
        <v>96</v>
      </c>
      <c r="B17" s="10">
        <v>8.5999999999999998E-4</v>
      </c>
      <c r="C17" s="10">
        <v>0.01</v>
      </c>
      <c r="D17" s="10">
        <v>2.9000000000000001E-2</v>
      </c>
    </row>
    <row r="18" spans="1:4" ht="15" customHeight="1" x14ac:dyDescent="0.25">
      <c r="A18" s="16" t="s">
        <v>97</v>
      </c>
      <c r="B18" s="13">
        <v>9.2E-5</v>
      </c>
      <c r="C18" s="13">
        <v>1.1000000000000001E-3</v>
      </c>
      <c r="D18" s="13">
        <v>3.0999999999999999E-3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CD5F-0113-4E0F-8D49-FD80D66ECCBB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127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8.1999999999999998E-4</v>
      </c>
      <c r="C5" s="10">
        <v>5.4000000000000003E-3</v>
      </c>
      <c r="D5" s="10">
        <v>3.7999999999999999E-2</v>
      </c>
    </row>
    <row r="6" spans="1:4" ht="15" customHeight="1" x14ac:dyDescent="0.25">
      <c r="A6" s="9" t="s">
        <v>94</v>
      </c>
      <c r="B6" s="10">
        <v>1.9E-3</v>
      </c>
      <c r="C6" s="10">
        <v>1.2E-2</v>
      </c>
      <c r="D6" s="10">
        <v>8.5999999999999993E-2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4.4999999999999999E-4</v>
      </c>
      <c r="C8" s="10">
        <v>3.0000000000000001E-3</v>
      </c>
      <c r="D8" s="10">
        <v>2.3E-2</v>
      </c>
    </row>
    <row r="9" spans="1:4" ht="15" customHeight="1" x14ac:dyDescent="0.25">
      <c r="A9" s="9" t="s">
        <v>72</v>
      </c>
      <c r="B9" s="10">
        <v>1.1999999999999999E-3</v>
      </c>
      <c r="C9" s="10">
        <v>8.8000000000000005E-3</v>
      </c>
      <c r="D9" s="10">
        <v>5.3999999999999999E-2</v>
      </c>
    </row>
    <row r="10" spans="1:4" ht="15" customHeight="1" x14ac:dyDescent="0.25">
      <c r="A10" s="9" t="s">
        <v>73</v>
      </c>
      <c r="B10" s="10">
        <v>1.6E-2</v>
      </c>
      <c r="C10" s="10">
        <v>0.11</v>
      </c>
      <c r="D10" s="10">
        <v>0.69</v>
      </c>
    </row>
    <row r="11" spans="1:4" ht="15" customHeight="1" x14ac:dyDescent="0.25">
      <c r="A11" s="9" t="s">
        <v>74</v>
      </c>
      <c r="B11" s="10">
        <v>2.1999999999999999E-2</v>
      </c>
      <c r="C11" s="10">
        <v>0.16</v>
      </c>
      <c r="D11" s="10">
        <v>0.98</v>
      </c>
    </row>
    <row r="12" spans="1:4" ht="15" customHeight="1" x14ac:dyDescent="0.25">
      <c r="A12" s="9" t="s">
        <v>75</v>
      </c>
      <c r="B12" s="10">
        <v>0.66</v>
      </c>
      <c r="C12" s="10">
        <v>4.5</v>
      </c>
      <c r="D12" s="10">
        <v>30</v>
      </c>
    </row>
    <row r="13" spans="1:4" ht="15" customHeight="1" x14ac:dyDescent="0.25">
      <c r="A13" s="9" t="s">
        <v>76</v>
      </c>
      <c r="B13" s="10">
        <v>0.11</v>
      </c>
      <c r="C13" s="10">
        <v>0.76</v>
      </c>
      <c r="D13" s="10">
        <v>5.0999999999999996</v>
      </c>
    </row>
    <row r="14" spans="1:4" ht="15" customHeight="1" x14ac:dyDescent="0.25">
      <c r="A14" s="9" t="s">
        <v>77</v>
      </c>
      <c r="B14" s="10">
        <v>2.5999999999999999E-2</v>
      </c>
      <c r="C14" s="10">
        <v>0.19</v>
      </c>
      <c r="D14" s="10">
        <v>1.2</v>
      </c>
    </row>
    <row r="15" spans="1:4" ht="15" customHeight="1" x14ac:dyDescent="0.25">
      <c r="A15" s="9" t="s">
        <v>78</v>
      </c>
      <c r="B15" s="10">
        <v>2.0000000000000001E-4</v>
      </c>
      <c r="C15" s="10">
        <v>1.1999999999999999E-3</v>
      </c>
      <c r="D15" s="10">
        <v>9.5999999999999992E-3</v>
      </c>
    </row>
    <row r="16" spans="1:4" ht="15" customHeight="1" x14ac:dyDescent="0.25">
      <c r="A16" s="9" t="s">
        <v>79</v>
      </c>
      <c r="B16" s="10">
        <v>1.9000000000000001E-4</v>
      </c>
      <c r="C16" s="10">
        <v>1.1000000000000001E-3</v>
      </c>
      <c r="D16" s="10">
        <v>8.9999999999999993E-3</v>
      </c>
    </row>
    <row r="17" spans="1:4" ht="15" customHeight="1" x14ac:dyDescent="0.25">
      <c r="A17" s="9" t="s">
        <v>96</v>
      </c>
      <c r="B17" s="10">
        <v>8.1999999999999998E-4</v>
      </c>
      <c r="C17" s="10">
        <v>5.0000000000000001E-3</v>
      </c>
      <c r="D17" s="10">
        <v>3.7999999999999999E-2</v>
      </c>
    </row>
    <row r="18" spans="1:4" ht="15" customHeight="1" x14ac:dyDescent="0.25">
      <c r="A18" s="16" t="s">
        <v>97</v>
      </c>
      <c r="B18" s="13">
        <v>8.7999999999999998E-5</v>
      </c>
      <c r="C18" s="13">
        <v>5.2999999999999998E-4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F65B-758F-426C-8EB1-28F6D7750742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128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9.2000000000000003E-4</v>
      </c>
      <c r="C5" s="10">
        <v>2.3999999999999998E-3</v>
      </c>
      <c r="D5" s="10">
        <v>4.3999999999999997E-2</v>
      </c>
    </row>
    <row r="6" spans="1:4" ht="15" customHeight="1" x14ac:dyDescent="0.25">
      <c r="A6" s="9" t="s">
        <v>94</v>
      </c>
      <c r="B6" s="10">
        <v>2.0999999999999999E-3</v>
      </c>
      <c r="C6" s="10">
        <v>5.4999999999999997E-3</v>
      </c>
      <c r="D6" s="10">
        <v>0.1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5.0000000000000001E-4</v>
      </c>
      <c r="C8" s="10">
        <v>1.2999999999999999E-3</v>
      </c>
      <c r="D8" s="10">
        <v>2.5999999999999999E-2</v>
      </c>
    </row>
    <row r="9" spans="1:4" ht="15" customHeight="1" x14ac:dyDescent="0.25">
      <c r="A9" s="9" t="s">
        <v>72</v>
      </c>
      <c r="B9" s="10">
        <v>1.2999999999999999E-3</v>
      </c>
      <c r="C9" s="10">
        <v>3.8999999999999998E-3</v>
      </c>
      <c r="D9" s="10">
        <v>6.4000000000000001E-2</v>
      </c>
    </row>
    <row r="10" spans="1:4" ht="15" customHeight="1" x14ac:dyDescent="0.25">
      <c r="A10" s="9" t="s">
        <v>73</v>
      </c>
      <c r="B10" s="10">
        <v>1.6E-2</v>
      </c>
      <c r="C10" s="10">
        <v>4.9000000000000002E-2</v>
      </c>
      <c r="D10" s="10">
        <v>0.82</v>
      </c>
    </row>
    <row r="11" spans="1:4" ht="15" customHeight="1" x14ac:dyDescent="0.25">
      <c r="A11" s="9" t="s">
        <v>74</v>
      </c>
      <c r="B11" s="10">
        <v>2.4E-2</v>
      </c>
      <c r="C11" s="10">
        <v>7.0000000000000007E-2</v>
      </c>
      <c r="D11" s="10">
        <v>1.2</v>
      </c>
    </row>
    <row r="12" spans="1:4" ht="15" customHeight="1" x14ac:dyDescent="0.25">
      <c r="A12" s="9" t="s">
        <v>75</v>
      </c>
      <c r="B12" s="10">
        <v>0.7</v>
      </c>
      <c r="C12" s="10">
        <v>2</v>
      </c>
      <c r="D12" s="10">
        <v>36</v>
      </c>
    </row>
    <row r="13" spans="1:4" ht="15" customHeight="1" x14ac:dyDescent="0.25">
      <c r="A13" s="9" t="s">
        <v>76</v>
      </c>
      <c r="B13" s="10">
        <v>0.12</v>
      </c>
      <c r="C13" s="10">
        <v>0.34</v>
      </c>
      <c r="D13" s="10">
        <v>6.1</v>
      </c>
    </row>
    <row r="14" spans="1:4" ht="15" customHeight="1" x14ac:dyDescent="0.25">
      <c r="A14" s="9" t="s">
        <v>77</v>
      </c>
      <c r="B14" s="10">
        <v>2.8000000000000001E-2</v>
      </c>
      <c r="C14" s="10">
        <v>8.2000000000000003E-2</v>
      </c>
      <c r="D14" s="10">
        <v>1.4</v>
      </c>
    </row>
    <row r="15" spans="1:4" ht="15" customHeight="1" x14ac:dyDescent="0.25">
      <c r="A15" s="9" t="s">
        <v>78</v>
      </c>
      <c r="B15" s="10">
        <v>2.2000000000000001E-4</v>
      </c>
      <c r="C15" s="10">
        <v>5.5000000000000003E-4</v>
      </c>
      <c r="D15" s="10">
        <v>1.0999999999999999E-2</v>
      </c>
    </row>
    <row r="16" spans="1:4" ht="15" customHeight="1" x14ac:dyDescent="0.25">
      <c r="A16" s="9" t="s">
        <v>79</v>
      </c>
      <c r="B16" s="10">
        <v>2.1000000000000001E-4</v>
      </c>
      <c r="C16" s="10">
        <v>5.2999999999999998E-4</v>
      </c>
      <c r="D16" s="10">
        <v>1.0999999999999999E-2</v>
      </c>
    </row>
    <row r="17" spans="1:4" ht="15" customHeight="1" x14ac:dyDescent="0.25">
      <c r="A17" s="9" t="s">
        <v>96</v>
      </c>
      <c r="B17" s="10">
        <v>8.9999999999999998E-4</v>
      </c>
      <c r="C17" s="10">
        <v>2.2000000000000001E-3</v>
      </c>
      <c r="D17" s="10">
        <v>4.4999999999999998E-2</v>
      </c>
    </row>
    <row r="18" spans="1:4" ht="15" customHeight="1" x14ac:dyDescent="0.25">
      <c r="A18" s="16" t="s">
        <v>97</v>
      </c>
      <c r="B18" s="13">
        <v>9.7E-5</v>
      </c>
      <c r="C18" s="13">
        <v>2.4000000000000001E-4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557E-9F09-4DD1-BD16-EB71A1E520CF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129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6.6E-4</v>
      </c>
      <c r="C5" s="10">
        <v>4.4999999999999997E-3</v>
      </c>
      <c r="D5" s="10">
        <v>1.6E-2</v>
      </c>
    </row>
    <row r="6" spans="1:4" ht="15" customHeight="1" x14ac:dyDescent="0.25">
      <c r="A6" s="9" t="s">
        <v>94</v>
      </c>
      <c r="B6" s="10">
        <v>1.5E-3</v>
      </c>
      <c r="C6" s="10">
        <v>0.01</v>
      </c>
      <c r="D6" s="10">
        <v>3.6999999999999998E-2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3.2000000000000003E-4</v>
      </c>
      <c r="C8" s="10">
        <v>2.2000000000000001E-3</v>
      </c>
      <c r="D8" s="10">
        <v>9.1000000000000004E-3</v>
      </c>
    </row>
    <row r="9" spans="1:4" ht="15" customHeight="1" x14ac:dyDescent="0.25">
      <c r="A9" s="9" t="s">
        <v>72</v>
      </c>
      <c r="B9" s="10">
        <v>8.4999999999999995E-4</v>
      </c>
      <c r="C9" s="10">
        <v>5.4999999999999997E-3</v>
      </c>
      <c r="D9" s="10">
        <v>2.1000000000000001E-2</v>
      </c>
    </row>
    <row r="10" spans="1:4" ht="15" customHeight="1" x14ac:dyDescent="0.25">
      <c r="A10" s="9" t="s">
        <v>73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5">
      <c r="A11" s="9" t="s">
        <v>74</v>
      </c>
      <c r="B11" s="10">
        <v>1.6E-2</v>
      </c>
      <c r="C11" s="10">
        <v>0.1</v>
      </c>
      <c r="D11" s="10">
        <v>0.39</v>
      </c>
    </row>
    <row r="12" spans="1:4" ht="15" customHeight="1" x14ac:dyDescent="0.25">
      <c r="A12" s="9" t="s">
        <v>75</v>
      </c>
      <c r="B12" s="10">
        <v>0.46</v>
      </c>
      <c r="C12" s="10">
        <v>3</v>
      </c>
      <c r="D12" s="10">
        <v>12</v>
      </c>
    </row>
    <row r="13" spans="1:4" ht="15" customHeight="1" x14ac:dyDescent="0.25">
      <c r="A13" s="9" t="s">
        <v>76</v>
      </c>
      <c r="B13" s="10">
        <v>7.6999999999999999E-2</v>
      </c>
      <c r="C13" s="10">
        <v>0.51</v>
      </c>
      <c r="D13" s="10">
        <v>2</v>
      </c>
    </row>
    <row r="14" spans="1:4" ht="15" customHeight="1" x14ac:dyDescent="0.25">
      <c r="A14" s="9" t="s">
        <v>77</v>
      </c>
      <c r="B14" s="10">
        <v>1.7999999999999999E-2</v>
      </c>
      <c r="C14" s="10">
        <v>0.12</v>
      </c>
      <c r="D14" s="10">
        <v>0.46</v>
      </c>
    </row>
    <row r="15" spans="1:4" ht="15" customHeight="1" x14ac:dyDescent="0.25">
      <c r="A15" s="9" t="s">
        <v>78</v>
      </c>
      <c r="B15" s="10">
        <v>1.6000000000000001E-4</v>
      </c>
      <c r="C15" s="10">
        <v>1.1000000000000001E-3</v>
      </c>
      <c r="D15" s="10">
        <v>4.0000000000000001E-3</v>
      </c>
    </row>
    <row r="16" spans="1:4" ht="15" customHeight="1" x14ac:dyDescent="0.25">
      <c r="A16" s="9" t="s">
        <v>79</v>
      </c>
      <c r="B16" s="10">
        <v>1.4999999999999999E-4</v>
      </c>
      <c r="C16" s="10">
        <v>1.1000000000000001E-3</v>
      </c>
      <c r="D16" s="10">
        <v>3.8E-3</v>
      </c>
    </row>
    <row r="17" spans="1:4" ht="15" customHeight="1" x14ac:dyDescent="0.25">
      <c r="A17" s="9" t="s">
        <v>96</v>
      </c>
      <c r="B17" s="10">
        <v>6.3000000000000003E-4</v>
      </c>
      <c r="C17" s="10">
        <v>4.4999999999999997E-3</v>
      </c>
      <c r="D17" s="10">
        <v>1.6E-2</v>
      </c>
    </row>
    <row r="18" spans="1:4" ht="15" customHeight="1" x14ac:dyDescent="0.25">
      <c r="A18" s="16" t="s">
        <v>97</v>
      </c>
      <c r="B18" s="13">
        <v>6.7999999999999999E-5</v>
      </c>
      <c r="C18" s="13">
        <v>4.8999999999999998E-4</v>
      </c>
      <c r="D18" s="13">
        <v>1.6999999999999999E-3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612C-5977-42D9-9D2A-CC7B4DC26E57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130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2.2000000000000001E-4</v>
      </c>
      <c r="C5" s="10">
        <v>1.4E-3</v>
      </c>
      <c r="D5" s="10">
        <v>5.4999999999999997E-3</v>
      </c>
    </row>
    <row r="6" spans="1:4" ht="15" customHeight="1" x14ac:dyDescent="0.25">
      <c r="A6" s="9" t="s">
        <v>94</v>
      </c>
      <c r="B6" s="10">
        <v>5.0000000000000001E-4</v>
      </c>
      <c r="C6" s="10">
        <v>3.3E-3</v>
      </c>
      <c r="D6" s="10">
        <v>1.2E-2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1.2999999999999999E-4</v>
      </c>
      <c r="C8" s="10">
        <v>7.9000000000000001E-4</v>
      </c>
      <c r="D8" s="10">
        <v>3.0000000000000001E-3</v>
      </c>
    </row>
    <row r="9" spans="1:4" ht="15" customHeight="1" x14ac:dyDescent="0.25">
      <c r="A9" s="9" t="s">
        <v>72</v>
      </c>
      <c r="B9" s="10">
        <v>3.6999999999999999E-4</v>
      </c>
      <c r="C9" s="10">
        <v>1.9E-3</v>
      </c>
      <c r="D9" s="10">
        <v>7.6E-3</v>
      </c>
    </row>
    <row r="10" spans="1:4" ht="15" customHeight="1" x14ac:dyDescent="0.25">
      <c r="A10" s="9" t="s">
        <v>73</v>
      </c>
      <c r="B10" s="10">
        <v>4.7000000000000002E-3</v>
      </c>
      <c r="C10" s="10">
        <v>2.4E-2</v>
      </c>
      <c r="D10" s="10">
        <v>9.7000000000000003E-2</v>
      </c>
    </row>
    <row r="11" spans="1:4" ht="15" customHeight="1" x14ac:dyDescent="0.25">
      <c r="A11" s="9" t="s">
        <v>74</v>
      </c>
      <c r="B11" s="10">
        <v>6.7000000000000002E-3</v>
      </c>
      <c r="C11" s="10">
        <v>3.5000000000000003E-2</v>
      </c>
      <c r="D11" s="10">
        <v>0.14000000000000001</v>
      </c>
    </row>
    <row r="12" spans="1:4" ht="15" customHeight="1" x14ac:dyDescent="0.25">
      <c r="A12" s="9" t="s">
        <v>75</v>
      </c>
      <c r="B12" s="10">
        <v>0.21</v>
      </c>
      <c r="C12" s="10">
        <v>1.1000000000000001</v>
      </c>
      <c r="D12" s="10">
        <v>4.3</v>
      </c>
    </row>
    <row r="13" spans="1:4" ht="15" customHeight="1" x14ac:dyDescent="0.25">
      <c r="A13" s="9" t="s">
        <v>76</v>
      </c>
      <c r="B13" s="10">
        <v>3.5000000000000003E-2</v>
      </c>
      <c r="C13" s="10">
        <v>0.19</v>
      </c>
      <c r="D13" s="10">
        <v>0.74</v>
      </c>
    </row>
    <row r="14" spans="1:4" ht="15" customHeight="1" x14ac:dyDescent="0.25">
      <c r="A14" s="9" t="s">
        <v>77</v>
      </c>
      <c r="B14" s="10">
        <v>7.7999999999999996E-3</v>
      </c>
      <c r="C14" s="10">
        <v>4.1000000000000002E-2</v>
      </c>
      <c r="D14" s="10">
        <v>0.16</v>
      </c>
    </row>
    <row r="15" spans="1:4" ht="15" customHeight="1" x14ac:dyDescent="0.25">
      <c r="A15" s="9" t="s">
        <v>78</v>
      </c>
      <c r="B15" s="10">
        <v>5.8999999999999998E-5</v>
      </c>
      <c r="C15" s="10">
        <v>3.6999999999999999E-4</v>
      </c>
      <c r="D15" s="10">
        <v>1.4E-3</v>
      </c>
    </row>
    <row r="16" spans="1:4" ht="15" customHeight="1" x14ac:dyDescent="0.25">
      <c r="A16" s="9" t="s">
        <v>79</v>
      </c>
      <c r="B16" s="10">
        <v>5.3999999999999998E-5</v>
      </c>
      <c r="C16" s="10">
        <v>3.5E-4</v>
      </c>
      <c r="D16" s="10">
        <v>1.2999999999999999E-3</v>
      </c>
    </row>
    <row r="17" spans="1:4" ht="15" customHeight="1" x14ac:dyDescent="0.25">
      <c r="A17" s="9" t="s">
        <v>96</v>
      </c>
      <c r="B17" s="10">
        <v>2.3000000000000001E-4</v>
      </c>
      <c r="C17" s="10">
        <v>1.4E-3</v>
      </c>
      <c r="D17" s="10">
        <v>5.4000000000000003E-3</v>
      </c>
    </row>
    <row r="18" spans="1:4" ht="15" customHeight="1" x14ac:dyDescent="0.25">
      <c r="A18" s="16" t="s">
        <v>97</v>
      </c>
      <c r="B18" s="13">
        <v>2.5000000000000001E-5</v>
      </c>
      <c r="C18" s="13">
        <v>1.4999999999999999E-4</v>
      </c>
      <c r="D18" s="13">
        <v>5.8E-4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D475-C4FB-4027-948D-3326CC8B69D7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131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7.3999999999999999E-4</v>
      </c>
      <c r="C5" s="10">
        <v>5.7000000000000002E-3</v>
      </c>
      <c r="D5" s="10">
        <v>4.8000000000000001E-2</v>
      </c>
    </row>
    <row r="6" spans="1:4" ht="15" customHeight="1" x14ac:dyDescent="0.25">
      <c r="A6" s="9" t="s">
        <v>94</v>
      </c>
      <c r="B6" s="10">
        <v>1.6999999999999999E-3</v>
      </c>
      <c r="C6" s="10">
        <v>1.2999999999999999E-2</v>
      </c>
      <c r="D6" s="10">
        <v>0.11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4.0000000000000002E-4</v>
      </c>
      <c r="C8" s="10">
        <v>2.8999999999999998E-3</v>
      </c>
      <c r="D8" s="10">
        <v>2.5000000000000001E-2</v>
      </c>
    </row>
    <row r="9" spans="1:4" ht="15" customHeight="1" x14ac:dyDescent="0.25">
      <c r="A9" s="9" t="s">
        <v>72</v>
      </c>
      <c r="B9" s="10">
        <v>1E-3</v>
      </c>
      <c r="C9" s="10">
        <v>7.1000000000000004E-3</v>
      </c>
      <c r="D9" s="10">
        <v>6.7000000000000004E-2</v>
      </c>
    </row>
    <row r="10" spans="1:4" ht="15" customHeight="1" x14ac:dyDescent="0.25">
      <c r="A10" s="9" t="s">
        <v>73</v>
      </c>
      <c r="B10" s="10">
        <v>1.2999999999999999E-2</v>
      </c>
      <c r="C10" s="10">
        <v>0.09</v>
      </c>
      <c r="D10" s="10">
        <v>0.85</v>
      </c>
    </row>
    <row r="11" spans="1:4" ht="15" customHeight="1" x14ac:dyDescent="0.25">
      <c r="A11" s="9" t="s">
        <v>74</v>
      </c>
      <c r="B11" s="10">
        <v>1.7999999999999999E-2</v>
      </c>
      <c r="C11" s="10">
        <v>0.13</v>
      </c>
      <c r="D11" s="10">
        <v>1.2</v>
      </c>
    </row>
    <row r="12" spans="1:4" ht="15" customHeight="1" x14ac:dyDescent="0.25">
      <c r="A12" s="9" t="s">
        <v>75</v>
      </c>
      <c r="B12" s="10">
        <v>0.52</v>
      </c>
      <c r="C12" s="10">
        <v>3.7</v>
      </c>
      <c r="D12" s="10">
        <v>35</v>
      </c>
    </row>
    <row r="13" spans="1:4" ht="15" customHeight="1" x14ac:dyDescent="0.25">
      <c r="A13" s="9" t="s">
        <v>76</v>
      </c>
      <c r="B13" s="10">
        <v>8.8999999999999996E-2</v>
      </c>
      <c r="C13" s="10">
        <v>0.64</v>
      </c>
      <c r="D13" s="10">
        <v>5.9</v>
      </c>
    </row>
    <row r="14" spans="1:4" ht="15" customHeight="1" x14ac:dyDescent="0.25">
      <c r="A14" s="9" t="s">
        <v>77</v>
      </c>
      <c r="B14" s="10">
        <v>2.1000000000000001E-2</v>
      </c>
      <c r="C14" s="10">
        <v>0.15</v>
      </c>
      <c r="D14" s="10">
        <v>1.4</v>
      </c>
    </row>
    <row r="15" spans="1:4" ht="15" customHeight="1" x14ac:dyDescent="0.25">
      <c r="A15" s="9" t="s">
        <v>78</v>
      </c>
      <c r="B15" s="10">
        <v>1.8000000000000001E-4</v>
      </c>
      <c r="C15" s="10">
        <v>1.5E-3</v>
      </c>
      <c r="D15" s="10">
        <v>1.2E-2</v>
      </c>
    </row>
    <row r="16" spans="1:4" ht="15" customHeight="1" x14ac:dyDescent="0.25">
      <c r="A16" s="9" t="s">
        <v>79</v>
      </c>
      <c r="B16" s="10">
        <v>1.8000000000000001E-4</v>
      </c>
      <c r="C16" s="10">
        <v>1.4E-3</v>
      </c>
      <c r="D16" s="10">
        <v>1.0999999999999999E-2</v>
      </c>
    </row>
    <row r="17" spans="1:4" ht="15" customHeight="1" x14ac:dyDescent="0.25">
      <c r="A17" s="9" t="s">
        <v>96</v>
      </c>
      <c r="B17" s="10">
        <v>7.2999999999999996E-4</v>
      </c>
      <c r="C17" s="10">
        <v>5.7999999999999996E-3</v>
      </c>
      <c r="D17" s="10">
        <v>4.9000000000000002E-2</v>
      </c>
    </row>
    <row r="18" spans="1:4" ht="15" customHeight="1" x14ac:dyDescent="0.25">
      <c r="A18" s="16" t="s">
        <v>97</v>
      </c>
      <c r="B18" s="13">
        <v>7.8999999999999996E-5</v>
      </c>
      <c r="C18" s="13">
        <v>6.2E-4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AFD3-DD57-461E-A92B-6A699979AE2D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132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4.8999999999999998E-4</v>
      </c>
      <c r="C5" s="10">
        <v>6.0000000000000001E-3</v>
      </c>
      <c r="D5" s="10">
        <v>0.02</v>
      </c>
    </row>
    <row r="6" spans="1:4" ht="15" customHeight="1" x14ac:dyDescent="0.25">
      <c r="A6" s="9" t="s">
        <v>94</v>
      </c>
      <c r="B6" s="10">
        <v>1.1000000000000001E-3</v>
      </c>
      <c r="C6" s="10">
        <v>1.4E-2</v>
      </c>
      <c r="D6" s="10">
        <v>4.5999999999999999E-2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2.4000000000000001E-4</v>
      </c>
      <c r="C8" s="10">
        <v>2.8999999999999998E-3</v>
      </c>
      <c r="D8" s="10">
        <v>8.9999999999999993E-3</v>
      </c>
    </row>
    <row r="9" spans="1:4" ht="15" customHeight="1" x14ac:dyDescent="0.25">
      <c r="A9" s="9" t="s">
        <v>72</v>
      </c>
      <c r="B9" s="10">
        <v>6.0999999999999997E-4</v>
      </c>
      <c r="C9" s="10">
        <v>7.1999999999999998E-3</v>
      </c>
      <c r="D9" s="10">
        <v>2.4E-2</v>
      </c>
    </row>
    <row r="10" spans="1:4" ht="15" customHeight="1" x14ac:dyDescent="0.25">
      <c r="A10" s="9" t="s">
        <v>73</v>
      </c>
      <c r="B10" s="10">
        <v>7.7999999999999996E-3</v>
      </c>
      <c r="C10" s="10">
        <v>9.1999999999999998E-2</v>
      </c>
      <c r="D10" s="10">
        <v>0.31</v>
      </c>
    </row>
    <row r="11" spans="1:4" ht="15" customHeight="1" x14ac:dyDescent="0.25">
      <c r="A11" s="9" t="s">
        <v>74</v>
      </c>
      <c r="B11" s="10">
        <v>1.0999999999999999E-2</v>
      </c>
      <c r="C11" s="10">
        <v>0.13</v>
      </c>
      <c r="D11" s="10">
        <v>0.43</v>
      </c>
    </row>
    <row r="12" spans="1:4" ht="15" customHeight="1" x14ac:dyDescent="0.25">
      <c r="A12" s="9" t="s">
        <v>75</v>
      </c>
      <c r="B12" s="10">
        <v>0.32</v>
      </c>
      <c r="C12" s="10">
        <v>3.8</v>
      </c>
      <c r="D12" s="10">
        <v>12</v>
      </c>
    </row>
    <row r="13" spans="1:4" ht="15" customHeight="1" x14ac:dyDescent="0.25">
      <c r="A13" s="9" t="s">
        <v>76</v>
      </c>
      <c r="B13" s="10">
        <v>5.3999999999999999E-2</v>
      </c>
      <c r="C13" s="10">
        <v>0.65</v>
      </c>
      <c r="D13" s="10">
        <v>2.1</v>
      </c>
    </row>
    <row r="14" spans="1:4" ht="15" customHeight="1" x14ac:dyDescent="0.25">
      <c r="A14" s="9" t="s">
        <v>77</v>
      </c>
      <c r="B14" s="10">
        <v>1.2999999999999999E-2</v>
      </c>
      <c r="C14" s="10">
        <v>0.15</v>
      </c>
      <c r="D14" s="10">
        <v>0.51</v>
      </c>
    </row>
    <row r="15" spans="1:4" ht="15" customHeight="1" x14ac:dyDescent="0.25">
      <c r="A15" s="9" t="s">
        <v>78</v>
      </c>
      <c r="B15" s="10">
        <v>1.2E-4</v>
      </c>
      <c r="C15" s="10">
        <v>1.6000000000000001E-3</v>
      </c>
      <c r="D15" s="10">
        <v>5.1999999999999998E-3</v>
      </c>
    </row>
    <row r="16" spans="1:4" ht="15" customHeight="1" x14ac:dyDescent="0.25">
      <c r="A16" s="9" t="s">
        <v>79</v>
      </c>
      <c r="B16" s="10">
        <v>1.1E-4</v>
      </c>
      <c r="C16" s="10">
        <v>1.5E-3</v>
      </c>
      <c r="D16" s="10">
        <v>5.0000000000000001E-3</v>
      </c>
    </row>
    <row r="17" spans="1:4" ht="15" customHeight="1" x14ac:dyDescent="0.25">
      <c r="A17" s="9" t="s">
        <v>96</v>
      </c>
      <c r="B17" s="10">
        <v>4.8000000000000001E-4</v>
      </c>
      <c r="C17" s="10">
        <v>6.3E-3</v>
      </c>
      <c r="D17" s="10">
        <v>2.1000000000000001E-2</v>
      </c>
    </row>
    <row r="18" spans="1:4" ht="15" customHeight="1" x14ac:dyDescent="0.25">
      <c r="A18" s="16" t="s">
        <v>97</v>
      </c>
      <c r="B18" s="13">
        <v>5.1999999999999997E-5</v>
      </c>
      <c r="C18" s="13">
        <v>6.7000000000000002E-4</v>
      </c>
      <c r="D18" s="13">
        <v>2.3E-3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7235-F982-4D40-82A2-D05B926FE0DE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2" t="s">
        <v>133</v>
      </c>
      <c r="B1" s="42"/>
      <c r="C1" s="42"/>
      <c r="D1" s="42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8.7000000000000001E-4</v>
      </c>
      <c r="C5" s="10">
        <v>8.8000000000000005E-3</v>
      </c>
      <c r="D5" s="10">
        <v>4.1000000000000002E-2</v>
      </c>
    </row>
    <row r="6" spans="1:4" ht="15" customHeight="1" x14ac:dyDescent="0.25">
      <c r="A6" s="9" t="s">
        <v>94</v>
      </c>
      <c r="B6" s="10">
        <v>2E-3</v>
      </c>
      <c r="C6" s="10">
        <v>0.02</v>
      </c>
      <c r="D6" s="10">
        <v>9.4E-2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4.4999999999999999E-4</v>
      </c>
      <c r="C8" s="10">
        <v>4.7000000000000002E-3</v>
      </c>
      <c r="D8" s="10">
        <v>2.3E-2</v>
      </c>
    </row>
    <row r="9" spans="1:4" ht="15" customHeight="1" x14ac:dyDescent="0.25">
      <c r="A9" s="9" t="s">
        <v>72</v>
      </c>
      <c r="B9" s="10">
        <v>1.2999999999999999E-3</v>
      </c>
      <c r="C9" s="10">
        <v>1.2999999999999999E-2</v>
      </c>
      <c r="D9" s="10">
        <v>6.0999999999999999E-2</v>
      </c>
    </row>
    <row r="10" spans="1:4" ht="15" customHeight="1" x14ac:dyDescent="0.25">
      <c r="A10" s="9" t="s">
        <v>73</v>
      </c>
      <c r="B10" s="10">
        <v>1.6E-2</v>
      </c>
      <c r="C10" s="10">
        <v>0.16</v>
      </c>
      <c r="D10" s="10">
        <v>0.78</v>
      </c>
    </row>
    <row r="11" spans="1:4" ht="15" customHeight="1" x14ac:dyDescent="0.25">
      <c r="A11" s="9" t="s">
        <v>74</v>
      </c>
      <c r="B11" s="10">
        <v>2.3E-2</v>
      </c>
      <c r="C11" s="10">
        <v>0.23</v>
      </c>
      <c r="D11" s="10">
        <v>1.1000000000000001</v>
      </c>
    </row>
    <row r="12" spans="1:4" ht="15" customHeight="1" x14ac:dyDescent="0.25">
      <c r="A12" s="9" t="s">
        <v>75</v>
      </c>
      <c r="B12" s="10">
        <v>0.67</v>
      </c>
      <c r="C12" s="10">
        <v>6.8</v>
      </c>
      <c r="D12" s="10">
        <v>32</v>
      </c>
    </row>
    <row r="13" spans="1:4" ht="15" customHeight="1" x14ac:dyDescent="0.25">
      <c r="A13" s="9" t="s">
        <v>76</v>
      </c>
      <c r="B13" s="10">
        <v>0.11</v>
      </c>
      <c r="C13" s="10">
        <v>1.2</v>
      </c>
      <c r="D13" s="10">
        <v>5.4</v>
      </c>
    </row>
    <row r="14" spans="1:4" ht="15" customHeight="1" x14ac:dyDescent="0.25">
      <c r="A14" s="9" t="s">
        <v>77</v>
      </c>
      <c r="B14" s="10">
        <v>2.7E-2</v>
      </c>
      <c r="C14" s="10">
        <v>0.28000000000000003</v>
      </c>
      <c r="D14" s="10">
        <v>1.3</v>
      </c>
    </row>
    <row r="15" spans="1:4" ht="15" customHeight="1" x14ac:dyDescent="0.25">
      <c r="A15" s="9" t="s">
        <v>78</v>
      </c>
      <c r="B15" s="10">
        <v>2.2000000000000001E-4</v>
      </c>
      <c r="C15" s="10">
        <v>2.3E-3</v>
      </c>
      <c r="D15" s="10">
        <v>0.01</v>
      </c>
    </row>
    <row r="16" spans="1:4" ht="15" customHeight="1" x14ac:dyDescent="0.25">
      <c r="A16" s="9" t="s">
        <v>79</v>
      </c>
      <c r="B16" s="10">
        <v>2.1000000000000001E-4</v>
      </c>
      <c r="C16" s="10">
        <v>2.2000000000000001E-3</v>
      </c>
      <c r="D16" s="10">
        <v>0.01</v>
      </c>
    </row>
    <row r="17" spans="1:4" ht="15" customHeight="1" x14ac:dyDescent="0.25">
      <c r="A17" s="9" t="s">
        <v>96</v>
      </c>
      <c r="B17" s="10">
        <v>8.8000000000000003E-4</v>
      </c>
      <c r="C17" s="10">
        <v>9.1000000000000004E-3</v>
      </c>
      <c r="D17" s="10">
        <v>4.1000000000000002E-2</v>
      </c>
    </row>
    <row r="18" spans="1:4" ht="15" customHeight="1" x14ac:dyDescent="0.25">
      <c r="A18" s="16" t="s">
        <v>97</v>
      </c>
      <c r="B18" s="13">
        <v>9.5000000000000005E-5</v>
      </c>
      <c r="C18" s="13">
        <v>9.8999999999999999E-4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7CDE-F5EB-445D-A3FE-92C443FC835C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2" t="s">
        <v>134</v>
      </c>
      <c r="B1" s="42"/>
      <c r="C1" s="42"/>
      <c r="D1" s="42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1.4E-3</v>
      </c>
      <c r="C5" s="10">
        <v>6.7000000000000002E-3</v>
      </c>
      <c r="D5" s="10">
        <v>5.8000000000000003E-2</v>
      </c>
    </row>
    <row r="6" spans="1:4" ht="15" customHeight="1" x14ac:dyDescent="0.25">
      <c r="A6" s="9" t="s">
        <v>94</v>
      </c>
      <c r="B6" s="10">
        <v>3.0999999999999999E-3</v>
      </c>
      <c r="C6" s="10">
        <v>1.4999999999999999E-2</v>
      </c>
      <c r="D6" s="10">
        <v>0.13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6.9999999999999999E-4</v>
      </c>
      <c r="C8" s="10">
        <v>3.2000000000000002E-3</v>
      </c>
      <c r="D8" s="10">
        <v>2.5000000000000001E-2</v>
      </c>
    </row>
    <row r="9" spans="1:4" ht="15" customHeight="1" x14ac:dyDescent="0.25">
      <c r="A9" s="9" t="s">
        <v>72</v>
      </c>
      <c r="B9" s="10">
        <v>1.6000000000000001E-3</v>
      </c>
      <c r="C9" s="10">
        <v>7.9000000000000008E-3</v>
      </c>
      <c r="D9" s="10">
        <v>6.5000000000000002E-2</v>
      </c>
    </row>
    <row r="10" spans="1:4" ht="15" customHeight="1" x14ac:dyDescent="0.25">
      <c r="A10" s="9" t="s">
        <v>73</v>
      </c>
      <c r="B10" s="10">
        <v>2.1000000000000001E-2</v>
      </c>
      <c r="C10" s="10">
        <v>0.1</v>
      </c>
      <c r="D10" s="10">
        <v>0.82</v>
      </c>
    </row>
    <row r="11" spans="1:4" ht="15" customHeight="1" x14ac:dyDescent="0.25">
      <c r="A11" s="9" t="s">
        <v>74</v>
      </c>
      <c r="B11" s="10">
        <v>2.9000000000000001E-2</v>
      </c>
      <c r="C11" s="10">
        <v>0.14000000000000001</v>
      </c>
      <c r="D11" s="10">
        <v>1.2</v>
      </c>
    </row>
    <row r="12" spans="1:4" ht="15" customHeight="1" x14ac:dyDescent="0.25">
      <c r="A12" s="9" t="s">
        <v>75</v>
      </c>
      <c r="B12" s="10">
        <v>0.86</v>
      </c>
      <c r="C12" s="10">
        <v>4.2</v>
      </c>
      <c r="D12" s="10">
        <v>34</v>
      </c>
    </row>
    <row r="13" spans="1:4" ht="15" customHeight="1" x14ac:dyDescent="0.25">
      <c r="A13" s="9" t="s">
        <v>76</v>
      </c>
      <c r="B13" s="10">
        <v>0.15</v>
      </c>
      <c r="C13" s="10">
        <v>0.71</v>
      </c>
      <c r="D13" s="10">
        <v>5.7</v>
      </c>
    </row>
    <row r="14" spans="1:4" ht="15" customHeight="1" x14ac:dyDescent="0.25">
      <c r="A14" s="9" t="s">
        <v>77</v>
      </c>
      <c r="B14" s="10">
        <v>3.5000000000000003E-2</v>
      </c>
      <c r="C14" s="10">
        <v>0.17</v>
      </c>
      <c r="D14" s="10">
        <v>1.4</v>
      </c>
    </row>
    <row r="15" spans="1:4" ht="15" customHeight="1" x14ac:dyDescent="0.25">
      <c r="A15" s="9" t="s">
        <v>78</v>
      </c>
      <c r="B15" s="10">
        <v>3.4000000000000002E-4</v>
      </c>
      <c r="C15" s="10">
        <v>1.6999999999999999E-3</v>
      </c>
      <c r="D15" s="10">
        <v>1.4E-2</v>
      </c>
    </row>
    <row r="16" spans="1:4" ht="15" customHeight="1" x14ac:dyDescent="0.25">
      <c r="A16" s="9" t="s">
        <v>79</v>
      </c>
      <c r="B16" s="10">
        <v>3.3E-4</v>
      </c>
      <c r="C16" s="10">
        <v>1.6999999999999999E-3</v>
      </c>
      <c r="D16" s="10">
        <v>1.4E-2</v>
      </c>
    </row>
    <row r="17" spans="1:4" ht="15" customHeight="1" x14ac:dyDescent="0.25">
      <c r="A17" s="9" t="s">
        <v>96</v>
      </c>
      <c r="B17" s="10">
        <v>1.2999999999999999E-3</v>
      </c>
      <c r="C17" s="10">
        <v>7.0000000000000001E-3</v>
      </c>
      <c r="D17" s="10">
        <v>5.7000000000000002E-2</v>
      </c>
    </row>
    <row r="18" spans="1:4" ht="15" customHeight="1" x14ac:dyDescent="0.25">
      <c r="A18" s="16" t="s">
        <v>97</v>
      </c>
      <c r="B18" s="13">
        <v>1.3999999999999999E-4</v>
      </c>
      <c r="C18" s="13">
        <v>7.5000000000000002E-4</v>
      </c>
      <c r="D18" s="13">
        <v>6.1000000000000004E-3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4C09-99B3-4FB2-87BA-CF6F679CA93C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135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2.0999999999999999E-3</v>
      </c>
      <c r="C5" s="10">
        <v>5.2999999999999999E-2</v>
      </c>
      <c r="D5" s="10">
        <v>6.5000000000000002E-2</v>
      </c>
    </row>
    <row r="6" spans="1:4" ht="15" customHeight="1" x14ac:dyDescent="0.25">
      <c r="A6" s="9" t="s">
        <v>94</v>
      </c>
      <c r="B6" s="10">
        <v>4.8999999999999998E-3</v>
      </c>
      <c r="C6" s="10">
        <v>0.12</v>
      </c>
      <c r="D6" s="10">
        <v>0.15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1.1000000000000001E-3</v>
      </c>
      <c r="C8" s="10">
        <v>2.5000000000000001E-2</v>
      </c>
      <c r="D8" s="10">
        <v>3.1E-2</v>
      </c>
    </row>
    <row r="9" spans="1:4" ht="15" customHeight="1" x14ac:dyDescent="0.25">
      <c r="A9" s="9" t="s">
        <v>72</v>
      </c>
      <c r="B9" s="10">
        <v>3.0999999999999999E-3</v>
      </c>
      <c r="C9" s="10">
        <v>6.6000000000000003E-2</v>
      </c>
      <c r="D9" s="10">
        <v>8.5999999999999993E-2</v>
      </c>
    </row>
    <row r="10" spans="1:4" ht="15" customHeight="1" x14ac:dyDescent="0.25">
      <c r="A10" s="9" t="s">
        <v>73</v>
      </c>
      <c r="B10" s="10">
        <v>0.04</v>
      </c>
      <c r="C10" s="10">
        <v>0.84</v>
      </c>
      <c r="D10" s="10">
        <v>1.1000000000000001</v>
      </c>
    </row>
    <row r="11" spans="1:4" ht="15" customHeight="1" x14ac:dyDescent="0.25">
      <c r="A11" s="9" t="s">
        <v>74</v>
      </c>
      <c r="B11" s="10">
        <v>5.6000000000000001E-2</v>
      </c>
      <c r="C11" s="10">
        <v>1.2</v>
      </c>
      <c r="D11" s="10">
        <v>1.6</v>
      </c>
    </row>
    <row r="12" spans="1:4" ht="15" customHeight="1" x14ac:dyDescent="0.25">
      <c r="A12" s="9" t="s">
        <v>75</v>
      </c>
      <c r="B12" s="10">
        <v>1.6</v>
      </c>
      <c r="C12" s="10">
        <v>35</v>
      </c>
      <c r="D12" s="10">
        <v>45</v>
      </c>
    </row>
    <row r="13" spans="1:4" ht="15" customHeight="1" x14ac:dyDescent="0.25">
      <c r="A13" s="9" t="s">
        <v>76</v>
      </c>
      <c r="B13" s="10">
        <v>0.28000000000000003</v>
      </c>
      <c r="C13" s="10">
        <v>5.9</v>
      </c>
      <c r="D13" s="10">
        <v>7.7</v>
      </c>
    </row>
    <row r="14" spans="1:4" ht="15" customHeight="1" x14ac:dyDescent="0.25">
      <c r="A14" s="9" t="s">
        <v>77</v>
      </c>
      <c r="B14" s="10">
        <v>6.6000000000000003E-2</v>
      </c>
      <c r="C14" s="10">
        <v>1.4</v>
      </c>
      <c r="D14" s="10">
        <v>1.8</v>
      </c>
    </row>
    <row r="15" spans="1:4" ht="15" customHeight="1" x14ac:dyDescent="0.25">
      <c r="A15" s="9" t="s">
        <v>78</v>
      </c>
      <c r="B15" s="10">
        <v>5.5999999999999995E-4</v>
      </c>
      <c r="C15" s="10">
        <v>1.2999999999999999E-2</v>
      </c>
      <c r="D15" s="10">
        <v>1.7000000000000001E-2</v>
      </c>
    </row>
    <row r="16" spans="1:4" ht="15" customHeight="1" x14ac:dyDescent="0.25">
      <c r="A16" s="9" t="s">
        <v>79</v>
      </c>
      <c r="B16" s="10">
        <v>5.2999999999999998E-4</v>
      </c>
      <c r="C16" s="10">
        <v>1.2999999999999999E-2</v>
      </c>
      <c r="D16" s="10">
        <v>1.6E-2</v>
      </c>
    </row>
    <row r="17" spans="1:4" ht="15" customHeight="1" x14ac:dyDescent="0.25">
      <c r="A17" s="9" t="s">
        <v>96</v>
      </c>
      <c r="B17" s="10">
        <v>2.2000000000000001E-3</v>
      </c>
      <c r="C17" s="10">
        <v>5.3999999999999999E-2</v>
      </c>
      <c r="D17" s="10">
        <v>6.9000000000000006E-2</v>
      </c>
    </row>
    <row r="18" spans="1:4" ht="15" customHeight="1" x14ac:dyDescent="0.25">
      <c r="A18" s="16" t="s">
        <v>97</v>
      </c>
      <c r="B18" s="13">
        <v>2.4000000000000001E-4</v>
      </c>
      <c r="C18" s="13">
        <v>5.7999999999999996E-3</v>
      </c>
      <c r="D18" s="13">
        <v>7.4000000000000003E-3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8290-7FCB-4CA6-B192-398AC979EB8B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136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1.8E-3</v>
      </c>
      <c r="C5" s="10">
        <v>1.0999999999999999E-2</v>
      </c>
      <c r="D5" s="10">
        <v>6.2E-2</v>
      </c>
    </row>
    <row r="6" spans="1:4" ht="15" customHeight="1" x14ac:dyDescent="0.25">
      <c r="A6" s="9" t="s">
        <v>94</v>
      </c>
      <c r="B6" s="10">
        <v>4.0000000000000001E-3</v>
      </c>
      <c r="C6" s="10">
        <v>2.5999999999999999E-2</v>
      </c>
      <c r="D6" s="10">
        <v>0.14000000000000001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8.5999999999999998E-4</v>
      </c>
      <c r="C8" s="10">
        <v>5.7000000000000002E-3</v>
      </c>
      <c r="D8" s="10">
        <v>2.9000000000000001E-2</v>
      </c>
    </row>
    <row r="9" spans="1:4" ht="15" customHeight="1" x14ac:dyDescent="0.25">
      <c r="A9" s="9" t="s">
        <v>72</v>
      </c>
      <c r="B9" s="10">
        <v>2.0999999999999999E-3</v>
      </c>
      <c r="C9" s="10">
        <v>1.4E-2</v>
      </c>
      <c r="D9" s="10">
        <v>7.2999999999999995E-2</v>
      </c>
    </row>
    <row r="10" spans="1:4" ht="15" customHeight="1" x14ac:dyDescent="0.25">
      <c r="A10" s="9" t="s">
        <v>73</v>
      </c>
      <c r="B10" s="10">
        <v>2.7E-2</v>
      </c>
      <c r="C10" s="10">
        <v>0.17</v>
      </c>
      <c r="D10" s="10">
        <v>0.93</v>
      </c>
    </row>
    <row r="11" spans="1:4" ht="15" customHeight="1" x14ac:dyDescent="0.25">
      <c r="A11" s="9" t="s">
        <v>74</v>
      </c>
      <c r="B11" s="10">
        <v>3.7999999999999999E-2</v>
      </c>
      <c r="C11" s="10">
        <v>0.25</v>
      </c>
      <c r="D11" s="10">
        <v>1.3</v>
      </c>
    </row>
    <row r="12" spans="1:4" ht="15" customHeight="1" x14ac:dyDescent="0.25">
      <c r="A12" s="9" t="s">
        <v>75</v>
      </c>
      <c r="B12" s="10">
        <v>1.1000000000000001</v>
      </c>
      <c r="C12" s="10">
        <v>7.1</v>
      </c>
      <c r="D12" s="10">
        <v>38</v>
      </c>
    </row>
    <row r="13" spans="1:4" ht="15" customHeight="1" x14ac:dyDescent="0.25">
      <c r="A13" s="9" t="s">
        <v>76</v>
      </c>
      <c r="B13" s="10">
        <v>0.19</v>
      </c>
      <c r="C13" s="10">
        <v>1.2</v>
      </c>
      <c r="D13" s="10">
        <v>6.4</v>
      </c>
    </row>
    <row r="14" spans="1:4" ht="15" customHeight="1" x14ac:dyDescent="0.25">
      <c r="A14" s="9" t="s">
        <v>77</v>
      </c>
      <c r="B14" s="10">
        <v>4.4999999999999998E-2</v>
      </c>
      <c r="C14" s="10">
        <v>0.28999999999999998</v>
      </c>
      <c r="D14" s="10">
        <v>1.6</v>
      </c>
    </row>
    <row r="15" spans="1:4" ht="15" customHeight="1" x14ac:dyDescent="0.25">
      <c r="A15" s="9" t="s">
        <v>78</v>
      </c>
      <c r="B15" s="10">
        <v>4.4000000000000002E-4</v>
      </c>
      <c r="C15" s="10">
        <v>2.8999999999999998E-3</v>
      </c>
      <c r="D15" s="10">
        <v>1.6E-2</v>
      </c>
    </row>
    <row r="16" spans="1:4" ht="15" customHeight="1" x14ac:dyDescent="0.25">
      <c r="A16" s="9" t="s">
        <v>79</v>
      </c>
      <c r="B16" s="10">
        <v>4.2000000000000002E-4</v>
      </c>
      <c r="C16" s="10">
        <v>2.8999999999999998E-3</v>
      </c>
      <c r="D16" s="10">
        <v>1.4999999999999999E-2</v>
      </c>
    </row>
    <row r="17" spans="1:4" ht="15" customHeight="1" x14ac:dyDescent="0.25">
      <c r="A17" s="9" t="s">
        <v>96</v>
      </c>
      <c r="B17" s="10">
        <v>1.6999999999999999E-3</v>
      </c>
      <c r="C17" s="10">
        <v>1.2E-2</v>
      </c>
      <c r="D17" s="10">
        <v>6.3E-2</v>
      </c>
    </row>
    <row r="18" spans="1:4" ht="15" customHeight="1" x14ac:dyDescent="0.25">
      <c r="A18" s="16" t="s">
        <v>97</v>
      </c>
      <c r="B18" s="13">
        <v>1.9000000000000001E-4</v>
      </c>
      <c r="C18" s="13">
        <v>1.1999999999999999E-3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423C-55A4-45FC-B7DB-3FF5999E02EE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137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1.2999999999999999E-3</v>
      </c>
      <c r="C5" s="10">
        <v>0.01</v>
      </c>
      <c r="D5" s="10">
        <v>5.6000000000000001E-2</v>
      </c>
    </row>
    <row r="6" spans="1:4" ht="15" customHeight="1" x14ac:dyDescent="0.25">
      <c r="A6" s="9" t="s">
        <v>94</v>
      </c>
      <c r="B6" s="10">
        <v>2.8999999999999998E-3</v>
      </c>
      <c r="C6" s="10">
        <v>2.4E-2</v>
      </c>
      <c r="D6" s="10">
        <v>0.13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6.7000000000000002E-4</v>
      </c>
      <c r="C8" s="10">
        <v>5.0000000000000001E-3</v>
      </c>
      <c r="D8" s="10">
        <v>2.7E-2</v>
      </c>
    </row>
    <row r="9" spans="1:4" ht="15" customHeight="1" x14ac:dyDescent="0.25">
      <c r="A9" s="9" t="s">
        <v>72</v>
      </c>
      <c r="B9" s="10">
        <v>1.6000000000000001E-3</v>
      </c>
      <c r="C9" s="10">
        <v>1.2E-2</v>
      </c>
      <c r="D9" s="10">
        <v>6.6000000000000003E-2</v>
      </c>
    </row>
    <row r="10" spans="1:4" ht="15" customHeight="1" x14ac:dyDescent="0.25">
      <c r="A10" s="9" t="s">
        <v>73</v>
      </c>
      <c r="B10" s="10">
        <v>0.02</v>
      </c>
      <c r="C10" s="10">
        <v>0.16</v>
      </c>
      <c r="D10" s="10">
        <v>0.83</v>
      </c>
    </row>
    <row r="11" spans="1:4" ht="15" customHeight="1" x14ac:dyDescent="0.25">
      <c r="A11" s="9" t="s">
        <v>74</v>
      </c>
      <c r="B11" s="10">
        <v>2.9000000000000001E-2</v>
      </c>
      <c r="C11" s="10">
        <v>0.22</v>
      </c>
      <c r="D11" s="10">
        <v>1.2</v>
      </c>
    </row>
    <row r="12" spans="1:4" ht="15" customHeight="1" x14ac:dyDescent="0.25">
      <c r="A12" s="9" t="s">
        <v>75</v>
      </c>
      <c r="B12" s="10">
        <v>0.82</v>
      </c>
      <c r="C12" s="10">
        <v>6.5</v>
      </c>
      <c r="D12" s="10">
        <v>34</v>
      </c>
    </row>
    <row r="13" spans="1:4" ht="15" customHeight="1" x14ac:dyDescent="0.25">
      <c r="A13" s="9" t="s">
        <v>76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5">
      <c r="A14" s="9" t="s">
        <v>77</v>
      </c>
      <c r="B14" s="10">
        <v>3.4000000000000002E-2</v>
      </c>
      <c r="C14" s="10">
        <v>0.26</v>
      </c>
      <c r="D14" s="10">
        <v>1.4</v>
      </c>
    </row>
    <row r="15" spans="1:4" ht="15" customHeight="1" x14ac:dyDescent="0.25">
      <c r="A15" s="9" t="s">
        <v>78</v>
      </c>
      <c r="B15" s="10">
        <v>3.1E-4</v>
      </c>
      <c r="C15" s="10">
        <v>2.7000000000000001E-3</v>
      </c>
      <c r="D15" s="10">
        <v>1.4999999999999999E-2</v>
      </c>
    </row>
    <row r="16" spans="1:4" ht="15" customHeight="1" x14ac:dyDescent="0.25">
      <c r="A16" s="9" t="s">
        <v>79</v>
      </c>
      <c r="B16" s="10">
        <v>2.9999999999999997E-4</v>
      </c>
      <c r="C16" s="10">
        <v>2.7000000000000001E-3</v>
      </c>
      <c r="D16" s="10">
        <v>1.4E-2</v>
      </c>
    </row>
    <row r="17" spans="1:4" ht="15" customHeight="1" x14ac:dyDescent="0.25">
      <c r="A17" s="9" t="s">
        <v>96</v>
      </c>
      <c r="B17" s="10">
        <v>1.1999999999999999E-3</v>
      </c>
      <c r="C17" s="10">
        <v>1.0999999999999999E-2</v>
      </c>
      <c r="D17" s="10">
        <v>6.2E-2</v>
      </c>
    </row>
    <row r="18" spans="1:4" ht="15" customHeight="1" x14ac:dyDescent="0.25">
      <c r="A18" s="16" t="s">
        <v>97</v>
      </c>
      <c r="B18" s="13">
        <v>1.2999999999999999E-4</v>
      </c>
      <c r="C18" s="13">
        <v>1.1999999999999999E-3</v>
      </c>
      <c r="D18" s="13">
        <v>6.6E-3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8A03-F3E3-4DFD-8C7D-34FC35305A0C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138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8.0000000000000004E-4</v>
      </c>
      <c r="C5" s="10">
        <v>4.4999999999999997E-3</v>
      </c>
      <c r="D5" s="10">
        <v>1.0999999999999999E-2</v>
      </c>
    </row>
    <row r="6" spans="1:4" ht="15" customHeight="1" x14ac:dyDescent="0.25">
      <c r="A6" s="9" t="s">
        <v>94</v>
      </c>
      <c r="B6" s="10">
        <v>1.8E-3</v>
      </c>
      <c r="C6" s="10">
        <v>0.01</v>
      </c>
      <c r="D6" s="10">
        <v>2.5000000000000001E-2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3.6999999999999999E-4</v>
      </c>
      <c r="C8" s="10">
        <v>2E-3</v>
      </c>
      <c r="D8" s="10">
        <v>4.5999999999999999E-3</v>
      </c>
    </row>
    <row r="9" spans="1:4" ht="15" customHeight="1" x14ac:dyDescent="0.25">
      <c r="A9" s="9" t="s">
        <v>72</v>
      </c>
      <c r="B9" s="10">
        <v>1E-3</v>
      </c>
      <c r="C9" s="10">
        <v>5.3E-3</v>
      </c>
      <c r="D9" s="10">
        <v>1.2999999999999999E-2</v>
      </c>
    </row>
    <row r="10" spans="1:4" ht="15" customHeight="1" x14ac:dyDescent="0.25">
      <c r="A10" s="9" t="s">
        <v>73</v>
      </c>
      <c r="B10" s="10">
        <v>1.2999999999999999E-2</v>
      </c>
      <c r="C10" s="10">
        <v>6.7000000000000004E-2</v>
      </c>
      <c r="D10" s="10">
        <v>0.16</v>
      </c>
    </row>
    <row r="11" spans="1:4" ht="15" customHeight="1" x14ac:dyDescent="0.25">
      <c r="A11" s="9" t="s">
        <v>74</v>
      </c>
      <c r="B11" s="10">
        <v>1.7999999999999999E-2</v>
      </c>
      <c r="C11" s="10">
        <v>9.6000000000000002E-2</v>
      </c>
      <c r="D11" s="10">
        <v>0.23</v>
      </c>
    </row>
    <row r="12" spans="1:4" ht="15" customHeight="1" x14ac:dyDescent="0.25">
      <c r="A12" s="9" t="s">
        <v>75</v>
      </c>
      <c r="B12" s="10">
        <v>0.52</v>
      </c>
      <c r="C12" s="10">
        <v>2.8</v>
      </c>
      <c r="D12" s="10">
        <v>6.7</v>
      </c>
    </row>
    <row r="13" spans="1:4" ht="15" customHeight="1" x14ac:dyDescent="0.25">
      <c r="A13" s="9" t="s">
        <v>76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5">
      <c r="A14" s="9" t="s">
        <v>77</v>
      </c>
      <c r="B14" s="10">
        <v>2.1000000000000001E-2</v>
      </c>
      <c r="C14" s="10">
        <v>0.11</v>
      </c>
      <c r="D14" s="10">
        <v>0.27</v>
      </c>
    </row>
    <row r="15" spans="1:4" ht="15" customHeight="1" x14ac:dyDescent="0.25">
      <c r="A15" s="9" t="s">
        <v>78</v>
      </c>
      <c r="B15" s="10">
        <v>1.9000000000000001E-4</v>
      </c>
      <c r="C15" s="10">
        <v>1.1000000000000001E-3</v>
      </c>
      <c r="D15" s="10">
        <v>2.5999999999999999E-3</v>
      </c>
    </row>
    <row r="16" spans="1:4" ht="15" customHeight="1" x14ac:dyDescent="0.25">
      <c r="A16" s="9" t="s">
        <v>79</v>
      </c>
      <c r="B16" s="10">
        <v>1.8000000000000001E-4</v>
      </c>
      <c r="C16" s="10">
        <v>1E-3</v>
      </c>
      <c r="D16" s="10">
        <v>2.5000000000000001E-3</v>
      </c>
    </row>
    <row r="17" spans="1:4" ht="15" customHeight="1" x14ac:dyDescent="0.25">
      <c r="A17" s="9" t="s">
        <v>96</v>
      </c>
      <c r="B17" s="10">
        <v>7.6999999999999996E-4</v>
      </c>
      <c r="C17" s="10">
        <v>4.4000000000000003E-3</v>
      </c>
      <c r="D17" s="10">
        <v>1.0999999999999999E-2</v>
      </c>
    </row>
    <row r="18" spans="1:4" ht="15" customHeight="1" x14ac:dyDescent="0.25">
      <c r="A18" s="16" t="s">
        <v>97</v>
      </c>
      <c r="B18" s="13">
        <v>8.2000000000000001E-5</v>
      </c>
      <c r="C18" s="13">
        <v>4.8000000000000001E-4</v>
      </c>
      <c r="D18" s="13">
        <v>1.1999999999999999E-3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3D03-4C0C-467D-B593-7B6D0F6CC623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139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5.9000000000000003E-4</v>
      </c>
      <c r="C5" s="10">
        <v>5.8999999999999999E-3</v>
      </c>
      <c r="D5" s="10">
        <v>3.6999999999999998E-2</v>
      </c>
    </row>
    <row r="6" spans="1:4" ht="15" customHeight="1" x14ac:dyDescent="0.25">
      <c r="A6" s="9" t="s">
        <v>94</v>
      </c>
      <c r="B6" s="10">
        <v>1.2999999999999999E-3</v>
      </c>
      <c r="C6" s="10">
        <v>1.2999999999999999E-2</v>
      </c>
      <c r="D6" s="10">
        <v>8.4000000000000005E-2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2.4000000000000001E-4</v>
      </c>
      <c r="C8" s="10">
        <v>2.5999999999999999E-3</v>
      </c>
      <c r="D8" s="10">
        <v>1.7000000000000001E-2</v>
      </c>
    </row>
    <row r="9" spans="1:4" ht="15" customHeight="1" x14ac:dyDescent="0.25">
      <c r="A9" s="9" t="s">
        <v>72</v>
      </c>
      <c r="B9" s="10">
        <v>6.3000000000000003E-4</v>
      </c>
      <c r="C9" s="10">
        <v>6.7000000000000002E-3</v>
      </c>
      <c r="D9" s="10">
        <v>4.2000000000000003E-2</v>
      </c>
    </row>
    <row r="10" spans="1:4" ht="15" customHeight="1" x14ac:dyDescent="0.25">
      <c r="A10" s="9" t="s">
        <v>73</v>
      </c>
      <c r="B10" s="10">
        <v>8.0000000000000002E-3</v>
      </c>
      <c r="C10" s="10">
        <v>8.5000000000000006E-2</v>
      </c>
      <c r="D10" s="10">
        <v>0.54</v>
      </c>
    </row>
    <row r="11" spans="1:4" ht="15" customHeight="1" x14ac:dyDescent="0.25">
      <c r="A11" s="9" t="s">
        <v>74</v>
      </c>
      <c r="B11" s="10">
        <v>1.0999999999999999E-2</v>
      </c>
      <c r="C11" s="10">
        <v>0.12</v>
      </c>
      <c r="D11" s="10">
        <v>0.76</v>
      </c>
    </row>
    <row r="12" spans="1:4" ht="15" customHeight="1" x14ac:dyDescent="0.25">
      <c r="A12" s="9" t="s">
        <v>75</v>
      </c>
      <c r="B12" s="10">
        <v>0.34</v>
      </c>
      <c r="C12" s="10">
        <v>3.5</v>
      </c>
      <c r="D12" s="10">
        <v>22</v>
      </c>
    </row>
    <row r="13" spans="1:4" ht="15" customHeight="1" x14ac:dyDescent="0.25">
      <c r="A13" s="9" t="s">
        <v>76</v>
      </c>
      <c r="B13" s="10">
        <v>5.8000000000000003E-2</v>
      </c>
      <c r="C13" s="10">
        <v>0.6</v>
      </c>
      <c r="D13" s="10">
        <v>3.7</v>
      </c>
    </row>
    <row r="14" spans="1:4" ht="15" customHeight="1" x14ac:dyDescent="0.25">
      <c r="A14" s="9" t="s">
        <v>77</v>
      </c>
      <c r="B14" s="10">
        <v>1.2999999999999999E-2</v>
      </c>
      <c r="C14" s="10">
        <v>0.14000000000000001</v>
      </c>
      <c r="D14" s="10">
        <v>0.9</v>
      </c>
    </row>
    <row r="15" spans="1:4" ht="15" customHeight="1" x14ac:dyDescent="0.25">
      <c r="A15" s="9" t="s">
        <v>78</v>
      </c>
      <c r="B15" s="10">
        <v>1.3999999999999999E-4</v>
      </c>
      <c r="C15" s="10">
        <v>1.5E-3</v>
      </c>
      <c r="D15" s="10">
        <v>9.4000000000000004E-3</v>
      </c>
    </row>
    <row r="16" spans="1:4" ht="15" customHeight="1" x14ac:dyDescent="0.25">
      <c r="A16" s="9" t="s">
        <v>79</v>
      </c>
      <c r="B16" s="10">
        <v>1.3999999999999999E-4</v>
      </c>
      <c r="C16" s="10">
        <v>1.5E-3</v>
      </c>
      <c r="D16" s="10">
        <v>9.4000000000000004E-3</v>
      </c>
    </row>
    <row r="17" spans="1:4" ht="15" customHeight="1" x14ac:dyDescent="0.25">
      <c r="A17" s="9" t="s">
        <v>96</v>
      </c>
      <c r="B17" s="10">
        <v>5.8E-4</v>
      </c>
      <c r="C17" s="10">
        <v>6.4000000000000003E-3</v>
      </c>
      <c r="D17" s="10">
        <v>0.04</v>
      </c>
    </row>
    <row r="18" spans="1:4" ht="15" customHeight="1" x14ac:dyDescent="0.25">
      <c r="A18" s="16" t="s">
        <v>97</v>
      </c>
      <c r="B18" s="13">
        <v>6.2000000000000003E-5</v>
      </c>
      <c r="C18" s="13">
        <v>6.8999999999999997E-4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17B3-0E44-4182-A97C-5EFFDFD8838E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140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1.6999999999999999E-3</v>
      </c>
      <c r="C5" s="10">
        <v>1.2999999999999999E-2</v>
      </c>
      <c r="D5" s="10">
        <v>4.8000000000000001E-2</v>
      </c>
    </row>
    <row r="6" spans="1:4" ht="15" customHeight="1" x14ac:dyDescent="0.25">
      <c r="A6" s="9" t="s">
        <v>94</v>
      </c>
      <c r="B6" s="10">
        <v>4.0000000000000001E-3</v>
      </c>
      <c r="C6" s="10">
        <v>0.03</v>
      </c>
      <c r="D6" s="10">
        <v>0.11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8.9999999999999998E-4</v>
      </c>
      <c r="C8" s="10">
        <v>6.4999999999999997E-3</v>
      </c>
      <c r="D8" s="10">
        <v>2.4E-2</v>
      </c>
    </row>
    <row r="9" spans="1:4" ht="15" customHeight="1" x14ac:dyDescent="0.25">
      <c r="A9" s="9" t="s">
        <v>72</v>
      </c>
      <c r="B9" s="10">
        <v>2.3999999999999998E-3</v>
      </c>
      <c r="C9" s="10">
        <v>1.7000000000000001E-2</v>
      </c>
      <c r="D9" s="10">
        <v>6.4000000000000001E-2</v>
      </c>
    </row>
    <row r="10" spans="1:4" ht="15" customHeight="1" x14ac:dyDescent="0.25">
      <c r="A10" s="9" t="s">
        <v>73</v>
      </c>
      <c r="B10" s="10">
        <v>3.1E-2</v>
      </c>
      <c r="C10" s="10">
        <v>0.22</v>
      </c>
      <c r="D10" s="10">
        <v>0.82</v>
      </c>
    </row>
    <row r="11" spans="1:4" ht="15" customHeight="1" x14ac:dyDescent="0.25">
      <c r="A11" s="9" t="s">
        <v>74</v>
      </c>
      <c r="B11" s="10">
        <v>4.3999999999999997E-2</v>
      </c>
      <c r="C11" s="10">
        <v>0.31</v>
      </c>
      <c r="D11" s="10">
        <v>1.2</v>
      </c>
    </row>
    <row r="12" spans="1:4" ht="15" customHeight="1" x14ac:dyDescent="0.25">
      <c r="A12" s="9" t="s">
        <v>75</v>
      </c>
      <c r="B12" s="10">
        <v>1.3</v>
      </c>
      <c r="C12" s="10">
        <v>9.5</v>
      </c>
      <c r="D12" s="10">
        <v>35</v>
      </c>
    </row>
    <row r="13" spans="1:4" ht="15" customHeight="1" x14ac:dyDescent="0.25">
      <c r="A13" s="9" t="s">
        <v>76</v>
      </c>
      <c r="B13" s="10">
        <v>0.21</v>
      </c>
      <c r="C13" s="10">
        <v>1.6</v>
      </c>
      <c r="D13" s="10">
        <v>5.9</v>
      </c>
    </row>
    <row r="14" spans="1:4" ht="15" customHeight="1" x14ac:dyDescent="0.25">
      <c r="A14" s="9" t="s">
        <v>77</v>
      </c>
      <c r="B14" s="10">
        <v>5.0999999999999997E-2</v>
      </c>
      <c r="C14" s="10">
        <v>0.37</v>
      </c>
      <c r="D14" s="10">
        <v>1.4</v>
      </c>
    </row>
    <row r="15" spans="1:4" ht="15" customHeight="1" x14ac:dyDescent="0.25">
      <c r="A15" s="9" t="s">
        <v>78</v>
      </c>
      <c r="B15" s="10">
        <v>4.2000000000000002E-4</v>
      </c>
      <c r="C15" s="10">
        <v>3.0999999999999999E-3</v>
      </c>
      <c r="D15" s="10">
        <v>1.2E-2</v>
      </c>
    </row>
    <row r="16" spans="1:4" ht="15" customHeight="1" x14ac:dyDescent="0.25">
      <c r="A16" s="9" t="s">
        <v>79</v>
      </c>
      <c r="B16" s="10">
        <v>3.8999999999999999E-4</v>
      </c>
      <c r="C16" s="10">
        <v>2.8999999999999998E-3</v>
      </c>
      <c r="D16" s="10">
        <v>1.0999999999999999E-2</v>
      </c>
    </row>
    <row r="17" spans="1:4" ht="15" customHeight="1" x14ac:dyDescent="0.25">
      <c r="A17" s="9" t="s">
        <v>96</v>
      </c>
      <c r="B17" s="10">
        <v>1.6999999999999999E-3</v>
      </c>
      <c r="C17" s="10">
        <v>1.2999999999999999E-2</v>
      </c>
      <c r="D17" s="10">
        <v>4.7E-2</v>
      </c>
    </row>
    <row r="18" spans="1:4" ht="15" customHeight="1" x14ac:dyDescent="0.25">
      <c r="A18" s="16" t="s">
        <v>97</v>
      </c>
      <c r="B18" s="13">
        <v>1.8000000000000001E-4</v>
      </c>
      <c r="C18" s="13">
        <v>1.4E-3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2A9F-4C66-4140-9816-AB80D7B8B503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141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1E-3</v>
      </c>
      <c r="C5" s="10">
        <v>6.4000000000000003E-3</v>
      </c>
      <c r="D5" s="10">
        <v>4.2999999999999997E-2</v>
      </c>
    </row>
    <row r="6" spans="1:4" ht="15" customHeight="1" x14ac:dyDescent="0.25">
      <c r="A6" s="9" t="s">
        <v>94</v>
      </c>
      <c r="B6" s="10">
        <v>2.3E-3</v>
      </c>
      <c r="C6" s="10">
        <v>1.4999999999999999E-2</v>
      </c>
      <c r="D6" s="10">
        <v>9.6000000000000002E-2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5.5000000000000003E-4</v>
      </c>
      <c r="C8" s="10">
        <v>3.7000000000000002E-3</v>
      </c>
      <c r="D8" s="10">
        <v>2.4E-2</v>
      </c>
    </row>
    <row r="9" spans="1:4" ht="15" customHeight="1" x14ac:dyDescent="0.25">
      <c r="A9" s="9" t="s">
        <v>72</v>
      </c>
      <c r="B9" s="10">
        <v>1.4E-3</v>
      </c>
      <c r="C9" s="10">
        <v>8.3999999999999995E-3</v>
      </c>
      <c r="D9" s="10">
        <v>5.7000000000000002E-2</v>
      </c>
    </row>
    <row r="10" spans="1:4" ht="15" customHeight="1" x14ac:dyDescent="0.25">
      <c r="A10" s="9" t="s">
        <v>73</v>
      </c>
      <c r="B10" s="10">
        <v>1.7999999999999999E-2</v>
      </c>
      <c r="C10" s="10">
        <v>0.11</v>
      </c>
      <c r="D10" s="10">
        <v>0.73</v>
      </c>
    </row>
    <row r="11" spans="1:4" ht="15" customHeight="1" x14ac:dyDescent="0.25">
      <c r="A11" s="9" t="s">
        <v>74</v>
      </c>
      <c r="B11" s="10">
        <v>2.5999999999999999E-2</v>
      </c>
      <c r="C11" s="10">
        <v>0.15</v>
      </c>
      <c r="D11" s="10">
        <v>1</v>
      </c>
    </row>
    <row r="12" spans="1:4" ht="15" customHeight="1" x14ac:dyDescent="0.25">
      <c r="A12" s="9" t="s">
        <v>75</v>
      </c>
      <c r="B12" s="10">
        <v>0.73</v>
      </c>
      <c r="C12" s="10">
        <v>4.5</v>
      </c>
      <c r="D12" s="10">
        <v>31</v>
      </c>
    </row>
    <row r="13" spans="1:4" ht="15" customHeight="1" x14ac:dyDescent="0.25">
      <c r="A13" s="9" t="s">
        <v>76</v>
      </c>
      <c r="B13" s="10">
        <v>0.12</v>
      </c>
      <c r="C13" s="10">
        <v>0.77</v>
      </c>
      <c r="D13" s="10">
        <v>5.3</v>
      </c>
    </row>
    <row r="14" spans="1:4" ht="15" customHeight="1" x14ac:dyDescent="0.25">
      <c r="A14" s="9" t="s">
        <v>77</v>
      </c>
      <c r="B14" s="10">
        <v>0.03</v>
      </c>
      <c r="C14" s="10">
        <v>0.18</v>
      </c>
      <c r="D14" s="10">
        <v>1.2</v>
      </c>
    </row>
    <row r="15" spans="1:4" ht="15" customHeight="1" x14ac:dyDescent="0.25">
      <c r="A15" s="9" t="s">
        <v>78</v>
      </c>
      <c r="B15" s="10">
        <v>2.5000000000000001E-4</v>
      </c>
      <c r="C15" s="10">
        <v>1.6999999999999999E-3</v>
      </c>
      <c r="D15" s="10">
        <v>1.0999999999999999E-2</v>
      </c>
    </row>
    <row r="16" spans="1:4" ht="15" customHeight="1" x14ac:dyDescent="0.25">
      <c r="A16" s="9" t="s">
        <v>79</v>
      </c>
      <c r="B16" s="10">
        <v>2.4000000000000001E-4</v>
      </c>
      <c r="C16" s="10">
        <v>1.6000000000000001E-3</v>
      </c>
      <c r="D16" s="10">
        <v>1.0999999999999999E-2</v>
      </c>
    </row>
    <row r="17" spans="1:4" ht="15" customHeight="1" x14ac:dyDescent="0.25">
      <c r="A17" s="9" t="s">
        <v>96</v>
      </c>
      <c r="B17" s="10">
        <v>1E-3</v>
      </c>
      <c r="C17" s="10">
        <v>6.4999999999999997E-3</v>
      </c>
      <c r="D17" s="10">
        <v>4.2999999999999997E-2</v>
      </c>
    </row>
    <row r="18" spans="1:4" ht="15" customHeight="1" x14ac:dyDescent="0.25">
      <c r="A18" s="16" t="s">
        <v>97</v>
      </c>
      <c r="B18" s="13">
        <v>1.1E-4</v>
      </c>
      <c r="C18" s="13">
        <v>7.1000000000000002E-4</v>
      </c>
      <c r="D18" s="13">
        <v>4.7000000000000002E-3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D9F2-55D9-4961-BA6F-11382F4CA736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142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8.1999999999999998E-4</v>
      </c>
      <c r="C5" s="10">
        <v>5.4000000000000003E-3</v>
      </c>
      <c r="D5" s="10">
        <v>3.5000000000000003E-2</v>
      </c>
    </row>
    <row r="6" spans="1:4" ht="15" customHeight="1" x14ac:dyDescent="0.25">
      <c r="A6" s="9" t="s">
        <v>94</v>
      </c>
      <c r="B6" s="10">
        <v>1.9E-3</v>
      </c>
      <c r="C6" s="10">
        <v>1.2E-2</v>
      </c>
      <c r="D6" s="10">
        <v>7.9000000000000001E-2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4.2000000000000002E-4</v>
      </c>
      <c r="C8" s="10">
        <v>2.8E-3</v>
      </c>
      <c r="D8" s="10">
        <v>1.7999999999999999E-2</v>
      </c>
    </row>
    <row r="9" spans="1:4" ht="15" customHeight="1" x14ac:dyDescent="0.25">
      <c r="A9" s="9" t="s">
        <v>72</v>
      </c>
      <c r="B9" s="10">
        <v>1.1000000000000001E-3</v>
      </c>
      <c r="C9" s="10">
        <v>6.7999999999999996E-3</v>
      </c>
      <c r="D9" s="10">
        <v>4.7E-2</v>
      </c>
    </row>
    <row r="10" spans="1:4" ht="15" customHeight="1" x14ac:dyDescent="0.25">
      <c r="A10" s="9" t="s">
        <v>73</v>
      </c>
      <c r="B10" s="10">
        <v>1.4E-2</v>
      </c>
      <c r="C10" s="10">
        <v>8.5999999999999993E-2</v>
      </c>
      <c r="D10" s="10">
        <v>0.59</v>
      </c>
    </row>
    <row r="11" spans="1:4" ht="15" customHeight="1" x14ac:dyDescent="0.25">
      <c r="A11" s="9" t="s">
        <v>74</v>
      </c>
      <c r="B11" s="10">
        <v>0.02</v>
      </c>
      <c r="C11" s="10">
        <v>0.12</v>
      </c>
      <c r="D11" s="10">
        <v>0.84</v>
      </c>
    </row>
    <row r="12" spans="1:4" ht="15" customHeight="1" x14ac:dyDescent="0.25">
      <c r="A12" s="9" t="s">
        <v>75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5">
      <c r="A13" s="9" t="s">
        <v>76</v>
      </c>
      <c r="B13" s="10">
        <v>9.8000000000000004E-2</v>
      </c>
      <c r="C13" s="10">
        <v>0.61</v>
      </c>
      <c r="D13" s="10">
        <v>4.2</v>
      </c>
    </row>
    <row r="14" spans="1:4" ht="15" customHeight="1" x14ac:dyDescent="0.25">
      <c r="A14" s="9" t="s">
        <v>77</v>
      </c>
      <c r="B14" s="10">
        <v>2.4E-2</v>
      </c>
      <c r="C14" s="10">
        <v>0.14000000000000001</v>
      </c>
      <c r="D14" s="10">
        <v>0.99</v>
      </c>
    </row>
    <row r="15" spans="1:4" ht="15" customHeight="1" x14ac:dyDescent="0.25">
      <c r="A15" s="9" t="s">
        <v>78</v>
      </c>
      <c r="B15" s="10">
        <v>2.0000000000000001E-4</v>
      </c>
      <c r="C15" s="10">
        <v>1.4E-3</v>
      </c>
      <c r="D15" s="10">
        <v>9.1000000000000004E-3</v>
      </c>
    </row>
    <row r="16" spans="1:4" ht="15" customHeight="1" x14ac:dyDescent="0.25">
      <c r="A16" s="9" t="s">
        <v>79</v>
      </c>
      <c r="B16" s="10">
        <v>2.0000000000000001E-4</v>
      </c>
      <c r="C16" s="10">
        <v>1.4E-3</v>
      </c>
      <c r="D16" s="10">
        <v>8.8000000000000005E-3</v>
      </c>
    </row>
    <row r="17" spans="1:4" ht="15" customHeight="1" x14ac:dyDescent="0.25">
      <c r="A17" s="9" t="s">
        <v>96</v>
      </c>
      <c r="B17" s="10">
        <v>8.1999999999999998E-4</v>
      </c>
      <c r="C17" s="10">
        <v>5.4999999999999997E-3</v>
      </c>
      <c r="D17" s="10">
        <v>3.5999999999999997E-2</v>
      </c>
    </row>
    <row r="18" spans="1:4" ht="15" customHeight="1" x14ac:dyDescent="0.25">
      <c r="A18" s="16" t="s">
        <v>97</v>
      </c>
      <c r="B18" s="13">
        <v>8.7999999999999998E-5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59AC-4CC7-4A2C-B5C7-F77B9DF0E6E8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143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9.2000000000000003E-4</v>
      </c>
      <c r="C5" s="10">
        <v>1.0999999999999999E-2</v>
      </c>
      <c r="D5" s="10">
        <v>3.1E-2</v>
      </c>
    </row>
    <row r="6" spans="1:4" ht="15" customHeight="1" x14ac:dyDescent="0.25">
      <c r="A6" s="9" t="s">
        <v>94</v>
      </c>
      <c r="B6" s="10">
        <v>2.0999999999999999E-3</v>
      </c>
      <c r="C6" s="10">
        <v>2.5000000000000001E-2</v>
      </c>
      <c r="D6" s="10">
        <v>7.0999999999999994E-2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4.6000000000000001E-4</v>
      </c>
      <c r="C8" s="10">
        <v>5.7000000000000002E-3</v>
      </c>
      <c r="D8" s="10">
        <v>1.7000000000000001E-2</v>
      </c>
    </row>
    <row r="9" spans="1:4" ht="15" customHeight="1" x14ac:dyDescent="0.25">
      <c r="A9" s="9" t="s">
        <v>72</v>
      </c>
      <c r="B9" s="10">
        <v>1.2999999999999999E-3</v>
      </c>
      <c r="C9" s="10">
        <v>1.7999999999999999E-2</v>
      </c>
      <c r="D9" s="10">
        <v>4.2999999999999997E-2</v>
      </c>
    </row>
    <row r="10" spans="1:4" ht="15" customHeight="1" x14ac:dyDescent="0.25">
      <c r="A10" s="9" t="s">
        <v>73</v>
      </c>
      <c r="B10" s="10">
        <v>1.6E-2</v>
      </c>
      <c r="C10" s="10">
        <v>0.23</v>
      </c>
      <c r="D10" s="10">
        <v>0.55000000000000004</v>
      </c>
    </row>
    <row r="11" spans="1:4" ht="15" customHeight="1" x14ac:dyDescent="0.25">
      <c r="A11" s="9" t="s">
        <v>74</v>
      </c>
      <c r="B11" s="10">
        <v>2.3E-2</v>
      </c>
      <c r="C11" s="10">
        <v>0.33</v>
      </c>
      <c r="D11" s="10">
        <v>0.78</v>
      </c>
    </row>
    <row r="12" spans="1:4" ht="15" customHeight="1" x14ac:dyDescent="0.25">
      <c r="A12" s="9" t="s">
        <v>75</v>
      </c>
      <c r="B12" s="10">
        <v>0.67</v>
      </c>
      <c r="C12" s="10">
        <v>10</v>
      </c>
      <c r="D12" s="10">
        <v>23</v>
      </c>
    </row>
    <row r="13" spans="1:4" ht="15" customHeight="1" x14ac:dyDescent="0.25">
      <c r="A13" s="9" t="s">
        <v>76</v>
      </c>
      <c r="B13" s="10">
        <v>0.11</v>
      </c>
      <c r="C13" s="10">
        <v>1.7</v>
      </c>
      <c r="D13" s="10">
        <v>4</v>
      </c>
    </row>
    <row r="14" spans="1:4" ht="15" customHeight="1" x14ac:dyDescent="0.25">
      <c r="A14" s="9" t="s">
        <v>77</v>
      </c>
      <c r="B14" s="10">
        <v>2.7E-2</v>
      </c>
      <c r="C14" s="10">
        <v>0.39</v>
      </c>
      <c r="D14" s="10">
        <v>0.92</v>
      </c>
    </row>
    <row r="15" spans="1:4" ht="15" customHeight="1" x14ac:dyDescent="0.25">
      <c r="A15" s="9" t="s">
        <v>78</v>
      </c>
      <c r="B15" s="10">
        <v>2.3000000000000001E-4</v>
      </c>
      <c r="C15" s="10">
        <v>3.0999999999999999E-3</v>
      </c>
      <c r="D15" s="10">
        <v>8.0999999999999996E-3</v>
      </c>
    </row>
    <row r="16" spans="1:4" ht="15" customHeight="1" x14ac:dyDescent="0.25">
      <c r="A16" s="9" t="s">
        <v>79</v>
      </c>
      <c r="B16" s="10">
        <v>2.3000000000000001E-4</v>
      </c>
      <c r="C16" s="10">
        <v>2.8E-3</v>
      </c>
      <c r="D16" s="10">
        <v>7.7999999999999996E-3</v>
      </c>
    </row>
    <row r="17" spans="1:4" ht="15" customHeight="1" x14ac:dyDescent="0.25">
      <c r="A17" s="9" t="s">
        <v>96</v>
      </c>
      <c r="B17" s="10">
        <v>9.3999999999999997E-4</v>
      </c>
      <c r="C17" s="10">
        <v>1.2E-2</v>
      </c>
      <c r="D17" s="10">
        <v>3.2000000000000001E-2</v>
      </c>
    </row>
    <row r="18" spans="1:4" ht="15" customHeight="1" x14ac:dyDescent="0.25">
      <c r="A18" s="16" t="s">
        <v>97</v>
      </c>
      <c r="B18" s="13">
        <v>1E-4</v>
      </c>
      <c r="C18" s="13">
        <v>1.2999999999999999E-3</v>
      </c>
      <c r="D18" s="13">
        <v>3.3999999999999998E-3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3A82-068B-4C4E-81AF-125ED6670642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144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8.8000000000000003E-4</v>
      </c>
      <c r="C5" s="10">
        <v>5.8999999999999999E-3</v>
      </c>
      <c r="D5" s="10">
        <v>4.1000000000000002E-2</v>
      </c>
    </row>
    <row r="6" spans="1:4" ht="15" customHeight="1" x14ac:dyDescent="0.25">
      <c r="A6" s="9" t="s">
        <v>94</v>
      </c>
      <c r="B6" s="10">
        <v>2E-3</v>
      </c>
      <c r="C6" s="10">
        <v>1.2999999999999999E-2</v>
      </c>
      <c r="D6" s="10">
        <v>9.1999999999999998E-2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4.6999999999999999E-4</v>
      </c>
      <c r="C8" s="10">
        <v>3.2000000000000002E-3</v>
      </c>
      <c r="D8" s="10">
        <v>2.4E-2</v>
      </c>
    </row>
    <row r="9" spans="1:4" ht="15" customHeight="1" x14ac:dyDescent="0.25">
      <c r="A9" s="9" t="s">
        <v>72</v>
      </c>
      <c r="B9" s="10">
        <v>1.2999999999999999E-3</v>
      </c>
      <c r="C9" s="10">
        <v>9.2999999999999992E-3</v>
      </c>
      <c r="D9" s="10">
        <v>5.7000000000000002E-2</v>
      </c>
    </row>
    <row r="10" spans="1:4" ht="15" customHeight="1" x14ac:dyDescent="0.25">
      <c r="A10" s="9" t="s">
        <v>73</v>
      </c>
      <c r="B10" s="10">
        <v>1.6E-2</v>
      </c>
      <c r="C10" s="10">
        <v>0.12</v>
      </c>
      <c r="D10" s="10">
        <v>0.72</v>
      </c>
    </row>
    <row r="11" spans="1:4" ht="15" customHeight="1" x14ac:dyDescent="0.25">
      <c r="A11" s="9" t="s">
        <v>74</v>
      </c>
      <c r="B11" s="10">
        <v>2.3E-2</v>
      </c>
      <c r="C11" s="10">
        <v>0.17</v>
      </c>
      <c r="D11" s="10">
        <v>1</v>
      </c>
    </row>
    <row r="12" spans="1:4" ht="15" customHeight="1" x14ac:dyDescent="0.25">
      <c r="A12" s="9" t="s">
        <v>75</v>
      </c>
      <c r="B12" s="10">
        <v>0.67</v>
      </c>
      <c r="C12" s="10">
        <v>4.7</v>
      </c>
      <c r="D12" s="10">
        <v>31</v>
      </c>
    </row>
    <row r="13" spans="1:4" ht="15" customHeight="1" x14ac:dyDescent="0.25">
      <c r="A13" s="9" t="s">
        <v>76</v>
      </c>
      <c r="B13" s="10">
        <v>0.11</v>
      </c>
      <c r="C13" s="10">
        <v>0.8</v>
      </c>
      <c r="D13" s="10">
        <v>5.3</v>
      </c>
    </row>
    <row r="14" spans="1:4" ht="15" customHeight="1" x14ac:dyDescent="0.25">
      <c r="A14" s="9" t="s">
        <v>77</v>
      </c>
      <c r="B14" s="10">
        <v>2.7E-2</v>
      </c>
      <c r="C14" s="10">
        <v>0.2</v>
      </c>
      <c r="D14" s="10">
        <v>1.2</v>
      </c>
    </row>
    <row r="15" spans="1:4" ht="15" customHeight="1" x14ac:dyDescent="0.25">
      <c r="A15" s="9" t="s">
        <v>78</v>
      </c>
      <c r="B15" s="10">
        <v>2.2000000000000001E-4</v>
      </c>
      <c r="C15" s="10">
        <v>1.2999999999999999E-3</v>
      </c>
      <c r="D15" s="10">
        <v>1.0999999999999999E-2</v>
      </c>
    </row>
    <row r="16" spans="1:4" ht="15" customHeight="1" x14ac:dyDescent="0.25">
      <c r="A16" s="9" t="s">
        <v>79</v>
      </c>
      <c r="B16" s="10">
        <v>2.1000000000000001E-4</v>
      </c>
      <c r="C16" s="10">
        <v>1.2999999999999999E-3</v>
      </c>
      <c r="D16" s="10">
        <v>0.01</v>
      </c>
    </row>
    <row r="17" spans="1:4" ht="15" customHeight="1" x14ac:dyDescent="0.25">
      <c r="A17" s="9" t="s">
        <v>96</v>
      </c>
      <c r="B17" s="10">
        <v>8.9999999999999998E-4</v>
      </c>
      <c r="C17" s="10">
        <v>5.5999999999999999E-3</v>
      </c>
      <c r="D17" s="10">
        <v>4.1000000000000002E-2</v>
      </c>
    </row>
    <row r="18" spans="1:4" ht="15" customHeight="1" x14ac:dyDescent="0.25">
      <c r="A18" s="16" t="s">
        <v>97</v>
      </c>
      <c r="B18" s="13">
        <v>9.7E-5</v>
      </c>
      <c r="C18" s="13">
        <v>5.9999999999999995E-4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B416-EB77-4C21-AD57-94D5905FB3FE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145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9.7999999999999997E-4</v>
      </c>
      <c r="C5" s="10">
        <v>2.5999999999999999E-3</v>
      </c>
      <c r="D5" s="10">
        <v>4.8000000000000001E-2</v>
      </c>
    </row>
    <row r="6" spans="1:4" ht="15" customHeight="1" x14ac:dyDescent="0.25">
      <c r="A6" s="9" t="s">
        <v>94</v>
      </c>
      <c r="B6" s="10">
        <v>2.2000000000000001E-3</v>
      </c>
      <c r="C6" s="10">
        <v>6.0000000000000001E-3</v>
      </c>
      <c r="D6" s="10">
        <v>0.11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5.1999999999999995E-4</v>
      </c>
      <c r="C8" s="10">
        <v>1.4E-3</v>
      </c>
      <c r="D8" s="10">
        <v>2.7E-2</v>
      </c>
    </row>
    <row r="9" spans="1:4" ht="15" customHeight="1" x14ac:dyDescent="0.25">
      <c r="A9" s="9" t="s">
        <v>72</v>
      </c>
      <c r="B9" s="10">
        <v>1.2999999999999999E-3</v>
      </c>
      <c r="C9" s="10">
        <v>4.1000000000000003E-3</v>
      </c>
      <c r="D9" s="10">
        <v>6.7000000000000004E-2</v>
      </c>
    </row>
    <row r="10" spans="1:4" ht="15" customHeight="1" x14ac:dyDescent="0.25">
      <c r="A10" s="9" t="s">
        <v>73</v>
      </c>
      <c r="B10" s="10">
        <v>1.7000000000000001E-2</v>
      </c>
      <c r="C10" s="10">
        <v>5.1999999999999998E-2</v>
      </c>
      <c r="D10" s="10">
        <v>0.86</v>
      </c>
    </row>
    <row r="11" spans="1:4" ht="15" customHeight="1" x14ac:dyDescent="0.25">
      <c r="A11" s="9" t="s">
        <v>74</v>
      </c>
      <c r="B11" s="10">
        <v>2.5000000000000001E-2</v>
      </c>
      <c r="C11" s="10">
        <v>7.3999999999999996E-2</v>
      </c>
      <c r="D11" s="10">
        <v>1.2</v>
      </c>
    </row>
    <row r="12" spans="1:4" ht="15" customHeight="1" x14ac:dyDescent="0.25">
      <c r="A12" s="9" t="s">
        <v>75</v>
      </c>
      <c r="B12" s="10">
        <v>0.7</v>
      </c>
      <c r="C12" s="10">
        <v>2.1</v>
      </c>
      <c r="D12" s="10">
        <v>36</v>
      </c>
    </row>
    <row r="13" spans="1:4" ht="15" customHeight="1" x14ac:dyDescent="0.25">
      <c r="A13" s="9" t="s">
        <v>76</v>
      </c>
      <c r="B13" s="10">
        <v>0.12</v>
      </c>
      <c r="C13" s="10">
        <v>0.35</v>
      </c>
      <c r="D13" s="10">
        <v>6.2</v>
      </c>
    </row>
    <row r="14" spans="1:4" ht="15" customHeight="1" x14ac:dyDescent="0.25">
      <c r="A14" s="9" t="s">
        <v>77</v>
      </c>
      <c r="B14" s="10">
        <v>2.9000000000000001E-2</v>
      </c>
      <c r="C14" s="10">
        <v>8.6999999999999994E-2</v>
      </c>
      <c r="D14" s="10">
        <v>1.4</v>
      </c>
    </row>
    <row r="15" spans="1:4" ht="15" customHeight="1" x14ac:dyDescent="0.25">
      <c r="A15" s="9" t="s">
        <v>78</v>
      </c>
      <c r="B15" s="10">
        <v>2.5000000000000001E-4</v>
      </c>
      <c r="C15" s="10">
        <v>6.2E-4</v>
      </c>
      <c r="D15" s="10">
        <v>1.2E-2</v>
      </c>
    </row>
    <row r="16" spans="1:4" ht="15" customHeight="1" x14ac:dyDescent="0.25">
      <c r="A16" s="9" t="s">
        <v>79</v>
      </c>
      <c r="B16" s="10">
        <v>2.4000000000000001E-4</v>
      </c>
      <c r="C16" s="10">
        <v>5.9999999999999995E-4</v>
      </c>
      <c r="D16" s="10">
        <v>1.2E-2</v>
      </c>
    </row>
    <row r="17" spans="1:4" ht="15" customHeight="1" x14ac:dyDescent="0.25">
      <c r="A17" s="9" t="s">
        <v>96</v>
      </c>
      <c r="B17" s="10">
        <v>9.7999999999999997E-4</v>
      </c>
      <c r="C17" s="10">
        <v>2.5000000000000001E-3</v>
      </c>
      <c r="D17" s="10">
        <v>4.9000000000000002E-2</v>
      </c>
    </row>
    <row r="18" spans="1:4" ht="15" customHeight="1" x14ac:dyDescent="0.25">
      <c r="A18" s="16" t="s">
        <v>97</v>
      </c>
      <c r="B18" s="13">
        <v>1.1E-4</v>
      </c>
      <c r="C18" s="13">
        <v>2.7E-4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C6C5-1B48-4C4D-8759-BF473743C953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146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6.9999999999999999E-4</v>
      </c>
      <c r="C5" s="10">
        <v>4.7999999999999996E-3</v>
      </c>
      <c r="D5" s="10">
        <v>1.7000000000000001E-2</v>
      </c>
    </row>
    <row r="6" spans="1:4" ht="15" customHeight="1" x14ac:dyDescent="0.25">
      <c r="A6" s="9" t="s">
        <v>94</v>
      </c>
      <c r="B6" s="10">
        <v>1.6000000000000001E-3</v>
      </c>
      <c r="C6" s="10">
        <v>1.0999999999999999E-2</v>
      </c>
      <c r="D6" s="10">
        <v>3.9E-2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3.3E-4</v>
      </c>
      <c r="C8" s="10">
        <v>2.3E-3</v>
      </c>
      <c r="D8" s="10">
        <v>9.4000000000000004E-3</v>
      </c>
    </row>
    <row r="9" spans="1:4" ht="15" customHeight="1" x14ac:dyDescent="0.25">
      <c r="A9" s="9" t="s">
        <v>72</v>
      </c>
      <c r="B9" s="10">
        <v>8.8999999999999995E-4</v>
      </c>
      <c r="C9" s="10">
        <v>5.7000000000000002E-3</v>
      </c>
      <c r="D9" s="10">
        <v>2.1999999999999999E-2</v>
      </c>
    </row>
    <row r="10" spans="1:4" ht="15" customHeight="1" x14ac:dyDescent="0.25">
      <c r="A10" s="9" t="s">
        <v>73</v>
      </c>
      <c r="B10" s="10">
        <v>1.0999999999999999E-2</v>
      </c>
      <c r="C10" s="10">
        <v>7.2999999999999995E-2</v>
      </c>
      <c r="D10" s="10">
        <v>0.28999999999999998</v>
      </c>
    </row>
    <row r="11" spans="1:4" ht="15" customHeight="1" x14ac:dyDescent="0.25">
      <c r="A11" s="9" t="s">
        <v>74</v>
      </c>
      <c r="B11" s="10">
        <v>1.6E-2</v>
      </c>
      <c r="C11" s="10">
        <v>0.1</v>
      </c>
      <c r="D11" s="10">
        <v>0.41</v>
      </c>
    </row>
    <row r="12" spans="1:4" ht="15" customHeight="1" x14ac:dyDescent="0.25">
      <c r="A12" s="9" t="s">
        <v>75</v>
      </c>
      <c r="B12" s="10">
        <v>0.46</v>
      </c>
      <c r="C12" s="10">
        <v>3</v>
      </c>
      <c r="D12" s="10">
        <v>12</v>
      </c>
    </row>
    <row r="13" spans="1:4" ht="15" customHeight="1" x14ac:dyDescent="0.25">
      <c r="A13" s="9" t="s">
        <v>76</v>
      </c>
      <c r="B13" s="10">
        <v>7.6999999999999999E-2</v>
      </c>
      <c r="C13" s="10">
        <v>0.52</v>
      </c>
      <c r="D13" s="10">
        <v>2</v>
      </c>
    </row>
    <row r="14" spans="1:4" ht="15" customHeight="1" x14ac:dyDescent="0.25">
      <c r="A14" s="9" t="s">
        <v>77</v>
      </c>
      <c r="B14" s="10">
        <v>1.9E-2</v>
      </c>
      <c r="C14" s="10">
        <v>0.12</v>
      </c>
      <c r="D14" s="10">
        <v>0.48</v>
      </c>
    </row>
    <row r="15" spans="1:4" ht="15" customHeight="1" x14ac:dyDescent="0.25">
      <c r="A15" s="9" t="s">
        <v>78</v>
      </c>
      <c r="B15" s="10">
        <v>1.7000000000000001E-4</v>
      </c>
      <c r="C15" s="10">
        <v>1.1999999999999999E-3</v>
      </c>
      <c r="D15" s="10">
        <v>4.4000000000000003E-3</v>
      </c>
    </row>
    <row r="16" spans="1:4" ht="15" customHeight="1" x14ac:dyDescent="0.25">
      <c r="A16" s="9" t="s">
        <v>79</v>
      </c>
      <c r="B16" s="10">
        <v>1.7000000000000001E-4</v>
      </c>
      <c r="C16" s="10">
        <v>1.1999999999999999E-3</v>
      </c>
      <c r="D16" s="10">
        <v>4.3E-3</v>
      </c>
    </row>
    <row r="17" spans="1:4" ht="15" customHeight="1" x14ac:dyDescent="0.25">
      <c r="A17" s="9" t="s">
        <v>96</v>
      </c>
      <c r="B17" s="10">
        <v>6.8000000000000005E-4</v>
      </c>
      <c r="C17" s="10">
        <v>4.8999999999999998E-3</v>
      </c>
      <c r="D17" s="10">
        <v>1.7999999999999999E-2</v>
      </c>
    </row>
    <row r="18" spans="1:4" ht="15" customHeight="1" x14ac:dyDescent="0.25">
      <c r="A18" s="16" t="s">
        <v>97</v>
      </c>
      <c r="B18" s="13">
        <v>7.3999999999999996E-5</v>
      </c>
      <c r="C18" s="13">
        <v>5.4000000000000001E-4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91E4-3C1D-4007-A247-2746F525BCFB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147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2.4000000000000001E-4</v>
      </c>
      <c r="C5" s="10">
        <v>1.6000000000000001E-3</v>
      </c>
      <c r="D5" s="10">
        <v>5.8999999999999999E-3</v>
      </c>
    </row>
    <row r="6" spans="1:4" ht="15" customHeight="1" x14ac:dyDescent="0.25">
      <c r="A6" s="9" t="s">
        <v>94</v>
      </c>
      <c r="B6" s="10">
        <v>5.4000000000000001E-4</v>
      </c>
      <c r="C6" s="10">
        <v>3.5000000000000001E-3</v>
      </c>
      <c r="D6" s="10">
        <v>1.2999999999999999E-2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1.3999999999999999E-4</v>
      </c>
      <c r="C8" s="10">
        <v>8.4000000000000003E-4</v>
      </c>
      <c r="D8" s="10">
        <v>3.2000000000000002E-3</v>
      </c>
    </row>
    <row r="9" spans="1:4" ht="15" customHeight="1" x14ac:dyDescent="0.25">
      <c r="A9" s="9" t="s">
        <v>72</v>
      </c>
      <c r="B9" s="10">
        <v>3.8000000000000002E-4</v>
      </c>
      <c r="C9" s="10">
        <v>2E-3</v>
      </c>
      <c r="D9" s="10">
        <v>8.0000000000000002E-3</v>
      </c>
    </row>
    <row r="10" spans="1:4" ht="15" customHeight="1" x14ac:dyDescent="0.25">
      <c r="A10" s="9" t="s">
        <v>73</v>
      </c>
      <c r="B10" s="10">
        <v>4.8999999999999998E-3</v>
      </c>
      <c r="C10" s="10">
        <v>2.5999999999999999E-2</v>
      </c>
      <c r="D10" s="10">
        <v>0.1</v>
      </c>
    </row>
    <row r="11" spans="1:4" ht="15" customHeight="1" x14ac:dyDescent="0.25">
      <c r="A11" s="9" t="s">
        <v>74</v>
      </c>
      <c r="B11" s="10">
        <v>7.0000000000000001E-3</v>
      </c>
      <c r="C11" s="10">
        <v>3.6999999999999998E-2</v>
      </c>
      <c r="D11" s="10">
        <v>0.14000000000000001</v>
      </c>
    </row>
    <row r="12" spans="1:4" ht="15" customHeight="1" x14ac:dyDescent="0.25">
      <c r="A12" s="9" t="s">
        <v>75</v>
      </c>
      <c r="B12" s="10">
        <v>0.21</v>
      </c>
      <c r="C12" s="10">
        <v>1.1000000000000001</v>
      </c>
      <c r="D12" s="10">
        <v>4.4000000000000004</v>
      </c>
    </row>
    <row r="13" spans="1:4" ht="15" customHeight="1" x14ac:dyDescent="0.25">
      <c r="A13" s="9" t="s">
        <v>76</v>
      </c>
      <c r="B13" s="10">
        <v>3.5999999999999997E-2</v>
      </c>
      <c r="C13" s="10">
        <v>0.19</v>
      </c>
      <c r="D13" s="10">
        <v>0.75</v>
      </c>
    </row>
    <row r="14" spans="1:4" ht="15" customHeight="1" x14ac:dyDescent="0.25">
      <c r="A14" s="9" t="s">
        <v>77</v>
      </c>
      <c r="B14" s="10">
        <v>8.2000000000000007E-3</v>
      </c>
      <c r="C14" s="10">
        <v>4.2999999999999997E-2</v>
      </c>
      <c r="D14" s="10">
        <v>0.17</v>
      </c>
    </row>
    <row r="15" spans="1:4" ht="15" customHeight="1" x14ac:dyDescent="0.25">
      <c r="A15" s="9" t="s">
        <v>78</v>
      </c>
      <c r="B15" s="10">
        <v>6.6000000000000005E-5</v>
      </c>
      <c r="C15" s="10">
        <v>4.2000000000000002E-4</v>
      </c>
      <c r="D15" s="10">
        <v>1.5E-3</v>
      </c>
    </row>
    <row r="16" spans="1:4" ht="15" customHeight="1" x14ac:dyDescent="0.25">
      <c r="A16" s="9" t="s">
        <v>79</v>
      </c>
      <c r="B16" s="10">
        <v>6.2000000000000003E-5</v>
      </c>
      <c r="C16" s="10">
        <v>4.0000000000000002E-4</v>
      </c>
      <c r="D16" s="10">
        <v>1.4E-3</v>
      </c>
    </row>
    <row r="17" spans="1:4" ht="15" customHeight="1" x14ac:dyDescent="0.25">
      <c r="A17" s="9" t="s">
        <v>96</v>
      </c>
      <c r="B17" s="10">
        <v>2.5999999999999998E-4</v>
      </c>
      <c r="C17" s="10">
        <v>1.6000000000000001E-3</v>
      </c>
      <c r="D17" s="10">
        <v>6.0000000000000001E-3</v>
      </c>
    </row>
    <row r="18" spans="1:4" ht="15" customHeight="1" x14ac:dyDescent="0.25">
      <c r="A18" s="16" t="s">
        <v>97</v>
      </c>
      <c r="B18" s="13">
        <v>2.8E-5</v>
      </c>
      <c r="C18" s="13">
        <v>1.7000000000000001E-4</v>
      </c>
      <c r="D18" s="13">
        <v>6.4999999999999997E-4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0BE0-19D7-4309-B448-EA6F7FA60F9A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148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7.7999999999999999E-4</v>
      </c>
      <c r="C5" s="10">
        <v>6.1000000000000004E-3</v>
      </c>
      <c r="D5" s="10">
        <v>5.1999999999999998E-2</v>
      </c>
    </row>
    <row r="6" spans="1:4" ht="15" customHeight="1" x14ac:dyDescent="0.25">
      <c r="A6" s="9" t="s">
        <v>94</v>
      </c>
      <c r="B6" s="10">
        <v>1.8E-3</v>
      </c>
      <c r="C6" s="10">
        <v>1.4E-2</v>
      </c>
      <c r="D6" s="10">
        <v>0.12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4.0999999999999999E-4</v>
      </c>
      <c r="C8" s="10">
        <v>3.0999999999999999E-3</v>
      </c>
      <c r="D8" s="10">
        <v>2.5999999999999999E-2</v>
      </c>
    </row>
    <row r="9" spans="1:4" ht="15" customHeight="1" x14ac:dyDescent="0.25">
      <c r="A9" s="9" t="s">
        <v>72</v>
      </c>
      <c r="B9" s="10">
        <v>1.1000000000000001E-3</v>
      </c>
      <c r="C9" s="10">
        <v>7.7000000000000002E-3</v>
      </c>
      <c r="D9" s="10">
        <v>7.3999999999999996E-2</v>
      </c>
    </row>
    <row r="10" spans="1:4" ht="15" customHeight="1" x14ac:dyDescent="0.25">
      <c r="A10" s="9" t="s">
        <v>73</v>
      </c>
      <c r="B10" s="10">
        <v>1.4E-2</v>
      </c>
      <c r="C10" s="10">
        <v>9.8000000000000004E-2</v>
      </c>
      <c r="D10" s="10">
        <v>0.94</v>
      </c>
    </row>
    <row r="11" spans="1:4" ht="15" customHeight="1" x14ac:dyDescent="0.25">
      <c r="A11" s="9" t="s">
        <v>74</v>
      </c>
      <c r="B11" s="10">
        <v>0.02</v>
      </c>
      <c r="C11" s="10">
        <v>0.14000000000000001</v>
      </c>
      <c r="D11" s="10">
        <v>1.3</v>
      </c>
    </row>
    <row r="12" spans="1:4" ht="15" customHeight="1" x14ac:dyDescent="0.25">
      <c r="A12" s="9" t="s">
        <v>75</v>
      </c>
      <c r="B12" s="10">
        <v>0.53</v>
      </c>
      <c r="C12" s="10">
        <v>3.8</v>
      </c>
      <c r="D12" s="10">
        <v>36</v>
      </c>
    </row>
    <row r="13" spans="1:4" ht="15" customHeight="1" x14ac:dyDescent="0.25">
      <c r="A13" s="9" t="s">
        <v>76</v>
      </c>
      <c r="B13" s="10">
        <v>0.09</v>
      </c>
      <c r="C13" s="10">
        <v>0.65</v>
      </c>
      <c r="D13" s="10">
        <v>6.1</v>
      </c>
    </row>
    <row r="14" spans="1:4" ht="15" customHeight="1" x14ac:dyDescent="0.25">
      <c r="A14" s="9" t="s">
        <v>77</v>
      </c>
      <c r="B14" s="10">
        <v>2.3E-2</v>
      </c>
      <c r="C14" s="10">
        <v>0.16</v>
      </c>
      <c r="D14" s="10">
        <v>1.5</v>
      </c>
    </row>
    <row r="15" spans="1:4" ht="15" customHeight="1" x14ac:dyDescent="0.25">
      <c r="A15" s="9" t="s">
        <v>78</v>
      </c>
      <c r="B15" s="10">
        <v>2.0000000000000001E-4</v>
      </c>
      <c r="C15" s="10">
        <v>1.6000000000000001E-3</v>
      </c>
      <c r="D15" s="10">
        <v>1.2999999999999999E-2</v>
      </c>
    </row>
    <row r="16" spans="1:4" ht="15" customHeight="1" x14ac:dyDescent="0.25">
      <c r="A16" s="9" t="s">
        <v>79</v>
      </c>
      <c r="B16" s="10">
        <v>2.0000000000000001E-4</v>
      </c>
      <c r="C16" s="10">
        <v>1.5E-3</v>
      </c>
      <c r="D16" s="10">
        <v>1.2999999999999999E-2</v>
      </c>
    </row>
    <row r="17" spans="1:4" ht="15" customHeight="1" x14ac:dyDescent="0.25">
      <c r="A17" s="9" t="s">
        <v>96</v>
      </c>
      <c r="B17" s="10">
        <v>8.0000000000000004E-4</v>
      </c>
      <c r="C17" s="10">
        <v>6.3E-3</v>
      </c>
      <c r="D17" s="10">
        <v>5.5E-2</v>
      </c>
    </row>
    <row r="18" spans="1:4" ht="15" customHeight="1" x14ac:dyDescent="0.25">
      <c r="A18" s="16" t="s">
        <v>97</v>
      </c>
      <c r="B18" s="13">
        <v>8.6000000000000003E-5</v>
      </c>
      <c r="C18" s="13">
        <v>6.8000000000000005E-4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1E72-C283-45B7-B2E2-6AF5EE27ACF9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149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5.1999999999999995E-4</v>
      </c>
      <c r="C5" s="10">
        <v>6.4999999999999997E-3</v>
      </c>
      <c r="D5" s="10">
        <v>2.1000000000000001E-2</v>
      </c>
    </row>
    <row r="6" spans="1:4" ht="15" customHeight="1" x14ac:dyDescent="0.25">
      <c r="A6" s="9" t="s">
        <v>94</v>
      </c>
      <c r="B6" s="10">
        <v>1.1999999999999999E-3</v>
      </c>
      <c r="C6" s="10">
        <v>1.4999999999999999E-2</v>
      </c>
      <c r="D6" s="10">
        <v>4.9000000000000002E-2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2.5000000000000001E-4</v>
      </c>
      <c r="C8" s="10">
        <v>3.0000000000000001E-3</v>
      </c>
      <c r="D8" s="10">
        <v>9.2999999999999992E-3</v>
      </c>
    </row>
    <row r="9" spans="1:4" ht="15" customHeight="1" x14ac:dyDescent="0.25">
      <c r="A9" s="9" t="s">
        <v>72</v>
      </c>
      <c r="B9" s="10">
        <v>6.6E-4</v>
      </c>
      <c r="C9" s="10">
        <v>7.7999999999999996E-3</v>
      </c>
      <c r="D9" s="10">
        <v>2.5999999999999999E-2</v>
      </c>
    </row>
    <row r="10" spans="1:4" ht="15" customHeight="1" x14ac:dyDescent="0.25">
      <c r="A10" s="9" t="s">
        <v>73</v>
      </c>
      <c r="B10" s="10">
        <v>8.3999999999999995E-3</v>
      </c>
      <c r="C10" s="10">
        <v>0.1</v>
      </c>
      <c r="D10" s="10">
        <v>0.33</v>
      </c>
    </row>
    <row r="11" spans="1:4" ht="15" customHeight="1" x14ac:dyDescent="0.25">
      <c r="A11" s="9" t="s">
        <v>74</v>
      </c>
      <c r="B11" s="10">
        <v>1.2E-2</v>
      </c>
      <c r="C11" s="10">
        <v>0.14000000000000001</v>
      </c>
      <c r="D11" s="10">
        <v>0.47</v>
      </c>
    </row>
    <row r="12" spans="1:4" ht="15" customHeight="1" x14ac:dyDescent="0.25">
      <c r="A12" s="9" t="s">
        <v>75</v>
      </c>
      <c r="B12" s="10">
        <v>0.32</v>
      </c>
      <c r="C12" s="10">
        <v>3.9</v>
      </c>
      <c r="D12" s="10">
        <v>13</v>
      </c>
    </row>
    <row r="13" spans="1:4" ht="15" customHeight="1" x14ac:dyDescent="0.25">
      <c r="A13" s="9" t="s">
        <v>76</v>
      </c>
      <c r="B13" s="10">
        <v>5.5E-2</v>
      </c>
      <c r="C13" s="10">
        <v>0.67</v>
      </c>
      <c r="D13" s="10">
        <v>2.2000000000000002</v>
      </c>
    </row>
    <row r="14" spans="1:4" ht="15" customHeight="1" x14ac:dyDescent="0.25">
      <c r="A14" s="9" t="s">
        <v>77</v>
      </c>
      <c r="B14" s="10">
        <v>1.4E-2</v>
      </c>
      <c r="C14" s="10">
        <v>0.16</v>
      </c>
      <c r="D14" s="10">
        <v>0.54</v>
      </c>
    </row>
    <row r="15" spans="1:4" ht="15" customHeight="1" x14ac:dyDescent="0.25">
      <c r="A15" s="9" t="s">
        <v>78</v>
      </c>
      <c r="B15" s="10">
        <v>1.2999999999999999E-4</v>
      </c>
      <c r="C15" s="10">
        <v>1.6999999999999999E-3</v>
      </c>
      <c r="D15" s="10">
        <v>5.7000000000000002E-3</v>
      </c>
    </row>
    <row r="16" spans="1:4" ht="15" customHeight="1" x14ac:dyDescent="0.25">
      <c r="A16" s="9" t="s">
        <v>79</v>
      </c>
      <c r="B16" s="10">
        <v>1.2E-4</v>
      </c>
      <c r="C16" s="10">
        <v>1.6999999999999999E-3</v>
      </c>
      <c r="D16" s="10">
        <v>5.4999999999999997E-3</v>
      </c>
    </row>
    <row r="17" spans="1:4" ht="15" customHeight="1" x14ac:dyDescent="0.25">
      <c r="A17" s="9" t="s">
        <v>96</v>
      </c>
      <c r="B17" s="10">
        <v>5.1999999999999995E-4</v>
      </c>
      <c r="C17" s="10">
        <v>6.7999999999999996E-3</v>
      </c>
      <c r="D17" s="10">
        <v>2.3E-2</v>
      </c>
    </row>
    <row r="18" spans="1:4" ht="15" customHeight="1" x14ac:dyDescent="0.25">
      <c r="A18" s="16" t="s">
        <v>97</v>
      </c>
      <c r="B18" s="13">
        <v>5.5999999999999999E-5</v>
      </c>
      <c r="C18" s="13">
        <v>7.2999999999999996E-4</v>
      </c>
      <c r="D18" s="13">
        <v>2.5000000000000001E-3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3855-403F-480E-B65E-B197E579CA66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2" t="s">
        <v>150</v>
      </c>
      <c r="B1" s="42"/>
      <c r="C1" s="42"/>
      <c r="D1" s="42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9.3999999999999997E-4</v>
      </c>
      <c r="C5" s="10">
        <v>9.4999999999999998E-3</v>
      </c>
      <c r="D5" s="10">
        <v>4.3999999999999997E-2</v>
      </c>
    </row>
    <row r="6" spans="1:4" ht="15" customHeight="1" x14ac:dyDescent="0.25">
      <c r="A6" s="9" t="s">
        <v>94</v>
      </c>
      <c r="B6" s="10">
        <v>2.0999999999999999E-3</v>
      </c>
      <c r="C6" s="10">
        <v>2.1999999999999999E-2</v>
      </c>
      <c r="D6" s="10">
        <v>0.1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4.6999999999999999E-4</v>
      </c>
      <c r="C8" s="10">
        <v>4.8999999999999998E-3</v>
      </c>
      <c r="D8" s="10">
        <v>2.4E-2</v>
      </c>
    </row>
    <row r="9" spans="1:4" ht="15" customHeight="1" x14ac:dyDescent="0.25">
      <c r="A9" s="9" t="s">
        <v>72</v>
      </c>
      <c r="B9" s="10">
        <v>1.4E-3</v>
      </c>
      <c r="C9" s="10">
        <v>1.4E-2</v>
      </c>
      <c r="D9" s="10">
        <v>6.6000000000000003E-2</v>
      </c>
    </row>
    <row r="10" spans="1:4" ht="15" customHeight="1" x14ac:dyDescent="0.25">
      <c r="A10" s="9" t="s">
        <v>73</v>
      </c>
      <c r="B10" s="10">
        <v>1.7999999999999999E-2</v>
      </c>
      <c r="C10" s="10">
        <v>0.18</v>
      </c>
      <c r="D10" s="10">
        <v>0.84</v>
      </c>
    </row>
    <row r="11" spans="1:4" ht="15" customHeight="1" x14ac:dyDescent="0.25">
      <c r="A11" s="9" t="s">
        <v>74</v>
      </c>
      <c r="B11" s="10">
        <v>2.5000000000000001E-2</v>
      </c>
      <c r="C11" s="10">
        <v>0.25</v>
      </c>
      <c r="D11" s="10">
        <v>1.2</v>
      </c>
    </row>
    <row r="12" spans="1:4" ht="15" customHeight="1" x14ac:dyDescent="0.25">
      <c r="A12" s="9" t="s">
        <v>75</v>
      </c>
      <c r="B12" s="10">
        <v>0.68</v>
      </c>
      <c r="C12" s="10">
        <v>7</v>
      </c>
      <c r="D12" s="10">
        <v>33</v>
      </c>
    </row>
    <row r="13" spans="1:4" ht="15" customHeight="1" x14ac:dyDescent="0.25">
      <c r="A13" s="9" t="s">
        <v>76</v>
      </c>
      <c r="B13" s="10">
        <v>0.12</v>
      </c>
      <c r="C13" s="10">
        <v>1.2</v>
      </c>
      <c r="D13" s="10">
        <v>5.6</v>
      </c>
    </row>
    <row r="14" spans="1:4" ht="15" customHeight="1" x14ac:dyDescent="0.25">
      <c r="A14" s="9" t="s">
        <v>77</v>
      </c>
      <c r="B14" s="10">
        <v>2.9000000000000001E-2</v>
      </c>
      <c r="C14" s="10">
        <v>0.28999999999999998</v>
      </c>
      <c r="D14" s="10">
        <v>1.4</v>
      </c>
    </row>
    <row r="15" spans="1:4" ht="15" customHeight="1" x14ac:dyDescent="0.25">
      <c r="A15" s="9" t="s">
        <v>78</v>
      </c>
      <c r="B15" s="10">
        <v>2.5000000000000001E-4</v>
      </c>
      <c r="C15" s="10">
        <v>2.5999999999999999E-3</v>
      </c>
      <c r="D15" s="10">
        <v>1.2E-2</v>
      </c>
    </row>
    <row r="16" spans="1:4" ht="15" customHeight="1" x14ac:dyDescent="0.25">
      <c r="A16" s="9" t="s">
        <v>79</v>
      </c>
      <c r="B16" s="10">
        <v>2.4000000000000001E-4</v>
      </c>
      <c r="C16" s="10">
        <v>2.5000000000000001E-3</v>
      </c>
      <c r="D16" s="10">
        <v>1.0999999999999999E-2</v>
      </c>
    </row>
    <row r="17" spans="1:4" ht="15" customHeight="1" x14ac:dyDescent="0.25">
      <c r="A17" s="9" t="s">
        <v>96</v>
      </c>
      <c r="B17" s="10">
        <v>9.7000000000000005E-4</v>
      </c>
      <c r="C17" s="10">
        <v>0.01</v>
      </c>
      <c r="D17" s="10">
        <v>4.4999999999999998E-2</v>
      </c>
    </row>
    <row r="18" spans="1:4" ht="15" customHeight="1" x14ac:dyDescent="0.25">
      <c r="A18" s="16" t="s">
        <v>97</v>
      </c>
      <c r="B18" s="13">
        <v>1E-4</v>
      </c>
      <c r="C18" s="13">
        <v>1.1000000000000001E-3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D0F9-E3A4-4853-9F71-64C295318CC0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2" t="s">
        <v>151</v>
      </c>
      <c r="B1" s="42"/>
      <c r="C1" s="42"/>
      <c r="D1" s="42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1.4E-3</v>
      </c>
      <c r="C5" s="10">
        <v>7.1000000000000004E-3</v>
      </c>
      <c r="D5" s="10">
        <v>6.0999999999999999E-2</v>
      </c>
    </row>
    <row r="6" spans="1:4" ht="15" customHeight="1" x14ac:dyDescent="0.25">
      <c r="A6" s="9" t="s">
        <v>94</v>
      </c>
      <c r="B6" s="10">
        <v>3.3E-3</v>
      </c>
      <c r="C6" s="10">
        <v>1.6E-2</v>
      </c>
      <c r="D6" s="10">
        <v>0.14000000000000001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7.1000000000000002E-4</v>
      </c>
      <c r="C8" s="10">
        <v>3.3E-3</v>
      </c>
      <c r="D8" s="10">
        <v>2.5999999999999999E-2</v>
      </c>
    </row>
    <row r="9" spans="1:4" ht="15" customHeight="1" x14ac:dyDescent="0.25">
      <c r="A9" s="9" t="s">
        <v>72</v>
      </c>
      <c r="B9" s="10">
        <v>1.6999999999999999E-3</v>
      </c>
      <c r="C9" s="10">
        <v>8.3999999999999995E-3</v>
      </c>
      <c r="D9" s="10">
        <v>6.8000000000000005E-2</v>
      </c>
    </row>
    <row r="10" spans="1:4" ht="15" customHeight="1" x14ac:dyDescent="0.25">
      <c r="A10" s="9" t="s">
        <v>73</v>
      </c>
      <c r="B10" s="10">
        <v>2.1999999999999999E-2</v>
      </c>
      <c r="C10" s="10">
        <v>0.11</v>
      </c>
      <c r="D10" s="10">
        <v>0.87</v>
      </c>
    </row>
    <row r="11" spans="1:4" ht="15" customHeight="1" x14ac:dyDescent="0.25">
      <c r="A11" s="9" t="s">
        <v>74</v>
      </c>
      <c r="B11" s="10">
        <v>3.1E-2</v>
      </c>
      <c r="C11" s="10">
        <v>0.15</v>
      </c>
      <c r="D11" s="10">
        <v>1.2</v>
      </c>
    </row>
    <row r="12" spans="1:4" ht="15" customHeight="1" x14ac:dyDescent="0.25">
      <c r="A12" s="9" t="s">
        <v>75</v>
      </c>
      <c r="B12" s="10">
        <v>0.86</v>
      </c>
      <c r="C12" s="10">
        <v>4.2</v>
      </c>
      <c r="D12" s="10">
        <v>34</v>
      </c>
    </row>
    <row r="13" spans="1:4" ht="15" customHeight="1" x14ac:dyDescent="0.25">
      <c r="A13" s="9" t="s">
        <v>76</v>
      </c>
      <c r="B13" s="10">
        <v>0.15</v>
      </c>
      <c r="C13" s="10">
        <v>0.71</v>
      </c>
      <c r="D13" s="10">
        <v>5.7</v>
      </c>
    </row>
    <row r="14" spans="1:4" ht="15" customHeight="1" x14ac:dyDescent="0.25">
      <c r="A14" s="9" t="s">
        <v>77</v>
      </c>
      <c r="B14" s="10">
        <v>3.5999999999999997E-2</v>
      </c>
      <c r="C14" s="10">
        <v>0.18</v>
      </c>
      <c r="D14" s="10">
        <v>1.4</v>
      </c>
    </row>
    <row r="15" spans="1:4" ht="15" customHeight="1" x14ac:dyDescent="0.25">
      <c r="A15" s="9" t="s">
        <v>78</v>
      </c>
      <c r="B15" s="10">
        <v>3.6000000000000002E-4</v>
      </c>
      <c r="C15" s="10">
        <v>1.9E-3</v>
      </c>
      <c r="D15" s="10">
        <v>1.4999999999999999E-2</v>
      </c>
    </row>
    <row r="16" spans="1:4" ht="15" customHeight="1" x14ac:dyDescent="0.25">
      <c r="A16" s="9" t="s">
        <v>79</v>
      </c>
      <c r="B16" s="10">
        <v>3.6000000000000002E-4</v>
      </c>
      <c r="C16" s="10">
        <v>1.9E-3</v>
      </c>
      <c r="D16" s="10">
        <v>1.4999999999999999E-2</v>
      </c>
    </row>
    <row r="17" spans="1:4" ht="15" customHeight="1" x14ac:dyDescent="0.25">
      <c r="A17" s="9" t="s">
        <v>96</v>
      </c>
      <c r="B17" s="10">
        <v>1.4E-3</v>
      </c>
      <c r="C17" s="10">
        <v>7.4999999999999997E-3</v>
      </c>
      <c r="D17" s="10">
        <v>0.06</v>
      </c>
    </row>
    <row r="18" spans="1:4" ht="15" customHeight="1" x14ac:dyDescent="0.25">
      <c r="A18" s="16" t="s">
        <v>97</v>
      </c>
      <c r="B18" s="13">
        <v>1.4999999999999999E-4</v>
      </c>
      <c r="C18" s="13">
        <v>8.0999999999999996E-4</v>
      </c>
      <c r="D18" s="13">
        <v>6.4999999999999997E-3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C1AA-D34C-455B-B07E-8A06EBCE4710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152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2.3E-3</v>
      </c>
      <c r="C5" s="10">
        <v>5.6000000000000001E-2</v>
      </c>
      <c r="D5" s="10">
        <v>6.9000000000000006E-2</v>
      </c>
    </row>
    <row r="6" spans="1:4" ht="15" customHeight="1" x14ac:dyDescent="0.25">
      <c r="A6" s="9" t="s">
        <v>94</v>
      </c>
      <c r="B6" s="10">
        <v>5.1999999999999998E-3</v>
      </c>
      <c r="C6" s="10">
        <v>0.13</v>
      </c>
      <c r="D6" s="10">
        <v>0.16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1.1999999999999999E-3</v>
      </c>
      <c r="C8" s="10">
        <v>2.5999999999999999E-2</v>
      </c>
      <c r="D8" s="10">
        <v>3.2000000000000001E-2</v>
      </c>
    </row>
    <row r="9" spans="1:4" ht="15" customHeight="1" x14ac:dyDescent="0.25">
      <c r="A9" s="9" t="s">
        <v>72</v>
      </c>
      <c r="B9" s="10">
        <v>3.3E-3</v>
      </c>
      <c r="C9" s="10">
        <v>7.0000000000000007E-2</v>
      </c>
      <c r="D9" s="10">
        <v>9.1999999999999998E-2</v>
      </c>
    </row>
    <row r="10" spans="1:4" ht="15" customHeight="1" x14ac:dyDescent="0.25">
      <c r="A10" s="9" t="s">
        <v>73</v>
      </c>
      <c r="B10" s="10">
        <v>4.2000000000000003E-2</v>
      </c>
      <c r="C10" s="10">
        <v>0.9</v>
      </c>
      <c r="D10" s="10">
        <v>1.2</v>
      </c>
    </row>
    <row r="11" spans="1:4" ht="15" customHeight="1" x14ac:dyDescent="0.25">
      <c r="A11" s="9" t="s">
        <v>74</v>
      </c>
      <c r="B11" s="10">
        <v>6.0999999999999999E-2</v>
      </c>
      <c r="C11" s="10">
        <v>1.3</v>
      </c>
      <c r="D11" s="10">
        <v>1.7</v>
      </c>
    </row>
    <row r="12" spans="1:4" ht="15" customHeight="1" x14ac:dyDescent="0.25">
      <c r="A12" s="9" t="s">
        <v>75</v>
      </c>
      <c r="B12" s="10">
        <v>1.6</v>
      </c>
      <c r="C12" s="10">
        <v>35</v>
      </c>
      <c r="D12" s="10">
        <v>46</v>
      </c>
    </row>
    <row r="13" spans="1:4" ht="15" customHeight="1" x14ac:dyDescent="0.25">
      <c r="A13" s="9" t="s">
        <v>76</v>
      </c>
      <c r="B13" s="10">
        <v>0.28000000000000003</v>
      </c>
      <c r="C13" s="10">
        <v>6</v>
      </c>
      <c r="D13" s="10">
        <v>7.8</v>
      </c>
    </row>
    <row r="14" spans="1:4" ht="15" customHeight="1" x14ac:dyDescent="0.25">
      <c r="A14" s="9" t="s">
        <v>77</v>
      </c>
      <c r="B14" s="10">
        <v>7.0000000000000007E-2</v>
      </c>
      <c r="C14" s="10">
        <v>1.5</v>
      </c>
      <c r="D14" s="10">
        <v>1.9</v>
      </c>
    </row>
    <row r="15" spans="1:4" ht="15" customHeight="1" x14ac:dyDescent="0.25">
      <c r="A15" s="9" t="s">
        <v>78</v>
      </c>
      <c r="B15" s="10">
        <v>6.0999999999999997E-4</v>
      </c>
      <c r="C15" s="10">
        <v>1.4E-2</v>
      </c>
      <c r="D15" s="10">
        <v>1.7999999999999999E-2</v>
      </c>
    </row>
    <row r="16" spans="1:4" ht="15" customHeight="1" x14ac:dyDescent="0.25">
      <c r="A16" s="9" t="s">
        <v>79</v>
      </c>
      <c r="B16" s="10">
        <v>5.9000000000000003E-4</v>
      </c>
      <c r="C16" s="10">
        <v>1.4E-2</v>
      </c>
      <c r="D16" s="10">
        <v>1.7999999999999999E-2</v>
      </c>
    </row>
    <row r="17" spans="1:4" ht="15" customHeight="1" x14ac:dyDescent="0.25">
      <c r="A17" s="9" t="s">
        <v>96</v>
      </c>
      <c r="B17" s="10">
        <v>2.3999999999999998E-3</v>
      </c>
      <c r="C17" s="10">
        <v>5.8000000000000003E-2</v>
      </c>
      <c r="D17" s="10">
        <v>7.3999999999999996E-2</v>
      </c>
    </row>
    <row r="18" spans="1:4" ht="15" customHeight="1" x14ac:dyDescent="0.25">
      <c r="A18" s="16" t="s">
        <v>97</v>
      </c>
      <c r="B18" s="13">
        <v>2.5999999999999998E-4</v>
      </c>
      <c r="C18" s="13">
        <v>6.1999999999999998E-3</v>
      </c>
      <c r="D18" s="13">
        <v>8.0000000000000002E-3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4880-B9D2-442D-BDFA-1C1BEE693BA3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153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1.9E-3</v>
      </c>
      <c r="C5" s="10">
        <v>1.2E-2</v>
      </c>
      <c r="D5" s="10">
        <v>6.5000000000000002E-2</v>
      </c>
    </row>
    <row r="6" spans="1:4" ht="15" customHeight="1" x14ac:dyDescent="0.25">
      <c r="A6" s="9" t="s">
        <v>94</v>
      </c>
      <c r="B6" s="10">
        <v>4.1999999999999997E-3</v>
      </c>
      <c r="C6" s="10">
        <v>2.7E-2</v>
      </c>
      <c r="D6" s="10">
        <v>0.15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8.8000000000000003E-4</v>
      </c>
      <c r="C8" s="10">
        <v>5.7999999999999996E-3</v>
      </c>
      <c r="D8" s="10">
        <v>2.9000000000000001E-2</v>
      </c>
    </row>
    <row r="9" spans="1:4" ht="15" customHeight="1" x14ac:dyDescent="0.25">
      <c r="A9" s="9" t="s">
        <v>72</v>
      </c>
      <c r="B9" s="10">
        <v>2.3E-3</v>
      </c>
      <c r="C9" s="10">
        <v>1.4E-2</v>
      </c>
      <c r="D9" s="10">
        <v>7.6999999999999999E-2</v>
      </c>
    </row>
    <row r="10" spans="1:4" ht="15" customHeight="1" x14ac:dyDescent="0.25">
      <c r="A10" s="9" t="s">
        <v>73</v>
      </c>
      <c r="B10" s="10">
        <v>2.9000000000000001E-2</v>
      </c>
      <c r="C10" s="10">
        <v>0.18</v>
      </c>
      <c r="D10" s="10">
        <v>0.98</v>
      </c>
    </row>
    <row r="11" spans="1:4" ht="15" customHeight="1" x14ac:dyDescent="0.25">
      <c r="A11" s="9" t="s">
        <v>74</v>
      </c>
      <c r="B11" s="10">
        <v>4.1000000000000002E-2</v>
      </c>
      <c r="C11" s="10">
        <v>0.26</v>
      </c>
      <c r="D11" s="10">
        <v>1.4</v>
      </c>
    </row>
    <row r="12" spans="1:4" ht="15" customHeight="1" x14ac:dyDescent="0.25">
      <c r="A12" s="9" t="s">
        <v>75</v>
      </c>
      <c r="B12" s="10">
        <v>1.1000000000000001</v>
      </c>
      <c r="C12" s="10">
        <v>7.1</v>
      </c>
      <c r="D12" s="10">
        <v>38</v>
      </c>
    </row>
    <row r="13" spans="1:4" ht="15" customHeight="1" x14ac:dyDescent="0.25">
      <c r="A13" s="9" t="s">
        <v>76</v>
      </c>
      <c r="B13" s="10">
        <v>0.19</v>
      </c>
      <c r="C13" s="10">
        <v>1.2</v>
      </c>
      <c r="D13" s="10">
        <v>6.4</v>
      </c>
    </row>
    <row r="14" spans="1:4" ht="15" customHeight="1" x14ac:dyDescent="0.25">
      <c r="A14" s="9" t="s">
        <v>77</v>
      </c>
      <c r="B14" s="10">
        <v>4.7E-2</v>
      </c>
      <c r="C14" s="10">
        <v>0.3</v>
      </c>
      <c r="D14" s="10">
        <v>1.6</v>
      </c>
    </row>
    <row r="15" spans="1:4" ht="15" customHeight="1" x14ac:dyDescent="0.25">
      <c r="A15" s="9" t="s">
        <v>78</v>
      </c>
      <c r="B15" s="10">
        <v>4.6999999999999999E-4</v>
      </c>
      <c r="C15" s="10">
        <v>3.0999999999999999E-3</v>
      </c>
      <c r="D15" s="10">
        <v>1.7000000000000001E-2</v>
      </c>
    </row>
    <row r="16" spans="1:4" ht="15" customHeight="1" x14ac:dyDescent="0.25">
      <c r="A16" s="9" t="s">
        <v>79</v>
      </c>
      <c r="B16" s="10">
        <v>4.6000000000000001E-4</v>
      </c>
      <c r="C16" s="10">
        <v>3.0999999999999999E-3</v>
      </c>
      <c r="D16" s="10">
        <v>1.7000000000000001E-2</v>
      </c>
    </row>
    <row r="17" spans="1:4" ht="15" customHeight="1" x14ac:dyDescent="0.25">
      <c r="A17" s="9" t="s">
        <v>96</v>
      </c>
      <c r="B17" s="10">
        <v>1.9E-3</v>
      </c>
      <c r="C17" s="10">
        <v>1.2E-2</v>
      </c>
      <c r="D17" s="10">
        <v>6.6000000000000003E-2</v>
      </c>
    </row>
    <row r="18" spans="1:4" ht="15" customHeight="1" x14ac:dyDescent="0.25">
      <c r="A18" s="16" t="s">
        <v>97</v>
      </c>
      <c r="B18" s="13">
        <v>2.0000000000000001E-4</v>
      </c>
      <c r="C18" s="13">
        <v>1.2999999999999999E-3</v>
      </c>
      <c r="D18" s="13">
        <v>7.1999999999999998E-3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578C-DC77-4E73-BB3E-8CD147CFFD44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154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1.2999999999999999E-3</v>
      </c>
      <c r="C5" s="10">
        <v>1.0999999999999999E-2</v>
      </c>
      <c r="D5" s="10">
        <v>5.8999999999999997E-2</v>
      </c>
    </row>
    <row r="6" spans="1:4" ht="15" customHeight="1" x14ac:dyDescent="0.25">
      <c r="A6" s="9" t="s">
        <v>94</v>
      </c>
      <c r="B6" s="10">
        <v>3.0000000000000001E-3</v>
      </c>
      <c r="C6" s="10">
        <v>2.5000000000000001E-2</v>
      </c>
      <c r="D6" s="10">
        <v>0.13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6.8999999999999997E-4</v>
      </c>
      <c r="C8" s="10">
        <v>5.1999999999999998E-3</v>
      </c>
      <c r="D8" s="10">
        <v>2.8000000000000001E-2</v>
      </c>
    </row>
    <row r="9" spans="1:4" ht="15" customHeight="1" x14ac:dyDescent="0.25">
      <c r="A9" s="9" t="s">
        <v>72</v>
      </c>
      <c r="B9" s="10">
        <v>1.6999999999999999E-3</v>
      </c>
      <c r="C9" s="10">
        <v>1.2999999999999999E-2</v>
      </c>
      <c r="D9" s="10">
        <v>7.0000000000000007E-2</v>
      </c>
    </row>
    <row r="10" spans="1:4" ht="15" customHeight="1" x14ac:dyDescent="0.25">
      <c r="A10" s="9" t="s">
        <v>73</v>
      </c>
      <c r="B10" s="10">
        <v>2.1999999999999999E-2</v>
      </c>
      <c r="C10" s="10">
        <v>0.17</v>
      </c>
      <c r="D10" s="10">
        <v>0.9</v>
      </c>
    </row>
    <row r="11" spans="1:4" ht="15" customHeight="1" x14ac:dyDescent="0.25">
      <c r="A11" s="9" t="s">
        <v>74</v>
      </c>
      <c r="B11" s="10">
        <v>3.1E-2</v>
      </c>
      <c r="C11" s="10">
        <v>0.24</v>
      </c>
      <c r="D11" s="10">
        <v>1.3</v>
      </c>
    </row>
    <row r="12" spans="1:4" ht="15" customHeight="1" x14ac:dyDescent="0.25">
      <c r="A12" s="9" t="s">
        <v>75</v>
      </c>
      <c r="B12" s="10">
        <v>0.83</v>
      </c>
      <c r="C12" s="10">
        <v>6.6</v>
      </c>
      <c r="D12" s="10">
        <v>35</v>
      </c>
    </row>
    <row r="13" spans="1:4" ht="15" customHeight="1" x14ac:dyDescent="0.25">
      <c r="A13" s="9" t="s">
        <v>76</v>
      </c>
      <c r="B13" s="10">
        <v>0.14000000000000001</v>
      </c>
      <c r="C13" s="10">
        <v>1.1000000000000001</v>
      </c>
      <c r="D13" s="10">
        <v>5.9</v>
      </c>
    </row>
    <row r="14" spans="1:4" ht="15" customHeight="1" x14ac:dyDescent="0.25">
      <c r="A14" s="9" t="s">
        <v>77</v>
      </c>
      <c r="B14" s="10">
        <v>3.5999999999999997E-2</v>
      </c>
      <c r="C14" s="10">
        <v>0.28000000000000003</v>
      </c>
      <c r="D14" s="10">
        <v>1.5</v>
      </c>
    </row>
    <row r="15" spans="1:4" ht="15" customHeight="1" x14ac:dyDescent="0.25">
      <c r="A15" s="9" t="s">
        <v>78</v>
      </c>
      <c r="B15" s="10">
        <v>3.4000000000000002E-4</v>
      </c>
      <c r="C15" s="10">
        <v>2.8999999999999998E-3</v>
      </c>
      <c r="D15" s="10">
        <v>1.6E-2</v>
      </c>
    </row>
    <row r="16" spans="1:4" ht="15" customHeight="1" x14ac:dyDescent="0.25">
      <c r="A16" s="9" t="s">
        <v>79</v>
      </c>
      <c r="B16" s="10">
        <v>3.3E-4</v>
      </c>
      <c r="C16" s="10">
        <v>2.8999999999999998E-3</v>
      </c>
      <c r="D16" s="10">
        <v>1.6E-2</v>
      </c>
    </row>
    <row r="17" spans="1:4" ht="15" customHeight="1" x14ac:dyDescent="0.25">
      <c r="A17" s="9" t="s">
        <v>96</v>
      </c>
      <c r="B17" s="10">
        <v>1.2999999999999999E-3</v>
      </c>
      <c r="C17" s="10">
        <v>1.2E-2</v>
      </c>
      <c r="D17" s="10">
        <v>6.6000000000000003E-2</v>
      </c>
    </row>
    <row r="18" spans="1:4" ht="15" customHeight="1" x14ac:dyDescent="0.25">
      <c r="A18" s="16" t="s">
        <v>97</v>
      </c>
      <c r="B18" s="13">
        <v>1.3999999999999999E-4</v>
      </c>
      <c r="C18" s="13">
        <v>1.2999999999999999E-3</v>
      </c>
      <c r="D18" s="13">
        <v>7.1000000000000004E-3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805A-3ABE-4414-A28B-619393BB75CD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155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8.4999999999999995E-4</v>
      </c>
      <c r="C5" s="10">
        <v>4.7000000000000002E-3</v>
      </c>
      <c r="D5" s="10">
        <v>1.2E-2</v>
      </c>
    </row>
    <row r="6" spans="1:4" ht="15" customHeight="1" x14ac:dyDescent="0.25">
      <c r="A6" s="9" t="s">
        <v>94</v>
      </c>
      <c r="B6" s="10">
        <v>1.9E-3</v>
      </c>
      <c r="C6" s="10">
        <v>1.0999999999999999E-2</v>
      </c>
      <c r="D6" s="10">
        <v>2.7E-2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3.8000000000000002E-4</v>
      </c>
      <c r="C8" s="10">
        <v>2.0999999999999999E-3</v>
      </c>
      <c r="D8" s="10">
        <v>4.7000000000000002E-3</v>
      </c>
    </row>
    <row r="9" spans="1:4" ht="15" customHeight="1" x14ac:dyDescent="0.25">
      <c r="A9" s="9" t="s">
        <v>72</v>
      </c>
      <c r="B9" s="10">
        <v>1.1000000000000001E-3</v>
      </c>
      <c r="C9" s="10">
        <v>5.7000000000000002E-3</v>
      </c>
      <c r="D9" s="10">
        <v>1.4E-2</v>
      </c>
    </row>
    <row r="10" spans="1:4" ht="15" customHeight="1" x14ac:dyDescent="0.25">
      <c r="A10" s="9" t="s">
        <v>73</v>
      </c>
      <c r="B10" s="10">
        <v>1.4E-2</v>
      </c>
      <c r="C10" s="10">
        <v>7.1999999999999995E-2</v>
      </c>
      <c r="D10" s="10">
        <v>0.18</v>
      </c>
    </row>
    <row r="11" spans="1:4" ht="15" customHeight="1" x14ac:dyDescent="0.25">
      <c r="A11" s="9" t="s">
        <v>74</v>
      </c>
      <c r="B11" s="10">
        <v>1.9E-2</v>
      </c>
      <c r="C11" s="10">
        <v>0.1</v>
      </c>
      <c r="D11" s="10">
        <v>0.25</v>
      </c>
    </row>
    <row r="12" spans="1:4" ht="15" customHeight="1" x14ac:dyDescent="0.25">
      <c r="A12" s="9" t="s">
        <v>75</v>
      </c>
      <c r="B12" s="10">
        <v>0.52</v>
      </c>
      <c r="C12" s="10">
        <v>2.8</v>
      </c>
      <c r="D12" s="10">
        <v>6.7</v>
      </c>
    </row>
    <row r="13" spans="1:4" ht="15" customHeight="1" x14ac:dyDescent="0.25">
      <c r="A13" s="9" t="s">
        <v>76</v>
      </c>
      <c r="B13" s="10">
        <v>8.7999999999999995E-2</v>
      </c>
      <c r="C13" s="10">
        <v>0.48</v>
      </c>
      <c r="D13" s="10">
        <v>1.1000000000000001</v>
      </c>
    </row>
    <row r="14" spans="1:4" ht="15" customHeight="1" x14ac:dyDescent="0.25">
      <c r="A14" s="9" t="s">
        <v>77</v>
      </c>
      <c r="B14" s="10">
        <v>2.1999999999999999E-2</v>
      </c>
      <c r="C14" s="10">
        <v>0.12</v>
      </c>
      <c r="D14" s="10">
        <v>0.28999999999999998</v>
      </c>
    </row>
    <row r="15" spans="1:4" ht="15" customHeight="1" x14ac:dyDescent="0.25">
      <c r="A15" s="9" t="s">
        <v>78</v>
      </c>
      <c r="B15" s="10">
        <v>2.0000000000000001E-4</v>
      </c>
      <c r="C15" s="10">
        <v>1.1999999999999999E-3</v>
      </c>
      <c r="D15" s="10">
        <v>2.8E-3</v>
      </c>
    </row>
    <row r="16" spans="1:4" ht="15" customHeight="1" x14ac:dyDescent="0.25">
      <c r="A16" s="9" t="s">
        <v>79</v>
      </c>
      <c r="B16" s="10">
        <v>1.9000000000000001E-4</v>
      </c>
      <c r="C16" s="10">
        <v>1.1999999999999999E-3</v>
      </c>
      <c r="D16" s="10">
        <v>2.8E-3</v>
      </c>
    </row>
    <row r="17" spans="1:4" ht="15" customHeight="1" x14ac:dyDescent="0.25">
      <c r="A17" s="9" t="s">
        <v>96</v>
      </c>
      <c r="B17" s="10">
        <v>8.1999999999999998E-4</v>
      </c>
      <c r="C17" s="10">
        <v>4.7999999999999996E-3</v>
      </c>
      <c r="D17" s="10">
        <v>1.2E-2</v>
      </c>
    </row>
    <row r="18" spans="1:4" ht="15" customHeight="1" x14ac:dyDescent="0.25">
      <c r="A18" s="16" t="s">
        <v>97</v>
      </c>
      <c r="B18" s="13">
        <v>8.8999999999999995E-5</v>
      </c>
      <c r="C18" s="13">
        <v>5.1999999999999995E-4</v>
      </c>
      <c r="D18" s="13">
        <v>1.2999999999999999E-3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C2C0-6788-4229-ACBB-0188F5570463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156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6.2E-4</v>
      </c>
      <c r="C5" s="10">
        <v>6.3E-3</v>
      </c>
      <c r="D5" s="10">
        <v>3.9E-2</v>
      </c>
    </row>
    <row r="6" spans="1:4" ht="15" customHeight="1" x14ac:dyDescent="0.25">
      <c r="A6" s="9" t="s">
        <v>94</v>
      </c>
      <c r="B6" s="10">
        <v>1.4E-3</v>
      </c>
      <c r="C6" s="10">
        <v>1.4E-2</v>
      </c>
      <c r="D6" s="10">
        <v>8.7999999999999995E-2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2.5000000000000001E-4</v>
      </c>
      <c r="C8" s="10">
        <v>2.7000000000000001E-3</v>
      </c>
      <c r="D8" s="10">
        <v>1.7000000000000001E-2</v>
      </c>
    </row>
    <row r="9" spans="1:4" ht="15" customHeight="1" x14ac:dyDescent="0.25">
      <c r="A9" s="9" t="s">
        <v>72</v>
      </c>
      <c r="B9" s="10">
        <v>6.8000000000000005E-4</v>
      </c>
      <c r="C9" s="10">
        <v>7.1999999999999998E-3</v>
      </c>
      <c r="D9" s="10">
        <v>4.4999999999999998E-2</v>
      </c>
    </row>
    <row r="10" spans="1:4" ht="15" customHeight="1" x14ac:dyDescent="0.25">
      <c r="A10" s="9" t="s">
        <v>73</v>
      </c>
      <c r="B10" s="10">
        <v>8.6E-3</v>
      </c>
      <c r="C10" s="10">
        <v>9.1999999999999998E-2</v>
      </c>
      <c r="D10" s="10">
        <v>0.57999999999999996</v>
      </c>
    </row>
    <row r="11" spans="1:4" ht="15" customHeight="1" x14ac:dyDescent="0.25">
      <c r="A11" s="9" t="s">
        <v>74</v>
      </c>
      <c r="B11" s="10">
        <v>1.2E-2</v>
      </c>
      <c r="C11" s="10">
        <v>0.13</v>
      </c>
      <c r="D11" s="10">
        <v>0.82</v>
      </c>
    </row>
    <row r="12" spans="1:4" ht="15" customHeight="1" x14ac:dyDescent="0.25">
      <c r="A12" s="9" t="s">
        <v>75</v>
      </c>
      <c r="B12" s="10">
        <v>0.34</v>
      </c>
      <c r="C12" s="10">
        <v>3.6</v>
      </c>
      <c r="D12" s="10">
        <v>22</v>
      </c>
    </row>
    <row r="13" spans="1:4" ht="15" customHeight="1" x14ac:dyDescent="0.25">
      <c r="A13" s="9" t="s">
        <v>76</v>
      </c>
      <c r="B13" s="10">
        <v>5.8000000000000003E-2</v>
      </c>
      <c r="C13" s="10">
        <v>0.61</v>
      </c>
      <c r="D13" s="10">
        <v>3.8</v>
      </c>
    </row>
    <row r="14" spans="1:4" ht="15" customHeight="1" x14ac:dyDescent="0.25">
      <c r="A14" s="9" t="s">
        <v>77</v>
      </c>
      <c r="B14" s="10">
        <v>1.4E-2</v>
      </c>
      <c r="C14" s="10">
        <v>0.15</v>
      </c>
      <c r="D14" s="10">
        <v>0.95</v>
      </c>
    </row>
    <row r="15" spans="1:4" ht="15" customHeight="1" x14ac:dyDescent="0.25">
      <c r="A15" s="9" t="s">
        <v>78</v>
      </c>
      <c r="B15" s="10">
        <v>1.4999999999999999E-4</v>
      </c>
      <c r="C15" s="10">
        <v>1.6999999999999999E-3</v>
      </c>
      <c r="D15" s="10">
        <v>0.01</v>
      </c>
    </row>
    <row r="16" spans="1:4" ht="15" customHeight="1" x14ac:dyDescent="0.25">
      <c r="A16" s="9" t="s">
        <v>79</v>
      </c>
      <c r="B16" s="10">
        <v>1.4999999999999999E-4</v>
      </c>
      <c r="C16" s="10">
        <v>1.6999999999999999E-3</v>
      </c>
      <c r="D16" s="10">
        <v>0.01</v>
      </c>
    </row>
    <row r="17" spans="1:4" ht="15" customHeight="1" x14ac:dyDescent="0.25">
      <c r="A17" s="9" t="s">
        <v>96</v>
      </c>
      <c r="B17" s="10">
        <v>6.2E-4</v>
      </c>
      <c r="C17" s="10">
        <v>6.8999999999999999E-3</v>
      </c>
      <c r="D17" s="10">
        <v>4.2999999999999997E-2</v>
      </c>
    </row>
    <row r="18" spans="1:4" ht="15" customHeight="1" x14ac:dyDescent="0.25">
      <c r="A18" s="16" t="s">
        <v>97</v>
      </c>
      <c r="B18" s="13">
        <v>6.7000000000000002E-5</v>
      </c>
      <c r="C18" s="13">
        <v>7.3999999999999999E-4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DFBC-15D5-4602-B9AD-901C130FD31D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157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1.9E-3</v>
      </c>
      <c r="C5" s="10">
        <v>1.4E-2</v>
      </c>
      <c r="D5" s="10">
        <v>5.1999999999999998E-2</v>
      </c>
    </row>
    <row r="6" spans="1:4" ht="15" customHeight="1" x14ac:dyDescent="0.25">
      <c r="A6" s="9" t="s">
        <v>94</v>
      </c>
      <c r="B6" s="10">
        <v>4.1999999999999997E-3</v>
      </c>
      <c r="C6" s="10">
        <v>3.2000000000000001E-2</v>
      </c>
      <c r="D6" s="10">
        <v>0.12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9.3000000000000005E-4</v>
      </c>
      <c r="C8" s="10">
        <v>6.7999999999999996E-3</v>
      </c>
      <c r="D8" s="10">
        <v>2.5000000000000001E-2</v>
      </c>
    </row>
    <row r="9" spans="1:4" ht="15" customHeight="1" x14ac:dyDescent="0.25">
      <c r="A9" s="9" t="s">
        <v>72</v>
      </c>
      <c r="B9" s="10">
        <v>2.5999999999999999E-3</v>
      </c>
      <c r="C9" s="10">
        <v>1.9E-2</v>
      </c>
      <c r="D9" s="10">
        <v>7.0000000000000007E-2</v>
      </c>
    </row>
    <row r="10" spans="1:4" ht="15" customHeight="1" x14ac:dyDescent="0.25">
      <c r="A10" s="9" t="s">
        <v>73</v>
      </c>
      <c r="B10" s="10">
        <v>3.3000000000000002E-2</v>
      </c>
      <c r="C10" s="10">
        <v>0.24</v>
      </c>
      <c r="D10" s="10">
        <v>0.89</v>
      </c>
    </row>
    <row r="11" spans="1:4" ht="15" customHeight="1" x14ac:dyDescent="0.25">
      <c r="A11" s="9" t="s">
        <v>74</v>
      </c>
      <c r="B11" s="10">
        <v>4.7E-2</v>
      </c>
      <c r="C11" s="10">
        <v>0.34</v>
      </c>
      <c r="D11" s="10">
        <v>1.3</v>
      </c>
    </row>
    <row r="12" spans="1:4" ht="15" customHeight="1" x14ac:dyDescent="0.25">
      <c r="A12" s="9" t="s">
        <v>75</v>
      </c>
      <c r="B12" s="10">
        <v>1.3</v>
      </c>
      <c r="C12" s="10">
        <v>9.6999999999999993</v>
      </c>
      <c r="D12" s="10">
        <v>35</v>
      </c>
    </row>
    <row r="13" spans="1:4" ht="15" customHeight="1" x14ac:dyDescent="0.25">
      <c r="A13" s="9" t="s">
        <v>76</v>
      </c>
      <c r="B13" s="10">
        <v>0.22</v>
      </c>
      <c r="C13" s="10">
        <v>1.6</v>
      </c>
      <c r="D13" s="10">
        <v>6</v>
      </c>
    </row>
    <row r="14" spans="1:4" ht="15" customHeight="1" x14ac:dyDescent="0.25">
      <c r="A14" s="9" t="s">
        <v>77</v>
      </c>
      <c r="B14" s="10">
        <v>5.3999999999999999E-2</v>
      </c>
      <c r="C14" s="10">
        <v>0.4</v>
      </c>
      <c r="D14" s="10">
        <v>1.5</v>
      </c>
    </row>
    <row r="15" spans="1:4" ht="15" customHeight="1" x14ac:dyDescent="0.25">
      <c r="A15" s="9" t="s">
        <v>78</v>
      </c>
      <c r="B15" s="10">
        <v>4.4999999999999999E-4</v>
      </c>
      <c r="C15" s="10">
        <v>3.3999999999999998E-3</v>
      </c>
      <c r="D15" s="10">
        <v>1.2999999999999999E-2</v>
      </c>
    </row>
    <row r="16" spans="1:4" ht="15" customHeight="1" x14ac:dyDescent="0.25">
      <c r="A16" s="9" t="s">
        <v>79</v>
      </c>
      <c r="B16" s="10">
        <v>4.2999999999999999E-4</v>
      </c>
      <c r="C16" s="10">
        <v>3.2000000000000002E-3</v>
      </c>
      <c r="D16" s="10">
        <v>1.2E-2</v>
      </c>
    </row>
    <row r="17" spans="1:4" ht="15" customHeight="1" x14ac:dyDescent="0.25">
      <c r="A17" s="9" t="s">
        <v>96</v>
      </c>
      <c r="B17" s="10">
        <v>1.8E-3</v>
      </c>
      <c r="C17" s="10">
        <v>1.4E-2</v>
      </c>
      <c r="D17" s="10">
        <v>5.0999999999999997E-2</v>
      </c>
    </row>
    <row r="18" spans="1:4" ht="15" customHeight="1" x14ac:dyDescent="0.25">
      <c r="A18" s="16" t="s">
        <v>97</v>
      </c>
      <c r="B18" s="13">
        <v>2.0000000000000001E-4</v>
      </c>
      <c r="C18" s="13">
        <v>1.5E-3</v>
      </c>
      <c r="D18" s="13">
        <v>5.5999999999999999E-3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6569-703F-4DFF-80D6-D233BF8EC1AC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158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1.1000000000000001E-3</v>
      </c>
      <c r="C5" s="10">
        <v>6.7999999999999996E-3</v>
      </c>
      <c r="D5" s="10">
        <v>4.5999999999999999E-2</v>
      </c>
    </row>
    <row r="6" spans="1:4" ht="15" customHeight="1" x14ac:dyDescent="0.25">
      <c r="A6" s="9" t="s">
        <v>94</v>
      </c>
      <c r="B6" s="10">
        <v>2.3999999999999998E-3</v>
      </c>
      <c r="C6" s="10">
        <v>1.4999999999999999E-2</v>
      </c>
      <c r="D6" s="10">
        <v>0.1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5.6999999999999998E-4</v>
      </c>
      <c r="C8" s="10">
        <v>3.8E-3</v>
      </c>
      <c r="D8" s="10">
        <v>2.5000000000000001E-2</v>
      </c>
    </row>
    <row r="9" spans="1:4" ht="15" customHeight="1" x14ac:dyDescent="0.25">
      <c r="A9" s="9" t="s">
        <v>72</v>
      </c>
      <c r="B9" s="10">
        <v>1.5E-3</v>
      </c>
      <c r="C9" s="10">
        <v>8.9999999999999993E-3</v>
      </c>
      <c r="D9" s="10">
        <v>6.2E-2</v>
      </c>
    </row>
    <row r="10" spans="1:4" ht="15" customHeight="1" x14ac:dyDescent="0.25">
      <c r="A10" s="9" t="s">
        <v>73</v>
      </c>
      <c r="B10" s="10">
        <v>0.02</v>
      </c>
      <c r="C10" s="10">
        <v>0.12</v>
      </c>
      <c r="D10" s="10">
        <v>0.79</v>
      </c>
    </row>
    <row r="11" spans="1:4" ht="15" customHeight="1" x14ac:dyDescent="0.25">
      <c r="A11" s="9" t="s">
        <v>74</v>
      </c>
      <c r="B11" s="10">
        <v>2.8000000000000001E-2</v>
      </c>
      <c r="C11" s="10">
        <v>0.17</v>
      </c>
      <c r="D11" s="10">
        <v>1.1000000000000001</v>
      </c>
    </row>
    <row r="12" spans="1:4" ht="15" customHeight="1" x14ac:dyDescent="0.25">
      <c r="A12" s="9" t="s">
        <v>75</v>
      </c>
      <c r="B12" s="10">
        <v>0.74</v>
      </c>
      <c r="C12" s="10">
        <v>4.5999999999999996</v>
      </c>
      <c r="D12" s="10">
        <v>32</v>
      </c>
    </row>
    <row r="13" spans="1:4" ht="15" customHeight="1" x14ac:dyDescent="0.25">
      <c r="A13" s="9" t="s">
        <v>76</v>
      </c>
      <c r="B13" s="10">
        <v>0.13</v>
      </c>
      <c r="C13" s="10">
        <v>0.79</v>
      </c>
      <c r="D13" s="10">
        <v>5.4</v>
      </c>
    </row>
    <row r="14" spans="1:4" ht="15" customHeight="1" x14ac:dyDescent="0.25">
      <c r="A14" s="9" t="s">
        <v>77</v>
      </c>
      <c r="B14" s="10">
        <v>3.2000000000000001E-2</v>
      </c>
      <c r="C14" s="10">
        <v>0.19</v>
      </c>
      <c r="D14" s="10">
        <v>1.3</v>
      </c>
    </row>
    <row r="15" spans="1:4" ht="15" customHeight="1" x14ac:dyDescent="0.25">
      <c r="A15" s="9" t="s">
        <v>78</v>
      </c>
      <c r="B15" s="10">
        <v>2.7E-4</v>
      </c>
      <c r="C15" s="10">
        <v>1.8E-3</v>
      </c>
      <c r="D15" s="10">
        <v>1.2E-2</v>
      </c>
    </row>
    <row r="16" spans="1:4" ht="15" customHeight="1" x14ac:dyDescent="0.25">
      <c r="A16" s="9" t="s">
        <v>79</v>
      </c>
      <c r="B16" s="10">
        <v>2.7E-4</v>
      </c>
      <c r="C16" s="10">
        <v>1.8E-3</v>
      </c>
      <c r="D16" s="10">
        <v>1.2E-2</v>
      </c>
    </row>
    <row r="17" spans="1:4" ht="15" customHeight="1" x14ac:dyDescent="0.25">
      <c r="A17" s="9" t="s">
        <v>96</v>
      </c>
      <c r="B17" s="10">
        <v>1.1000000000000001E-3</v>
      </c>
      <c r="C17" s="10">
        <v>7.1000000000000004E-3</v>
      </c>
      <c r="D17" s="10">
        <v>4.7E-2</v>
      </c>
    </row>
    <row r="18" spans="1:4" ht="15" customHeight="1" x14ac:dyDescent="0.25">
      <c r="A18" s="16" t="s">
        <v>97</v>
      </c>
      <c r="B18" s="13">
        <v>1.2E-4</v>
      </c>
      <c r="C18" s="13">
        <v>7.6999999999999996E-4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7D15-E52B-41AB-9BF2-200277E02849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159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8.8000000000000003E-4</v>
      </c>
      <c r="C5" s="10">
        <v>5.7000000000000002E-3</v>
      </c>
      <c r="D5" s="10">
        <v>3.6999999999999998E-2</v>
      </c>
    </row>
    <row r="6" spans="1:4" ht="15" customHeight="1" x14ac:dyDescent="0.25">
      <c r="A6" s="9" t="s">
        <v>94</v>
      </c>
      <c r="B6" s="10">
        <v>2E-3</v>
      </c>
      <c r="C6" s="10">
        <v>1.2999999999999999E-2</v>
      </c>
      <c r="D6" s="10">
        <v>8.5000000000000006E-2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4.2999999999999999E-4</v>
      </c>
      <c r="C8" s="10">
        <v>2.8999999999999998E-3</v>
      </c>
      <c r="D8" s="10">
        <v>1.9E-2</v>
      </c>
    </row>
    <row r="9" spans="1:4" ht="15" customHeight="1" x14ac:dyDescent="0.25">
      <c r="A9" s="9" t="s">
        <v>72</v>
      </c>
      <c r="B9" s="10">
        <v>1.1999999999999999E-3</v>
      </c>
      <c r="C9" s="10">
        <v>7.3000000000000001E-3</v>
      </c>
      <c r="D9" s="10">
        <v>0.05</v>
      </c>
    </row>
    <row r="10" spans="1:4" ht="15" customHeight="1" x14ac:dyDescent="0.25">
      <c r="A10" s="9" t="s">
        <v>73</v>
      </c>
      <c r="B10" s="10">
        <v>1.4999999999999999E-2</v>
      </c>
      <c r="C10" s="10">
        <v>9.2999999999999999E-2</v>
      </c>
      <c r="D10" s="10">
        <v>0.64</v>
      </c>
    </row>
    <row r="11" spans="1:4" ht="15" customHeight="1" x14ac:dyDescent="0.25">
      <c r="A11" s="9" t="s">
        <v>74</v>
      </c>
      <c r="B11" s="10">
        <v>2.1999999999999999E-2</v>
      </c>
      <c r="C11" s="10">
        <v>0.13</v>
      </c>
      <c r="D11" s="10">
        <v>0.92</v>
      </c>
    </row>
    <row r="12" spans="1:4" ht="15" customHeight="1" x14ac:dyDescent="0.25">
      <c r="A12" s="9" t="s">
        <v>75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5">
      <c r="A13" s="9" t="s">
        <v>76</v>
      </c>
      <c r="B13" s="10">
        <v>9.9000000000000005E-2</v>
      </c>
      <c r="C13" s="10">
        <v>0.62</v>
      </c>
      <c r="D13" s="10">
        <v>4.3</v>
      </c>
    </row>
    <row r="14" spans="1:4" ht="15" customHeight="1" x14ac:dyDescent="0.25">
      <c r="A14" s="9" t="s">
        <v>77</v>
      </c>
      <c r="B14" s="10">
        <v>2.5000000000000001E-2</v>
      </c>
      <c r="C14" s="10">
        <v>0.15</v>
      </c>
      <c r="D14" s="10">
        <v>1.1000000000000001</v>
      </c>
    </row>
    <row r="15" spans="1:4" ht="15" customHeight="1" x14ac:dyDescent="0.25">
      <c r="A15" s="9" t="s">
        <v>78</v>
      </c>
      <c r="B15" s="10">
        <v>2.2000000000000001E-4</v>
      </c>
      <c r="C15" s="10">
        <v>1.5E-3</v>
      </c>
      <c r="D15" s="10">
        <v>0.01</v>
      </c>
    </row>
    <row r="16" spans="1:4" ht="15" customHeight="1" x14ac:dyDescent="0.25">
      <c r="A16" s="9" t="s">
        <v>79</v>
      </c>
      <c r="B16" s="10">
        <v>2.2000000000000001E-4</v>
      </c>
      <c r="C16" s="10">
        <v>1.5E-3</v>
      </c>
      <c r="D16" s="10">
        <v>9.7999999999999997E-3</v>
      </c>
    </row>
    <row r="17" spans="1:4" ht="15" customHeight="1" x14ac:dyDescent="0.25">
      <c r="A17" s="9" t="s">
        <v>96</v>
      </c>
      <c r="B17" s="10">
        <v>8.8999999999999995E-4</v>
      </c>
      <c r="C17" s="10">
        <v>6.0000000000000001E-3</v>
      </c>
      <c r="D17" s="10">
        <v>0.04</v>
      </c>
    </row>
    <row r="18" spans="1:4" ht="15" customHeight="1" x14ac:dyDescent="0.25">
      <c r="A18" s="16" t="s">
        <v>97</v>
      </c>
      <c r="B18" s="13">
        <v>9.6000000000000002E-5</v>
      </c>
      <c r="C18" s="13">
        <v>6.4999999999999997E-4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999-D3B8-49CD-882F-F7E1D6B0A74B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160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9.7999999999999997E-4</v>
      </c>
      <c r="C5" s="10">
        <v>1.2E-2</v>
      </c>
      <c r="D5" s="10">
        <v>3.3000000000000002E-2</v>
      </c>
    </row>
    <row r="6" spans="1:4" ht="15" customHeight="1" x14ac:dyDescent="0.25">
      <c r="A6" s="9" t="s">
        <v>94</v>
      </c>
      <c r="B6" s="10">
        <v>2.2000000000000001E-3</v>
      </c>
      <c r="C6" s="10">
        <v>2.8000000000000001E-2</v>
      </c>
      <c r="D6" s="10">
        <v>7.5999999999999998E-2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4.8000000000000001E-4</v>
      </c>
      <c r="C8" s="10">
        <v>6.0000000000000001E-3</v>
      </c>
      <c r="D8" s="10">
        <v>1.7999999999999999E-2</v>
      </c>
    </row>
    <row r="9" spans="1:4" ht="15" customHeight="1" x14ac:dyDescent="0.25">
      <c r="A9" s="9" t="s">
        <v>72</v>
      </c>
      <c r="B9" s="10">
        <v>1.4E-3</v>
      </c>
      <c r="C9" s="10">
        <v>0.02</v>
      </c>
      <c r="D9" s="10">
        <v>4.5999999999999999E-2</v>
      </c>
    </row>
    <row r="10" spans="1:4" ht="15" customHeight="1" x14ac:dyDescent="0.25">
      <c r="A10" s="9" t="s">
        <v>73</v>
      </c>
      <c r="B10" s="10">
        <v>1.7999999999999999E-2</v>
      </c>
      <c r="C10" s="10">
        <v>0.25</v>
      </c>
      <c r="D10" s="10">
        <v>0.59</v>
      </c>
    </row>
    <row r="11" spans="1:4" ht="15" customHeight="1" x14ac:dyDescent="0.25">
      <c r="A11" s="9" t="s">
        <v>74</v>
      </c>
      <c r="B11" s="10">
        <v>2.5000000000000001E-2</v>
      </c>
      <c r="C11" s="10">
        <v>0.36</v>
      </c>
      <c r="D11" s="10">
        <v>0.84</v>
      </c>
    </row>
    <row r="12" spans="1:4" ht="15" customHeight="1" x14ac:dyDescent="0.25">
      <c r="A12" s="9" t="s">
        <v>75</v>
      </c>
      <c r="B12" s="10">
        <v>0.68</v>
      </c>
      <c r="C12" s="10">
        <v>10</v>
      </c>
      <c r="D12" s="10">
        <v>24</v>
      </c>
    </row>
    <row r="13" spans="1:4" ht="15" customHeight="1" x14ac:dyDescent="0.25">
      <c r="A13" s="9" t="s">
        <v>76</v>
      </c>
      <c r="B13" s="10">
        <v>0.12</v>
      </c>
      <c r="C13" s="10">
        <v>1.7</v>
      </c>
      <c r="D13" s="10">
        <v>4.0999999999999996</v>
      </c>
    </row>
    <row r="14" spans="1:4" ht="15" customHeight="1" x14ac:dyDescent="0.25">
      <c r="A14" s="9" t="s">
        <v>77</v>
      </c>
      <c r="B14" s="10">
        <v>2.9000000000000001E-2</v>
      </c>
      <c r="C14" s="10">
        <v>0.41</v>
      </c>
      <c r="D14" s="10">
        <v>0.98</v>
      </c>
    </row>
    <row r="15" spans="1:4" ht="15" customHeight="1" x14ac:dyDescent="0.25">
      <c r="A15" s="9" t="s">
        <v>78</v>
      </c>
      <c r="B15" s="10">
        <v>2.5999999999999998E-4</v>
      </c>
      <c r="C15" s="10">
        <v>3.5000000000000001E-3</v>
      </c>
      <c r="D15" s="10">
        <v>8.8999999999999999E-3</v>
      </c>
    </row>
    <row r="16" spans="1:4" ht="15" customHeight="1" x14ac:dyDescent="0.25">
      <c r="A16" s="9" t="s">
        <v>79</v>
      </c>
      <c r="B16" s="10">
        <v>2.5000000000000001E-4</v>
      </c>
      <c r="C16" s="10">
        <v>3.2000000000000002E-3</v>
      </c>
      <c r="D16" s="10">
        <v>8.6E-3</v>
      </c>
    </row>
    <row r="17" spans="1:4" ht="15" customHeight="1" x14ac:dyDescent="0.25">
      <c r="A17" s="9" t="s">
        <v>96</v>
      </c>
      <c r="B17" s="10">
        <v>1E-3</v>
      </c>
      <c r="C17" s="10">
        <v>1.2999999999999999E-2</v>
      </c>
      <c r="D17" s="10">
        <v>3.5000000000000003E-2</v>
      </c>
    </row>
    <row r="18" spans="1:4" ht="15" customHeight="1" x14ac:dyDescent="0.25">
      <c r="A18" s="16" t="s">
        <v>97</v>
      </c>
      <c r="B18" s="13">
        <v>1.1E-4</v>
      </c>
      <c r="C18" s="13">
        <v>1.4E-3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849D-8E62-4953-9280-A30398726579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161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9.3999999999999997E-4</v>
      </c>
      <c r="C5" s="10">
        <v>6.4999999999999997E-3</v>
      </c>
      <c r="D5" s="10">
        <v>4.3999999999999997E-2</v>
      </c>
    </row>
    <row r="6" spans="1:4" ht="15" customHeight="1" x14ac:dyDescent="0.25">
      <c r="A6" s="9" t="s">
        <v>94</v>
      </c>
      <c r="B6" s="10">
        <v>2.0999999999999999E-3</v>
      </c>
      <c r="C6" s="10">
        <v>1.4999999999999999E-2</v>
      </c>
      <c r="D6" s="10">
        <v>9.9000000000000005E-2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4.8000000000000001E-4</v>
      </c>
      <c r="C8" s="10">
        <v>3.3999999999999998E-3</v>
      </c>
      <c r="D8" s="10">
        <v>2.5000000000000001E-2</v>
      </c>
    </row>
    <row r="9" spans="1:4" ht="15" customHeight="1" x14ac:dyDescent="0.25">
      <c r="A9" s="9" t="s">
        <v>72</v>
      </c>
      <c r="B9" s="10">
        <v>1.4E-3</v>
      </c>
      <c r="C9" s="10">
        <v>0.01</v>
      </c>
      <c r="D9" s="10">
        <v>6.0999999999999999E-2</v>
      </c>
    </row>
    <row r="10" spans="1:4" ht="15" customHeight="1" x14ac:dyDescent="0.25">
      <c r="A10" s="9" t="s">
        <v>73</v>
      </c>
      <c r="B10" s="10">
        <v>1.7999999999999999E-2</v>
      </c>
      <c r="C10" s="10">
        <v>0.13</v>
      </c>
      <c r="D10" s="10">
        <v>0.78</v>
      </c>
    </row>
    <row r="11" spans="1:4" ht="15" customHeight="1" x14ac:dyDescent="0.25">
      <c r="A11" s="9" t="s">
        <v>74</v>
      </c>
      <c r="B11" s="10">
        <v>2.5000000000000001E-2</v>
      </c>
      <c r="C11" s="10">
        <v>0.19</v>
      </c>
      <c r="D11" s="10">
        <v>1.1000000000000001</v>
      </c>
    </row>
    <row r="12" spans="1:4" ht="15" customHeight="1" x14ac:dyDescent="0.25">
      <c r="A12" s="9" t="s">
        <v>75</v>
      </c>
      <c r="B12" s="10">
        <v>0.68</v>
      </c>
      <c r="C12" s="10">
        <v>4.9000000000000004</v>
      </c>
      <c r="D12" s="10">
        <v>32</v>
      </c>
    </row>
    <row r="13" spans="1:4" ht="15" customHeight="1" x14ac:dyDescent="0.25">
      <c r="A13" s="9" t="s">
        <v>76</v>
      </c>
      <c r="B13" s="10">
        <v>0.12</v>
      </c>
      <c r="C13" s="10">
        <v>0.84</v>
      </c>
      <c r="D13" s="10">
        <v>5.4</v>
      </c>
    </row>
    <row r="14" spans="1:4" ht="15" customHeight="1" x14ac:dyDescent="0.25">
      <c r="A14" s="9" t="s">
        <v>77</v>
      </c>
      <c r="B14" s="10">
        <v>2.9000000000000001E-2</v>
      </c>
      <c r="C14" s="10">
        <v>0.21</v>
      </c>
      <c r="D14" s="10">
        <v>1.3</v>
      </c>
    </row>
    <row r="15" spans="1:4" ht="15" customHeight="1" x14ac:dyDescent="0.25">
      <c r="A15" s="9" t="s">
        <v>78</v>
      </c>
      <c r="B15" s="10">
        <v>2.5000000000000001E-4</v>
      </c>
      <c r="C15" s="10">
        <v>1.5E-3</v>
      </c>
      <c r="D15" s="10">
        <v>1.2E-2</v>
      </c>
    </row>
    <row r="16" spans="1:4" ht="15" customHeight="1" x14ac:dyDescent="0.25">
      <c r="A16" s="9" t="s">
        <v>79</v>
      </c>
      <c r="B16" s="10">
        <v>2.4000000000000001E-4</v>
      </c>
      <c r="C16" s="10">
        <v>1.5E-3</v>
      </c>
      <c r="D16" s="10">
        <v>1.0999999999999999E-2</v>
      </c>
    </row>
    <row r="17" spans="1:4" ht="15" customHeight="1" x14ac:dyDescent="0.25">
      <c r="A17" s="9" t="s">
        <v>96</v>
      </c>
      <c r="B17" s="10">
        <v>9.7999999999999997E-4</v>
      </c>
      <c r="C17" s="10">
        <v>6.1999999999999998E-3</v>
      </c>
      <c r="D17" s="10">
        <v>4.4999999999999998E-2</v>
      </c>
    </row>
    <row r="18" spans="1:4" ht="15" customHeight="1" x14ac:dyDescent="0.25">
      <c r="A18" s="16" t="s">
        <v>97</v>
      </c>
      <c r="B18" s="13">
        <v>1.1E-4</v>
      </c>
      <c r="C18" s="13">
        <v>6.7000000000000002E-4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8747-DBCA-4D94-BA24-6EA89320BAC7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162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1E-3</v>
      </c>
      <c r="C5" s="10">
        <v>2.8999999999999998E-3</v>
      </c>
      <c r="D5" s="10">
        <v>5.0999999999999997E-2</v>
      </c>
    </row>
    <row r="6" spans="1:4" ht="15" customHeight="1" x14ac:dyDescent="0.25">
      <c r="A6" s="9" t="s">
        <v>94</v>
      </c>
      <c r="B6" s="10">
        <v>2.3999999999999998E-3</v>
      </c>
      <c r="C6" s="10">
        <v>6.4999999999999997E-3</v>
      </c>
      <c r="D6" s="10">
        <v>0.12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5.2999999999999998E-4</v>
      </c>
      <c r="C8" s="10">
        <v>1.5E-3</v>
      </c>
      <c r="D8" s="10">
        <v>2.8000000000000001E-2</v>
      </c>
    </row>
    <row r="9" spans="1:4" ht="15" customHeight="1" x14ac:dyDescent="0.25">
      <c r="A9" s="9" t="s">
        <v>72</v>
      </c>
      <c r="B9" s="10">
        <v>1.4E-3</v>
      </c>
      <c r="C9" s="10">
        <v>4.4999999999999997E-3</v>
      </c>
      <c r="D9" s="10">
        <v>7.2999999999999995E-2</v>
      </c>
    </row>
    <row r="10" spans="1:4" ht="15" customHeight="1" x14ac:dyDescent="0.25">
      <c r="A10" s="9" t="s">
        <v>73</v>
      </c>
      <c r="B10" s="10">
        <v>1.7999999999999999E-2</v>
      </c>
      <c r="C10" s="10">
        <v>5.7000000000000002E-2</v>
      </c>
      <c r="D10" s="10">
        <v>0.93</v>
      </c>
    </row>
    <row r="11" spans="1:4" ht="15" customHeight="1" x14ac:dyDescent="0.25">
      <c r="A11" s="9" t="s">
        <v>74</v>
      </c>
      <c r="B11" s="10">
        <v>2.5999999999999999E-2</v>
      </c>
      <c r="C11" s="10">
        <v>8.2000000000000003E-2</v>
      </c>
      <c r="D11" s="10">
        <v>1.3</v>
      </c>
    </row>
    <row r="12" spans="1:4" ht="15" customHeight="1" x14ac:dyDescent="0.25">
      <c r="A12" s="9" t="s">
        <v>75</v>
      </c>
      <c r="B12" s="10">
        <v>0.71</v>
      </c>
      <c r="C12" s="10">
        <v>2.1</v>
      </c>
      <c r="D12" s="10">
        <v>37</v>
      </c>
    </row>
    <row r="13" spans="1:4" ht="15" customHeight="1" x14ac:dyDescent="0.25">
      <c r="A13" s="9" t="s">
        <v>76</v>
      </c>
      <c r="B13" s="10">
        <v>0.12</v>
      </c>
      <c r="C13" s="10">
        <v>0.37</v>
      </c>
      <c r="D13" s="10">
        <v>6.3</v>
      </c>
    </row>
    <row r="14" spans="1:4" ht="15" customHeight="1" x14ac:dyDescent="0.25">
      <c r="A14" s="9" t="s">
        <v>77</v>
      </c>
      <c r="B14" s="10">
        <v>3.1E-2</v>
      </c>
      <c r="C14" s="10">
        <v>9.4E-2</v>
      </c>
      <c r="D14" s="10">
        <v>1.5</v>
      </c>
    </row>
    <row r="15" spans="1:4" ht="15" customHeight="1" x14ac:dyDescent="0.25">
      <c r="A15" s="9" t="s">
        <v>78</v>
      </c>
      <c r="B15" s="10">
        <v>2.7E-4</v>
      </c>
      <c r="C15" s="10">
        <v>6.9999999999999999E-4</v>
      </c>
      <c r="D15" s="10">
        <v>1.4E-2</v>
      </c>
    </row>
    <row r="16" spans="1:4" ht="15" customHeight="1" x14ac:dyDescent="0.25">
      <c r="A16" s="9" t="s">
        <v>79</v>
      </c>
      <c r="B16" s="10">
        <v>2.5999999999999998E-4</v>
      </c>
      <c r="C16" s="10">
        <v>6.8000000000000005E-4</v>
      </c>
      <c r="D16" s="10">
        <v>1.2999999999999999E-2</v>
      </c>
    </row>
    <row r="17" spans="1:4" ht="15" customHeight="1" x14ac:dyDescent="0.25">
      <c r="A17" s="9" t="s">
        <v>96</v>
      </c>
      <c r="B17" s="10">
        <v>1.1000000000000001E-3</v>
      </c>
      <c r="C17" s="10">
        <v>2.8E-3</v>
      </c>
      <c r="D17" s="10">
        <v>5.3999999999999999E-2</v>
      </c>
    </row>
    <row r="18" spans="1:4" ht="15" customHeight="1" x14ac:dyDescent="0.25">
      <c r="A18" s="16" t="s">
        <v>97</v>
      </c>
      <c r="B18" s="13">
        <v>1.1E-4</v>
      </c>
      <c r="C18" s="13">
        <v>2.9999999999999997E-4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3B23-BF6E-4D7B-9540-BAE382AEBFF7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163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7.3999999999999999E-4</v>
      </c>
      <c r="C5" s="10">
        <v>5.1000000000000004E-3</v>
      </c>
      <c r="D5" s="10">
        <v>1.7999999999999999E-2</v>
      </c>
    </row>
    <row r="6" spans="1:4" ht="15" customHeight="1" x14ac:dyDescent="0.25">
      <c r="A6" s="9" t="s">
        <v>94</v>
      </c>
      <c r="B6" s="10">
        <v>1.6999999999999999E-3</v>
      </c>
      <c r="C6" s="10">
        <v>1.0999999999999999E-2</v>
      </c>
      <c r="D6" s="10">
        <v>4.2000000000000003E-2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3.4000000000000002E-4</v>
      </c>
      <c r="C8" s="10">
        <v>2.3999999999999998E-3</v>
      </c>
      <c r="D8" s="10">
        <v>9.7999999999999997E-3</v>
      </c>
    </row>
    <row r="9" spans="1:4" ht="15" customHeight="1" x14ac:dyDescent="0.25">
      <c r="A9" s="9" t="s">
        <v>72</v>
      </c>
      <c r="B9" s="10">
        <v>9.6000000000000002E-4</v>
      </c>
      <c r="C9" s="10">
        <v>6.1999999999999998E-3</v>
      </c>
      <c r="D9" s="10">
        <v>2.4E-2</v>
      </c>
    </row>
    <row r="10" spans="1:4" ht="15" customHeight="1" x14ac:dyDescent="0.25">
      <c r="A10" s="9" t="s">
        <v>73</v>
      </c>
      <c r="B10" s="10">
        <v>1.2E-2</v>
      </c>
      <c r="C10" s="10">
        <v>7.9000000000000001E-2</v>
      </c>
      <c r="D10" s="10">
        <v>0.31</v>
      </c>
    </row>
    <row r="11" spans="1:4" ht="15" customHeight="1" x14ac:dyDescent="0.25">
      <c r="A11" s="9" t="s">
        <v>74</v>
      </c>
      <c r="B11" s="10">
        <v>1.7000000000000001E-2</v>
      </c>
      <c r="C11" s="10">
        <v>0.11</v>
      </c>
      <c r="D11" s="10">
        <v>0.44</v>
      </c>
    </row>
    <row r="12" spans="1:4" ht="15" customHeight="1" x14ac:dyDescent="0.25">
      <c r="A12" s="9" t="s">
        <v>75</v>
      </c>
      <c r="B12" s="10">
        <v>0.46</v>
      </c>
      <c r="C12" s="10">
        <v>3.1</v>
      </c>
      <c r="D12" s="10">
        <v>12</v>
      </c>
    </row>
    <row r="13" spans="1:4" ht="15" customHeight="1" x14ac:dyDescent="0.25">
      <c r="A13" s="9" t="s">
        <v>76</v>
      </c>
      <c r="B13" s="10">
        <v>7.8E-2</v>
      </c>
      <c r="C13" s="10">
        <v>0.53</v>
      </c>
      <c r="D13" s="10">
        <v>2.1</v>
      </c>
    </row>
    <row r="14" spans="1:4" ht="15" customHeight="1" x14ac:dyDescent="0.25">
      <c r="A14" s="9" t="s">
        <v>77</v>
      </c>
      <c r="B14" s="10">
        <v>0.02</v>
      </c>
      <c r="C14" s="10">
        <v>0.13</v>
      </c>
      <c r="D14" s="10">
        <v>0.51</v>
      </c>
    </row>
    <row r="15" spans="1:4" ht="15" customHeight="1" x14ac:dyDescent="0.25">
      <c r="A15" s="9" t="s">
        <v>78</v>
      </c>
      <c r="B15" s="10">
        <v>1.8000000000000001E-4</v>
      </c>
      <c r="C15" s="10">
        <v>1.4E-3</v>
      </c>
      <c r="D15" s="10">
        <v>4.7999999999999996E-3</v>
      </c>
    </row>
    <row r="16" spans="1:4" ht="15" customHeight="1" x14ac:dyDescent="0.25">
      <c r="A16" s="9" t="s">
        <v>79</v>
      </c>
      <c r="B16" s="10">
        <v>1.8000000000000001E-4</v>
      </c>
      <c r="C16" s="10">
        <v>1.2999999999999999E-3</v>
      </c>
      <c r="D16" s="10">
        <v>4.7000000000000002E-3</v>
      </c>
    </row>
    <row r="17" spans="1:4" ht="15" customHeight="1" x14ac:dyDescent="0.25">
      <c r="A17" s="9" t="s">
        <v>96</v>
      </c>
      <c r="B17" s="10">
        <v>7.3999999999999999E-4</v>
      </c>
      <c r="C17" s="10">
        <v>5.3E-3</v>
      </c>
      <c r="D17" s="10">
        <v>1.9E-2</v>
      </c>
    </row>
    <row r="18" spans="1:4" ht="15" customHeight="1" x14ac:dyDescent="0.25">
      <c r="A18" s="16" t="s">
        <v>97</v>
      </c>
      <c r="B18" s="13">
        <v>7.8999999999999996E-5</v>
      </c>
      <c r="C18" s="13">
        <v>5.8E-4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B7CC-6991-41E2-B3B2-C03FE774A01B}">
  <dimension ref="A1:D18"/>
  <sheetViews>
    <sheetView workbookViewId="0">
      <selection sqref="A1:D1"/>
    </sheetView>
  </sheetViews>
  <sheetFormatPr defaultColWidth="9.140625"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7109375" style="4" customWidth="1"/>
    <col min="5" max="16384" width="9.140625" style="4"/>
  </cols>
  <sheetData>
    <row r="1" spans="1:4" ht="45" customHeight="1" x14ac:dyDescent="0.25">
      <c r="A1" s="41" t="s">
        <v>164</v>
      </c>
      <c r="B1" s="41"/>
      <c r="C1" s="41"/>
      <c r="D1" s="41"/>
    </row>
    <row r="2" spans="1:4" ht="15" customHeight="1" x14ac:dyDescent="0.25">
      <c r="A2" s="19"/>
      <c r="B2" s="40" t="s">
        <v>90</v>
      </c>
      <c r="C2" s="40"/>
      <c r="D2" s="40"/>
    </row>
    <row r="3" spans="1:4" ht="29.25" customHeight="1" x14ac:dyDescent="0.25">
      <c r="A3" s="5" t="s">
        <v>91</v>
      </c>
      <c r="B3" s="6" t="s">
        <v>63</v>
      </c>
      <c r="C3" s="6" t="s">
        <v>67</v>
      </c>
      <c r="D3" s="17" t="s">
        <v>92</v>
      </c>
    </row>
    <row r="4" spans="1:4" ht="15" customHeight="1" x14ac:dyDescent="0.25">
      <c r="A4" s="7" t="s">
        <v>70</v>
      </c>
      <c r="B4" s="8"/>
      <c r="C4" s="8"/>
      <c r="D4" s="8"/>
    </row>
    <row r="5" spans="1:4" ht="15" customHeight="1" x14ac:dyDescent="0.25">
      <c r="A5" s="9" t="s">
        <v>93</v>
      </c>
      <c r="B5" s="10">
        <v>2.5999999999999998E-4</v>
      </c>
      <c r="C5" s="10">
        <v>1.6999999999999999E-3</v>
      </c>
      <c r="D5" s="10">
        <v>6.4000000000000003E-3</v>
      </c>
    </row>
    <row r="6" spans="1:4" ht="15" customHeight="1" x14ac:dyDescent="0.25">
      <c r="A6" s="9" t="s">
        <v>94</v>
      </c>
      <c r="B6" s="10">
        <v>5.9000000000000003E-4</v>
      </c>
      <c r="C6" s="10">
        <v>3.8999999999999998E-3</v>
      </c>
      <c r="D6" s="10">
        <v>1.4999999999999999E-2</v>
      </c>
    </row>
    <row r="7" spans="1:4" ht="15" customHeight="1" x14ac:dyDescent="0.25">
      <c r="A7" s="11" t="s">
        <v>95</v>
      </c>
      <c r="B7" s="12"/>
      <c r="C7" s="12"/>
      <c r="D7" s="12"/>
    </row>
    <row r="8" spans="1:4" ht="15" customHeight="1" x14ac:dyDescent="0.25">
      <c r="A8" s="9" t="s">
        <v>71</v>
      </c>
      <c r="B8" s="10">
        <v>1.3999999999999999E-4</v>
      </c>
      <c r="C8" s="10">
        <v>8.8000000000000003E-4</v>
      </c>
      <c r="D8" s="10">
        <v>3.3E-3</v>
      </c>
    </row>
    <row r="9" spans="1:4" ht="15" customHeight="1" x14ac:dyDescent="0.25">
      <c r="A9" s="9" t="s">
        <v>72</v>
      </c>
      <c r="B9" s="10">
        <v>4.0999999999999999E-4</v>
      </c>
      <c r="C9" s="10">
        <v>2.2000000000000001E-3</v>
      </c>
      <c r="D9" s="10">
        <v>8.6E-3</v>
      </c>
    </row>
    <row r="10" spans="1:4" ht="15" customHeight="1" x14ac:dyDescent="0.25">
      <c r="A10" s="9" t="s">
        <v>73</v>
      </c>
      <c r="B10" s="10">
        <v>5.1999999999999998E-3</v>
      </c>
      <c r="C10" s="10">
        <v>2.8000000000000001E-2</v>
      </c>
      <c r="D10" s="10">
        <v>0.11</v>
      </c>
    </row>
    <row r="11" spans="1:4" ht="15" customHeight="1" x14ac:dyDescent="0.25">
      <c r="A11" s="9" t="s">
        <v>74</v>
      </c>
      <c r="B11" s="10">
        <v>7.4999999999999997E-3</v>
      </c>
      <c r="C11" s="10">
        <v>0.04</v>
      </c>
      <c r="D11" s="10">
        <v>0.16</v>
      </c>
    </row>
    <row r="12" spans="1:4" ht="15" customHeight="1" x14ac:dyDescent="0.25">
      <c r="A12" s="9" t="s">
        <v>75</v>
      </c>
      <c r="B12" s="10">
        <v>0.21</v>
      </c>
      <c r="C12" s="10">
        <v>1.2</v>
      </c>
      <c r="D12" s="10">
        <v>4.5</v>
      </c>
    </row>
    <row r="13" spans="1:4" ht="15" customHeight="1" x14ac:dyDescent="0.25">
      <c r="A13" s="9" t="s">
        <v>76</v>
      </c>
      <c r="B13" s="10">
        <v>3.5999999999999997E-2</v>
      </c>
      <c r="C13" s="10">
        <v>0.2</v>
      </c>
      <c r="D13" s="10">
        <v>0.77</v>
      </c>
    </row>
    <row r="14" spans="1:4" ht="15" customHeight="1" x14ac:dyDescent="0.25">
      <c r="A14" s="9" t="s">
        <v>77</v>
      </c>
      <c r="B14" s="10">
        <v>8.6E-3</v>
      </c>
      <c r="C14" s="10">
        <v>4.5999999999999999E-2</v>
      </c>
      <c r="D14" s="10">
        <v>0.18</v>
      </c>
    </row>
    <row r="15" spans="1:4" ht="15" customHeight="1" x14ac:dyDescent="0.25">
      <c r="A15" s="9" t="s">
        <v>78</v>
      </c>
      <c r="B15" s="10">
        <v>7.3999999999999996E-5</v>
      </c>
      <c r="C15" s="10">
        <v>4.6999999999999999E-4</v>
      </c>
      <c r="D15" s="10">
        <v>1.6999999999999999E-3</v>
      </c>
    </row>
    <row r="16" spans="1:4" ht="15" customHeight="1" x14ac:dyDescent="0.25">
      <c r="A16" s="9" t="s">
        <v>79</v>
      </c>
      <c r="B16" s="10">
        <v>6.9999999999999994E-5</v>
      </c>
      <c r="C16" s="10">
        <v>4.4999999999999999E-4</v>
      </c>
      <c r="D16" s="10">
        <v>1.6000000000000001E-3</v>
      </c>
    </row>
    <row r="17" spans="1:4" ht="15" customHeight="1" x14ac:dyDescent="0.25">
      <c r="A17" s="9" t="s">
        <v>96</v>
      </c>
      <c r="B17" s="10">
        <v>2.7999999999999998E-4</v>
      </c>
      <c r="C17" s="10">
        <v>1.8E-3</v>
      </c>
      <c r="D17" s="10">
        <v>6.6E-3</v>
      </c>
    </row>
    <row r="18" spans="1:4" ht="15" customHeight="1" x14ac:dyDescent="0.25">
      <c r="A18" s="16" t="s">
        <v>97</v>
      </c>
      <c r="B18" s="13">
        <v>3.1000000000000001E-5</v>
      </c>
      <c r="C18" s="13">
        <v>1.9000000000000001E-4</v>
      </c>
      <c r="D18" s="13">
        <v>7.1000000000000002E-4</v>
      </c>
    </row>
  </sheetData>
  <mergeCells count="2">
    <mergeCell ref="B2:D2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FEA679-3520-4E33-9184-DEF1223B3B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0E287-F7C3-4E2C-812B-64E64238A0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31095D-81C8-4532-9365-728DD9AABA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About</vt:lpstr>
      <vt:lpstr>Mappings</vt:lpstr>
      <vt:lpstr>HOIpTP-transport-NOx</vt:lpstr>
      <vt:lpstr>HOIpTP-transport-PM25</vt:lpstr>
      <vt:lpstr>HOIpTP-transport-SO2</vt:lpstr>
      <vt:lpstr>HOIpTP-electricity-NOx</vt:lpstr>
      <vt:lpstr>HOIpTP-electricity-PM25</vt:lpstr>
      <vt:lpstr>HOIpTP-electricity-SO2</vt:lpstr>
      <vt:lpstr>HOIpTP-buildings-NOx</vt:lpstr>
      <vt:lpstr>HOIpTP-buildings-PM25</vt:lpstr>
      <vt:lpstr>HOIpTP-buildings-SO2</vt:lpstr>
      <vt:lpstr>HOIpTP-industry-NOx</vt:lpstr>
      <vt:lpstr>HOIpTP-industry-PM25</vt:lpstr>
      <vt:lpstr>HOIpTP-industry-SO2</vt:lpstr>
      <vt:lpstr>HOIpTP-LULUCF-NOx</vt:lpstr>
      <vt:lpstr>HOIpTP-LULUCF-PM25</vt:lpstr>
      <vt:lpstr>HOIpTP-LULUCF-SO2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2020-07-06T23:53:13Z</dcterms:created>
  <dcterms:modified xsi:type="dcterms:W3CDTF">2025-06-11T13:45:40Z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