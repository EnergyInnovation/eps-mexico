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11" documentId="13_ncr:1_{6E7A770A-7C28-0545-8D7C-1EB6139DDDB7}" xr6:coauthVersionLast="47" xr6:coauthVersionMax="47" xr10:uidLastSave="{3C07C382-D83B-4BDF-89DC-90D091D010E7}"/>
  <bookViews>
    <workbookView xWindow="35080" yWindow="2640" windowWidth="27000" windowHeight="18160" firstSheet="2" activeTab="1" xr2:uid="{00000000-000D-0000-FFFF-FFFF00000000}"/>
  </bookViews>
  <sheets>
    <sheet name="About" sheetId="1" r:id="rId1"/>
    <sheet name="Mexico" sheetId="4" r:id="rId2"/>
    <sheet name="VoaS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B2" i="3"/>
  <c r="E11" i="4"/>
  <c r="D12" i="4"/>
  <c r="E12" i="4" s="1"/>
  <c r="D10" i="4"/>
  <c r="E10" i="4" s="1"/>
</calcChain>
</file>

<file path=xl/sharedStrings.xml><?xml version="1.0" encoding="utf-8"?>
<sst xmlns="http://schemas.openxmlformats.org/spreadsheetml/2006/main" count="35" uniqueCount="33">
  <si>
    <t>VoaSL Value of a Statistical Life</t>
  </si>
  <si>
    <t>Mexico:</t>
  </si>
  <si>
    <t>Becerra-Pérez, L. A., Ramos-Alvarez, R. A., DelaCruz, J. J., &amp; García-Páez, B. (2024). Value per Statistical Life at the Sub-National Level as a Tool for Assessing Public Health and Environmental Problems. INQUIRY: The Journal of Health Care Organization, Provision, and Financing, 61, 00469580241246476.</t>
  </si>
  <si>
    <t>https://pubmed.ncbi.nlm.nih.gov/38641976/</t>
  </si>
  <si>
    <t>Notes</t>
  </si>
  <si>
    <t>This variable is used to convert from dollars (in the SCoHIbP Social Cost of</t>
  </si>
  <si>
    <t>Health Impacts by Pollutant variable) into human lives, so the VSL figure</t>
  </si>
  <si>
    <t>here must reflect the one used to calculate the health impacts in that</t>
  </si>
  <si>
    <t>variable for the result to be accurate.</t>
  </si>
  <si>
    <t>Currency Year Adjustment</t>
  </si>
  <si>
    <t>We adjust 2014 dollars to 2012 dollars using the following conversion factor:</t>
  </si>
  <si>
    <t>We adjust 2021 dollars to 2012 dollars using the following conversion factor:</t>
  </si>
  <si>
    <t>See "cpi.xlsx" in the InputData folder for source information.</t>
  </si>
  <si>
    <t>Currency conversions</t>
  </si>
  <si>
    <t>Year</t>
  </si>
  <si>
    <t>MXN/USD</t>
  </si>
  <si>
    <t>Central Mexico Megalopolis - Air quality program numbers</t>
  </si>
  <si>
    <t>https://framework-gb.cdn.gob.mx/data/institutos/semarnat/Programa_de_Gesti%C3%B3n_Federal_2017-2030_final.pdf</t>
  </si>
  <si>
    <t>https://www.gob.mx/cms/uploads/attachment/file/436696/Informe_final_VEV_vf.pdf</t>
  </si>
  <si>
    <t>Value per Statistical Life at the Sub-National Level as a Tool for Assessing Public Health and Environmental Problems</t>
  </si>
  <si>
    <t>Value of a statistical Life (VSL)</t>
  </si>
  <si>
    <t xml:space="preserve">This article aims to estimate the Value per Statistical Life (VSL) and Value per Statistical Life Year (VSLY) at the sub-national level, which can be used to calculate the economic impact of health and environmental problems. We estimate the value of life for Mexico and its 32 states, grouped into 5 regions for 2021. We used the OECD's guidelines on "Mortality Risk Valuation in Environment, Health and Transport Policies," which applies the measure of Willingness to Pay (WTP) and Cost-Benefit Analysis (CBA). Mexico's overall VSL of $2 000 000 USD in 2021 showcases the value placed on human life (3). </t>
  </si>
  <si>
    <t>MXN, 2014</t>
  </si>
  <si>
    <t>USD, 2014</t>
  </si>
  <si>
    <t>USD, 2012</t>
  </si>
  <si>
    <t>Source</t>
  </si>
  <si>
    <t>VSL1 - Local contingency valuation study</t>
  </si>
  <si>
    <t xml:space="preserve">VSL2- Local contingency valuation study </t>
  </si>
  <si>
    <t>VSL2 - International estimate, adjusted to Mexico</t>
  </si>
  <si>
    <t>USD, 2021</t>
  </si>
  <si>
    <t>VSL3 - OECD guidelines - Mexico case</t>
  </si>
  <si>
    <t>Statistical Life</t>
  </si>
  <si>
    <t>Value (2012$)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</si>
</sst>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43" fontId="0" fillId="0" borderId="0" xfId="2" applyFont="1"/>
    <xf numFmtId="3" fontId="0" fillId="0" borderId="0" xfId="0" applyNumberFormat="1"/>
    <xf numFmtId="4" fontId="0" fillId="0" borderId="0" xfId="0" applyNumberFormat="1"/>
    <xf numFmtId="3" fontId="0" fillId="0" borderId="0" xfId="2" applyNumberFormat="1" applyFont="1"/>
    <xf numFmtId="164" fontId="1" fillId="0" borderId="0" xfId="0" applyNumberFormat="1" applyFont="1"/>
    <xf numFmtId="0" fontId="0" fillId="0" borderId="0" xfId="0" applyAlignment="1">
      <alignment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ubmed.ncbi.nlm.nih.gov/38641976/" TargetMode="External"/><Relationship Id="rId1" Type="http://schemas.openxmlformats.org/officeDocument/2006/relationships/hyperlink" Target="https://framework-gb.cdn.gob.mx/data/institutos/semarnat/Programa_de_Gesti%C3%B3n_Federal_2017-2030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A16" sqref="A16"/>
    </sheetView>
  </sheetViews>
  <sheetFormatPr defaultColWidth="8.85546875" defaultRowHeight="15"/>
  <cols>
    <col min="2" max="2" width="38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 t="s">
        <v>3</v>
      </c>
    </row>
    <row r="6" spans="1:2">
      <c r="A6" s="1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s="1"/>
    </row>
    <row r="12" spans="1:2">
      <c r="A12" s="1" t="s">
        <v>9</v>
      </c>
    </row>
    <row r="13" spans="1:2">
      <c r="A13" t="s">
        <v>10</v>
      </c>
    </row>
    <row r="14" spans="1:2">
      <c r="A14">
        <v>0.97135205460935392</v>
      </c>
    </row>
    <row r="15" spans="1:2">
      <c r="A15" t="s">
        <v>11</v>
      </c>
    </row>
    <row r="16" spans="1:2">
      <c r="A16">
        <v>0.84730412960844359</v>
      </c>
    </row>
    <row r="17" spans="1:2">
      <c r="A17" t="s">
        <v>12</v>
      </c>
    </row>
    <row r="19" spans="1:2">
      <c r="A19" s="1" t="s">
        <v>13</v>
      </c>
    </row>
    <row r="20" spans="1:2">
      <c r="A20" t="s">
        <v>14</v>
      </c>
      <c r="B20" t="s">
        <v>15</v>
      </c>
    </row>
    <row r="21" spans="1:2">
      <c r="A21">
        <v>2006</v>
      </c>
      <c r="B21">
        <v>10.901017260273969</v>
      </c>
    </row>
    <row r="22" spans="1:2">
      <c r="A22">
        <v>2007</v>
      </c>
      <c r="B22">
        <v>10.926903013698627</v>
      </c>
    </row>
    <row r="23" spans="1:2">
      <c r="A23">
        <v>2008</v>
      </c>
      <c r="B23">
        <v>11.138301912568313</v>
      </c>
    </row>
    <row r="24" spans="1:2">
      <c r="A24">
        <v>2009</v>
      </c>
      <c r="B24">
        <v>13.509501369863028</v>
      </c>
    </row>
    <row r="25" spans="1:2">
      <c r="A25">
        <v>2010</v>
      </c>
      <c r="B25">
        <v>12.636678082191793</v>
      </c>
    </row>
    <row r="26" spans="1:2">
      <c r="A26">
        <v>2011</v>
      </c>
      <c r="B26">
        <v>12.427292876712329</v>
      </c>
    </row>
    <row r="27" spans="1:2">
      <c r="A27">
        <v>2012</v>
      </c>
      <c r="B27">
        <v>13.168531967213106</v>
      </c>
    </row>
    <row r="28" spans="1:2">
      <c r="A28">
        <v>2013</v>
      </c>
      <c r="B28">
        <v>12.767464383561641</v>
      </c>
    </row>
    <row r="29" spans="1:2">
      <c r="A29">
        <v>2014</v>
      </c>
      <c r="B29">
        <v>13.298290410958895</v>
      </c>
    </row>
    <row r="30" spans="1:2">
      <c r="A30">
        <v>2015</v>
      </c>
      <c r="B30">
        <v>15.854175890410984</v>
      </c>
    </row>
    <row r="31" spans="1:2">
      <c r="A31">
        <v>2016</v>
      </c>
      <c r="B31">
        <v>18.656701092896164</v>
      </c>
    </row>
    <row r="32" spans="1:2">
      <c r="A32">
        <v>2017</v>
      </c>
      <c r="B32">
        <v>18.929111232876703</v>
      </c>
    </row>
    <row r="33" spans="1:2">
      <c r="A33">
        <v>2018</v>
      </c>
      <c r="B33">
        <v>18.822825165562914</v>
      </c>
    </row>
    <row r="34" spans="1:2">
      <c r="A34">
        <v>2019</v>
      </c>
      <c r="B34">
        <v>19.260525900000001</v>
      </c>
    </row>
    <row r="35" spans="1:2">
      <c r="A35">
        <v>2020</v>
      </c>
      <c r="B35">
        <v>21.493461509999999</v>
      </c>
    </row>
    <row r="36" spans="1:2">
      <c r="A36">
        <v>2021</v>
      </c>
      <c r="B36">
        <v>20.280012648221323</v>
      </c>
    </row>
    <row r="37" spans="1:2">
      <c r="A3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topLeftCell="A6" workbookViewId="0">
      <selection activeCell="C15" sqref="C15"/>
    </sheetView>
  </sheetViews>
  <sheetFormatPr defaultColWidth="10.85546875" defaultRowHeight="15"/>
  <cols>
    <col min="2" max="2" width="43.28515625" customWidth="1"/>
    <col min="3" max="3" width="13.140625" customWidth="1"/>
    <col min="4" max="4" width="11.7109375" bestFit="1" customWidth="1"/>
    <col min="5" max="5" width="12.7109375" bestFit="1" customWidth="1"/>
  </cols>
  <sheetData>
    <row r="1" spans="1:6">
      <c r="A1" s="1" t="s">
        <v>16</v>
      </c>
    </row>
    <row r="2" spans="1:6">
      <c r="A2">
        <v>1</v>
      </c>
      <c r="B2" s="3" t="s">
        <v>17</v>
      </c>
    </row>
    <row r="3" spans="1:6">
      <c r="A3">
        <v>2</v>
      </c>
      <c r="B3" s="3" t="s">
        <v>18</v>
      </c>
    </row>
    <row r="4" spans="1:6">
      <c r="A4">
        <v>3</v>
      </c>
      <c r="B4" s="3" t="s">
        <v>19</v>
      </c>
    </row>
    <row r="6" spans="1:6">
      <c r="A6" s="1" t="s">
        <v>20</v>
      </c>
    </row>
    <row r="7" spans="1:6" ht="95.25" customHeight="1">
      <c r="B7" s="10" t="s">
        <v>21</v>
      </c>
      <c r="C7" s="10"/>
      <c r="D7" s="10"/>
      <c r="E7" s="10"/>
      <c r="F7" s="10"/>
    </row>
    <row r="9" spans="1:6">
      <c r="C9" t="s">
        <v>22</v>
      </c>
      <c r="D9" t="s">
        <v>23</v>
      </c>
      <c r="E9" t="s">
        <v>24</v>
      </c>
      <c r="F9" t="s">
        <v>25</v>
      </c>
    </row>
    <row r="10" spans="1:6">
      <c r="B10" t="s">
        <v>26</v>
      </c>
      <c r="C10">
        <v>1600000</v>
      </c>
      <c r="D10">
        <f>C10/About!$B$29</f>
        <v>120316.21738997873</v>
      </c>
      <c r="E10" s="5">
        <f>D10*About!$A$14</f>
        <v>116869.40496458152</v>
      </c>
      <c r="F10">
        <v>1</v>
      </c>
    </row>
    <row r="11" spans="1:6">
      <c r="B11" t="s">
        <v>27</v>
      </c>
      <c r="C11" s="6">
        <v>2797808</v>
      </c>
      <c r="D11" s="7">
        <v>352813.11</v>
      </c>
      <c r="E11" s="5">
        <f>D11*About!$A$14</f>
        <v>342705.73929161596</v>
      </c>
      <c r="F11">
        <v>2</v>
      </c>
    </row>
    <row r="12" spans="1:6">
      <c r="B12" t="s">
        <v>28</v>
      </c>
      <c r="C12">
        <v>13850000</v>
      </c>
      <c r="D12">
        <f>C12/About!$B$29</f>
        <v>1041487.2567820033</v>
      </c>
      <c r="E12" s="5">
        <f>D12*About!$A$14</f>
        <v>1011650.7867246587</v>
      </c>
      <c r="F12">
        <v>1</v>
      </c>
    </row>
    <row r="14" spans="1:6">
      <c r="C14" t="s">
        <v>29</v>
      </c>
      <c r="D14" t="s">
        <v>24</v>
      </c>
    </row>
    <row r="15" spans="1:6">
      <c r="B15" t="s">
        <v>30</v>
      </c>
      <c r="C15" s="6">
        <v>2000000</v>
      </c>
      <c r="D15" s="9">
        <f>C15*About!A16</f>
        <v>1694608.2592168872</v>
      </c>
      <c r="F15">
        <v>3</v>
      </c>
    </row>
  </sheetData>
  <mergeCells count="1">
    <mergeCell ref="B7:F7"/>
  </mergeCells>
  <hyperlinks>
    <hyperlink ref="B2" r:id="rId1" xr:uid="{00000000-0004-0000-0100-000000000000}"/>
    <hyperlink ref="B4" r:id="rId2" xr:uid="{FA701A0E-3B13-2E4E-86C4-E7E4D696CC3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ColWidth="8.85546875" defaultRowHeight="15"/>
  <cols>
    <col min="1" max="2" width="16.42578125" customWidth="1"/>
  </cols>
  <sheetData>
    <row r="1" spans="1:2">
      <c r="B1" s="4" t="s">
        <v>31</v>
      </c>
    </row>
    <row r="2" spans="1:2">
      <c r="A2" t="s">
        <v>32</v>
      </c>
      <c r="B2" s="8">
        <f>Mexico!D15</f>
        <v>1694608.2592168872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E723E2-6DC7-4512-B42B-913F6DC408F1}"/>
</file>

<file path=customXml/itemProps2.xml><?xml version="1.0" encoding="utf-8"?>
<ds:datastoreItem xmlns:ds="http://schemas.openxmlformats.org/officeDocument/2006/customXml" ds:itemID="{ED8A4A89-CB37-46A1-B23B-360F77ABB45F}"/>
</file>

<file path=customXml/itemProps3.xml><?xml version="1.0" encoding="utf-8"?>
<ds:datastoreItem xmlns:ds="http://schemas.openxmlformats.org/officeDocument/2006/customXml" ds:itemID="{1DA52DC3-B7BC-4D08-8BBD-9D6D8AD2E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2016-01-21T23:28:30Z</dcterms:created>
  <dcterms:modified xsi:type="dcterms:W3CDTF">2024-12-11T16:17:03Z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