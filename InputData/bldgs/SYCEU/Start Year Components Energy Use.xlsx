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1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Rod\Downloads\"/>
    </mc:Choice>
  </mc:AlternateContent>
  <xr:revisionPtr revIDLastSave="0" documentId="13_ncr:1_{24870D3C-F0CD-4142-9C25-BE448BE2962E}" xr6:coauthVersionLast="47" xr6:coauthVersionMax="47" xr10:uidLastSave="{00000000-0000-0000-0000-000000000000}"/>
  <bookViews>
    <workbookView xWindow="-120" yWindow="-120" windowWidth="20730" windowHeight="11040" tabRatio="776" activeTab="6" xr2:uid="{00000000-000D-0000-FFFF-FFFF00000000}"/>
  </bookViews>
  <sheets>
    <sheet name="About" sheetId="36" r:id="rId1"/>
    <sheet name="Cuadro A.11" sheetId="42" r:id="rId2"/>
    <sheet name="Cuadro A.15" sheetId="37" r:id="rId3"/>
    <sheet name="CyS" sheetId="38" r:id="rId4"/>
    <sheet name="Res" sheetId="39" r:id="rId5"/>
    <sheet name="Pub" sheetId="40" r:id="rId6"/>
    <sheet name="BCEU PJ" sheetId="41" r:id="rId7"/>
    <sheet name="SYCEU-urban-residential" sheetId="18" r:id="rId8"/>
    <sheet name="SYCEU-rural-residential" sheetId="30" r:id="rId9"/>
    <sheet name="SYCEU-commercial" sheetId="31" r:id="rId10"/>
  </sheets>
  <externalReferences>
    <externalReference r:id="rId11"/>
    <externalReference r:id="rId12"/>
    <externalReference r:id="rId13"/>
  </externalReferences>
  <definedNames>
    <definedName name="Fraction_coal">[1]About!#REF!</definedName>
    <definedName name="gal_per_barrel">[2]About!$A$63</definedName>
    <definedName name="Percent_rural">[1]About!#REF!</definedName>
    <definedName name="Percent_urban">[1]About!#REF!</definedName>
    <definedName name="quadrillion">[1]About!$B$62</definedName>
    <definedName name="Table4">#REF!</definedName>
    <definedName name="Table4_1">#REF!</definedName>
    <definedName name="Table4_A">#REF!</definedName>
    <definedName name="Table5">#REF!</definedName>
    <definedName name="Table5_1">#REF!</definedName>
    <definedName name="Table5_A">#REF!</definedName>
    <definedName name="UrbFrac">'[3]MX urban Rural'!$B$3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31" l="1"/>
  <c r="C3" i="31"/>
  <c r="D3" i="31"/>
  <c r="E3" i="31"/>
  <c r="F3" i="31"/>
  <c r="G3" i="31"/>
  <c r="C4" i="31"/>
  <c r="D4" i="31"/>
  <c r="E4" i="31"/>
  <c r="F4" i="31"/>
  <c r="C5" i="31"/>
  <c r="D5" i="31"/>
  <c r="E5" i="31"/>
  <c r="G5" i="31"/>
  <c r="C6" i="31"/>
  <c r="D6" i="31"/>
  <c r="E6" i="31"/>
  <c r="F6" i="31"/>
  <c r="C7" i="31"/>
  <c r="D7" i="31"/>
  <c r="E7" i="31"/>
  <c r="F7" i="31"/>
  <c r="C8" i="31"/>
  <c r="D8" i="31"/>
  <c r="E8" i="31"/>
  <c r="F8" i="31"/>
  <c r="G8" i="31"/>
  <c r="C9" i="31"/>
  <c r="D9" i="31"/>
  <c r="E9" i="31"/>
  <c r="F9" i="31"/>
  <c r="G9" i="31"/>
  <c r="C10" i="31"/>
  <c r="D10" i="31"/>
  <c r="E10" i="31"/>
  <c r="C11" i="31"/>
  <c r="D11" i="31"/>
  <c r="E11" i="31"/>
  <c r="F11" i="31"/>
  <c r="G11" i="31"/>
  <c r="B3" i="31"/>
  <c r="B5" i="31"/>
  <c r="B6" i="31"/>
  <c r="B8" i="31"/>
  <c r="B9" i="31"/>
  <c r="B11" i="31"/>
  <c r="C2" i="30"/>
  <c r="D2" i="30"/>
  <c r="F2" i="30"/>
  <c r="C3" i="30"/>
  <c r="D3" i="30"/>
  <c r="E3" i="30"/>
  <c r="F3" i="30"/>
  <c r="G3" i="30"/>
  <c r="C4" i="30"/>
  <c r="D4" i="30"/>
  <c r="E4" i="30"/>
  <c r="F4" i="30"/>
  <c r="G4" i="30"/>
  <c r="C5" i="30"/>
  <c r="D5" i="30"/>
  <c r="E5" i="30"/>
  <c r="F5" i="30"/>
  <c r="G5" i="30"/>
  <c r="C6" i="30"/>
  <c r="D6" i="30"/>
  <c r="E6" i="30"/>
  <c r="F6" i="30"/>
  <c r="G6" i="30"/>
  <c r="C7" i="30"/>
  <c r="D7" i="30"/>
  <c r="E7" i="30"/>
  <c r="F7" i="30"/>
  <c r="G7" i="30"/>
  <c r="C8" i="30"/>
  <c r="D8" i="30"/>
  <c r="E8" i="30"/>
  <c r="F8" i="30"/>
  <c r="G8" i="30"/>
  <c r="C9" i="30"/>
  <c r="D9" i="30"/>
  <c r="E9" i="30"/>
  <c r="F9" i="30"/>
  <c r="G9" i="30"/>
  <c r="C10" i="30"/>
  <c r="D10" i="30"/>
  <c r="E10" i="30"/>
  <c r="F10" i="30"/>
  <c r="G10" i="30"/>
  <c r="C11" i="30"/>
  <c r="D11" i="30"/>
  <c r="E11" i="30"/>
  <c r="F11" i="30"/>
  <c r="G11" i="30"/>
  <c r="B3" i="30"/>
  <c r="B4" i="30"/>
  <c r="B5" i="30"/>
  <c r="B6" i="30"/>
  <c r="B7" i="30"/>
  <c r="B8" i="30"/>
  <c r="B9" i="30"/>
  <c r="B10" i="30"/>
  <c r="B11" i="30"/>
  <c r="B2" i="30"/>
  <c r="C2" i="18"/>
  <c r="G2" i="18"/>
  <c r="C3" i="18"/>
  <c r="D3" i="18"/>
  <c r="E3" i="18"/>
  <c r="F3" i="18"/>
  <c r="G3" i="18"/>
  <c r="C4" i="18"/>
  <c r="D4" i="18"/>
  <c r="E4" i="18"/>
  <c r="F4" i="18"/>
  <c r="C5" i="18"/>
  <c r="D5" i="18"/>
  <c r="E5" i="18"/>
  <c r="F5" i="18"/>
  <c r="G5" i="18"/>
  <c r="C6" i="18"/>
  <c r="D6" i="18"/>
  <c r="E6" i="18"/>
  <c r="F6" i="18"/>
  <c r="C7" i="18"/>
  <c r="D7" i="18"/>
  <c r="E7" i="18"/>
  <c r="F7" i="18"/>
  <c r="C8" i="18"/>
  <c r="D8" i="18"/>
  <c r="E8" i="18"/>
  <c r="F8" i="18"/>
  <c r="G8" i="18"/>
  <c r="C9" i="18"/>
  <c r="D9" i="18"/>
  <c r="E9" i="18"/>
  <c r="F9" i="18"/>
  <c r="G9" i="18"/>
  <c r="C10" i="18"/>
  <c r="D10" i="18"/>
  <c r="E10" i="18"/>
  <c r="F10" i="18"/>
  <c r="C11" i="18"/>
  <c r="D11" i="18"/>
  <c r="E11" i="18"/>
  <c r="F11" i="18"/>
  <c r="G11" i="18"/>
  <c r="B3" i="18"/>
  <c r="B5" i="18"/>
  <c r="B6" i="18"/>
  <c r="B8" i="18"/>
  <c r="B9" i="18"/>
  <c r="B11" i="18"/>
  <c r="B2" i="18"/>
  <c r="P54" i="41"/>
  <c r="P55" i="41" s="1"/>
  <c r="E117" i="41"/>
  <c r="F117" i="41"/>
  <c r="G117" i="41"/>
  <c r="H117" i="41"/>
  <c r="I117" i="41"/>
  <c r="J117" i="41"/>
  <c r="K117" i="41"/>
  <c r="L117" i="41"/>
  <c r="E118" i="41"/>
  <c r="F118" i="41"/>
  <c r="G118" i="41"/>
  <c r="H118" i="41"/>
  <c r="I118" i="41"/>
  <c r="J118" i="41"/>
  <c r="K118" i="41"/>
  <c r="L118" i="41"/>
  <c r="E119" i="41"/>
  <c r="F119" i="41"/>
  <c r="G119" i="41"/>
  <c r="H119" i="41"/>
  <c r="I119" i="41"/>
  <c r="J119" i="41"/>
  <c r="K119" i="41"/>
  <c r="L119" i="41"/>
  <c r="E120" i="41"/>
  <c r="F120" i="41"/>
  <c r="G120" i="41"/>
  <c r="H120" i="41"/>
  <c r="I120" i="41"/>
  <c r="J120" i="41"/>
  <c r="K120" i="41"/>
  <c r="L120" i="41"/>
  <c r="E121" i="41"/>
  <c r="F121" i="41"/>
  <c r="G121" i="41"/>
  <c r="H121" i="41"/>
  <c r="I121" i="41"/>
  <c r="J121" i="41"/>
  <c r="K121" i="41"/>
  <c r="L121" i="41"/>
  <c r="D121" i="41"/>
  <c r="D120" i="41"/>
  <c r="D119" i="41"/>
  <c r="D118" i="41"/>
  <c r="D117" i="41"/>
  <c r="M64" i="41"/>
  <c r="N64" i="41"/>
  <c r="L64" i="41"/>
  <c r="M63" i="41"/>
  <c r="N63" i="41"/>
  <c r="L63" i="41"/>
  <c r="E61" i="41"/>
  <c r="F61" i="41"/>
  <c r="G61" i="41"/>
  <c r="H61" i="41"/>
  <c r="I61" i="41"/>
  <c r="J61" i="41"/>
  <c r="K61" i="41"/>
  <c r="L61" i="41"/>
  <c r="D61" i="41"/>
  <c r="E58" i="41"/>
  <c r="F58" i="41"/>
  <c r="G58" i="41"/>
  <c r="H58" i="41"/>
  <c r="I58" i="41"/>
  <c r="J58" i="41"/>
  <c r="K58" i="41"/>
  <c r="L58" i="41"/>
  <c r="M58" i="41"/>
  <c r="N58" i="41"/>
  <c r="E59" i="41"/>
  <c r="F59" i="41"/>
  <c r="G59" i="41"/>
  <c r="H59" i="41"/>
  <c r="I59" i="41"/>
  <c r="J59" i="41"/>
  <c r="K59" i="41"/>
  <c r="L59" i="41"/>
  <c r="M59" i="41"/>
  <c r="N59" i="41"/>
  <c r="E60" i="41"/>
  <c r="F60" i="41"/>
  <c r="G60" i="41"/>
  <c r="H60" i="41"/>
  <c r="I60" i="41"/>
  <c r="J60" i="41"/>
  <c r="K60" i="41"/>
  <c r="L60" i="41"/>
  <c r="M60" i="41"/>
  <c r="N60" i="41"/>
  <c r="D59" i="41"/>
  <c r="D60" i="41"/>
  <c r="D58" i="41"/>
  <c r="E57" i="41"/>
  <c r="F57" i="41"/>
  <c r="G57" i="41"/>
  <c r="H57" i="41"/>
  <c r="H96" i="41" s="1"/>
  <c r="I57" i="41"/>
  <c r="I96" i="41" s="1"/>
  <c r="J57" i="41"/>
  <c r="K57" i="41"/>
  <c r="L57" i="41"/>
  <c r="D57" i="41"/>
  <c r="E56" i="41"/>
  <c r="F56" i="41"/>
  <c r="G56" i="41"/>
  <c r="H56" i="41"/>
  <c r="I56" i="41"/>
  <c r="J56" i="41"/>
  <c r="J95" i="41" s="1"/>
  <c r="K56" i="41"/>
  <c r="K95" i="41" s="1"/>
  <c r="L56" i="41"/>
  <c r="D56" i="41"/>
  <c r="E55" i="41"/>
  <c r="E94" i="41" s="1"/>
  <c r="F55" i="41"/>
  <c r="F94" i="41" s="1"/>
  <c r="G55" i="41"/>
  <c r="G94" i="41" s="1"/>
  <c r="H55" i="41"/>
  <c r="H94" i="41" s="1"/>
  <c r="I55" i="41"/>
  <c r="I94" i="41" s="1"/>
  <c r="J55" i="41"/>
  <c r="J94" i="41" s="1"/>
  <c r="K55" i="41"/>
  <c r="K94" i="41" s="1"/>
  <c r="L55" i="41"/>
  <c r="L94" i="41" s="1"/>
  <c r="M55" i="41"/>
  <c r="M94" i="41" s="1"/>
  <c r="N55" i="41"/>
  <c r="N94" i="41" s="1"/>
  <c r="D55" i="41"/>
  <c r="D94" i="41" s="1"/>
  <c r="E47" i="41"/>
  <c r="F47" i="41"/>
  <c r="G47" i="41"/>
  <c r="H47" i="41"/>
  <c r="I47" i="41"/>
  <c r="J47" i="41"/>
  <c r="K47" i="41"/>
  <c r="L47" i="41"/>
  <c r="D47" i="41"/>
  <c r="E46" i="41"/>
  <c r="F46" i="41"/>
  <c r="G46" i="41"/>
  <c r="H46" i="41"/>
  <c r="I46" i="41"/>
  <c r="J46" i="41"/>
  <c r="K46" i="41"/>
  <c r="L46" i="41"/>
  <c r="D46" i="41"/>
  <c r="E7" i="41"/>
  <c r="F7" i="41"/>
  <c r="G7" i="41"/>
  <c r="H7" i="41"/>
  <c r="I7" i="41"/>
  <c r="J7" i="41"/>
  <c r="K7" i="41"/>
  <c r="L7" i="41"/>
  <c r="M7" i="41"/>
  <c r="N7" i="41"/>
  <c r="E8" i="41"/>
  <c r="F8" i="41"/>
  <c r="G8" i="41"/>
  <c r="H8" i="41"/>
  <c r="I8" i="41"/>
  <c r="J8" i="41"/>
  <c r="K8" i="41"/>
  <c r="L8" i="41"/>
  <c r="M8" i="41"/>
  <c r="N8" i="41"/>
  <c r="E9" i="41"/>
  <c r="E13" i="41" s="1"/>
  <c r="F9" i="41"/>
  <c r="F13" i="41" s="1"/>
  <c r="G9" i="41"/>
  <c r="G13" i="41" s="1"/>
  <c r="H9" i="41"/>
  <c r="H13" i="41" s="1"/>
  <c r="I9" i="41"/>
  <c r="I13" i="41" s="1"/>
  <c r="J9" i="41"/>
  <c r="J15" i="41" s="1"/>
  <c r="K9" i="41"/>
  <c r="K13" i="41" s="1"/>
  <c r="L9" i="41"/>
  <c r="L15" i="41" s="1"/>
  <c r="M9" i="41"/>
  <c r="N9" i="41"/>
  <c r="D8" i="41"/>
  <c r="D9" i="41"/>
  <c r="D27" i="41" s="1"/>
  <c r="D7" i="41"/>
  <c r="E5" i="41"/>
  <c r="F5" i="41"/>
  <c r="G5" i="41"/>
  <c r="H5" i="41"/>
  <c r="I5" i="41"/>
  <c r="J5" i="41"/>
  <c r="K5" i="41"/>
  <c r="L5" i="41"/>
  <c r="E6" i="41"/>
  <c r="F6" i="41"/>
  <c r="G6" i="41"/>
  <c r="H6" i="41"/>
  <c r="I6" i="41"/>
  <c r="J6" i="41"/>
  <c r="K6" i="41"/>
  <c r="L6" i="41"/>
  <c r="D5" i="41"/>
  <c r="D6" i="41"/>
  <c r="E4" i="41"/>
  <c r="F4" i="41"/>
  <c r="G4" i="41"/>
  <c r="H4" i="41"/>
  <c r="I4" i="41"/>
  <c r="J4" i="41"/>
  <c r="K4" i="41"/>
  <c r="L4" i="41"/>
  <c r="D4" i="41"/>
  <c r="E3" i="41"/>
  <c r="E29" i="41" s="1"/>
  <c r="F3" i="41"/>
  <c r="F29" i="41" s="1"/>
  <c r="G3" i="41"/>
  <c r="G29" i="41" s="1"/>
  <c r="H3" i="41"/>
  <c r="H29" i="41" s="1"/>
  <c r="I3" i="41"/>
  <c r="I29" i="41" s="1"/>
  <c r="J3" i="41"/>
  <c r="J29" i="41" s="1"/>
  <c r="K3" i="41"/>
  <c r="K29" i="41" s="1"/>
  <c r="L3" i="41"/>
  <c r="L29" i="41" s="1"/>
  <c r="D3" i="41"/>
  <c r="D29" i="41" s="1"/>
  <c r="B131" i="41"/>
  <c r="G137" i="41" s="1"/>
  <c r="G4" i="18" s="1"/>
  <c r="E126" i="41"/>
  <c r="F126" i="41"/>
  <c r="G126" i="41"/>
  <c r="H126" i="41"/>
  <c r="I126" i="41"/>
  <c r="J126" i="41"/>
  <c r="K126" i="41"/>
  <c r="L126" i="41"/>
  <c r="D126" i="41"/>
  <c r="E125" i="41"/>
  <c r="F125" i="41"/>
  <c r="G125" i="41"/>
  <c r="H125" i="41"/>
  <c r="I125" i="41"/>
  <c r="J125" i="41"/>
  <c r="K125" i="41"/>
  <c r="L125" i="41"/>
  <c r="D125" i="41"/>
  <c r="M128" i="41"/>
  <c r="N128" i="41"/>
  <c r="L128" i="41"/>
  <c r="M127" i="41"/>
  <c r="N127" i="41"/>
  <c r="L127" i="41"/>
  <c r="L124" i="41"/>
  <c r="D124" i="41"/>
  <c r="E124" i="41"/>
  <c r="F124" i="41"/>
  <c r="G124" i="41"/>
  <c r="H124" i="41"/>
  <c r="I124" i="41"/>
  <c r="J124" i="41"/>
  <c r="K124" i="41"/>
  <c r="B31" i="36"/>
  <c r="G165" i="41" l="1"/>
  <c r="G6" i="31" s="1"/>
  <c r="P56" i="41"/>
  <c r="F98" i="41"/>
  <c r="F104" i="41" s="1"/>
  <c r="I95" i="41"/>
  <c r="G96" i="41"/>
  <c r="G102" i="41" s="1"/>
  <c r="D98" i="41"/>
  <c r="D104" i="41" s="1"/>
  <c r="E98" i="41"/>
  <c r="E104" i="41" s="1"/>
  <c r="H95" i="41"/>
  <c r="F96" i="41"/>
  <c r="F102" i="41" s="1"/>
  <c r="L98" i="41"/>
  <c r="L104" i="41" s="1"/>
  <c r="G95" i="41"/>
  <c r="D96" i="41"/>
  <c r="D102" i="41" s="1"/>
  <c r="E96" i="41"/>
  <c r="E102" i="41" s="1"/>
  <c r="K98" i="41"/>
  <c r="K104" i="41" s="1"/>
  <c r="N98" i="41"/>
  <c r="N104" i="41" s="1"/>
  <c r="F95" i="41"/>
  <c r="K101" i="41"/>
  <c r="L96" i="41"/>
  <c r="L102" i="41" s="1"/>
  <c r="I102" i="41"/>
  <c r="J98" i="41"/>
  <c r="J104" i="41" s="1"/>
  <c r="M98" i="41"/>
  <c r="M104" i="41" s="1"/>
  <c r="B163" i="41" s="1"/>
  <c r="B4" i="31" s="1"/>
  <c r="G98" i="41"/>
  <c r="G104" i="41" s="1"/>
  <c r="D95" i="41"/>
  <c r="E95" i="41"/>
  <c r="J101" i="41"/>
  <c r="K96" i="41"/>
  <c r="K102" i="41" s="1"/>
  <c r="H102" i="41"/>
  <c r="I98" i="41"/>
  <c r="I104" i="41" s="1"/>
  <c r="L95" i="41"/>
  <c r="J96" i="41"/>
  <c r="J102" i="41" s="1"/>
  <c r="H98" i="41"/>
  <c r="H104" i="41" s="1"/>
  <c r="J85" i="41"/>
  <c r="J111" i="41" s="1"/>
  <c r="L85" i="41"/>
  <c r="L111" i="41" s="1"/>
  <c r="K85" i="41"/>
  <c r="K111" i="41" s="1"/>
  <c r="I85" i="41"/>
  <c r="I111" i="41" s="1"/>
  <c r="H85" i="41"/>
  <c r="H111" i="41" s="1"/>
  <c r="D85" i="41"/>
  <c r="D111" i="41" s="1"/>
  <c r="G85" i="41"/>
  <c r="G111" i="41" s="1"/>
  <c r="N85" i="41"/>
  <c r="N111" i="41" s="1"/>
  <c r="F164" i="41" s="1"/>
  <c r="F5" i="31" s="1"/>
  <c r="F85" i="41"/>
  <c r="F111" i="41" s="1"/>
  <c r="M85" i="41"/>
  <c r="M111" i="41" s="1"/>
  <c r="E85" i="41"/>
  <c r="E111" i="41" s="1"/>
  <c r="M57" i="41"/>
  <c r="M56" i="41"/>
  <c r="G62" i="41"/>
  <c r="H62" i="41"/>
  <c r="I62" i="41"/>
  <c r="D62" i="41"/>
  <c r="J62" i="41"/>
  <c r="F62" i="41"/>
  <c r="E62" i="41"/>
  <c r="L65" i="41"/>
  <c r="N65" i="41" s="1"/>
  <c r="N61" i="41" s="1"/>
  <c r="L62" i="41"/>
  <c r="K62" i="41"/>
  <c r="L10" i="41"/>
  <c r="J10" i="41"/>
  <c r="K10" i="41"/>
  <c r="H10" i="41"/>
  <c r="D10" i="41"/>
  <c r="G10" i="41"/>
  <c r="I10" i="41"/>
  <c r="F10" i="41"/>
  <c r="E10" i="41"/>
  <c r="L48" i="41"/>
  <c r="L49" i="41" s="1"/>
  <c r="J48" i="41"/>
  <c r="K48" i="41"/>
  <c r="K49" i="41" s="1"/>
  <c r="K51" i="41" s="1"/>
  <c r="I48" i="41"/>
  <c r="I50" i="41" s="1"/>
  <c r="H48" i="41"/>
  <c r="H49" i="41" s="1"/>
  <c r="H51" i="41" s="1"/>
  <c r="G48" i="41"/>
  <c r="G50" i="41" s="1"/>
  <c r="F48" i="41"/>
  <c r="F49" i="41" s="1"/>
  <c r="F51" i="41" s="1"/>
  <c r="D48" i="41"/>
  <c r="D50" i="41" s="1"/>
  <c r="E48" i="41"/>
  <c r="E49" i="41" s="1"/>
  <c r="E51" i="41" s="1"/>
  <c r="M15" i="41"/>
  <c r="N15" i="41" s="1"/>
  <c r="G27" i="41"/>
  <c r="G23" i="41"/>
  <c r="G19" i="41"/>
  <c r="G15" i="41"/>
  <c r="E19" i="41"/>
  <c r="L25" i="41"/>
  <c r="M25" i="41" s="1"/>
  <c r="N25" i="41" s="1"/>
  <c r="L21" i="41"/>
  <c r="M21" i="41" s="1"/>
  <c r="N21" i="41" s="1"/>
  <c r="L17" i="41"/>
  <c r="M17" i="41" s="1"/>
  <c r="N17" i="41" s="1"/>
  <c r="L13" i="41"/>
  <c r="E23" i="41"/>
  <c r="J25" i="41"/>
  <c r="J21" i="41"/>
  <c r="J17" i="41"/>
  <c r="J13" i="41"/>
  <c r="E15" i="41"/>
  <c r="G25" i="41"/>
  <c r="G21" i="41"/>
  <c r="G17" i="41"/>
  <c r="E27" i="41"/>
  <c r="D19" i="41"/>
  <c r="E25" i="41"/>
  <c r="E21" i="41"/>
  <c r="E17" i="41"/>
  <c r="L27" i="41"/>
  <c r="L23" i="41"/>
  <c r="M23" i="41" s="1"/>
  <c r="N23" i="41" s="1"/>
  <c r="L19" i="41"/>
  <c r="M19" i="41" s="1"/>
  <c r="N19" i="41" s="1"/>
  <c r="D135" i="41" s="1"/>
  <c r="D2" i="18" s="1"/>
  <c r="J27" i="41"/>
  <c r="J23" i="41"/>
  <c r="J19" i="41"/>
  <c r="D13" i="41"/>
  <c r="D15" i="41"/>
  <c r="K27" i="41"/>
  <c r="K25" i="41"/>
  <c r="K23" i="41"/>
  <c r="K21" i="41"/>
  <c r="K19" i="41"/>
  <c r="K17" i="41"/>
  <c r="K15" i="41"/>
  <c r="D25" i="41"/>
  <c r="D23" i="41"/>
  <c r="I27" i="41"/>
  <c r="I25" i="41"/>
  <c r="I23" i="41"/>
  <c r="I21" i="41"/>
  <c r="I19" i="41"/>
  <c r="I17" i="41"/>
  <c r="I15" i="41"/>
  <c r="D21" i="41"/>
  <c r="H27" i="41"/>
  <c r="H25" i="41"/>
  <c r="H23" i="41"/>
  <c r="H21" i="41"/>
  <c r="H19" i="41"/>
  <c r="H17" i="41"/>
  <c r="H15" i="41"/>
  <c r="D17" i="41"/>
  <c r="F27" i="41"/>
  <c r="F25" i="41"/>
  <c r="F23" i="41"/>
  <c r="F21" i="41"/>
  <c r="F19" i="41"/>
  <c r="F17" i="41"/>
  <c r="F15" i="41"/>
  <c r="M6" i="41"/>
  <c r="M5" i="41"/>
  <c r="M4" i="41"/>
  <c r="M3" i="41"/>
  <c r="L129" i="41"/>
  <c r="N129" i="41" s="1"/>
  <c r="N124" i="41" s="1"/>
  <c r="L101" i="41" l="1"/>
  <c r="L114" i="41" s="1"/>
  <c r="L113" i="41"/>
  <c r="I101" i="41"/>
  <c r="I114" i="41" s="1"/>
  <c r="I113" i="41"/>
  <c r="G101" i="41"/>
  <c r="G114" i="41" s="1"/>
  <c r="G113" i="41"/>
  <c r="J114" i="41"/>
  <c r="K114" i="41"/>
  <c r="G163" i="41"/>
  <c r="G4" i="31" s="1"/>
  <c r="E101" i="41"/>
  <c r="E114" i="41" s="1"/>
  <c r="E113" i="41"/>
  <c r="F101" i="41"/>
  <c r="F114" i="41" s="1"/>
  <c r="F113" i="41"/>
  <c r="H101" i="41"/>
  <c r="H114" i="41" s="1"/>
  <c r="H113" i="41"/>
  <c r="K113" i="41"/>
  <c r="D101" i="41"/>
  <c r="D114" i="41" s="1"/>
  <c r="D113" i="41"/>
  <c r="J113" i="41"/>
  <c r="P57" i="41"/>
  <c r="M95" i="41"/>
  <c r="M96" i="41"/>
  <c r="M102" i="41" s="1"/>
  <c r="K67" i="41"/>
  <c r="K68" i="41"/>
  <c r="K69" i="41"/>
  <c r="K70" i="41"/>
  <c r="K71" i="41"/>
  <c r="K72" i="41"/>
  <c r="K73" i="41"/>
  <c r="K74" i="41"/>
  <c r="H67" i="41"/>
  <c r="H68" i="41"/>
  <c r="H69" i="41"/>
  <c r="H70" i="41"/>
  <c r="H71" i="41"/>
  <c r="H72" i="41"/>
  <c r="H73" i="41"/>
  <c r="H74" i="41"/>
  <c r="I67" i="41"/>
  <c r="I68" i="41"/>
  <c r="I69" i="41"/>
  <c r="I70" i="41"/>
  <c r="I71" i="41"/>
  <c r="I72" i="41"/>
  <c r="I73" i="41"/>
  <c r="I74" i="41"/>
  <c r="L67" i="41"/>
  <c r="L71" i="41"/>
  <c r="L72" i="41"/>
  <c r="L68" i="41"/>
  <c r="L69" i="41"/>
  <c r="L70" i="41"/>
  <c r="L73" i="41"/>
  <c r="L74" i="41"/>
  <c r="G67" i="41"/>
  <c r="G68" i="41"/>
  <c r="G69" i="41"/>
  <c r="G71" i="41"/>
  <c r="G72" i="41"/>
  <c r="G74" i="41"/>
  <c r="G70" i="41"/>
  <c r="G73" i="41"/>
  <c r="E67" i="41"/>
  <c r="E68" i="41"/>
  <c r="E69" i="41"/>
  <c r="E70" i="41"/>
  <c r="E71" i="41"/>
  <c r="E72" i="41"/>
  <c r="E73" i="41"/>
  <c r="E74" i="41"/>
  <c r="J67" i="41"/>
  <c r="J68" i="41"/>
  <c r="J69" i="41"/>
  <c r="J70" i="41"/>
  <c r="J71" i="41"/>
  <c r="J72" i="41"/>
  <c r="J73" i="41"/>
  <c r="J74" i="41"/>
  <c r="D68" i="41"/>
  <c r="D69" i="41"/>
  <c r="D70" i="41"/>
  <c r="D71" i="41"/>
  <c r="D72" i="41"/>
  <c r="D73" i="41"/>
  <c r="D67" i="41"/>
  <c r="D74" i="41"/>
  <c r="F67" i="41"/>
  <c r="F68" i="41"/>
  <c r="F69" i="41"/>
  <c r="F70" i="41"/>
  <c r="F71" i="41"/>
  <c r="F72" i="41"/>
  <c r="F73" i="41"/>
  <c r="F74" i="41"/>
  <c r="N57" i="41"/>
  <c r="N56" i="41"/>
  <c r="M65" i="41"/>
  <c r="M61" i="41" s="1"/>
  <c r="M10" i="41"/>
  <c r="J44" i="41"/>
  <c r="E44" i="41"/>
  <c r="D44" i="41"/>
  <c r="F44" i="41"/>
  <c r="H44" i="41"/>
  <c r="I44" i="41"/>
  <c r="G44" i="41"/>
  <c r="K44" i="41"/>
  <c r="M27" i="41"/>
  <c r="L44" i="41"/>
  <c r="N4" i="41"/>
  <c r="N5" i="41"/>
  <c r="N6" i="41"/>
  <c r="M13" i="41"/>
  <c r="M48" i="41"/>
  <c r="L51" i="41"/>
  <c r="L50" i="41"/>
  <c r="E50" i="41"/>
  <c r="E32" i="41" s="1"/>
  <c r="F50" i="41"/>
  <c r="I49" i="41"/>
  <c r="I51" i="41" s="1"/>
  <c r="K50" i="41"/>
  <c r="K33" i="41" s="1"/>
  <c r="G49" i="41"/>
  <c r="G51" i="41" s="1"/>
  <c r="G40" i="41" s="1"/>
  <c r="D49" i="41"/>
  <c r="D51" i="41" s="1"/>
  <c r="D39" i="41" s="1"/>
  <c r="J49" i="41"/>
  <c r="J51" i="41" s="1"/>
  <c r="J50" i="41"/>
  <c r="H50" i="41"/>
  <c r="H31" i="41" s="1"/>
  <c r="N3" i="41"/>
  <c r="M29" i="41"/>
  <c r="M129" i="41"/>
  <c r="M124" i="41" s="1"/>
  <c r="M126" i="41" s="1"/>
  <c r="N126" i="41"/>
  <c r="G148" i="41" s="1"/>
  <c r="G2" i="30" s="1"/>
  <c r="N125" i="41"/>
  <c r="E148" i="41" s="1"/>
  <c r="E2" i="30" s="1"/>
  <c r="M101" i="41" l="1"/>
  <c r="M114" i="41" s="1"/>
  <c r="B166" i="41" s="1"/>
  <c r="B7" i="31" s="1"/>
  <c r="M113" i="41"/>
  <c r="G166" i="41" s="1"/>
  <c r="G7" i="31" s="1"/>
  <c r="P58" i="41"/>
  <c r="N96" i="41"/>
  <c r="N102" i="41" s="1"/>
  <c r="N95" i="41"/>
  <c r="G80" i="41"/>
  <c r="L80" i="41"/>
  <c r="I80" i="41"/>
  <c r="H82" i="41"/>
  <c r="F82" i="41"/>
  <c r="H80" i="41"/>
  <c r="K82" i="41"/>
  <c r="G82" i="41"/>
  <c r="F80" i="41"/>
  <c r="K80" i="41"/>
  <c r="E80" i="41"/>
  <c r="I82" i="41"/>
  <c r="D82" i="41"/>
  <c r="J82" i="41"/>
  <c r="D80" i="41"/>
  <c r="J80" i="41"/>
  <c r="E82" i="41"/>
  <c r="L82" i="41"/>
  <c r="J78" i="41"/>
  <c r="J75" i="41"/>
  <c r="I78" i="41"/>
  <c r="I75" i="41"/>
  <c r="E78" i="41"/>
  <c r="E75" i="41"/>
  <c r="L78" i="41"/>
  <c r="L75" i="41"/>
  <c r="H78" i="41"/>
  <c r="H75" i="41"/>
  <c r="G78" i="41"/>
  <c r="G75" i="41"/>
  <c r="F78" i="41"/>
  <c r="F75" i="41"/>
  <c r="K78" i="41"/>
  <c r="K75" i="41"/>
  <c r="D78" i="41"/>
  <c r="D75" i="41"/>
  <c r="N62" i="41"/>
  <c r="M62" i="41"/>
  <c r="N10" i="41"/>
  <c r="N27" i="41"/>
  <c r="N44" i="41" s="1"/>
  <c r="F135" i="41" s="1"/>
  <c r="F2" i="18" s="1"/>
  <c r="M44" i="41"/>
  <c r="L32" i="41"/>
  <c r="N48" i="41"/>
  <c r="N13" i="41"/>
  <c r="E135" i="41" s="1"/>
  <c r="E2" i="18" s="1"/>
  <c r="L33" i="41"/>
  <c r="D37" i="41"/>
  <c r="G38" i="41"/>
  <c r="G41" i="41"/>
  <c r="E31" i="41"/>
  <c r="G37" i="41"/>
  <c r="F33" i="41"/>
  <c r="I32" i="41"/>
  <c r="I31" i="41"/>
  <c r="I30" i="41"/>
  <c r="I33" i="41"/>
  <c r="I34" i="41"/>
  <c r="L31" i="41"/>
  <c r="I40" i="41"/>
  <c r="M49" i="41"/>
  <c r="M51" i="41" s="1"/>
  <c r="M50" i="41"/>
  <c r="E30" i="41"/>
  <c r="F34" i="41"/>
  <c r="H40" i="41"/>
  <c r="H37" i="41"/>
  <c r="H41" i="41"/>
  <c r="H38" i="41"/>
  <c r="H39" i="41"/>
  <c r="L38" i="41"/>
  <c r="L39" i="41"/>
  <c r="L40" i="41"/>
  <c r="L37" i="41"/>
  <c r="L41" i="41"/>
  <c r="D40" i="41"/>
  <c r="K30" i="41"/>
  <c r="J39" i="41"/>
  <c r="J40" i="41"/>
  <c r="J37" i="41"/>
  <c r="J41" i="41"/>
  <c r="J38" i="41"/>
  <c r="I38" i="41"/>
  <c r="H33" i="41"/>
  <c r="K31" i="41"/>
  <c r="F37" i="41"/>
  <c r="F41" i="41"/>
  <c r="F38" i="41"/>
  <c r="F39" i="41"/>
  <c r="F40" i="41"/>
  <c r="E38" i="41"/>
  <c r="E39" i="41"/>
  <c r="E37" i="41"/>
  <c r="E41" i="41"/>
  <c r="E40" i="41"/>
  <c r="H32" i="41"/>
  <c r="E33" i="41"/>
  <c r="J33" i="41"/>
  <c r="J32" i="41"/>
  <c r="J31" i="41"/>
  <c r="J30" i="41"/>
  <c r="J34" i="41"/>
  <c r="L30" i="41"/>
  <c r="I39" i="41"/>
  <c r="H34" i="41"/>
  <c r="D41" i="41"/>
  <c r="E34" i="41"/>
  <c r="F30" i="41"/>
  <c r="K32" i="41"/>
  <c r="L34" i="41"/>
  <c r="F31" i="41"/>
  <c r="K39" i="41"/>
  <c r="K38" i="41"/>
  <c r="K40" i="41"/>
  <c r="K37" i="41"/>
  <c r="K41" i="41"/>
  <c r="N29" i="41"/>
  <c r="G139" i="41" s="1"/>
  <c r="G6" i="18" s="1"/>
  <c r="D31" i="41"/>
  <c r="D32" i="41"/>
  <c r="D34" i="41"/>
  <c r="D33" i="41"/>
  <c r="D30" i="41"/>
  <c r="I41" i="41"/>
  <c r="G30" i="41"/>
  <c r="G31" i="41"/>
  <c r="G34" i="41"/>
  <c r="G33" i="41"/>
  <c r="G32" i="41"/>
  <c r="I37" i="41"/>
  <c r="H30" i="41"/>
  <c r="D38" i="41"/>
  <c r="G39" i="41"/>
  <c r="F32" i="41"/>
  <c r="K34" i="41"/>
  <c r="M125" i="41"/>
  <c r="N101" i="41" l="1"/>
  <c r="N114" i="41" s="1"/>
  <c r="N113" i="41"/>
  <c r="P59" i="41"/>
  <c r="L116" i="41"/>
  <c r="F116" i="41"/>
  <c r="E116" i="41"/>
  <c r="I116" i="41"/>
  <c r="G116" i="41"/>
  <c r="H116" i="41"/>
  <c r="J116" i="41"/>
  <c r="K116" i="41"/>
  <c r="D116" i="41"/>
  <c r="M71" i="41"/>
  <c r="M72" i="41"/>
  <c r="M73" i="41"/>
  <c r="M74" i="41"/>
  <c r="M70" i="41"/>
  <c r="M69" i="41"/>
  <c r="M68" i="41"/>
  <c r="M67" i="41"/>
  <c r="N71" i="41"/>
  <c r="N73" i="41"/>
  <c r="N72" i="41"/>
  <c r="N74" i="41"/>
  <c r="N70" i="41"/>
  <c r="N67" i="41"/>
  <c r="N69" i="41"/>
  <c r="N68" i="41"/>
  <c r="E35" i="41"/>
  <c r="J42" i="41"/>
  <c r="L35" i="41"/>
  <c r="F42" i="41"/>
  <c r="J35" i="41"/>
  <c r="E42" i="41"/>
  <c r="K35" i="41"/>
  <c r="G42" i="41"/>
  <c r="F35" i="41"/>
  <c r="H42" i="41"/>
  <c r="K42" i="41"/>
  <c r="H35" i="41"/>
  <c r="D35" i="41"/>
  <c r="L42" i="41"/>
  <c r="G35" i="41"/>
  <c r="I42" i="41"/>
  <c r="I35" i="41"/>
  <c r="D42" i="41"/>
  <c r="M41" i="41"/>
  <c r="M40" i="41"/>
  <c r="M37" i="41"/>
  <c r="M38" i="41"/>
  <c r="M39" i="41"/>
  <c r="M34" i="41"/>
  <c r="M33" i="41"/>
  <c r="M30" i="41"/>
  <c r="M31" i="41"/>
  <c r="M32" i="41"/>
  <c r="N50" i="41"/>
  <c r="N49" i="41"/>
  <c r="N51" i="41" s="1"/>
  <c r="P60" i="41" l="1"/>
  <c r="M80" i="41"/>
  <c r="M82" i="41"/>
  <c r="N82" i="41"/>
  <c r="N80" i="41"/>
  <c r="D161" i="41" s="1"/>
  <c r="D2" i="31" s="1"/>
  <c r="J92" i="41"/>
  <c r="J86" i="41"/>
  <c r="J84" i="41" s="1"/>
  <c r="J89" i="41"/>
  <c r="J88" i="41" s="1"/>
  <c r="J105" i="41"/>
  <c r="J99" i="41"/>
  <c r="E89" i="41"/>
  <c r="E88" i="41" s="1"/>
  <c r="E105" i="41"/>
  <c r="E99" i="41"/>
  <c r="E92" i="41"/>
  <c r="E86" i="41"/>
  <c r="E84" i="41" s="1"/>
  <c r="K99" i="41"/>
  <c r="K92" i="41"/>
  <c r="K89" i="41"/>
  <c r="K88" i="41" s="1"/>
  <c r="K86" i="41"/>
  <c r="K84" i="41" s="1"/>
  <c r="K105" i="41"/>
  <c r="H86" i="41"/>
  <c r="H99" i="41"/>
  <c r="H105" i="41"/>
  <c r="H92" i="41"/>
  <c r="H89" i="41"/>
  <c r="H88" i="41" s="1"/>
  <c r="I89" i="41"/>
  <c r="I88" i="41" s="1"/>
  <c r="I86" i="41"/>
  <c r="I84" i="41" s="1"/>
  <c r="I105" i="41"/>
  <c r="I99" i="41"/>
  <c r="I92" i="41"/>
  <c r="F86" i="41"/>
  <c r="F84" i="41" s="1"/>
  <c r="F92" i="41"/>
  <c r="F89" i="41"/>
  <c r="F88" i="41" s="1"/>
  <c r="F105" i="41"/>
  <c r="F99" i="41"/>
  <c r="D105" i="41"/>
  <c r="D99" i="41"/>
  <c r="D92" i="41"/>
  <c r="D89" i="41"/>
  <c r="D88" i="41" s="1"/>
  <c r="D86" i="41"/>
  <c r="D84" i="41" s="1"/>
  <c r="G86" i="41"/>
  <c r="G84" i="41" s="1"/>
  <c r="G105" i="41"/>
  <c r="G99" i="41"/>
  <c r="G92" i="41"/>
  <c r="G89" i="41"/>
  <c r="G88" i="41" s="1"/>
  <c r="L105" i="41"/>
  <c r="L99" i="41"/>
  <c r="L92" i="41"/>
  <c r="L89" i="41"/>
  <c r="L88" i="41" s="1"/>
  <c r="L86" i="41"/>
  <c r="L84" i="41" s="1"/>
  <c r="M78" i="41"/>
  <c r="M75" i="41"/>
  <c r="N78" i="41"/>
  <c r="E161" i="41" s="1"/>
  <c r="E2" i="31" s="1"/>
  <c r="N75" i="41"/>
  <c r="M42" i="41"/>
  <c r="M35" i="41"/>
  <c r="N34" i="41"/>
  <c r="N33" i="41"/>
  <c r="G143" i="41" s="1"/>
  <c r="G10" i="18" s="1"/>
  <c r="N32" i="41"/>
  <c r="N30" i="41"/>
  <c r="N31" i="41"/>
  <c r="N40" i="41"/>
  <c r="B143" i="41" s="1"/>
  <c r="B10" i="18" s="1"/>
  <c r="N41" i="41"/>
  <c r="B137" i="41" s="1"/>
  <c r="B4" i="18" s="1"/>
  <c r="N39" i="41"/>
  <c r="N37" i="41"/>
  <c r="N38" i="41"/>
  <c r="F91" i="41" l="1"/>
  <c r="F110" i="41" s="1"/>
  <c r="F112" i="41"/>
  <c r="D91" i="41"/>
  <c r="D110" i="41" s="1"/>
  <c r="D112" i="41"/>
  <c r="I91" i="41"/>
  <c r="I110" i="41" s="1"/>
  <c r="I112" i="41"/>
  <c r="E91" i="41"/>
  <c r="E110" i="41" s="1"/>
  <c r="E112" i="41"/>
  <c r="J91" i="41"/>
  <c r="J110" i="41" s="1"/>
  <c r="J112" i="41"/>
  <c r="L91" i="41"/>
  <c r="L110" i="41" s="1"/>
  <c r="L112" i="41"/>
  <c r="H91" i="41"/>
  <c r="H112" i="41"/>
  <c r="G91" i="41"/>
  <c r="G110" i="41" s="1"/>
  <c r="G112" i="41"/>
  <c r="K91" i="41"/>
  <c r="K110" i="41" s="1"/>
  <c r="K112" i="41"/>
  <c r="P61" i="41"/>
  <c r="I97" i="41"/>
  <c r="D97" i="41"/>
  <c r="K103" i="41"/>
  <c r="K97" i="41"/>
  <c r="F103" i="41"/>
  <c r="J103" i="41"/>
  <c r="J97" i="41"/>
  <c r="H84" i="41"/>
  <c r="N116" i="41"/>
  <c r="M116" i="41"/>
  <c r="N42" i="41"/>
  <c r="B140" i="41" s="1"/>
  <c r="B7" i="18" s="1"/>
  <c r="N35" i="41"/>
  <c r="G140" i="41" s="1"/>
  <c r="G7" i="18" s="1"/>
  <c r="D103" i="41" l="1"/>
  <c r="F97" i="41"/>
  <c r="I103" i="41"/>
  <c r="I107" i="41" s="1"/>
  <c r="K107" i="41"/>
  <c r="G103" i="41"/>
  <c r="G97" i="41"/>
  <c r="G107" i="41" s="1"/>
  <c r="H110" i="41"/>
  <c r="F107" i="41"/>
  <c r="E103" i="41"/>
  <c r="L103" i="41"/>
  <c r="E97" i="41"/>
  <c r="L97" i="41"/>
  <c r="J107" i="41"/>
  <c r="D107" i="41"/>
  <c r="P62" i="41"/>
  <c r="H103" i="41"/>
  <c r="H97" i="41"/>
  <c r="M89" i="41"/>
  <c r="M88" i="41" s="1"/>
  <c r="M92" i="41"/>
  <c r="M99" i="41"/>
  <c r="G161" i="41" s="1"/>
  <c r="G2" i="31" s="1"/>
  <c r="M86" i="41"/>
  <c r="M84" i="41" s="1"/>
  <c r="M105" i="41"/>
  <c r="B161" i="41" s="1"/>
  <c r="B2" i="31" s="1"/>
  <c r="N99" i="41"/>
  <c r="N89" i="41"/>
  <c r="N88" i="41" s="1"/>
  <c r="N86" i="41"/>
  <c r="N84" i="41" s="1"/>
  <c r="N92" i="41"/>
  <c r="N105" i="41"/>
  <c r="L107" i="41" l="1"/>
  <c r="E107" i="41"/>
  <c r="M91" i="41"/>
  <c r="M110" i="41" s="1"/>
  <c r="M112" i="41"/>
  <c r="N91" i="41"/>
  <c r="N110" i="41" s="1"/>
  <c r="F169" i="41" s="1"/>
  <c r="F10" i="31" s="1"/>
  <c r="N112" i="41"/>
  <c r="F161" i="41" s="1"/>
  <c r="F2" i="31" s="1"/>
  <c r="H107" i="41"/>
  <c r="P63" i="41"/>
  <c r="N103" i="41" l="1"/>
  <c r="M97" i="41"/>
  <c r="M103" i="41"/>
  <c r="B169" i="41" s="1"/>
  <c r="B10" i="31" s="1"/>
  <c r="N97" i="41"/>
  <c r="P64" i="41"/>
  <c r="N107" i="41"/>
  <c r="M107" i="41" l="1"/>
  <c r="G169" i="41"/>
  <c r="G10" i="31" s="1"/>
  <c r="P65" i="41"/>
  <c r="P66" i="41" l="1"/>
  <c r="P67" i="41" l="1"/>
  <c r="P68" i="41" l="1"/>
  <c r="P69" i="41" l="1"/>
  <c r="P70" i="41" l="1"/>
  <c r="P71" i="41" l="1"/>
  <c r="P72" i="41" l="1"/>
  <c r="P73" i="41" l="1"/>
  <c r="P74" i="41" l="1"/>
  <c r="P75" i="41" l="1"/>
  <c r="P76" i="41" l="1"/>
  <c r="P77" i="41" l="1"/>
  <c r="P78" i="41" l="1"/>
  <c r="P79" i="41" l="1"/>
  <c r="P80" i="41" l="1"/>
  <c r="P81" i="41" l="1"/>
  <c r="P82" i="41" l="1"/>
  <c r="P83" i="41" l="1"/>
  <c r="P84" i="41" l="1"/>
  <c r="P85" i="41" l="1"/>
  <c r="P86" i="41" l="1"/>
  <c r="P87" i="41" l="1"/>
  <c r="P88" i="41" l="1"/>
  <c r="P89" i="41" l="1"/>
  <c r="P90" i="41" l="1"/>
  <c r="P91" i="41" l="1"/>
  <c r="P92" i="41" l="1"/>
  <c r="P93" i="41" l="1"/>
  <c r="P94" i="41" l="1"/>
  <c r="P95" i="41" l="1"/>
  <c r="P96" i="41" l="1"/>
  <c r="P97" i="41" l="1"/>
  <c r="P98" i="41" l="1"/>
  <c r="P99" i="41" l="1"/>
  <c r="P100" i="41" l="1"/>
  <c r="P101" i="41" l="1"/>
  <c r="P102" i="41" l="1"/>
  <c r="P103" i="41" l="1"/>
  <c r="P104" i="41" l="1"/>
  <c r="P105" i="41" l="1"/>
  <c r="P106" i="41" s="1"/>
  <c r="P107" i="41" s="1"/>
  <c r="P108" i="41" s="1"/>
  <c r="P109" i="41" s="1"/>
  <c r="P110" i="41" s="1"/>
  <c r="P111" i="41" s="1"/>
  <c r="P112" i="41" s="1"/>
  <c r="P113" i="41" s="1"/>
  <c r="P114" i="41" s="1"/>
</calcChain>
</file>

<file path=xl/sharedStrings.xml><?xml version="1.0" encoding="utf-8"?>
<sst xmlns="http://schemas.openxmlformats.org/spreadsheetml/2006/main" count="956" uniqueCount="191">
  <si>
    <t>SYCEU Start Year Components Energy Use</t>
  </si>
  <si>
    <t>Sources:</t>
  </si>
  <si>
    <t>Energy consumption (residential, commercial &amp; public)</t>
  </si>
  <si>
    <t>Energy Ministry (SENER)</t>
  </si>
  <si>
    <t>National Energy Balance 2023</t>
  </si>
  <si>
    <t>https://www.gob.mx/cms/uploads/attachment/file/947752/BALANCE_NACIONAL_DE_ENERG_A_PRELIMINAR_2023.pdf</t>
  </si>
  <si>
    <t>CUADRO A.11 CONSUMO FINAL TOTAL DE ENERGÍA (Petajoules)</t>
  </si>
  <si>
    <t>CUADRO A.15 CONSUMO DE ENERGÍA EN LOS SECTORES RESIDENCIAL, COMERCIAL Y PÚBLICO (Petajoules)</t>
  </si>
  <si>
    <t>Energy consumption by end use (residential, commercial &amp; public)</t>
  </si>
  <si>
    <t>National Council of Humanities, Sciences and Technologies (Conahcyt)</t>
  </si>
  <si>
    <t>Energy futures for Mexico by 2050 The path to a just and sustainable energy transition</t>
  </si>
  <si>
    <t>https://conahcyt.mx/wp-content/uploads/pronaces/micrositios/energia_y_cambio_climatico/energia/cuadernos_tematicos/Cuaderno_9.pdf</t>
  </si>
  <si>
    <t>CyS.UF1</t>
  </si>
  <si>
    <t>Res.UF1</t>
  </si>
  <si>
    <t>Pub.UF1</t>
  </si>
  <si>
    <t>CyS.UF2</t>
  </si>
  <si>
    <t>Res.UF2</t>
  </si>
  <si>
    <t>Pub.UF2</t>
  </si>
  <si>
    <t>CyS.UF3</t>
  </si>
  <si>
    <t>Res.UF3</t>
  </si>
  <si>
    <t>CyS.UF4</t>
  </si>
  <si>
    <t>Res.UF4</t>
  </si>
  <si>
    <t>CyS.UF5</t>
  </si>
  <si>
    <t>Res.UF5</t>
  </si>
  <si>
    <t>CyS.UF6</t>
  </si>
  <si>
    <t>Res.UF6</t>
  </si>
  <si>
    <t>CyS.UF7</t>
  </si>
  <si>
    <t>Res.UF7</t>
  </si>
  <si>
    <t>CyS.UF8</t>
  </si>
  <si>
    <t>Res.UF8</t>
  </si>
  <si>
    <t>Res.UF9</t>
  </si>
  <si>
    <t>Res.UF10</t>
  </si>
  <si>
    <t>Notes:</t>
  </si>
  <si>
    <t>The "Start Year" is the year before the first simulated year.</t>
  </si>
  <si>
    <t>The start year can be updated using the following field:</t>
  </si>
  <si>
    <t>Unit conversion</t>
  </si>
  <si>
    <t>BTU/PJ</t>
  </si>
  <si>
    <t>BEP</t>
  </si>
  <si>
    <t>BTU</t>
  </si>
  <si>
    <t>PJ</t>
  </si>
  <si>
    <t>Source: https://dof.gob.mx/nota_detalle.php?codigo=5278970&amp;fecha=23/11/2012#gsc.tab=0</t>
  </si>
  <si>
    <t>Building type</t>
  </si>
  <si>
    <t>Building type en EPS</t>
  </si>
  <si>
    <t>Sectores en México</t>
  </si>
  <si>
    <t>Urban residential</t>
  </si>
  <si>
    <t>Residencial</t>
  </si>
  <si>
    <t>Rural residential</t>
  </si>
  <si>
    <t>Público</t>
  </si>
  <si>
    <t>Commercial</t>
  </si>
  <si>
    <t>Comercial y servicios</t>
  </si>
  <si>
    <t>Building component</t>
  </si>
  <si>
    <t>Building component en EPS</t>
  </si>
  <si>
    <t>Usos finales comercial y servicios en México</t>
  </si>
  <si>
    <t>Usos finales residencial en México</t>
  </si>
  <si>
    <t>Usos finales público en México</t>
  </si>
  <si>
    <t>Heating</t>
  </si>
  <si>
    <t>Cocción de alimentos</t>
  </si>
  <si>
    <t>Cooling and ventilation</t>
  </si>
  <si>
    <t>Envelope</t>
  </si>
  <si>
    <t>Climatización</t>
  </si>
  <si>
    <t>Lighting</t>
  </si>
  <si>
    <t>Iluminación</t>
  </si>
  <si>
    <t>Alumbrado público</t>
  </si>
  <si>
    <t>Appliances</t>
  </si>
  <si>
    <t>Refrigeración 
Motores
Misceláneos
Otros</t>
  </si>
  <si>
    <t>Refrigeración 
Otros
Stand by
Lavadoras
Microondas
Televisión</t>
  </si>
  <si>
    <t>Other components</t>
  </si>
  <si>
    <t>Calentamiento de agua</t>
  </si>
  <si>
    <t>Bombeo de agua</t>
  </si>
  <si>
    <t>Building fuel</t>
  </si>
  <si>
    <t>Building fuel en EPS</t>
  </si>
  <si>
    <t>Energéticos</t>
  </si>
  <si>
    <t>Heat</t>
  </si>
  <si>
    <t>Radiación solar</t>
  </si>
  <si>
    <t>Biomass</t>
  </si>
  <si>
    <t>Leña</t>
  </si>
  <si>
    <t>Carbón vegetal</t>
  </si>
  <si>
    <t>BCS Procesados</t>
  </si>
  <si>
    <t>LPG propane or butane</t>
  </si>
  <si>
    <t>Gas licuado de petróleo</t>
  </si>
  <si>
    <t>natural gas</t>
  </si>
  <si>
    <t>Gas seco</t>
  </si>
  <si>
    <t>electricity</t>
  </si>
  <si>
    <t>Electricidad</t>
  </si>
  <si>
    <t>This variable is based on bldgs/BCEU and uses the same data sources.</t>
  </si>
  <si>
    <t>We separate the start year values into their own variable so that</t>
  </si>
  <si>
    <t>we do not need to access data from a year outside of the model's</t>
  </si>
  <si>
    <t>run range from BCEU, which helps people avoid introducing</t>
  </si>
  <si>
    <t>bugs when they update model data.</t>
  </si>
  <si>
    <t>S2.2</t>
  </si>
  <si>
    <t>Consumo final total</t>
  </si>
  <si>
    <t>Consumo no energético total</t>
  </si>
  <si>
    <t>PEMEX Petroquímica</t>
  </si>
  <si>
    <t>Otras ramas económicas</t>
  </si>
  <si>
    <t>Consumo energético total</t>
  </si>
  <si>
    <t>Transporte</t>
  </si>
  <si>
    <t>Industrial</t>
  </si>
  <si>
    <t>Residencial, comercial y público</t>
  </si>
  <si>
    <t>Agropecuario</t>
  </si>
  <si>
    <t>Sin clasificar 1</t>
  </si>
  <si>
    <t>-</t>
  </si>
  <si>
    <t>FUENTE: Sistema de Información Energética (SIE). SENER.
NOTA: La suma de los parciales puede no coincidir con los totales debido al redondeo de las cifras.
Las cifras pueden cambiar respecto al SIE, BDI o BDR debido al cierre de cifras.
A partir del BNE 2021, se considera el consumo de combustibles nuevos (licor negro, gas residual y aceite residual). PEMEX reporta gasolina Magna, Premium, Naftas (Gasaviones) y gasolina de llenado inicial.
PEMEX reporta Diésel automotriz, desulfurado, industrial, marino y pañoles.
A partir del BNE 2021, el consumo de diésel, gasolinas y naftas en el sector autotransporte, se consideró a partir de las ventas en estaciones de servicio de expendio al público registradas por la CRE.
Información preliminar
1A partir del BNE 2021 se comenzó a contabilizar este rubro., se refiere a suministro calificado, porteo y pérdidas no técnicas de energía eléctrica.</t>
  </si>
  <si>
    <t>Total, sector residencial, comercial y público</t>
  </si>
  <si>
    <t>Energía solar</t>
  </si>
  <si>
    <t>Total, de petrolíferos</t>
  </si>
  <si>
    <t>Gas licuado</t>
  </si>
  <si>
    <t>Querosenos</t>
  </si>
  <si>
    <t>Diésel</t>
  </si>
  <si>
    <t>Energía eléctrica</t>
  </si>
  <si>
    <t>Comercial</t>
  </si>
  <si>
    <t>FUENTE: Sistema de Información Energética (SIE). SENER.
NOTA: La suma de los parciales puede no coincidir con los totales debido al redondeo de las cifras.
Las cifras pueden cambiar respecto al SIE, BDI o BDR debido al cierre de cifras. PEMEX reporta Diésel automotriz, desulfurado, industrial, marino y pañoles.
Para la energía solar se consideraron los datos reportados por Asociación Nacional de Energía Solar (ANES) y Fabricantes Mexicanos en las Energías Renovables A.С. (FAMERAC).
Se considera la producción del carbón todo uno (incluye impurezas).
Información preliminar.</t>
  </si>
  <si>
    <t>Consumo final del sector Comercial y servicios para Iluminación por energético e y año histórico ā (PJ)</t>
  </si>
  <si>
    <t>Carbón</t>
  </si>
  <si>
    <t>Petróleo</t>
  </si>
  <si>
    <t>Condensados</t>
  </si>
  <si>
    <t>Gas natural</t>
  </si>
  <si>
    <t>Nuclear</t>
  </si>
  <si>
    <t>Hidroenergía</t>
  </si>
  <si>
    <t>Energía eólica</t>
  </si>
  <si>
    <t>Geoenergía</t>
  </si>
  <si>
    <t>Bagazos</t>
  </si>
  <si>
    <t>Biogás</t>
  </si>
  <si>
    <t>Biodiesel</t>
  </si>
  <si>
    <t>Bioturbosina</t>
  </si>
  <si>
    <t>Coque de carbón</t>
  </si>
  <si>
    <t>Coque de petróleo</t>
  </si>
  <si>
    <t>Gasolina</t>
  </si>
  <si>
    <t>Queroseno</t>
  </si>
  <si>
    <t>Combustóleo</t>
  </si>
  <si>
    <t>No energéticos</t>
  </si>
  <si>
    <t>Hidrogeno</t>
  </si>
  <si>
    <t>Consumo final del sector Comercial y servicios para Climatización por energético e y año histórico ā (PJ)</t>
  </si>
  <si>
    <t>Consumo final del sector Comercial y servicios para Refrigeración por energético e y año histórico ā (PJ)</t>
  </si>
  <si>
    <t>Consumo final del sector Comercial y servicios para Motores por energético e y año histórico ā (PJ)</t>
  </si>
  <si>
    <t>Consumo final del sector Comercial y servicios para Misceláneos por energético e y año histórico ā (PJ)</t>
  </si>
  <si>
    <t>Consumo final del sector Comercial y servicios para Otros por energético e y año histórico ā (PJ)</t>
  </si>
  <si>
    <t>Consumo final del sector Comercial y servicios para Calentamiento de agua por energético e y año histórico ā (PJ)</t>
  </si>
  <si>
    <t>Consumo final del sector Comercial y servicios para Cocción de alimentos por energético e y año histórico ā (PJ)</t>
  </si>
  <si>
    <t>Consumo final del sector Residencial para Iluminación por energético e y año histórico ā (PJ)</t>
  </si>
  <si>
    <t>Consumo final del sector Residencial para Climatización por energético e y año histórico ā (PJ)</t>
  </si>
  <si>
    <t>Consumo final del sector Residencial para Refrigeración por energético e y año histórico ā (PJ)</t>
  </si>
  <si>
    <t>Consumo final del sector Residencial para Calentamiento de agua por energético e y año histórico ā (PJ)</t>
  </si>
  <si>
    <t>Consumo final del sector Residencial para Cocción de alimentos por energético e y año histórico ā (PJ)</t>
  </si>
  <si>
    <t>Consumo final del sector Residencial para Stand by por energético e y año histórico ā (PJ)</t>
  </si>
  <si>
    <t>Consumo final del sector Residencial para Lavadoras por energético e y año histórico ā (PJ)</t>
  </si>
  <si>
    <t>Consumo final del sector Residencial para Microondas por energético e y año histórico ā (PJ)</t>
  </si>
  <si>
    <t>Consumo final del sector Residencial para Televisión por energético e y año histórico ā (PJ)</t>
  </si>
  <si>
    <t>Consumo final del sector Residencial para Otros por energético e y año histórico ā (PJ)</t>
  </si>
  <si>
    <t>Consumo final del sector Público para Alumbrado público por energético e y año histórico ā (PJ)</t>
  </si>
  <si>
    <t>Consumo final del sector Público para Bombeo de agua por energético e y año histórico ā (PJ)</t>
  </si>
  <si>
    <t>Energético</t>
  </si>
  <si>
    <t>Usos finales</t>
  </si>
  <si>
    <t>Otros</t>
  </si>
  <si>
    <t>Stand by</t>
  </si>
  <si>
    <t>Lavadoras</t>
  </si>
  <si>
    <t>Microondas</t>
  </si>
  <si>
    <t>Televisión</t>
  </si>
  <si>
    <t>Refrigeración</t>
  </si>
  <si>
    <t>appliances</t>
  </si>
  <si>
    <t>Calentamiento de agua (sin radiación solar)</t>
  </si>
  <si>
    <t>Base</t>
  </si>
  <si>
    <t>Sin clasificar</t>
  </si>
  <si>
    <t>Motores</t>
  </si>
  <si>
    <t>Misceláneos</t>
  </si>
  <si>
    <t xml:space="preserve"> </t>
  </si>
  <si>
    <t>Year</t>
  </si>
  <si>
    <t>SYCEU-urban-residential</t>
  </si>
  <si>
    <t>heating</t>
  </si>
  <si>
    <t>cooling &amp; ventilation</t>
  </si>
  <si>
    <t>envelope</t>
  </si>
  <si>
    <t>lighting</t>
  </si>
  <si>
    <t>other</t>
  </si>
  <si>
    <t>coal</t>
  </si>
  <si>
    <t>petroleum diesel</t>
  </si>
  <si>
    <t>heat</t>
  </si>
  <si>
    <t>biomass</t>
  </si>
  <si>
    <t>kerosene</t>
  </si>
  <si>
    <t>heavy or residual fuel oil</t>
  </si>
  <si>
    <t>hydrogen</t>
  </si>
  <si>
    <t>SYCEU-rural-residential</t>
  </si>
  <si>
    <t>SYCEU-commercial</t>
  </si>
  <si>
    <t>electricity (BTU)</t>
  </si>
  <si>
    <t>coal (BTU)</t>
  </si>
  <si>
    <t>natural gas (BTU)</t>
  </si>
  <si>
    <t>petroleum diesel (BTU)</t>
  </si>
  <si>
    <t>heat (BTU)</t>
  </si>
  <si>
    <t>biomass (BTU)</t>
  </si>
  <si>
    <t>kerosene (BTU)</t>
  </si>
  <si>
    <t>heavy or residual fuel oil (BTU)</t>
  </si>
  <si>
    <t>LPG propane or butane (BTU)</t>
  </si>
  <si>
    <t>hydrogen (BTU)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</si>
</sst>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13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2"/>
      <color theme="4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color indexed="30"/>
      <name val="Calibri"/>
      <family val="2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</fills>
  <borders count="2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 style="medium">
        <color theme="4"/>
      </top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 style="medium">
        <color rgb="FF0096D7"/>
      </top>
      <bottom/>
      <diagonal/>
    </border>
    <border>
      <left style="thick">
        <color theme="0"/>
      </left>
      <right style="thick">
        <color theme="0"/>
      </right>
      <top/>
      <bottom style="thin">
        <color theme="0" tint="-0.2499465926084170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8">
    <xf numFmtId="0" fontId="0" fillId="0" borderId="0"/>
    <xf numFmtId="0" fontId="3" fillId="0" borderId="0" applyNumberFormat="0" applyFill="0" applyBorder="0" applyAlignment="0" applyProtection="0"/>
    <xf numFmtId="0" fontId="4" fillId="0" borderId="1" applyNumberFormat="0" applyProtection="0">
      <alignment wrapText="1"/>
    </xf>
    <xf numFmtId="0" fontId="5" fillId="0" borderId="0" applyNumberFormat="0" applyProtection="0">
      <alignment horizontal="left"/>
    </xf>
    <xf numFmtId="0" fontId="3" fillId="0" borderId="2" applyNumberFormat="0" applyFont="0" applyProtection="0">
      <alignment wrapText="1"/>
    </xf>
    <xf numFmtId="0" fontId="4" fillId="0" borderId="3" applyNumberFormat="0" applyProtection="0">
      <alignment wrapText="1"/>
    </xf>
    <xf numFmtId="0" fontId="3" fillId="0" borderId="4" applyNumberFormat="0" applyProtection="0">
      <alignment vertical="top" wrapText="1"/>
    </xf>
    <xf numFmtId="0" fontId="6" fillId="0" borderId="0" applyNumberFormat="0" applyFill="0" applyBorder="0" applyAlignment="0" applyProtection="0"/>
    <xf numFmtId="0" fontId="8" fillId="0" borderId="0"/>
    <xf numFmtId="0" fontId="8" fillId="0" borderId="8" applyNumberFormat="0" applyProtection="0">
      <alignment wrapText="1"/>
    </xf>
    <xf numFmtId="0" fontId="9" fillId="0" borderId="6" applyNumberFormat="0" applyProtection="0">
      <alignment wrapText="1"/>
    </xf>
    <xf numFmtId="0" fontId="8" fillId="0" borderId="7" applyNumberFormat="0" applyFont="0" applyProtection="0">
      <alignment wrapText="1"/>
    </xf>
    <xf numFmtId="0" fontId="9" fillId="0" borderId="5" applyNumberFormat="0" applyProtection="0">
      <alignment wrapText="1"/>
    </xf>
    <xf numFmtId="0" fontId="8" fillId="0" borderId="0" applyNumberFormat="0" applyFill="0" applyBorder="0" applyAlignment="0" applyProtection="0"/>
    <xf numFmtId="0" fontId="7" fillId="0" borderId="0" applyNumberFormat="0" applyProtection="0">
      <alignment horizontal="left"/>
    </xf>
    <xf numFmtId="0" fontId="4" fillId="0" borderId="9" applyNumberFormat="0" applyProtection="0">
      <alignment horizontal="left" wrapText="1"/>
    </xf>
    <xf numFmtId="0" fontId="1" fillId="0" borderId="0"/>
    <xf numFmtId="43" fontId="10" fillId="0" borderId="0" applyFont="0" applyFill="0" applyBorder="0" applyAlignment="0" applyProtection="0"/>
  </cellStyleXfs>
  <cellXfs count="25">
    <xf numFmtId="0" fontId="0" fillId="0" borderId="0" xfId="0"/>
    <xf numFmtId="0" fontId="2" fillId="0" borderId="0" xfId="0" applyFont="1"/>
    <xf numFmtId="0" fontId="6" fillId="0" borderId="0" xfId="7"/>
    <xf numFmtId="4" fontId="0" fillId="0" borderId="0" xfId="0" applyNumberFormat="1"/>
    <xf numFmtId="0" fontId="2" fillId="0" borderId="0" xfId="0" applyFont="1" applyAlignment="1">
      <alignment horizontal="right"/>
    </xf>
    <xf numFmtId="0" fontId="0" fillId="3" borderId="10" xfId="0" applyFill="1" applyBorder="1"/>
    <xf numFmtId="2" fontId="0" fillId="0" borderId="0" xfId="0" applyNumberFormat="1"/>
    <xf numFmtId="0" fontId="11" fillId="0" borderId="0" xfId="0" applyFont="1"/>
    <xf numFmtId="2" fontId="0" fillId="2" borderId="0" xfId="0" applyNumberFormat="1" applyFill="1"/>
    <xf numFmtId="0" fontId="0" fillId="0" borderId="0" xfId="0" applyAlignment="1">
      <alignment horizontal="left" wrapText="1"/>
    </xf>
    <xf numFmtId="0" fontId="0" fillId="0" borderId="0" xfId="0" applyAlignment="1">
      <alignment horizontal="left"/>
    </xf>
    <xf numFmtId="0" fontId="0" fillId="0" borderId="15" xfId="0" applyBorder="1" applyAlignment="1">
      <alignment horizontal="left"/>
    </xf>
    <xf numFmtId="0" fontId="0" fillId="0" borderId="14" xfId="0" applyBorder="1" applyAlignment="1">
      <alignment horizontal="left"/>
    </xf>
    <xf numFmtId="0" fontId="0" fillId="0" borderId="17" xfId="0" applyBorder="1" applyAlignment="1">
      <alignment horizontal="left"/>
    </xf>
    <xf numFmtId="0" fontId="0" fillId="0" borderId="18" xfId="0" applyBorder="1" applyAlignment="1">
      <alignment horizontal="left"/>
    </xf>
    <xf numFmtId="0" fontId="2" fillId="0" borderId="19" xfId="0" applyFont="1" applyBorder="1" applyAlignment="1">
      <alignment horizontal="center"/>
    </xf>
    <xf numFmtId="0" fontId="2" fillId="0" borderId="20" xfId="0" applyFont="1" applyBorder="1" applyAlignment="1">
      <alignment horizontal="center"/>
    </xf>
    <xf numFmtId="0" fontId="2" fillId="0" borderId="21" xfId="0" applyFont="1" applyBorder="1" applyAlignment="1">
      <alignment horizontal="center"/>
    </xf>
    <xf numFmtId="0" fontId="0" fillId="0" borderId="11" xfId="0" applyBorder="1" applyAlignment="1">
      <alignment horizontal="left"/>
    </xf>
    <xf numFmtId="0" fontId="0" fillId="0" borderId="12" xfId="0" applyBorder="1" applyAlignment="1">
      <alignment horizontal="left"/>
    </xf>
    <xf numFmtId="0" fontId="0" fillId="0" borderId="13" xfId="0" applyBorder="1" applyAlignment="1">
      <alignment horizontal="left"/>
    </xf>
    <xf numFmtId="0" fontId="2" fillId="0" borderId="19" xfId="0" applyFont="1" applyBorder="1" applyAlignment="1">
      <alignment horizontal="center" wrapText="1"/>
    </xf>
    <xf numFmtId="0" fontId="2" fillId="0" borderId="20" xfId="0" applyFont="1" applyBorder="1" applyAlignment="1">
      <alignment horizontal="center" wrapText="1"/>
    </xf>
    <xf numFmtId="0" fontId="2" fillId="0" borderId="21" xfId="0" applyFont="1" applyBorder="1" applyAlignment="1">
      <alignment horizontal="center" wrapText="1"/>
    </xf>
    <xf numFmtId="0" fontId="0" fillId="0" borderId="16" xfId="0" applyBorder="1" applyAlignment="1">
      <alignment horizontal="left"/>
    </xf>
  </cellXfs>
  <cellStyles count="18">
    <cellStyle name="Body: normal cell" xfId="4" xr:uid="{00000000-0005-0000-0000-000000000000}"/>
    <cellStyle name="Body: normal cell 2" xfId="11" xr:uid="{00000000-0005-0000-0000-000001000000}"/>
    <cellStyle name="Comma 2" xfId="17" xr:uid="{9276920C-6C78-7848-A429-435296DA391A}"/>
    <cellStyle name="Font: Calibri, 9pt regular" xfId="1" xr:uid="{00000000-0005-0000-0000-000002000000}"/>
    <cellStyle name="Font: Calibri, 9pt regular 2" xfId="13" xr:uid="{00000000-0005-0000-0000-000003000000}"/>
    <cellStyle name="Footnotes: top row" xfId="6" xr:uid="{00000000-0005-0000-0000-000004000000}"/>
    <cellStyle name="Footnotes: top row 2" xfId="9" xr:uid="{00000000-0005-0000-0000-000005000000}"/>
    <cellStyle name="Header: bottom row" xfId="2" xr:uid="{00000000-0005-0000-0000-000006000000}"/>
    <cellStyle name="Header: bottom row 2" xfId="12" xr:uid="{00000000-0005-0000-0000-000007000000}"/>
    <cellStyle name="Header: top rows" xfId="15" xr:uid="{00000000-0005-0000-0000-000008000000}"/>
    <cellStyle name="Hipervínculo" xfId="7" builtinId="8"/>
    <cellStyle name="Normal" xfId="0" builtinId="0"/>
    <cellStyle name="Normal 2" xfId="8" xr:uid="{00000000-0005-0000-0000-00000B000000}"/>
    <cellStyle name="Normal 4" xfId="16" xr:uid="{A94F50C6-C442-594B-A3DF-20E6BA2D9B5C}"/>
    <cellStyle name="Parent row" xfId="5" xr:uid="{00000000-0005-0000-0000-00000C000000}"/>
    <cellStyle name="Parent row 2" xfId="10" xr:uid="{00000000-0005-0000-0000-00000D000000}"/>
    <cellStyle name="Table title" xfId="3" xr:uid="{00000000-0005-0000-0000-00000F000000}"/>
    <cellStyle name="Table title 2" xfId="14" xr:uid="{00000000-0005-0000-0000-000010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naxolt/Google%20Drive/2021/D.Development/TARGET_eps-us-3.2.1/InputData/bldgs/BCEU/BAU%20Components%20Energy%20Usecheck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Users\jeff-nonadmin\Dropbox%20(Energy%20Innovation)\EI-PlcyMdl\eps-1.5.0-us-wipE\InputData\web-app\BCF\BTU%20Conversion%20Factors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ariana%20Bulos/Google%20Drive/2018.WRI-EPS2/0.Documentos%20trabajo%20modelo/eps-1.1.4-mexico_PHASE%201/InputData_PHASE%201/bldgs_PHASE%201/BASoBC/BAU%20Amt%20Spent%20on%20Bldg%20Components_PHASE%20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bout"/>
    </sheetNames>
    <sheetDataSet>
      <sheetData sheetId="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bout"/>
      <sheetName val="AEO Table 73"/>
      <sheetName val="GREET1 Fuel_Specs"/>
      <sheetName val="BCF-BpLFOU"/>
      <sheetName val="BCF-BpSFOU"/>
      <sheetName val="BCF-VFEUCF"/>
      <sheetName val="BCF-BpEIEOU"/>
    </sheetNames>
    <sheetDataSet>
      <sheetData sheetId="0"/>
      <sheetData sheetId="1"/>
      <sheetData sheetId="2"/>
      <sheetData sheetId="3"/>
      <sheetData sheetId="4"/>
      <sheetData sheetId="5"/>
      <sheetData sheetId="6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bout"/>
      <sheetName val="Commercial"/>
      <sheetName val="Residential"/>
      <sheetName val="MX urban Rural"/>
      <sheetName val="Calculations"/>
      <sheetName val="Scaling Factors"/>
      <sheetName val="BASoBC-urban-residential"/>
      <sheetName val="BASoBC-rural-residential"/>
      <sheetName val="BASoBC-commercial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conahcyt.mx/wp-content/uploads/pronaces/micrositios/energia_y_cambio_climatico/energia/cuadernos_tematicos/Cuaderno_9.pdf" TargetMode="External"/><Relationship Id="rId1" Type="http://schemas.openxmlformats.org/officeDocument/2006/relationships/hyperlink" Target="https://www.gob.mx/cms/uploads/attachment/file/947752/BALANCE_NACIONAL_DE_ENERG_A_PRELIMINAR_2023.pdf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6503B-B2EE-436D-B228-7778FA6405C5}">
  <dimension ref="A1:I65"/>
  <sheetViews>
    <sheetView topLeftCell="A27" workbookViewId="0">
      <selection activeCell="J35" sqref="J35"/>
    </sheetView>
  </sheetViews>
  <sheetFormatPr baseColWidth="10" defaultColWidth="11.42578125" defaultRowHeight="15" x14ac:dyDescent="0.25"/>
  <cols>
    <col min="2" max="2" width="12" bestFit="1" customWidth="1"/>
    <col min="4" max="4" width="12" bestFit="1" customWidth="1"/>
  </cols>
  <sheetData>
    <row r="1" spans="1:7" x14ac:dyDescent="0.25">
      <c r="A1" s="1" t="s">
        <v>0</v>
      </c>
    </row>
    <row r="3" spans="1:7" x14ac:dyDescent="0.25">
      <c r="A3" s="1" t="s">
        <v>1</v>
      </c>
      <c r="B3" t="s">
        <v>2</v>
      </c>
      <c r="G3" s="7"/>
    </row>
    <row r="4" spans="1:7" x14ac:dyDescent="0.25">
      <c r="A4" s="1"/>
      <c r="B4" t="s">
        <v>3</v>
      </c>
    </row>
    <row r="5" spans="1:7" x14ac:dyDescent="0.25">
      <c r="B5" t="s">
        <v>4</v>
      </c>
    </row>
    <row r="6" spans="1:7" x14ac:dyDescent="0.25">
      <c r="B6" s="2" t="s">
        <v>5</v>
      </c>
    </row>
    <row r="7" spans="1:7" x14ac:dyDescent="0.25">
      <c r="B7" t="s">
        <v>6</v>
      </c>
    </row>
    <row r="8" spans="1:7" x14ac:dyDescent="0.25">
      <c r="B8" t="s">
        <v>7</v>
      </c>
    </row>
    <row r="10" spans="1:7" x14ac:dyDescent="0.25">
      <c r="B10" t="s">
        <v>8</v>
      </c>
    </row>
    <row r="11" spans="1:7" x14ac:dyDescent="0.25">
      <c r="B11" t="s">
        <v>9</v>
      </c>
    </row>
    <row r="12" spans="1:7" x14ac:dyDescent="0.25">
      <c r="B12" t="s">
        <v>10</v>
      </c>
    </row>
    <row r="13" spans="1:7" x14ac:dyDescent="0.25">
      <c r="B13" s="2" t="s">
        <v>11</v>
      </c>
    </row>
    <row r="14" spans="1:7" x14ac:dyDescent="0.25">
      <c r="B14" t="s">
        <v>12</v>
      </c>
      <c r="C14" t="s">
        <v>13</v>
      </c>
      <c r="D14" t="s">
        <v>14</v>
      </c>
    </row>
    <row r="15" spans="1:7" x14ac:dyDescent="0.25">
      <c r="B15" t="s">
        <v>15</v>
      </c>
      <c r="C15" t="s">
        <v>16</v>
      </c>
      <c r="D15" t="s">
        <v>17</v>
      </c>
    </row>
    <row r="16" spans="1:7" x14ac:dyDescent="0.25">
      <c r="B16" t="s">
        <v>18</v>
      </c>
      <c r="C16" t="s">
        <v>19</v>
      </c>
    </row>
    <row r="17" spans="1:5" x14ac:dyDescent="0.25">
      <c r="B17" t="s">
        <v>20</v>
      </c>
      <c r="C17" t="s">
        <v>21</v>
      </c>
    </row>
    <row r="18" spans="1:5" x14ac:dyDescent="0.25">
      <c r="B18" t="s">
        <v>22</v>
      </c>
      <c r="C18" t="s">
        <v>23</v>
      </c>
    </row>
    <row r="19" spans="1:5" x14ac:dyDescent="0.25">
      <c r="B19" t="s">
        <v>24</v>
      </c>
      <c r="C19" t="s">
        <v>25</v>
      </c>
    </row>
    <row r="20" spans="1:5" x14ac:dyDescent="0.25">
      <c r="B20" t="s">
        <v>26</v>
      </c>
      <c r="C20" t="s">
        <v>27</v>
      </c>
    </row>
    <row r="21" spans="1:5" x14ac:dyDescent="0.25">
      <c r="B21" t="s">
        <v>28</v>
      </c>
      <c r="C21" t="s">
        <v>29</v>
      </c>
    </row>
    <row r="22" spans="1:5" x14ac:dyDescent="0.25">
      <c r="C22" t="s">
        <v>30</v>
      </c>
    </row>
    <row r="23" spans="1:5" x14ac:dyDescent="0.25">
      <c r="C23" t="s">
        <v>31</v>
      </c>
    </row>
    <row r="25" spans="1:5" x14ac:dyDescent="0.25">
      <c r="A25" s="1" t="s">
        <v>32</v>
      </c>
    </row>
    <row r="26" spans="1:5" x14ac:dyDescent="0.25">
      <c r="A26" t="s">
        <v>33</v>
      </c>
    </row>
    <row r="27" spans="1:5" ht="15.75" thickBot="1" x14ac:dyDescent="0.3">
      <c r="A27" t="s">
        <v>34</v>
      </c>
    </row>
    <row r="28" spans="1:5" ht="15.75" thickBot="1" x14ac:dyDescent="0.3">
      <c r="A28" s="5">
        <v>2022</v>
      </c>
    </row>
    <row r="30" spans="1:5" x14ac:dyDescent="0.25">
      <c r="A30" s="1" t="s">
        <v>35</v>
      </c>
    </row>
    <row r="31" spans="1:5" x14ac:dyDescent="0.25">
      <c r="A31" t="s">
        <v>36</v>
      </c>
      <c r="B31">
        <f>5414093.87/0.00000571187</f>
        <v>947867138082.62451</v>
      </c>
    </row>
    <row r="32" spans="1:5" x14ac:dyDescent="0.25">
      <c r="B32">
        <v>1</v>
      </c>
      <c r="C32" t="s">
        <v>37</v>
      </c>
      <c r="D32">
        <v>5414093.8700000001</v>
      </c>
      <c r="E32" t="s">
        <v>38</v>
      </c>
    </row>
    <row r="33" spans="1:9" x14ac:dyDescent="0.25">
      <c r="B33">
        <v>1</v>
      </c>
      <c r="C33" t="s">
        <v>37</v>
      </c>
      <c r="D33">
        <v>5.7118699999999999E-6</v>
      </c>
      <c r="E33" t="s">
        <v>39</v>
      </c>
    </row>
    <row r="34" spans="1:9" x14ac:dyDescent="0.25">
      <c r="A34" t="s">
        <v>40</v>
      </c>
    </row>
    <row r="36" spans="1:9" x14ac:dyDescent="0.25">
      <c r="A36" s="1" t="s">
        <v>41</v>
      </c>
    </row>
    <row r="37" spans="1:9" x14ac:dyDescent="0.25">
      <c r="B37" s="15" t="s">
        <v>42</v>
      </c>
      <c r="C37" s="16"/>
      <c r="D37" s="16" t="s">
        <v>43</v>
      </c>
      <c r="E37" s="17"/>
    </row>
    <row r="38" spans="1:9" x14ac:dyDescent="0.25">
      <c r="B38" s="18" t="s">
        <v>44</v>
      </c>
      <c r="C38" s="19"/>
      <c r="D38" s="19" t="s">
        <v>45</v>
      </c>
      <c r="E38" s="20"/>
    </row>
    <row r="39" spans="1:9" x14ac:dyDescent="0.25">
      <c r="B39" s="12" t="s">
        <v>46</v>
      </c>
      <c r="C39" s="10"/>
      <c r="D39" s="10" t="s">
        <v>47</v>
      </c>
      <c r="E39" s="11"/>
    </row>
    <row r="40" spans="1:9" x14ac:dyDescent="0.25">
      <c r="B40" s="24" t="s">
        <v>48</v>
      </c>
      <c r="C40" s="13"/>
      <c r="D40" s="13" t="s">
        <v>49</v>
      </c>
      <c r="E40" s="14"/>
    </row>
    <row r="42" spans="1:9" x14ac:dyDescent="0.25">
      <c r="A42" s="1" t="s">
        <v>50</v>
      </c>
    </row>
    <row r="43" spans="1:9" ht="30" customHeight="1" x14ac:dyDescent="0.25">
      <c r="B43" s="21" t="s">
        <v>51</v>
      </c>
      <c r="C43" s="22"/>
      <c r="D43" s="22" t="s">
        <v>52</v>
      </c>
      <c r="E43" s="22"/>
      <c r="F43" s="22" t="s">
        <v>53</v>
      </c>
      <c r="G43" s="22"/>
      <c r="H43" s="22" t="s">
        <v>54</v>
      </c>
      <c r="I43" s="23"/>
    </row>
    <row r="44" spans="1:9" x14ac:dyDescent="0.25">
      <c r="B44" s="12" t="s">
        <v>55</v>
      </c>
      <c r="C44" s="10"/>
      <c r="D44" s="10" t="s">
        <v>56</v>
      </c>
      <c r="E44" s="10"/>
      <c r="F44" s="10" t="s">
        <v>56</v>
      </c>
      <c r="G44" s="10"/>
      <c r="H44" s="10"/>
      <c r="I44" s="11"/>
    </row>
    <row r="45" spans="1:9" x14ac:dyDescent="0.25">
      <c r="B45" s="12" t="s">
        <v>57</v>
      </c>
      <c r="C45" s="10"/>
      <c r="D45" s="10"/>
      <c r="E45" s="10"/>
      <c r="F45" s="10"/>
      <c r="G45" s="10"/>
      <c r="H45" s="10"/>
      <c r="I45" s="11"/>
    </row>
    <row r="46" spans="1:9" x14ac:dyDescent="0.25">
      <c r="B46" s="12" t="s">
        <v>58</v>
      </c>
      <c r="C46" s="10"/>
      <c r="D46" s="10" t="s">
        <v>59</v>
      </c>
      <c r="E46" s="10"/>
      <c r="F46" s="10" t="s">
        <v>59</v>
      </c>
      <c r="G46" s="10"/>
      <c r="H46" s="10"/>
      <c r="I46" s="11"/>
    </row>
    <row r="47" spans="1:9" x14ac:dyDescent="0.25">
      <c r="B47" s="12" t="s">
        <v>60</v>
      </c>
      <c r="C47" s="10"/>
      <c r="D47" s="10" t="s">
        <v>61</v>
      </c>
      <c r="E47" s="10"/>
      <c r="F47" s="10" t="s">
        <v>61</v>
      </c>
      <c r="G47" s="10"/>
      <c r="H47" s="10" t="s">
        <v>62</v>
      </c>
      <c r="I47" s="11"/>
    </row>
    <row r="48" spans="1:9" ht="92.25" customHeight="1" x14ac:dyDescent="0.25">
      <c r="B48" s="12" t="s">
        <v>63</v>
      </c>
      <c r="C48" s="10"/>
      <c r="D48" s="9" t="s">
        <v>64</v>
      </c>
      <c r="E48" s="9"/>
      <c r="F48" s="9" t="s">
        <v>65</v>
      </c>
      <c r="G48" s="9"/>
      <c r="H48" s="10"/>
      <c r="I48" s="11"/>
    </row>
    <row r="49" spans="1:9" x14ac:dyDescent="0.25">
      <c r="B49" s="24" t="s">
        <v>66</v>
      </c>
      <c r="C49" s="13"/>
      <c r="D49" s="13" t="s">
        <v>67</v>
      </c>
      <c r="E49" s="13"/>
      <c r="F49" s="13" t="s">
        <v>67</v>
      </c>
      <c r="G49" s="13"/>
      <c r="H49" s="13" t="s">
        <v>68</v>
      </c>
      <c r="I49" s="14"/>
    </row>
    <row r="51" spans="1:9" x14ac:dyDescent="0.25">
      <c r="A51" s="1" t="s">
        <v>69</v>
      </c>
    </row>
    <row r="52" spans="1:9" x14ac:dyDescent="0.25">
      <c r="B52" s="15" t="s">
        <v>70</v>
      </c>
      <c r="C52" s="16"/>
      <c r="D52" s="16" t="s">
        <v>71</v>
      </c>
      <c r="E52" s="17"/>
    </row>
    <row r="53" spans="1:9" x14ac:dyDescent="0.25">
      <c r="B53" s="12" t="s">
        <v>72</v>
      </c>
      <c r="C53" s="10"/>
      <c r="D53" s="10" t="s">
        <v>73</v>
      </c>
      <c r="E53" s="11"/>
    </row>
    <row r="54" spans="1:9" x14ac:dyDescent="0.25">
      <c r="B54" s="12" t="s">
        <v>74</v>
      </c>
      <c r="C54" s="10"/>
      <c r="D54" s="10" t="s">
        <v>75</v>
      </c>
      <c r="E54" s="11"/>
    </row>
    <row r="55" spans="1:9" x14ac:dyDescent="0.25">
      <c r="B55" s="12" t="s">
        <v>74</v>
      </c>
      <c r="C55" s="10"/>
      <c r="D55" s="10" t="s">
        <v>76</v>
      </c>
      <c r="E55" s="11"/>
    </row>
    <row r="56" spans="1:9" x14ac:dyDescent="0.25">
      <c r="B56" s="12" t="s">
        <v>74</v>
      </c>
      <c r="C56" s="10"/>
      <c r="D56" s="10" t="s">
        <v>77</v>
      </c>
      <c r="E56" s="11"/>
    </row>
    <row r="57" spans="1:9" x14ac:dyDescent="0.25">
      <c r="B57" s="12" t="s">
        <v>78</v>
      </c>
      <c r="C57" s="10"/>
      <c r="D57" s="10" t="s">
        <v>79</v>
      </c>
      <c r="E57" s="11"/>
    </row>
    <row r="58" spans="1:9" x14ac:dyDescent="0.25">
      <c r="B58" s="12" t="s">
        <v>80</v>
      </c>
      <c r="C58" s="10"/>
      <c r="D58" s="10" t="s">
        <v>81</v>
      </c>
      <c r="E58" s="11"/>
    </row>
    <row r="59" spans="1:9" x14ac:dyDescent="0.25">
      <c r="B59" s="24" t="s">
        <v>82</v>
      </c>
      <c r="C59" s="13"/>
      <c r="D59" s="13" t="s">
        <v>83</v>
      </c>
      <c r="E59" s="14"/>
    </row>
    <row r="61" spans="1:9" x14ac:dyDescent="0.25">
      <c r="A61" t="s">
        <v>84</v>
      </c>
    </row>
    <row r="62" spans="1:9" x14ac:dyDescent="0.25">
      <c r="A62" t="s">
        <v>85</v>
      </c>
    </row>
    <row r="63" spans="1:9" x14ac:dyDescent="0.25">
      <c r="A63" t="s">
        <v>86</v>
      </c>
    </row>
    <row r="64" spans="1:9" x14ac:dyDescent="0.25">
      <c r="A64" t="s">
        <v>87</v>
      </c>
    </row>
    <row r="65" spans="1:1" x14ac:dyDescent="0.25">
      <c r="A65" t="s">
        <v>88</v>
      </c>
    </row>
  </sheetData>
  <mergeCells count="52">
    <mergeCell ref="B57:C57"/>
    <mergeCell ref="D57:E57"/>
    <mergeCell ref="B58:C58"/>
    <mergeCell ref="D58:E58"/>
    <mergeCell ref="B59:C59"/>
    <mergeCell ref="D59:E59"/>
    <mergeCell ref="B54:C54"/>
    <mergeCell ref="D54:E54"/>
    <mergeCell ref="B55:C55"/>
    <mergeCell ref="D55:E55"/>
    <mergeCell ref="B56:C56"/>
    <mergeCell ref="D56:E56"/>
    <mergeCell ref="B40:C40"/>
    <mergeCell ref="D40:E40"/>
    <mergeCell ref="B52:C52"/>
    <mergeCell ref="D52:E52"/>
    <mergeCell ref="B53:C53"/>
    <mergeCell ref="D53:E53"/>
    <mergeCell ref="B49:C49"/>
    <mergeCell ref="D49:E49"/>
    <mergeCell ref="B46:C46"/>
    <mergeCell ref="D46:E46"/>
    <mergeCell ref="D48:E48"/>
    <mergeCell ref="B48:C48"/>
    <mergeCell ref="F49:G49"/>
    <mergeCell ref="H49:I49"/>
    <mergeCell ref="B37:C37"/>
    <mergeCell ref="D37:E37"/>
    <mergeCell ref="B38:C38"/>
    <mergeCell ref="D38:E38"/>
    <mergeCell ref="B39:C39"/>
    <mergeCell ref="D39:E39"/>
    <mergeCell ref="B44:C44"/>
    <mergeCell ref="D44:E44"/>
    <mergeCell ref="F44:G44"/>
    <mergeCell ref="H44:I44"/>
    <mergeCell ref="B43:C43"/>
    <mergeCell ref="D43:E43"/>
    <mergeCell ref="F43:G43"/>
    <mergeCell ref="H43:I43"/>
    <mergeCell ref="F46:G46"/>
    <mergeCell ref="H46:I46"/>
    <mergeCell ref="B45:C45"/>
    <mergeCell ref="D45:E45"/>
    <mergeCell ref="F45:G45"/>
    <mergeCell ref="H45:I45"/>
    <mergeCell ref="F48:G48"/>
    <mergeCell ref="H48:I48"/>
    <mergeCell ref="B47:C47"/>
    <mergeCell ref="D47:E47"/>
    <mergeCell ref="F47:G47"/>
    <mergeCell ref="H47:I47"/>
  </mergeCells>
  <phoneticPr fontId="12" type="noConversion"/>
  <hyperlinks>
    <hyperlink ref="B6" r:id="rId1" xr:uid="{425FCE77-7212-41D6-8099-688EFBF4EF57}"/>
    <hyperlink ref="B13" r:id="rId2" xr:uid="{AAA3BF19-B7C7-4A35-86E8-D9C48D292533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027A1E-88D2-4DEE-95E9-622666AE5B2C}">
  <dimension ref="A1:L13"/>
  <sheetViews>
    <sheetView workbookViewId="0">
      <selection activeCell="F17" sqref="F17"/>
    </sheetView>
  </sheetViews>
  <sheetFormatPr baseColWidth="10" defaultColWidth="11.42578125" defaultRowHeight="15" x14ac:dyDescent="0.25"/>
  <sheetData>
    <row r="1" spans="1:12" x14ac:dyDescent="0.25">
      <c r="A1" t="s">
        <v>89</v>
      </c>
      <c r="B1" t="s">
        <v>6</v>
      </c>
    </row>
    <row r="2" spans="1:12" x14ac:dyDescent="0.25">
      <c r="B2">
        <v>2013</v>
      </c>
      <c r="C2">
        <v>2014</v>
      </c>
      <c r="D2">
        <v>2015</v>
      </c>
      <c r="E2">
        <v>2016</v>
      </c>
      <c r="F2">
        <v>2017</v>
      </c>
      <c r="G2">
        <v>2018</v>
      </c>
      <c r="H2">
        <v>2019</v>
      </c>
      <c r="I2">
        <v>2020</v>
      </c>
      <c r="J2">
        <v>2021</v>
      </c>
      <c r="K2">
        <v>2022</v>
      </c>
      <c r="L2">
        <v>2023</v>
      </c>
    </row>
    <row r="3" spans="1:12" x14ac:dyDescent="0.25">
      <c r="A3" t="s">
        <v>90</v>
      </c>
      <c r="B3" s="3">
        <v>5115.46</v>
      </c>
      <c r="C3" s="3">
        <v>5125.5</v>
      </c>
      <c r="D3" s="3">
        <v>5278.13</v>
      </c>
      <c r="E3" s="3">
        <v>5479.55</v>
      </c>
      <c r="F3" s="3">
        <v>5498.89</v>
      </c>
      <c r="G3" s="3">
        <v>5393.45</v>
      </c>
      <c r="H3" s="3">
        <v>4851.57</v>
      </c>
      <c r="I3" s="3">
        <v>4432.6000000000004</v>
      </c>
      <c r="J3" s="3">
        <v>5402.34</v>
      </c>
      <c r="K3" s="3">
        <v>5682.55</v>
      </c>
      <c r="L3" s="3">
        <v>5313.42</v>
      </c>
    </row>
    <row r="4" spans="1:12" x14ac:dyDescent="0.25">
      <c r="A4" t="s">
        <v>91</v>
      </c>
      <c r="B4">
        <v>190.85</v>
      </c>
      <c r="C4">
        <v>232.22</v>
      </c>
      <c r="D4">
        <v>188.39</v>
      </c>
      <c r="E4">
        <v>173.69</v>
      </c>
      <c r="F4">
        <v>136.07</v>
      </c>
      <c r="G4">
        <v>109.74</v>
      </c>
      <c r="H4">
        <v>90.59</v>
      </c>
      <c r="I4">
        <v>49.23</v>
      </c>
      <c r="J4">
        <v>44.97</v>
      </c>
      <c r="K4">
        <v>60.32</v>
      </c>
      <c r="L4">
        <v>51.46</v>
      </c>
    </row>
    <row r="5" spans="1:12" x14ac:dyDescent="0.25">
      <c r="A5" t="s">
        <v>92</v>
      </c>
      <c r="B5">
        <v>136.53</v>
      </c>
      <c r="C5">
        <v>139.16999999999999</v>
      </c>
      <c r="D5">
        <v>113.22</v>
      </c>
      <c r="E5">
        <v>99.21</v>
      </c>
      <c r="F5">
        <v>70.53</v>
      </c>
      <c r="G5">
        <v>56.53</v>
      </c>
      <c r="H5">
        <v>47.93</v>
      </c>
      <c r="I5">
        <v>12.05</v>
      </c>
      <c r="J5">
        <v>7.81</v>
      </c>
      <c r="K5">
        <v>15.99</v>
      </c>
      <c r="L5">
        <v>16.22</v>
      </c>
    </row>
    <row r="6" spans="1:12" x14ac:dyDescent="0.25">
      <c r="A6" t="s">
        <v>93</v>
      </c>
      <c r="B6">
        <v>54.32</v>
      </c>
      <c r="C6">
        <v>93.05</v>
      </c>
      <c r="D6">
        <v>75.17</v>
      </c>
      <c r="E6">
        <v>74.48</v>
      </c>
      <c r="F6">
        <v>65.540000000000006</v>
      </c>
      <c r="G6">
        <v>53.22</v>
      </c>
      <c r="H6">
        <v>42.66</v>
      </c>
      <c r="I6">
        <v>37.17</v>
      </c>
      <c r="J6">
        <v>37.159999999999997</v>
      </c>
      <c r="K6">
        <v>44.33</v>
      </c>
      <c r="L6">
        <v>35.24</v>
      </c>
    </row>
    <row r="7" spans="1:12" x14ac:dyDescent="0.25">
      <c r="A7" t="s">
        <v>94</v>
      </c>
      <c r="B7" s="3">
        <v>4924.62</v>
      </c>
      <c r="C7" s="3">
        <v>4893.28</v>
      </c>
      <c r="D7" s="3">
        <v>5089.75</v>
      </c>
      <c r="E7" s="3">
        <v>5305.86</v>
      </c>
      <c r="F7" s="3">
        <v>5362.82</v>
      </c>
      <c r="G7" s="3">
        <v>5283.71</v>
      </c>
      <c r="H7" s="3">
        <v>4760.9799999999996</v>
      </c>
      <c r="I7" s="3">
        <v>4383.37</v>
      </c>
      <c r="J7" s="3">
        <v>5357.36</v>
      </c>
      <c r="K7" s="3">
        <v>5622.24</v>
      </c>
      <c r="L7" s="3">
        <v>5261.96</v>
      </c>
    </row>
    <row r="8" spans="1:12" x14ac:dyDescent="0.25">
      <c r="A8" t="s">
        <v>95</v>
      </c>
      <c r="B8" s="3">
        <v>2261.27</v>
      </c>
      <c r="C8" s="3">
        <v>2246.4</v>
      </c>
      <c r="D8" s="3">
        <v>2361.75</v>
      </c>
      <c r="E8" s="3">
        <v>2484.9499999999998</v>
      </c>
      <c r="F8" s="3">
        <v>2360.16</v>
      </c>
      <c r="G8" s="3">
        <v>2454.6999999999998</v>
      </c>
      <c r="H8" s="3">
        <v>2027.05</v>
      </c>
      <c r="I8" s="3">
        <v>1703.68</v>
      </c>
      <c r="J8" s="3">
        <v>2784.64</v>
      </c>
      <c r="K8" s="3">
        <v>2670.78</v>
      </c>
      <c r="L8" s="3">
        <v>2567.7199999999998</v>
      </c>
    </row>
    <row r="9" spans="1:12" x14ac:dyDescent="0.25">
      <c r="A9" t="s">
        <v>96</v>
      </c>
      <c r="B9" s="3">
        <v>1599.05</v>
      </c>
      <c r="C9" s="3">
        <v>1553.22</v>
      </c>
      <c r="D9" s="3">
        <v>1601.89</v>
      </c>
      <c r="E9" s="3">
        <v>1680.74</v>
      </c>
      <c r="F9" s="3">
        <v>1876.65</v>
      </c>
      <c r="G9" s="3">
        <v>1680.77</v>
      </c>
      <c r="H9" s="3">
        <v>1589.45</v>
      </c>
      <c r="I9" s="3">
        <v>1418.05</v>
      </c>
      <c r="J9" s="3">
        <v>1152.67</v>
      </c>
      <c r="K9" s="3">
        <v>1476.99</v>
      </c>
      <c r="L9" s="3">
        <v>1238.96</v>
      </c>
    </row>
    <row r="10" spans="1:12" x14ac:dyDescent="0.25">
      <c r="A10" t="s">
        <v>97</v>
      </c>
      <c r="B10">
        <v>905.68</v>
      </c>
      <c r="C10">
        <v>934.18</v>
      </c>
      <c r="D10">
        <v>947.02</v>
      </c>
      <c r="E10">
        <v>959.92</v>
      </c>
      <c r="F10">
        <v>944.09</v>
      </c>
      <c r="G10">
        <v>958.97</v>
      </c>
      <c r="H10">
        <v>952.59</v>
      </c>
      <c r="I10" s="3">
        <v>1075.6400000000001</v>
      </c>
      <c r="J10">
        <v>940.95</v>
      </c>
      <c r="K10">
        <v>990.36</v>
      </c>
      <c r="L10">
        <v>972.58</v>
      </c>
    </row>
    <row r="11" spans="1:12" x14ac:dyDescent="0.25">
      <c r="A11" t="s">
        <v>98</v>
      </c>
      <c r="B11">
        <v>158.62</v>
      </c>
      <c r="C11">
        <v>159.47999999999999</v>
      </c>
      <c r="D11">
        <v>179.09</v>
      </c>
      <c r="E11">
        <v>180.26</v>
      </c>
      <c r="F11">
        <v>181.91</v>
      </c>
      <c r="G11">
        <v>189.27</v>
      </c>
      <c r="H11">
        <v>191.89</v>
      </c>
      <c r="I11">
        <v>186.01</v>
      </c>
      <c r="J11">
        <v>178.71</v>
      </c>
      <c r="K11">
        <v>188.14</v>
      </c>
      <c r="L11">
        <v>183.22</v>
      </c>
    </row>
    <row r="12" spans="1:12" x14ac:dyDescent="0.25">
      <c r="A12" t="s">
        <v>99</v>
      </c>
      <c r="B12" t="s">
        <v>100</v>
      </c>
      <c r="C12" t="s">
        <v>100</v>
      </c>
      <c r="D12" t="s">
        <v>100</v>
      </c>
      <c r="E12" t="s">
        <v>100</v>
      </c>
      <c r="F12" t="s">
        <v>100</v>
      </c>
      <c r="G12" t="s">
        <v>100</v>
      </c>
      <c r="H12" t="s">
        <v>100</v>
      </c>
      <c r="I12" t="s">
        <v>100</v>
      </c>
      <c r="J12">
        <v>300.39999999999998</v>
      </c>
      <c r="K12">
        <v>295.97000000000003</v>
      </c>
      <c r="L12">
        <v>299.49</v>
      </c>
    </row>
    <row r="13" spans="1:12" ht="90" customHeight="1" x14ac:dyDescent="0.25">
      <c r="A13" s="9" t="s">
        <v>101</v>
      </c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</row>
  </sheetData>
  <mergeCells count="1">
    <mergeCell ref="A13:L1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0D2743-434F-4179-AEED-CAEBB45D083C}">
  <dimension ref="A1:L31"/>
  <sheetViews>
    <sheetView topLeftCell="A13" workbookViewId="0">
      <selection activeCell="B3" sqref="B3:L3"/>
    </sheetView>
  </sheetViews>
  <sheetFormatPr baseColWidth="10" defaultColWidth="11.42578125" defaultRowHeight="15" x14ac:dyDescent="0.25"/>
  <cols>
    <col min="1" max="1" width="23.42578125" customWidth="1"/>
  </cols>
  <sheetData>
    <row r="1" spans="1:12" x14ac:dyDescent="0.25">
      <c r="A1" t="s">
        <v>7</v>
      </c>
    </row>
    <row r="3" spans="1:12" x14ac:dyDescent="0.25">
      <c r="B3">
        <v>2013</v>
      </c>
      <c r="C3">
        <v>2014</v>
      </c>
      <c r="D3">
        <v>2015</v>
      </c>
      <c r="E3">
        <v>2016</v>
      </c>
      <c r="F3">
        <v>2017</v>
      </c>
      <c r="G3">
        <v>2018</v>
      </c>
      <c r="H3">
        <v>2019</v>
      </c>
      <c r="I3">
        <v>2020</v>
      </c>
      <c r="J3">
        <v>2021</v>
      </c>
      <c r="K3">
        <v>2022</v>
      </c>
      <c r="L3">
        <v>2023</v>
      </c>
    </row>
    <row r="4" spans="1:12" x14ac:dyDescent="0.25">
      <c r="A4" t="s">
        <v>102</v>
      </c>
      <c r="B4">
        <v>920.57</v>
      </c>
      <c r="C4">
        <v>938.89</v>
      </c>
      <c r="D4">
        <v>952.23</v>
      </c>
      <c r="E4">
        <v>959.92</v>
      </c>
      <c r="F4">
        <v>944.09</v>
      </c>
      <c r="G4">
        <v>958.97</v>
      </c>
      <c r="H4">
        <v>952.59</v>
      </c>
      <c r="I4" s="3">
        <v>1075.6400000000001</v>
      </c>
      <c r="J4">
        <v>940.95</v>
      </c>
      <c r="K4">
        <v>990.36</v>
      </c>
      <c r="L4">
        <v>972.58</v>
      </c>
    </row>
    <row r="5" spans="1:12" x14ac:dyDescent="0.25">
      <c r="A5" t="s">
        <v>103</v>
      </c>
      <c r="B5">
        <v>7.14</v>
      </c>
      <c r="C5">
        <v>8.02</v>
      </c>
      <c r="D5">
        <v>9.1</v>
      </c>
      <c r="E5">
        <v>10.01</v>
      </c>
      <c r="F5">
        <v>10.29</v>
      </c>
      <c r="G5">
        <v>11.86</v>
      </c>
      <c r="H5">
        <v>13.06</v>
      </c>
      <c r="I5">
        <v>14.98</v>
      </c>
      <c r="J5">
        <v>40.81</v>
      </c>
      <c r="K5">
        <v>58.93</v>
      </c>
      <c r="L5">
        <v>65.27</v>
      </c>
    </row>
    <row r="6" spans="1:12" x14ac:dyDescent="0.25">
      <c r="A6" t="s">
        <v>75</v>
      </c>
      <c r="B6">
        <v>255.42</v>
      </c>
      <c r="C6">
        <v>254.12</v>
      </c>
      <c r="D6">
        <v>252.84</v>
      </c>
      <c r="E6">
        <v>251.56</v>
      </c>
      <c r="F6">
        <v>250.31</v>
      </c>
      <c r="G6">
        <v>249.08</v>
      </c>
      <c r="H6">
        <v>247.92</v>
      </c>
      <c r="I6">
        <v>330.28</v>
      </c>
      <c r="J6">
        <v>245.59</v>
      </c>
      <c r="K6">
        <v>244.47</v>
      </c>
      <c r="L6">
        <v>243.31</v>
      </c>
    </row>
    <row r="7" spans="1:12" x14ac:dyDescent="0.25">
      <c r="A7" t="s">
        <v>104</v>
      </c>
      <c r="B7">
        <v>327.74</v>
      </c>
      <c r="C7">
        <v>326.8</v>
      </c>
      <c r="D7">
        <v>324.35000000000002</v>
      </c>
      <c r="E7">
        <v>316.64999999999998</v>
      </c>
      <c r="F7">
        <v>310.88</v>
      </c>
      <c r="G7">
        <v>309.74</v>
      </c>
      <c r="H7">
        <v>292.93</v>
      </c>
      <c r="I7">
        <v>365.74</v>
      </c>
      <c r="J7">
        <v>300.27999999999997</v>
      </c>
      <c r="K7">
        <v>310.2</v>
      </c>
      <c r="L7">
        <v>283.08</v>
      </c>
    </row>
    <row r="8" spans="1:12" x14ac:dyDescent="0.25">
      <c r="A8" t="s">
        <v>105</v>
      </c>
      <c r="B8">
        <v>321.99</v>
      </c>
      <c r="C8">
        <v>320.42</v>
      </c>
      <c r="D8">
        <v>316.56</v>
      </c>
      <c r="E8">
        <v>312.76</v>
      </c>
      <c r="F8">
        <v>310.88</v>
      </c>
      <c r="G8">
        <v>309.74</v>
      </c>
      <c r="H8">
        <v>292.93</v>
      </c>
      <c r="I8">
        <v>365.74</v>
      </c>
      <c r="J8">
        <v>300.27999999999997</v>
      </c>
      <c r="K8">
        <v>310.2</v>
      </c>
      <c r="L8">
        <v>283.08</v>
      </c>
    </row>
    <row r="9" spans="1:12" x14ac:dyDescent="0.25">
      <c r="A9" t="s">
        <v>106</v>
      </c>
      <c r="B9">
        <v>1.35</v>
      </c>
      <c r="C9">
        <v>1.91</v>
      </c>
      <c r="D9">
        <v>2.57</v>
      </c>
      <c r="E9">
        <v>1.92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</row>
    <row r="10" spans="1:12" x14ac:dyDescent="0.25">
      <c r="A10" t="s">
        <v>107</v>
      </c>
      <c r="B10">
        <v>4.4000000000000004</v>
      </c>
      <c r="C10">
        <v>4.46</v>
      </c>
      <c r="D10">
        <v>5.22</v>
      </c>
      <c r="E10">
        <v>1.97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</row>
    <row r="11" spans="1:12" x14ac:dyDescent="0.25">
      <c r="A11" t="s">
        <v>81</v>
      </c>
      <c r="B11">
        <v>44.9</v>
      </c>
      <c r="C11">
        <v>52.99</v>
      </c>
      <c r="D11">
        <v>50.77</v>
      </c>
      <c r="E11">
        <v>51.83</v>
      </c>
      <c r="F11">
        <v>49.25</v>
      </c>
      <c r="G11">
        <v>42.38</v>
      </c>
      <c r="H11">
        <v>40.9</v>
      </c>
      <c r="I11">
        <v>35.450000000000003</v>
      </c>
      <c r="J11">
        <v>39.49</v>
      </c>
      <c r="K11">
        <v>37.200000000000003</v>
      </c>
      <c r="L11">
        <v>39.18</v>
      </c>
    </row>
    <row r="12" spans="1:12" x14ac:dyDescent="0.25">
      <c r="A12" t="s">
        <v>108</v>
      </c>
      <c r="B12">
        <v>285.37</v>
      </c>
      <c r="C12">
        <v>296.97000000000003</v>
      </c>
      <c r="D12">
        <v>315.16000000000003</v>
      </c>
      <c r="E12">
        <v>329.88</v>
      </c>
      <c r="F12">
        <v>323.36</v>
      </c>
      <c r="G12">
        <v>345.91</v>
      </c>
      <c r="H12">
        <v>357.77</v>
      </c>
      <c r="I12">
        <v>329.2</v>
      </c>
      <c r="J12">
        <v>314.77999999999997</v>
      </c>
      <c r="K12">
        <v>339.56</v>
      </c>
      <c r="L12">
        <v>341.74</v>
      </c>
    </row>
    <row r="13" spans="1:12" x14ac:dyDescent="0.25">
      <c r="A13" t="s">
        <v>45</v>
      </c>
      <c r="B13">
        <v>742.84</v>
      </c>
      <c r="C13">
        <v>754.33</v>
      </c>
      <c r="D13">
        <v>755.41</v>
      </c>
      <c r="E13">
        <v>756.85</v>
      </c>
      <c r="F13">
        <v>751.61</v>
      </c>
      <c r="G13">
        <v>760.6</v>
      </c>
      <c r="H13">
        <v>748.94</v>
      </c>
      <c r="I13">
        <v>914.88</v>
      </c>
      <c r="J13">
        <v>796.59</v>
      </c>
      <c r="K13">
        <v>833.62</v>
      </c>
      <c r="L13">
        <v>822.15</v>
      </c>
    </row>
    <row r="14" spans="1:12" x14ac:dyDescent="0.25">
      <c r="A14" t="s">
        <v>103</v>
      </c>
      <c r="B14">
        <v>4.17</v>
      </c>
      <c r="C14">
        <v>4.71</v>
      </c>
      <c r="D14">
        <v>5.42</v>
      </c>
      <c r="E14">
        <v>6.1</v>
      </c>
      <c r="F14">
        <v>6.42</v>
      </c>
      <c r="G14">
        <v>7.11</v>
      </c>
      <c r="H14">
        <v>7.88</v>
      </c>
      <c r="I14">
        <v>9.01</v>
      </c>
      <c r="J14">
        <v>34.17</v>
      </c>
      <c r="K14">
        <v>52.06</v>
      </c>
      <c r="L14">
        <v>56.64</v>
      </c>
    </row>
    <row r="15" spans="1:12" x14ac:dyDescent="0.25">
      <c r="A15" t="s">
        <v>75</v>
      </c>
      <c r="B15">
        <v>255.42</v>
      </c>
      <c r="C15">
        <v>254.12</v>
      </c>
      <c r="D15">
        <v>252.84</v>
      </c>
      <c r="E15">
        <v>251.56</v>
      </c>
      <c r="F15">
        <v>250.31</v>
      </c>
      <c r="G15">
        <v>249.08</v>
      </c>
      <c r="H15">
        <v>247.92</v>
      </c>
      <c r="I15">
        <v>330.28</v>
      </c>
      <c r="J15">
        <v>245.59</v>
      </c>
      <c r="K15">
        <v>244.47</v>
      </c>
      <c r="L15">
        <v>243.31</v>
      </c>
    </row>
    <row r="16" spans="1:12" x14ac:dyDescent="0.25">
      <c r="A16" t="s">
        <v>104</v>
      </c>
      <c r="B16">
        <v>258.31</v>
      </c>
      <c r="C16">
        <v>259.02</v>
      </c>
      <c r="D16">
        <v>255.96</v>
      </c>
      <c r="E16">
        <v>249.47</v>
      </c>
      <c r="F16">
        <v>246.45</v>
      </c>
      <c r="G16">
        <v>246.45</v>
      </c>
      <c r="H16">
        <v>231.04</v>
      </c>
      <c r="I16">
        <v>289.54000000000002</v>
      </c>
      <c r="J16">
        <v>239.1</v>
      </c>
      <c r="K16">
        <v>246.98</v>
      </c>
      <c r="L16">
        <v>224.57</v>
      </c>
    </row>
    <row r="17" spans="1:12" x14ac:dyDescent="0.25">
      <c r="A17" t="s">
        <v>105</v>
      </c>
      <c r="B17">
        <v>256.95999999999998</v>
      </c>
      <c r="C17">
        <v>257.11</v>
      </c>
      <c r="D17">
        <v>253.39</v>
      </c>
      <c r="E17">
        <v>247.54</v>
      </c>
      <c r="F17">
        <v>246.45</v>
      </c>
      <c r="G17">
        <v>246.45</v>
      </c>
      <c r="H17">
        <v>231.04</v>
      </c>
      <c r="I17">
        <v>289.54000000000002</v>
      </c>
      <c r="J17">
        <v>239.1</v>
      </c>
      <c r="K17">
        <v>246.98</v>
      </c>
      <c r="L17">
        <v>224.57</v>
      </c>
    </row>
    <row r="18" spans="1:12" x14ac:dyDescent="0.25">
      <c r="A18" t="s">
        <v>106</v>
      </c>
      <c r="B18">
        <v>1.35</v>
      </c>
      <c r="C18">
        <v>1.91</v>
      </c>
      <c r="D18">
        <v>2.57</v>
      </c>
      <c r="E18">
        <v>1.92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</row>
    <row r="19" spans="1:12" x14ac:dyDescent="0.25">
      <c r="A19" t="s">
        <v>81</v>
      </c>
      <c r="B19">
        <v>33.799999999999997</v>
      </c>
      <c r="C19">
        <v>39.86</v>
      </c>
      <c r="D19">
        <v>37.43</v>
      </c>
      <c r="E19">
        <v>37.450000000000003</v>
      </c>
      <c r="F19">
        <v>35.479999999999997</v>
      </c>
      <c r="G19">
        <v>30.16</v>
      </c>
      <c r="H19">
        <v>29.94</v>
      </c>
      <c r="I19">
        <v>25.95</v>
      </c>
      <c r="J19">
        <v>27.66</v>
      </c>
      <c r="K19">
        <v>25.2</v>
      </c>
      <c r="L19">
        <v>26</v>
      </c>
    </row>
    <row r="20" spans="1:12" x14ac:dyDescent="0.25">
      <c r="A20" t="s">
        <v>108</v>
      </c>
      <c r="B20">
        <v>191.14</v>
      </c>
      <c r="C20">
        <v>196.62</v>
      </c>
      <c r="D20">
        <v>203.75</v>
      </c>
      <c r="E20">
        <v>212.28</v>
      </c>
      <c r="F20">
        <v>212.95</v>
      </c>
      <c r="G20">
        <v>227.8</v>
      </c>
      <c r="H20">
        <v>232.15</v>
      </c>
      <c r="I20">
        <v>260.10000000000002</v>
      </c>
      <c r="J20">
        <v>250.06</v>
      </c>
      <c r="K20">
        <v>264.91000000000003</v>
      </c>
      <c r="L20">
        <v>271.63</v>
      </c>
    </row>
    <row r="21" spans="1:12" x14ac:dyDescent="0.25">
      <c r="A21" t="s">
        <v>109</v>
      </c>
      <c r="B21">
        <v>144.30000000000001</v>
      </c>
      <c r="C21">
        <v>152.16999999999999</v>
      </c>
      <c r="D21">
        <v>164.46</v>
      </c>
      <c r="E21">
        <v>171.85</v>
      </c>
      <c r="F21">
        <v>163.57</v>
      </c>
      <c r="G21">
        <v>167.44</v>
      </c>
      <c r="H21">
        <v>170.7</v>
      </c>
      <c r="I21">
        <v>145.41</v>
      </c>
      <c r="J21">
        <v>130.31</v>
      </c>
      <c r="K21">
        <v>141.24</v>
      </c>
      <c r="L21">
        <v>136.94999999999999</v>
      </c>
    </row>
    <row r="22" spans="1:12" x14ac:dyDescent="0.25">
      <c r="A22" t="s">
        <v>103</v>
      </c>
      <c r="B22">
        <v>2.98</v>
      </c>
      <c r="C22">
        <v>3.3</v>
      </c>
      <c r="D22">
        <v>3.68</v>
      </c>
      <c r="E22">
        <v>3.91</v>
      </c>
      <c r="F22">
        <v>3.87</v>
      </c>
      <c r="G22">
        <v>4.75</v>
      </c>
      <c r="H22">
        <v>5.17</v>
      </c>
      <c r="I22">
        <v>5.96</v>
      </c>
      <c r="J22">
        <v>6.51</v>
      </c>
      <c r="K22">
        <v>6.72</v>
      </c>
      <c r="L22">
        <v>8.4700000000000006</v>
      </c>
    </row>
    <row r="23" spans="1:12" x14ac:dyDescent="0.25">
      <c r="A23" t="s">
        <v>104</v>
      </c>
      <c r="B23">
        <v>69.430000000000007</v>
      </c>
      <c r="C23">
        <v>67.78</v>
      </c>
      <c r="D23">
        <v>68.39</v>
      </c>
      <c r="E23">
        <v>67.180000000000007</v>
      </c>
      <c r="F23">
        <v>64.430000000000007</v>
      </c>
      <c r="G23">
        <v>63.29</v>
      </c>
      <c r="H23">
        <v>61.89</v>
      </c>
      <c r="I23">
        <v>76.2</v>
      </c>
      <c r="J23">
        <v>61.17</v>
      </c>
      <c r="K23">
        <v>63.22</v>
      </c>
      <c r="L23">
        <v>58.51</v>
      </c>
    </row>
    <row r="24" spans="1:12" x14ac:dyDescent="0.25">
      <c r="A24" t="s">
        <v>105</v>
      </c>
      <c r="B24">
        <v>65.03</v>
      </c>
      <c r="C24">
        <v>63.32</v>
      </c>
      <c r="D24">
        <v>63.17</v>
      </c>
      <c r="E24">
        <v>65.209999999999994</v>
      </c>
      <c r="F24">
        <v>64.430000000000007</v>
      </c>
      <c r="G24">
        <v>63.29</v>
      </c>
      <c r="H24">
        <v>61.89</v>
      </c>
      <c r="I24">
        <v>76.2</v>
      </c>
      <c r="J24">
        <v>61.17</v>
      </c>
      <c r="K24">
        <v>63.22</v>
      </c>
      <c r="L24">
        <v>58.51</v>
      </c>
    </row>
    <row r="25" spans="1:12" x14ac:dyDescent="0.25">
      <c r="A25" t="s">
        <v>107</v>
      </c>
      <c r="B25">
        <v>4.4000000000000004</v>
      </c>
      <c r="C25">
        <v>4.46</v>
      </c>
      <c r="D25">
        <v>5.22</v>
      </c>
      <c r="E25">
        <v>1.97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</row>
    <row r="26" spans="1:12" x14ac:dyDescent="0.25">
      <c r="A26" t="s">
        <v>81</v>
      </c>
      <c r="B26">
        <v>11.1</v>
      </c>
      <c r="C26">
        <v>13.13</v>
      </c>
      <c r="D26">
        <v>13.34</v>
      </c>
      <c r="E26">
        <v>14.38</v>
      </c>
      <c r="F26">
        <v>13.77</v>
      </c>
      <c r="G26">
        <v>12.22</v>
      </c>
      <c r="H26">
        <v>10.96</v>
      </c>
      <c r="I26">
        <v>9.5</v>
      </c>
      <c r="J26">
        <v>11.83</v>
      </c>
      <c r="K26">
        <v>11.99</v>
      </c>
      <c r="L26">
        <v>13.18</v>
      </c>
    </row>
    <row r="27" spans="1:12" x14ac:dyDescent="0.25">
      <c r="A27" t="s">
        <v>108</v>
      </c>
      <c r="B27">
        <v>60.8</v>
      </c>
      <c r="C27">
        <v>67.95</v>
      </c>
      <c r="D27">
        <v>79.05</v>
      </c>
      <c r="E27">
        <v>86.38</v>
      </c>
      <c r="F27">
        <v>81.489999999999995</v>
      </c>
      <c r="G27">
        <v>87.17</v>
      </c>
      <c r="H27">
        <v>92.67</v>
      </c>
      <c r="I27">
        <v>53.75</v>
      </c>
      <c r="J27">
        <v>50.8</v>
      </c>
      <c r="K27">
        <v>59.3</v>
      </c>
      <c r="L27">
        <v>56.79</v>
      </c>
    </row>
    <row r="28" spans="1:12" x14ac:dyDescent="0.25">
      <c r="A28" t="s">
        <v>47</v>
      </c>
      <c r="B28">
        <v>33.43</v>
      </c>
      <c r="C28">
        <v>32.39</v>
      </c>
      <c r="D28">
        <v>32.369999999999997</v>
      </c>
      <c r="E28">
        <v>31.22</v>
      </c>
      <c r="F28">
        <v>28.92</v>
      </c>
      <c r="G28">
        <v>30.93</v>
      </c>
      <c r="H28">
        <v>32.950000000000003</v>
      </c>
      <c r="I28">
        <v>15.36</v>
      </c>
      <c r="J28">
        <v>14.05</v>
      </c>
      <c r="K28">
        <v>15.49</v>
      </c>
      <c r="L28">
        <v>13.47</v>
      </c>
    </row>
    <row r="29" spans="1:12" x14ac:dyDescent="0.25">
      <c r="A29" t="s">
        <v>103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0.13</v>
      </c>
      <c r="K29">
        <v>0.15</v>
      </c>
      <c r="L29">
        <v>0.16</v>
      </c>
    </row>
    <row r="30" spans="1:12" x14ac:dyDescent="0.25">
      <c r="A30" t="s">
        <v>108</v>
      </c>
      <c r="B30">
        <v>33.43</v>
      </c>
      <c r="C30">
        <v>32.39</v>
      </c>
      <c r="D30">
        <v>32.369999999999997</v>
      </c>
      <c r="E30">
        <v>31.22</v>
      </c>
      <c r="F30">
        <v>28.92</v>
      </c>
      <c r="G30">
        <v>30.93</v>
      </c>
      <c r="H30">
        <v>32.950000000000003</v>
      </c>
      <c r="I30">
        <v>15.36</v>
      </c>
      <c r="J30">
        <v>13.92</v>
      </c>
      <c r="K30">
        <v>15.34</v>
      </c>
      <c r="L30">
        <v>13.31</v>
      </c>
    </row>
    <row r="31" spans="1:12" ht="126" customHeight="1" x14ac:dyDescent="0.25">
      <c r="A31" s="9" t="s">
        <v>110</v>
      </c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</row>
  </sheetData>
  <mergeCells count="1">
    <mergeCell ref="A31:L3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B0115-AB0A-4A08-9203-93102E40F883}">
  <dimension ref="A1:K253"/>
  <sheetViews>
    <sheetView topLeftCell="A235" workbookViewId="0">
      <selection activeCell="D251" sqref="D251"/>
    </sheetView>
  </sheetViews>
  <sheetFormatPr baseColWidth="10" defaultColWidth="11.42578125" defaultRowHeight="15" x14ac:dyDescent="0.25"/>
  <sheetData>
    <row r="1" spans="1:11" x14ac:dyDescent="0.25">
      <c r="A1" t="s">
        <v>12</v>
      </c>
      <c r="B1" t="s">
        <v>111</v>
      </c>
    </row>
    <row r="2" spans="1:11" x14ac:dyDescent="0.25">
      <c r="B2">
        <v>2012</v>
      </c>
      <c r="C2">
        <v>2013</v>
      </c>
      <c r="D2">
        <v>2014</v>
      </c>
      <c r="E2">
        <v>2015</v>
      </c>
      <c r="F2">
        <v>2016</v>
      </c>
      <c r="G2">
        <v>2017</v>
      </c>
      <c r="H2">
        <v>2018</v>
      </c>
      <c r="I2">
        <v>2019</v>
      </c>
      <c r="J2">
        <v>2020</v>
      </c>
      <c r="K2">
        <v>2021</v>
      </c>
    </row>
    <row r="3" spans="1:11" x14ac:dyDescent="0.25">
      <c r="A3" t="s">
        <v>112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</row>
    <row r="4" spans="1:11" x14ac:dyDescent="0.25">
      <c r="A4" t="s">
        <v>113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</row>
    <row r="5" spans="1:11" x14ac:dyDescent="0.25">
      <c r="A5" t="s">
        <v>114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</row>
    <row r="6" spans="1:11" x14ac:dyDescent="0.25">
      <c r="A6" t="s">
        <v>115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</row>
    <row r="7" spans="1:11" x14ac:dyDescent="0.25">
      <c r="A7" t="s">
        <v>116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</row>
    <row r="8" spans="1:11" x14ac:dyDescent="0.25">
      <c r="A8" t="s">
        <v>117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</row>
    <row r="9" spans="1:11" x14ac:dyDescent="0.25">
      <c r="A9" t="s">
        <v>73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</row>
    <row r="10" spans="1:11" x14ac:dyDescent="0.25">
      <c r="A10" t="s">
        <v>118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</row>
    <row r="11" spans="1:11" x14ac:dyDescent="0.25">
      <c r="A11" t="s">
        <v>119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</row>
    <row r="12" spans="1:11" x14ac:dyDescent="0.25">
      <c r="A12" t="s">
        <v>120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</row>
    <row r="13" spans="1:11" x14ac:dyDescent="0.25">
      <c r="A13" t="s">
        <v>75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</row>
    <row r="14" spans="1:11" x14ac:dyDescent="0.25">
      <c r="A14" t="s">
        <v>121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</row>
    <row r="15" spans="1:11" x14ac:dyDescent="0.25">
      <c r="A15" t="s">
        <v>122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</row>
    <row r="16" spans="1:11" x14ac:dyDescent="0.25">
      <c r="A16" t="s">
        <v>123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</row>
    <row r="17" spans="1:11" x14ac:dyDescent="0.25">
      <c r="A17" t="s">
        <v>76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</row>
    <row r="18" spans="1:11" x14ac:dyDescent="0.25">
      <c r="A18" t="s">
        <v>77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</row>
    <row r="19" spans="1:11" x14ac:dyDescent="0.25">
      <c r="A19" t="s">
        <v>124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</row>
    <row r="20" spans="1:11" x14ac:dyDescent="0.25">
      <c r="A20" t="s">
        <v>125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</row>
    <row r="21" spans="1:11" x14ac:dyDescent="0.25">
      <c r="A21" t="s">
        <v>79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</row>
    <row r="22" spans="1:11" x14ac:dyDescent="0.25">
      <c r="A22" t="s">
        <v>126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</row>
    <row r="23" spans="1:11" x14ac:dyDescent="0.25">
      <c r="A23" t="s">
        <v>127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</row>
    <row r="24" spans="1:11" x14ac:dyDescent="0.25">
      <c r="A24" t="s">
        <v>107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</row>
    <row r="25" spans="1:11" x14ac:dyDescent="0.25">
      <c r="A25" t="s">
        <v>128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</row>
    <row r="26" spans="1:11" x14ac:dyDescent="0.25">
      <c r="A26" t="s">
        <v>129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</row>
    <row r="27" spans="1:11" x14ac:dyDescent="0.25">
      <c r="A27" t="s">
        <v>81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</row>
    <row r="28" spans="1:11" x14ac:dyDescent="0.25">
      <c r="A28" t="s">
        <v>83</v>
      </c>
      <c r="B28">
        <v>17.79</v>
      </c>
      <c r="C28">
        <v>18.04</v>
      </c>
      <c r="D28">
        <v>18.73</v>
      </c>
      <c r="E28">
        <v>19.21</v>
      </c>
      <c r="F28">
        <v>19.649999999999999</v>
      </c>
      <c r="G28">
        <v>20.07</v>
      </c>
      <c r="H28">
        <v>19.489999999999998</v>
      </c>
      <c r="I28">
        <v>20.059999999999999</v>
      </c>
      <c r="J28">
        <v>19.38</v>
      </c>
      <c r="K28">
        <v>21.21</v>
      </c>
    </row>
    <row r="29" spans="1:11" x14ac:dyDescent="0.25">
      <c r="A29" t="s">
        <v>130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</row>
    <row r="33" spans="1:11" x14ac:dyDescent="0.25">
      <c r="A33" t="s">
        <v>15</v>
      </c>
      <c r="B33" t="s">
        <v>131</v>
      </c>
    </row>
    <row r="34" spans="1:11" x14ac:dyDescent="0.25">
      <c r="B34">
        <v>2012</v>
      </c>
      <c r="C34">
        <v>2013</v>
      </c>
      <c r="D34">
        <v>2014</v>
      </c>
      <c r="E34">
        <v>2015</v>
      </c>
      <c r="F34">
        <v>2016</v>
      </c>
      <c r="G34">
        <v>2017</v>
      </c>
      <c r="H34">
        <v>2018</v>
      </c>
      <c r="I34">
        <v>2019</v>
      </c>
      <c r="J34">
        <v>2020</v>
      </c>
      <c r="K34">
        <v>2021</v>
      </c>
    </row>
    <row r="35" spans="1:11" x14ac:dyDescent="0.25">
      <c r="A35" t="s">
        <v>112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</row>
    <row r="36" spans="1:11" x14ac:dyDescent="0.25">
      <c r="A36" t="s">
        <v>113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</row>
    <row r="37" spans="1:11" x14ac:dyDescent="0.25">
      <c r="A37" t="s">
        <v>114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</row>
    <row r="38" spans="1:11" x14ac:dyDescent="0.25">
      <c r="A38" t="s">
        <v>115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</row>
    <row r="39" spans="1:11" x14ac:dyDescent="0.25">
      <c r="A39" t="s">
        <v>116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</row>
    <row r="40" spans="1:11" x14ac:dyDescent="0.25">
      <c r="A40" t="s">
        <v>117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</row>
    <row r="41" spans="1:11" x14ac:dyDescent="0.25">
      <c r="A41" t="s">
        <v>73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</row>
    <row r="42" spans="1:11" x14ac:dyDescent="0.25">
      <c r="A42" t="s">
        <v>118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</row>
    <row r="43" spans="1:11" x14ac:dyDescent="0.25">
      <c r="A43" t="s">
        <v>119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</row>
    <row r="44" spans="1:11" x14ac:dyDescent="0.25">
      <c r="A44" t="s">
        <v>120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</row>
    <row r="45" spans="1:11" x14ac:dyDescent="0.25">
      <c r="A45" t="s">
        <v>75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</row>
    <row r="46" spans="1:11" x14ac:dyDescent="0.25">
      <c r="A46" t="s">
        <v>121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</row>
    <row r="47" spans="1:11" x14ac:dyDescent="0.25">
      <c r="A47" t="s">
        <v>122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</row>
    <row r="48" spans="1:11" x14ac:dyDescent="0.25">
      <c r="A48" t="s">
        <v>123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</row>
    <row r="49" spans="1:11" x14ac:dyDescent="0.25">
      <c r="A49" t="s">
        <v>76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</row>
    <row r="50" spans="1:11" x14ac:dyDescent="0.25">
      <c r="A50" t="s">
        <v>77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</row>
    <row r="51" spans="1:11" x14ac:dyDescent="0.25">
      <c r="A51" t="s">
        <v>124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</row>
    <row r="52" spans="1:11" x14ac:dyDescent="0.25">
      <c r="A52" t="s">
        <v>125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</row>
    <row r="53" spans="1:11" x14ac:dyDescent="0.25">
      <c r="A53" t="s">
        <v>79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</row>
    <row r="54" spans="1:11" x14ac:dyDescent="0.25">
      <c r="A54" t="s">
        <v>126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</row>
    <row r="55" spans="1:11" x14ac:dyDescent="0.25">
      <c r="A55" t="s">
        <v>127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</row>
    <row r="56" spans="1:11" x14ac:dyDescent="0.25">
      <c r="A56" t="s">
        <v>107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</row>
    <row r="57" spans="1:11" x14ac:dyDescent="0.25">
      <c r="A57" t="s">
        <v>128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</row>
    <row r="58" spans="1:11" x14ac:dyDescent="0.25">
      <c r="A58" t="s">
        <v>129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</row>
    <row r="59" spans="1:11" x14ac:dyDescent="0.25">
      <c r="A59" t="s">
        <v>81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</row>
    <row r="60" spans="1:11" x14ac:dyDescent="0.25">
      <c r="A60" t="s">
        <v>83</v>
      </c>
      <c r="B60">
        <v>29.29</v>
      </c>
      <c r="C60">
        <v>29.7</v>
      </c>
      <c r="D60">
        <v>30.86</v>
      </c>
      <c r="E60">
        <v>31.65</v>
      </c>
      <c r="F60">
        <v>32.35</v>
      </c>
      <c r="G60">
        <v>33.06</v>
      </c>
      <c r="H60">
        <v>32.11</v>
      </c>
      <c r="I60">
        <v>33.049999999999997</v>
      </c>
      <c r="J60">
        <v>31.93</v>
      </c>
      <c r="K60">
        <v>34.94</v>
      </c>
    </row>
    <row r="61" spans="1:11" x14ac:dyDescent="0.25">
      <c r="A61" t="s">
        <v>130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</row>
    <row r="65" spans="1:11" x14ac:dyDescent="0.25">
      <c r="A65" t="s">
        <v>18</v>
      </c>
      <c r="B65" t="s">
        <v>132</v>
      </c>
    </row>
    <row r="66" spans="1:11" x14ac:dyDescent="0.25">
      <c r="B66">
        <v>2012</v>
      </c>
      <c r="C66">
        <v>2013</v>
      </c>
      <c r="D66">
        <v>2014</v>
      </c>
      <c r="E66">
        <v>2015</v>
      </c>
      <c r="F66">
        <v>2016</v>
      </c>
      <c r="G66">
        <v>2017</v>
      </c>
      <c r="H66">
        <v>2018</v>
      </c>
      <c r="I66">
        <v>2019</v>
      </c>
      <c r="J66">
        <v>2020</v>
      </c>
      <c r="K66">
        <v>2021</v>
      </c>
    </row>
    <row r="67" spans="1:11" x14ac:dyDescent="0.25">
      <c r="A67" t="s">
        <v>112</v>
      </c>
      <c r="B67">
        <v>0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</row>
    <row r="68" spans="1:11" x14ac:dyDescent="0.25">
      <c r="A68" t="s">
        <v>113</v>
      </c>
      <c r="B68">
        <v>0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</row>
    <row r="69" spans="1:11" x14ac:dyDescent="0.25">
      <c r="A69" t="s">
        <v>114</v>
      </c>
      <c r="B69">
        <v>0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</row>
    <row r="70" spans="1:11" x14ac:dyDescent="0.25">
      <c r="A70" t="s">
        <v>115</v>
      </c>
      <c r="B70">
        <v>0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</row>
    <row r="71" spans="1:11" x14ac:dyDescent="0.25">
      <c r="A71" t="s">
        <v>116</v>
      </c>
      <c r="B71">
        <v>0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</row>
    <row r="72" spans="1:11" x14ac:dyDescent="0.25">
      <c r="A72" t="s">
        <v>117</v>
      </c>
      <c r="B72">
        <v>0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</row>
    <row r="73" spans="1:11" x14ac:dyDescent="0.25">
      <c r="A73" t="s">
        <v>73</v>
      </c>
      <c r="B73">
        <v>0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</row>
    <row r="74" spans="1:11" x14ac:dyDescent="0.25">
      <c r="A74" t="s">
        <v>118</v>
      </c>
      <c r="B74">
        <v>0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</row>
    <row r="75" spans="1:11" x14ac:dyDescent="0.25">
      <c r="A75" t="s">
        <v>119</v>
      </c>
      <c r="B75">
        <v>0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</row>
    <row r="76" spans="1:11" x14ac:dyDescent="0.25">
      <c r="A76" t="s">
        <v>120</v>
      </c>
      <c r="B76">
        <v>0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</row>
    <row r="77" spans="1:11" x14ac:dyDescent="0.25">
      <c r="A77" t="s">
        <v>75</v>
      </c>
      <c r="B77">
        <v>0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</row>
    <row r="78" spans="1:11" x14ac:dyDescent="0.25">
      <c r="A78" t="s">
        <v>121</v>
      </c>
      <c r="B78">
        <v>0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</row>
    <row r="79" spans="1:11" x14ac:dyDescent="0.25">
      <c r="A79" t="s">
        <v>122</v>
      </c>
      <c r="B79">
        <v>0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</row>
    <row r="80" spans="1:11" x14ac:dyDescent="0.25">
      <c r="A80" t="s">
        <v>123</v>
      </c>
      <c r="B80">
        <v>0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</row>
    <row r="81" spans="1:11" x14ac:dyDescent="0.25">
      <c r="A81" t="s">
        <v>76</v>
      </c>
      <c r="B81">
        <v>0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</row>
    <row r="82" spans="1:11" x14ac:dyDescent="0.25">
      <c r="A82" t="s">
        <v>77</v>
      </c>
      <c r="B82">
        <v>0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</row>
    <row r="83" spans="1:11" x14ac:dyDescent="0.25">
      <c r="A83" t="s">
        <v>124</v>
      </c>
      <c r="B83">
        <v>0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</row>
    <row r="84" spans="1:11" x14ac:dyDescent="0.25">
      <c r="A84" t="s">
        <v>125</v>
      </c>
      <c r="B84">
        <v>0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</row>
    <row r="85" spans="1:11" x14ac:dyDescent="0.25">
      <c r="A85" t="s">
        <v>79</v>
      </c>
      <c r="B85">
        <v>0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</row>
    <row r="86" spans="1:11" x14ac:dyDescent="0.25">
      <c r="A86" t="s">
        <v>126</v>
      </c>
      <c r="B86">
        <v>0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</row>
    <row r="87" spans="1:11" x14ac:dyDescent="0.25">
      <c r="A87" t="s">
        <v>127</v>
      </c>
      <c r="B87">
        <v>0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</row>
    <row r="88" spans="1:11" x14ac:dyDescent="0.25">
      <c r="A88" t="s">
        <v>107</v>
      </c>
      <c r="B88">
        <v>0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</row>
    <row r="89" spans="1:11" x14ac:dyDescent="0.25">
      <c r="A89" t="s">
        <v>128</v>
      </c>
      <c r="B89">
        <v>0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</row>
    <row r="90" spans="1:11" x14ac:dyDescent="0.25">
      <c r="A90" t="s">
        <v>129</v>
      </c>
      <c r="B90">
        <v>0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</row>
    <row r="91" spans="1:11" x14ac:dyDescent="0.25">
      <c r="A91" t="s">
        <v>81</v>
      </c>
      <c r="B91">
        <v>0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</row>
    <row r="92" spans="1:11" x14ac:dyDescent="0.25">
      <c r="A92" t="s">
        <v>83</v>
      </c>
      <c r="B92">
        <v>5.45</v>
      </c>
      <c r="C92">
        <v>5.52</v>
      </c>
      <c r="D92">
        <v>5.73</v>
      </c>
      <c r="E92">
        <v>5.88</v>
      </c>
      <c r="F92">
        <v>6.02</v>
      </c>
      <c r="G92">
        <v>6.15</v>
      </c>
      <c r="H92">
        <v>5.97</v>
      </c>
      <c r="I92">
        <v>6.14</v>
      </c>
      <c r="J92">
        <v>5.94</v>
      </c>
      <c r="K92">
        <v>6.49</v>
      </c>
    </row>
    <row r="93" spans="1:11" x14ac:dyDescent="0.25">
      <c r="A93" t="s">
        <v>130</v>
      </c>
      <c r="B93">
        <v>0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</row>
    <row r="97" spans="1:11" x14ac:dyDescent="0.25">
      <c r="A97" t="s">
        <v>20</v>
      </c>
      <c r="B97" t="s">
        <v>133</v>
      </c>
    </row>
    <row r="98" spans="1:11" x14ac:dyDescent="0.25">
      <c r="B98">
        <v>2012</v>
      </c>
      <c r="C98">
        <v>2013</v>
      </c>
      <c r="D98">
        <v>2014</v>
      </c>
      <c r="E98">
        <v>2015</v>
      </c>
      <c r="F98">
        <v>2016</v>
      </c>
      <c r="G98">
        <v>2017</v>
      </c>
      <c r="H98">
        <v>2018</v>
      </c>
      <c r="I98">
        <v>2019</v>
      </c>
      <c r="J98">
        <v>2020</v>
      </c>
      <c r="K98">
        <v>2021</v>
      </c>
    </row>
    <row r="99" spans="1:11" x14ac:dyDescent="0.25">
      <c r="A99" t="s">
        <v>112</v>
      </c>
      <c r="B99">
        <v>0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</row>
    <row r="100" spans="1:11" x14ac:dyDescent="0.25">
      <c r="A100" t="s">
        <v>113</v>
      </c>
      <c r="B100">
        <v>0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</row>
    <row r="101" spans="1:11" x14ac:dyDescent="0.25">
      <c r="A101" t="s">
        <v>114</v>
      </c>
      <c r="B101">
        <v>0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</row>
    <row r="102" spans="1:11" x14ac:dyDescent="0.25">
      <c r="A102" t="s">
        <v>115</v>
      </c>
      <c r="B102">
        <v>0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</row>
    <row r="103" spans="1:11" x14ac:dyDescent="0.25">
      <c r="A103" t="s">
        <v>116</v>
      </c>
      <c r="B103">
        <v>0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</row>
    <row r="104" spans="1:11" x14ac:dyDescent="0.25">
      <c r="A104" t="s">
        <v>117</v>
      </c>
      <c r="B104">
        <v>0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</row>
    <row r="105" spans="1:11" x14ac:dyDescent="0.25">
      <c r="A105" t="s">
        <v>73</v>
      </c>
      <c r="B105">
        <v>0</v>
      </c>
      <c r="C105">
        <v>0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</row>
    <row r="106" spans="1:11" x14ac:dyDescent="0.25">
      <c r="A106" t="s">
        <v>118</v>
      </c>
      <c r="B106">
        <v>0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</row>
    <row r="107" spans="1:11" x14ac:dyDescent="0.25">
      <c r="A107" t="s">
        <v>119</v>
      </c>
      <c r="B107">
        <v>0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</row>
    <row r="108" spans="1:11" x14ac:dyDescent="0.25">
      <c r="A108" t="s">
        <v>120</v>
      </c>
      <c r="B108">
        <v>0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</row>
    <row r="109" spans="1:11" x14ac:dyDescent="0.25">
      <c r="A109" t="s">
        <v>75</v>
      </c>
      <c r="B109">
        <v>0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</row>
    <row r="110" spans="1:11" x14ac:dyDescent="0.25">
      <c r="A110" t="s">
        <v>121</v>
      </c>
      <c r="B110">
        <v>0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</row>
    <row r="111" spans="1:11" x14ac:dyDescent="0.25">
      <c r="A111" t="s">
        <v>122</v>
      </c>
      <c r="B111">
        <v>0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</row>
    <row r="112" spans="1:11" x14ac:dyDescent="0.25">
      <c r="A112" t="s">
        <v>123</v>
      </c>
      <c r="B112">
        <v>0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</row>
    <row r="113" spans="1:11" x14ac:dyDescent="0.25">
      <c r="A113" t="s">
        <v>76</v>
      </c>
      <c r="B113">
        <v>0</v>
      </c>
      <c r="C113">
        <v>0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</row>
    <row r="114" spans="1:11" x14ac:dyDescent="0.25">
      <c r="A114" t="s">
        <v>77</v>
      </c>
      <c r="B114">
        <v>0</v>
      </c>
      <c r="C114">
        <v>0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</row>
    <row r="115" spans="1:11" x14ac:dyDescent="0.25">
      <c r="A115" t="s">
        <v>124</v>
      </c>
      <c r="B115">
        <v>0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</row>
    <row r="116" spans="1:11" x14ac:dyDescent="0.25">
      <c r="A116" t="s">
        <v>125</v>
      </c>
      <c r="B116">
        <v>0</v>
      </c>
      <c r="C116">
        <v>0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</row>
    <row r="117" spans="1:11" x14ac:dyDescent="0.25">
      <c r="A117" t="s">
        <v>79</v>
      </c>
      <c r="B117">
        <v>4.21</v>
      </c>
      <c r="C117">
        <v>4.5999999999999996</v>
      </c>
      <c r="D117">
        <v>5.58</v>
      </c>
      <c r="E117">
        <v>5.66</v>
      </c>
      <c r="F117">
        <v>6.15</v>
      </c>
      <c r="G117">
        <v>5.83</v>
      </c>
      <c r="H117">
        <v>5.08</v>
      </c>
      <c r="I117">
        <v>4.42</v>
      </c>
      <c r="J117">
        <v>3.73</v>
      </c>
      <c r="K117">
        <v>4.8</v>
      </c>
    </row>
    <row r="118" spans="1:11" x14ac:dyDescent="0.25">
      <c r="A118" t="s">
        <v>126</v>
      </c>
      <c r="B118">
        <v>0</v>
      </c>
      <c r="C118">
        <v>0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</row>
    <row r="119" spans="1:11" x14ac:dyDescent="0.25">
      <c r="A119" t="s">
        <v>127</v>
      </c>
      <c r="B119">
        <v>0</v>
      </c>
      <c r="C119">
        <v>0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</row>
    <row r="120" spans="1:11" x14ac:dyDescent="0.25">
      <c r="A120" t="s">
        <v>107</v>
      </c>
      <c r="B120">
        <v>4.24</v>
      </c>
      <c r="C120">
        <v>4.4000000000000004</v>
      </c>
      <c r="D120">
        <v>4.46</v>
      </c>
      <c r="E120">
        <v>5.22</v>
      </c>
      <c r="F120">
        <v>1.97</v>
      </c>
      <c r="G120">
        <v>2.15</v>
      </c>
      <c r="H120">
        <v>1.1499999999999999</v>
      </c>
      <c r="I120">
        <v>0.63</v>
      </c>
      <c r="J120">
        <v>0</v>
      </c>
      <c r="K120">
        <v>0</v>
      </c>
    </row>
    <row r="121" spans="1:11" x14ac:dyDescent="0.25">
      <c r="A121" t="s">
        <v>128</v>
      </c>
      <c r="B121">
        <v>0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0</v>
      </c>
    </row>
    <row r="122" spans="1:11" x14ac:dyDescent="0.25">
      <c r="A122" t="s">
        <v>129</v>
      </c>
      <c r="B122">
        <v>0</v>
      </c>
      <c r="C122">
        <v>0</v>
      </c>
      <c r="D122">
        <v>0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0</v>
      </c>
      <c r="K122">
        <v>0</v>
      </c>
    </row>
    <row r="123" spans="1:11" x14ac:dyDescent="0.25">
      <c r="A123" t="s">
        <v>81</v>
      </c>
      <c r="B123">
        <v>0</v>
      </c>
      <c r="C123">
        <v>0</v>
      </c>
      <c r="D123">
        <v>0</v>
      </c>
      <c r="E123">
        <v>0</v>
      </c>
      <c r="F123">
        <v>0</v>
      </c>
      <c r="G123">
        <v>0</v>
      </c>
      <c r="H123">
        <v>0</v>
      </c>
      <c r="I123">
        <v>0</v>
      </c>
      <c r="J123">
        <v>0</v>
      </c>
      <c r="K123">
        <v>0</v>
      </c>
    </row>
    <row r="124" spans="1:11" x14ac:dyDescent="0.25">
      <c r="A124" t="s">
        <v>83</v>
      </c>
      <c r="B124">
        <v>4.3099999999999996</v>
      </c>
      <c r="C124">
        <v>4.37</v>
      </c>
      <c r="D124">
        <v>4.54</v>
      </c>
      <c r="E124">
        <v>4.66</v>
      </c>
      <c r="F124">
        <v>4.76</v>
      </c>
      <c r="G124">
        <v>4.87</v>
      </c>
      <c r="H124">
        <v>4.7300000000000004</v>
      </c>
      <c r="I124">
        <v>4.87</v>
      </c>
      <c r="J124">
        <v>4.7</v>
      </c>
      <c r="K124">
        <v>5.14</v>
      </c>
    </row>
    <row r="125" spans="1:11" x14ac:dyDescent="0.25">
      <c r="A125" t="s">
        <v>130</v>
      </c>
      <c r="B125">
        <v>0</v>
      </c>
      <c r="C125">
        <v>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</row>
    <row r="129" spans="1:11" x14ac:dyDescent="0.25">
      <c r="A129" t="s">
        <v>22</v>
      </c>
      <c r="B129" t="s">
        <v>134</v>
      </c>
    </row>
    <row r="130" spans="1:11" x14ac:dyDescent="0.25">
      <c r="B130">
        <v>2012</v>
      </c>
      <c r="C130">
        <v>2013</v>
      </c>
      <c r="D130">
        <v>2014</v>
      </c>
      <c r="E130">
        <v>2015</v>
      </c>
      <c r="F130">
        <v>2016</v>
      </c>
      <c r="G130">
        <v>2017</v>
      </c>
      <c r="H130">
        <v>2018</v>
      </c>
      <c r="I130">
        <v>2019</v>
      </c>
      <c r="J130">
        <v>2020</v>
      </c>
      <c r="K130">
        <v>2021</v>
      </c>
    </row>
    <row r="131" spans="1:11" x14ac:dyDescent="0.25">
      <c r="A131" t="s">
        <v>112</v>
      </c>
      <c r="B131">
        <v>0</v>
      </c>
      <c r="C131">
        <v>0</v>
      </c>
      <c r="D131">
        <v>0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0</v>
      </c>
    </row>
    <row r="132" spans="1:11" x14ac:dyDescent="0.25">
      <c r="A132" t="s">
        <v>113</v>
      </c>
      <c r="B132">
        <v>0</v>
      </c>
      <c r="C132">
        <v>0</v>
      </c>
      <c r="D132">
        <v>0</v>
      </c>
      <c r="E132">
        <v>0</v>
      </c>
      <c r="F132">
        <v>0</v>
      </c>
      <c r="G132">
        <v>0</v>
      </c>
      <c r="H132">
        <v>0</v>
      </c>
      <c r="I132">
        <v>0</v>
      </c>
      <c r="J132">
        <v>0</v>
      </c>
      <c r="K132">
        <v>0</v>
      </c>
    </row>
    <row r="133" spans="1:11" x14ac:dyDescent="0.25">
      <c r="A133" t="s">
        <v>114</v>
      </c>
      <c r="B133">
        <v>0</v>
      </c>
      <c r="C133">
        <v>0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</row>
    <row r="134" spans="1:11" x14ac:dyDescent="0.25">
      <c r="A134" t="s">
        <v>115</v>
      </c>
      <c r="B134">
        <v>0</v>
      </c>
      <c r="C134">
        <v>0</v>
      </c>
      <c r="D134">
        <v>0</v>
      </c>
      <c r="E134">
        <v>0</v>
      </c>
      <c r="F134">
        <v>0</v>
      </c>
      <c r="G134">
        <v>0</v>
      </c>
      <c r="H134">
        <v>0</v>
      </c>
      <c r="I134">
        <v>0</v>
      </c>
      <c r="J134">
        <v>0</v>
      </c>
      <c r="K134">
        <v>0</v>
      </c>
    </row>
    <row r="135" spans="1:11" x14ac:dyDescent="0.25">
      <c r="A135" t="s">
        <v>116</v>
      </c>
      <c r="B135">
        <v>0</v>
      </c>
      <c r="C135">
        <v>0</v>
      </c>
      <c r="D135">
        <v>0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0</v>
      </c>
      <c r="K135">
        <v>0</v>
      </c>
    </row>
    <row r="136" spans="1:11" x14ac:dyDescent="0.25">
      <c r="A136" t="s">
        <v>117</v>
      </c>
      <c r="B136">
        <v>0</v>
      </c>
      <c r="C136">
        <v>0</v>
      </c>
      <c r="D136">
        <v>0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0</v>
      </c>
    </row>
    <row r="137" spans="1:11" x14ac:dyDescent="0.25">
      <c r="A137" t="s">
        <v>73</v>
      </c>
      <c r="B137">
        <v>0</v>
      </c>
      <c r="C137">
        <v>0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</row>
    <row r="138" spans="1:11" x14ac:dyDescent="0.25">
      <c r="A138" t="s">
        <v>118</v>
      </c>
      <c r="B138">
        <v>0</v>
      </c>
      <c r="C138">
        <v>0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</row>
    <row r="139" spans="1:11" x14ac:dyDescent="0.25">
      <c r="A139" t="s">
        <v>119</v>
      </c>
      <c r="B139">
        <v>0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</row>
    <row r="140" spans="1:11" x14ac:dyDescent="0.25">
      <c r="A140" t="s">
        <v>120</v>
      </c>
      <c r="B140">
        <v>0</v>
      </c>
      <c r="C140">
        <v>0</v>
      </c>
      <c r="D140">
        <v>0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0</v>
      </c>
    </row>
    <row r="141" spans="1:11" x14ac:dyDescent="0.25">
      <c r="A141" t="s">
        <v>75</v>
      </c>
      <c r="B141">
        <v>0</v>
      </c>
      <c r="C141">
        <v>0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</row>
    <row r="142" spans="1:11" x14ac:dyDescent="0.25">
      <c r="A142" t="s">
        <v>121</v>
      </c>
      <c r="B142">
        <v>0</v>
      </c>
      <c r="C142">
        <v>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</row>
    <row r="143" spans="1:11" x14ac:dyDescent="0.25">
      <c r="A143" t="s">
        <v>122</v>
      </c>
      <c r="B143">
        <v>0</v>
      </c>
      <c r="C143">
        <v>0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</row>
    <row r="144" spans="1:11" x14ac:dyDescent="0.25">
      <c r="A144" t="s">
        <v>123</v>
      </c>
      <c r="B144">
        <v>0</v>
      </c>
      <c r="C144">
        <v>0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</row>
    <row r="145" spans="1:11" x14ac:dyDescent="0.25">
      <c r="A145" t="s">
        <v>76</v>
      </c>
      <c r="B145">
        <v>0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  <c r="J145">
        <v>0</v>
      </c>
      <c r="K145">
        <v>0</v>
      </c>
    </row>
    <row r="146" spans="1:11" x14ac:dyDescent="0.25">
      <c r="A146" t="s">
        <v>77</v>
      </c>
      <c r="B146">
        <v>0</v>
      </c>
      <c r="C146">
        <v>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</row>
    <row r="147" spans="1:11" x14ac:dyDescent="0.25">
      <c r="A147" t="s">
        <v>124</v>
      </c>
      <c r="B147">
        <v>0</v>
      </c>
      <c r="C147">
        <v>0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</row>
    <row r="148" spans="1:11" x14ac:dyDescent="0.25">
      <c r="A148" t="s">
        <v>125</v>
      </c>
      <c r="B148">
        <v>0</v>
      </c>
      <c r="C148">
        <v>0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</row>
    <row r="149" spans="1:11" x14ac:dyDescent="0.25">
      <c r="A149" t="s">
        <v>79</v>
      </c>
      <c r="B149">
        <v>0.94</v>
      </c>
      <c r="C149">
        <v>0.96</v>
      </c>
      <c r="D149">
        <v>0.99</v>
      </c>
      <c r="E149">
        <v>1.02</v>
      </c>
      <c r="F149">
        <v>1.04</v>
      </c>
      <c r="G149">
        <v>1.06</v>
      </c>
      <c r="H149">
        <v>1.03</v>
      </c>
      <c r="I149">
        <v>1.06</v>
      </c>
      <c r="J149">
        <v>1.03</v>
      </c>
      <c r="K149">
        <v>1.1200000000000001</v>
      </c>
    </row>
    <row r="150" spans="1:11" x14ac:dyDescent="0.25">
      <c r="A150" t="s">
        <v>126</v>
      </c>
      <c r="B150">
        <v>0</v>
      </c>
      <c r="C150">
        <v>0</v>
      </c>
      <c r="D150">
        <v>0</v>
      </c>
      <c r="E150">
        <v>0</v>
      </c>
      <c r="F150">
        <v>0</v>
      </c>
      <c r="G150">
        <v>0</v>
      </c>
      <c r="H150">
        <v>0</v>
      </c>
      <c r="I150">
        <v>0</v>
      </c>
      <c r="J150">
        <v>0</v>
      </c>
      <c r="K150">
        <v>0</v>
      </c>
    </row>
    <row r="151" spans="1:11" x14ac:dyDescent="0.25">
      <c r="A151" t="s">
        <v>127</v>
      </c>
      <c r="B151">
        <v>0</v>
      </c>
      <c r="C151">
        <v>0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  <c r="J151">
        <v>0</v>
      </c>
      <c r="K151">
        <v>0</v>
      </c>
    </row>
    <row r="152" spans="1:11" x14ac:dyDescent="0.25">
      <c r="A152" t="s">
        <v>107</v>
      </c>
      <c r="B152">
        <v>0</v>
      </c>
      <c r="C152">
        <v>0</v>
      </c>
      <c r="D152">
        <v>0</v>
      </c>
      <c r="E152">
        <v>0</v>
      </c>
      <c r="F152">
        <v>0</v>
      </c>
      <c r="G152">
        <v>0</v>
      </c>
      <c r="H152">
        <v>0</v>
      </c>
      <c r="I152">
        <v>0</v>
      </c>
      <c r="J152">
        <v>0</v>
      </c>
      <c r="K152">
        <v>0</v>
      </c>
    </row>
    <row r="153" spans="1:11" x14ac:dyDescent="0.25">
      <c r="A153" t="s">
        <v>128</v>
      </c>
      <c r="B153">
        <v>0</v>
      </c>
      <c r="C153">
        <v>0</v>
      </c>
      <c r="D153">
        <v>0</v>
      </c>
      <c r="E153">
        <v>0</v>
      </c>
      <c r="F153">
        <v>0</v>
      </c>
      <c r="G153">
        <v>0</v>
      </c>
      <c r="H153">
        <v>0</v>
      </c>
      <c r="I153">
        <v>0</v>
      </c>
      <c r="J153">
        <v>0</v>
      </c>
      <c r="K153">
        <v>0</v>
      </c>
    </row>
    <row r="154" spans="1:11" x14ac:dyDescent="0.25">
      <c r="A154" t="s">
        <v>129</v>
      </c>
      <c r="B154">
        <v>0</v>
      </c>
      <c r="C154">
        <v>0</v>
      </c>
      <c r="D154">
        <v>0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0</v>
      </c>
      <c r="K154">
        <v>0</v>
      </c>
    </row>
    <row r="155" spans="1:11" x14ac:dyDescent="0.25">
      <c r="A155" t="s">
        <v>81</v>
      </c>
      <c r="B155">
        <v>0</v>
      </c>
      <c r="C155">
        <v>0</v>
      </c>
      <c r="D155">
        <v>0</v>
      </c>
      <c r="E155">
        <v>0</v>
      </c>
      <c r="F155">
        <v>0</v>
      </c>
      <c r="G155">
        <v>0</v>
      </c>
      <c r="H155">
        <v>0</v>
      </c>
      <c r="I155">
        <v>0</v>
      </c>
      <c r="J155">
        <v>0</v>
      </c>
      <c r="K155">
        <v>0</v>
      </c>
    </row>
    <row r="156" spans="1:11" x14ac:dyDescent="0.25">
      <c r="A156" t="s">
        <v>83</v>
      </c>
      <c r="B156">
        <v>0.78</v>
      </c>
      <c r="C156">
        <v>0.8</v>
      </c>
      <c r="D156">
        <v>0.83</v>
      </c>
      <c r="E156">
        <v>0.85</v>
      </c>
      <c r="F156">
        <v>0.87</v>
      </c>
      <c r="G156">
        <v>0.88</v>
      </c>
      <c r="H156">
        <v>0.86</v>
      </c>
      <c r="I156">
        <v>0.88</v>
      </c>
      <c r="J156">
        <v>0.85</v>
      </c>
      <c r="K156">
        <v>0.94</v>
      </c>
    </row>
    <row r="157" spans="1:11" x14ac:dyDescent="0.25">
      <c r="A157" t="s">
        <v>130</v>
      </c>
      <c r="B157">
        <v>0</v>
      </c>
      <c r="C157">
        <v>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</row>
    <row r="161" spans="1:11" x14ac:dyDescent="0.25">
      <c r="A161" t="s">
        <v>24</v>
      </c>
      <c r="B161" t="s">
        <v>135</v>
      </c>
    </row>
    <row r="162" spans="1:11" x14ac:dyDescent="0.25">
      <c r="B162">
        <v>2012</v>
      </c>
      <c r="C162">
        <v>2013</v>
      </c>
      <c r="D162">
        <v>2014</v>
      </c>
      <c r="E162">
        <v>2015</v>
      </c>
      <c r="F162">
        <v>2016</v>
      </c>
      <c r="G162">
        <v>2017</v>
      </c>
      <c r="H162">
        <v>2018</v>
      </c>
      <c r="I162">
        <v>2019</v>
      </c>
      <c r="J162">
        <v>2020</v>
      </c>
      <c r="K162">
        <v>2021</v>
      </c>
    </row>
    <row r="163" spans="1:11" x14ac:dyDescent="0.25">
      <c r="A163" t="s">
        <v>112</v>
      </c>
      <c r="B163">
        <v>0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</row>
    <row r="164" spans="1:11" x14ac:dyDescent="0.25">
      <c r="A164" t="s">
        <v>113</v>
      </c>
      <c r="B164">
        <v>0</v>
      </c>
      <c r="C164">
        <v>0</v>
      </c>
      <c r="D164">
        <v>0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0</v>
      </c>
      <c r="K164">
        <v>0</v>
      </c>
    </row>
    <row r="165" spans="1:11" x14ac:dyDescent="0.25">
      <c r="A165" t="s">
        <v>114</v>
      </c>
      <c r="B165">
        <v>0</v>
      </c>
      <c r="C165">
        <v>0</v>
      </c>
      <c r="D165">
        <v>0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0</v>
      </c>
      <c r="K165">
        <v>0</v>
      </c>
    </row>
    <row r="166" spans="1:11" x14ac:dyDescent="0.25">
      <c r="A166" t="s">
        <v>115</v>
      </c>
      <c r="B166">
        <v>0</v>
      </c>
      <c r="C166">
        <v>0</v>
      </c>
      <c r="D166">
        <v>0</v>
      </c>
      <c r="E166">
        <v>0</v>
      </c>
      <c r="F166">
        <v>0</v>
      </c>
      <c r="G166">
        <v>0</v>
      </c>
      <c r="H166">
        <v>0</v>
      </c>
      <c r="I166">
        <v>0</v>
      </c>
      <c r="J166">
        <v>0</v>
      </c>
      <c r="K166">
        <v>0</v>
      </c>
    </row>
    <row r="167" spans="1:11" x14ac:dyDescent="0.25">
      <c r="A167" t="s">
        <v>116</v>
      </c>
      <c r="B167">
        <v>0</v>
      </c>
      <c r="C167">
        <v>0</v>
      </c>
      <c r="D167">
        <v>0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0</v>
      </c>
      <c r="K167">
        <v>0</v>
      </c>
    </row>
    <row r="168" spans="1:11" x14ac:dyDescent="0.25">
      <c r="A168" t="s">
        <v>117</v>
      </c>
      <c r="B168">
        <v>0</v>
      </c>
      <c r="C168">
        <v>0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0</v>
      </c>
      <c r="K168">
        <v>0</v>
      </c>
    </row>
    <row r="169" spans="1:11" x14ac:dyDescent="0.25">
      <c r="A169" t="s">
        <v>73</v>
      </c>
      <c r="B169">
        <v>0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0</v>
      </c>
    </row>
    <row r="170" spans="1:11" x14ac:dyDescent="0.25">
      <c r="A170" t="s">
        <v>118</v>
      </c>
      <c r="B170">
        <v>0</v>
      </c>
      <c r="C170">
        <v>0</v>
      </c>
      <c r="D170">
        <v>0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0</v>
      </c>
    </row>
    <row r="171" spans="1:11" x14ac:dyDescent="0.25">
      <c r="A171" t="s">
        <v>119</v>
      </c>
      <c r="B171">
        <v>0</v>
      </c>
      <c r="C171">
        <v>0</v>
      </c>
      <c r="D171">
        <v>0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0</v>
      </c>
    </row>
    <row r="172" spans="1:11" x14ac:dyDescent="0.25">
      <c r="A172" t="s">
        <v>120</v>
      </c>
      <c r="B172">
        <v>0</v>
      </c>
      <c r="C172">
        <v>0</v>
      </c>
      <c r="D172">
        <v>0</v>
      </c>
      <c r="E172">
        <v>0</v>
      </c>
      <c r="F172">
        <v>0</v>
      </c>
      <c r="G172">
        <v>0</v>
      </c>
      <c r="H172">
        <v>0</v>
      </c>
      <c r="I172">
        <v>0</v>
      </c>
      <c r="J172">
        <v>0</v>
      </c>
      <c r="K172">
        <v>0</v>
      </c>
    </row>
    <row r="173" spans="1:11" x14ac:dyDescent="0.25">
      <c r="A173" t="s">
        <v>75</v>
      </c>
      <c r="B173">
        <v>0</v>
      </c>
      <c r="C173">
        <v>0</v>
      </c>
      <c r="D173">
        <v>0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0</v>
      </c>
    </row>
    <row r="174" spans="1:11" x14ac:dyDescent="0.25">
      <c r="A174" t="s">
        <v>121</v>
      </c>
      <c r="B174">
        <v>0</v>
      </c>
      <c r="C174">
        <v>0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0</v>
      </c>
      <c r="K174">
        <v>0</v>
      </c>
    </row>
    <row r="175" spans="1:11" x14ac:dyDescent="0.25">
      <c r="A175" t="s">
        <v>122</v>
      </c>
      <c r="B175">
        <v>0</v>
      </c>
      <c r="C175">
        <v>0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0</v>
      </c>
      <c r="K175">
        <v>0</v>
      </c>
    </row>
    <row r="176" spans="1:11" x14ac:dyDescent="0.25">
      <c r="A176" t="s">
        <v>123</v>
      </c>
      <c r="B176">
        <v>0</v>
      </c>
      <c r="C176">
        <v>0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</row>
    <row r="177" spans="1:11" x14ac:dyDescent="0.25">
      <c r="A177" t="s">
        <v>76</v>
      </c>
      <c r="B177">
        <v>0</v>
      </c>
      <c r="C177">
        <v>0</v>
      </c>
      <c r="D177">
        <v>0</v>
      </c>
      <c r="E177">
        <v>0</v>
      </c>
      <c r="F177">
        <v>0</v>
      </c>
      <c r="G177">
        <v>0</v>
      </c>
      <c r="H177">
        <v>0</v>
      </c>
      <c r="I177">
        <v>0</v>
      </c>
      <c r="J177">
        <v>0</v>
      </c>
      <c r="K177">
        <v>0</v>
      </c>
    </row>
    <row r="178" spans="1:11" x14ac:dyDescent="0.25">
      <c r="A178" t="s">
        <v>77</v>
      </c>
      <c r="B178">
        <v>0</v>
      </c>
      <c r="C178">
        <v>0</v>
      </c>
      <c r="D178">
        <v>0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0</v>
      </c>
      <c r="K178">
        <v>0</v>
      </c>
    </row>
    <row r="179" spans="1:11" x14ac:dyDescent="0.25">
      <c r="A179" t="s">
        <v>124</v>
      </c>
      <c r="B179">
        <v>0</v>
      </c>
      <c r="C179">
        <v>0</v>
      </c>
      <c r="D179">
        <v>0</v>
      </c>
      <c r="E179">
        <v>0</v>
      </c>
      <c r="F179">
        <v>0</v>
      </c>
      <c r="G179">
        <v>0</v>
      </c>
      <c r="H179">
        <v>0</v>
      </c>
      <c r="I179">
        <v>0</v>
      </c>
      <c r="J179">
        <v>0</v>
      </c>
      <c r="K179">
        <v>0</v>
      </c>
    </row>
    <row r="180" spans="1:11" x14ac:dyDescent="0.25">
      <c r="A180" t="s">
        <v>125</v>
      </c>
      <c r="B180">
        <v>0</v>
      </c>
      <c r="C180">
        <v>0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>
        <v>0</v>
      </c>
      <c r="K180">
        <v>0</v>
      </c>
    </row>
    <row r="181" spans="1:11" x14ac:dyDescent="0.25">
      <c r="A181" t="s">
        <v>79</v>
      </c>
      <c r="B181">
        <v>0.78</v>
      </c>
      <c r="C181">
        <v>0.79</v>
      </c>
      <c r="D181">
        <v>0.82</v>
      </c>
      <c r="E181">
        <v>0.84</v>
      </c>
      <c r="F181">
        <v>0.86</v>
      </c>
      <c r="G181">
        <v>0.88</v>
      </c>
      <c r="H181">
        <v>0.86</v>
      </c>
      <c r="I181">
        <v>0.88</v>
      </c>
      <c r="J181">
        <v>0.85</v>
      </c>
      <c r="K181">
        <v>0.93</v>
      </c>
    </row>
    <row r="182" spans="1:11" x14ac:dyDescent="0.25">
      <c r="A182" t="s">
        <v>126</v>
      </c>
      <c r="B182">
        <v>0</v>
      </c>
      <c r="C182">
        <v>0</v>
      </c>
      <c r="D182">
        <v>0</v>
      </c>
      <c r="E182">
        <v>0</v>
      </c>
      <c r="F182">
        <v>0</v>
      </c>
      <c r="G182">
        <v>0</v>
      </c>
      <c r="H182">
        <v>0</v>
      </c>
      <c r="I182">
        <v>0</v>
      </c>
      <c r="J182">
        <v>0</v>
      </c>
      <c r="K182">
        <v>0</v>
      </c>
    </row>
    <row r="183" spans="1:11" x14ac:dyDescent="0.25">
      <c r="A183" t="s">
        <v>127</v>
      </c>
      <c r="B183">
        <v>0</v>
      </c>
      <c r="C183">
        <v>0</v>
      </c>
      <c r="D183">
        <v>0</v>
      </c>
      <c r="E183">
        <v>0</v>
      </c>
      <c r="F183">
        <v>0</v>
      </c>
      <c r="G183">
        <v>0</v>
      </c>
      <c r="H183">
        <v>0</v>
      </c>
      <c r="I183">
        <v>0</v>
      </c>
      <c r="J183">
        <v>0</v>
      </c>
      <c r="K183">
        <v>0</v>
      </c>
    </row>
    <row r="184" spans="1:11" x14ac:dyDescent="0.25">
      <c r="A184" t="s">
        <v>107</v>
      </c>
      <c r="B184">
        <v>0</v>
      </c>
      <c r="C184">
        <v>0</v>
      </c>
      <c r="D184">
        <v>0</v>
      </c>
      <c r="E184">
        <v>0</v>
      </c>
      <c r="F184">
        <v>0</v>
      </c>
      <c r="G184">
        <v>0</v>
      </c>
      <c r="H184">
        <v>0</v>
      </c>
      <c r="I184">
        <v>0</v>
      </c>
      <c r="J184">
        <v>0</v>
      </c>
      <c r="K184">
        <v>0</v>
      </c>
    </row>
    <row r="185" spans="1:11" x14ac:dyDescent="0.25">
      <c r="A185" t="s">
        <v>128</v>
      </c>
      <c r="B185">
        <v>0</v>
      </c>
      <c r="C185">
        <v>0</v>
      </c>
      <c r="D185">
        <v>0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0</v>
      </c>
    </row>
    <row r="186" spans="1:11" x14ac:dyDescent="0.25">
      <c r="A186" t="s">
        <v>129</v>
      </c>
      <c r="B186">
        <v>0</v>
      </c>
      <c r="C186">
        <v>0</v>
      </c>
      <c r="D186">
        <v>0</v>
      </c>
      <c r="E186">
        <v>0</v>
      </c>
      <c r="F186">
        <v>0</v>
      </c>
      <c r="G186">
        <v>0</v>
      </c>
      <c r="H186">
        <v>0</v>
      </c>
      <c r="I186">
        <v>0</v>
      </c>
      <c r="J186">
        <v>0</v>
      </c>
      <c r="K186">
        <v>0</v>
      </c>
    </row>
    <row r="187" spans="1:11" x14ac:dyDescent="0.25">
      <c r="A187" t="s">
        <v>81</v>
      </c>
      <c r="B187">
        <v>0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  <c r="J187">
        <v>0</v>
      </c>
      <c r="K187">
        <v>0</v>
      </c>
    </row>
    <row r="188" spans="1:11" x14ac:dyDescent="0.25">
      <c r="A188" t="s">
        <v>83</v>
      </c>
      <c r="B188">
        <v>1.96</v>
      </c>
      <c r="C188">
        <v>1.99</v>
      </c>
      <c r="D188">
        <v>2.06</v>
      </c>
      <c r="E188">
        <v>2.12</v>
      </c>
      <c r="F188">
        <v>2.17</v>
      </c>
      <c r="G188">
        <v>2.21</v>
      </c>
      <c r="H188">
        <v>2.15</v>
      </c>
      <c r="I188">
        <v>2.21</v>
      </c>
      <c r="J188">
        <v>2.14</v>
      </c>
      <c r="K188">
        <v>2.34</v>
      </c>
    </row>
    <row r="189" spans="1:11" x14ac:dyDescent="0.25">
      <c r="A189" t="s">
        <v>130</v>
      </c>
      <c r="B189">
        <v>0</v>
      </c>
      <c r="C189">
        <v>0</v>
      </c>
      <c r="D189">
        <v>0</v>
      </c>
      <c r="E189">
        <v>0</v>
      </c>
      <c r="F189">
        <v>0</v>
      </c>
      <c r="G189">
        <v>0</v>
      </c>
      <c r="H189">
        <v>0</v>
      </c>
      <c r="I189">
        <v>0</v>
      </c>
      <c r="J189">
        <v>0</v>
      </c>
      <c r="K189">
        <v>0</v>
      </c>
    </row>
    <row r="193" spans="1:11" x14ac:dyDescent="0.25">
      <c r="A193" t="s">
        <v>26</v>
      </c>
      <c r="B193" t="s">
        <v>136</v>
      </c>
    </row>
    <row r="194" spans="1:11" x14ac:dyDescent="0.25">
      <c r="B194">
        <v>2012</v>
      </c>
      <c r="C194">
        <v>2013</v>
      </c>
      <c r="D194">
        <v>2014</v>
      </c>
      <c r="E194">
        <v>2015</v>
      </c>
      <c r="F194">
        <v>2016</v>
      </c>
      <c r="G194">
        <v>2017</v>
      </c>
      <c r="H194">
        <v>2018</v>
      </c>
      <c r="I194">
        <v>2019</v>
      </c>
      <c r="J194">
        <v>2020</v>
      </c>
      <c r="K194">
        <v>2021</v>
      </c>
    </row>
    <row r="195" spans="1:11" x14ac:dyDescent="0.25">
      <c r="A195" t="s">
        <v>112</v>
      </c>
      <c r="B195">
        <v>0</v>
      </c>
      <c r="C195">
        <v>0</v>
      </c>
      <c r="D195">
        <v>0</v>
      </c>
      <c r="E195">
        <v>0</v>
      </c>
      <c r="F195">
        <v>0</v>
      </c>
      <c r="G195">
        <v>0</v>
      </c>
      <c r="H195">
        <v>0</v>
      </c>
      <c r="I195">
        <v>0</v>
      </c>
      <c r="J195">
        <v>0</v>
      </c>
      <c r="K195">
        <v>0</v>
      </c>
    </row>
    <row r="196" spans="1:11" x14ac:dyDescent="0.25">
      <c r="A196" t="s">
        <v>113</v>
      </c>
      <c r="B196">
        <v>0</v>
      </c>
      <c r="C196">
        <v>0</v>
      </c>
      <c r="D196">
        <v>0</v>
      </c>
      <c r="E196">
        <v>0</v>
      </c>
      <c r="F196">
        <v>0</v>
      </c>
      <c r="G196">
        <v>0</v>
      </c>
      <c r="H196">
        <v>0</v>
      </c>
      <c r="I196">
        <v>0</v>
      </c>
      <c r="J196">
        <v>0</v>
      </c>
      <c r="K196">
        <v>0</v>
      </c>
    </row>
    <row r="197" spans="1:11" x14ac:dyDescent="0.25">
      <c r="A197" t="s">
        <v>114</v>
      </c>
      <c r="B197">
        <v>0</v>
      </c>
      <c r="C197">
        <v>0</v>
      </c>
      <c r="D197">
        <v>0</v>
      </c>
      <c r="E197">
        <v>0</v>
      </c>
      <c r="F197">
        <v>0</v>
      </c>
      <c r="G197">
        <v>0</v>
      </c>
      <c r="H197">
        <v>0</v>
      </c>
      <c r="I197">
        <v>0</v>
      </c>
      <c r="J197">
        <v>0</v>
      </c>
      <c r="K197">
        <v>0</v>
      </c>
    </row>
    <row r="198" spans="1:11" x14ac:dyDescent="0.25">
      <c r="A198" t="s">
        <v>115</v>
      </c>
      <c r="B198">
        <v>0</v>
      </c>
      <c r="C198">
        <v>0</v>
      </c>
      <c r="D198">
        <v>0</v>
      </c>
      <c r="E198">
        <v>0</v>
      </c>
      <c r="F198">
        <v>0</v>
      </c>
      <c r="G198">
        <v>0</v>
      </c>
      <c r="H198">
        <v>0</v>
      </c>
      <c r="I198">
        <v>0</v>
      </c>
      <c r="J198">
        <v>0</v>
      </c>
      <c r="K198">
        <v>0</v>
      </c>
    </row>
    <row r="199" spans="1:11" x14ac:dyDescent="0.25">
      <c r="A199" t="s">
        <v>116</v>
      </c>
      <c r="B199">
        <v>0</v>
      </c>
      <c r="C199">
        <v>0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  <c r="J199">
        <v>0</v>
      </c>
      <c r="K199">
        <v>0</v>
      </c>
    </row>
    <row r="200" spans="1:11" x14ac:dyDescent="0.25">
      <c r="A200" t="s">
        <v>117</v>
      </c>
      <c r="B200">
        <v>0</v>
      </c>
      <c r="C200">
        <v>0</v>
      </c>
      <c r="D200">
        <v>0</v>
      </c>
      <c r="E200">
        <v>0</v>
      </c>
      <c r="F200">
        <v>0</v>
      </c>
      <c r="G200">
        <v>0</v>
      </c>
      <c r="H200">
        <v>0</v>
      </c>
      <c r="I200">
        <v>0</v>
      </c>
      <c r="J200">
        <v>0</v>
      </c>
      <c r="K200">
        <v>0</v>
      </c>
    </row>
    <row r="201" spans="1:11" x14ac:dyDescent="0.25">
      <c r="A201" t="s">
        <v>73</v>
      </c>
      <c r="B201">
        <v>2.56</v>
      </c>
      <c r="C201">
        <v>2.82</v>
      </c>
      <c r="D201">
        <v>3.12</v>
      </c>
      <c r="E201">
        <v>3.64</v>
      </c>
      <c r="F201">
        <v>3.91</v>
      </c>
      <c r="G201">
        <v>3.87</v>
      </c>
      <c r="H201">
        <v>4.75</v>
      </c>
      <c r="I201">
        <v>5.18</v>
      </c>
      <c r="J201">
        <v>5.96</v>
      </c>
      <c r="K201">
        <v>6.51</v>
      </c>
    </row>
    <row r="202" spans="1:11" x14ac:dyDescent="0.25">
      <c r="A202" t="s">
        <v>118</v>
      </c>
      <c r="B202">
        <v>0</v>
      </c>
      <c r="C202">
        <v>0</v>
      </c>
      <c r="D202">
        <v>0</v>
      </c>
      <c r="E202">
        <v>0</v>
      </c>
      <c r="F202">
        <v>0</v>
      </c>
      <c r="G202">
        <v>0</v>
      </c>
      <c r="H202">
        <v>0</v>
      </c>
      <c r="I202">
        <v>0</v>
      </c>
      <c r="J202">
        <v>0</v>
      </c>
      <c r="K202">
        <v>0</v>
      </c>
    </row>
    <row r="203" spans="1:11" x14ac:dyDescent="0.25">
      <c r="A203" t="s">
        <v>119</v>
      </c>
      <c r="B203">
        <v>0</v>
      </c>
      <c r="C203">
        <v>0</v>
      </c>
      <c r="D203">
        <v>0</v>
      </c>
      <c r="E203">
        <v>0</v>
      </c>
      <c r="F203">
        <v>0</v>
      </c>
      <c r="G203">
        <v>0</v>
      </c>
      <c r="H203">
        <v>0</v>
      </c>
      <c r="I203">
        <v>0</v>
      </c>
      <c r="J203">
        <v>0</v>
      </c>
      <c r="K203">
        <v>0</v>
      </c>
    </row>
    <row r="204" spans="1:11" x14ac:dyDescent="0.25">
      <c r="A204" t="s">
        <v>120</v>
      </c>
      <c r="B204">
        <v>0</v>
      </c>
      <c r="C204">
        <v>0</v>
      </c>
      <c r="D204">
        <v>0</v>
      </c>
      <c r="E204">
        <v>0</v>
      </c>
      <c r="F204">
        <v>0</v>
      </c>
      <c r="G204">
        <v>0</v>
      </c>
      <c r="H204">
        <v>0</v>
      </c>
      <c r="I204">
        <v>0</v>
      </c>
      <c r="J204">
        <v>0</v>
      </c>
      <c r="K204">
        <v>0</v>
      </c>
    </row>
    <row r="205" spans="1:11" x14ac:dyDescent="0.25">
      <c r="A205" t="s">
        <v>75</v>
      </c>
      <c r="B205">
        <v>4.87</v>
      </c>
      <c r="C205">
        <v>4.8499999999999996</v>
      </c>
      <c r="D205">
        <v>4.82</v>
      </c>
      <c r="E205">
        <v>4.8</v>
      </c>
      <c r="F205">
        <v>4.78</v>
      </c>
      <c r="G205">
        <v>4.75</v>
      </c>
      <c r="H205">
        <v>4.7300000000000004</v>
      </c>
      <c r="I205">
        <v>4.7</v>
      </c>
      <c r="J205">
        <v>4.68</v>
      </c>
      <c r="K205">
        <v>4.66</v>
      </c>
    </row>
    <row r="206" spans="1:11" x14ac:dyDescent="0.25">
      <c r="A206" t="s">
        <v>121</v>
      </c>
      <c r="B206">
        <v>0</v>
      </c>
      <c r="C206">
        <v>0</v>
      </c>
      <c r="D206">
        <v>0</v>
      </c>
      <c r="E206">
        <v>0</v>
      </c>
      <c r="F206">
        <v>0</v>
      </c>
      <c r="G206">
        <v>0</v>
      </c>
      <c r="H206">
        <v>0</v>
      </c>
      <c r="I206">
        <v>0</v>
      </c>
      <c r="J206">
        <v>0</v>
      </c>
      <c r="K206">
        <v>0</v>
      </c>
    </row>
    <row r="207" spans="1:11" x14ac:dyDescent="0.25">
      <c r="A207" t="s">
        <v>122</v>
      </c>
      <c r="B207">
        <v>0</v>
      </c>
      <c r="C207">
        <v>0</v>
      </c>
      <c r="D207">
        <v>0</v>
      </c>
      <c r="E207">
        <v>0</v>
      </c>
      <c r="F207">
        <v>0</v>
      </c>
      <c r="G207">
        <v>0</v>
      </c>
      <c r="H207">
        <v>0</v>
      </c>
      <c r="I207">
        <v>0</v>
      </c>
      <c r="J207">
        <v>0</v>
      </c>
      <c r="K207">
        <v>0</v>
      </c>
    </row>
    <row r="208" spans="1:11" x14ac:dyDescent="0.25">
      <c r="A208" t="s">
        <v>123</v>
      </c>
      <c r="B208">
        <v>0</v>
      </c>
      <c r="C208">
        <v>0</v>
      </c>
      <c r="D208">
        <v>0</v>
      </c>
      <c r="E208">
        <v>0</v>
      </c>
      <c r="F208">
        <v>0</v>
      </c>
      <c r="G208">
        <v>0</v>
      </c>
      <c r="H208">
        <v>0</v>
      </c>
      <c r="I208">
        <v>0</v>
      </c>
      <c r="J208">
        <v>0</v>
      </c>
      <c r="K208">
        <v>0</v>
      </c>
    </row>
    <row r="209" spans="1:11" x14ac:dyDescent="0.25">
      <c r="A209" t="s">
        <v>76</v>
      </c>
      <c r="B209">
        <v>2.0499999999999998</v>
      </c>
      <c r="C209">
        <v>2.08</v>
      </c>
      <c r="D209">
        <v>2.1</v>
      </c>
      <c r="E209">
        <v>2.13</v>
      </c>
      <c r="F209">
        <v>2.16</v>
      </c>
      <c r="G209">
        <v>2.19</v>
      </c>
      <c r="H209">
        <v>2.21</v>
      </c>
      <c r="I209">
        <v>2.2400000000000002</v>
      </c>
      <c r="J209">
        <v>2.27</v>
      </c>
      <c r="K209">
        <v>2.2999999999999998</v>
      </c>
    </row>
    <row r="210" spans="1:11" x14ac:dyDescent="0.25">
      <c r="A210" t="s">
        <v>77</v>
      </c>
      <c r="B210">
        <v>0</v>
      </c>
      <c r="C210">
        <v>0</v>
      </c>
      <c r="D210">
        <v>0</v>
      </c>
      <c r="E210">
        <v>0</v>
      </c>
      <c r="F210">
        <v>0</v>
      </c>
      <c r="G210">
        <v>0</v>
      </c>
      <c r="H210">
        <v>0</v>
      </c>
      <c r="I210">
        <v>0</v>
      </c>
      <c r="J210">
        <v>0</v>
      </c>
      <c r="K210">
        <v>0</v>
      </c>
    </row>
    <row r="211" spans="1:11" x14ac:dyDescent="0.25">
      <c r="A211" t="s">
        <v>124</v>
      </c>
      <c r="B211">
        <v>0</v>
      </c>
      <c r="C211">
        <v>0</v>
      </c>
      <c r="D211">
        <v>0</v>
      </c>
      <c r="E211">
        <v>0</v>
      </c>
      <c r="F211">
        <v>0</v>
      </c>
      <c r="G211">
        <v>0</v>
      </c>
      <c r="H211">
        <v>0</v>
      </c>
      <c r="I211">
        <v>0</v>
      </c>
      <c r="J211">
        <v>0</v>
      </c>
      <c r="K211">
        <v>0</v>
      </c>
    </row>
    <row r="212" spans="1:11" x14ac:dyDescent="0.25">
      <c r="A212" t="s">
        <v>125</v>
      </c>
      <c r="B212">
        <v>0</v>
      </c>
      <c r="C212">
        <v>0</v>
      </c>
      <c r="D212">
        <v>0</v>
      </c>
      <c r="E212">
        <v>0</v>
      </c>
      <c r="F212">
        <v>0</v>
      </c>
      <c r="G212">
        <v>0</v>
      </c>
      <c r="H212">
        <v>0</v>
      </c>
      <c r="I212">
        <v>0</v>
      </c>
      <c r="J212">
        <v>0</v>
      </c>
      <c r="K212">
        <v>0</v>
      </c>
    </row>
    <row r="213" spans="1:11" x14ac:dyDescent="0.25">
      <c r="A213" t="s">
        <v>79</v>
      </c>
      <c r="B213">
        <v>18.510000000000002</v>
      </c>
      <c r="C213">
        <v>18.38</v>
      </c>
      <c r="D213">
        <v>17.559999999999999</v>
      </c>
      <c r="E213">
        <v>17.2</v>
      </c>
      <c r="F213">
        <v>16.350000000000001</v>
      </c>
      <c r="G213">
        <v>17</v>
      </c>
      <c r="H213">
        <v>17.45</v>
      </c>
      <c r="I213">
        <v>17.36</v>
      </c>
      <c r="J213">
        <v>17.149999999999999</v>
      </c>
      <c r="K213">
        <v>16.920000000000002</v>
      </c>
    </row>
    <row r="214" spans="1:11" x14ac:dyDescent="0.25">
      <c r="A214" t="s">
        <v>126</v>
      </c>
      <c r="B214">
        <v>0</v>
      </c>
      <c r="C214">
        <v>0</v>
      </c>
      <c r="D214">
        <v>0</v>
      </c>
      <c r="E214">
        <v>0</v>
      </c>
      <c r="F214">
        <v>0</v>
      </c>
      <c r="G214">
        <v>0</v>
      </c>
      <c r="H214">
        <v>0</v>
      </c>
      <c r="I214">
        <v>0</v>
      </c>
      <c r="J214">
        <v>0</v>
      </c>
      <c r="K214">
        <v>0</v>
      </c>
    </row>
    <row r="215" spans="1:11" x14ac:dyDescent="0.25">
      <c r="A215" t="s">
        <v>127</v>
      </c>
      <c r="B215">
        <v>0</v>
      </c>
      <c r="C215">
        <v>0</v>
      </c>
      <c r="D215">
        <v>0</v>
      </c>
      <c r="E215">
        <v>0</v>
      </c>
      <c r="F215">
        <v>0</v>
      </c>
      <c r="G215">
        <v>0</v>
      </c>
      <c r="H215">
        <v>0</v>
      </c>
      <c r="I215">
        <v>0</v>
      </c>
      <c r="J215">
        <v>0</v>
      </c>
      <c r="K215">
        <v>0</v>
      </c>
    </row>
    <row r="216" spans="1:11" x14ac:dyDescent="0.25">
      <c r="A216" t="s">
        <v>107</v>
      </c>
      <c r="B216">
        <v>0</v>
      </c>
      <c r="C216">
        <v>0</v>
      </c>
      <c r="D216">
        <v>0</v>
      </c>
      <c r="E216">
        <v>0</v>
      </c>
      <c r="F216">
        <v>0</v>
      </c>
      <c r="G216">
        <v>0</v>
      </c>
      <c r="H216">
        <v>0</v>
      </c>
      <c r="I216">
        <v>0</v>
      </c>
      <c r="J216">
        <v>0</v>
      </c>
      <c r="K216">
        <v>0</v>
      </c>
    </row>
    <row r="217" spans="1:11" x14ac:dyDescent="0.25">
      <c r="A217" t="s">
        <v>128</v>
      </c>
      <c r="B217">
        <v>0</v>
      </c>
      <c r="C217">
        <v>0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  <c r="J217">
        <v>0</v>
      </c>
      <c r="K217">
        <v>0</v>
      </c>
    </row>
    <row r="218" spans="1:11" x14ac:dyDescent="0.25">
      <c r="A218" t="s">
        <v>129</v>
      </c>
      <c r="B218">
        <v>0</v>
      </c>
      <c r="C218">
        <v>0</v>
      </c>
      <c r="D218">
        <v>0</v>
      </c>
      <c r="E218">
        <v>0</v>
      </c>
      <c r="F218">
        <v>0</v>
      </c>
      <c r="G218">
        <v>0</v>
      </c>
      <c r="H218">
        <v>0</v>
      </c>
      <c r="I218">
        <v>0</v>
      </c>
      <c r="J218">
        <v>0</v>
      </c>
      <c r="K218">
        <v>0</v>
      </c>
    </row>
    <row r="219" spans="1:11" x14ac:dyDescent="0.25">
      <c r="A219" t="s">
        <v>81</v>
      </c>
      <c r="B219">
        <v>3.7</v>
      </c>
      <c r="C219">
        <v>4</v>
      </c>
      <c r="D219">
        <v>4.7300000000000004</v>
      </c>
      <c r="E219">
        <v>4.8</v>
      </c>
      <c r="F219">
        <v>5.18</v>
      </c>
      <c r="G219">
        <v>4.96</v>
      </c>
      <c r="H219">
        <v>4.4000000000000004</v>
      </c>
      <c r="I219">
        <v>3.95</v>
      </c>
      <c r="J219">
        <v>3.42</v>
      </c>
      <c r="K219">
        <v>4.26</v>
      </c>
    </row>
    <row r="220" spans="1:11" x14ac:dyDescent="0.25">
      <c r="A220" t="s">
        <v>83</v>
      </c>
      <c r="B220">
        <v>0.08</v>
      </c>
      <c r="C220">
        <v>0.08</v>
      </c>
      <c r="D220">
        <v>0.08</v>
      </c>
      <c r="E220">
        <v>0.08</v>
      </c>
      <c r="F220">
        <v>0.09</v>
      </c>
      <c r="G220">
        <v>0.09</v>
      </c>
      <c r="H220">
        <v>0.09</v>
      </c>
      <c r="I220">
        <v>0.09</v>
      </c>
      <c r="J220">
        <v>0.09</v>
      </c>
      <c r="K220">
        <v>0.09</v>
      </c>
    </row>
    <row r="221" spans="1:11" x14ac:dyDescent="0.25">
      <c r="A221" t="s">
        <v>130</v>
      </c>
      <c r="B221">
        <v>0</v>
      </c>
      <c r="C221">
        <v>0</v>
      </c>
      <c r="D221">
        <v>0</v>
      </c>
      <c r="E221">
        <v>0</v>
      </c>
      <c r="F221">
        <v>0</v>
      </c>
      <c r="G221">
        <v>0</v>
      </c>
      <c r="H221">
        <v>0</v>
      </c>
      <c r="I221">
        <v>0</v>
      </c>
      <c r="J221">
        <v>0</v>
      </c>
      <c r="K221">
        <v>0</v>
      </c>
    </row>
    <row r="225" spans="1:11" x14ac:dyDescent="0.25">
      <c r="A225" t="s">
        <v>28</v>
      </c>
      <c r="B225" t="s">
        <v>137</v>
      </c>
    </row>
    <row r="226" spans="1:11" x14ac:dyDescent="0.25">
      <c r="B226">
        <v>2012</v>
      </c>
      <c r="C226">
        <v>2013</v>
      </c>
      <c r="D226">
        <v>2014</v>
      </c>
      <c r="E226">
        <v>2015</v>
      </c>
      <c r="F226">
        <v>2016</v>
      </c>
      <c r="G226">
        <v>2017</v>
      </c>
      <c r="H226">
        <v>2018</v>
      </c>
      <c r="I226">
        <v>2019</v>
      </c>
      <c r="J226">
        <v>2020</v>
      </c>
      <c r="K226">
        <v>2021</v>
      </c>
    </row>
    <row r="227" spans="1:11" x14ac:dyDescent="0.25">
      <c r="A227" t="s">
        <v>112</v>
      </c>
      <c r="B227">
        <v>0</v>
      </c>
      <c r="C227">
        <v>0</v>
      </c>
      <c r="D227">
        <v>0</v>
      </c>
      <c r="E227">
        <v>0</v>
      </c>
      <c r="F227">
        <v>0</v>
      </c>
      <c r="G227">
        <v>0</v>
      </c>
      <c r="H227">
        <v>0</v>
      </c>
      <c r="I227">
        <v>0</v>
      </c>
      <c r="J227">
        <v>0</v>
      </c>
      <c r="K227">
        <v>0</v>
      </c>
    </row>
    <row r="228" spans="1:11" x14ac:dyDescent="0.25">
      <c r="A228" t="s">
        <v>113</v>
      </c>
      <c r="B228">
        <v>0</v>
      </c>
      <c r="C228">
        <v>0</v>
      </c>
      <c r="D228">
        <v>0</v>
      </c>
      <c r="E228">
        <v>0</v>
      </c>
      <c r="F228">
        <v>0</v>
      </c>
      <c r="G228">
        <v>0</v>
      </c>
      <c r="H228">
        <v>0</v>
      </c>
      <c r="I228">
        <v>0</v>
      </c>
      <c r="J228">
        <v>0</v>
      </c>
      <c r="K228">
        <v>0</v>
      </c>
    </row>
    <row r="229" spans="1:11" x14ac:dyDescent="0.25">
      <c r="A229" t="s">
        <v>114</v>
      </c>
      <c r="B229">
        <v>0</v>
      </c>
      <c r="C229">
        <v>0</v>
      </c>
      <c r="D229">
        <v>0</v>
      </c>
      <c r="E229">
        <v>0</v>
      </c>
      <c r="F229">
        <v>0</v>
      </c>
      <c r="G229">
        <v>0</v>
      </c>
      <c r="H229">
        <v>0</v>
      </c>
      <c r="I229">
        <v>0</v>
      </c>
      <c r="J229">
        <v>0</v>
      </c>
      <c r="K229">
        <v>0</v>
      </c>
    </row>
    <row r="230" spans="1:11" x14ac:dyDescent="0.25">
      <c r="A230" t="s">
        <v>115</v>
      </c>
      <c r="B230">
        <v>0</v>
      </c>
      <c r="C230">
        <v>0</v>
      </c>
      <c r="D230">
        <v>0</v>
      </c>
      <c r="E230">
        <v>0</v>
      </c>
      <c r="F230">
        <v>0</v>
      </c>
      <c r="G230">
        <v>0</v>
      </c>
      <c r="H230">
        <v>0</v>
      </c>
      <c r="I230">
        <v>0</v>
      </c>
      <c r="J230">
        <v>0</v>
      </c>
      <c r="K230">
        <v>0</v>
      </c>
    </row>
    <row r="231" spans="1:11" x14ac:dyDescent="0.25">
      <c r="A231" t="s">
        <v>116</v>
      </c>
      <c r="B231">
        <v>0</v>
      </c>
      <c r="C231">
        <v>0</v>
      </c>
      <c r="D231">
        <v>0</v>
      </c>
      <c r="E231">
        <v>0</v>
      </c>
      <c r="F231">
        <v>0</v>
      </c>
      <c r="G231">
        <v>0</v>
      </c>
      <c r="H231">
        <v>0</v>
      </c>
      <c r="I231">
        <v>0</v>
      </c>
      <c r="J231">
        <v>0</v>
      </c>
      <c r="K231">
        <v>0</v>
      </c>
    </row>
    <row r="232" spans="1:11" x14ac:dyDescent="0.25">
      <c r="A232" t="s">
        <v>117</v>
      </c>
      <c r="B232">
        <v>0</v>
      </c>
      <c r="C232">
        <v>0</v>
      </c>
      <c r="D232">
        <v>0</v>
      </c>
      <c r="E232">
        <v>0</v>
      </c>
      <c r="F232">
        <v>0</v>
      </c>
      <c r="G232">
        <v>0</v>
      </c>
      <c r="H232">
        <v>0</v>
      </c>
      <c r="I232">
        <v>0</v>
      </c>
      <c r="J232">
        <v>0</v>
      </c>
      <c r="K232">
        <v>0</v>
      </c>
    </row>
    <row r="233" spans="1:11" x14ac:dyDescent="0.25">
      <c r="A233" t="s">
        <v>73</v>
      </c>
      <c r="B233">
        <v>0</v>
      </c>
      <c r="C233">
        <v>0</v>
      </c>
      <c r="D233">
        <v>0</v>
      </c>
      <c r="E233">
        <v>0</v>
      </c>
      <c r="F233">
        <v>0</v>
      </c>
      <c r="G233">
        <v>0</v>
      </c>
      <c r="H233">
        <v>0</v>
      </c>
      <c r="I233">
        <v>0</v>
      </c>
      <c r="J233">
        <v>0</v>
      </c>
      <c r="K233">
        <v>0</v>
      </c>
    </row>
    <row r="234" spans="1:11" x14ac:dyDescent="0.25">
      <c r="A234" t="s">
        <v>118</v>
      </c>
      <c r="B234">
        <v>0</v>
      </c>
      <c r="C234">
        <v>0</v>
      </c>
      <c r="D234">
        <v>0</v>
      </c>
      <c r="E234">
        <v>0</v>
      </c>
      <c r="F234">
        <v>0</v>
      </c>
      <c r="G234">
        <v>0</v>
      </c>
      <c r="H234">
        <v>0</v>
      </c>
      <c r="I234">
        <v>0</v>
      </c>
      <c r="J234">
        <v>0</v>
      </c>
      <c r="K234">
        <v>0</v>
      </c>
    </row>
    <row r="235" spans="1:11" x14ac:dyDescent="0.25">
      <c r="A235" t="s">
        <v>119</v>
      </c>
      <c r="B235">
        <v>0</v>
      </c>
      <c r="C235">
        <v>0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  <c r="J235">
        <v>0</v>
      </c>
      <c r="K235">
        <v>0</v>
      </c>
    </row>
    <row r="236" spans="1:11" x14ac:dyDescent="0.25">
      <c r="A236" t="s">
        <v>120</v>
      </c>
      <c r="B236">
        <v>0</v>
      </c>
      <c r="C236">
        <v>0</v>
      </c>
      <c r="D236">
        <v>0</v>
      </c>
      <c r="E236">
        <v>0</v>
      </c>
      <c r="F236">
        <v>0</v>
      </c>
      <c r="G236">
        <v>0</v>
      </c>
      <c r="H236">
        <v>0</v>
      </c>
      <c r="I236">
        <v>0</v>
      </c>
      <c r="J236">
        <v>0</v>
      </c>
      <c r="K236">
        <v>0</v>
      </c>
    </row>
    <row r="237" spans="1:11" x14ac:dyDescent="0.25">
      <c r="A237" t="s">
        <v>75</v>
      </c>
      <c r="B237">
        <v>8.66</v>
      </c>
      <c r="C237">
        <v>8.61</v>
      </c>
      <c r="D237">
        <v>8.58</v>
      </c>
      <c r="E237">
        <v>8.5299999999999994</v>
      </c>
      <c r="F237">
        <v>8.49</v>
      </c>
      <c r="G237">
        <v>8.4499999999999993</v>
      </c>
      <c r="H237">
        <v>8.4</v>
      </c>
      <c r="I237">
        <v>8.3699999999999992</v>
      </c>
      <c r="J237">
        <v>8.32</v>
      </c>
      <c r="K237">
        <v>8.2899999999999991</v>
      </c>
    </row>
    <row r="238" spans="1:11" x14ac:dyDescent="0.25">
      <c r="A238" t="s">
        <v>121</v>
      </c>
      <c r="B238">
        <v>0</v>
      </c>
      <c r="C238">
        <v>0</v>
      </c>
      <c r="D238">
        <v>0</v>
      </c>
      <c r="E238">
        <v>0</v>
      </c>
      <c r="F238">
        <v>0</v>
      </c>
      <c r="G238">
        <v>0</v>
      </c>
      <c r="H238">
        <v>0</v>
      </c>
      <c r="I238">
        <v>0</v>
      </c>
      <c r="J238">
        <v>0</v>
      </c>
      <c r="K238">
        <v>0</v>
      </c>
    </row>
    <row r="239" spans="1:11" x14ac:dyDescent="0.25">
      <c r="A239" t="s">
        <v>122</v>
      </c>
      <c r="B239">
        <v>0</v>
      </c>
      <c r="C239">
        <v>0</v>
      </c>
      <c r="D239">
        <v>0</v>
      </c>
      <c r="E239">
        <v>0</v>
      </c>
      <c r="F239">
        <v>0</v>
      </c>
      <c r="G239">
        <v>0</v>
      </c>
      <c r="H239">
        <v>0</v>
      </c>
      <c r="I239">
        <v>0</v>
      </c>
      <c r="J239">
        <v>0</v>
      </c>
      <c r="K239">
        <v>0</v>
      </c>
    </row>
    <row r="240" spans="1:11" x14ac:dyDescent="0.25">
      <c r="A240" t="s">
        <v>123</v>
      </c>
      <c r="B240">
        <v>0</v>
      </c>
      <c r="C240">
        <v>0</v>
      </c>
      <c r="D240">
        <v>0</v>
      </c>
      <c r="E240">
        <v>0</v>
      </c>
      <c r="F240">
        <v>0</v>
      </c>
      <c r="G240">
        <v>0</v>
      </c>
      <c r="H240">
        <v>0</v>
      </c>
      <c r="I240">
        <v>0</v>
      </c>
      <c r="J240">
        <v>0</v>
      </c>
      <c r="K240">
        <v>0</v>
      </c>
    </row>
    <row r="241" spans="1:11" x14ac:dyDescent="0.25">
      <c r="A241" t="s">
        <v>76</v>
      </c>
      <c r="B241">
        <v>3.65</v>
      </c>
      <c r="C241">
        <v>3.69</v>
      </c>
      <c r="D241">
        <v>3.75</v>
      </c>
      <c r="E241">
        <v>3.79</v>
      </c>
      <c r="F241">
        <v>3.84</v>
      </c>
      <c r="G241">
        <v>3.88</v>
      </c>
      <c r="H241">
        <v>3.94</v>
      </c>
      <c r="I241">
        <v>3.98</v>
      </c>
      <c r="J241">
        <v>4.03</v>
      </c>
      <c r="K241">
        <v>4.08</v>
      </c>
    </row>
    <row r="242" spans="1:11" x14ac:dyDescent="0.25">
      <c r="A242" t="s">
        <v>77</v>
      </c>
      <c r="B242">
        <v>0</v>
      </c>
      <c r="C242">
        <v>0</v>
      </c>
      <c r="D242">
        <v>0</v>
      </c>
      <c r="E242">
        <v>0</v>
      </c>
      <c r="F242">
        <v>0</v>
      </c>
      <c r="G242">
        <v>0</v>
      </c>
      <c r="H242">
        <v>0</v>
      </c>
      <c r="I242">
        <v>0</v>
      </c>
      <c r="J242">
        <v>0</v>
      </c>
      <c r="K242">
        <v>0</v>
      </c>
    </row>
    <row r="243" spans="1:11" x14ac:dyDescent="0.25">
      <c r="A243" t="s">
        <v>124</v>
      </c>
      <c r="B243">
        <v>0</v>
      </c>
      <c r="C243">
        <v>0</v>
      </c>
      <c r="D243">
        <v>0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0</v>
      </c>
    </row>
    <row r="244" spans="1:11" x14ac:dyDescent="0.25">
      <c r="A244" t="s">
        <v>125</v>
      </c>
      <c r="B244">
        <v>0</v>
      </c>
      <c r="C244">
        <v>0</v>
      </c>
      <c r="D244">
        <v>0</v>
      </c>
      <c r="E244">
        <v>0</v>
      </c>
      <c r="F244">
        <v>0</v>
      </c>
      <c r="G244">
        <v>0</v>
      </c>
      <c r="H244">
        <v>0</v>
      </c>
      <c r="I244">
        <v>0</v>
      </c>
      <c r="J244">
        <v>0</v>
      </c>
      <c r="K244">
        <v>0</v>
      </c>
    </row>
    <row r="245" spans="1:11" x14ac:dyDescent="0.25">
      <c r="A245" t="s">
        <v>79</v>
      </c>
      <c r="B245">
        <v>40.68</v>
      </c>
      <c r="C245">
        <v>40.299999999999997</v>
      </c>
      <c r="D245">
        <v>38.369999999999997</v>
      </c>
      <c r="E245">
        <v>37.65</v>
      </c>
      <c r="F245">
        <v>35.9</v>
      </c>
      <c r="G245">
        <v>37.200000000000003</v>
      </c>
      <c r="H245">
        <v>38.340000000000003</v>
      </c>
      <c r="I245">
        <v>38.4</v>
      </c>
      <c r="J245">
        <v>38.28</v>
      </c>
      <c r="K245">
        <v>37.4</v>
      </c>
    </row>
    <row r="246" spans="1:11" x14ac:dyDescent="0.25">
      <c r="A246" t="s">
        <v>126</v>
      </c>
      <c r="B246">
        <v>0</v>
      </c>
      <c r="C246">
        <v>0</v>
      </c>
      <c r="D246">
        <v>0</v>
      </c>
      <c r="E246">
        <v>0</v>
      </c>
      <c r="F246">
        <v>0</v>
      </c>
      <c r="G246">
        <v>0</v>
      </c>
      <c r="H246">
        <v>0</v>
      </c>
      <c r="I246">
        <v>0</v>
      </c>
      <c r="J246">
        <v>0</v>
      </c>
      <c r="K246">
        <v>0</v>
      </c>
    </row>
    <row r="247" spans="1:11" x14ac:dyDescent="0.25">
      <c r="A247" t="s">
        <v>127</v>
      </c>
      <c r="B247">
        <v>0</v>
      </c>
      <c r="C247">
        <v>0</v>
      </c>
      <c r="D247">
        <v>0</v>
      </c>
      <c r="E247">
        <v>0</v>
      </c>
      <c r="F247">
        <v>0</v>
      </c>
      <c r="G247">
        <v>0</v>
      </c>
      <c r="H247">
        <v>0</v>
      </c>
      <c r="I247">
        <v>0</v>
      </c>
      <c r="J247">
        <v>0</v>
      </c>
      <c r="K247">
        <v>0</v>
      </c>
    </row>
    <row r="248" spans="1:11" x14ac:dyDescent="0.25">
      <c r="A248" t="s">
        <v>107</v>
      </c>
      <c r="B248">
        <v>0</v>
      </c>
      <c r="C248">
        <v>0</v>
      </c>
      <c r="D248">
        <v>0</v>
      </c>
      <c r="E248">
        <v>0</v>
      </c>
      <c r="F248">
        <v>0</v>
      </c>
      <c r="G248">
        <v>0</v>
      </c>
      <c r="H248">
        <v>0</v>
      </c>
      <c r="I248">
        <v>0</v>
      </c>
      <c r="J248">
        <v>0</v>
      </c>
      <c r="K248">
        <v>0</v>
      </c>
    </row>
    <row r="249" spans="1:11" x14ac:dyDescent="0.25">
      <c r="A249" t="s">
        <v>128</v>
      </c>
      <c r="B249">
        <v>0</v>
      </c>
      <c r="C249">
        <v>0</v>
      </c>
      <c r="D249">
        <v>0</v>
      </c>
      <c r="E249">
        <v>0</v>
      </c>
      <c r="F249">
        <v>0</v>
      </c>
      <c r="G249">
        <v>0</v>
      </c>
      <c r="H249">
        <v>0</v>
      </c>
      <c r="I249">
        <v>0</v>
      </c>
      <c r="J249">
        <v>0</v>
      </c>
      <c r="K249">
        <v>0</v>
      </c>
    </row>
    <row r="250" spans="1:11" x14ac:dyDescent="0.25">
      <c r="A250" t="s">
        <v>129</v>
      </c>
      <c r="B250">
        <v>0</v>
      </c>
      <c r="C250">
        <v>0</v>
      </c>
      <c r="D250">
        <v>0</v>
      </c>
      <c r="E250">
        <v>0</v>
      </c>
      <c r="F250">
        <v>0</v>
      </c>
      <c r="G250">
        <v>0</v>
      </c>
      <c r="H250">
        <v>0</v>
      </c>
      <c r="I250">
        <v>0</v>
      </c>
      <c r="J250">
        <v>0</v>
      </c>
      <c r="K250">
        <v>0</v>
      </c>
    </row>
    <row r="251" spans="1:11" x14ac:dyDescent="0.25">
      <c r="A251" t="s">
        <v>81</v>
      </c>
      <c r="B251">
        <v>6.59</v>
      </c>
      <c r="C251">
        <v>7.1</v>
      </c>
      <c r="D251">
        <v>8.4</v>
      </c>
      <c r="E251">
        <v>8.5399999999999991</v>
      </c>
      <c r="F251">
        <v>9.1999999999999993</v>
      </c>
      <c r="G251">
        <v>8.81</v>
      </c>
      <c r="H251">
        <v>7.82</v>
      </c>
      <c r="I251">
        <v>7.01</v>
      </c>
      <c r="J251">
        <v>6.08</v>
      </c>
      <c r="K251">
        <v>7.57</v>
      </c>
    </row>
    <row r="252" spans="1:11" x14ac:dyDescent="0.25">
      <c r="A252" t="s">
        <v>83</v>
      </c>
      <c r="B252">
        <v>0.71</v>
      </c>
      <c r="C252">
        <v>0.72</v>
      </c>
      <c r="D252">
        <v>0.74</v>
      </c>
      <c r="E252">
        <v>0.76</v>
      </c>
      <c r="F252">
        <v>0.78</v>
      </c>
      <c r="G252">
        <v>0.8</v>
      </c>
      <c r="H252">
        <v>0.77</v>
      </c>
      <c r="I252">
        <v>0.8</v>
      </c>
      <c r="J252">
        <v>0.77</v>
      </c>
      <c r="K252">
        <v>0.84</v>
      </c>
    </row>
    <row r="253" spans="1:11" x14ac:dyDescent="0.25">
      <c r="A253" t="s">
        <v>130</v>
      </c>
      <c r="B253">
        <v>0</v>
      </c>
      <c r="C253">
        <v>0</v>
      </c>
      <c r="D253">
        <v>0</v>
      </c>
      <c r="E253">
        <v>0</v>
      </c>
      <c r="F253">
        <v>0</v>
      </c>
      <c r="G253">
        <v>0</v>
      </c>
      <c r="H253">
        <v>0</v>
      </c>
      <c r="I253">
        <v>0</v>
      </c>
      <c r="J253">
        <v>0</v>
      </c>
      <c r="K253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56F4BC-C302-4D09-A7CC-6B08ED05ECA3}">
  <dimension ref="A1:K317"/>
  <sheetViews>
    <sheetView topLeftCell="A29" workbookViewId="0">
      <selection activeCell="A321" sqref="A321:K381"/>
    </sheetView>
  </sheetViews>
  <sheetFormatPr baseColWidth="10" defaultColWidth="11.42578125" defaultRowHeight="15" x14ac:dyDescent="0.25"/>
  <sheetData>
    <row r="1" spans="1:11" x14ac:dyDescent="0.25">
      <c r="A1" t="s">
        <v>13</v>
      </c>
      <c r="B1" t="s">
        <v>138</v>
      </c>
    </row>
    <row r="2" spans="1:11" x14ac:dyDescent="0.25">
      <c r="B2">
        <v>2012</v>
      </c>
      <c r="C2">
        <v>2013</v>
      </c>
      <c r="D2">
        <v>2014</v>
      </c>
      <c r="E2">
        <v>2015</v>
      </c>
      <c r="F2">
        <v>2016</v>
      </c>
      <c r="G2">
        <v>2017</v>
      </c>
      <c r="H2">
        <v>2018</v>
      </c>
      <c r="I2">
        <v>2019</v>
      </c>
      <c r="J2">
        <v>2020</v>
      </c>
      <c r="K2">
        <v>2021</v>
      </c>
    </row>
    <row r="3" spans="1:11" x14ac:dyDescent="0.25">
      <c r="A3" t="s">
        <v>112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</row>
    <row r="4" spans="1:11" x14ac:dyDescent="0.25">
      <c r="A4" t="s">
        <v>113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</row>
    <row r="5" spans="1:11" x14ac:dyDescent="0.25">
      <c r="A5" t="s">
        <v>114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</row>
    <row r="6" spans="1:11" x14ac:dyDescent="0.25">
      <c r="A6" t="s">
        <v>115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</row>
    <row r="7" spans="1:11" x14ac:dyDescent="0.25">
      <c r="A7" t="s">
        <v>116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</row>
    <row r="8" spans="1:11" x14ac:dyDescent="0.25">
      <c r="A8" t="s">
        <v>117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</row>
    <row r="9" spans="1:11" x14ac:dyDescent="0.25">
      <c r="A9" t="s">
        <v>73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</row>
    <row r="10" spans="1:11" x14ac:dyDescent="0.25">
      <c r="A10" t="s">
        <v>118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</row>
    <row r="11" spans="1:11" x14ac:dyDescent="0.25">
      <c r="A11" t="s">
        <v>119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</row>
    <row r="12" spans="1:11" x14ac:dyDescent="0.25">
      <c r="A12" t="s">
        <v>120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</row>
    <row r="13" spans="1:11" x14ac:dyDescent="0.25">
      <c r="A13" t="s">
        <v>75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</row>
    <row r="14" spans="1:11" x14ac:dyDescent="0.25">
      <c r="A14" t="s">
        <v>121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</row>
    <row r="15" spans="1:11" x14ac:dyDescent="0.25">
      <c r="A15" t="s">
        <v>122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</row>
    <row r="16" spans="1:11" x14ac:dyDescent="0.25">
      <c r="A16" t="s">
        <v>123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</row>
    <row r="17" spans="1:11" x14ac:dyDescent="0.25">
      <c r="A17" t="s">
        <v>76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</row>
    <row r="18" spans="1:11" x14ac:dyDescent="0.25">
      <c r="A18" t="s">
        <v>77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</row>
    <row r="19" spans="1:11" x14ac:dyDescent="0.25">
      <c r="A19" t="s">
        <v>124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</row>
    <row r="20" spans="1:11" x14ac:dyDescent="0.25">
      <c r="A20" t="s">
        <v>125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</row>
    <row r="21" spans="1:11" x14ac:dyDescent="0.25">
      <c r="A21" t="s">
        <v>79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</row>
    <row r="22" spans="1:11" x14ac:dyDescent="0.25">
      <c r="A22" t="s">
        <v>126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</row>
    <row r="23" spans="1:11" x14ac:dyDescent="0.25">
      <c r="A23" t="s">
        <v>127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</row>
    <row r="24" spans="1:11" x14ac:dyDescent="0.25">
      <c r="A24" t="s">
        <v>107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</row>
    <row r="25" spans="1:11" x14ac:dyDescent="0.25">
      <c r="A25" t="s">
        <v>128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</row>
    <row r="26" spans="1:11" x14ac:dyDescent="0.25">
      <c r="A26" t="s">
        <v>129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</row>
    <row r="27" spans="1:11" x14ac:dyDescent="0.25">
      <c r="A27" t="s">
        <v>81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</row>
    <row r="28" spans="1:11" x14ac:dyDescent="0.25">
      <c r="A28" t="s">
        <v>83</v>
      </c>
      <c r="B28">
        <v>16.34</v>
      </c>
      <c r="C28">
        <v>16.440000000000001</v>
      </c>
      <c r="D28">
        <v>16.91</v>
      </c>
      <c r="E28">
        <v>17.329999999999998</v>
      </c>
      <c r="F28">
        <v>18.07</v>
      </c>
      <c r="G28">
        <v>18.309999999999999</v>
      </c>
      <c r="H28">
        <v>19.190000000000001</v>
      </c>
      <c r="I28">
        <v>20.63</v>
      </c>
      <c r="J28">
        <v>21.87</v>
      </c>
      <c r="K28">
        <v>21.5</v>
      </c>
    </row>
    <row r="29" spans="1:11" x14ac:dyDescent="0.25">
      <c r="A29" t="s">
        <v>130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</row>
    <row r="33" spans="1:11" x14ac:dyDescent="0.25">
      <c r="A33" t="s">
        <v>16</v>
      </c>
      <c r="B33" t="s">
        <v>139</v>
      </c>
    </row>
    <row r="34" spans="1:11" x14ac:dyDescent="0.25">
      <c r="B34">
        <v>2012</v>
      </c>
      <c r="C34">
        <v>2013</v>
      </c>
      <c r="D34">
        <v>2014</v>
      </c>
      <c r="E34">
        <v>2015</v>
      </c>
      <c r="F34">
        <v>2016</v>
      </c>
      <c r="G34">
        <v>2017</v>
      </c>
      <c r="H34">
        <v>2018</v>
      </c>
      <c r="I34">
        <v>2019</v>
      </c>
      <c r="J34">
        <v>2020</v>
      </c>
      <c r="K34">
        <v>2021</v>
      </c>
    </row>
    <row r="35" spans="1:11" x14ac:dyDescent="0.25">
      <c r="A35" t="s">
        <v>112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</row>
    <row r="36" spans="1:11" x14ac:dyDescent="0.25">
      <c r="A36" t="s">
        <v>113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</row>
    <row r="37" spans="1:11" x14ac:dyDescent="0.25">
      <c r="A37" t="s">
        <v>114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</row>
    <row r="38" spans="1:11" x14ac:dyDescent="0.25">
      <c r="A38" t="s">
        <v>115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</row>
    <row r="39" spans="1:11" x14ac:dyDescent="0.25">
      <c r="A39" t="s">
        <v>116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</row>
    <row r="40" spans="1:11" x14ac:dyDescent="0.25">
      <c r="A40" t="s">
        <v>117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</row>
    <row r="41" spans="1:11" x14ac:dyDescent="0.25">
      <c r="A41" t="s">
        <v>73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</row>
    <row r="42" spans="1:11" x14ac:dyDescent="0.25">
      <c r="A42" t="s">
        <v>118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</row>
    <row r="43" spans="1:11" x14ac:dyDescent="0.25">
      <c r="A43" t="s">
        <v>119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</row>
    <row r="44" spans="1:11" x14ac:dyDescent="0.25">
      <c r="A44" t="s">
        <v>120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</row>
    <row r="45" spans="1:11" x14ac:dyDescent="0.25">
      <c r="A45" t="s">
        <v>75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</row>
    <row r="46" spans="1:11" x14ac:dyDescent="0.25">
      <c r="A46" t="s">
        <v>121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</row>
    <row r="47" spans="1:11" x14ac:dyDescent="0.25">
      <c r="A47" t="s">
        <v>122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</row>
    <row r="48" spans="1:11" x14ac:dyDescent="0.25">
      <c r="A48" t="s">
        <v>123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</row>
    <row r="49" spans="1:11" x14ac:dyDescent="0.25">
      <c r="A49" t="s">
        <v>76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</row>
    <row r="50" spans="1:11" x14ac:dyDescent="0.25">
      <c r="A50" t="s">
        <v>77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</row>
    <row r="51" spans="1:11" x14ac:dyDescent="0.25">
      <c r="A51" t="s">
        <v>124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</row>
    <row r="52" spans="1:11" x14ac:dyDescent="0.25">
      <c r="A52" t="s">
        <v>125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</row>
    <row r="53" spans="1:11" x14ac:dyDescent="0.25">
      <c r="A53" t="s">
        <v>79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</row>
    <row r="54" spans="1:11" x14ac:dyDescent="0.25">
      <c r="A54" t="s">
        <v>126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</row>
    <row r="55" spans="1:11" x14ac:dyDescent="0.25">
      <c r="A55" t="s">
        <v>127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</row>
    <row r="56" spans="1:11" x14ac:dyDescent="0.25">
      <c r="A56" t="s">
        <v>107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</row>
    <row r="57" spans="1:11" x14ac:dyDescent="0.25">
      <c r="A57" t="s">
        <v>128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</row>
    <row r="58" spans="1:11" x14ac:dyDescent="0.25">
      <c r="A58" t="s">
        <v>129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</row>
    <row r="59" spans="1:11" x14ac:dyDescent="0.25">
      <c r="A59" t="s">
        <v>81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</row>
    <row r="60" spans="1:11" x14ac:dyDescent="0.25">
      <c r="A60" t="s">
        <v>83</v>
      </c>
      <c r="B60">
        <v>40.28</v>
      </c>
      <c r="C60">
        <v>40.520000000000003</v>
      </c>
      <c r="D60">
        <v>41.68</v>
      </c>
      <c r="E60">
        <v>42.73</v>
      </c>
      <c r="F60">
        <v>44.55</v>
      </c>
      <c r="G60">
        <v>45.15</v>
      </c>
      <c r="H60">
        <v>47.31</v>
      </c>
      <c r="I60">
        <v>50.86</v>
      </c>
      <c r="J60">
        <v>53.92</v>
      </c>
      <c r="K60">
        <v>53</v>
      </c>
    </row>
    <row r="61" spans="1:11" x14ac:dyDescent="0.25">
      <c r="A61" t="s">
        <v>130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</row>
    <row r="65" spans="1:11" x14ac:dyDescent="0.25">
      <c r="A65" t="s">
        <v>19</v>
      </c>
      <c r="B65" t="s">
        <v>140</v>
      </c>
    </row>
    <row r="66" spans="1:11" x14ac:dyDescent="0.25">
      <c r="B66">
        <v>2012</v>
      </c>
      <c r="C66">
        <v>2013</v>
      </c>
      <c r="D66">
        <v>2014</v>
      </c>
      <c r="E66">
        <v>2015</v>
      </c>
      <c r="F66">
        <v>2016</v>
      </c>
      <c r="G66">
        <v>2017</v>
      </c>
      <c r="H66">
        <v>2018</v>
      </c>
      <c r="I66">
        <v>2019</v>
      </c>
      <c r="J66">
        <v>2020</v>
      </c>
      <c r="K66">
        <v>2021</v>
      </c>
    </row>
    <row r="67" spans="1:11" x14ac:dyDescent="0.25">
      <c r="A67" t="s">
        <v>112</v>
      </c>
      <c r="B67">
        <v>0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</row>
    <row r="68" spans="1:11" x14ac:dyDescent="0.25">
      <c r="A68" t="s">
        <v>113</v>
      </c>
      <c r="B68">
        <v>0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</row>
    <row r="69" spans="1:11" x14ac:dyDescent="0.25">
      <c r="A69" t="s">
        <v>114</v>
      </c>
      <c r="B69">
        <v>0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</row>
    <row r="70" spans="1:11" x14ac:dyDescent="0.25">
      <c r="A70" t="s">
        <v>115</v>
      </c>
      <c r="B70">
        <v>0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</row>
    <row r="71" spans="1:11" x14ac:dyDescent="0.25">
      <c r="A71" t="s">
        <v>116</v>
      </c>
      <c r="B71">
        <v>0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</row>
    <row r="72" spans="1:11" x14ac:dyDescent="0.25">
      <c r="A72" t="s">
        <v>117</v>
      </c>
      <c r="B72">
        <v>0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</row>
    <row r="73" spans="1:11" x14ac:dyDescent="0.25">
      <c r="A73" t="s">
        <v>73</v>
      </c>
      <c r="B73">
        <v>0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</row>
    <row r="74" spans="1:11" x14ac:dyDescent="0.25">
      <c r="A74" t="s">
        <v>118</v>
      </c>
      <c r="B74">
        <v>0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</row>
    <row r="75" spans="1:11" x14ac:dyDescent="0.25">
      <c r="A75" t="s">
        <v>119</v>
      </c>
      <c r="B75">
        <v>0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</row>
    <row r="76" spans="1:11" x14ac:dyDescent="0.25">
      <c r="A76" t="s">
        <v>120</v>
      </c>
      <c r="B76">
        <v>0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</row>
    <row r="77" spans="1:11" x14ac:dyDescent="0.25">
      <c r="A77" t="s">
        <v>75</v>
      </c>
      <c r="B77">
        <v>0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</row>
    <row r="78" spans="1:11" x14ac:dyDescent="0.25">
      <c r="A78" t="s">
        <v>121</v>
      </c>
      <c r="B78">
        <v>0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</row>
    <row r="79" spans="1:11" x14ac:dyDescent="0.25">
      <c r="A79" t="s">
        <v>122</v>
      </c>
      <c r="B79">
        <v>0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</row>
    <row r="80" spans="1:11" x14ac:dyDescent="0.25">
      <c r="A80" t="s">
        <v>123</v>
      </c>
      <c r="B80">
        <v>0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</row>
    <row r="81" spans="1:11" x14ac:dyDescent="0.25">
      <c r="A81" t="s">
        <v>76</v>
      </c>
      <c r="B81">
        <v>0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</row>
    <row r="82" spans="1:11" x14ac:dyDescent="0.25">
      <c r="A82" t="s">
        <v>77</v>
      </c>
      <c r="B82">
        <v>0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</row>
    <row r="83" spans="1:11" x14ac:dyDescent="0.25">
      <c r="A83" t="s">
        <v>124</v>
      </c>
      <c r="B83">
        <v>0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</row>
    <row r="84" spans="1:11" x14ac:dyDescent="0.25">
      <c r="A84" t="s">
        <v>125</v>
      </c>
      <c r="B84">
        <v>0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</row>
    <row r="85" spans="1:11" x14ac:dyDescent="0.25">
      <c r="A85" t="s">
        <v>79</v>
      </c>
      <c r="B85">
        <v>0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</row>
    <row r="86" spans="1:11" x14ac:dyDescent="0.25">
      <c r="A86" t="s">
        <v>126</v>
      </c>
      <c r="B86">
        <v>0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</row>
    <row r="87" spans="1:11" x14ac:dyDescent="0.25">
      <c r="A87" t="s">
        <v>127</v>
      </c>
      <c r="B87">
        <v>0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</row>
    <row r="88" spans="1:11" x14ac:dyDescent="0.25">
      <c r="A88" t="s">
        <v>107</v>
      </c>
      <c r="B88">
        <v>0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</row>
    <row r="89" spans="1:11" x14ac:dyDescent="0.25">
      <c r="A89" t="s">
        <v>128</v>
      </c>
      <c r="B89">
        <v>0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</row>
    <row r="90" spans="1:11" x14ac:dyDescent="0.25">
      <c r="A90" t="s">
        <v>129</v>
      </c>
      <c r="B90">
        <v>0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</row>
    <row r="91" spans="1:11" x14ac:dyDescent="0.25">
      <c r="A91" t="s">
        <v>81</v>
      </c>
      <c r="B91">
        <v>0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</row>
    <row r="92" spans="1:11" x14ac:dyDescent="0.25">
      <c r="A92" t="s">
        <v>83</v>
      </c>
      <c r="B92">
        <v>40.28</v>
      </c>
      <c r="C92">
        <v>40.520000000000003</v>
      </c>
      <c r="D92">
        <v>41.68</v>
      </c>
      <c r="E92">
        <v>42.73</v>
      </c>
      <c r="F92">
        <v>44.55</v>
      </c>
      <c r="G92">
        <v>45.15</v>
      </c>
      <c r="H92">
        <v>47.31</v>
      </c>
      <c r="I92">
        <v>50.86</v>
      </c>
      <c r="J92">
        <v>53.92</v>
      </c>
      <c r="K92">
        <v>53</v>
      </c>
    </row>
    <row r="93" spans="1:11" x14ac:dyDescent="0.25">
      <c r="A93" t="s">
        <v>130</v>
      </c>
      <c r="B93">
        <v>0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</row>
    <row r="97" spans="1:11" x14ac:dyDescent="0.25">
      <c r="A97" t="s">
        <v>21</v>
      </c>
      <c r="B97" t="s">
        <v>141</v>
      </c>
    </row>
    <row r="98" spans="1:11" x14ac:dyDescent="0.25">
      <c r="B98">
        <v>2012</v>
      </c>
      <c r="C98">
        <v>2013</v>
      </c>
      <c r="D98">
        <v>2014</v>
      </c>
      <c r="E98">
        <v>2015</v>
      </c>
      <c r="F98">
        <v>2016</v>
      </c>
      <c r="G98">
        <v>2017</v>
      </c>
      <c r="H98">
        <v>2018</v>
      </c>
      <c r="I98">
        <v>2019</v>
      </c>
      <c r="J98">
        <v>2020</v>
      </c>
      <c r="K98">
        <v>2021</v>
      </c>
    </row>
    <row r="99" spans="1:11" x14ac:dyDescent="0.25">
      <c r="A99" t="s">
        <v>112</v>
      </c>
      <c r="B99">
        <v>0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</row>
    <row r="100" spans="1:11" x14ac:dyDescent="0.25">
      <c r="A100" t="s">
        <v>113</v>
      </c>
      <c r="B100">
        <v>0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</row>
    <row r="101" spans="1:11" x14ac:dyDescent="0.25">
      <c r="A101" t="s">
        <v>114</v>
      </c>
      <c r="B101">
        <v>0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</row>
    <row r="102" spans="1:11" x14ac:dyDescent="0.25">
      <c r="A102" t="s">
        <v>115</v>
      </c>
      <c r="B102">
        <v>0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</row>
    <row r="103" spans="1:11" x14ac:dyDescent="0.25">
      <c r="A103" t="s">
        <v>116</v>
      </c>
      <c r="B103">
        <v>0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</row>
    <row r="104" spans="1:11" x14ac:dyDescent="0.25">
      <c r="A104" t="s">
        <v>117</v>
      </c>
      <c r="B104">
        <v>0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</row>
    <row r="105" spans="1:11" x14ac:dyDescent="0.25">
      <c r="A105" t="s">
        <v>73</v>
      </c>
      <c r="B105">
        <v>3.53</v>
      </c>
      <c r="C105">
        <v>4.04</v>
      </c>
      <c r="D105">
        <v>4.53</v>
      </c>
      <c r="E105">
        <v>5.29</v>
      </c>
      <c r="F105">
        <v>6.1</v>
      </c>
      <c r="G105">
        <v>6.42</v>
      </c>
      <c r="H105">
        <v>7.11</v>
      </c>
      <c r="I105">
        <v>7.89</v>
      </c>
      <c r="J105">
        <v>9.01</v>
      </c>
      <c r="K105">
        <v>10.69</v>
      </c>
    </row>
    <row r="106" spans="1:11" x14ac:dyDescent="0.25">
      <c r="A106" t="s">
        <v>118</v>
      </c>
      <c r="B106">
        <v>0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</row>
    <row r="107" spans="1:11" x14ac:dyDescent="0.25">
      <c r="A107" t="s">
        <v>119</v>
      </c>
      <c r="B107">
        <v>0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</row>
    <row r="108" spans="1:11" x14ac:dyDescent="0.25">
      <c r="A108" t="s">
        <v>120</v>
      </c>
      <c r="B108">
        <v>0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</row>
    <row r="109" spans="1:11" x14ac:dyDescent="0.25">
      <c r="A109" t="s">
        <v>75</v>
      </c>
      <c r="B109">
        <v>83.37</v>
      </c>
      <c r="C109">
        <v>82.96</v>
      </c>
      <c r="D109">
        <v>82.55</v>
      </c>
      <c r="E109">
        <v>82.14</v>
      </c>
      <c r="F109">
        <v>81.73</v>
      </c>
      <c r="G109">
        <v>81.319999999999993</v>
      </c>
      <c r="H109">
        <v>80.92</v>
      </c>
      <c r="I109">
        <v>80.510000000000005</v>
      </c>
      <c r="J109">
        <v>80.099999999999994</v>
      </c>
      <c r="K109">
        <v>79.77</v>
      </c>
    </row>
    <row r="110" spans="1:11" x14ac:dyDescent="0.25">
      <c r="A110" t="s">
        <v>121</v>
      </c>
      <c r="B110">
        <v>0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</row>
    <row r="111" spans="1:11" x14ac:dyDescent="0.25">
      <c r="A111" t="s">
        <v>122</v>
      </c>
      <c r="B111">
        <v>0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</row>
    <row r="112" spans="1:11" x14ac:dyDescent="0.25">
      <c r="A112" t="s">
        <v>123</v>
      </c>
      <c r="B112">
        <v>0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</row>
    <row r="113" spans="1:11" x14ac:dyDescent="0.25">
      <c r="A113" t="s">
        <v>76</v>
      </c>
      <c r="B113">
        <v>17.61</v>
      </c>
      <c r="C113">
        <v>17.79</v>
      </c>
      <c r="D113">
        <v>17.97</v>
      </c>
      <c r="E113">
        <v>18.16</v>
      </c>
      <c r="F113">
        <v>18.34</v>
      </c>
      <c r="G113">
        <v>18.52</v>
      </c>
      <c r="H113">
        <v>18.71</v>
      </c>
      <c r="I113">
        <v>18.89</v>
      </c>
      <c r="J113">
        <v>19.079999999999998</v>
      </c>
      <c r="K113">
        <v>19.260000000000002</v>
      </c>
    </row>
    <row r="114" spans="1:11" x14ac:dyDescent="0.25">
      <c r="A114" t="s">
        <v>77</v>
      </c>
      <c r="B114">
        <v>5.15</v>
      </c>
      <c r="C114">
        <v>5.13</v>
      </c>
      <c r="D114">
        <v>5.0999999999999996</v>
      </c>
      <c r="E114">
        <v>5.08</v>
      </c>
      <c r="F114">
        <v>5.05</v>
      </c>
      <c r="G114">
        <v>5.03</v>
      </c>
      <c r="H114">
        <v>5</v>
      </c>
      <c r="I114">
        <v>4.9800000000000004</v>
      </c>
      <c r="J114">
        <v>4.95</v>
      </c>
      <c r="K114">
        <v>4.93</v>
      </c>
    </row>
    <row r="115" spans="1:11" x14ac:dyDescent="0.25">
      <c r="A115" t="s">
        <v>124</v>
      </c>
      <c r="B115">
        <v>0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</row>
    <row r="116" spans="1:11" x14ac:dyDescent="0.25">
      <c r="A116" t="s">
        <v>125</v>
      </c>
      <c r="B116">
        <v>0</v>
      </c>
      <c r="C116">
        <v>0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</row>
    <row r="117" spans="1:11" x14ac:dyDescent="0.25">
      <c r="A117" t="s">
        <v>79</v>
      </c>
      <c r="B117">
        <v>68.59</v>
      </c>
      <c r="C117">
        <v>64.239999999999995</v>
      </c>
      <c r="D117">
        <v>64.28</v>
      </c>
      <c r="E117">
        <v>60.32</v>
      </c>
      <c r="F117">
        <v>61.5</v>
      </c>
      <c r="G117">
        <v>61.18</v>
      </c>
      <c r="H117">
        <v>61.59</v>
      </c>
      <c r="I117">
        <v>61.68</v>
      </c>
      <c r="J117">
        <v>60.04</v>
      </c>
      <c r="K117">
        <v>59.78</v>
      </c>
    </row>
    <row r="118" spans="1:11" x14ac:dyDescent="0.25">
      <c r="A118" t="s">
        <v>126</v>
      </c>
      <c r="B118">
        <v>0</v>
      </c>
      <c r="C118">
        <v>0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</row>
    <row r="119" spans="1:11" x14ac:dyDescent="0.25">
      <c r="A119" t="s">
        <v>127</v>
      </c>
      <c r="B119">
        <v>0</v>
      </c>
      <c r="C119">
        <v>0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</row>
    <row r="120" spans="1:11" x14ac:dyDescent="0.25">
      <c r="A120" t="s">
        <v>107</v>
      </c>
      <c r="B120">
        <v>0</v>
      </c>
      <c r="C120">
        <v>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</row>
    <row r="121" spans="1:11" x14ac:dyDescent="0.25">
      <c r="A121" t="s">
        <v>128</v>
      </c>
      <c r="B121">
        <v>0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0</v>
      </c>
    </row>
    <row r="122" spans="1:11" x14ac:dyDescent="0.25">
      <c r="A122" t="s">
        <v>129</v>
      </c>
      <c r="B122">
        <v>0</v>
      </c>
      <c r="C122">
        <v>0</v>
      </c>
      <c r="D122">
        <v>0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0</v>
      </c>
      <c r="K122">
        <v>0</v>
      </c>
    </row>
    <row r="123" spans="1:11" x14ac:dyDescent="0.25">
      <c r="A123" t="s">
        <v>81</v>
      </c>
      <c r="B123">
        <v>8.02</v>
      </c>
      <c r="C123">
        <v>8.4499999999999993</v>
      </c>
      <c r="D123">
        <v>9.9700000000000006</v>
      </c>
      <c r="E123">
        <v>9.36</v>
      </c>
      <c r="F123">
        <v>9.36</v>
      </c>
      <c r="G123">
        <v>8.8699999999999992</v>
      </c>
      <c r="H123">
        <v>7.54</v>
      </c>
      <c r="I123">
        <v>7.49</v>
      </c>
      <c r="J123">
        <v>6.49</v>
      </c>
      <c r="K123">
        <v>6.92</v>
      </c>
    </row>
    <row r="124" spans="1:11" x14ac:dyDescent="0.25">
      <c r="A124" t="s">
        <v>83</v>
      </c>
      <c r="B124">
        <v>0</v>
      </c>
      <c r="C124">
        <v>0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0</v>
      </c>
      <c r="K124">
        <v>0</v>
      </c>
    </row>
    <row r="125" spans="1:11" x14ac:dyDescent="0.25">
      <c r="A125" t="s">
        <v>130</v>
      </c>
      <c r="B125">
        <v>0</v>
      </c>
      <c r="C125">
        <v>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</row>
    <row r="129" spans="1:11" x14ac:dyDescent="0.25">
      <c r="A129" t="s">
        <v>23</v>
      </c>
      <c r="B129" t="s">
        <v>142</v>
      </c>
    </row>
    <row r="130" spans="1:11" x14ac:dyDescent="0.25">
      <c r="B130">
        <v>2012</v>
      </c>
      <c r="C130">
        <v>2013</v>
      </c>
      <c r="D130">
        <v>2014</v>
      </c>
      <c r="E130">
        <v>2015</v>
      </c>
      <c r="F130">
        <v>2016</v>
      </c>
      <c r="G130">
        <v>2017</v>
      </c>
      <c r="H130">
        <v>2018</v>
      </c>
      <c r="I130">
        <v>2019</v>
      </c>
      <c r="J130">
        <v>2020</v>
      </c>
      <c r="K130">
        <v>2021</v>
      </c>
    </row>
    <row r="131" spans="1:11" x14ac:dyDescent="0.25">
      <c r="A131" t="s">
        <v>112</v>
      </c>
      <c r="B131">
        <v>0</v>
      </c>
      <c r="C131">
        <v>0</v>
      </c>
      <c r="D131">
        <v>0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0</v>
      </c>
    </row>
    <row r="132" spans="1:11" x14ac:dyDescent="0.25">
      <c r="A132" t="s">
        <v>113</v>
      </c>
      <c r="B132">
        <v>0</v>
      </c>
      <c r="C132">
        <v>0</v>
      </c>
      <c r="D132">
        <v>0</v>
      </c>
      <c r="E132">
        <v>0</v>
      </c>
      <c r="F132">
        <v>0</v>
      </c>
      <c r="G132">
        <v>0</v>
      </c>
      <c r="H132">
        <v>0</v>
      </c>
      <c r="I132">
        <v>0</v>
      </c>
      <c r="J132">
        <v>0</v>
      </c>
      <c r="K132">
        <v>0</v>
      </c>
    </row>
    <row r="133" spans="1:11" x14ac:dyDescent="0.25">
      <c r="A133" t="s">
        <v>114</v>
      </c>
      <c r="B133">
        <v>0</v>
      </c>
      <c r="C133">
        <v>0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</row>
    <row r="134" spans="1:11" x14ac:dyDescent="0.25">
      <c r="A134" t="s">
        <v>115</v>
      </c>
      <c r="B134">
        <v>0</v>
      </c>
      <c r="C134">
        <v>0</v>
      </c>
      <c r="D134">
        <v>0</v>
      </c>
      <c r="E134">
        <v>0</v>
      </c>
      <c r="F134">
        <v>0</v>
      </c>
      <c r="G134">
        <v>0</v>
      </c>
      <c r="H134">
        <v>0</v>
      </c>
      <c r="I134">
        <v>0</v>
      </c>
      <c r="J134">
        <v>0</v>
      </c>
      <c r="K134">
        <v>0</v>
      </c>
    </row>
    <row r="135" spans="1:11" x14ac:dyDescent="0.25">
      <c r="A135" t="s">
        <v>116</v>
      </c>
      <c r="B135">
        <v>0</v>
      </c>
      <c r="C135">
        <v>0</v>
      </c>
      <c r="D135">
        <v>0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0</v>
      </c>
      <c r="K135">
        <v>0</v>
      </c>
    </row>
    <row r="136" spans="1:11" x14ac:dyDescent="0.25">
      <c r="A136" t="s">
        <v>117</v>
      </c>
      <c r="B136">
        <v>0</v>
      </c>
      <c r="C136">
        <v>0</v>
      </c>
      <c r="D136">
        <v>0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0</v>
      </c>
    </row>
    <row r="137" spans="1:11" x14ac:dyDescent="0.25">
      <c r="A137" t="s">
        <v>73</v>
      </c>
      <c r="B137">
        <v>0</v>
      </c>
      <c r="C137">
        <v>0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</row>
    <row r="138" spans="1:11" x14ac:dyDescent="0.25">
      <c r="A138" t="s">
        <v>118</v>
      </c>
      <c r="B138">
        <v>0</v>
      </c>
      <c r="C138">
        <v>0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</row>
    <row r="139" spans="1:11" x14ac:dyDescent="0.25">
      <c r="A139" t="s">
        <v>119</v>
      </c>
      <c r="B139">
        <v>0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</row>
    <row r="140" spans="1:11" x14ac:dyDescent="0.25">
      <c r="A140" t="s">
        <v>120</v>
      </c>
      <c r="B140">
        <v>0</v>
      </c>
      <c r="C140">
        <v>0</v>
      </c>
      <c r="D140">
        <v>0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0</v>
      </c>
    </row>
    <row r="141" spans="1:11" x14ac:dyDescent="0.25">
      <c r="A141" t="s">
        <v>75</v>
      </c>
      <c r="B141">
        <v>250.1</v>
      </c>
      <c r="C141">
        <v>248.88</v>
      </c>
      <c r="D141">
        <v>247.66</v>
      </c>
      <c r="E141">
        <v>246.43</v>
      </c>
      <c r="F141">
        <v>245.2</v>
      </c>
      <c r="G141">
        <v>243.97</v>
      </c>
      <c r="H141">
        <v>242.76</v>
      </c>
      <c r="I141">
        <v>241.53</v>
      </c>
      <c r="J141">
        <v>240.3</v>
      </c>
      <c r="K141">
        <v>239.3</v>
      </c>
    </row>
    <row r="142" spans="1:11" x14ac:dyDescent="0.25">
      <c r="A142" t="s">
        <v>121</v>
      </c>
      <c r="B142">
        <v>0</v>
      </c>
      <c r="C142">
        <v>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</row>
    <row r="143" spans="1:11" x14ac:dyDescent="0.25">
      <c r="A143" t="s">
        <v>122</v>
      </c>
      <c r="B143">
        <v>0</v>
      </c>
      <c r="C143">
        <v>0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</row>
    <row r="144" spans="1:11" x14ac:dyDescent="0.25">
      <c r="A144" t="s">
        <v>123</v>
      </c>
      <c r="B144">
        <v>0</v>
      </c>
      <c r="C144">
        <v>0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</row>
    <row r="145" spans="1:11" x14ac:dyDescent="0.25">
      <c r="A145" t="s">
        <v>76</v>
      </c>
      <c r="B145">
        <v>52.82</v>
      </c>
      <c r="C145">
        <v>53.37</v>
      </c>
      <c r="D145">
        <v>53.92</v>
      </c>
      <c r="E145">
        <v>54.47</v>
      </c>
      <c r="F145">
        <v>55.02</v>
      </c>
      <c r="G145">
        <v>55.57</v>
      </c>
      <c r="H145">
        <v>56.12</v>
      </c>
      <c r="I145">
        <v>56.67</v>
      </c>
      <c r="J145">
        <v>57.23</v>
      </c>
      <c r="K145">
        <v>57.78</v>
      </c>
    </row>
    <row r="146" spans="1:11" x14ac:dyDescent="0.25">
      <c r="A146" t="s">
        <v>77</v>
      </c>
      <c r="B146">
        <v>15.46</v>
      </c>
      <c r="C146">
        <v>15.38</v>
      </c>
      <c r="D146">
        <v>15.3</v>
      </c>
      <c r="E146">
        <v>15.23</v>
      </c>
      <c r="F146">
        <v>15.15</v>
      </c>
      <c r="G146">
        <v>15.08</v>
      </c>
      <c r="H146">
        <v>15</v>
      </c>
      <c r="I146">
        <v>14.93</v>
      </c>
      <c r="J146">
        <v>14.85</v>
      </c>
      <c r="K146">
        <v>14.79</v>
      </c>
    </row>
    <row r="147" spans="1:11" x14ac:dyDescent="0.25">
      <c r="A147" t="s">
        <v>124</v>
      </c>
      <c r="B147">
        <v>0</v>
      </c>
      <c r="C147">
        <v>0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</row>
    <row r="148" spans="1:11" x14ac:dyDescent="0.25">
      <c r="A148" t="s">
        <v>125</v>
      </c>
      <c r="B148">
        <v>0</v>
      </c>
      <c r="C148">
        <v>0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</row>
    <row r="149" spans="1:11" x14ac:dyDescent="0.25">
      <c r="A149" t="s">
        <v>79</v>
      </c>
      <c r="B149">
        <v>205.78</v>
      </c>
      <c r="C149">
        <v>192.72</v>
      </c>
      <c r="D149">
        <v>192.83</v>
      </c>
      <c r="E149">
        <v>180.95</v>
      </c>
      <c r="F149">
        <v>184.51</v>
      </c>
      <c r="G149">
        <v>183.55</v>
      </c>
      <c r="H149">
        <v>184.77</v>
      </c>
      <c r="I149">
        <v>185.06</v>
      </c>
      <c r="J149">
        <v>180.11</v>
      </c>
      <c r="K149">
        <v>179.33</v>
      </c>
    </row>
    <row r="150" spans="1:11" x14ac:dyDescent="0.25">
      <c r="A150" t="s">
        <v>126</v>
      </c>
      <c r="B150">
        <v>0</v>
      </c>
      <c r="C150">
        <v>0</v>
      </c>
      <c r="D150">
        <v>0</v>
      </c>
      <c r="E150">
        <v>0</v>
      </c>
      <c r="F150">
        <v>0</v>
      </c>
      <c r="G150">
        <v>0</v>
      </c>
      <c r="H150">
        <v>0</v>
      </c>
      <c r="I150">
        <v>0</v>
      </c>
      <c r="J150">
        <v>0</v>
      </c>
      <c r="K150">
        <v>0</v>
      </c>
    </row>
    <row r="151" spans="1:11" x14ac:dyDescent="0.25">
      <c r="A151" t="s">
        <v>127</v>
      </c>
      <c r="B151">
        <v>0</v>
      </c>
      <c r="C151">
        <v>0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  <c r="J151">
        <v>0</v>
      </c>
      <c r="K151">
        <v>0</v>
      </c>
    </row>
    <row r="152" spans="1:11" x14ac:dyDescent="0.25">
      <c r="A152" t="s">
        <v>107</v>
      </c>
      <c r="B152">
        <v>0</v>
      </c>
      <c r="C152">
        <v>0</v>
      </c>
      <c r="D152">
        <v>0</v>
      </c>
      <c r="E152">
        <v>0</v>
      </c>
      <c r="F152">
        <v>0</v>
      </c>
      <c r="G152">
        <v>0</v>
      </c>
      <c r="H152">
        <v>0</v>
      </c>
      <c r="I152">
        <v>0</v>
      </c>
      <c r="J152">
        <v>0</v>
      </c>
      <c r="K152">
        <v>0</v>
      </c>
    </row>
    <row r="153" spans="1:11" x14ac:dyDescent="0.25">
      <c r="A153" t="s">
        <v>128</v>
      </c>
      <c r="B153">
        <v>0</v>
      </c>
      <c r="C153">
        <v>0</v>
      </c>
      <c r="D153">
        <v>0</v>
      </c>
      <c r="E153">
        <v>0</v>
      </c>
      <c r="F153">
        <v>0</v>
      </c>
      <c r="G153">
        <v>0</v>
      </c>
      <c r="H153">
        <v>0</v>
      </c>
      <c r="I153">
        <v>0</v>
      </c>
      <c r="J153">
        <v>0</v>
      </c>
      <c r="K153">
        <v>0</v>
      </c>
    </row>
    <row r="154" spans="1:11" x14ac:dyDescent="0.25">
      <c r="A154" t="s">
        <v>129</v>
      </c>
      <c r="B154">
        <v>0</v>
      </c>
      <c r="C154">
        <v>0</v>
      </c>
      <c r="D154">
        <v>0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0</v>
      </c>
      <c r="K154">
        <v>0</v>
      </c>
    </row>
    <row r="155" spans="1:11" x14ac:dyDescent="0.25">
      <c r="A155" t="s">
        <v>81</v>
      </c>
      <c r="B155">
        <v>24.05</v>
      </c>
      <c r="C155">
        <v>25.35</v>
      </c>
      <c r="D155">
        <v>29.9</v>
      </c>
      <c r="E155">
        <v>28.07</v>
      </c>
      <c r="F155">
        <v>28.09</v>
      </c>
      <c r="G155">
        <v>26.61</v>
      </c>
      <c r="H155">
        <v>22.62</v>
      </c>
      <c r="I155">
        <v>22.46</v>
      </c>
      <c r="J155">
        <v>19.46</v>
      </c>
      <c r="K155">
        <v>20.75</v>
      </c>
    </row>
    <row r="156" spans="1:11" x14ac:dyDescent="0.25">
      <c r="A156" t="s">
        <v>83</v>
      </c>
      <c r="B156">
        <v>0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</row>
    <row r="157" spans="1:11" x14ac:dyDescent="0.25">
      <c r="A157" t="s">
        <v>130</v>
      </c>
      <c r="B157">
        <v>0</v>
      </c>
      <c r="C157">
        <v>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</row>
    <row r="161" spans="1:11" x14ac:dyDescent="0.25">
      <c r="A161" t="s">
        <v>25</v>
      </c>
      <c r="B161" t="s">
        <v>143</v>
      </c>
    </row>
    <row r="162" spans="1:11" x14ac:dyDescent="0.25">
      <c r="B162">
        <v>2012</v>
      </c>
      <c r="C162">
        <v>2013</v>
      </c>
      <c r="D162">
        <v>2014</v>
      </c>
      <c r="E162">
        <v>2015</v>
      </c>
      <c r="F162">
        <v>2016</v>
      </c>
      <c r="G162">
        <v>2017</v>
      </c>
      <c r="H162">
        <v>2018</v>
      </c>
      <c r="I162">
        <v>2019</v>
      </c>
      <c r="J162">
        <v>2020</v>
      </c>
      <c r="K162">
        <v>2021</v>
      </c>
    </row>
    <row r="163" spans="1:11" x14ac:dyDescent="0.25">
      <c r="A163" t="s">
        <v>112</v>
      </c>
      <c r="B163">
        <v>0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</row>
    <row r="164" spans="1:11" x14ac:dyDescent="0.25">
      <c r="A164" t="s">
        <v>113</v>
      </c>
      <c r="B164">
        <v>0</v>
      </c>
      <c r="C164">
        <v>0</v>
      </c>
      <c r="D164">
        <v>0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0</v>
      </c>
      <c r="K164">
        <v>0</v>
      </c>
    </row>
    <row r="165" spans="1:11" x14ac:dyDescent="0.25">
      <c r="A165" t="s">
        <v>114</v>
      </c>
      <c r="B165">
        <v>0</v>
      </c>
      <c r="C165">
        <v>0</v>
      </c>
      <c r="D165">
        <v>0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0</v>
      </c>
      <c r="K165">
        <v>0</v>
      </c>
    </row>
    <row r="166" spans="1:11" x14ac:dyDescent="0.25">
      <c r="A166" t="s">
        <v>115</v>
      </c>
      <c r="B166">
        <v>0</v>
      </c>
      <c r="C166">
        <v>0</v>
      </c>
      <c r="D166">
        <v>0</v>
      </c>
      <c r="E166">
        <v>0</v>
      </c>
      <c r="F166">
        <v>0</v>
      </c>
      <c r="G166">
        <v>0</v>
      </c>
      <c r="H166">
        <v>0</v>
      </c>
      <c r="I166">
        <v>0</v>
      </c>
      <c r="J166">
        <v>0</v>
      </c>
      <c r="K166">
        <v>0</v>
      </c>
    </row>
    <row r="167" spans="1:11" x14ac:dyDescent="0.25">
      <c r="A167" t="s">
        <v>116</v>
      </c>
      <c r="B167">
        <v>0</v>
      </c>
      <c r="C167">
        <v>0</v>
      </c>
      <c r="D167">
        <v>0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0</v>
      </c>
      <c r="K167">
        <v>0</v>
      </c>
    </row>
    <row r="168" spans="1:11" x14ac:dyDescent="0.25">
      <c r="A168" t="s">
        <v>117</v>
      </c>
      <c r="B168">
        <v>0</v>
      </c>
      <c r="C168">
        <v>0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0</v>
      </c>
      <c r="K168">
        <v>0</v>
      </c>
    </row>
    <row r="169" spans="1:11" x14ac:dyDescent="0.25">
      <c r="A169" t="s">
        <v>73</v>
      </c>
      <c r="B169">
        <v>0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0</v>
      </c>
    </row>
    <row r="170" spans="1:11" x14ac:dyDescent="0.25">
      <c r="A170" t="s">
        <v>118</v>
      </c>
      <c r="B170">
        <v>0</v>
      </c>
      <c r="C170">
        <v>0</v>
      </c>
      <c r="D170">
        <v>0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0</v>
      </c>
    </row>
    <row r="171" spans="1:11" x14ac:dyDescent="0.25">
      <c r="A171" t="s">
        <v>119</v>
      </c>
      <c r="B171">
        <v>0</v>
      </c>
      <c r="C171">
        <v>0</v>
      </c>
      <c r="D171">
        <v>0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0</v>
      </c>
    </row>
    <row r="172" spans="1:11" x14ac:dyDescent="0.25">
      <c r="A172" t="s">
        <v>120</v>
      </c>
      <c r="B172">
        <v>0</v>
      </c>
      <c r="C172">
        <v>0</v>
      </c>
      <c r="D172">
        <v>0</v>
      </c>
      <c r="E172">
        <v>0</v>
      </c>
      <c r="F172">
        <v>0</v>
      </c>
      <c r="G172">
        <v>0</v>
      </c>
      <c r="H172">
        <v>0</v>
      </c>
      <c r="I172">
        <v>0</v>
      </c>
      <c r="J172">
        <v>0</v>
      </c>
      <c r="K172">
        <v>0</v>
      </c>
    </row>
    <row r="173" spans="1:11" x14ac:dyDescent="0.25">
      <c r="A173" t="s">
        <v>75</v>
      </c>
      <c r="B173">
        <v>0</v>
      </c>
      <c r="C173">
        <v>0</v>
      </c>
      <c r="D173">
        <v>0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0</v>
      </c>
    </row>
    <row r="174" spans="1:11" x14ac:dyDescent="0.25">
      <c r="A174" t="s">
        <v>121</v>
      </c>
      <c r="B174">
        <v>0</v>
      </c>
      <c r="C174">
        <v>0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0</v>
      </c>
      <c r="K174">
        <v>0</v>
      </c>
    </row>
    <row r="175" spans="1:11" x14ac:dyDescent="0.25">
      <c r="A175" t="s">
        <v>122</v>
      </c>
      <c r="B175">
        <v>0</v>
      </c>
      <c r="C175">
        <v>0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0</v>
      </c>
      <c r="K175">
        <v>0</v>
      </c>
    </row>
    <row r="176" spans="1:11" x14ac:dyDescent="0.25">
      <c r="A176" t="s">
        <v>123</v>
      </c>
      <c r="B176">
        <v>0</v>
      </c>
      <c r="C176">
        <v>0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</row>
    <row r="177" spans="1:11" x14ac:dyDescent="0.25">
      <c r="A177" t="s">
        <v>76</v>
      </c>
      <c r="B177">
        <v>0</v>
      </c>
      <c r="C177">
        <v>0</v>
      </c>
      <c r="D177">
        <v>0</v>
      </c>
      <c r="E177">
        <v>0</v>
      </c>
      <c r="F177">
        <v>0</v>
      </c>
      <c r="G177">
        <v>0</v>
      </c>
      <c r="H177">
        <v>0</v>
      </c>
      <c r="I177">
        <v>0</v>
      </c>
      <c r="J177">
        <v>0</v>
      </c>
      <c r="K177">
        <v>0</v>
      </c>
    </row>
    <row r="178" spans="1:11" x14ac:dyDescent="0.25">
      <c r="A178" t="s">
        <v>77</v>
      </c>
      <c r="B178">
        <v>0</v>
      </c>
      <c r="C178">
        <v>0</v>
      </c>
      <c r="D178">
        <v>0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0</v>
      </c>
      <c r="K178">
        <v>0</v>
      </c>
    </row>
    <row r="179" spans="1:11" x14ac:dyDescent="0.25">
      <c r="A179" t="s">
        <v>124</v>
      </c>
      <c r="B179">
        <v>0</v>
      </c>
      <c r="C179">
        <v>0</v>
      </c>
      <c r="D179">
        <v>0</v>
      </c>
      <c r="E179">
        <v>0</v>
      </c>
      <c r="F179">
        <v>0</v>
      </c>
      <c r="G179">
        <v>0</v>
      </c>
      <c r="H179">
        <v>0</v>
      </c>
      <c r="I179">
        <v>0</v>
      </c>
      <c r="J179">
        <v>0</v>
      </c>
      <c r="K179">
        <v>0</v>
      </c>
    </row>
    <row r="180" spans="1:11" x14ac:dyDescent="0.25">
      <c r="A180" t="s">
        <v>125</v>
      </c>
      <c r="B180">
        <v>0</v>
      </c>
      <c r="C180">
        <v>0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>
        <v>0</v>
      </c>
      <c r="K180">
        <v>0</v>
      </c>
    </row>
    <row r="181" spans="1:11" x14ac:dyDescent="0.25">
      <c r="A181" t="s">
        <v>79</v>
      </c>
      <c r="B181">
        <v>0</v>
      </c>
      <c r="C181">
        <v>0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>
        <v>0</v>
      </c>
      <c r="K181">
        <v>0</v>
      </c>
    </row>
    <row r="182" spans="1:11" x14ac:dyDescent="0.25">
      <c r="A182" t="s">
        <v>126</v>
      </c>
      <c r="B182">
        <v>0</v>
      </c>
      <c r="C182">
        <v>0</v>
      </c>
      <c r="D182">
        <v>0</v>
      </c>
      <c r="E182">
        <v>0</v>
      </c>
      <c r="F182">
        <v>0</v>
      </c>
      <c r="G182">
        <v>0</v>
      </c>
      <c r="H182">
        <v>0</v>
      </c>
      <c r="I182">
        <v>0</v>
      </c>
      <c r="J182">
        <v>0</v>
      </c>
      <c r="K182">
        <v>0</v>
      </c>
    </row>
    <row r="183" spans="1:11" x14ac:dyDescent="0.25">
      <c r="A183" t="s">
        <v>127</v>
      </c>
      <c r="B183">
        <v>0</v>
      </c>
      <c r="C183">
        <v>0</v>
      </c>
      <c r="D183">
        <v>0</v>
      </c>
      <c r="E183">
        <v>0</v>
      </c>
      <c r="F183">
        <v>0</v>
      </c>
      <c r="G183">
        <v>0</v>
      </c>
      <c r="H183">
        <v>0</v>
      </c>
      <c r="I183">
        <v>0</v>
      </c>
      <c r="J183">
        <v>0</v>
      </c>
      <c r="K183">
        <v>0</v>
      </c>
    </row>
    <row r="184" spans="1:11" x14ac:dyDescent="0.25">
      <c r="A184" t="s">
        <v>107</v>
      </c>
      <c r="B184">
        <v>0</v>
      </c>
      <c r="C184">
        <v>0</v>
      </c>
      <c r="D184">
        <v>0</v>
      </c>
      <c r="E184">
        <v>0</v>
      </c>
      <c r="F184">
        <v>0</v>
      </c>
      <c r="G184">
        <v>0</v>
      </c>
      <c r="H184">
        <v>0</v>
      </c>
      <c r="I184">
        <v>0</v>
      </c>
      <c r="J184">
        <v>0</v>
      </c>
      <c r="K184">
        <v>0</v>
      </c>
    </row>
    <row r="185" spans="1:11" x14ac:dyDescent="0.25">
      <c r="A185" t="s">
        <v>128</v>
      </c>
      <c r="B185">
        <v>0</v>
      </c>
      <c r="C185">
        <v>0</v>
      </c>
      <c r="D185">
        <v>0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0</v>
      </c>
    </row>
    <row r="186" spans="1:11" x14ac:dyDescent="0.25">
      <c r="A186" t="s">
        <v>129</v>
      </c>
      <c r="B186">
        <v>0</v>
      </c>
      <c r="C186">
        <v>0</v>
      </c>
      <c r="D186">
        <v>0</v>
      </c>
      <c r="E186">
        <v>0</v>
      </c>
      <c r="F186">
        <v>0</v>
      </c>
      <c r="G186">
        <v>0</v>
      </c>
      <c r="H186">
        <v>0</v>
      </c>
      <c r="I186">
        <v>0</v>
      </c>
      <c r="J186">
        <v>0</v>
      </c>
      <c r="K186">
        <v>0</v>
      </c>
    </row>
    <row r="187" spans="1:11" x14ac:dyDescent="0.25">
      <c r="A187" t="s">
        <v>81</v>
      </c>
      <c r="B187">
        <v>0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  <c r="J187">
        <v>0</v>
      </c>
      <c r="K187">
        <v>0</v>
      </c>
    </row>
    <row r="188" spans="1:11" x14ac:dyDescent="0.25">
      <c r="A188" t="s">
        <v>83</v>
      </c>
      <c r="B188">
        <v>10.64</v>
      </c>
      <c r="C188">
        <v>10.7</v>
      </c>
      <c r="D188">
        <v>11.01</v>
      </c>
      <c r="E188">
        <v>11.29</v>
      </c>
      <c r="F188">
        <v>11.77</v>
      </c>
      <c r="G188">
        <v>11.93</v>
      </c>
      <c r="H188">
        <v>12.5</v>
      </c>
      <c r="I188">
        <v>13.44</v>
      </c>
      <c r="J188">
        <v>14.24</v>
      </c>
      <c r="K188">
        <v>14</v>
      </c>
    </row>
    <row r="189" spans="1:11" x14ac:dyDescent="0.25">
      <c r="A189" t="s">
        <v>130</v>
      </c>
      <c r="B189">
        <v>0</v>
      </c>
      <c r="C189">
        <v>0</v>
      </c>
      <c r="D189">
        <v>0</v>
      </c>
      <c r="E189">
        <v>0</v>
      </c>
      <c r="F189">
        <v>0</v>
      </c>
      <c r="G189">
        <v>0</v>
      </c>
      <c r="H189">
        <v>0</v>
      </c>
      <c r="I189">
        <v>0</v>
      </c>
      <c r="J189">
        <v>0</v>
      </c>
      <c r="K189">
        <v>0</v>
      </c>
    </row>
    <row r="193" spans="1:11" x14ac:dyDescent="0.25">
      <c r="A193" t="s">
        <v>27</v>
      </c>
      <c r="B193" t="s">
        <v>144</v>
      </c>
    </row>
    <row r="194" spans="1:11" x14ac:dyDescent="0.25">
      <c r="B194">
        <v>2012</v>
      </c>
      <c r="C194">
        <v>2013</v>
      </c>
      <c r="D194">
        <v>2014</v>
      </c>
      <c r="E194">
        <v>2015</v>
      </c>
      <c r="F194">
        <v>2016</v>
      </c>
      <c r="G194">
        <v>2017</v>
      </c>
      <c r="H194">
        <v>2018</v>
      </c>
      <c r="I194">
        <v>2019</v>
      </c>
      <c r="J194">
        <v>2020</v>
      </c>
      <c r="K194">
        <v>2021</v>
      </c>
    </row>
    <row r="195" spans="1:11" x14ac:dyDescent="0.25">
      <c r="A195" t="s">
        <v>112</v>
      </c>
      <c r="B195">
        <v>0</v>
      </c>
      <c r="C195">
        <v>0</v>
      </c>
      <c r="D195">
        <v>0</v>
      </c>
      <c r="E195">
        <v>0</v>
      </c>
      <c r="F195">
        <v>0</v>
      </c>
      <c r="G195">
        <v>0</v>
      </c>
      <c r="H195">
        <v>0</v>
      </c>
      <c r="I195">
        <v>0</v>
      </c>
      <c r="J195">
        <v>0</v>
      </c>
      <c r="K195">
        <v>0</v>
      </c>
    </row>
    <row r="196" spans="1:11" x14ac:dyDescent="0.25">
      <c r="A196" t="s">
        <v>113</v>
      </c>
      <c r="B196">
        <v>0</v>
      </c>
      <c r="C196">
        <v>0</v>
      </c>
      <c r="D196">
        <v>0</v>
      </c>
      <c r="E196">
        <v>0</v>
      </c>
      <c r="F196">
        <v>0</v>
      </c>
      <c r="G196">
        <v>0</v>
      </c>
      <c r="H196">
        <v>0</v>
      </c>
      <c r="I196">
        <v>0</v>
      </c>
      <c r="J196">
        <v>0</v>
      </c>
      <c r="K196">
        <v>0</v>
      </c>
    </row>
    <row r="197" spans="1:11" x14ac:dyDescent="0.25">
      <c r="A197" t="s">
        <v>114</v>
      </c>
      <c r="B197">
        <v>0</v>
      </c>
      <c r="C197">
        <v>0</v>
      </c>
      <c r="D197">
        <v>0</v>
      </c>
      <c r="E197">
        <v>0</v>
      </c>
      <c r="F197">
        <v>0</v>
      </c>
      <c r="G197">
        <v>0</v>
      </c>
      <c r="H197">
        <v>0</v>
      </c>
      <c r="I197">
        <v>0</v>
      </c>
      <c r="J197">
        <v>0</v>
      </c>
      <c r="K197">
        <v>0</v>
      </c>
    </row>
    <row r="198" spans="1:11" x14ac:dyDescent="0.25">
      <c r="A198" t="s">
        <v>115</v>
      </c>
      <c r="B198">
        <v>0</v>
      </c>
      <c r="C198">
        <v>0</v>
      </c>
      <c r="D198">
        <v>0</v>
      </c>
      <c r="E198">
        <v>0</v>
      </c>
      <c r="F198">
        <v>0</v>
      </c>
      <c r="G198">
        <v>0</v>
      </c>
      <c r="H198">
        <v>0</v>
      </c>
      <c r="I198">
        <v>0</v>
      </c>
      <c r="J198">
        <v>0</v>
      </c>
      <c r="K198">
        <v>0</v>
      </c>
    </row>
    <row r="199" spans="1:11" x14ac:dyDescent="0.25">
      <c r="A199" t="s">
        <v>116</v>
      </c>
      <c r="B199">
        <v>0</v>
      </c>
      <c r="C199">
        <v>0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  <c r="J199">
        <v>0</v>
      </c>
      <c r="K199">
        <v>0</v>
      </c>
    </row>
    <row r="200" spans="1:11" x14ac:dyDescent="0.25">
      <c r="A200" t="s">
        <v>117</v>
      </c>
      <c r="B200">
        <v>0</v>
      </c>
      <c r="C200">
        <v>0</v>
      </c>
      <c r="D200">
        <v>0</v>
      </c>
      <c r="E200">
        <v>0</v>
      </c>
      <c r="F200">
        <v>0</v>
      </c>
      <c r="G200">
        <v>0</v>
      </c>
      <c r="H200">
        <v>0</v>
      </c>
      <c r="I200">
        <v>0</v>
      </c>
      <c r="J200">
        <v>0</v>
      </c>
      <c r="K200">
        <v>0</v>
      </c>
    </row>
    <row r="201" spans="1:11" x14ac:dyDescent="0.25">
      <c r="A201" t="s">
        <v>73</v>
      </c>
      <c r="B201">
        <v>0</v>
      </c>
      <c r="C201">
        <v>0</v>
      </c>
      <c r="D201">
        <v>0</v>
      </c>
      <c r="E201">
        <v>0</v>
      </c>
      <c r="F201">
        <v>0</v>
      </c>
      <c r="G201">
        <v>0</v>
      </c>
      <c r="H201">
        <v>0</v>
      </c>
      <c r="I201">
        <v>0</v>
      </c>
      <c r="J201">
        <v>0</v>
      </c>
      <c r="K201">
        <v>0</v>
      </c>
    </row>
    <row r="202" spans="1:11" x14ac:dyDescent="0.25">
      <c r="A202" t="s">
        <v>118</v>
      </c>
      <c r="B202">
        <v>0</v>
      </c>
      <c r="C202">
        <v>0</v>
      </c>
      <c r="D202">
        <v>0</v>
      </c>
      <c r="E202">
        <v>0</v>
      </c>
      <c r="F202">
        <v>0</v>
      </c>
      <c r="G202">
        <v>0</v>
      </c>
      <c r="H202">
        <v>0</v>
      </c>
      <c r="I202">
        <v>0</v>
      </c>
      <c r="J202">
        <v>0</v>
      </c>
      <c r="K202">
        <v>0</v>
      </c>
    </row>
    <row r="203" spans="1:11" x14ac:dyDescent="0.25">
      <c r="A203" t="s">
        <v>119</v>
      </c>
      <c r="B203">
        <v>0</v>
      </c>
      <c r="C203">
        <v>0</v>
      </c>
      <c r="D203">
        <v>0</v>
      </c>
      <c r="E203">
        <v>0</v>
      </c>
      <c r="F203">
        <v>0</v>
      </c>
      <c r="G203">
        <v>0</v>
      </c>
      <c r="H203">
        <v>0</v>
      </c>
      <c r="I203">
        <v>0</v>
      </c>
      <c r="J203">
        <v>0</v>
      </c>
      <c r="K203">
        <v>0</v>
      </c>
    </row>
    <row r="204" spans="1:11" x14ac:dyDescent="0.25">
      <c r="A204" t="s">
        <v>120</v>
      </c>
      <c r="B204">
        <v>0</v>
      </c>
      <c r="C204">
        <v>0</v>
      </c>
      <c r="D204">
        <v>0</v>
      </c>
      <c r="E204">
        <v>0</v>
      </c>
      <c r="F204">
        <v>0</v>
      </c>
      <c r="G204">
        <v>0</v>
      </c>
      <c r="H204">
        <v>0</v>
      </c>
      <c r="I204">
        <v>0</v>
      </c>
      <c r="J204">
        <v>0</v>
      </c>
      <c r="K204">
        <v>0</v>
      </c>
    </row>
    <row r="205" spans="1:11" x14ac:dyDescent="0.25">
      <c r="A205" t="s">
        <v>75</v>
      </c>
      <c r="B205">
        <v>0</v>
      </c>
      <c r="C205">
        <v>0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  <c r="J205">
        <v>0</v>
      </c>
      <c r="K205">
        <v>0</v>
      </c>
    </row>
    <row r="206" spans="1:11" x14ac:dyDescent="0.25">
      <c r="A206" t="s">
        <v>121</v>
      </c>
      <c r="B206">
        <v>0</v>
      </c>
      <c r="C206">
        <v>0</v>
      </c>
      <c r="D206">
        <v>0</v>
      </c>
      <c r="E206">
        <v>0</v>
      </c>
      <c r="F206">
        <v>0</v>
      </c>
      <c r="G206">
        <v>0</v>
      </c>
      <c r="H206">
        <v>0</v>
      </c>
      <c r="I206">
        <v>0</v>
      </c>
      <c r="J206">
        <v>0</v>
      </c>
      <c r="K206">
        <v>0</v>
      </c>
    </row>
    <row r="207" spans="1:11" x14ac:dyDescent="0.25">
      <c r="A207" t="s">
        <v>122</v>
      </c>
      <c r="B207">
        <v>0</v>
      </c>
      <c r="C207">
        <v>0</v>
      </c>
      <c r="D207">
        <v>0</v>
      </c>
      <c r="E207">
        <v>0</v>
      </c>
      <c r="F207">
        <v>0</v>
      </c>
      <c r="G207">
        <v>0</v>
      </c>
      <c r="H207">
        <v>0</v>
      </c>
      <c r="I207">
        <v>0</v>
      </c>
      <c r="J207">
        <v>0</v>
      </c>
      <c r="K207">
        <v>0</v>
      </c>
    </row>
    <row r="208" spans="1:11" x14ac:dyDescent="0.25">
      <c r="A208" t="s">
        <v>123</v>
      </c>
      <c r="B208">
        <v>0</v>
      </c>
      <c r="C208">
        <v>0</v>
      </c>
      <c r="D208">
        <v>0</v>
      </c>
      <c r="E208">
        <v>0</v>
      </c>
      <c r="F208">
        <v>0</v>
      </c>
      <c r="G208">
        <v>0</v>
      </c>
      <c r="H208">
        <v>0</v>
      </c>
      <c r="I208">
        <v>0</v>
      </c>
      <c r="J208">
        <v>0</v>
      </c>
      <c r="K208">
        <v>0</v>
      </c>
    </row>
    <row r="209" spans="1:11" x14ac:dyDescent="0.25">
      <c r="A209" t="s">
        <v>76</v>
      </c>
      <c r="B209">
        <v>0</v>
      </c>
      <c r="C209">
        <v>0</v>
      </c>
      <c r="D209">
        <v>0</v>
      </c>
      <c r="E209">
        <v>0</v>
      </c>
      <c r="F209">
        <v>0</v>
      </c>
      <c r="G209">
        <v>0</v>
      </c>
      <c r="H209">
        <v>0</v>
      </c>
      <c r="I209">
        <v>0</v>
      </c>
      <c r="J209">
        <v>0</v>
      </c>
      <c r="K209">
        <v>0</v>
      </c>
    </row>
    <row r="210" spans="1:11" x14ac:dyDescent="0.25">
      <c r="A210" t="s">
        <v>77</v>
      </c>
      <c r="B210">
        <v>0</v>
      </c>
      <c r="C210">
        <v>0</v>
      </c>
      <c r="D210">
        <v>0</v>
      </c>
      <c r="E210">
        <v>0</v>
      </c>
      <c r="F210">
        <v>0</v>
      </c>
      <c r="G210">
        <v>0</v>
      </c>
      <c r="H210">
        <v>0</v>
      </c>
      <c r="I210">
        <v>0</v>
      </c>
      <c r="J210">
        <v>0</v>
      </c>
      <c r="K210">
        <v>0</v>
      </c>
    </row>
    <row r="211" spans="1:11" x14ac:dyDescent="0.25">
      <c r="A211" t="s">
        <v>124</v>
      </c>
      <c r="B211">
        <v>0</v>
      </c>
      <c r="C211">
        <v>0</v>
      </c>
      <c r="D211">
        <v>0</v>
      </c>
      <c r="E211">
        <v>0</v>
      </c>
      <c r="F211">
        <v>0</v>
      </c>
      <c r="G211">
        <v>0</v>
      </c>
      <c r="H211">
        <v>0</v>
      </c>
      <c r="I211">
        <v>0</v>
      </c>
      <c r="J211">
        <v>0</v>
      </c>
      <c r="K211">
        <v>0</v>
      </c>
    </row>
    <row r="212" spans="1:11" x14ac:dyDescent="0.25">
      <c r="A212" t="s">
        <v>125</v>
      </c>
      <c r="B212">
        <v>0</v>
      </c>
      <c r="C212">
        <v>0</v>
      </c>
      <c r="D212">
        <v>0</v>
      </c>
      <c r="E212">
        <v>0</v>
      </c>
      <c r="F212">
        <v>0</v>
      </c>
      <c r="G212">
        <v>0</v>
      </c>
      <c r="H212">
        <v>0</v>
      </c>
      <c r="I212">
        <v>0</v>
      </c>
      <c r="J212">
        <v>0</v>
      </c>
      <c r="K212">
        <v>0</v>
      </c>
    </row>
    <row r="213" spans="1:11" x14ac:dyDescent="0.25">
      <c r="A213" t="s">
        <v>79</v>
      </c>
      <c r="B213">
        <v>0</v>
      </c>
      <c r="C213">
        <v>0</v>
      </c>
      <c r="D213">
        <v>0</v>
      </c>
      <c r="E213">
        <v>0</v>
      </c>
      <c r="F213">
        <v>0</v>
      </c>
      <c r="G213">
        <v>0</v>
      </c>
      <c r="H213">
        <v>0</v>
      </c>
      <c r="I213">
        <v>0</v>
      </c>
      <c r="J213">
        <v>0</v>
      </c>
      <c r="K213">
        <v>0</v>
      </c>
    </row>
    <row r="214" spans="1:11" x14ac:dyDescent="0.25">
      <c r="A214" t="s">
        <v>126</v>
      </c>
      <c r="B214">
        <v>0</v>
      </c>
      <c r="C214">
        <v>0</v>
      </c>
      <c r="D214">
        <v>0</v>
      </c>
      <c r="E214">
        <v>0</v>
      </c>
      <c r="F214">
        <v>0</v>
      </c>
      <c r="G214">
        <v>0</v>
      </c>
      <c r="H214">
        <v>0</v>
      </c>
      <c r="I214">
        <v>0</v>
      </c>
      <c r="J214">
        <v>0</v>
      </c>
      <c r="K214">
        <v>0</v>
      </c>
    </row>
    <row r="215" spans="1:11" x14ac:dyDescent="0.25">
      <c r="A215" t="s">
        <v>127</v>
      </c>
      <c r="B215">
        <v>0</v>
      </c>
      <c r="C215">
        <v>0</v>
      </c>
      <c r="D215">
        <v>0</v>
      </c>
      <c r="E215">
        <v>0</v>
      </c>
      <c r="F215">
        <v>0</v>
      </c>
      <c r="G215">
        <v>0</v>
      </c>
      <c r="H215">
        <v>0</v>
      </c>
      <c r="I215">
        <v>0</v>
      </c>
      <c r="J215">
        <v>0</v>
      </c>
      <c r="K215">
        <v>0</v>
      </c>
    </row>
    <row r="216" spans="1:11" x14ac:dyDescent="0.25">
      <c r="A216" t="s">
        <v>107</v>
      </c>
      <c r="B216">
        <v>0</v>
      </c>
      <c r="C216">
        <v>0</v>
      </c>
      <c r="D216">
        <v>0</v>
      </c>
      <c r="E216">
        <v>0</v>
      </c>
      <c r="F216">
        <v>0</v>
      </c>
      <c r="G216">
        <v>0</v>
      </c>
      <c r="H216">
        <v>0</v>
      </c>
      <c r="I216">
        <v>0</v>
      </c>
      <c r="J216">
        <v>0</v>
      </c>
      <c r="K216">
        <v>0</v>
      </c>
    </row>
    <row r="217" spans="1:11" x14ac:dyDescent="0.25">
      <c r="A217" t="s">
        <v>128</v>
      </c>
      <c r="B217">
        <v>0</v>
      </c>
      <c r="C217">
        <v>0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  <c r="J217">
        <v>0</v>
      </c>
      <c r="K217">
        <v>0</v>
      </c>
    </row>
    <row r="218" spans="1:11" x14ac:dyDescent="0.25">
      <c r="A218" t="s">
        <v>129</v>
      </c>
      <c r="B218">
        <v>0</v>
      </c>
      <c r="C218">
        <v>0</v>
      </c>
      <c r="D218">
        <v>0</v>
      </c>
      <c r="E218">
        <v>0</v>
      </c>
      <c r="F218">
        <v>0</v>
      </c>
      <c r="G218">
        <v>0</v>
      </c>
      <c r="H218">
        <v>0</v>
      </c>
      <c r="I218">
        <v>0</v>
      </c>
      <c r="J218">
        <v>0</v>
      </c>
      <c r="K218">
        <v>0</v>
      </c>
    </row>
    <row r="219" spans="1:11" x14ac:dyDescent="0.25">
      <c r="A219" t="s">
        <v>81</v>
      </c>
      <c r="B219">
        <v>0</v>
      </c>
      <c r="C219">
        <v>0</v>
      </c>
      <c r="D219">
        <v>0</v>
      </c>
      <c r="E219">
        <v>0</v>
      </c>
      <c r="F219">
        <v>0</v>
      </c>
      <c r="G219">
        <v>0</v>
      </c>
      <c r="H219">
        <v>0</v>
      </c>
      <c r="I219">
        <v>0</v>
      </c>
      <c r="J219">
        <v>0</v>
      </c>
      <c r="K219">
        <v>0</v>
      </c>
    </row>
    <row r="220" spans="1:11" x14ac:dyDescent="0.25">
      <c r="A220" t="s">
        <v>83</v>
      </c>
      <c r="B220">
        <v>11.59</v>
      </c>
      <c r="C220">
        <v>11.66</v>
      </c>
      <c r="D220">
        <v>11.99</v>
      </c>
      <c r="E220">
        <v>12.29</v>
      </c>
      <c r="F220">
        <v>12.82</v>
      </c>
      <c r="G220">
        <v>12.99</v>
      </c>
      <c r="H220">
        <v>13.61</v>
      </c>
      <c r="I220">
        <v>14.64</v>
      </c>
      <c r="J220">
        <v>15.51</v>
      </c>
      <c r="K220">
        <v>15.25</v>
      </c>
    </row>
    <row r="221" spans="1:11" x14ac:dyDescent="0.25">
      <c r="A221" t="s">
        <v>130</v>
      </c>
      <c r="B221">
        <v>0</v>
      </c>
      <c r="C221">
        <v>0</v>
      </c>
      <c r="D221">
        <v>0</v>
      </c>
      <c r="E221">
        <v>0</v>
      </c>
      <c r="F221">
        <v>0</v>
      </c>
      <c r="G221">
        <v>0</v>
      </c>
      <c r="H221">
        <v>0</v>
      </c>
      <c r="I221">
        <v>0</v>
      </c>
      <c r="J221">
        <v>0</v>
      </c>
      <c r="K221">
        <v>0</v>
      </c>
    </row>
    <row r="225" spans="1:11" x14ac:dyDescent="0.25">
      <c r="A225" t="s">
        <v>29</v>
      </c>
      <c r="B225" t="s">
        <v>145</v>
      </c>
    </row>
    <row r="226" spans="1:11" x14ac:dyDescent="0.25">
      <c r="B226">
        <v>2012</v>
      </c>
      <c r="C226">
        <v>2013</v>
      </c>
      <c r="D226">
        <v>2014</v>
      </c>
      <c r="E226">
        <v>2015</v>
      </c>
      <c r="F226">
        <v>2016</v>
      </c>
      <c r="G226">
        <v>2017</v>
      </c>
      <c r="H226">
        <v>2018</v>
      </c>
      <c r="I226">
        <v>2019</v>
      </c>
      <c r="J226">
        <v>2020</v>
      </c>
      <c r="K226">
        <v>2021</v>
      </c>
    </row>
    <row r="227" spans="1:11" x14ac:dyDescent="0.25">
      <c r="A227" t="s">
        <v>112</v>
      </c>
      <c r="B227">
        <v>0</v>
      </c>
      <c r="C227">
        <v>0</v>
      </c>
      <c r="D227">
        <v>0</v>
      </c>
      <c r="E227">
        <v>0</v>
      </c>
      <c r="F227">
        <v>0</v>
      </c>
      <c r="G227">
        <v>0</v>
      </c>
      <c r="H227">
        <v>0</v>
      </c>
      <c r="I227">
        <v>0</v>
      </c>
      <c r="J227">
        <v>0</v>
      </c>
      <c r="K227">
        <v>0</v>
      </c>
    </row>
    <row r="228" spans="1:11" x14ac:dyDescent="0.25">
      <c r="A228" t="s">
        <v>113</v>
      </c>
      <c r="B228">
        <v>0</v>
      </c>
      <c r="C228">
        <v>0</v>
      </c>
      <c r="D228">
        <v>0</v>
      </c>
      <c r="E228">
        <v>0</v>
      </c>
      <c r="F228">
        <v>0</v>
      </c>
      <c r="G228">
        <v>0</v>
      </c>
      <c r="H228">
        <v>0</v>
      </c>
      <c r="I228">
        <v>0</v>
      </c>
      <c r="J228">
        <v>0</v>
      </c>
      <c r="K228">
        <v>0</v>
      </c>
    </row>
    <row r="229" spans="1:11" x14ac:dyDescent="0.25">
      <c r="A229" t="s">
        <v>114</v>
      </c>
      <c r="B229">
        <v>0</v>
      </c>
      <c r="C229">
        <v>0</v>
      </c>
      <c r="D229">
        <v>0</v>
      </c>
      <c r="E229">
        <v>0</v>
      </c>
      <c r="F229">
        <v>0</v>
      </c>
      <c r="G229">
        <v>0</v>
      </c>
      <c r="H229">
        <v>0</v>
      </c>
      <c r="I229">
        <v>0</v>
      </c>
      <c r="J229">
        <v>0</v>
      </c>
      <c r="K229">
        <v>0</v>
      </c>
    </row>
    <row r="230" spans="1:11" x14ac:dyDescent="0.25">
      <c r="A230" t="s">
        <v>115</v>
      </c>
      <c r="B230">
        <v>0</v>
      </c>
      <c r="C230">
        <v>0</v>
      </c>
      <c r="D230">
        <v>0</v>
      </c>
      <c r="E230">
        <v>0</v>
      </c>
      <c r="F230">
        <v>0</v>
      </c>
      <c r="G230">
        <v>0</v>
      </c>
      <c r="H230">
        <v>0</v>
      </c>
      <c r="I230">
        <v>0</v>
      </c>
      <c r="J230">
        <v>0</v>
      </c>
      <c r="K230">
        <v>0</v>
      </c>
    </row>
    <row r="231" spans="1:11" x14ac:dyDescent="0.25">
      <c r="A231" t="s">
        <v>116</v>
      </c>
      <c r="B231">
        <v>0</v>
      </c>
      <c r="C231">
        <v>0</v>
      </c>
      <c r="D231">
        <v>0</v>
      </c>
      <c r="E231">
        <v>0</v>
      </c>
      <c r="F231">
        <v>0</v>
      </c>
      <c r="G231">
        <v>0</v>
      </c>
      <c r="H231">
        <v>0</v>
      </c>
      <c r="I231">
        <v>0</v>
      </c>
      <c r="J231">
        <v>0</v>
      </c>
      <c r="K231">
        <v>0</v>
      </c>
    </row>
    <row r="232" spans="1:11" x14ac:dyDescent="0.25">
      <c r="A232" t="s">
        <v>117</v>
      </c>
      <c r="B232">
        <v>0</v>
      </c>
      <c r="C232">
        <v>0</v>
      </c>
      <c r="D232">
        <v>0</v>
      </c>
      <c r="E232">
        <v>0</v>
      </c>
      <c r="F232">
        <v>0</v>
      </c>
      <c r="G232">
        <v>0</v>
      </c>
      <c r="H232">
        <v>0</v>
      </c>
      <c r="I232">
        <v>0</v>
      </c>
      <c r="J232">
        <v>0</v>
      </c>
      <c r="K232">
        <v>0</v>
      </c>
    </row>
    <row r="233" spans="1:11" x14ac:dyDescent="0.25">
      <c r="A233" t="s">
        <v>73</v>
      </c>
      <c r="B233">
        <v>0</v>
      </c>
      <c r="C233">
        <v>0</v>
      </c>
      <c r="D233">
        <v>0</v>
      </c>
      <c r="E233">
        <v>0</v>
      </c>
      <c r="F233">
        <v>0</v>
      </c>
      <c r="G233">
        <v>0</v>
      </c>
      <c r="H233">
        <v>0</v>
      </c>
      <c r="I233">
        <v>0</v>
      </c>
      <c r="J233">
        <v>0</v>
      </c>
      <c r="K233">
        <v>0</v>
      </c>
    </row>
    <row r="234" spans="1:11" x14ac:dyDescent="0.25">
      <c r="A234" t="s">
        <v>118</v>
      </c>
      <c r="B234">
        <v>0</v>
      </c>
      <c r="C234">
        <v>0</v>
      </c>
      <c r="D234">
        <v>0</v>
      </c>
      <c r="E234">
        <v>0</v>
      </c>
      <c r="F234">
        <v>0</v>
      </c>
      <c r="G234">
        <v>0</v>
      </c>
      <c r="H234">
        <v>0</v>
      </c>
      <c r="I234">
        <v>0</v>
      </c>
      <c r="J234">
        <v>0</v>
      </c>
      <c r="K234">
        <v>0</v>
      </c>
    </row>
    <row r="235" spans="1:11" x14ac:dyDescent="0.25">
      <c r="A235" t="s">
        <v>119</v>
      </c>
      <c r="B235">
        <v>0</v>
      </c>
      <c r="C235">
        <v>0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  <c r="J235">
        <v>0</v>
      </c>
      <c r="K235">
        <v>0</v>
      </c>
    </row>
    <row r="236" spans="1:11" x14ac:dyDescent="0.25">
      <c r="A236" t="s">
        <v>120</v>
      </c>
      <c r="B236">
        <v>0</v>
      </c>
      <c r="C236">
        <v>0</v>
      </c>
      <c r="D236">
        <v>0</v>
      </c>
      <c r="E236">
        <v>0</v>
      </c>
      <c r="F236">
        <v>0</v>
      </c>
      <c r="G236">
        <v>0</v>
      </c>
      <c r="H236">
        <v>0</v>
      </c>
      <c r="I236">
        <v>0</v>
      </c>
      <c r="J236">
        <v>0</v>
      </c>
      <c r="K236">
        <v>0</v>
      </c>
    </row>
    <row r="237" spans="1:11" x14ac:dyDescent="0.25">
      <c r="A237" t="s">
        <v>75</v>
      </c>
      <c r="B237">
        <v>0</v>
      </c>
      <c r="C237">
        <v>0</v>
      </c>
      <c r="D237">
        <v>0</v>
      </c>
      <c r="E237">
        <v>0</v>
      </c>
      <c r="F237">
        <v>0</v>
      </c>
      <c r="G237">
        <v>0</v>
      </c>
      <c r="H237">
        <v>0</v>
      </c>
      <c r="I237">
        <v>0</v>
      </c>
      <c r="J237">
        <v>0</v>
      </c>
      <c r="K237">
        <v>0</v>
      </c>
    </row>
    <row r="238" spans="1:11" x14ac:dyDescent="0.25">
      <c r="A238" t="s">
        <v>121</v>
      </c>
      <c r="B238">
        <v>0</v>
      </c>
      <c r="C238">
        <v>0</v>
      </c>
      <c r="D238">
        <v>0</v>
      </c>
      <c r="E238">
        <v>0</v>
      </c>
      <c r="F238">
        <v>0</v>
      </c>
      <c r="G238">
        <v>0</v>
      </c>
      <c r="H238">
        <v>0</v>
      </c>
      <c r="I238">
        <v>0</v>
      </c>
      <c r="J238">
        <v>0</v>
      </c>
      <c r="K238">
        <v>0</v>
      </c>
    </row>
    <row r="239" spans="1:11" x14ac:dyDescent="0.25">
      <c r="A239" t="s">
        <v>122</v>
      </c>
      <c r="B239">
        <v>0</v>
      </c>
      <c r="C239">
        <v>0</v>
      </c>
      <c r="D239">
        <v>0</v>
      </c>
      <c r="E239">
        <v>0</v>
      </c>
      <c r="F239">
        <v>0</v>
      </c>
      <c r="G239">
        <v>0</v>
      </c>
      <c r="H239">
        <v>0</v>
      </c>
      <c r="I239">
        <v>0</v>
      </c>
      <c r="J239">
        <v>0</v>
      </c>
      <c r="K239">
        <v>0</v>
      </c>
    </row>
    <row r="240" spans="1:11" x14ac:dyDescent="0.25">
      <c r="A240" t="s">
        <v>123</v>
      </c>
      <c r="B240">
        <v>0</v>
      </c>
      <c r="C240">
        <v>0</v>
      </c>
      <c r="D240">
        <v>0</v>
      </c>
      <c r="E240">
        <v>0</v>
      </c>
      <c r="F240">
        <v>0</v>
      </c>
      <c r="G240">
        <v>0</v>
      </c>
      <c r="H240">
        <v>0</v>
      </c>
      <c r="I240">
        <v>0</v>
      </c>
      <c r="J240">
        <v>0</v>
      </c>
      <c r="K240">
        <v>0</v>
      </c>
    </row>
    <row r="241" spans="1:11" x14ac:dyDescent="0.25">
      <c r="A241" t="s">
        <v>76</v>
      </c>
      <c r="B241">
        <v>0</v>
      </c>
      <c r="C241">
        <v>0</v>
      </c>
      <c r="D241">
        <v>0</v>
      </c>
      <c r="E241">
        <v>0</v>
      </c>
      <c r="F241">
        <v>0</v>
      </c>
      <c r="G241">
        <v>0</v>
      </c>
      <c r="H241">
        <v>0</v>
      </c>
      <c r="I241">
        <v>0</v>
      </c>
      <c r="J241">
        <v>0</v>
      </c>
      <c r="K241">
        <v>0</v>
      </c>
    </row>
    <row r="242" spans="1:11" x14ac:dyDescent="0.25">
      <c r="A242" t="s">
        <v>77</v>
      </c>
      <c r="B242">
        <v>0</v>
      </c>
      <c r="C242">
        <v>0</v>
      </c>
      <c r="D242">
        <v>0</v>
      </c>
      <c r="E242">
        <v>0</v>
      </c>
      <c r="F242">
        <v>0</v>
      </c>
      <c r="G242">
        <v>0</v>
      </c>
      <c r="H242">
        <v>0</v>
      </c>
      <c r="I242">
        <v>0</v>
      </c>
      <c r="J242">
        <v>0</v>
      </c>
      <c r="K242">
        <v>0</v>
      </c>
    </row>
    <row r="243" spans="1:11" x14ac:dyDescent="0.25">
      <c r="A243" t="s">
        <v>124</v>
      </c>
      <c r="B243">
        <v>0</v>
      </c>
      <c r="C243">
        <v>0</v>
      </c>
      <c r="D243">
        <v>0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0</v>
      </c>
    </row>
    <row r="244" spans="1:11" x14ac:dyDescent="0.25">
      <c r="A244" t="s">
        <v>125</v>
      </c>
      <c r="B244">
        <v>0</v>
      </c>
      <c r="C244">
        <v>0</v>
      </c>
      <c r="D244">
        <v>0</v>
      </c>
      <c r="E244">
        <v>0</v>
      </c>
      <c r="F244">
        <v>0</v>
      </c>
      <c r="G244">
        <v>0</v>
      </c>
      <c r="H244">
        <v>0</v>
      </c>
      <c r="I244">
        <v>0</v>
      </c>
      <c r="J244">
        <v>0</v>
      </c>
      <c r="K244">
        <v>0</v>
      </c>
    </row>
    <row r="245" spans="1:11" x14ac:dyDescent="0.25">
      <c r="A245" t="s">
        <v>79</v>
      </c>
      <c r="B245">
        <v>0</v>
      </c>
      <c r="C245">
        <v>0</v>
      </c>
      <c r="D245">
        <v>0</v>
      </c>
      <c r="E245">
        <v>0</v>
      </c>
      <c r="F245">
        <v>0</v>
      </c>
      <c r="G245">
        <v>0</v>
      </c>
      <c r="H245">
        <v>0</v>
      </c>
      <c r="I245">
        <v>0</v>
      </c>
      <c r="J245">
        <v>0</v>
      </c>
      <c r="K245">
        <v>0</v>
      </c>
    </row>
    <row r="246" spans="1:11" x14ac:dyDescent="0.25">
      <c r="A246" t="s">
        <v>126</v>
      </c>
      <c r="B246">
        <v>0</v>
      </c>
      <c r="C246">
        <v>0</v>
      </c>
      <c r="D246">
        <v>0</v>
      </c>
      <c r="E246">
        <v>0</v>
      </c>
      <c r="F246">
        <v>0</v>
      </c>
      <c r="G246">
        <v>0</v>
      </c>
      <c r="H246">
        <v>0</v>
      </c>
      <c r="I246">
        <v>0</v>
      </c>
      <c r="J246">
        <v>0</v>
      </c>
      <c r="K246">
        <v>0</v>
      </c>
    </row>
    <row r="247" spans="1:11" x14ac:dyDescent="0.25">
      <c r="A247" t="s">
        <v>127</v>
      </c>
      <c r="B247">
        <v>0</v>
      </c>
      <c r="C247">
        <v>0</v>
      </c>
      <c r="D247">
        <v>0</v>
      </c>
      <c r="E247">
        <v>0</v>
      </c>
      <c r="F247">
        <v>0</v>
      </c>
      <c r="G247">
        <v>0</v>
      </c>
      <c r="H247">
        <v>0</v>
      </c>
      <c r="I247">
        <v>0</v>
      </c>
      <c r="J247">
        <v>0</v>
      </c>
      <c r="K247">
        <v>0</v>
      </c>
    </row>
    <row r="248" spans="1:11" x14ac:dyDescent="0.25">
      <c r="A248" t="s">
        <v>107</v>
      </c>
      <c r="B248">
        <v>0</v>
      </c>
      <c r="C248">
        <v>0</v>
      </c>
      <c r="D248">
        <v>0</v>
      </c>
      <c r="E248">
        <v>0</v>
      </c>
      <c r="F248">
        <v>0</v>
      </c>
      <c r="G248">
        <v>0</v>
      </c>
      <c r="H248">
        <v>0</v>
      </c>
      <c r="I248">
        <v>0</v>
      </c>
      <c r="J248">
        <v>0</v>
      </c>
      <c r="K248">
        <v>0</v>
      </c>
    </row>
    <row r="249" spans="1:11" x14ac:dyDescent="0.25">
      <c r="A249" t="s">
        <v>128</v>
      </c>
      <c r="B249">
        <v>0</v>
      </c>
      <c r="C249">
        <v>0</v>
      </c>
      <c r="D249">
        <v>0</v>
      </c>
      <c r="E249">
        <v>0</v>
      </c>
      <c r="F249">
        <v>0</v>
      </c>
      <c r="G249">
        <v>0</v>
      </c>
      <c r="H249">
        <v>0</v>
      </c>
      <c r="I249">
        <v>0</v>
      </c>
      <c r="J249">
        <v>0</v>
      </c>
      <c r="K249">
        <v>0</v>
      </c>
    </row>
    <row r="250" spans="1:11" x14ac:dyDescent="0.25">
      <c r="A250" t="s">
        <v>129</v>
      </c>
      <c r="B250">
        <v>0</v>
      </c>
      <c r="C250">
        <v>0</v>
      </c>
      <c r="D250">
        <v>0</v>
      </c>
      <c r="E250">
        <v>0</v>
      </c>
      <c r="F250">
        <v>0</v>
      </c>
      <c r="G250">
        <v>0</v>
      </c>
      <c r="H250">
        <v>0</v>
      </c>
      <c r="I250">
        <v>0</v>
      </c>
      <c r="J250">
        <v>0</v>
      </c>
      <c r="K250">
        <v>0</v>
      </c>
    </row>
    <row r="251" spans="1:11" x14ac:dyDescent="0.25">
      <c r="A251" t="s">
        <v>81</v>
      </c>
      <c r="B251">
        <v>0</v>
      </c>
      <c r="C251">
        <v>0</v>
      </c>
      <c r="D251">
        <v>0</v>
      </c>
      <c r="E251">
        <v>0</v>
      </c>
      <c r="F251">
        <v>0</v>
      </c>
      <c r="G251">
        <v>0</v>
      </c>
      <c r="H251">
        <v>0</v>
      </c>
      <c r="I251">
        <v>0</v>
      </c>
      <c r="J251">
        <v>0</v>
      </c>
      <c r="K251">
        <v>0</v>
      </c>
    </row>
    <row r="252" spans="1:11" x14ac:dyDescent="0.25">
      <c r="A252" t="s">
        <v>83</v>
      </c>
      <c r="B252">
        <v>3.42</v>
      </c>
      <c r="C252">
        <v>3.44</v>
      </c>
      <c r="D252">
        <v>3.54</v>
      </c>
      <c r="E252">
        <v>3.63</v>
      </c>
      <c r="F252">
        <v>3.78</v>
      </c>
      <c r="G252">
        <v>3.83</v>
      </c>
      <c r="H252">
        <v>4.0199999999999996</v>
      </c>
      <c r="I252">
        <v>4.32</v>
      </c>
      <c r="J252">
        <v>4.58</v>
      </c>
      <c r="K252">
        <v>4.5</v>
      </c>
    </row>
    <row r="253" spans="1:11" x14ac:dyDescent="0.25">
      <c r="A253" t="s">
        <v>130</v>
      </c>
      <c r="B253">
        <v>0</v>
      </c>
      <c r="C253">
        <v>0</v>
      </c>
      <c r="D253">
        <v>0</v>
      </c>
      <c r="E253">
        <v>0</v>
      </c>
      <c r="F253">
        <v>0</v>
      </c>
      <c r="G253">
        <v>0</v>
      </c>
      <c r="H253">
        <v>0</v>
      </c>
      <c r="I253">
        <v>0</v>
      </c>
      <c r="J253">
        <v>0</v>
      </c>
      <c r="K253">
        <v>0</v>
      </c>
    </row>
    <row r="257" spans="1:11" x14ac:dyDescent="0.25">
      <c r="A257" t="s">
        <v>30</v>
      </c>
      <c r="B257" t="s">
        <v>146</v>
      </c>
    </row>
    <row r="258" spans="1:11" x14ac:dyDescent="0.25">
      <c r="B258">
        <v>2012</v>
      </c>
      <c r="C258">
        <v>2013</v>
      </c>
      <c r="D258">
        <v>2014</v>
      </c>
      <c r="E258">
        <v>2015</v>
      </c>
      <c r="F258">
        <v>2016</v>
      </c>
      <c r="G258">
        <v>2017</v>
      </c>
      <c r="H258">
        <v>2018</v>
      </c>
      <c r="I258">
        <v>2019</v>
      </c>
      <c r="J258">
        <v>2020</v>
      </c>
      <c r="K258">
        <v>2021</v>
      </c>
    </row>
    <row r="259" spans="1:11" x14ac:dyDescent="0.25">
      <c r="A259" t="s">
        <v>112</v>
      </c>
      <c r="B259">
        <v>0</v>
      </c>
      <c r="C259">
        <v>0</v>
      </c>
      <c r="D259">
        <v>0</v>
      </c>
      <c r="E259">
        <v>0</v>
      </c>
      <c r="F259">
        <v>0</v>
      </c>
      <c r="G259">
        <v>0</v>
      </c>
      <c r="H259">
        <v>0</v>
      </c>
      <c r="I259">
        <v>0</v>
      </c>
      <c r="J259">
        <v>0</v>
      </c>
      <c r="K259">
        <v>0</v>
      </c>
    </row>
    <row r="260" spans="1:11" x14ac:dyDescent="0.25">
      <c r="A260" t="s">
        <v>113</v>
      </c>
      <c r="B260">
        <v>0</v>
      </c>
      <c r="C260">
        <v>0</v>
      </c>
      <c r="D260">
        <v>0</v>
      </c>
      <c r="E260">
        <v>0</v>
      </c>
      <c r="F260">
        <v>0</v>
      </c>
      <c r="G260">
        <v>0</v>
      </c>
      <c r="H260">
        <v>0</v>
      </c>
      <c r="I260">
        <v>0</v>
      </c>
      <c r="J260">
        <v>0</v>
      </c>
      <c r="K260">
        <v>0</v>
      </c>
    </row>
    <row r="261" spans="1:11" x14ac:dyDescent="0.25">
      <c r="A261" t="s">
        <v>114</v>
      </c>
      <c r="B261">
        <v>0</v>
      </c>
      <c r="C261">
        <v>0</v>
      </c>
      <c r="D261">
        <v>0</v>
      </c>
      <c r="E261">
        <v>0</v>
      </c>
      <c r="F261">
        <v>0</v>
      </c>
      <c r="G261">
        <v>0</v>
      </c>
      <c r="H261">
        <v>0</v>
      </c>
      <c r="I261">
        <v>0</v>
      </c>
      <c r="J261">
        <v>0</v>
      </c>
      <c r="K261">
        <v>0</v>
      </c>
    </row>
    <row r="262" spans="1:11" x14ac:dyDescent="0.25">
      <c r="A262" t="s">
        <v>115</v>
      </c>
      <c r="B262">
        <v>0</v>
      </c>
      <c r="C262">
        <v>0</v>
      </c>
      <c r="D262">
        <v>0</v>
      </c>
      <c r="E262">
        <v>0</v>
      </c>
      <c r="F262">
        <v>0</v>
      </c>
      <c r="G262">
        <v>0</v>
      </c>
      <c r="H262">
        <v>0</v>
      </c>
      <c r="I262">
        <v>0</v>
      </c>
      <c r="J262">
        <v>0</v>
      </c>
      <c r="K262">
        <v>0</v>
      </c>
    </row>
    <row r="263" spans="1:11" x14ac:dyDescent="0.25">
      <c r="A263" t="s">
        <v>116</v>
      </c>
      <c r="B263">
        <v>0</v>
      </c>
      <c r="C263">
        <v>0</v>
      </c>
      <c r="D263">
        <v>0</v>
      </c>
      <c r="E263">
        <v>0</v>
      </c>
      <c r="F263">
        <v>0</v>
      </c>
      <c r="G263">
        <v>0</v>
      </c>
      <c r="H263">
        <v>0</v>
      </c>
      <c r="I263">
        <v>0</v>
      </c>
      <c r="J263">
        <v>0</v>
      </c>
      <c r="K263">
        <v>0</v>
      </c>
    </row>
    <row r="264" spans="1:11" x14ac:dyDescent="0.25">
      <c r="A264" t="s">
        <v>117</v>
      </c>
      <c r="B264">
        <v>0</v>
      </c>
      <c r="C264">
        <v>0</v>
      </c>
      <c r="D264">
        <v>0</v>
      </c>
      <c r="E264">
        <v>0</v>
      </c>
      <c r="F264">
        <v>0</v>
      </c>
      <c r="G264">
        <v>0</v>
      </c>
      <c r="H264">
        <v>0</v>
      </c>
      <c r="I264">
        <v>0</v>
      </c>
      <c r="J264">
        <v>0</v>
      </c>
      <c r="K264">
        <v>0</v>
      </c>
    </row>
    <row r="265" spans="1:11" x14ac:dyDescent="0.25">
      <c r="A265" t="s">
        <v>73</v>
      </c>
      <c r="B265">
        <v>0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  <c r="J265">
        <v>0</v>
      </c>
      <c r="K265">
        <v>0</v>
      </c>
    </row>
    <row r="266" spans="1:11" x14ac:dyDescent="0.25">
      <c r="A266" t="s">
        <v>118</v>
      </c>
      <c r="B266">
        <v>0</v>
      </c>
      <c r="C266">
        <v>0</v>
      </c>
      <c r="D266">
        <v>0</v>
      </c>
      <c r="E266">
        <v>0</v>
      </c>
      <c r="F266">
        <v>0</v>
      </c>
      <c r="G266">
        <v>0</v>
      </c>
      <c r="H266">
        <v>0</v>
      </c>
      <c r="I266">
        <v>0</v>
      </c>
      <c r="J266">
        <v>0</v>
      </c>
      <c r="K266">
        <v>0</v>
      </c>
    </row>
    <row r="267" spans="1:11" x14ac:dyDescent="0.25">
      <c r="A267" t="s">
        <v>119</v>
      </c>
      <c r="B267">
        <v>0</v>
      </c>
      <c r="C267">
        <v>0</v>
      </c>
      <c r="D267">
        <v>0</v>
      </c>
      <c r="E267">
        <v>0</v>
      </c>
      <c r="F267">
        <v>0</v>
      </c>
      <c r="G267">
        <v>0</v>
      </c>
      <c r="H267">
        <v>0</v>
      </c>
      <c r="I267">
        <v>0</v>
      </c>
      <c r="J267">
        <v>0</v>
      </c>
      <c r="K267">
        <v>0</v>
      </c>
    </row>
    <row r="268" spans="1:11" x14ac:dyDescent="0.25">
      <c r="A268" t="s">
        <v>120</v>
      </c>
      <c r="B268">
        <v>0</v>
      </c>
      <c r="C268">
        <v>0</v>
      </c>
      <c r="D268">
        <v>0</v>
      </c>
      <c r="E268">
        <v>0</v>
      </c>
      <c r="F268">
        <v>0</v>
      </c>
      <c r="G268">
        <v>0</v>
      </c>
      <c r="H268">
        <v>0</v>
      </c>
      <c r="I268">
        <v>0</v>
      </c>
      <c r="J268">
        <v>0</v>
      </c>
      <c r="K268">
        <v>0</v>
      </c>
    </row>
    <row r="269" spans="1:11" x14ac:dyDescent="0.25">
      <c r="A269" t="s">
        <v>75</v>
      </c>
      <c r="B269">
        <v>0</v>
      </c>
      <c r="C269">
        <v>0</v>
      </c>
      <c r="D269">
        <v>0</v>
      </c>
      <c r="E269">
        <v>0</v>
      </c>
      <c r="F269">
        <v>0</v>
      </c>
      <c r="G269">
        <v>0</v>
      </c>
      <c r="H269">
        <v>0</v>
      </c>
      <c r="I269">
        <v>0</v>
      </c>
      <c r="J269">
        <v>0</v>
      </c>
      <c r="K269">
        <v>0</v>
      </c>
    </row>
    <row r="270" spans="1:11" x14ac:dyDescent="0.25">
      <c r="A270" t="s">
        <v>121</v>
      </c>
      <c r="B270">
        <v>0</v>
      </c>
      <c r="C270">
        <v>0</v>
      </c>
      <c r="D270">
        <v>0</v>
      </c>
      <c r="E270">
        <v>0</v>
      </c>
      <c r="F270">
        <v>0</v>
      </c>
      <c r="G270">
        <v>0</v>
      </c>
      <c r="H270">
        <v>0</v>
      </c>
      <c r="I270">
        <v>0</v>
      </c>
      <c r="J270">
        <v>0</v>
      </c>
      <c r="K270">
        <v>0</v>
      </c>
    </row>
    <row r="271" spans="1:11" x14ac:dyDescent="0.25">
      <c r="A271" t="s">
        <v>122</v>
      </c>
      <c r="B271">
        <v>0</v>
      </c>
      <c r="C271">
        <v>0</v>
      </c>
      <c r="D271">
        <v>0</v>
      </c>
      <c r="E271">
        <v>0</v>
      </c>
      <c r="F271">
        <v>0</v>
      </c>
      <c r="G271">
        <v>0</v>
      </c>
      <c r="H271">
        <v>0</v>
      </c>
      <c r="I271">
        <v>0</v>
      </c>
      <c r="J271">
        <v>0</v>
      </c>
      <c r="K271">
        <v>0</v>
      </c>
    </row>
    <row r="272" spans="1:11" x14ac:dyDescent="0.25">
      <c r="A272" t="s">
        <v>123</v>
      </c>
      <c r="B272">
        <v>0</v>
      </c>
      <c r="C272">
        <v>0</v>
      </c>
      <c r="D272">
        <v>0</v>
      </c>
      <c r="E272">
        <v>0</v>
      </c>
      <c r="F272">
        <v>0</v>
      </c>
      <c r="G272">
        <v>0</v>
      </c>
      <c r="H272">
        <v>0</v>
      </c>
      <c r="I272">
        <v>0</v>
      </c>
      <c r="J272">
        <v>0</v>
      </c>
      <c r="K272">
        <v>0</v>
      </c>
    </row>
    <row r="273" spans="1:11" x14ac:dyDescent="0.25">
      <c r="A273" t="s">
        <v>76</v>
      </c>
      <c r="B273">
        <v>0</v>
      </c>
      <c r="C273">
        <v>0</v>
      </c>
      <c r="D273">
        <v>0</v>
      </c>
      <c r="E273">
        <v>0</v>
      </c>
      <c r="F273">
        <v>0</v>
      </c>
      <c r="G273">
        <v>0</v>
      </c>
      <c r="H273">
        <v>0</v>
      </c>
      <c r="I273">
        <v>0</v>
      </c>
      <c r="J273">
        <v>0</v>
      </c>
      <c r="K273">
        <v>0</v>
      </c>
    </row>
    <row r="274" spans="1:11" x14ac:dyDescent="0.25">
      <c r="A274" t="s">
        <v>77</v>
      </c>
      <c r="B274">
        <v>0</v>
      </c>
      <c r="C274">
        <v>0</v>
      </c>
      <c r="D274">
        <v>0</v>
      </c>
      <c r="E274">
        <v>0</v>
      </c>
      <c r="F274">
        <v>0</v>
      </c>
      <c r="G274">
        <v>0</v>
      </c>
      <c r="H274">
        <v>0</v>
      </c>
      <c r="I274">
        <v>0</v>
      </c>
      <c r="J274">
        <v>0</v>
      </c>
      <c r="K274">
        <v>0</v>
      </c>
    </row>
    <row r="275" spans="1:11" x14ac:dyDescent="0.25">
      <c r="A275" t="s">
        <v>124</v>
      </c>
      <c r="B275">
        <v>0</v>
      </c>
      <c r="C275">
        <v>0</v>
      </c>
      <c r="D275">
        <v>0</v>
      </c>
      <c r="E275">
        <v>0</v>
      </c>
      <c r="F275">
        <v>0</v>
      </c>
      <c r="G275">
        <v>0</v>
      </c>
      <c r="H275">
        <v>0</v>
      </c>
      <c r="I275">
        <v>0</v>
      </c>
      <c r="J275">
        <v>0</v>
      </c>
      <c r="K275">
        <v>0</v>
      </c>
    </row>
    <row r="276" spans="1:11" x14ac:dyDescent="0.25">
      <c r="A276" t="s">
        <v>125</v>
      </c>
      <c r="B276">
        <v>0</v>
      </c>
      <c r="C276">
        <v>0</v>
      </c>
      <c r="D276">
        <v>0</v>
      </c>
      <c r="E276">
        <v>0</v>
      </c>
      <c r="F276">
        <v>0</v>
      </c>
      <c r="G276">
        <v>0</v>
      </c>
      <c r="H276">
        <v>0</v>
      </c>
      <c r="I276">
        <v>0</v>
      </c>
      <c r="J276">
        <v>0</v>
      </c>
      <c r="K276">
        <v>0</v>
      </c>
    </row>
    <row r="277" spans="1:11" x14ac:dyDescent="0.25">
      <c r="A277" t="s">
        <v>79</v>
      </c>
      <c r="B277">
        <v>0</v>
      </c>
      <c r="C277">
        <v>0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0</v>
      </c>
      <c r="J277">
        <v>0</v>
      </c>
      <c r="K277">
        <v>0</v>
      </c>
    </row>
    <row r="278" spans="1:11" x14ac:dyDescent="0.25">
      <c r="A278" t="s">
        <v>126</v>
      </c>
      <c r="B278">
        <v>0</v>
      </c>
      <c r="C278">
        <v>0</v>
      </c>
      <c r="D278">
        <v>0</v>
      </c>
      <c r="E278">
        <v>0</v>
      </c>
      <c r="F278">
        <v>0</v>
      </c>
      <c r="G278">
        <v>0</v>
      </c>
      <c r="H278">
        <v>0</v>
      </c>
      <c r="I278">
        <v>0</v>
      </c>
      <c r="J278">
        <v>0</v>
      </c>
      <c r="K278">
        <v>0</v>
      </c>
    </row>
    <row r="279" spans="1:11" x14ac:dyDescent="0.25">
      <c r="A279" t="s">
        <v>127</v>
      </c>
      <c r="B279">
        <v>0</v>
      </c>
      <c r="C279">
        <v>0</v>
      </c>
      <c r="D279">
        <v>0</v>
      </c>
      <c r="E279">
        <v>0</v>
      </c>
      <c r="F279">
        <v>0</v>
      </c>
      <c r="G279">
        <v>0</v>
      </c>
      <c r="H279">
        <v>0</v>
      </c>
      <c r="I279">
        <v>0</v>
      </c>
      <c r="J279">
        <v>0</v>
      </c>
      <c r="K279">
        <v>0</v>
      </c>
    </row>
    <row r="280" spans="1:11" x14ac:dyDescent="0.25">
      <c r="A280" t="s">
        <v>107</v>
      </c>
      <c r="B280">
        <v>0</v>
      </c>
      <c r="C280">
        <v>0</v>
      </c>
      <c r="D280">
        <v>0</v>
      </c>
      <c r="E280">
        <v>0</v>
      </c>
      <c r="F280">
        <v>0</v>
      </c>
      <c r="G280">
        <v>0</v>
      </c>
      <c r="H280">
        <v>0</v>
      </c>
      <c r="I280">
        <v>0</v>
      </c>
      <c r="J280">
        <v>0</v>
      </c>
      <c r="K280">
        <v>0</v>
      </c>
    </row>
    <row r="281" spans="1:11" x14ac:dyDescent="0.25">
      <c r="A281" t="s">
        <v>128</v>
      </c>
      <c r="B281">
        <v>0</v>
      </c>
      <c r="C281">
        <v>0</v>
      </c>
      <c r="D281">
        <v>0</v>
      </c>
      <c r="E281">
        <v>0</v>
      </c>
      <c r="F281">
        <v>0</v>
      </c>
      <c r="G281">
        <v>0</v>
      </c>
      <c r="H281">
        <v>0</v>
      </c>
      <c r="I281">
        <v>0</v>
      </c>
      <c r="J281">
        <v>0</v>
      </c>
      <c r="K281">
        <v>0</v>
      </c>
    </row>
    <row r="282" spans="1:11" x14ac:dyDescent="0.25">
      <c r="A282" t="s">
        <v>129</v>
      </c>
      <c r="B282">
        <v>0</v>
      </c>
      <c r="C282">
        <v>0</v>
      </c>
      <c r="D282">
        <v>0</v>
      </c>
      <c r="E282">
        <v>0</v>
      </c>
      <c r="F282">
        <v>0</v>
      </c>
      <c r="G282">
        <v>0</v>
      </c>
      <c r="H282">
        <v>0</v>
      </c>
      <c r="I282">
        <v>0</v>
      </c>
      <c r="J282">
        <v>0</v>
      </c>
      <c r="K282">
        <v>0</v>
      </c>
    </row>
    <row r="283" spans="1:11" x14ac:dyDescent="0.25">
      <c r="A283" t="s">
        <v>81</v>
      </c>
      <c r="B283">
        <v>0</v>
      </c>
      <c r="C283">
        <v>0</v>
      </c>
      <c r="D283">
        <v>0</v>
      </c>
      <c r="E283">
        <v>0</v>
      </c>
      <c r="F283">
        <v>0</v>
      </c>
      <c r="G283">
        <v>0</v>
      </c>
      <c r="H283">
        <v>0</v>
      </c>
      <c r="I283">
        <v>0</v>
      </c>
      <c r="J283">
        <v>0</v>
      </c>
      <c r="K283">
        <v>0</v>
      </c>
    </row>
    <row r="284" spans="1:11" x14ac:dyDescent="0.25">
      <c r="A284" t="s">
        <v>83</v>
      </c>
      <c r="B284">
        <v>34.770000000000003</v>
      </c>
      <c r="C284">
        <v>34.979999999999997</v>
      </c>
      <c r="D284">
        <v>35.979999999999997</v>
      </c>
      <c r="E284">
        <v>36.880000000000003</v>
      </c>
      <c r="F284">
        <v>38.450000000000003</v>
      </c>
      <c r="G284">
        <v>38.97</v>
      </c>
      <c r="H284">
        <v>40.840000000000003</v>
      </c>
      <c r="I284">
        <v>43.91</v>
      </c>
      <c r="J284">
        <v>46.54</v>
      </c>
      <c r="K284">
        <v>45.75</v>
      </c>
    </row>
    <row r="285" spans="1:11" x14ac:dyDescent="0.25">
      <c r="A285" t="s">
        <v>130</v>
      </c>
      <c r="B285">
        <v>0</v>
      </c>
      <c r="C285">
        <v>0</v>
      </c>
      <c r="D285">
        <v>0</v>
      </c>
      <c r="E285">
        <v>0</v>
      </c>
      <c r="F285">
        <v>0</v>
      </c>
      <c r="G285">
        <v>0</v>
      </c>
      <c r="H285">
        <v>0</v>
      </c>
      <c r="I285">
        <v>0</v>
      </c>
      <c r="J285">
        <v>0</v>
      </c>
      <c r="K285">
        <v>0</v>
      </c>
    </row>
    <row r="289" spans="1:11" x14ac:dyDescent="0.25">
      <c r="A289" t="s">
        <v>31</v>
      </c>
      <c r="B289" t="s">
        <v>147</v>
      </c>
    </row>
    <row r="290" spans="1:11" x14ac:dyDescent="0.25">
      <c r="B290">
        <v>2012</v>
      </c>
      <c r="C290">
        <v>2013</v>
      </c>
      <c r="D290">
        <v>2014</v>
      </c>
      <c r="E290">
        <v>2015</v>
      </c>
      <c r="F290">
        <v>2016</v>
      </c>
      <c r="G290">
        <v>2017</v>
      </c>
      <c r="H290">
        <v>2018</v>
      </c>
      <c r="I290">
        <v>2019</v>
      </c>
      <c r="J290">
        <v>2020</v>
      </c>
      <c r="K290">
        <v>2021</v>
      </c>
    </row>
    <row r="291" spans="1:11" x14ac:dyDescent="0.25">
      <c r="A291" t="s">
        <v>112</v>
      </c>
      <c r="B291">
        <v>0</v>
      </c>
      <c r="C291">
        <v>0</v>
      </c>
      <c r="D291">
        <v>0</v>
      </c>
      <c r="E291">
        <v>0</v>
      </c>
      <c r="F291">
        <v>0</v>
      </c>
      <c r="G291">
        <v>0</v>
      </c>
      <c r="H291">
        <v>0</v>
      </c>
      <c r="I291">
        <v>0</v>
      </c>
      <c r="J291">
        <v>0</v>
      </c>
      <c r="K291">
        <v>0</v>
      </c>
    </row>
    <row r="292" spans="1:11" x14ac:dyDescent="0.25">
      <c r="A292" t="s">
        <v>113</v>
      </c>
      <c r="B292">
        <v>0</v>
      </c>
      <c r="C292">
        <v>0</v>
      </c>
      <c r="D292">
        <v>0</v>
      </c>
      <c r="E292">
        <v>0</v>
      </c>
      <c r="F292">
        <v>0</v>
      </c>
      <c r="G292">
        <v>0</v>
      </c>
      <c r="H292">
        <v>0</v>
      </c>
      <c r="I292">
        <v>0</v>
      </c>
      <c r="J292">
        <v>0</v>
      </c>
      <c r="K292">
        <v>0</v>
      </c>
    </row>
    <row r="293" spans="1:11" x14ac:dyDescent="0.25">
      <c r="A293" t="s">
        <v>114</v>
      </c>
      <c r="B293">
        <v>0</v>
      </c>
      <c r="C293">
        <v>0</v>
      </c>
      <c r="D293">
        <v>0</v>
      </c>
      <c r="E293">
        <v>0</v>
      </c>
      <c r="F293">
        <v>0</v>
      </c>
      <c r="G293">
        <v>0</v>
      </c>
      <c r="H293">
        <v>0</v>
      </c>
      <c r="I293">
        <v>0</v>
      </c>
      <c r="J293">
        <v>0</v>
      </c>
      <c r="K293">
        <v>0</v>
      </c>
    </row>
    <row r="294" spans="1:11" x14ac:dyDescent="0.25">
      <c r="A294" t="s">
        <v>115</v>
      </c>
      <c r="B294">
        <v>0</v>
      </c>
      <c r="C294">
        <v>0</v>
      </c>
      <c r="D294">
        <v>0</v>
      </c>
      <c r="E294">
        <v>0</v>
      </c>
      <c r="F294">
        <v>0</v>
      </c>
      <c r="G294">
        <v>0</v>
      </c>
      <c r="H294">
        <v>0</v>
      </c>
      <c r="I294">
        <v>0</v>
      </c>
      <c r="J294">
        <v>0</v>
      </c>
      <c r="K294">
        <v>0</v>
      </c>
    </row>
    <row r="295" spans="1:11" x14ac:dyDescent="0.25">
      <c r="A295" t="s">
        <v>116</v>
      </c>
      <c r="B295">
        <v>0</v>
      </c>
      <c r="C295">
        <v>0</v>
      </c>
      <c r="D295">
        <v>0</v>
      </c>
      <c r="E295">
        <v>0</v>
      </c>
      <c r="F295">
        <v>0</v>
      </c>
      <c r="G295">
        <v>0</v>
      </c>
      <c r="H295">
        <v>0</v>
      </c>
      <c r="I295">
        <v>0</v>
      </c>
      <c r="J295">
        <v>0</v>
      </c>
      <c r="K295">
        <v>0</v>
      </c>
    </row>
    <row r="296" spans="1:11" x14ac:dyDescent="0.25">
      <c r="A296" t="s">
        <v>117</v>
      </c>
      <c r="B296">
        <v>0</v>
      </c>
      <c r="C296">
        <v>0</v>
      </c>
      <c r="D296">
        <v>0</v>
      </c>
      <c r="E296">
        <v>0</v>
      </c>
      <c r="F296">
        <v>0</v>
      </c>
      <c r="G296">
        <v>0</v>
      </c>
      <c r="H296">
        <v>0</v>
      </c>
      <c r="I296">
        <v>0</v>
      </c>
      <c r="J296">
        <v>0</v>
      </c>
      <c r="K296">
        <v>0</v>
      </c>
    </row>
    <row r="297" spans="1:11" x14ac:dyDescent="0.25">
      <c r="A297" t="s">
        <v>73</v>
      </c>
      <c r="B297">
        <v>0</v>
      </c>
      <c r="C297">
        <v>0</v>
      </c>
      <c r="D297">
        <v>0</v>
      </c>
      <c r="E297">
        <v>0</v>
      </c>
      <c r="F297">
        <v>0</v>
      </c>
      <c r="G297">
        <v>0</v>
      </c>
      <c r="H297">
        <v>0</v>
      </c>
      <c r="I297">
        <v>0</v>
      </c>
      <c r="J297">
        <v>0</v>
      </c>
      <c r="K297">
        <v>0</v>
      </c>
    </row>
    <row r="298" spans="1:11" x14ac:dyDescent="0.25">
      <c r="A298" t="s">
        <v>118</v>
      </c>
      <c r="B298">
        <v>0</v>
      </c>
      <c r="C298">
        <v>0</v>
      </c>
      <c r="D298">
        <v>0</v>
      </c>
      <c r="E298">
        <v>0</v>
      </c>
      <c r="F298">
        <v>0</v>
      </c>
      <c r="G298">
        <v>0</v>
      </c>
      <c r="H298">
        <v>0</v>
      </c>
      <c r="I298">
        <v>0</v>
      </c>
      <c r="J298">
        <v>0</v>
      </c>
      <c r="K298">
        <v>0</v>
      </c>
    </row>
    <row r="299" spans="1:11" x14ac:dyDescent="0.25">
      <c r="A299" t="s">
        <v>119</v>
      </c>
      <c r="B299">
        <v>0</v>
      </c>
      <c r="C299">
        <v>0</v>
      </c>
      <c r="D299">
        <v>0</v>
      </c>
      <c r="E299">
        <v>0</v>
      </c>
      <c r="F299">
        <v>0</v>
      </c>
      <c r="G299">
        <v>0</v>
      </c>
      <c r="H299">
        <v>0</v>
      </c>
      <c r="I299">
        <v>0</v>
      </c>
      <c r="J299">
        <v>0</v>
      </c>
      <c r="K299">
        <v>0</v>
      </c>
    </row>
    <row r="300" spans="1:11" x14ac:dyDescent="0.25">
      <c r="A300" t="s">
        <v>120</v>
      </c>
      <c r="B300">
        <v>0</v>
      </c>
      <c r="C300">
        <v>0</v>
      </c>
      <c r="D300">
        <v>0</v>
      </c>
      <c r="E300">
        <v>0</v>
      </c>
      <c r="F300">
        <v>0</v>
      </c>
      <c r="G300">
        <v>0</v>
      </c>
      <c r="H300">
        <v>0</v>
      </c>
      <c r="I300">
        <v>0</v>
      </c>
      <c r="J300">
        <v>0</v>
      </c>
      <c r="K300">
        <v>0</v>
      </c>
    </row>
    <row r="301" spans="1:11" x14ac:dyDescent="0.25">
      <c r="A301" t="s">
        <v>75</v>
      </c>
      <c r="B301">
        <v>0</v>
      </c>
      <c r="C301">
        <v>0</v>
      </c>
      <c r="D301">
        <v>0</v>
      </c>
      <c r="E301">
        <v>0</v>
      </c>
      <c r="F301">
        <v>0</v>
      </c>
      <c r="G301">
        <v>0</v>
      </c>
      <c r="H301">
        <v>0</v>
      </c>
      <c r="I301">
        <v>0</v>
      </c>
      <c r="J301">
        <v>0</v>
      </c>
      <c r="K301">
        <v>0</v>
      </c>
    </row>
    <row r="302" spans="1:11" x14ac:dyDescent="0.25">
      <c r="A302" t="s">
        <v>121</v>
      </c>
      <c r="B302">
        <v>0</v>
      </c>
      <c r="C302">
        <v>0</v>
      </c>
      <c r="D302">
        <v>0</v>
      </c>
      <c r="E302">
        <v>0</v>
      </c>
      <c r="F302">
        <v>0</v>
      </c>
      <c r="G302">
        <v>0</v>
      </c>
      <c r="H302">
        <v>0</v>
      </c>
      <c r="I302">
        <v>0</v>
      </c>
      <c r="J302">
        <v>0</v>
      </c>
      <c r="K302">
        <v>0</v>
      </c>
    </row>
    <row r="303" spans="1:11" x14ac:dyDescent="0.25">
      <c r="A303" t="s">
        <v>122</v>
      </c>
      <c r="B303">
        <v>0</v>
      </c>
      <c r="C303">
        <v>0</v>
      </c>
      <c r="D303">
        <v>0</v>
      </c>
      <c r="E303">
        <v>0</v>
      </c>
      <c r="F303">
        <v>0</v>
      </c>
      <c r="G303">
        <v>0</v>
      </c>
      <c r="H303">
        <v>0</v>
      </c>
      <c r="I303">
        <v>0</v>
      </c>
      <c r="J303">
        <v>0</v>
      </c>
      <c r="K303">
        <v>0</v>
      </c>
    </row>
    <row r="304" spans="1:11" x14ac:dyDescent="0.25">
      <c r="A304" t="s">
        <v>123</v>
      </c>
      <c r="B304">
        <v>0</v>
      </c>
      <c r="C304">
        <v>0</v>
      </c>
      <c r="D304">
        <v>0</v>
      </c>
      <c r="E304">
        <v>0</v>
      </c>
      <c r="F304">
        <v>0</v>
      </c>
      <c r="G304">
        <v>0</v>
      </c>
      <c r="H304">
        <v>0</v>
      </c>
      <c r="I304">
        <v>0</v>
      </c>
      <c r="J304">
        <v>0</v>
      </c>
      <c r="K304">
        <v>0</v>
      </c>
    </row>
    <row r="305" spans="1:11" x14ac:dyDescent="0.25">
      <c r="A305" t="s">
        <v>76</v>
      </c>
      <c r="B305">
        <v>0</v>
      </c>
      <c r="C305">
        <v>0</v>
      </c>
      <c r="D305">
        <v>0</v>
      </c>
      <c r="E305">
        <v>0</v>
      </c>
      <c r="F305">
        <v>0</v>
      </c>
      <c r="G305">
        <v>0</v>
      </c>
      <c r="H305">
        <v>0</v>
      </c>
      <c r="I305">
        <v>0</v>
      </c>
      <c r="J305">
        <v>0</v>
      </c>
      <c r="K305">
        <v>0</v>
      </c>
    </row>
    <row r="306" spans="1:11" x14ac:dyDescent="0.25">
      <c r="A306" t="s">
        <v>77</v>
      </c>
      <c r="B306">
        <v>0</v>
      </c>
      <c r="C306">
        <v>0</v>
      </c>
      <c r="D306">
        <v>0</v>
      </c>
      <c r="E306">
        <v>0</v>
      </c>
      <c r="F306">
        <v>0</v>
      </c>
      <c r="G306">
        <v>0</v>
      </c>
      <c r="H306">
        <v>0</v>
      </c>
      <c r="I306">
        <v>0</v>
      </c>
      <c r="J306">
        <v>0</v>
      </c>
      <c r="K306">
        <v>0</v>
      </c>
    </row>
    <row r="307" spans="1:11" x14ac:dyDescent="0.25">
      <c r="A307" t="s">
        <v>124</v>
      </c>
      <c r="B307">
        <v>0</v>
      </c>
      <c r="C307">
        <v>0</v>
      </c>
      <c r="D307">
        <v>0</v>
      </c>
      <c r="E307">
        <v>0</v>
      </c>
      <c r="F307">
        <v>0</v>
      </c>
      <c r="G307">
        <v>0</v>
      </c>
      <c r="H307">
        <v>0</v>
      </c>
      <c r="I307">
        <v>0</v>
      </c>
      <c r="J307">
        <v>0</v>
      </c>
      <c r="K307">
        <v>0</v>
      </c>
    </row>
    <row r="308" spans="1:11" x14ac:dyDescent="0.25">
      <c r="A308" t="s">
        <v>125</v>
      </c>
      <c r="B308">
        <v>0</v>
      </c>
      <c r="C308">
        <v>0</v>
      </c>
      <c r="D308">
        <v>0</v>
      </c>
      <c r="E308">
        <v>0</v>
      </c>
      <c r="F308">
        <v>0</v>
      </c>
      <c r="G308">
        <v>0</v>
      </c>
      <c r="H308">
        <v>0</v>
      </c>
      <c r="I308">
        <v>0</v>
      </c>
      <c r="J308">
        <v>0</v>
      </c>
      <c r="K308">
        <v>0</v>
      </c>
    </row>
    <row r="309" spans="1:11" x14ac:dyDescent="0.25">
      <c r="A309" t="s">
        <v>79</v>
      </c>
      <c r="B309">
        <v>0</v>
      </c>
      <c r="C309">
        <v>0</v>
      </c>
      <c r="D309">
        <v>0</v>
      </c>
      <c r="E309">
        <v>0</v>
      </c>
      <c r="F309">
        <v>0</v>
      </c>
      <c r="G309">
        <v>0</v>
      </c>
      <c r="H309">
        <v>0</v>
      </c>
      <c r="I309">
        <v>0</v>
      </c>
      <c r="J309">
        <v>0</v>
      </c>
      <c r="K309">
        <v>0</v>
      </c>
    </row>
    <row r="310" spans="1:11" x14ac:dyDescent="0.25">
      <c r="A310" t="s">
        <v>126</v>
      </c>
      <c r="B310">
        <v>0</v>
      </c>
      <c r="C310">
        <v>0</v>
      </c>
      <c r="D310">
        <v>0</v>
      </c>
      <c r="E310">
        <v>0</v>
      </c>
      <c r="F310">
        <v>0</v>
      </c>
      <c r="G310">
        <v>0</v>
      </c>
      <c r="H310">
        <v>0</v>
      </c>
      <c r="I310">
        <v>0</v>
      </c>
      <c r="J310">
        <v>0</v>
      </c>
      <c r="K310">
        <v>0</v>
      </c>
    </row>
    <row r="311" spans="1:11" x14ac:dyDescent="0.25">
      <c r="A311" t="s">
        <v>127</v>
      </c>
      <c r="B311">
        <v>0</v>
      </c>
      <c r="C311">
        <v>0</v>
      </c>
      <c r="D311">
        <v>0</v>
      </c>
      <c r="E311">
        <v>0</v>
      </c>
      <c r="F311">
        <v>0</v>
      </c>
      <c r="G311">
        <v>0</v>
      </c>
      <c r="H311">
        <v>0</v>
      </c>
      <c r="I311">
        <v>0</v>
      </c>
      <c r="J311">
        <v>0</v>
      </c>
      <c r="K311">
        <v>0</v>
      </c>
    </row>
    <row r="312" spans="1:11" x14ac:dyDescent="0.25">
      <c r="A312" t="s">
        <v>107</v>
      </c>
      <c r="B312">
        <v>0</v>
      </c>
      <c r="C312">
        <v>0</v>
      </c>
      <c r="D312">
        <v>0</v>
      </c>
      <c r="E312">
        <v>0</v>
      </c>
      <c r="F312">
        <v>0</v>
      </c>
      <c r="G312">
        <v>0</v>
      </c>
      <c r="H312">
        <v>0</v>
      </c>
      <c r="I312">
        <v>0</v>
      </c>
      <c r="J312">
        <v>0</v>
      </c>
      <c r="K312">
        <v>0</v>
      </c>
    </row>
    <row r="313" spans="1:11" x14ac:dyDescent="0.25">
      <c r="A313" t="s">
        <v>128</v>
      </c>
      <c r="B313">
        <v>0</v>
      </c>
      <c r="C313">
        <v>0</v>
      </c>
      <c r="D313">
        <v>0</v>
      </c>
      <c r="E313">
        <v>0</v>
      </c>
      <c r="F313">
        <v>0</v>
      </c>
      <c r="G313">
        <v>0</v>
      </c>
      <c r="H313">
        <v>0</v>
      </c>
      <c r="I313">
        <v>0</v>
      </c>
      <c r="J313">
        <v>0</v>
      </c>
      <c r="K313">
        <v>0</v>
      </c>
    </row>
    <row r="314" spans="1:11" x14ac:dyDescent="0.25">
      <c r="A314" t="s">
        <v>129</v>
      </c>
      <c r="B314">
        <v>0</v>
      </c>
      <c r="C314">
        <v>0</v>
      </c>
      <c r="D314">
        <v>0</v>
      </c>
      <c r="E314">
        <v>0</v>
      </c>
      <c r="F314">
        <v>0</v>
      </c>
      <c r="G314">
        <v>0</v>
      </c>
      <c r="H314">
        <v>0</v>
      </c>
      <c r="I314">
        <v>0</v>
      </c>
      <c r="J314">
        <v>0</v>
      </c>
      <c r="K314">
        <v>0</v>
      </c>
    </row>
    <row r="315" spans="1:11" x14ac:dyDescent="0.25">
      <c r="A315" t="s">
        <v>81</v>
      </c>
      <c r="B315">
        <v>0</v>
      </c>
      <c r="C315">
        <v>0</v>
      </c>
      <c r="D315">
        <v>0</v>
      </c>
      <c r="E315">
        <v>0</v>
      </c>
      <c r="F315">
        <v>0</v>
      </c>
      <c r="G315">
        <v>0</v>
      </c>
      <c r="H315">
        <v>0</v>
      </c>
      <c r="I315">
        <v>0</v>
      </c>
      <c r="J315">
        <v>0</v>
      </c>
      <c r="K315">
        <v>0</v>
      </c>
    </row>
    <row r="316" spans="1:11" x14ac:dyDescent="0.25">
      <c r="A316" t="s">
        <v>83</v>
      </c>
      <c r="B316">
        <v>32.68</v>
      </c>
      <c r="C316">
        <v>32.880000000000003</v>
      </c>
      <c r="D316">
        <v>33.82</v>
      </c>
      <c r="E316">
        <v>34.67</v>
      </c>
      <c r="F316">
        <v>36.14</v>
      </c>
      <c r="G316">
        <v>36.630000000000003</v>
      </c>
      <c r="H316">
        <v>38.39</v>
      </c>
      <c r="I316">
        <v>41.27</v>
      </c>
      <c r="J316">
        <v>43.74</v>
      </c>
      <c r="K316">
        <v>43</v>
      </c>
    </row>
    <row r="317" spans="1:11" x14ac:dyDescent="0.25">
      <c r="A317" t="s">
        <v>130</v>
      </c>
      <c r="B317">
        <v>0</v>
      </c>
      <c r="C317">
        <v>0</v>
      </c>
      <c r="D317">
        <v>0</v>
      </c>
      <c r="E317">
        <v>0</v>
      </c>
      <c r="F317">
        <v>0</v>
      </c>
      <c r="G317">
        <v>0</v>
      </c>
      <c r="H317">
        <v>0</v>
      </c>
      <c r="I317">
        <v>0</v>
      </c>
      <c r="J317">
        <v>0</v>
      </c>
      <c r="K317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9C4EA-0E47-4051-AB31-EDECA902CB44}">
  <dimension ref="A1:K61"/>
  <sheetViews>
    <sheetView topLeftCell="A46" workbookViewId="0">
      <selection activeCell="B31" sqref="B31"/>
    </sheetView>
  </sheetViews>
  <sheetFormatPr baseColWidth="10" defaultColWidth="11.42578125" defaultRowHeight="15" x14ac:dyDescent="0.25"/>
  <sheetData>
    <row r="1" spans="1:11" x14ac:dyDescent="0.25">
      <c r="A1" t="s">
        <v>14</v>
      </c>
      <c r="B1" t="s">
        <v>148</v>
      </c>
    </row>
    <row r="2" spans="1:11" x14ac:dyDescent="0.25">
      <c r="B2">
        <v>2012</v>
      </c>
      <c r="C2">
        <v>2013</v>
      </c>
      <c r="D2">
        <v>2014</v>
      </c>
      <c r="E2">
        <v>2015</v>
      </c>
      <c r="F2">
        <v>2016</v>
      </c>
      <c r="G2">
        <v>2017</v>
      </c>
      <c r="H2">
        <v>2018</v>
      </c>
      <c r="I2">
        <v>2019</v>
      </c>
      <c r="J2">
        <v>2020</v>
      </c>
      <c r="K2">
        <v>2021</v>
      </c>
    </row>
    <row r="3" spans="1:11" x14ac:dyDescent="0.25">
      <c r="A3" t="s">
        <v>112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</row>
    <row r="4" spans="1:11" x14ac:dyDescent="0.25">
      <c r="A4" t="s">
        <v>113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</row>
    <row r="5" spans="1:11" x14ac:dyDescent="0.25">
      <c r="A5" t="s">
        <v>114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</row>
    <row r="6" spans="1:11" x14ac:dyDescent="0.25">
      <c r="A6" t="s">
        <v>115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</row>
    <row r="7" spans="1:11" x14ac:dyDescent="0.25">
      <c r="A7" t="s">
        <v>116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</row>
    <row r="8" spans="1:11" x14ac:dyDescent="0.25">
      <c r="A8" t="s">
        <v>117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</row>
    <row r="9" spans="1:11" x14ac:dyDescent="0.25">
      <c r="A9" t="s">
        <v>73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</row>
    <row r="10" spans="1:11" x14ac:dyDescent="0.25">
      <c r="A10" t="s">
        <v>118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</row>
    <row r="11" spans="1:11" x14ac:dyDescent="0.25">
      <c r="A11" t="s">
        <v>119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</row>
    <row r="12" spans="1:11" x14ac:dyDescent="0.25">
      <c r="A12" t="s">
        <v>120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</row>
    <row r="13" spans="1:11" x14ac:dyDescent="0.25">
      <c r="A13" t="s">
        <v>75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</row>
    <row r="14" spans="1:11" x14ac:dyDescent="0.25">
      <c r="A14" t="s">
        <v>121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</row>
    <row r="15" spans="1:11" x14ac:dyDescent="0.25">
      <c r="A15" t="s">
        <v>122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</row>
    <row r="16" spans="1:11" x14ac:dyDescent="0.25">
      <c r="A16" t="s">
        <v>123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</row>
    <row r="17" spans="1:11" x14ac:dyDescent="0.25">
      <c r="A17" t="s">
        <v>76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</row>
    <row r="18" spans="1:11" x14ac:dyDescent="0.25">
      <c r="A18" t="s">
        <v>77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</row>
    <row r="19" spans="1:11" x14ac:dyDescent="0.25">
      <c r="A19" t="s">
        <v>124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</row>
    <row r="20" spans="1:11" x14ac:dyDescent="0.25">
      <c r="A20" t="s">
        <v>125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</row>
    <row r="21" spans="1:11" x14ac:dyDescent="0.25">
      <c r="A21" t="s">
        <v>79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</row>
    <row r="22" spans="1:11" x14ac:dyDescent="0.25">
      <c r="A22" t="s">
        <v>126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</row>
    <row r="23" spans="1:11" x14ac:dyDescent="0.25">
      <c r="A23" t="s">
        <v>127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</row>
    <row r="24" spans="1:11" x14ac:dyDescent="0.25">
      <c r="A24" t="s">
        <v>107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</row>
    <row r="25" spans="1:11" x14ac:dyDescent="0.25">
      <c r="A25" t="s">
        <v>128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</row>
    <row r="26" spans="1:11" x14ac:dyDescent="0.25">
      <c r="A26" t="s">
        <v>129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</row>
    <row r="27" spans="1:11" x14ac:dyDescent="0.25">
      <c r="A27" t="s">
        <v>81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</row>
    <row r="28" spans="1:11" x14ac:dyDescent="0.25">
      <c r="A28" t="s">
        <v>83</v>
      </c>
      <c r="B28">
        <v>6.57</v>
      </c>
      <c r="C28">
        <v>6.97</v>
      </c>
      <c r="D28">
        <v>5.85</v>
      </c>
      <c r="E28">
        <v>6.12</v>
      </c>
      <c r="F28">
        <v>5.85</v>
      </c>
      <c r="G28">
        <v>6.04</v>
      </c>
      <c r="H28">
        <v>6.04</v>
      </c>
      <c r="I28">
        <v>6.25</v>
      </c>
      <c r="J28">
        <v>5.74</v>
      </c>
      <c r="K28">
        <v>5.51</v>
      </c>
    </row>
    <row r="29" spans="1:11" x14ac:dyDescent="0.25">
      <c r="A29" t="s">
        <v>130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</row>
    <row r="33" spans="1:11" x14ac:dyDescent="0.25">
      <c r="A33" t="s">
        <v>17</v>
      </c>
      <c r="B33" t="s">
        <v>149</v>
      </c>
    </row>
    <row r="34" spans="1:11" x14ac:dyDescent="0.25">
      <c r="B34">
        <v>2012</v>
      </c>
      <c r="C34">
        <v>2013</v>
      </c>
      <c r="D34">
        <v>2014</v>
      </c>
      <c r="E34">
        <v>2015</v>
      </c>
      <c r="F34">
        <v>2016</v>
      </c>
      <c r="G34">
        <v>2017</v>
      </c>
      <c r="H34">
        <v>2018</v>
      </c>
      <c r="I34">
        <v>2019</v>
      </c>
      <c r="J34">
        <v>2020</v>
      </c>
      <c r="K34">
        <v>2021</v>
      </c>
    </row>
    <row r="35" spans="1:11" x14ac:dyDescent="0.25">
      <c r="A35" t="s">
        <v>112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</row>
    <row r="36" spans="1:11" x14ac:dyDescent="0.25">
      <c r="A36" t="s">
        <v>113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</row>
    <row r="37" spans="1:11" x14ac:dyDescent="0.25">
      <c r="A37" t="s">
        <v>114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</row>
    <row r="38" spans="1:11" x14ac:dyDescent="0.25">
      <c r="A38" t="s">
        <v>115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</row>
    <row r="39" spans="1:11" x14ac:dyDescent="0.25">
      <c r="A39" t="s">
        <v>116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</row>
    <row r="40" spans="1:11" x14ac:dyDescent="0.25">
      <c r="A40" t="s">
        <v>117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</row>
    <row r="41" spans="1:11" x14ac:dyDescent="0.25">
      <c r="A41" t="s">
        <v>73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</row>
    <row r="42" spans="1:11" x14ac:dyDescent="0.25">
      <c r="A42" t="s">
        <v>118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</row>
    <row r="43" spans="1:11" x14ac:dyDescent="0.25">
      <c r="A43" t="s">
        <v>119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</row>
    <row r="44" spans="1:11" x14ac:dyDescent="0.25">
      <c r="A44" t="s">
        <v>120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</row>
    <row r="45" spans="1:11" x14ac:dyDescent="0.25">
      <c r="A45" t="s">
        <v>75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</row>
    <row r="46" spans="1:11" x14ac:dyDescent="0.25">
      <c r="A46" t="s">
        <v>121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</row>
    <row r="47" spans="1:11" x14ac:dyDescent="0.25">
      <c r="A47" t="s">
        <v>122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</row>
    <row r="48" spans="1:11" x14ac:dyDescent="0.25">
      <c r="A48" t="s">
        <v>123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</row>
    <row r="49" spans="1:11" x14ac:dyDescent="0.25">
      <c r="A49" t="s">
        <v>76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</row>
    <row r="50" spans="1:11" x14ac:dyDescent="0.25">
      <c r="A50" t="s">
        <v>77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</row>
    <row r="51" spans="1:11" x14ac:dyDescent="0.25">
      <c r="A51" t="s">
        <v>124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</row>
    <row r="52" spans="1:11" x14ac:dyDescent="0.25">
      <c r="A52" t="s">
        <v>125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</row>
    <row r="53" spans="1:11" x14ac:dyDescent="0.25">
      <c r="A53" t="s">
        <v>79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</row>
    <row r="54" spans="1:11" x14ac:dyDescent="0.25">
      <c r="A54" t="s">
        <v>126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</row>
    <row r="55" spans="1:11" x14ac:dyDescent="0.25">
      <c r="A55" t="s">
        <v>127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</row>
    <row r="56" spans="1:11" x14ac:dyDescent="0.25">
      <c r="A56" t="s">
        <v>107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</row>
    <row r="57" spans="1:11" x14ac:dyDescent="0.25">
      <c r="A57" t="s">
        <v>128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</row>
    <row r="58" spans="1:11" x14ac:dyDescent="0.25">
      <c r="A58" t="s">
        <v>129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</row>
    <row r="59" spans="1:11" x14ac:dyDescent="0.25">
      <c r="A59" t="s">
        <v>81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</row>
    <row r="60" spans="1:11" x14ac:dyDescent="0.25">
      <c r="A60" t="s">
        <v>83</v>
      </c>
      <c r="B60">
        <v>17.8</v>
      </c>
      <c r="C60">
        <v>19.5</v>
      </c>
      <c r="D60">
        <v>19.309999999999999</v>
      </c>
      <c r="E60">
        <v>19.559999999999999</v>
      </c>
      <c r="F60">
        <v>19</v>
      </c>
      <c r="G60">
        <v>18.14</v>
      </c>
      <c r="H60">
        <v>18.79</v>
      </c>
      <c r="I60">
        <v>18.510000000000002</v>
      </c>
      <c r="J60">
        <v>17.98</v>
      </c>
      <c r="K60">
        <v>17.11</v>
      </c>
    </row>
    <row r="61" spans="1:11" x14ac:dyDescent="0.25">
      <c r="A61" t="s">
        <v>130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9CA992-6E1F-4A50-8839-00D963FC8941}">
  <sheetPr>
    <outlinePr summaryBelow="0"/>
  </sheetPr>
  <dimension ref="A2:P170"/>
  <sheetViews>
    <sheetView tabSelected="1" topLeftCell="A2" workbookViewId="0">
      <selection activeCell="F175" sqref="F175"/>
    </sheetView>
  </sheetViews>
  <sheetFormatPr baseColWidth="10" defaultColWidth="11.42578125" defaultRowHeight="15" outlineLevelRow="2" x14ac:dyDescent="0.25"/>
  <cols>
    <col min="4" max="10" width="7" customWidth="1"/>
    <col min="11" max="11" width="8.140625" bestFit="1" customWidth="1"/>
    <col min="12" max="14" width="7" customWidth="1"/>
  </cols>
  <sheetData>
    <row r="2" spans="1:15" collapsed="1" x14ac:dyDescent="0.25">
      <c r="A2" t="s">
        <v>45</v>
      </c>
      <c r="D2">
        <v>2013</v>
      </c>
      <c r="E2">
        <v>2014</v>
      </c>
      <c r="F2">
        <v>2015</v>
      </c>
      <c r="G2">
        <v>2016</v>
      </c>
      <c r="H2">
        <v>2017</v>
      </c>
      <c r="I2">
        <v>2018</v>
      </c>
      <c r="J2">
        <v>2019</v>
      </c>
      <c r="K2">
        <v>2020</v>
      </c>
      <c r="L2">
        <v>2021</v>
      </c>
      <c r="M2">
        <v>2022</v>
      </c>
      <c r="N2">
        <v>2023</v>
      </c>
    </row>
    <row r="3" spans="1:15" hidden="1" outlineLevel="1" collapsed="1" x14ac:dyDescent="0.25">
      <c r="A3" t="s">
        <v>150</v>
      </c>
      <c r="C3" t="s">
        <v>73</v>
      </c>
      <c r="D3" s="3">
        <f>Res!C9+Res!C41+Res!C73+Res!C105+Res!C137+Res!C169+Res!C201+Res!C233+Res!C265+Res!C297</f>
        <v>4.04</v>
      </c>
      <c r="E3" s="3">
        <f>Res!D9+Res!D41+Res!D73+Res!D105+Res!D137+Res!D169+Res!D201+Res!D233+Res!D265+Res!D297</f>
        <v>4.53</v>
      </c>
      <c r="F3" s="3">
        <f>Res!E9+Res!E41+Res!E73+Res!E105+Res!E137+Res!E169+Res!E201+Res!E233+Res!E265+Res!E297</f>
        <v>5.29</v>
      </c>
      <c r="G3" s="3">
        <f>Res!F9+Res!F41+Res!F73+Res!F105+Res!F137+Res!F169+Res!F201+Res!F233+Res!F265+Res!F297</f>
        <v>6.1</v>
      </c>
      <c r="H3" s="3">
        <f>Res!G9+Res!G41+Res!G73+Res!G105+Res!G137+Res!G169+Res!G201+Res!G233+Res!G265+Res!G297</f>
        <v>6.42</v>
      </c>
      <c r="I3" s="3">
        <f>Res!H9+Res!H41+Res!H73+Res!H105+Res!H137+Res!H169+Res!H201+Res!H233+Res!H265+Res!H297</f>
        <v>7.11</v>
      </c>
      <c r="J3" s="3">
        <f>Res!I9+Res!I41+Res!I73+Res!I105+Res!I137+Res!I169+Res!I201+Res!I233+Res!I265+Res!I297</f>
        <v>7.89</v>
      </c>
      <c r="K3" s="3">
        <f>Res!J9+Res!J41+Res!J73+Res!J105+Res!J137+Res!J169+Res!J201+Res!J233+Res!J265+Res!J297</f>
        <v>9.01</v>
      </c>
      <c r="L3" s="3">
        <f>Res!K9+Res!K41+Res!K73+Res!K105+Res!K137+Res!K169+Res!K201+Res!K233+Res!K265+Res!K297</f>
        <v>10.69</v>
      </c>
      <c r="M3" s="3">
        <f>L3+L3-K3</f>
        <v>12.37</v>
      </c>
      <c r="N3" s="3">
        <f>M3+M3-L3</f>
        <v>14.049999999999999</v>
      </c>
      <c r="O3" s="3"/>
    </row>
    <row r="4" spans="1:15" hidden="1" outlineLevel="2" x14ac:dyDescent="0.25">
      <c r="C4" t="s">
        <v>75</v>
      </c>
      <c r="D4" s="3">
        <f>Res!C13+Res!C45+Res!C77+Res!C109+Res!C141+Res!C173+Res!C205+Res!C237+Res!C269+Res!C301</f>
        <v>331.84</v>
      </c>
      <c r="E4" s="3">
        <f>Res!D13+Res!D45+Res!D77+Res!D109+Res!D141+Res!D173+Res!D205+Res!D237+Res!D269+Res!D301</f>
        <v>330.21</v>
      </c>
      <c r="F4" s="3">
        <f>Res!E13+Res!E45+Res!E77+Res!E109+Res!E141+Res!E173+Res!E205+Res!E237+Res!E269+Res!E301</f>
        <v>328.57</v>
      </c>
      <c r="G4" s="3">
        <f>Res!F13+Res!F45+Res!F77+Res!F109+Res!F141+Res!F173+Res!F205+Res!F237+Res!F269+Res!F301</f>
        <v>326.93</v>
      </c>
      <c r="H4" s="3">
        <f>Res!G13+Res!G45+Res!G77+Res!G109+Res!G141+Res!G173+Res!G205+Res!G237+Res!G269+Res!G301</f>
        <v>325.28999999999996</v>
      </c>
      <c r="I4" s="3">
        <f>Res!H13+Res!H45+Res!H77+Res!H109+Res!H141+Res!H173+Res!H205+Res!H237+Res!H269+Res!H301</f>
        <v>323.68</v>
      </c>
      <c r="J4" s="3">
        <f>Res!I13+Res!I45+Res!I77+Res!I109+Res!I141+Res!I173+Res!I205+Res!I237+Res!I269+Res!I301</f>
        <v>322.04000000000002</v>
      </c>
      <c r="K4" s="3">
        <f>Res!J13+Res!J45+Res!J77+Res!J109+Res!J141+Res!J173+Res!J205+Res!J237+Res!J269+Res!J301</f>
        <v>320.39999999999998</v>
      </c>
      <c r="L4" s="3">
        <f>Res!K13+Res!K45+Res!K77+Res!K109+Res!K141+Res!K173+Res!K205+Res!K237+Res!K269+Res!K301</f>
        <v>319.07</v>
      </c>
      <c r="M4" s="3">
        <f t="shared" ref="M4:N4" si="0">L4+L4-K4</f>
        <v>317.74</v>
      </c>
      <c r="N4" s="3">
        <f t="shared" si="0"/>
        <v>316.41000000000003</v>
      </c>
      <c r="O4" s="3"/>
    </row>
    <row r="5" spans="1:15" hidden="1" outlineLevel="2" x14ac:dyDescent="0.25">
      <c r="C5" t="s">
        <v>76</v>
      </c>
      <c r="D5" s="3">
        <f>Res!C17+Res!C49+Res!C81+Res!C113+Res!C145+Res!C177+Res!C209+Res!C241+Res!C273+Res!C305</f>
        <v>71.16</v>
      </c>
      <c r="E5" s="3">
        <f>Res!D17+Res!D49+Res!D81+Res!D113+Res!D145+Res!D177+Res!D209+Res!D241+Res!D273+Res!D305</f>
        <v>71.89</v>
      </c>
      <c r="F5" s="3">
        <f>Res!E17+Res!E49+Res!E81+Res!E113+Res!E145+Res!E177+Res!E209+Res!E241+Res!E273+Res!E305</f>
        <v>72.63</v>
      </c>
      <c r="G5" s="3">
        <f>Res!F17+Res!F49+Res!F81+Res!F113+Res!F145+Res!F177+Res!F209+Res!F241+Res!F273+Res!F305</f>
        <v>73.36</v>
      </c>
      <c r="H5" s="3">
        <f>Res!G17+Res!G49+Res!G81+Res!G113+Res!G145+Res!G177+Res!G209+Res!G241+Res!G273+Res!G305</f>
        <v>74.09</v>
      </c>
      <c r="I5" s="3">
        <f>Res!H17+Res!H49+Res!H81+Res!H113+Res!H145+Res!H177+Res!H209+Res!H241+Res!H273+Res!H305</f>
        <v>74.83</v>
      </c>
      <c r="J5" s="3">
        <f>Res!I17+Res!I49+Res!I81+Res!I113+Res!I145+Res!I177+Res!I209+Res!I241+Res!I273+Res!I305</f>
        <v>75.56</v>
      </c>
      <c r="K5" s="3">
        <f>Res!J17+Res!J49+Res!J81+Res!J113+Res!J145+Res!J177+Res!J209+Res!J241+Res!J273+Res!J305</f>
        <v>76.31</v>
      </c>
      <c r="L5" s="3">
        <f>Res!K17+Res!K49+Res!K81+Res!K113+Res!K145+Res!K177+Res!K209+Res!K241+Res!K273+Res!K305</f>
        <v>77.040000000000006</v>
      </c>
      <c r="M5" s="3">
        <f t="shared" ref="M5:N5" si="1">L5+L5-K5</f>
        <v>77.77000000000001</v>
      </c>
      <c r="N5" s="3">
        <f t="shared" si="1"/>
        <v>78.500000000000014</v>
      </c>
      <c r="O5" s="3"/>
    </row>
    <row r="6" spans="1:15" hidden="1" outlineLevel="2" x14ac:dyDescent="0.25">
      <c r="C6" t="s">
        <v>77</v>
      </c>
      <c r="D6" s="3">
        <f>Res!C18+Res!C50+Res!C82+Res!C114+Res!C146+Res!C178+Res!C210+Res!C242+Res!C274+Res!C306</f>
        <v>20.51</v>
      </c>
      <c r="E6" s="3">
        <f>Res!D18+Res!D50+Res!D82+Res!D114+Res!D146+Res!D178+Res!D210+Res!D242+Res!D274+Res!D306</f>
        <v>20.399999999999999</v>
      </c>
      <c r="F6" s="3">
        <f>Res!E18+Res!E50+Res!E82+Res!E114+Res!E146+Res!E178+Res!E210+Res!E242+Res!E274+Res!E306</f>
        <v>20.310000000000002</v>
      </c>
      <c r="G6" s="3">
        <f>Res!F18+Res!F50+Res!F82+Res!F114+Res!F146+Res!F178+Res!F210+Res!F242+Res!F274+Res!F306</f>
        <v>20.2</v>
      </c>
      <c r="H6" s="3">
        <f>Res!G18+Res!G50+Res!G82+Res!G114+Res!G146+Res!G178+Res!G210+Res!G242+Res!G274+Res!G306</f>
        <v>20.11</v>
      </c>
      <c r="I6" s="3">
        <f>Res!H18+Res!H50+Res!H82+Res!H114+Res!H146+Res!H178+Res!H210+Res!H242+Res!H274+Res!H306</f>
        <v>20</v>
      </c>
      <c r="J6" s="3">
        <f>Res!I18+Res!I50+Res!I82+Res!I114+Res!I146+Res!I178+Res!I210+Res!I242+Res!I274+Res!I306</f>
        <v>19.91</v>
      </c>
      <c r="K6" s="3">
        <f>Res!J18+Res!J50+Res!J82+Res!J114+Res!J146+Res!J178+Res!J210+Res!J242+Res!J274+Res!J306</f>
        <v>19.8</v>
      </c>
      <c r="L6" s="3">
        <f>Res!K18+Res!K50+Res!K82+Res!K114+Res!K146+Res!K178+Res!K210+Res!K242+Res!K274+Res!K306</f>
        <v>19.72</v>
      </c>
      <c r="M6" s="3">
        <f t="shared" ref="M6:N6" si="2">L6+L6-K6</f>
        <v>19.639999999999997</v>
      </c>
      <c r="N6" s="3">
        <f t="shared" si="2"/>
        <v>19.559999999999995</v>
      </c>
      <c r="O6" s="3"/>
    </row>
    <row r="7" spans="1:15" hidden="1" outlineLevel="2" x14ac:dyDescent="0.25">
      <c r="C7" t="s">
        <v>79</v>
      </c>
      <c r="D7" s="3">
        <f>'Cuadro A.15'!B17</f>
        <v>256.95999999999998</v>
      </c>
      <c r="E7" s="3">
        <f>'Cuadro A.15'!C17</f>
        <v>257.11</v>
      </c>
      <c r="F7" s="3">
        <f>'Cuadro A.15'!D17</f>
        <v>253.39</v>
      </c>
      <c r="G7" s="3">
        <f>'Cuadro A.15'!E17</f>
        <v>247.54</v>
      </c>
      <c r="H7" s="3">
        <f>'Cuadro A.15'!F17</f>
        <v>246.45</v>
      </c>
      <c r="I7" s="3">
        <f>'Cuadro A.15'!G17</f>
        <v>246.45</v>
      </c>
      <c r="J7" s="3">
        <f>'Cuadro A.15'!H17</f>
        <v>231.04</v>
      </c>
      <c r="K7" s="3">
        <f>'Cuadro A.15'!I17</f>
        <v>289.54000000000002</v>
      </c>
      <c r="L7" s="3">
        <f>'Cuadro A.15'!J17</f>
        <v>239.1</v>
      </c>
      <c r="M7" s="3">
        <f>'Cuadro A.15'!K17</f>
        <v>246.98</v>
      </c>
      <c r="N7" s="3">
        <f>'Cuadro A.15'!L17</f>
        <v>224.57</v>
      </c>
      <c r="O7" s="3"/>
    </row>
    <row r="8" spans="1:15" hidden="1" outlineLevel="2" x14ac:dyDescent="0.25">
      <c r="C8" t="s">
        <v>81</v>
      </c>
      <c r="D8" s="3">
        <f>'Cuadro A.15'!B19</f>
        <v>33.799999999999997</v>
      </c>
      <c r="E8" s="3">
        <f>'Cuadro A.15'!C19</f>
        <v>39.86</v>
      </c>
      <c r="F8" s="3">
        <f>'Cuadro A.15'!D19</f>
        <v>37.43</v>
      </c>
      <c r="G8" s="3">
        <f>'Cuadro A.15'!E19</f>
        <v>37.450000000000003</v>
      </c>
      <c r="H8" s="3">
        <f>'Cuadro A.15'!F19</f>
        <v>35.479999999999997</v>
      </c>
      <c r="I8" s="3">
        <f>'Cuadro A.15'!G19</f>
        <v>30.16</v>
      </c>
      <c r="J8" s="3">
        <f>'Cuadro A.15'!H19</f>
        <v>29.94</v>
      </c>
      <c r="K8" s="3">
        <f>'Cuadro A.15'!I19</f>
        <v>25.95</v>
      </c>
      <c r="L8" s="3">
        <f>'Cuadro A.15'!J19</f>
        <v>27.66</v>
      </c>
      <c r="M8" s="3">
        <f>'Cuadro A.15'!K19</f>
        <v>25.2</v>
      </c>
      <c r="N8" s="3">
        <f>'Cuadro A.15'!L19</f>
        <v>26</v>
      </c>
      <c r="O8" s="3"/>
    </row>
    <row r="9" spans="1:15" hidden="1" outlineLevel="2" x14ac:dyDescent="0.25">
      <c r="C9" t="s">
        <v>83</v>
      </c>
      <c r="D9" s="3">
        <f>'Cuadro A.15'!B20</f>
        <v>191.14</v>
      </c>
      <c r="E9" s="3">
        <f>'Cuadro A.15'!C20</f>
        <v>196.62</v>
      </c>
      <c r="F9" s="3">
        <f>'Cuadro A.15'!D20</f>
        <v>203.75</v>
      </c>
      <c r="G9" s="3">
        <f>'Cuadro A.15'!E20</f>
        <v>212.28</v>
      </c>
      <c r="H9" s="3">
        <f>'Cuadro A.15'!F20</f>
        <v>212.95</v>
      </c>
      <c r="I9" s="3">
        <f>'Cuadro A.15'!G20</f>
        <v>227.8</v>
      </c>
      <c r="J9" s="3">
        <f>'Cuadro A.15'!H20</f>
        <v>232.15</v>
      </c>
      <c r="K9" s="3">
        <f>'Cuadro A.15'!I20</f>
        <v>260.10000000000002</v>
      </c>
      <c r="L9" s="3">
        <f>'Cuadro A.15'!J20</f>
        <v>250.06</v>
      </c>
      <c r="M9" s="3">
        <f>'Cuadro A.15'!K20</f>
        <v>264.91000000000003</v>
      </c>
      <c r="N9" s="3">
        <f>'Cuadro A.15'!L20</f>
        <v>271.63</v>
      </c>
      <c r="O9" s="3"/>
    </row>
    <row r="10" spans="1:15" hidden="1" outlineLevel="2" x14ac:dyDescent="0.25">
      <c r="D10" s="3">
        <f>SUM(D3:D9)</f>
        <v>909.44999999999993</v>
      </c>
      <c r="E10" s="3">
        <f t="shared" ref="E10:N10" si="3">SUM(E3:E9)</f>
        <v>920.61999999999989</v>
      </c>
      <c r="F10" s="3">
        <f t="shared" si="3"/>
        <v>921.37</v>
      </c>
      <c r="G10" s="3">
        <f t="shared" si="3"/>
        <v>923.86</v>
      </c>
      <c r="H10" s="3">
        <f t="shared" si="3"/>
        <v>920.79</v>
      </c>
      <c r="I10" s="3">
        <f t="shared" si="3"/>
        <v>930.03</v>
      </c>
      <c r="J10" s="3">
        <f t="shared" si="3"/>
        <v>918.53000000000009</v>
      </c>
      <c r="K10" s="3">
        <f t="shared" si="3"/>
        <v>1001.11</v>
      </c>
      <c r="L10" s="3">
        <f t="shared" si="3"/>
        <v>943.33999999999992</v>
      </c>
      <c r="M10" s="3">
        <f t="shared" si="3"/>
        <v>964.61000000000013</v>
      </c>
      <c r="N10" s="3">
        <f t="shared" si="3"/>
        <v>950.72</v>
      </c>
      <c r="O10" s="3"/>
    </row>
    <row r="11" spans="1:15" hidden="1" outlineLevel="1" collapsed="1" x14ac:dyDescent="0.25">
      <c r="A11" t="s">
        <v>151</v>
      </c>
      <c r="D11">
        <v>2013</v>
      </c>
      <c r="E11">
        <v>2014</v>
      </c>
      <c r="F11">
        <v>2015</v>
      </c>
      <c r="G11">
        <v>2016</v>
      </c>
      <c r="H11">
        <v>2017</v>
      </c>
      <c r="I11">
        <v>2018</v>
      </c>
      <c r="J11">
        <v>2019</v>
      </c>
      <c r="K11">
        <v>2020</v>
      </c>
      <c r="L11">
        <v>2021</v>
      </c>
      <c r="M11">
        <v>2022</v>
      </c>
      <c r="N11">
        <v>2023</v>
      </c>
    </row>
    <row r="12" spans="1:15" hidden="1" outlineLevel="2" x14ac:dyDescent="0.25">
      <c r="B12" t="s">
        <v>61</v>
      </c>
    </row>
    <row r="13" spans="1:15" hidden="1" outlineLevel="2" x14ac:dyDescent="0.25">
      <c r="C13" t="s">
        <v>83</v>
      </c>
      <c r="D13" s="3">
        <f>D$9*Res!C28/(Res!C$28+Res!C$60+Res!C$92+Res!C$124+Res!C$156+Res!C$188+Res!C$220+Res!C$252+Res!C$284+Res!C$316)</f>
        <v>16.440000000000001</v>
      </c>
      <c r="E13" s="3">
        <f>E$9*Res!D28/(Res!D$28+Res!D$60+Res!D$92+Res!D$124+Res!D$156+Res!D$188+Res!D$220+Res!D$252+Res!D$284+Res!D$316)</f>
        <v>16.910860078327651</v>
      </c>
      <c r="F13" s="3">
        <f>F$9*Res!E28/(Res!E$28+Res!E$60+Res!E$92+Res!E$124+Res!E$156+Res!E$188+Res!E$220+Res!E$252+Res!E$284+Res!E$316)</f>
        <v>17.519163979161501</v>
      </c>
      <c r="G13" s="3">
        <f>G$9*Res!F28/(Res!F$28+Res!F$60+Res!F$92+Res!F$124+Res!F$156+Res!F$188+Res!F$220+Res!F$252+Res!F$284+Res!F$316)</f>
        <v>18.254887926521679</v>
      </c>
      <c r="H13" s="3">
        <f>H$9*Res!G28/(Res!G$28+Res!G$60+Res!G$92+Res!G$124+Res!G$156+Res!G$188+Res!G$220+Res!G$252+Res!G$284+Res!G$316)</f>
        <v>18.309140214124717</v>
      </c>
      <c r="I13" s="3">
        <f>I$9*Res!H28/(Res!H$28+Res!H$60+Res!H$92+Res!H$124+Res!H$156+Res!H$188+Res!H$220+Res!H$252+Res!H$284+Res!H$316)</f>
        <v>19.588125644127796</v>
      </c>
      <c r="J13" s="3">
        <f>J$9*Res!I28/(Res!I$28+Res!I$60+Res!I$92+Res!I$124+Res!I$156+Res!I$188+Res!I$220+Res!I$252+Res!I$284+Res!I$316)</f>
        <v>19.961049055974659</v>
      </c>
      <c r="K13" s="3">
        <f>K$9*Res!J28/(Res!J$28+Res!J$60+Res!J$92+Res!J$124+Res!J$156+Res!J$188+Res!J$220+Res!J$252+Res!J$284+Res!J$316)</f>
        <v>22.367045454545455</v>
      </c>
      <c r="L13" s="3">
        <f>L$9*Res!K28/(Res!K$28+Res!K$60+Res!K$92+Res!K$124+Res!K$156+Res!K$188+Res!K$220+Res!K$252+Res!K$284+Res!K$316)</f>
        <v>21.50516</v>
      </c>
      <c r="M13" s="3">
        <f>L13/L$9*M$9</f>
        <v>22.782260000000001</v>
      </c>
      <c r="N13" s="3">
        <f>M13/M$9*N$9</f>
        <v>23.360179999999996</v>
      </c>
      <c r="O13" s="3"/>
    </row>
    <row r="14" spans="1:15" hidden="1" outlineLevel="2" x14ac:dyDescent="0.25">
      <c r="B14" t="s">
        <v>152</v>
      </c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15" hidden="1" outlineLevel="2" x14ac:dyDescent="0.25">
      <c r="C15" t="s">
        <v>83</v>
      </c>
      <c r="D15" s="3">
        <f>D$9*Res!C316/(Res!C$28+Res!C$60+Res!C$92+Res!C$124+Res!C$156+Res!C$188+Res!C$220+Res!C$252+Res!C$284+Res!C$316)</f>
        <v>32.880000000000003</v>
      </c>
      <c r="E15" s="3">
        <f>E$9*Res!D316/(Res!D$28+Res!D$60+Res!D$92+Res!D$124+Res!D$156+Res!D$188+Res!D$220+Res!D$252+Res!D$284+Res!D$316)</f>
        <v>33.821720156655303</v>
      </c>
      <c r="F15" s="3">
        <f>F$9*Res!E316/(Res!E$28+Res!E$60+Res!E$92+Res!E$124+Res!E$156+Res!E$188+Res!E$220+Res!E$252+Res!E$284+Res!E$316)</f>
        <v>35.048437112379077</v>
      </c>
      <c r="G15" s="3">
        <f>G$9*Res!F316/(Res!F$28+Res!F$60+Res!F$92+Res!F$124+Res!F$156+Res!F$188+Res!F$220+Res!F$252+Res!F$284+Res!F$316)</f>
        <v>36.509775853043358</v>
      </c>
      <c r="H15" s="3">
        <f>H$9*Res!G316/(Res!G$28+Res!G$60+Res!G$92+Res!G$124+Res!G$156+Res!G$188+Res!G$220+Res!G$252+Res!G$284+Res!G$316)</f>
        <v>36.628279958677687</v>
      </c>
      <c r="I15" s="3">
        <f>I$9*Res!H316/(Res!H$28+Res!H$60+Res!H$92+Res!H$124+Res!H$156+Res!H$188+Res!H$220+Res!H$252+Res!H$284+Res!H$316)</f>
        <v>39.186458753416673</v>
      </c>
      <c r="J15" s="3">
        <f>J$9*Res!I316/(Res!I$28+Res!I$60+Res!I$92+Res!I$124+Res!I$156+Res!I$188+Res!I$220+Res!I$252+Res!I$284+Res!I$316)</f>
        <v>39.931773850706463</v>
      </c>
      <c r="K15" s="3">
        <f>K$9*Res!J316/(Res!J$28+Res!J$60+Res!J$92+Res!J$124+Res!J$156+Res!J$188+Res!J$220+Res!J$252+Res!J$284+Res!J$316)</f>
        <v>44.734090909090909</v>
      </c>
      <c r="L15" s="3">
        <f>L$9*Res!K316/(Res!K$28+Res!K$60+Res!K$92+Res!K$124+Res!K$156+Res!K$188+Res!K$220+Res!K$252+Res!K$284+Res!K$316)</f>
        <v>43.01032</v>
      </c>
      <c r="M15" s="3">
        <f>L15/L$9*M$9</f>
        <v>45.564520000000002</v>
      </c>
      <c r="N15" s="3">
        <f>M15/M$9*N$9</f>
        <v>46.720359999999992</v>
      </c>
      <c r="O15" s="3"/>
    </row>
    <row r="16" spans="1:15" hidden="1" outlineLevel="2" x14ac:dyDescent="0.25">
      <c r="B16" t="s">
        <v>153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2:15" hidden="1" outlineLevel="2" x14ac:dyDescent="0.25">
      <c r="C17" t="s">
        <v>83</v>
      </c>
      <c r="D17" s="3">
        <f>D$9*Res!C188/(Res!C$28+Res!C$60+Res!C$92+Res!C$124+Res!C$156+Res!C$188+Res!C$220+Res!C$252+Res!C$284+Res!C$316)</f>
        <v>10.699999999999998</v>
      </c>
      <c r="E17" s="3">
        <f>E$9*Res!D188/(Res!D$28+Res!D$60+Res!D$92+Res!D$124+Res!D$156+Res!D$188+Res!D$220+Res!D$252+Res!D$284+Res!D$316)</f>
        <v>11.010559991862062</v>
      </c>
      <c r="F17" s="3">
        <f>F$9*Res!E188/(Res!E$28+Res!E$60+Res!E$92+Res!E$124+Res!E$156+Res!E$188+Res!E$220+Res!E$252+Res!E$284+Res!E$316)</f>
        <v>11.413234929297941</v>
      </c>
      <c r="G17" s="3">
        <f>G$9*Res!F188/(Res!F$28+Res!F$60+Res!F$92+Res!F$124+Res!F$156+Res!F$188+Res!F$220+Res!F$252+Res!F$284+Res!F$316)</f>
        <v>11.89042783039071</v>
      </c>
      <c r="H17" s="3">
        <f>H$9*Res!G188/(Res!G$28+Res!G$60+Res!G$92+Res!G$124+Res!G$156+Res!G$188+Res!G$220+Res!G$252+Res!G$284+Res!G$316)</f>
        <v>11.929439800901575</v>
      </c>
      <c r="I17" s="3">
        <f>I$9*Res!H188/(Res!H$28+Res!H$60+Res!H$92+Res!H$124+Res!H$156+Res!H$188+Res!H$220+Res!H$252+Res!H$284+Res!H$316)</f>
        <v>12.759331451359948</v>
      </c>
      <c r="J17" s="3">
        <f>J$9*Res!I188/(Res!I$28+Res!I$60+Res!I$92+Res!I$124+Res!I$156+Res!I$188+Res!I$220+Res!I$252+Res!I$284+Res!I$316)</f>
        <v>13.004192889592797</v>
      </c>
      <c r="K17" s="3">
        <f>K$9*Res!J188/(Res!J$28+Res!J$60+Res!J$92+Res!J$124+Res!J$156+Res!J$188+Res!J$220+Res!J$252+Res!J$284+Res!J$316)</f>
        <v>14.563636363636364</v>
      </c>
      <c r="L17" s="3">
        <f>L$9*Res!K188/(Res!K$28+Res!K$60+Res!K$92+Res!K$124+Res!K$156+Res!K$188+Res!K$220+Res!K$252+Res!K$284+Res!K$316)</f>
        <v>14.003360000000001</v>
      </c>
      <c r="M17" s="3">
        <f>L17/L$9*M$9</f>
        <v>14.834960000000002</v>
      </c>
      <c r="N17" s="3">
        <f>M17/M$9*N$9</f>
        <v>15.21128</v>
      </c>
      <c r="O17" s="3"/>
    </row>
    <row r="18" spans="2:15" hidden="1" outlineLevel="2" x14ac:dyDescent="0.25">
      <c r="B18" t="s">
        <v>59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2:15" hidden="1" outlineLevel="2" x14ac:dyDescent="0.25">
      <c r="C19" t="s">
        <v>83</v>
      </c>
      <c r="D19" s="3">
        <f>D$9*Res!C60/(Res!C$28+Res!C$60+Res!C$92+Res!C$124+Res!C$156+Res!C$188+Res!C$220+Res!C$252+Res!C$284+Res!C$316)</f>
        <v>40.519999999999996</v>
      </c>
      <c r="E19" s="3">
        <f>E$9*Res!D60/(Res!D$28+Res!D$60+Res!D$92+Res!D$124+Res!D$156+Res!D$188+Res!D$220+Res!D$252+Res!D$284+Res!D$316)</f>
        <v>41.682119932862008</v>
      </c>
      <c r="F19" s="3">
        <f>F$9*Res!E60/(Res!E$28+Res!E$60+Res!E$92+Res!E$124+Res!E$156+Res!E$188+Res!E$220+Res!E$252+Res!E$284+Res!E$316)</f>
        <v>43.196415281567859</v>
      </c>
      <c r="G19" s="3">
        <f>G$9*Res!F60/(Res!F$28+Res!F$60+Res!F$92+Res!F$124+Res!F$156+Res!F$188+Res!F$220+Res!F$252+Res!F$284+Res!F$316)</f>
        <v>45.005824965497546</v>
      </c>
      <c r="H19" s="3">
        <f>H$9*Res!G60/(Res!G$28+Res!G$60+Res!G$92+Res!G$124+Res!G$156+Res!G$188+Res!G$220+Res!G$252+Res!G$284+Res!G$316)</f>
        <v>45.147879883546203</v>
      </c>
      <c r="I19" s="3">
        <f>I$9*Res!H60/(Res!H$28+Res!H$60+Res!H$92+Res!H$124+Res!H$156+Res!H$188+Res!H$220+Res!H$252+Res!H$284+Res!H$316)</f>
        <v>48.291517677107137</v>
      </c>
      <c r="J19" s="3">
        <f>J$9*Res!I60/(Res!I$28+Res!I$60+Res!I$92+Res!I$124+Res!I$156+Res!I$188+Res!I$220+Res!I$252+Res!I$284+Res!I$316)</f>
        <v>49.210807318801315</v>
      </c>
      <c r="K19" s="3">
        <f>K$9*Res!J60/(Res!J$28+Res!J$60+Res!J$92+Res!J$124+Res!J$156+Res!J$188+Res!J$220+Res!J$252+Res!J$284+Res!J$316)</f>
        <v>55.145454545454548</v>
      </c>
      <c r="L19" s="3">
        <f>L$9*Res!K60/(Res!K$28+Res!K$60+Res!K$92+Res!K$124+Res!K$156+Res!K$188+Res!K$220+Res!K$252+Res!K$284+Res!K$316)</f>
        <v>53.012720000000002</v>
      </c>
      <c r="M19" s="3">
        <f>L19/L$9*M$9</f>
        <v>56.160920000000004</v>
      </c>
      <c r="N19" s="3">
        <f>M19/M$9*N$9</f>
        <v>57.585559999999994</v>
      </c>
      <c r="O19" s="3"/>
    </row>
    <row r="20" spans="2:15" hidden="1" outlineLevel="2" x14ac:dyDescent="0.25">
      <c r="B20" t="s">
        <v>154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2:15" hidden="1" outlineLevel="2" x14ac:dyDescent="0.25">
      <c r="C21" t="s">
        <v>83</v>
      </c>
      <c r="D21" s="3">
        <f>D$9*Res!C220/(Res!C$28+Res!C$60+Res!C$92+Res!C$124+Res!C$156+Res!C$188+Res!C$220+Res!C$252+Res!C$284+Res!C$316)</f>
        <v>11.659999999999998</v>
      </c>
      <c r="E21" s="3">
        <f>E$9*Res!D220/(Res!D$28+Res!D$60+Res!D$92+Res!D$124+Res!D$156+Res!D$188+Res!D$220+Res!D$252+Res!D$284+Res!D$316)</f>
        <v>11.990609836732618</v>
      </c>
      <c r="F21" s="3">
        <f>F$9*Res!E220/(Res!E$28+Res!E$60+Res!E$92+Res!E$124+Res!E$156+Res!E$188+Res!E$220+Res!E$252+Res!E$284+Res!E$316)</f>
        <v>12.424150334904491</v>
      </c>
      <c r="G21" s="3">
        <f>G$9*Res!F220/(Res!F$28+Res!F$60+Res!F$92+Res!F$124+Res!F$156+Res!F$188+Res!F$220+Res!F$252+Res!F$284+Res!F$316)</f>
        <v>12.951171179745872</v>
      </c>
      <c r="H21" s="3">
        <f>H$9*Res!G220/(Res!G$28+Res!G$60+Res!G$92+Res!G$124+Res!G$156+Res!G$188+Res!G$220+Res!G$252+Res!G$284+Res!G$316)</f>
        <v>12.989390026296016</v>
      </c>
      <c r="I21" s="3">
        <f>I$9*Res!H220/(Res!H$28+Res!H$60+Res!H$92+Res!H$124+Res!H$156+Res!H$188+Res!H$220+Res!H$252+Res!H$284+Res!H$316)</f>
        <v>13.892360084240714</v>
      </c>
      <c r="J21" s="3">
        <f>J$9*Res!I220/(Res!I$28+Res!I$60+Res!I$92+Res!I$124+Res!I$156+Res!I$188+Res!I$220+Res!I$252+Res!I$284+Res!I$316)</f>
        <v>14.1652815404493</v>
      </c>
      <c r="K21" s="3">
        <f>K$9*Res!J220/(Res!J$28+Res!J$60+Res!J$92+Res!J$124+Res!J$156+Res!J$188+Res!J$220+Res!J$252+Res!J$284+Res!J$316)</f>
        <v>15.862499999999999</v>
      </c>
      <c r="L21" s="3">
        <f>L$9*Res!K220/(Res!K$28+Res!K$60+Res!K$92+Res!K$124+Res!K$156+Res!K$188+Res!K$220+Res!K$252+Res!K$284+Res!K$316)</f>
        <v>15.25366</v>
      </c>
      <c r="M21" s="3">
        <f>L21/L$9*M$9</f>
        <v>16.159510000000001</v>
      </c>
      <c r="N21" s="3">
        <f>M21/M$9*N$9</f>
        <v>16.569430000000001</v>
      </c>
      <c r="O21" s="3"/>
    </row>
    <row r="22" spans="2:15" hidden="1" outlineLevel="2" x14ac:dyDescent="0.25">
      <c r="B22" t="s">
        <v>155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2:15" hidden="1" outlineLevel="2" x14ac:dyDescent="0.25">
      <c r="C23" t="s">
        <v>83</v>
      </c>
      <c r="D23" s="3">
        <f>D$9*Res!C252/(Res!C$28+Res!C$60+Res!C$92+Res!C$124+Res!C$156+Res!C$188+Res!C$220+Res!C$252+Res!C$284+Res!C$316)</f>
        <v>3.4399999999999995</v>
      </c>
      <c r="E23" s="3">
        <f>E$9*Res!D252/(Res!D$28+Res!D$60+Res!D$92+Res!D$124+Res!D$156+Res!D$188+Res!D$220+Res!D$252+Res!D$284+Res!D$316)</f>
        <v>3.5401800518793549</v>
      </c>
      <c r="F23" s="3">
        <f>F$9*Res!E252/(Res!E$28+Res!E$60+Res!E$92+Res!E$124+Res!E$156+Res!E$188+Res!E$220+Res!E$252+Res!E$284+Res!E$316)</f>
        <v>3.6696229223517745</v>
      </c>
      <c r="G23" s="3">
        <f>G$9*Res!F252/(Res!F$28+Res!F$60+Res!F$92+Res!F$124+Res!F$156+Res!F$188+Res!F$220+Res!F$252+Res!F$284+Res!F$316)</f>
        <v>3.8186760576785801</v>
      </c>
      <c r="H23" s="3">
        <f>H$9*Res!G252/(Res!G$28+Res!G$60+Res!G$92+Res!G$124+Res!G$156+Res!G$188+Res!G$220+Res!G$252+Res!G$284+Res!G$316)</f>
        <v>3.8298201540195338</v>
      </c>
      <c r="I23" s="3">
        <f>I$9*Res!H252/(Res!H$28+Res!H$60+Res!H$92+Res!H$124+Res!H$156+Res!H$188+Res!H$220+Res!H$252+Res!H$284+Res!H$316)</f>
        <v>4.1034009947573598</v>
      </c>
      <c r="J23" s="3">
        <f>J$9*Res!I252/(Res!I$28+Res!I$60+Res!I$92+Res!I$124+Res!I$156+Res!I$188+Res!I$220+Res!I$252+Res!I$284+Res!I$316)</f>
        <v>4.1799191430834002</v>
      </c>
      <c r="K23" s="3">
        <f>K$9*Res!J252/(Res!J$28+Res!J$60+Res!J$92+Res!J$124+Res!J$156+Res!J$188+Res!J$220+Res!J$252+Res!J$284+Res!J$316)</f>
        <v>4.6840909090909086</v>
      </c>
      <c r="L23" s="3">
        <f>L$9*Res!K252/(Res!K$28+Res!K$60+Res!K$92+Res!K$124+Res!K$156+Res!K$188+Res!K$220+Res!K$252+Res!K$284+Res!K$316)</f>
        <v>4.50108</v>
      </c>
      <c r="M23" s="3">
        <f>L23/L$9*M$9</f>
        <v>4.7683800000000005</v>
      </c>
      <c r="N23" s="3">
        <f>M23/M$9*N$9</f>
        <v>4.8893399999999998</v>
      </c>
      <c r="O23" s="3"/>
    </row>
    <row r="24" spans="2:15" hidden="1" outlineLevel="2" x14ac:dyDescent="0.25">
      <c r="B24" t="s">
        <v>156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2:15" hidden="1" outlineLevel="2" x14ac:dyDescent="0.25">
      <c r="C25" t="s">
        <v>83</v>
      </c>
      <c r="D25" s="3">
        <f>D$9*Res!C284/(Res!C$28+Res!C$60+Res!C$92+Res!C$124+Res!C$156+Res!C$188+Res!C$220+Res!C$252+Res!C$284+Res!C$316)</f>
        <v>34.97999999999999</v>
      </c>
      <c r="E25" s="3">
        <f>E$9*Res!D284/(Res!D$28+Res!D$60+Res!D$92+Res!D$124+Res!D$156+Res!D$188+Res!D$220+Res!D$252+Res!D$284+Res!D$316)</f>
        <v>35.981830018818975</v>
      </c>
      <c r="F25" s="3">
        <f>F$9*Res!E284/(Res!E$28+Res!E$60+Res!E$92+Res!E$124+Res!E$156+Res!E$188+Res!E$220+Res!E$252+Res!E$284+Res!E$316)</f>
        <v>37.282560158769549</v>
      </c>
      <c r="G25" s="3">
        <f>G$9*Res!F284/(Res!F$28+Res!F$60+Res!F$92+Res!F$124+Res!F$156+Res!F$188+Res!F$220+Res!F$252+Res!F$284+Res!F$316)</f>
        <v>38.843411221624713</v>
      </c>
      <c r="H25" s="3">
        <f>H$9*Res!G284/(Res!G$28+Res!G$60+Res!G$92+Res!G$124+Res!G$156+Res!G$188+Res!G$220+Res!G$252+Res!G$284+Res!G$316)</f>
        <v>38.968170078888051</v>
      </c>
      <c r="I25" s="3">
        <f>I$9*Res!H284/(Res!H$28+Res!H$60+Res!H$92+Res!H$124+Res!H$156+Res!H$188+Res!H$220+Res!H$252+Res!H$284+Res!H$316)</f>
        <v>41.68728771788323</v>
      </c>
      <c r="J25" s="3">
        <f>J$9*Res!I284/(Res!I$28+Res!I$60+Res!I$92+Res!I$124+Res!I$156+Res!I$188+Res!I$220+Res!I$252+Res!I$284+Res!I$316)</f>
        <v>42.486168882590754</v>
      </c>
      <c r="K25" s="3">
        <f>K$9*Res!J284/(Res!J$28+Res!J$60+Res!J$92+Res!J$124+Res!J$156+Res!J$188+Res!J$220+Res!J$252+Res!J$284+Res!J$316)</f>
        <v>47.597727272727269</v>
      </c>
      <c r="L25" s="3">
        <f>L$9*Res!K284/(Res!K$28+Res!K$60+Res!K$92+Res!K$124+Res!K$156+Res!K$188+Res!K$220+Res!K$252+Res!K$284+Res!K$316)</f>
        <v>45.760980000000004</v>
      </c>
      <c r="M25" s="3">
        <f>L25/L$9*M$9</f>
        <v>48.478530000000013</v>
      </c>
      <c r="N25" s="3">
        <f>M25/M$9*N$9</f>
        <v>49.708290000000005</v>
      </c>
      <c r="O25" s="3"/>
    </row>
    <row r="26" spans="2:15" hidden="1" outlineLevel="2" x14ac:dyDescent="0.25">
      <c r="B26" t="s">
        <v>157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2:15" hidden="1" outlineLevel="2" x14ac:dyDescent="0.25">
      <c r="C27" t="s">
        <v>83</v>
      </c>
      <c r="D27" s="3">
        <f>D$9*Res!C92/(Res!C$28+Res!C$60+Res!C$92+Res!C$124+Res!C$156+Res!C$188+Res!C$220+Res!C$252+Res!C$284+Res!C$316)</f>
        <v>40.519999999999996</v>
      </c>
      <c r="E27" s="3">
        <f>E$9*Res!D92/(Res!D$28+Res!D$60+Res!D$92+Res!D$124+Res!D$156+Res!D$188+Res!D$220+Res!D$252+Res!D$284+Res!D$316)</f>
        <v>41.682119932862008</v>
      </c>
      <c r="F27" s="3">
        <f>F$9*Res!E92/(Res!E$28+Res!E$60+Res!E$92+Res!E$124+Res!E$156+Res!E$188+Res!E$220+Res!E$252+Res!E$284+Res!E$316)</f>
        <v>43.196415281567859</v>
      </c>
      <c r="G27" s="3">
        <f>G$9*Res!F92/(Res!F$28+Res!F$60+Res!F$92+Res!F$124+Res!F$156+Res!F$188+Res!F$220+Res!F$252+Res!F$284+Res!F$316)</f>
        <v>45.005824965497546</v>
      </c>
      <c r="H27" s="3">
        <f>H$9*Res!G92/(Res!G$28+Res!G$60+Res!G$92+Res!G$124+Res!G$156+Res!G$188+Res!G$220+Res!G$252+Res!G$284+Res!G$316)</f>
        <v>45.147879883546203</v>
      </c>
      <c r="I27" s="3">
        <f>I$9*Res!H92/(Res!H$28+Res!H$60+Res!H$92+Res!H$124+Res!H$156+Res!H$188+Res!H$220+Res!H$252+Res!H$284+Res!H$316)</f>
        <v>48.291517677107137</v>
      </c>
      <c r="J27" s="3">
        <f>J$9*Res!I92/(Res!I$28+Res!I$60+Res!I$92+Res!I$124+Res!I$156+Res!I$188+Res!I$220+Res!I$252+Res!I$284+Res!I$316)</f>
        <v>49.210807318801315</v>
      </c>
      <c r="K27" s="3">
        <f>K$9*Res!J92/(Res!J$28+Res!J$60+Res!J$92+Res!J$124+Res!J$156+Res!J$188+Res!J$220+Res!J$252+Res!J$284+Res!J$316)</f>
        <v>55.145454545454548</v>
      </c>
      <c r="L27" s="3">
        <f>L$9*Res!K92/(Res!K$28+Res!K$60+Res!K$92+Res!K$124+Res!K$156+Res!K$188+Res!K$220+Res!K$252+Res!K$284+Res!K$316)</f>
        <v>53.012720000000002</v>
      </c>
      <c r="M27" s="3">
        <f>L27/L$9*M$9</f>
        <v>56.160920000000004</v>
      </c>
      <c r="N27" s="3">
        <f>M27/M$9*N$9</f>
        <v>57.585559999999994</v>
      </c>
      <c r="O27" s="3"/>
    </row>
    <row r="28" spans="2:15" hidden="1" outlineLevel="2" x14ac:dyDescent="0.25">
      <c r="B28" t="s">
        <v>67</v>
      </c>
    </row>
    <row r="29" spans="2:15" hidden="1" outlineLevel="2" x14ac:dyDescent="0.25">
      <c r="C29" t="s">
        <v>73</v>
      </c>
      <c r="D29" s="6">
        <f>D3</f>
        <v>4.04</v>
      </c>
      <c r="E29" s="6">
        <f t="shared" ref="E29:N29" si="4">E3</f>
        <v>4.53</v>
      </c>
      <c r="F29" s="6">
        <f t="shared" si="4"/>
        <v>5.29</v>
      </c>
      <c r="G29" s="6">
        <f t="shared" si="4"/>
        <v>6.1</v>
      </c>
      <c r="H29" s="6">
        <f t="shared" si="4"/>
        <v>6.42</v>
      </c>
      <c r="I29" s="6">
        <f t="shared" si="4"/>
        <v>7.11</v>
      </c>
      <c r="J29" s="6">
        <f t="shared" si="4"/>
        <v>7.89</v>
      </c>
      <c r="K29" s="6">
        <f t="shared" si="4"/>
        <v>9.01</v>
      </c>
      <c r="L29" s="6">
        <f t="shared" si="4"/>
        <v>10.69</v>
      </c>
      <c r="M29" s="6">
        <f t="shared" si="4"/>
        <v>12.37</v>
      </c>
      <c r="N29" s="6">
        <f t="shared" si="4"/>
        <v>14.049999999999999</v>
      </c>
      <c r="O29" s="6"/>
    </row>
    <row r="30" spans="2:15" hidden="1" outlineLevel="2" x14ac:dyDescent="0.25">
      <c r="C30" t="s">
        <v>75</v>
      </c>
      <c r="D30" s="6">
        <f t="shared" ref="D30:K34" si="5">(D$51/(D$51+D$50))*D4</f>
        <v>82.961161465552223</v>
      </c>
      <c r="E30" s="6">
        <f t="shared" si="5"/>
        <v>82.552478462641744</v>
      </c>
      <c r="F30" s="6">
        <f t="shared" si="5"/>
        <v>82.17745792324672</v>
      </c>
      <c r="G30" s="6">
        <f t="shared" si="5"/>
        <v>81.733585293669492</v>
      </c>
      <c r="H30" s="6">
        <f t="shared" si="5"/>
        <v>81.325614802767575</v>
      </c>
      <c r="I30" s="6">
        <f t="shared" si="5"/>
        <v>80.921482542118909</v>
      </c>
      <c r="J30" s="6">
        <f t="shared" si="5"/>
        <v>80.447152496456653</v>
      </c>
      <c r="K30" s="6">
        <f t="shared" si="5"/>
        <v>80.314739126384666</v>
      </c>
      <c r="L30" s="6">
        <f>($L$51/($L$51+$L$50))*L4</f>
        <v>79.770897588320622</v>
      </c>
      <c r="M30" s="6">
        <f t="shared" ref="M30:N34" si="6">M4*M$51/(M$51+M$50)</f>
        <v>78.890238361760865</v>
      </c>
      <c r="N30" s="6">
        <f t="shared" si="6"/>
        <v>77.828856580686463</v>
      </c>
      <c r="O30" s="6"/>
    </row>
    <row r="31" spans="2:15" hidden="1" outlineLevel="2" x14ac:dyDescent="0.25">
      <c r="C31" t="s">
        <v>76</v>
      </c>
      <c r="D31" s="6">
        <f t="shared" si="5"/>
        <v>17.79024906547944</v>
      </c>
      <c r="E31" s="6">
        <f t="shared" si="5"/>
        <v>17.972495311102982</v>
      </c>
      <c r="F31" s="6">
        <f t="shared" si="5"/>
        <v>18.165227406535621</v>
      </c>
      <c r="G31" s="6">
        <f t="shared" si="5"/>
        <v>18.340243529635071</v>
      </c>
      <c r="H31" s="6">
        <f t="shared" si="5"/>
        <v>18.523209446146669</v>
      </c>
      <c r="I31" s="6">
        <f t="shared" si="5"/>
        <v>18.707842741679304</v>
      </c>
      <c r="J31" s="6">
        <f t="shared" si="5"/>
        <v>18.875254138095467</v>
      </c>
      <c r="K31" s="6">
        <f t="shared" si="5"/>
        <v>19.12864464024474</v>
      </c>
      <c r="L31" s="6">
        <f>($L$51/($L$51+$L$50))*L5</f>
        <v>19.260820353540669</v>
      </c>
      <c r="M31" s="6">
        <f t="shared" si="6"/>
        <v>19.309164214118912</v>
      </c>
      <c r="N31" s="6">
        <f t="shared" si="6"/>
        <v>19.309014385082293</v>
      </c>
      <c r="O31" s="6"/>
    </row>
    <row r="32" spans="2:15" hidden="1" outlineLevel="2" x14ac:dyDescent="0.25">
      <c r="C32" t="s">
        <v>77</v>
      </c>
      <c r="D32" s="6">
        <f t="shared" si="5"/>
        <v>5.1275717865793045</v>
      </c>
      <c r="E32" s="6">
        <f t="shared" si="5"/>
        <v>5.0999986694463875</v>
      </c>
      <c r="F32" s="6">
        <f t="shared" si="5"/>
        <v>5.0796608650246258</v>
      </c>
      <c r="G32" s="6">
        <f t="shared" si="5"/>
        <v>5.0500670569605841</v>
      </c>
      <c r="H32" s="6">
        <f t="shared" si="5"/>
        <v>5.0276925625861724</v>
      </c>
      <c r="I32" s="6">
        <f t="shared" si="5"/>
        <v>5.000091605420101</v>
      </c>
      <c r="J32" s="6">
        <f t="shared" si="5"/>
        <v>4.9736144770974162</v>
      </c>
      <c r="K32" s="6">
        <f t="shared" si="5"/>
        <v>4.9632703954507384</v>
      </c>
      <c r="L32" s="6">
        <f>($L$51/($L$51+$L$50))*L6</f>
        <v>4.9302099866539706</v>
      </c>
      <c r="M32" s="6">
        <f t="shared" si="6"/>
        <v>4.8763274420122835</v>
      </c>
      <c r="N32" s="6">
        <f t="shared" si="6"/>
        <v>4.8112652404103127</v>
      </c>
      <c r="O32" s="6"/>
    </row>
    <row r="33" spans="1:15" hidden="1" outlineLevel="2" x14ac:dyDescent="0.25">
      <c r="C33" t="s">
        <v>79</v>
      </c>
      <c r="D33" s="6">
        <f t="shared" si="5"/>
        <v>64.240899379786342</v>
      </c>
      <c r="E33" s="6">
        <f t="shared" si="5"/>
        <v>64.277483230458856</v>
      </c>
      <c r="F33" s="6">
        <f t="shared" si="5"/>
        <v>63.374459211648926</v>
      </c>
      <c r="G33" s="6">
        <f t="shared" si="5"/>
        <v>61.88582174653579</v>
      </c>
      <c r="H33" s="6">
        <f t="shared" si="5"/>
        <v>61.614859873165699</v>
      </c>
      <c r="I33" s="6">
        <f t="shared" si="5"/>
        <v>61.613628807789183</v>
      </c>
      <c r="J33" s="6">
        <f t="shared" si="5"/>
        <v>57.714911541365488</v>
      </c>
      <c r="K33" s="6">
        <f t="shared" si="5"/>
        <v>72.579056075697309</v>
      </c>
      <c r="L33" s="6">
        <f>($L$51/($L$51+$L$50))*L7</f>
        <v>59.777546034937345</v>
      </c>
      <c r="M33" s="6">
        <f t="shared" si="6"/>
        <v>61.321555581883601</v>
      </c>
      <c r="N33" s="6">
        <f t="shared" si="6"/>
        <v>55.238539623667897</v>
      </c>
      <c r="O33" s="6"/>
    </row>
    <row r="34" spans="1:15" hidden="1" outlineLevel="2" x14ac:dyDescent="0.25">
      <c r="C34" t="s">
        <v>81</v>
      </c>
      <c r="D34" s="6">
        <f t="shared" si="5"/>
        <v>8.4501183026026556</v>
      </c>
      <c r="E34" s="6">
        <f t="shared" si="5"/>
        <v>9.9649974002025985</v>
      </c>
      <c r="F34" s="6">
        <f t="shared" si="5"/>
        <v>9.3614823327361751</v>
      </c>
      <c r="G34" s="6">
        <f t="shared" si="5"/>
        <v>9.3626243209492017</v>
      </c>
      <c r="H34" s="6">
        <f t="shared" si="5"/>
        <v>8.8703397374717756</v>
      </c>
      <c r="I34" s="6">
        <f t="shared" si="5"/>
        <v>7.5401381409735118</v>
      </c>
      <c r="J34" s="6">
        <f t="shared" si="5"/>
        <v>7.4791570790706494</v>
      </c>
      <c r="K34" s="6">
        <f t="shared" si="5"/>
        <v>6.5048922607043762</v>
      </c>
      <c r="L34" s="6">
        <f>($L$51/($L$51+$L$50))*L8</f>
        <v>6.9152945350329027</v>
      </c>
      <c r="M34" s="6">
        <f t="shared" si="6"/>
        <v>6.2567948848630124</v>
      </c>
      <c r="N34" s="6">
        <f t="shared" si="6"/>
        <v>6.3953423441036881</v>
      </c>
      <c r="O34" s="6"/>
    </row>
    <row r="35" spans="1:15" hidden="1" outlineLevel="2" x14ac:dyDescent="0.25">
      <c r="C35" t="s">
        <v>74</v>
      </c>
      <c r="D35" s="6">
        <f>SUM(D30:D32)</f>
        <v>105.87898231761098</v>
      </c>
      <c r="E35" s="6">
        <f t="shared" ref="E35:N35" si="7">SUM(E30:E32)</f>
        <v>105.62497244319113</v>
      </c>
      <c r="F35" s="6">
        <f t="shared" si="7"/>
        <v>105.42234619480696</v>
      </c>
      <c r="G35" s="6">
        <f t="shared" si="7"/>
        <v>105.12389588026515</v>
      </c>
      <c r="H35" s="6">
        <f t="shared" si="7"/>
        <v>104.87651681150041</v>
      </c>
      <c r="I35" s="6">
        <f t="shared" si="7"/>
        <v>104.62941688921831</v>
      </c>
      <c r="J35" s="6">
        <f t="shared" si="7"/>
        <v>104.29602111164954</v>
      </c>
      <c r="K35" s="6">
        <f t="shared" si="7"/>
        <v>104.40665416208014</v>
      </c>
      <c r="L35" s="6">
        <f t="shared" si="7"/>
        <v>103.96192792851525</v>
      </c>
      <c r="M35" s="6">
        <f t="shared" si="7"/>
        <v>103.07573001789206</v>
      </c>
      <c r="N35" s="6">
        <f t="shared" si="7"/>
        <v>101.94913620617906</v>
      </c>
      <c r="O35" s="6"/>
    </row>
    <row r="36" spans="1:15" hidden="1" outlineLevel="2" x14ac:dyDescent="0.25">
      <c r="B36" t="s">
        <v>56</v>
      </c>
    </row>
    <row r="37" spans="1:15" hidden="1" outlineLevel="2" x14ac:dyDescent="0.25">
      <c r="C37" t="s">
        <v>75</v>
      </c>
      <c r="D37" s="6">
        <f t="shared" ref="D37:L37" si="8">(D$50/(D$51+D$50))*D4</f>
        <v>248.87883853444779</v>
      </c>
      <c r="E37" s="6">
        <f t="shared" si="8"/>
        <v>247.65752153735826</v>
      </c>
      <c r="F37" s="6">
        <f t="shared" si="8"/>
        <v>246.39254207675324</v>
      </c>
      <c r="G37" s="6">
        <f t="shared" si="8"/>
        <v>245.1964147063305</v>
      </c>
      <c r="H37" s="6">
        <f t="shared" si="8"/>
        <v>243.96438519723242</v>
      </c>
      <c r="I37" s="6">
        <f t="shared" si="8"/>
        <v>242.75851745788106</v>
      </c>
      <c r="J37" s="6">
        <f t="shared" si="8"/>
        <v>241.59284750354337</v>
      </c>
      <c r="K37" s="6">
        <f t="shared" si="8"/>
        <v>240.08526087361528</v>
      </c>
      <c r="L37" s="6">
        <f t="shared" si="8"/>
        <v>239.2991024116794</v>
      </c>
      <c r="M37" s="6">
        <f t="shared" ref="M37:N41" si="9">M4*M$50/(M$51+M$50)</f>
        <v>238.84976163823916</v>
      </c>
      <c r="N37" s="6">
        <f t="shared" si="9"/>
        <v>238.58114341931358</v>
      </c>
      <c r="O37" s="6"/>
    </row>
    <row r="38" spans="1:15" hidden="1" outlineLevel="2" x14ac:dyDescent="0.25">
      <c r="C38" t="s">
        <v>76</v>
      </c>
      <c r="D38" s="6">
        <f t="shared" ref="D38:L38" si="10">(D$50/(D$51+D$50))*D5</f>
        <v>53.369750934520567</v>
      </c>
      <c r="E38" s="6">
        <f t="shared" si="10"/>
        <v>53.917504688897026</v>
      </c>
      <c r="F38" s="6">
        <f t="shared" si="10"/>
        <v>54.464772593464367</v>
      </c>
      <c r="G38" s="6">
        <f t="shared" si="10"/>
        <v>55.019756470364925</v>
      </c>
      <c r="H38" s="6">
        <f t="shared" si="10"/>
        <v>55.566790553853338</v>
      </c>
      <c r="I38" s="6">
        <f t="shared" si="10"/>
        <v>56.122157258320684</v>
      </c>
      <c r="J38" s="6">
        <f t="shared" si="10"/>
        <v>56.684745861904538</v>
      </c>
      <c r="K38" s="6">
        <f t="shared" si="10"/>
        <v>57.181355359755258</v>
      </c>
      <c r="L38" s="6">
        <f t="shared" si="10"/>
        <v>57.77917964645934</v>
      </c>
      <c r="M38" s="6">
        <f t="shared" si="9"/>
        <v>58.460835785881088</v>
      </c>
      <c r="N38" s="6">
        <f t="shared" si="9"/>
        <v>59.190985614917729</v>
      </c>
      <c r="O38" s="6"/>
    </row>
    <row r="39" spans="1:15" hidden="1" outlineLevel="2" x14ac:dyDescent="0.25">
      <c r="C39" t="s">
        <v>77</v>
      </c>
      <c r="D39" s="6">
        <f t="shared" ref="D39:L39" si="11">(D$50/(D$51+D$50))*D6</f>
        <v>15.382428213420699</v>
      </c>
      <c r="E39" s="6">
        <f t="shared" si="11"/>
        <v>15.300001330553613</v>
      </c>
      <c r="F39" s="6">
        <f t="shared" si="11"/>
        <v>15.230339134975376</v>
      </c>
      <c r="G39" s="6">
        <f t="shared" si="11"/>
        <v>15.149932943039413</v>
      </c>
      <c r="H39" s="6">
        <f t="shared" si="11"/>
        <v>15.082307437413828</v>
      </c>
      <c r="I39" s="6">
        <f t="shared" si="11"/>
        <v>14.999908394579897</v>
      </c>
      <c r="J39" s="6">
        <f t="shared" si="11"/>
        <v>14.936385522902585</v>
      </c>
      <c r="K39" s="6">
        <f t="shared" si="11"/>
        <v>14.83672960454926</v>
      </c>
      <c r="L39" s="6">
        <f t="shared" si="11"/>
        <v>14.789790013346028</v>
      </c>
      <c r="M39" s="6">
        <f t="shared" si="9"/>
        <v>14.763672557987713</v>
      </c>
      <c r="N39" s="6">
        <f t="shared" si="9"/>
        <v>14.748734759589682</v>
      </c>
      <c r="O39" s="6"/>
    </row>
    <row r="40" spans="1:15" hidden="1" outlineLevel="2" x14ac:dyDescent="0.25">
      <c r="C40" t="s">
        <v>79</v>
      </c>
      <c r="D40" s="6">
        <f t="shared" ref="D40:L40" si="12">(D$50/(D$51+D$50))*D7</f>
        <v>192.71910062021365</v>
      </c>
      <c r="E40" s="6">
        <f t="shared" si="12"/>
        <v>192.83251676954117</v>
      </c>
      <c r="F40" s="6">
        <f t="shared" si="12"/>
        <v>190.01554078835105</v>
      </c>
      <c r="G40" s="6">
        <f t="shared" si="12"/>
        <v>185.65417825346418</v>
      </c>
      <c r="H40" s="6">
        <f t="shared" si="12"/>
        <v>184.83514012683429</v>
      </c>
      <c r="I40" s="6">
        <f t="shared" si="12"/>
        <v>184.83637119221078</v>
      </c>
      <c r="J40" s="6">
        <f t="shared" si="12"/>
        <v>173.3250884586345</v>
      </c>
      <c r="K40" s="6">
        <f t="shared" si="12"/>
        <v>216.96094392430268</v>
      </c>
      <c r="L40" s="6">
        <f t="shared" si="12"/>
        <v>179.32245396506266</v>
      </c>
      <c r="M40" s="6">
        <f t="shared" si="9"/>
        <v>185.65844441811637</v>
      </c>
      <c r="N40" s="6">
        <f t="shared" si="9"/>
        <v>169.3314603763321</v>
      </c>
      <c r="O40" s="6"/>
    </row>
    <row r="41" spans="1:15" hidden="1" outlineLevel="2" x14ac:dyDescent="0.25">
      <c r="C41" t="s">
        <v>81</v>
      </c>
      <c r="D41" s="6">
        <f t="shared" ref="D41:L41" si="13">(D$50/(D$51+D$50))*D8</f>
        <v>25.349881697397343</v>
      </c>
      <c r="E41" s="6">
        <f t="shared" si="13"/>
        <v>29.895002599797404</v>
      </c>
      <c r="F41" s="6">
        <f t="shared" si="13"/>
        <v>28.068517667263823</v>
      </c>
      <c r="G41" s="6">
        <f t="shared" si="13"/>
        <v>28.087375679050798</v>
      </c>
      <c r="H41" s="6">
        <f t="shared" si="13"/>
        <v>26.609660262528223</v>
      </c>
      <c r="I41" s="6">
        <f t="shared" si="13"/>
        <v>22.619861859026486</v>
      </c>
      <c r="J41" s="6">
        <f t="shared" si="13"/>
        <v>22.460842920929352</v>
      </c>
      <c r="K41" s="6">
        <f t="shared" si="13"/>
        <v>19.445107739295622</v>
      </c>
      <c r="L41" s="6">
        <f t="shared" si="13"/>
        <v>20.744705464967097</v>
      </c>
      <c r="M41" s="6">
        <f t="shared" si="9"/>
        <v>18.943205115136987</v>
      </c>
      <c r="N41" s="6">
        <f t="shared" si="9"/>
        <v>19.604657655896311</v>
      </c>
      <c r="O41" s="6"/>
    </row>
    <row r="42" spans="1:15" hidden="1" outlineLevel="2" x14ac:dyDescent="0.25">
      <c r="C42" t="s">
        <v>74</v>
      </c>
      <c r="D42" s="6">
        <f>SUM(D37:D39)</f>
        <v>317.63101768238909</v>
      </c>
      <c r="E42" s="6">
        <f t="shared" ref="E42:N42" si="14">SUM(E37:E39)</f>
        <v>316.87502755680896</v>
      </c>
      <c r="F42" s="6">
        <f t="shared" si="14"/>
        <v>316.08765380519299</v>
      </c>
      <c r="G42" s="6">
        <f t="shared" si="14"/>
        <v>315.36610411973481</v>
      </c>
      <c r="H42" s="6">
        <f t="shared" si="14"/>
        <v>314.61348318849957</v>
      </c>
      <c r="I42" s="6">
        <f t="shared" si="14"/>
        <v>313.88058311078163</v>
      </c>
      <c r="J42" s="6">
        <f t="shared" si="14"/>
        <v>313.21397888835048</v>
      </c>
      <c r="K42" s="6">
        <f t="shared" si="14"/>
        <v>312.10334583791979</v>
      </c>
      <c r="L42" s="6">
        <f t="shared" si="14"/>
        <v>311.86807207148473</v>
      </c>
      <c r="M42" s="6">
        <f t="shared" si="14"/>
        <v>312.07426998210798</v>
      </c>
      <c r="N42" s="6">
        <f t="shared" si="14"/>
        <v>312.52086379382098</v>
      </c>
      <c r="O42" s="6"/>
    </row>
    <row r="43" spans="1:15" hidden="1" outlineLevel="2" x14ac:dyDescent="0.25">
      <c r="B43" t="s">
        <v>158</v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</row>
    <row r="44" spans="1:15" hidden="1" outlineLevel="2" x14ac:dyDescent="0.25">
      <c r="A44" s="7"/>
      <c r="C44" t="s">
        <v>83</v>
      </c>
      <c r="D44" s="6">
        <f>D27+D25+D23+D21+D17+D15</f>
        <v>134.17999999999998</v>
      </c>
      <c r="E44" s="6">
        <f t="shared" ref="E44:N44" si="15">E27+E25+E23+E21+E17+E15</f>
        <v>138.02701998881034</v>
      </c>
      <c r="F44" s="6">
        <f t="shared" si="15"/>
        <v>143.0344207392707</v>
      </c>
      <c r="G44" s="6">
        <f t="shared" si="15"/>
        <v>149.01928710798077</v>
      </c>
      <c r="H44" s="6">
        <f t="shared" si="15"/>
        <v>149.49297990232907</v>
      </c>
      <c r="I44" s="6">
        <f t="shared" si="15"/>
        <v>159.92035667876505</v>
      </c>
      <c r="J44" s="6">
        <f t="shared" si="15"/>
        <v>162.97814362522402</v>
      </c>
      <c r="K44" s="6">
        <f t="shared" si="15"/>
        <v>182.58750000000003</v>
      </c>
      <c r="L44" s="6">
        <f t="shared" si="15"/>
        <v>175.54212000000001</v>
      </c>
      <c r="M44" s="6">
        <f t="shared" si="15"/>
        <v>185.96682000000004</v>
      </c>
      <c r="N44" s="6">
        <f t="shared" si="15"/>
        <v>190.68425999999999</v>
      </c>
      <c r="O44" s="6"/>
    </row>
    <row r="45" spans="1:15" hidden="1" outlineLevel="2" x14ac:dyDescent="0.25">
      <c r="A45" s="7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</row>
    <row r="46" spans="1:15" hidden="1" outlineLevel="2" x14ac:dyDescent="0.25">
      <c r="A46" s="7"/>
      <c r="B46" t="s">
        <v>67</v>
      </c>
      <c r="D46">
        <f>SUM(Res!C99:C125)</f>
        <v>182.60999999999996</v>
      </c>
      <c r="E46">
        <f>SUM(Res!D99:D125)</f>
        <v>184.4</v>
      </c>
      <c r="F46">
        <f>SUM(Res!E99:E125)</f>
        <v>180.35000000000002</v>
      </c>
      <c r="G46">
        <f>SUM(Res!F99:F125)</f>
        <v>182.07999999999998</v>
      </c>
      <c r="H46">
        <f>SUM(Res!G99:G125)</f>
        <v>181.34</v>
      </c>
      <c r="I46">
        <f>SUM(Res!H99:H125)</f>
        <v>180.87</v>
      </c>
      <c r="J46">
        <f>SUM(Res!I99:I125)</f>
        <v>181.44000000000003</v>
      </c>
      <c r="K46">
        <f>SUM(Res!J99:J125)</f>
        <v>179.67000000000002</v>
      </c>
      <c r="L46">
        <f>SUM(Res!K99:K125)</f>
        <v>181.35</v>
      </c>
    </row>
    <row r="47" spans="1:15" hidden="1" outlineLevel="2" x14ac:dyDescent="0.25">
      <c r="A47" s="7"/>
      <c r="B47" t="s">
        <v>56</v>
      </c>
      <c r="D47">
        <f>SUM(Res!C131:C157)</f>
        <v>535.70000000000005</v>
      </c>
      <c r="E47">
        <f>SUM(Res!D131:D157)</f>
        <v>539.61</v>
      </c>
      <c r="F47">
        <f>SUM(Res!E131:E157)</f>
        <v>525.15</v>
      </c>
      <c r="G47">
        <f>SUM(Res!F131:F157)</f>
        <v>527.96999999999991</v>
      </c>
      <c r="H47">
        <f>SUM(Res!G131:G157)</f>
        <v>524.78</v>
      </c>
      <c r="I47">
        <f>SUM(Res!H131:H157)</f>
        <v>521.27</v>
      </c>
      <c r="J47">
        <f>SUM(Res!I131:I157)</f>
        <v>520.65</v>
      </c>
      <c r="K47">
        <f>SUM(Res!J131:J157)</f>
        <v>511.95000000000005</v>
      </c>
      <c r="L47">
        <f>SUM(Res!K131:K157)</f>
        <v>511.95000000000005</v>
      </c>
    </row>
    <row r="48" spans="1:15" hidden="1" outlineLevel="2" x14ac:dyDescent="0.25">
      <c r="A48" s="7"/>
      <c r="D48" s="3">
        <f t="shared" ref="D48:N48" si="16">D3+D4+D5+D6+D7+D8</f>
        <v>718.31</v>
      </c>
      <c r="E48" s="3">
        <f t="shared" si="16"/>
        <v>723.99999999999989</v>
      </c>
      <c r="F48" s="3">
        <f t="shared" si="16"/>
        <v>717.62</v>
      </c>
      <c r="G48" s="3">
        <f t="shared" si="16"/>
        <v>711.58</v>
      </c>
      <c r="H48" s="3">
        <f t="shared" si="16"/>
        <v>707.83999999999992</v>
      </c>
      <c r="I48" s="3">
        <f t="shared" si="16"/>
        <v>702.2299999999999</v>
      </c>
      <c r="J48" s="3">
        <f t="shared" si="16"/>
        <v>686.38000000000011</v>
      </c>
      <c r="K48" s="3">
        <f t="shared" si="16"/>
        <v>741.01</v>
      </c>
      <c r="L48" s="3">
        <f t="shared" si="16"/>
        <v>693.28</v>
      </c>
      <c r="M48" s="3">
        <f t="shared" si="16"/>
        <v>699.7</v>
      </c>
      <c r="N48" s="3">
        <f t="shared" si="16"/>
        <v>679.09</v>
      </c>
      <c r="O48" s="3"/>
    </row>
    <row r="49" spans="1:16" hidden="1" outlineLevel="2" x14ac:dyDescent="0.25">
      <c r="A49" s="7"/>
      <c r="B49" t="s">
        <v>67</v>
      </c>
      <c r="D49" s="3">
        <f t="shared" ref="D49:K50" si="17">D46/(D$46+D$47)*D$48</f>
        <v>182.60999999999999</v>
      </c>
      <c r="E49" s="3">
        <f t="shared" si="17"/>
        <v>184.39745307385255</v>
      </c>
      <c r="F49" s="3">
        <f t="shared" si="17"/>
        <v>183.4482877391921</v>
      </c>
      <c r="G49" s="3">
        <f t="shared" si="17"/>
        <v>182.47234194775015</v>
      </c>
      <c r="H49" s="3">
        <f t="shared" si="17"/>
        <v>181.78171642213786</v>
      </c>
      <c r="I49" s="3">
        <f t="shared" si="17"/>
        <v>180.89318383798101</v>
      </c>
      <c r="J49" s="3">
        <f t="shared" si="17"/>
        <v>177.38008973208568</v>
      </c>
      <c r="K49" s="3">
        <f t="shared" si="17"/>
        <v>192.50060249848181</v>
      </c>
      <c r="L49" s="3">
        <f>$L46/($L$46+$L$47)*L$48</f>
        <v>181.34476849848548</v>
      </c>
      <c r="M49" s="3">
        <f t="shared" ref="M49:N49" si="18">$L46/($L$46+$L$47)*M$48</f>
        <v>183.02408048463869</v>
      </c>
      <c r="N49" s="3">
        <f t="shared" si="18"/>
        <v>177.63301817395066</v>
      </c>
      <c r="O49" s="3"/>
    </row>
    <row r="50" spans="1:16" hidden="1" outlineLevel="2" x14ac:dyDescent="0.25">
      <c r="B50" t="s">
        <v>56</v>
      </c>
      <c r="D50" s="3">
        <f t="shared" si="17"/>
        <v>535.70000000000005</v>
      </c>
      <c r="E50" s="3">
        <f t="shared" si="17"/>
        <v>539.6025469261474</v>
      </c>
      <c r="F50" s="3">
        <f t="shared" si="17"/>
        <v>534.17171226080791</v>
      </c>
      <c r="G50" s="3">
        <f t="shared" si="17"/>
        <v>529.1076580522498</v>
      </c>
      <c r="H50" s="3">
        <f t="shared" si="17"/>
        <v>526.05828357786208</v>
      </c>
      <c r="I50" s="3">
        <f t="shared" si="17"/>
        <v>521.33681616201886</v>
      </c>
      <c r="J50" s="3">
        <f t="shared" si="17"/>
        <v>508.9999102679144</v>
      </c>
      <c r="K50" s="3">
        <f t="shared" si="17"/>
        <v>548.50939750151815</v>
      </c>
      <c r="L50" s="3">
        <f>$L47/($L$46+$L$47)*L$48</f>
        <v>511.93523150151447</v>
      </c>
      <c r="M50" s="3">
        <f t="shared" ref="M50:N50" si="19">$L47/($L$46+$L$47)*M$48</f>
        <v>516.67591951536133</v>
      </c>
      <c r="N50" s="3">
        <f t="shared" si="19"/>
        <v>501.45698182604934</v>
      </c>
      <c r="O50" s="3"/>
    </row>
    <row r="51" spans="1:16" hidden="1" outlineLevel="2" x14ac:dyDescent="0.25">
      <c r="B51" t="s">
        <v>159</v>
      </c>
      <c r="D51" s="3">
        <f t="shared" ref="D51:N51" si="20">D49-D3</f>
        <v>178.57</v>
      </c>
      <c r="E51" s="3">
        <f t="shared" si="20"/>
        <v>179.86745307385254</v>
      </c>
      <c r="F51" s="3">
        <f t="shared" si="20"/>
        <v>178.1582877391921</v>
      </c>
      <c r="G51" s="3">
        <f t="shared" si="20"/>
        <v>176.37234194775016</v>
      </c>
      <c r="H51" s="3">
        <f t="shared" si="20"/>
        <v>175.36171642213787</v>
      </c>
      <c r="I51" s="3">
        <f t="shared" si="20"/>
        <v>173.783183837981</v>
      </c>
      <c r="J51" s="3">
        <f t="shared" si="20"/>
        <v>169.49008973208569</v>
      </c>
      <c r="K51" s="3">
        <f t="shared" si="20"/>
        <v>183.49060249848182</v>
      </c>
      <c r="L51" s="3">
        <f t="shared" si="20"/>
        <v>170.65476849848548</v>
      </c>
      <c r="M51" s="3">
        <f t="shared" si="20"/>
        <v>170.65408048463868</v>
      </c>
      <c r="N51" s="3">
        <f t="shared" si="20"/>
        <v>163.58301817395065</v>
      </c>
      <c r="O51" s="3"/>
    </row>
    <row r="52" spans="1:16" hidden="1" outlineLevel="2" x14ac:dyDescent="0.25"/>
    <row r="53" spans="1:16" x14ac:dyDescent="0.25">
      <c r="A53" t="s">
        <v>49</v>
      </c>
      <c r="D53">
        <v>2013</v>
      </c>
      <c r="E53">
        <v>2014</v>
      </c>
      <c r="F53">
        <v>2015</v>
      </c>
      <c r="G53">
        <v>2016</v>
      </c>
      <c r="H53">
        <v>2017</v>
      </c>
      <c r="I53">
        <v>2018</v>
      </c>
      <c r="J53">
        <v>2019</v>
      </c>
      <c r="K53">
        <v>2020</v>
      </c>
      <c r="L53">
        <v>2021</v>
      </c>
      <c r="M53">
        <v>2022</v>
      </c>
      <c r="N53">
        <v>2023</v>
      </c>
      <c r="P53">
        <v>1</v>
      </c>
    </row>
    <row r="54" spans="1:16" outlineLevel="1" collapsed="1" x14ac:dyDescent="0.25">
      <c r="A54" t="s">
        <v>150</v>
      </c>
      <c r="P54">
        <f>P53+1</f>
        <v>2</v>
      </c>
    </row>
    <row r="55" spans="1:16" hidden="1" outlineLevel="2" x14ac:dyDescent="0.25">
      <c r="C55" t="s">
        <v>73</v>
      </c>
      <c r="D55" s="3">
        <f>'Cuadro A.15'!B22</f>
        <v>2.98</v>
      </c>
      <c r="E55" s="3">
        <f>'Cuadro A.15'!C22</f>
        <v>3.3</v>
      </c>
      <c r="F55" s="3">
        <f>'Cuadro A.15'!D22</f>
        <v>3.68</v>
      </c>
      <c r="G55" s="3">
        <f>'Cuadro A.15'!E22</f>
        <v>3.91</v>
      </c>
      <c r="H55" s="3">
        <f>'Cuadro A.15'!F22</f>
        <v>3.87</v>
      </c>
      <c r="I55" s="3">
        <f>'Cuadro A.15'!G22</f>
        <v>4.75</v>
      </c>
      <c r="J55" s="3">
        <f>'Cuadro A.15'!H22</f>
        <v>5.17</v>
      </c>
      <c r="K55" s="3">
        <f>'Cuadro A.15'!I22</f>
        <v>5.96</v>
      </c>
      <c r="L55" s="3">
        <f>'Cuadro A.15'!J22</f>
        <v>6.51</v>
      </c>
      <c r="M55" s="3">
        <f>'Cuadro A.15'!K22</f>
        <v>6.72</v>
      </c>
      <c r="N55" s="3">
        <f>'Cuadro A.15'!L22</f>
        <v>8.4700000000000006</v>
      </c>
      <c r="P55">
        <f t="shared" ref="P55:P114" si="21">P54+1</f>
        <v>3</v>
      </c>
    </row>
    <row r="56" spans="1:16" hidden="1" outlineLevel="2" x14ac:dyDescent="0.25">
      <c r="C56" t="s">
        <v>75</v>
      </c>
      <c r="D56" s="3">
        <f>CyS!C13+CyS!C45+CyS!C77+CyS!C109+CyS!C141+CyS!C173+CyS!C205+CyS!C237</f>
        <v>13.459999999999999</v>
      </c>
      <c r="E56" s="3">
        <f>CyS!D13+CyS!D45+CyS!D77+CyS!D109+CyS!D141+CyS!D173+CyS!D205+CyS!D237</f>
        <v>13.4</v>
      </c>
      <c r="F56" s="3">
        <f>CyS!E13+CyS!E45+CyS!E77+CyS!E109+CyS!E141+CyS!E173+CyS!E205+CyS!E237</f>
        <v>13.329999999999998</v>
      </c>
      <c r="G56" s="3">
        <f>CyS!F13+CyS!F45+CyS!F77+CyS!F109+CyS!F141+CyS!F173+CyS!F205+CyS!F237</f>
        <v>13.27</v>
      </c>
      <c r="H56" s="3">
        <f>CyS!G13+CyS!G45+CyS!G77+CyS!G109+CyS!G141+CyS!G173+CyS!G205+CyS!G237</f>
        <v>13.2</v>
      </c>
      <c r="I56" s="3">
        <f>CyS!H13+CyS!H45+CyS!H77+CyS!H109+CyS!H141+CyS!H173+CyS!H205+CyS!H237</f>
        <v>13.13</v>
      </c>
      <c r="J56" s="3">
        <f>CyS!I13+CyS!I45+CyS!I77+CyS!I109+CyS!I141+CyS!I173+CyS!I205+CyS!I237</f>
        <v>13.07</v>
      </c>
      <c r="K56" s="3">
        <f>CyS!J13+CyS!J45+CyS!J77+CyS!J109+CyS!J141+CyS!J173+CyS!J205+CyS!J237</f>
        <v>13</v>
      </c>
      <c r="L56" s="3">
        <f>CyS!K13+CyS!K45+CyS!K77+CyS!K109+CyS!K141+CyS!K173+CyS!K205+CyS!K237</f>
        <v>12.95</v>
      </c>
      <c r="M56" s="3">
        <f t="shared" ref="M56:N57" si="22">L56+L56-K56</f>
        <v>12.899999999999999</v>
      </c>
      <c r="N56" s="3">
        <f t="shared" si="22"/>
        <v>12.849999999999998</v>
      </c>
      <c r="P56">
        <f t="shared" si="21"/>
        <v>4</v>
      </c>
    </row>
    <row r="57" spans="1:16" hidden="1" outlineLevel="2" x14ac:dyDescent="0.25">
      <c r="C57" t="s">
        <v>76</v>
      </c>
      <c r="D57" s="3">
        <f>CyS!C17+CyS!C49+CyS!C81+CyS!C113+CyS!C145+CyS!C177+CyS!C209+CyS!C241</f>
        <v>5.77</v>
      </c>
      <c r="E57" s="3">
        <f>CyS!D17+CyS!D49+CyS!D81+CyS!D113+CyS!D145+CyS!D177+CyS!D209+CyS!D241</f>
        <v>5.85</v>
      </c>
      <c r="F57" s="3">
        <f>CyS!E17+CyS!E49+CyS!E81+CyS!E113+CyS!E145+CyS!E177+CyS!E209+CyS!E241</f>
        <v>5.92</v>
      </c>
      <c r="G57" s="3">
        <f>CyS!F17+CyS!F49+CyS!F81+CyS!F113+CyS!F145+CyS!F177+CyS!F209+CyS!F241</f>
        <v>6</v>
      </c>
      <c r="H57" s="3">
        <f>CyS!G17+CyS!G49+CyS!G81+CyS!G113+CyS!G145+CyS!G177+CyS!G209+CyS!G241</f>
        <v>6.07</v>
      </c>
      <c r="I57" s="3">
        <f>CyS!H17+CyS!H49+CyS!H81+CyS!H113+CyS!H145+CyS!H177+CyS!H209+CyS!H241</f>
        <v>6.15</v>
      </c>
      <c r="J57" s="3">
        <f>CyS!I17+CyS!I49+CyS!I81+CyS!I113+CyS!I145+CyS!I177+CyS!I209+CyS!I241</f>
        <v>6.2200000000000006</v>
      </c>
      <c r="K57" s="3">
        <f>CyS!J17+CyS!J49+CyS!J81+CyS!J113+CyS!J145+CyS!J177+CyS!J209+CyS!J241</f>
        <v>6.3000000000000007</v>
      </c>
      <c r="L57" s="3">
        <f>CyS!K17+CyS!K49+CyS!K81+CyS!K113+CyS!K145+CyS!K177+CyS!K209+CyS!K241</f>
        <v>6.38</v>
      </c>
      <c r="M57" s="3">
        <f t="shared" si="22"/>
        <v>6.4599999999999991</v>
      </c>
      <c r="N57" s="3">
        <f t="shared" si="22"/>
        <v>6.5399999999999983</v>
      </c>
      <c r="P57">
        <f t="shared" si="21"/>
        <v>5</v>
      </c>
    </row>
    <row r="58" spans="1:16" hidden="1" outlineLevel="2" x14ac:dyDescent="0.25">
      <c r="C58" t="s">
        <v>79</v>
      </c>
      <c r="D58" s="3">
        <f>'Cuadro A.15'!B24</f>
        <v>65.03</v>
      </c>
      <c r="E58" s="3">
        <f>'Cuadro A.15'!C24</f>
        <v>63.32</v>
      </c>
      <c r="F58" s="3">
        <f>'Cuadro A.15'!D24</f>
        <v>63.17</v>
      </c>
      <c r="G58" s="3">
        <f>'Cuadro A.15'!E24</f>
        <v>65.209999999999994</v>
      </c>
      <c r="H58" s="3">
        <f>'Cuadro A.15'!F24</f>
        <v>64.430000000000007</v>
      </c>
      <c r="I58" s="3">
        <f>'Cuadro A.15'!G24</f>
        <v>63.29</v>
      </c>
      <c r="J58" s="3">
        <f>'Cuadro A.15'!H24</f>
        <v>61.89</v>
      </c>
      <c r="K58" s="3">
        <f>'Cuadro A.15'!I24</f>
        <v>76.2</v>
      </c>
      <c r="L58" s="3">
        <f>'Cuadro A.15'!J24</f>
        <v>61.17</v>
      </c>
      <c r="M58" s="3">
        <f>'Cuadro A.15'!K24</f>
        <v>63.22</v>
      </c>
      <c r="N58" s="3">
        <f>'Cuadro A.15'!L24</f>
        <v>58.51</v>
      </c>
      <c r="P58">
        <f t="shared" si="21"/>
        <v>6</v>
      </c>
    </row>
    <row r="59" spans="1:16" hidden="1" outlineLevel="2" x14ac:dyDescent="0.25">
      <c r="C59" t="s">
        <v>107</v>
      </c>
      <c r="D59" s="3">
        <f>'Cuadro A.15'!B25</f>
        <v>4.4000000000000004</v>
      </c>
      <c r="E59" s="3">
        <f>'Cuadro A.15'!C25</f>
        <v>4.46</v>
      </c>
      <c r="F59" s="3">
        <f>'Cuadro A.15'!D25</f>
        <v>5.22</v>
      </c>
      <c r="G59" s="3">
        <f>'Cuadro A.15'!E25</f>
        <v>1.97</v>
      </c>
      <c r="H59" s="3">
        <f>'Cuadro A.15'!F25</f>
        <v>0</v>
      </c>
      <c r="I59" s="3">
        <f>'Cuadro A.15'!G25</f>
        <v>0</v>
      </c>
      <c r="J59" s="3">
        <f>'Cuadro A.15'!H25</f>
        <v>0</v>
      </c>
      <c r="K59" s="3">
        <f>'Cuadro A.15'!I25</f>
        <v>0</v>
      </c>
      <c r="L59" s="3">
        <f>'Cuadro A.15'!J25</f>
        <v>0</v>
      </c>
      <c r="M59" s="3">
        <f>'Cuadro A.15'!K25</f>
        <v>0</v>
      </c>
      <c r="N59" s="3">
        <f>'Cuadro A.15'!L25</f>
        <v>0</v>
      </c>
      <c r="P59">
        <f t="shared" si="21"/>
        <v>7</v>
      </c>
    </row>
    <row r="60" spans="1:16" hidden="1" outlineLevel="2" x14ac:dyDescent="0.25">
      <c r="C60" t="s">
        <v>81</v>
      </c>
      <c r="D60" s="3">
        <f>'Cuadro A.15'!B26</f>
        <v>11.1</v>
      </c>
      <c r="E60" s="3">
        <f>'Cuadro A.15'!C26</f>
        <v>13.13</v>
      </c>
      <c r="F60" s="3">
        <f>'Cuadro A.15'!D26</f>
        <v>13.34</v>
      </c>
      <c r="G60" s="3">
        <f>'Cuadro A.15'!E26</f>
        <v>14.38</v>
      </c>
      <c r="H60" s="3">
        <f>'Cuadro A.15'!F26</f>
        <v>13.77</v>
      </c>
      <c r="I60" s="3">
        <f>'Cuadro A.15'!G26</f>
        <v>12.22</v>
      </c>
      <c r="J60" s="3">
        <f>'Cuadro A.15'!H26</f>
        <v>10.96</v>
      </c>
      <c r="K60" s="3">
        <f>'Cuadro A.15'!I26</f>
        <v>9.5</v>
      </c>
      <c r="L60" s="3">
        <f>'Cuadro A.15'!J26</f>
        <v>11.83</v>
      </c>
      <c r="M60" s="3">
        <f>'Cuadro A.15'!K26</f>
        <v>11.99</v>
      </c>
      <c r="N60" s="3">
        <f>'Cuadro A.15'!L26</f>
        <v>13.18</v>
      </c>
      <c r="P60">
        <f t="shared" si="21"/>
        <v>8</v>
      </c>
    </row>
    <row r="61" spans="1:16" hidden="1" outlineLevel="2" x14ac:dyDescent="0.25">
      <c r="C61" t="s">
        <v>83</v>
      </c>
      <c r="D61" s="3">
        <f>CyS!C28+CyS!C60+CyS!C92+CyS!C124+CyS!C156+CyS!C188+CyS!C220+CyS!C252</f>
        <v>61.219999999999985</v>
      </c>
      <c r="E61" s="3">
        <f>CyS!D28+CyS!D60+CyS!D92+CyS!D124+CyS!D156+CyS!D188+CyS!D220+CyS!D252</f>
        <v>63.570000000000007</v>
      </c>
      <c r="F61" s="3">
        <f>CyS!E28+CyS!E60+CyS!E92+CyS!E124+CyS!E156+CyS!E188+CyS!E220+CyS!E252</f>
        <v>65.210000000000008</v>
      </c>
      <c r="G61" s="3">
        <f>CyS!F28+CyS!F60+CyS!F92+CyS!F124+CyS!F156+CyS!F188+CyS!F220+CyS!F252</f>
        <v>66.69</v>
      </c>
      <c r="H61" s="3">
        <f>CyS!G28+CyS!G60+CyS!G92+CyS!G124+CyS!G156+CyS!G188+CyS!G220+CyS!G252</f>
        <v>68.13</v>
      </c>
      <c r="I61" s="3">
        <f>CyS!H28+CyS!H60+CyS!H92+CyS!H124+CyS!H156+CyS!H188+CyS!H220+CyS!H252</f>
        <v>66.17</v>
      </c>
      <c r="J61" s="3">
        <f>CyS!I28+CyS!I60+CyS!I92+CyS!I124+CyS!I156+CyS!I188+CyS!I220+CyS!I252</f>
        <v>68.099999999999994</v>
      </c>
      <c r="K61" s="3">
        <f>CyS!J28+CyS!J60+CyS!J92+CyS!J124+CyS!J156+CyS!J188+CyS!J220+CyS!J252</f>
        <v>65.8</v>
      </c>
      <c r="L61" s="3">
        <f>CyS!K28+CyS!K60+CyS!K92+CyS!K124+CyS!K156+CyS!K188+CyS!K220+CyS!K252</f>
        <v>71.990000000000009</v>
      </c>
      <c r="M61" s="3">
        <f>M63+M65</f>
        <v>80.177510985352882</v>
      </c>
      <c r="N61" s="3">
        <f>N63+N65</f>
        <v>77.91580925432757</v>
      </c>
      <c r="P61">
        <f t="shared" si="21"/>
        <v>9</v>
      </c>
    </row>
    <row r="62" spans="1:16" hidden="1" outlineLevel="2" x14ac:dyDescent="0.25">
      <c r="D62" s="3">
        <f>SUM(D55:D61)</f>
        <v>163.95999999999998</v>
      </c>
      <c r="E62" s="3">
        <f t="shared" ref="E62:N62" si="23">SUM(E55:E61)</f>
        <v>167.03</v>
      </c>
      <c r="F62" s="3">
        <f t="shared" si="23"/>
        <v>169.87</v>
      </c>
      <c r="G62" s="3">
        <f t="shared" si="23"/>
        <v>171.42999999999998</v>
      </c>
      <c r="H62" s="3">
        <f t="shared" si="23"/>
        <v>169.47</v>
      </c>
      <c r="I62" s="3">
        <f t="shared" si="23"/>
        <v>165.70999999999998</v>
      </c>
      <c r="J62" s="3">
        <f t="shared" si="23"/>
        <v>165.41</v>
      </c>
      <c r="K62" s="3">
        <f t="shared" si="23"/>
        <v>176.76</v>
      </c>
      <c r="L62" s="3">
        <f t="shared" si="23"/>
        <v>170.83</v>
      </c>
      <c r="M62" s="3">
        <f t="shared" si="23"/>
        <v>181.46751098535287</v>
      </c>
      <c r="N62" s="3">
        <f t="shared" si="23"/>
        <v>177.46580925432758</v>
      </c>
      <c r="P62">
        <f t="shared" si="21"/>
        <v>10</v>
      </c>
    </row>
    <row r="63" spans="1:16" hidden="1" outlineLevel="2" x14ac:dyDescent="0.25">
      <c r="C63" t="s">
        <v>160</v>
      </c>
      <c r="L63">
        <f>'Cuadro A.15'!J27</f>
        <v>50.8</v>
      </c>
      <c r="M63">
        <f>'Cuadro A.15'!K27</f>
        <v>59.3</v>
      </c>
      <c r="N63">
        <f>'Cuadro A.15'!L27</f>
        <v>56.79</v>
      </c>
      <c r="P63">
        <f t="shared" si="21"/>
        <v>11</v>
      </c>
    </row>
    <row r="64" spans="1:16" hidden="1" outlineLevel="2" x14ac:dyDescent="0.25">
      <c r="C64" t="s">
        <v>161</v>
      </c>
      <c r="L64">
        <f>'Cuadro A.11'!J12</f>
        <v>300.39999999999998</v>
      </c>
      <c r="M64">
        <f>'Cuadro A.11'!K12</f>
        <v>295.97000000000003</v>
      </c>
      <c r="N64">
        <f>'Cuadro A.11'!L12</f>
        <v>299.49</v>
      </c>
      <c r="P64">
        <f t="shared" si="21"/>
        <v>12</v>
      </c>
    </row>
    <row r="65" spans="1:16" hidden="1" outlineLevel="2" x14ac:dyDescent="0.25">
      <c r="L65">
        <f>(L61-L63)/L64</f>
        <v>7.0539280958721751E-2</v>
      </c>
      <c r="M65">
        <f>$L65*M64</f>
        <v>20.877510985352878</v>
      </c>
      <c r="N65">
        <f>$L65*N64</f>
        <v>21.125809254327578</v>
      </c>
      <c r="P65">
        <f t="shared" si="21"/>
        <v>13</v>
      </c>
    </row>
    <row r="66" spans="1:16" outlineLevel="1" collapsed="1" x14ac:dyDescent="0.25">
      <c r="A66" t="s">
        <v>151</v>
      </c>
      <c r="P66">
        <f t="shared" si="21"/>
        <v>14</v>
      </c>
    </row>
    <row r="67" spans="1:16" hidden="1" outlineLevel="2" x14ac:dyDescent="0.25">
      <c r="C67" t="s">
        <v>61</v>
      </c>
      <c r="D67" s="6">
        <f>D62*(SUM(CyS!C3:C29)/SUM(CyS!C3:C29,CyS!C35:C61,CyS!C67:C93,CyS!C99:C125,CyS!C131:C157,CyS!C163:C189,CyS!C195:C221,CyS!C227:C253))</f>
        <v>18.057621489621493</v>
      </c>
      <c r="E67" s="6">
        <f>E62*(SUM(CyS!D3:D29)/SUM(CyS!D3:D29,CyS!D35:D61,CyS!D67:D93,CyS!D99:D125,CyS!D131:D157,CyS!D163:D189,CyS!D195:D221,CyS!D227:D253))</f>
        <v>18.75020617320947</v>
      </c>
      <c r="F67" s="6">
        <f>F62*(SUM(CyS!E3:E29)/SUM(CyS!E3:E29,CyS!E35:E61,CyS!E67:E93,CyS!E99:E125,CyS!E131:E157,CyS!E163:E189,CyS!E195:E221,CyS!E227:E253))</f>
        <v>19.30546471040644</v>
      </c>
      <c r="G67" s="6">
        <f>G62*(SUM(CyS!F3:F29)/SUM(CyS!F3:F29,CyS!F35:F61,CyS!F67:F93,CyS!F99:F125,CyS!F131:F157,CyS!F163:F189,CyS!F195:F221,CyS!F227:F253))</f>
        <v>20.229398871006481</v>
      </c>
      <c r="H67" s="6">
        <f>H62*(SUM(CyS!G3:G29)/SUM(CyS!G3:G29,CyS!G35:G61,CyS!G67:G93,CyS!G99:G125,CyS!G131:G157,CyS!G163:G189,CyS!G195:G221,CyS!G227:G253))</f>
        <v>20.106779971624494</v>
      </c>
      <c r="I67" s="6">
        <f>I62*(SUM(CyS!H3:H29)/SUM(CyS!H3:H29,CyS!H35:H61,CyS!H67:H93,CyS!H99:H125,CyS!H131:H157,CyS!H163:H189,CyS!H195:H221,CyS!H227:H253))</f>
        <v>19.417350447904763</v>
      </c>
      <c r="J67" s="6">
        <f>J62*(SUM(CyS!I3:I29)/SUM(CyS!I3:I29,CyS!I35:I61,CyS!I67:I93,CyS!I99:I125,CyS!I131:I157,CyS!I163:I189,CyS!I195:I221,CyS!I227:I253))</f>
        <v>19.955043300457056</v>
      </c>
      <c r="K67" s="6">
        <f>K62*(SUM(CyS!J3:J29)/SUM(CyS!J3:J29,CyS!J35:J61,CyS!J67:J93,CyS!J99:J125,CyS!J131:J157,CyS!J163:J189,CyS!J195:J221,CyS!J227:J253))</f>
        <v>21.198074257425741</v>
      </c>
      <c r="L67" s="6">
        <f>L62*(SUM(CyS!K3:K29)/SUM(CyS!K3:K29,CyS!K35:K61,CyS!K67:K93,CyS!K99:K125,CyS!K131:K157,CyS!K163:K189,CyS!K195:K221,CyS!K227:K253))</f>
        <v>21.21</v>
      </c>
      <c r="M67" s="6">
        <f>M62*(SUM(CyS!K3:K29)/SUM(CyS!K3:K29,CyS!K35:K61,CyS!K67:K93,CyS!K99:K125,CyS!K131:K157,CyS!K163:K189,CyS!K195:K221,CyS!K227:K253))</f>
        <v>22.530737622193609</v>
      </c>
      <c r="N67" s="6">
        <f>N62*(SUM(CyS!K3:K29)/SUM(CyS!K3:K29,CyS!K35:K61,CyS!K67:K93,CyS!K99:K125,CyS!K131:K157,CyS!K163:K189,CyS!K195:K221,CyS!K227:K253))</f>
        <v>22.033892257122798</v>
      </c>
      <c r="P67">
        <f t="shared" si="21"/>
        <v>15</v>
      </c>
    </row>
    <row r="68" spans="1:16" hidden="1" outlineLevel="2" x14ac:dyDescent="0.25">
      <c r="C68" t="s">
        <v>59</v>
      </c>
      <c r="D68" s="6">
        <f>D62*(SUM(CyS!C35:C61)/SUM(CyS!C3:C29,CyS!C35:C61,CyS!C67:C93,CyS!C99:C125,CyS!C131:C157,CyS!C163:C189,CyS!C195:C221,CyS!C227:C253))</f>
        <v>29.729010989010995</v>
      </c>
      <c r="E68" s="6">
        <f>E62*(SUM(CyS!D35:D61)/SUM(CyS!D3:D29,CyS!D35:D61,CyS!D67:D93,CyS!D99:D125,CyS!D131:D157,CyS!D163:D189,CyS!D195:D221,CyS!D227:D253))</f>
        <v>30.893292178603538</v>
      </c>
      <c r="F68" s="6">
        <f>F62*(SUM(CyS!E35:E61)/SUM(CyS!E3:E29,CyS!E35:E61,CyS!E67:E93,CyS!E99:E125,CyS!E131:E157,CyS!E163:E189,CyS!E195:E221,CyS!E227:E253))</f>
        <v>31.807285688930964</v>
      </c>
      <c r="G68" s="6">
        <f>G62*(SUM(CyS!F35:F61)/SUM(CyS!F3:F29,CyS!F35:F61,CyS!F67:F93,CyS!F99:F125,CyS!F131:F157,CyS!F163:F189,CyS!F195:F221,CyS!F227:F253))</f>
        <v>33.303870405957234</v>
      </c>
      <c r="H68" s="6">
        <f>H62*(SUM(CyS!G35:G61)/SUM(CyS!G3:G29,CyS!G35:G61,CyS!G67:G93,CyS!G99:G125,CyS!G131:G157,CyS!G163:G189,CyS!G195:G221,CyS!G227:G253))</f>
        <v>33.120585244738706</v>
      </c>
      <c r="I68" s="6">
        <f>I62*(SUM(CyS!H35:H61)/SUM(CyS!H3:H29,CyS!H35:H61,CyS!H67:H93,CyS!H99:H125,CyS!H131:H157,CyS!H163:H189,CyS!H195:H221,CyS!H227:H253))</f>
        <v>31.990309024228935</v>
      </c>
      <c r="J68" s="6">
        <f>J62*(SUM(CyS!I35:I61)/SUM(CyS!I3:I29,CyS!I35:I61,CyS!I67:I93,CyS!I99:I125,CyS!I131:I157,CyS!I163:I189,CyS!I195:I221,CyS!I227:I253))</f>
        <v>32.877077820543654</v>
      </c>
      <c r="K68" s="6">
        <f>K62*(SUM(CyS!J35:J61)/SUM(CyS!J3:J29,CyS!J35:J61,CyS!J67:J93,CyS!J99:J125,CyS!J131:J157,CyS!J163:J189,CyS!J195:J221,CyS!J227:J253))</f>
        <v>34.925413366336635</v>
      </c>
      <c r="L68" s="6">
        <f>L62*(SUM(CyS!K35:K61)/SUM(CyS!K3:K29,CyS!K35:K61,CyS!K67:K93,CyS!K99:K125,CyS!K131:K157,CyS!K163:K189,CyS!K195:K221,CyS!K227:K253))</f>
        <v>34.94</v>
      </c>
      <c r="M68" s="6">
        <f>M62*(SUM(CyS!K35:K61)/SUM(CyS!K3:K29,CyS!K35:K61,CyS!K67:K93,CyS!K99:K125,CyS!K131:K157,CyS!K163:K189,CyS!K195:K221,CyS!K227:K253))</f>
        <v>37.115698845801255</v>
      </c>
      <c r="N68" s="6">
        <f>N62*(SUM(CyS!K35:K61)/SUM(CyS!K3:K29,CyS!K35:K61,CyS!K67:K93,CyS!K99:K125,CyS!K131:K157,CyS!K163:K189,CyS!K195:K221,CyS!K227:K253))</f>
        <v>36.29722750890479</v>
      </c>
      <c r="P68">
        <f t="shared" si="21"/>
        <v>16</v>
      </c>
    </row>
    <row r="69" spans="1:16" hidden="1" outlineLevel="2" x14ac:dyDescent="0.25">
      <c r="C69" t="s">
        <v>157</v>
      </c>
      <c r="D69" s="6">
        <f>D62*(SUM(CyS!C67:C93)/SUM(CyS!C3:C29,CyS!C35:C61,CyS!C67:C93,CyS!C99:C125,CyS!C131:C157,CyS!C163:C189,CyS!C195:C221,CyS!C227:C253))</f>
        <v>5.5253919413919412</v>
      </c>
      <c r="E69" s="6">
        <f>E62*(SUM(CyS!D67:D93)/SUM(CyS!D3:D29,CyS!D35:D61,CyS!D67:D93,CyS!D99:D125,CyS!D131:D157,CyS!D163:D189,CyS!D195:D221,CyS!D227:D253))</f>
        <v>5.7361816002397363</v>
      </c>
      <c r="F69" s="6">
        <f>F62*(SUM(CyS!E67:E93)/SUM(CyS!E3:E29,CyS!E35:E61,CyS!E67:E93,CyS!E99:E125,CyS!E131:E157,CyS!E163:E189,CyS!E195:E221,CyS!E227:E253))</f>
        <v>5.9092208483701132</v>
      </c>
      <c r="G69" s="6">
        <f>G62*(SUM(CyS!F67:F93)/SUM(CyS!F3:F29,CyS!F35:F61,CyS!F67:F93,CyS!F99:F125,CyS!F131:F157,CyS!F163:F189,CyS!F195:F221,CyS!F227:F253))</f>
        <v>6.1975054047561837</v>
      </c>
      <c r="H69" s="6">
        <f>H62*(SUM(CyS!G67:G93)/SUM(CyS!G3:G29,CyS!G35:G61,CyS!G67:G93,CyS!G99:G125,CyS!G131:G157,CyS!G163:G189,CyS!G195:G221,CyS!G227:G253))</f>
        <v>6.1612703948924086</v>
      </c>
      <c r="I69" s="6">
        <f>I62*(SUM(CyS!H67:H93)/SUM(CyS!H3:H29,CyS!H35:H61,CyS!H67:H93,CyS!H99:H125,CyS!H131:H157,CyS!H163:H189,CyS!H195:H221,CyS!H227:H253))</f>
        <v>5.9477466482294226</v>
      </c>
      <c r="J69" s="6">
        <f>J62*(SUM(CyS!I67:I93)/SUM(CyS!I3:I29,CyS!I35:I61,CyS!I67:I93,CyS!I99:I125,CyS!I131:I157,CyS!I163:I189,CyS!I195:I221,CyS!I227:I253))</f>
        <v>6.1078746692326193</v>
      </c>
      <c r="K69" s="6">
        <f>K62*(SUM(CyS!J67:J93)/SUM(CyS!J3:J29,CyS!J35:J61,CyS!J67:J93,CyS!J99:J125,CyS!J131:J157,CyS!J163:J189,CyS!J195:J221,CyS!J227:J253))</f>
        <v>6.4972425742574265</v>
      </c>
      <c r="L69" s="6">
        <f>L62*(SUM(CyS!K67:K93)/SUM(CyS!K3:K29,CyS!K35:K61,CyS!K67:K93,CyS!K99:K125,CyS!K131:K157,CyS!K163:K189,CyS!K195:K221,CyS!K227:K253))</f>
        <v>6.49</v>
      </c>
      <c r="M69" s="6">
        <f>M62*(SUM(CyS!K67:K93)/SUM(CyS!K3:K29,CyS!K35:K61,CyS!K67:K93,CyS!K99:K125,CyS!K131:K157,CyS!K163:K189,CyS!K195:K221,CyS!K227:K253))</f>
        <v>6.8941295223025234</v>
      </c>
      <c r="N69" s="6">
        <f>N62*(SUM(CyS!K67:K93)/SUM(CyS!K3:K29,CyS!K35:K61,CyS!K67:K93,CyS!K99:K125,CyS!K131:K157,CyS!K163:K189,CyS!K195:K221,CyS!K227:K253))</f>
        <v>6.7421009311045248</v>
      </c>
      <c r="P69">
        <f t="shared" si="21"/>
        <v>17</v>
      </c>
    </row>
    <row r="70" spans="1:16" hidden="1" outlineLevel="2" x14ac:dyDescent="0.25">
      <c r="C70" t="s">
        <v>162</v>
      </c>
      <c r="D70" s="6">
        <f>D62*(SUM(CyS!C99:C125)/SUM(CyS!C3:C29,CyS!C35:C61,CyS!C67:C93,CyS!C99:C125,CyS!C131:C157,CyS!C163:C189,CyS!C195:C221,CyS!C227:C253))</f>
        <v>13.383059829059832</v>
      </c>
      <c r="E70" s="6">
        <f>E62*(SUM(CyS!D99:D125)/SUM(CyS!D3:D29,CyS!D35:D61,CyS!D67:D93,CyS!D99:D125,CyS!D131:D157,CyS!D163:D189,CyS!D195:D221,CyS!D227:D253))</f>
        <v>14.595729097992207</v>
      </c>
      <c r="F70" s="6">
        <f>F62*(SUM(CyS!E99:E125)/SUM(CyS!E3:E29,CyS!E35:E61,CyS!E67:E93,CyS!E99:E125,CyS!E131:E157,CyS!E163:E189,CyS!E195:E221,CyS!E227:E253))</f>
        <v>15.617226527835298</v>
      </c>
      <c r="G70" s="6">
        <f>G62*(SUM(CyS!F99:F125)/SUM(CyS!F3:F29,CyS!F35:F61,CyS!F67:F93,CyS!F99:F125,CyS!F131:F157,CyS!F163:F189,CyS!F195:F221,CyS!F227:F253))</f>
        <v>13.259779005524859</v>
      </c>
      <c r="H70" s="6">
        <f>H62*(SUM(CyS!G99:G125)/SUM(CyS!G3:G29,CyS!G35:G61,CyS!G67:G93,CyS!G99:G125,CyS!G131:G157,CyS!G163:G189,CyS!G195:G221,CyS!G227:G253))</f>
        <v>12.873548711279263</v>
      </c>
      <c r="I70" s="6">
        <f>I62*(SUM(CyS!H99:H125)/SUM(CyS!H3:H29,CyS!H35:H61,CyS!H67:H93,CyS!H99:H125,CyS!H131:H157,CyS!H163:H189,CyS!H195:H221,CyS!H227:H253))</f>
        <v>10.919146275476461</v>
      </c>
      <c r="J70" s="6">
        <f>J62*(SUM(CyS!I99:I125)/SUM(CyS!I3:I29,CyS!I35:I61,CyS!I67:I93,CyS!I99:I125,CyS!I131:I157,CyS!I163:I189,CyS!I195:I221,CyS!I227:I253))</f>
        <v>9.8680971854702904</v>
      </c>
      <c r="K70" s="6">
        <f>K62*(SUM(CyS!J99:J125)/SUM(CyS!J3:J29,CyS!J35:J61,CyS!J67:J93,CyS!J99:J125,CyS!J131:J157,CyS!J163:J189,CyS!J195:J221,CyS!J227:J253))</f>
        <v>9.2208341584158404</v>
      </c>
      <c r="L70" s="6">
        <f>L62*(SUM(CyS!K99:K125)/SUM(CyS!K3:K29,CyS!K35:K61,CyS!K67:K93,CyS!K99:K125,CyS!K131:K157,CyS!K163:K189,CyS!K195:K221,CyS!K227:K253))</f>
        <v>9.94</v>
      </c>
      <c r="M70" s="6">
        <f>M62*(SUM(CyS!K99:K125)/SUM(CyS!K3:K29,CyS!K35:K61,CyS!K67:K93,CyS!K99:K125,CyS!K131:K157,CyS!K163:K189,CyS!K195:K221,CyS!K227:K253))</f>
        <v>10.558959545714496</v>
      </c>
      <c r="N70" s="6">
        <f>N62*(SUM(CyS!K99:K125)/SUM(CyS!K3:K29,CyS!K35:K61,CyS!K67:K93,CyS!K99:K125,CyS!K131:K157,CyS!K163:K189,CyS!K195:K221,CyS!K227:K253))</f>
        <v>10.326114523140058</v>
      </c>
      <c r="P70">
        <f t="shared" si="21"/>
        <v>18</v>
      </c>
    </row>
    <row r="71" spans="1:16" hidden="1" outlineLevel="2" x14ac:dyDescent="0.25">
      <c r="C71" t="s">
        <v>163</v>
      </c>
      <c r="D71" s="6">
        <f>D62*(SUM(CyS!C131:C157)/SUM(CyS!C3:C29,CyS!C35:C61,CyS!C67:C93,CyS!C99:C125,CyS!C131:C157,CyS!C163:C189,CyS!C195:C221,CyS!C227:C253))</f>
        <v>1.7617191697191701</v>
      </c>
      <c r="E71" s="6">
        <f>E62*(SUM(CyS!D131:D157)/SUM(CyS!D3:D29,CyS!D35:D61,CyS!D67:D93,CyS!D99:D125,CyS!D131:D157,CyS!D163:D189,CyS!D195:D221,CyS!D227:D253))</f>
        <v>1.8219634402157627</v>
      </c>
      <c r="F71" s="6">
        <f>F62*(SUM(CyS!E131:E157)/SUM(CyS!E3:E29,CyS!E35:E61,CyS!E67:E93,CyS!E99:E125,CyS!E131:E157,CyS!E163:E189,CyS!E195:E221,CyS!E227:E253))</f>
        <v>1.8792930249068216</v>
      </c>
      <c r="G71" s="6">
        <f>G62*(SUM(CyS!F131:F157)/SUM(CyS!F3:F29,CyS!F35:F61,CyS!F67:F93,CyS!F99:F125,CyS!F131:F157,CyS!F163:F189,CyS!F195:F221,CyS!F227:F253))</f>
        <v>1.9663181599807829</v>
      </c>
      <c r="H71" s="6">
        <f>H62*(SUM(CyS!G131:G157)/SUM(CyS!G3:G29,CyS!G35:G61,CyS!G67:G93,CyS!G99:G125,CyS!G131:G157,CyS!G163:G189,CyS!G195:G221,CyS!G227:G253))</f>
        <v>1.9435552139985808</v>
      </c>
      <c r="I71" s="6">
        <f>I62*(SUM(CyS!H131:H157)/SUM(CyS!H3:H29,CyS!H35:H61,CyS!H67:H93,CyS!H99:H125,CyS!H131:H157,CyS!H163:H189,CyS!H195:H221,CyS!H227:H253))</f>
        <v>1.8829549690374554</v>
      </c>
      <c r="J71" s="6">
        <f>J62*(SUM(CyS!I131:I157)/SUM(CyS!I3:I29,CyS!I35:I61,CyS!I67:I93,CyS!I99:I125,CyS!I131:I157,CyS!I163:I189,CyS!I195:I221,CyS!I227:I253))</f>
        <v>1.9298496511907626</v>
      </c>
      <c r="K71" s="6">
        <f>K62*(SUM(CyS!J131:J157)/SUM(CyS!J3:J29,CyS!J35:J61,CyS!J67:J93,CyS!J99:J125,CyS!J131:J157,CyS!J163:J189,CyS!J195:J221,CyS!J227:J253))</f>
        <v>2.0563663366336633</v>
      </c>
      <c r="L71" s="6">
        <f>L62*(SUM(CyS!K131:K157)/SUM(CyS!K3:K29,CyS!K35:K61,CyS!K67:K93,CyS!K99:K125,CyS!K131:K157,CyS!K163:K189,CyS!K195:K221,CyS!K227:K253))</f>
        <v>2.06</v>
      </c>
      <c r="M71" s="6">
        <f>M62*(SUM(CyS!K131:K157)/SUM(CyS!K3:K29,CyS!K35:K61,CyS!K67:K93,CyS!K99:K125,CyS!K131:K157,CyS!K163:K189,CyS!K195:K221,CyS!K227:K253))</f>
        <v>2.1882753183271491</v>
      </c>
      <c r="N71" s="6">
        <f>N62*(SUM(CyS!K131:K157)/SUM(CyS!K3:K29,CyS!K35:K61,CyS!K67:K93,CyS!K99:K125,CyS!K131:K157,CyS!K163:K189,CyS!K195:K221,CyS!K227:K253))</f>
        <v>2.1400197100270142</v>
      </c>
      <c r="P71">
        <f t="shared" si="21"/>
        <v>19</v>
      </c>
    </row>
    <row r="72" spans="1:16" hidden="1" outlineLevel="2" x14ac:dyDescent="0.25">
      <c r="C72" t="s">
        <v>152</v>
      </c>
      <c r="D72" s="6">
        <f>D62*(SUM(CyS!C163:C189)/SUM(CyS!C3:C29,CyS!C35:C61,CyS!C67:C93,CyS!C99:C125,CyS!C131:C157,CyS!C163:C189,CyS!C195:C221,CyS!C227:C253))</f>
        <v>2.7827155067155074</v>
      </c>
      <c r="E72" s="6">
        <f>E62*(SUM(CyS!D163:D189)/SUM(CyS!D3:D29,CyS!D35:D61,CyS!D67:D93,CyS!D99:D125,CyS!D131:D157,CyS!D163:D189,CyS!D195:D221,CyS!D227:D253))</f>
        <v>2.8831069823194486</v>
      </c>
      <c r="F72" s="6">
        <f>F62*(SUM(CyS!E163:E189)/SUM(CyS!E3:E29,CyS!E35:E61,CyS!E67:E93,CyS!E99:E125,CyS!E131:E157,CyS!E163:E189,CyS!E195:E221,CyS!E227:E253))</f>
        <v>2.9747098148257711</v>
      </c>
      <c r="G72" s="6">
        <f>G62*(SUM(CyS!F163:F189)/SUM(CyS!F3:F29,CyS!F35:F61,CyS!F67:F93,CyS!F99:F125,CyS!F131:F157,CyS!F163:F189,CyS!F195:F221,CyS!F227:F253))</f>
        <v>3.1193424213307703</v>
      </c>
      <c r="H72" s="6">
        <f>H62*(SUM(CyS!G163:G189)/SUM(CyS!G3:G29,CyS!G35:G61,CyS!G67:G93,CyS!G99:G125,CyS!G131:G157,CyS!G163:G189,CyS!G195:G221,CyS!G227:G253))</f>
        <v>3.0956626862142342</v>
      </c>
      <c r="I72" s="6">
        <f>I62*(SUM(CyS!H163:H189)/SUM(CyS!H3:H29,CyS!H35:H61,CyS!H67:H93,CyS!H99:H125,CyS!H131:H157,CyS!H163:H189,CyS!H195:H221,CyS!H227:H253))</f>
        <v>2.9987801358744659</v>
      </c>
      <c r="J72" s="6">
        <f>J62*(SUM(CyS!I163:I189)/SUM(CyS!I3:I29,CyS!I35:I61,CyS!I67:I93,CyS!I99:I125,CyS!I131:I157,CyS!I163:I189,CyS!I195:I221,CyS!I227:I253))</f>
        <v>3.0738326918450802</v>
      </c>
      <c r="K72" s="6">
        <f>K62*(SUM(CyS!J163:J189)/SUM(CyS!J3:J29,CyS!J35:J61,CyS!J67:J93,CyS!J99:J125,CyS!J131:J157,CyS!J163:J189,CyS!J195:J221,CyS!J227:J253))</f>
        <v>3.2704975247524755</v>
      </c>
      <c r="L72" s="6">
        <f>L62*(SUM(CyS!K163:K189)/SUM(CyS!K3:K29,CyS!K35:K61,CyS!K67:K93,CyS!K99:K125,CyS!K131:K157,CyS!K163:K189,CyS!K195:K221,CyS!K227:K253))</f>
        <v>3.2699999999999996</v>
      </c>
      <c r="M72" s="6">
        <f>M62*(SUM(CyS!K163:K189)/SUM(CyS!K3:K29,CyS!K35:K61,CyS!K67:K93,CyS!K99:K125,CyS!K131:K157,CyS!K163:K189,CyS!K195:K221,CyS!K227:K253))</f>
        <v>3.473621500451348</v>
      </c>
      <c r="N72" s="6">
        <f>N62*(SUM(CyS!K163:K189)/SUM(CyS!K3:K29,CyS!K35:K61,CyS!K67:K93,CyS!K99:K125,CyS!K131:K157,CyS!K163:K189,CyS!K195:K221,CyS!K227:K253))</f>
        <v>3.3970215785380269</v>
      </c>
      <c r="P72">
        <f t="shared" si="21"/>
        <v>20</v>
      </c>
    </row>
    <row r="73" spans="1:16" hidden="1" outlineLevel="2" x14ac:dyDescent="0.25">
      <c r="C73" t="s">
        <v>67</v>
      </c>
      <c r="D73" s="6">
        <f>D62*(SUM(CyS!C195:C221)/SUM(CyS!C3:C29,CyS!C35:C61,CyS!C67:C93,CyS!C99:C125,CyS!C131:C157,CyS!C163:C189,CyS!C195:C221,CyS!C227:C253))</f>
        <v>32.241462759462756</v>
      </c>
      <c r="E73" s="6">
        <f>E62*(SUM(CyS!D195:D221)/SUM(CyS!D3:D29,CyS!D35:D61,CyS!D67:D93,CyS!D99:D125,CyS!D131:D157,CyS!D163:D189,CyS!D195:D221,CyS!D227:D253))</f>
        <v>32.44496433922685</v>
      </c>
      <c r="F73" s="6">
        <f>F62*(SUM(CyS!E195:E221)/SUM(CyS!E3:E29,CyS!E35:E61,CyS!E67:E93,CyS!E99:E125,CyS!E131:E157,CyS!E163:E189,CyS!E195:E221,CyS!E227:E253))</f>
        <v>32.812255220966698</v>
      </c>
      <c r="G73" s="6">
        <f>G62*(SUM(CyS!F195:F221)/SUM(CyS!F3:F29,CyS!F35:F61,CyS!F67:F93,CyS!F99:F125,CyS!F131:F157,CyS!F163:F189,CyS!F195:F221,CyS!F227:F253))</f>
        <v>33.427408719673309</v>
      </c>
      <c r="H73" s="6">
        <f>H62*(SUM(CyS!G195:G221)/SUM(CyS!G3:G29,CyS!G35:G61,CyS!G67:G93,CyS!G99:G125,CyS!G131:G157,CyS!G163:G189,CyS!G195:G221,CyS!G227:G253))</f>
        <v>32.920218727831639</v>
      </c>
      <c r="I73" s="6">
        <f>I62*(SUM(CyS!H195:H221)/SUM(CyS!H3:H29,CyS!H35:H61,CyS!H67:H93,CyS!H99:H125,CyS!H131:H157,CyS!H163:H189,CyS!H195:H221,CyS!H227:H253))</f>
        <v>33.504643179222029</v>
      </c>
      <c r="J73" s="6">
        <f>J62*(SUM(CyS!I195:I221)/SUM(CyS!I3:I29,CyS!I35:I61,CyS!I67:I93,CyS!I99:I125,CyS!I131:I157,CyS!I163:I189,CyS!I195:I221,CyS!I227:I253))</f>
        <v>33.344618715419777</v>
      </c>
      <c r="K73" s="6">
        <f>K62*(SUM(CyS!J195:J221)/SUM(CyS!J3:J29,CyS!J35:J61,CyS!J67:J93,CyS!J99:J125,CyS!J131:J157,CyS!J163:J189,CyS!J195:J221,CyS!J227:J253))</f>
        <v>36.71926485148515</v>
      </c>
      <c r="L73" s="6">
        <f>L62*(SUM(CyS!K195:K221)/SUM(CyS!K3:K29,CyS!K35:K61,CyS!K67:K93,CyS!K99:K125,CyS!K131:K157,CyS!K163:K189,CyS!K195:K221,CyS!K227:K253))</f>
        <v>34.74</v>
      </c>
      <c r="M73" s="6">
        <f>M62*(SUM(CyS!K195:K221)/SUM(CyS!K3:K29,CyS!K35:K61,CyS!K67:K93,CyS!K99:K125,CyS!K131:K157,CyS!K163:K189,CyS!K195:K221,CyS!K227:K253))</f>
        <v>36.903244931400565</v>
      </c>
      <c r="N73" s="6">
        <f>N62*(SUM(CyS!K195:K221)/SUM(CyS!K3:K29,CyS!K35:K61,CyS!K67:K93,CyS!K99:K125,CyS!K131:K157,CyS!K163:K189,CyS!K195:K221,CyS!K227:K253))</f>
        <v>36.08945860501867</v>
      </c>
      <c r="P73">
        <f t="shared" si="21"/>
        <v>21</v>
      </c>
    </row>
    <row r="74" spans="1:16" hidden="1" outlineLevel="2" x14ac:dyDescent="0.25">
      <c r="C74" t="s">
        <v>56</v>
      </c>
      <c r="D74" s="6">
        <f>D62*(SUM(CyS!C227:C253)/SUM(CyS!C3:C29,CyS!C35:C61,CyS!C67:C93,CyS!C99:C125,CyS!C131:C157,CyS!C163:C189,CyS!C195:C221,CyS!C227:C253))</f>
        <v>60.479018315018322</v>
      </c>
      <c r="E74" s="6">
        <f>E62*(SUM(CyS!D227:D253)/SUM(CyS!D3:D29,CyS!D35:D61,CyS!D67:D93,CyS!D99:D125,CyS!D131:D157,CyS!D163:D189,CyS!D195:D221,CyS!D227:D253))</f>
        <v>59.904556188192984</v>
      </c>
      <c r="F74" s="6">
        <f>F62*(SUM(CyS!E227:E253)/SUM(CyS!E3:E29,CyS!E35:E61,CyS!E67:E93,CyS!E99:E125,CyS!E131:E157,CyS!E163:E189,CyS!E195:E221,CyS!E227:E253))</f>
        <v>59.564544163757922</v>
      </c>
      <c r="G74" s="6">
        <f>G62*(SUM(CyS!F227:F253)/SUM(CyS!F3:F29,CyS!F35:F61,CyS!F67:F93,CyS!F99:F125,CyS!F131:F157,CyS!F163:F189,CyS!F195:F221,CyS!F227:F253))</f>
        <v>59.926377011770334</v>
      </c>
      <c r="H74" s="6">
        <f>H62*(SUM(CyS!G227:G253)/SUM(CyS!G3:G29,CyS!G35:G61,CyS!G67:G93,CyS!G99:G125,CyS!G131:G157,CyS!G163:G189,CyS!G195:G221,CyS!G227:G253))</f>
        <v>59.248379049420656</v>
      </c>
      <c r="I74" s="6">
        <f>I62*(SUM(CyS!H227:H253)/SUM(CyS!H3:H29,CyS!H35:H61,CyS!H67:H93,CyS!H99:H125,CyS!H131:H157,CyS!H163:H189,CyS!H195:H221,CyS!H227:H253))</f>
        <v>59.049069320026447</v>
      </c>
      <c r="J74" s="6">
        <f>J62*(SUM(CyS!I227:I253)/SUM(CyS!I3:I29,CyS!I35:I61,CyS!I67:I93,CyS!I99:I125,CyS!I131:I157,CyS!I163:I189,CyS!I195:I221,CyS!I227:I253))</f>
        <v>58.253605965840741</v>
      </c>
      <c r="K74" s="6">
        <f>K62*(SUM(CyS!J227:J253)/SUM(CyS!J3:J29,CyS!J35:J61,CyS!J67:J93,CyS!J99:J125,CyS!J131:J157,CyS!J163:J189,CyS!J195:J221,CyS!J227:J253))</f>
        <v>62.872306930693071</v>
      </c>
      <c r="L74" s="6">
        <f>L62*(SUM(CyS!K227:K253)/SUM(CyS!K3:K29,CyS!K35:K61,CyS!K67:K93,CyS!K99:K125,CyS!K131:K157,CyS!K163:K189,CyS!K195:K221,CyS!K227:K253))</f>
        <v>58.18</v>
      </c>
      <c r="M74" s="6">
        <f>M62*(SUM(CyS!K227:K253)/SUM(CyS!K3:K29,CyS!K35:K61,CyS!K67:K93,CyS!K99:K125,CyS!K131:K157,CyS!K163:K189,CyS!K195:K221,CyS!K227:K253))</f>
        <v>61.802843699161912</v>
      </c>
      <c r="N74" s="6">
        <f>N62*(SUM(CyS!K227:K253)/SUM(CyS!K3:K29,CyS!K35:K61,CyS!K67:K93,CyS!K99:K125,CyS!K131:K157,CyS!K163:K189,CyS!K195:K221,CyS!K227:K253))</f>
        <v>60.439974140471683</v>
      </c>
      <c r="P74">
        <f t="shared" si="21"/>
        <v>22</v>
      </c>
    </row>
    <row r="75" spans="1:16" hidden="1" outlineLevel="2" x14ac:dyDescent="0.25">
      <c r="D75" s="6">
        <f>SUM(D67:D74)</f>
        <v>163.96</v>
      </c>
      <c r="E75" s="6">
        <f t="shared" ref="E75:N75" si="24">SUM(E67:E74)</f>
        <v>167.03000000000003</v>
      </c>
      <c r="F75" s="6">
        <f t="shared" si="24"/>
        <v>169.87</v>
      </c>
      <c r="G75" s="6">
        <f t="shared" si="24"/>
        <v>171.42999999999995</v>
      </c>
      <c r="H75" s="6">
        <f t="shared" si="24"/>
        <v>169.46999999999997</v>
      </c>
      <c r="I75" s="6">
        <f t="shared" si="24"/>
        <v>165.70999999999998</v>
      </c>
      <c r="J75" s="6">
        <f t="shared" si="24"/>
        <v>165.41</v>
      </c>
      <c r="K75" s="6">
        <f t="shared" si="24"/>
        <v>176.76</v>
      </c>
      <c r="L75" s="6">
        <f t="shared" si="24"/>
        <v>170.83</v>
      </c>
      <c r="M75" s="6">
        <f t="shared" si="24"/>
        <v>181.46751098535285</v>
      </c>
      <c r="N75" s="6">
        <f t="shared" si="24"/>
        <v>177.46580925432758</v>
      </c>
      <c r="P75">
        <f t="shared" si="21"/>
        <v>23</v>
      </c>
    </row>
    <row r="76" spans="1:16" hidden="1" outlineLevel="2" x14ac:dyDescent="0.25">
      <c r="P76">
        <f t="shared" si="21"/>
        <v>24</v>
      </c>
    </row>
    <row r="77" spans="1:16" hidden="1" outlineLevel="2" x14ac:dyDescent="0.25">
      <c r="B77" t="s">
        <v>61</v>
      </c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P77">
        <f t="shared" si="21"/>
        <v>25</v>
      </c>
    </row>
    <row r="78" spans="1:16" hidden="1" outlineLevel="2" x14ac:dyDescent="0.25">
      <c r="C78" t="s">
        <v>83</v>
      </c>
      <c r="D78" s="3">
        <f>D67</f>
        <v>18.057621489621493</v>
      </c>
      <c r="E78" s="3">
        <f t="shared" ref="E78:N78" si="25">E67</f>
        <v>18.75020617320947</v>
      </c>
      <c r="F78" s="3">
        <f t="shared" si="25"/>
        <v>19.30546471040644</v>
      </c>
      <c r="G78" s="3">
        <f t="shared" si="25"/>
        <v>20.229398871006481</v>
      </c>
      <c r="H78" s="3">
        <f t="shared" si="25"/>
        <v>20.106779971624494</v>
      </c>
      <c r="I78" s="3">
        <f t="shared" si="25"/>
        <v>19.417350447904763</v>
      </c>
      <c r="J78" s="3">
        <f t="shared" si="25"/>
        <v>19.955043300457056</v>
      </c>
      <c r="K78" s="3">
        <f t="shared" si="25"/>
        <v>21.198074257425741</v>
      </c>
      <c r="L78" s="3">
        <f t="shared" si="25"/>
        <v>21.21</v>
      </c>
      <c r="M78" s="3">
        <f t="shared" si="25"/>
        <v>22.530737622193609</v>
      </c>
      <c r="N78" s="3">
        <f t="shared" si="25"/>
        <v>22.033892257122798</v>
      </c>
      <c r="P78">
        <f t="shared" si="21"/>
        <v>26</v>
      </c>
    </row>
    <row r="79" spans="1:16" hidden="1" outlineLevel="2" x14ac:dyDescent="0.25">
      <c r="B79" t="s">
        <v>59</v>
      </c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P79">
        <f t="shared" si="21"/>
        <v>27</v>
      </c>
    </row>
    <row r="80" spans="1:16" hidden="1" outlineLevel="2" x14ac:dyDescent="0.25">
      <c r="C80" t="s">
        <v>83</v>
      </c>
      <c r="D80" s="3">
        <f>D68</f>
        <v>29.729010989010995</v>
      </c>
      <c r="E80" s="3">
        <f t="shared" ref="E80:N80" si="26">E68</f>
        <v>30.893292178603538</v>
      </c>
      <c r="F80" s="3">
        <f t="shared" si="26"/>
        <v>31.807285688930964</v>
      </c>
      <c r="G80" s="3">
        <f t="shared" si="26"/>
        <v>33.303870405957234</v>
      </c>
      <c r="H80" s="3">
        <f t="shared" si="26"/>
        <v>33.120585244738706</v>
      </c>
      <c r="I80" s="3">
        <f t="shared" si="26"/>
        <v>31.990309024228935</v>
      </c>
      <c r="J80" s="3">
        <f t="shared" si="26"/>
        <v>32.877077820543654</v>
      </c>
      <c r="K80" s="3">
        <f t="shared" si="26"/>
        <v>34.925413366336635</v>
      </c>
      <c r="L80" s="3">
        <f t="shared" si="26"/>
        <v>34.94</v>
      </c>
      <c r="M80" s="3">
        <f t="shared" si="26"/>
        <v>37.115698845801255</v>
      </c>
      <c r="N80" s="3">
        <f t="shared" si="26"/>
        <v>36.29722750890479</v>
      </c>
      <c r="P80">
        <f t="shared" si="21"/>
        <v>28</v>
      </c>
    </row>
    <row r="81" spans="2:16" hidden="1" outlineLevel="2" x14ac:dyDescent="0.25">
      <c r="B81" t="s">
        <v>157</v>
      </c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P81">
        <f t="shared" si="21"/>
        <v>29</v>
      </c>
    </row>
    <row r="82" spans="2:16" hidden="1" outlineLevel="2" x14ac:dyDescent="0.25">
      <c r="C82" t="s">
        <v>83</v>
      </c>
      <c r="D82" s="3">
        <f>D69</f>
        <v>5.5253919413919412</v>
      </c>
      <c r="E82" s="3">
        <f t="shared" ref="E82:N82" si="27">E69</f>
        <v>5.7361816002397363</v>
      </c>
      <c r="F82" s="3">
        <f t="shared" si="27"/>
        <v>5.9092208483701132</v>
      </c>
      <c r="G82" s="3">
        <f t="shared" si="27"/>
        <v>6.1975054047561837</v>
      </c>
      <c r="H82" s="3">
        <f t="shared" si="27"/>
        <v>6.1612703948924086</v>
      </c>
      <c r="I82" s="3">
        <f t="shared" si="27"/>
        <v>5.9477466482294226</v>
      </c>
      <c r="J82" s="3">
        <f t="shared" si="27"/>
        <v>6.1078746692326193</v>
      </c>
      <c r="K82" s="3">
        <f t="shared" si="27"/>
        <v>6.4972425742574265</v>
      </c>
      <c r="L82" s="3">
        <f t="shared" si="27"/>
        <v>6.49</v>
      </c>
      <c r="M82" s="3">
        <f t="shared" si="27"/>
        <v>6.8941295223025234</v>
      </c>
      <c r="N82" s="3">
        <f t="shared" si="27"/>
        <v>6.7421009311045248</v>
      </c>
      <c r="P82">
        <f t="shared" si="21"/>
        <v>30</v>
      </c>
    </row>
    <row r="83" spans="2:16" hidden="1" outlineLevel="2" x14ac:dyDescent="0.25">
      <c r="B83" t="s">
        <v>162</v>
      </c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P83">
        <f t="shared" si="21"/>
        <v>31</v>
      </c>
    </row>
    <row r="84" spans="2:16" hidden="1" outlineLevel="2" x14ac:dyDescent="0.25">
      <c r="C84" t="s">
        <v>79</v>
      </c>
      <c r="D84" s="3">
        <f>D70-D85-D86</f>
        <v>4.6416209742240069</v>
      </c>
      <c r="E84" s="3">
        <f t="shared" ref="E84:N84" si="28">E70-E85-E86</f>
        <v>5.6285711564551679</v>
      </c>
      <c r="F84" s="3">
        <f t="shared" si="28"/>
        <v>5.8923606499506445</v>
      </c>
      <c r="G84" s="3">
        <f t="shared" si="28"/>
        <v>7.4690278503906864</v>
      </c>
      <c r="H84" s="3">
        <f t="shared" si="28"/>
        <v>8.0633289854956267</v>
      </c>
      <c r="I84" s="3">
        <f t="shared" si="28"/>
        <v>6.0711196416761775</v>
      </c>
      <c r="J84" s="3">
        <f t="shared" si="28"/>
        <v>4.8275072982879568</v>
      </c>
      <c r="K84" s="3">
        <f t="shared" si="28"/>
        <v>7.4731653783799459</v>
      </c>
      <c r="L84" s="3">
        <f t="shared" si="28"/>
        <v>4.7999999999999945</v>
      </c>
      <c r="M84" s="3">
        <f t="shared" si="28"/>
        <v>3.062286040411264</v>
      </c>
      <c r="N84" s="3">
        <f t="shared" si="28"/>
        <v>3.2661246638903645</v>
      </c>
      <c r="P84">
        <f t="shared" si="21"/>
        <v>32</v>
      </c>
    </row>
    <row r="85" spans="2:16" hidden="1" outlineLevel="2" x14ac:dyDescent="0.25">
      <c r="C85" t="s">
        <v>107</v>
      </c>
      <c r="D85" s="3">
        <f>D59</f>
        <v>4.4000000000000004</v>
      </c>
      <c r="E85" s="3">
        <f t="shared" ref="E85:N85" si="29">E59</f>
        <v>4.46</v>
      </c>
      <c r="F85" s="3">
        <f t="shared" si="29"/>
        <v>5.22</v>
      </c>
      <c r="G85" s="3">
        <f t="shared" si="29"/>
        <v>1.97</v>
      </c>
      <c r="H85" s="3">
        <f t="shared" si="29"/>
        <v>0</v>
      </c>
      <c r="I85" s="3">
        <f t="shared" si="29"/>
        <v>0</v>
      </c>
      <c r="J85" s="3">
        <f t="shared" si="29"/>
        <v>0</v>
      </c>
      <c r="K85" s="3">
        <f t="shared" si="29"/>
        <v>0</v>
      </c>
      <c r="L85" s="3">
        <f t="shared" si="29"/>
        <v>0</v>
      </c>
      <c r="M85" s="3">
        <f t="shared" si="29"/>
        <v>0</v>
      </c>
      <c r="N85" s="3">
        <f t="shared" si="29"/>
        <v>0</v>
      </c>
      <c r="P85">
        <f t="shared" si="21"/>
        <v>33</v>
      </c>
    </row>
    <row r="86" spans="2:16" hidden="1" outlineLevel="2" x14ac:dyDescent="0.25">
      <c r="C86" t="s">
        <v>83</v>
      </c>
      <c r="D86" s="3">
        <f t="shared" ref="D86:K86" si="30">D116*D117</f>
        <v>4.3414388548358245</v>
      </c>
      <c r="E86" s="3">
        <f t="shared" si="30"/>
        <v>4.5071579415370397</v>
      </c>
      <c r="F86" s="3">
        <f t="shared" si="30"/>
        <v>4.5048658778846526</v>
      </c>
      <c r="G86" s="3">
        <f t="shared" si="30"/>
        <v>3.8207511551341717</v>
      </c>
      <c r="H86" s="3">
        <f t="shared" si="30"/>
        <v>4.8102197257836359</v>
      </c>
      <c r="I86" s="3">
        <f t="shared" si="30"/>
        <v>4.8480266338002833</v>
      </c>
      <c r="J86" s="3">
        <f t="shared" si="30"/>
        <v>5.0405898871823336</v>
      </c>
      <c r="K86" s="3">
        <f t="shared" si="30"/>
        <v>1.7476687800358948</v>
      </c>
      <c r="L86" s="3">
        <f>L116*$L117</f>
        <v>5.140000000000005</v>
      </c>
      <c r="M86" s="3">
        <f t="shared" ref="M86:N86" si="31">M116*$L117</f>
        <v>7.4966735053032316</v>
      </c>
      <c r="N86" s="3">
        <f t="shared" si="31"/>
        <v>7.0599898592496935</v>
      </c>
      <c r="P86">
        <f t="shared" si="21"/>
        <v>34</v>
      </c>
    </row>
    <row r="87" spans="2:16" hidden="1" outlineLevel="2" x14ac:dyDescent="0.25">
      <c r="B87" t="s">
        <v>163</v>
      </c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P87">
        <f t="shared" si="21"/>
        <v>35</v>
      </c>
    </row>
    <row r="88" spans="2:16" hidden="1" outlineLevel="2" x14ac:dyDescent="0.25">
      <c r="C88" t="s">
        <v>79</v>
      </c>
      <c r="D88" s="3">
        <f>D71-D89</f>
        <v>0.96694775464625016</v>
      </c>
      <c r="E88" s="3">
        <f t="shared" ref="E88:N88" si="32">E71-E89</f>
        <v>0.99796760508894711</v>
      </c>
      <c r="F88" s="3">
        <f t="shared" si="32"/>
        <v>1.0575900214300074</v>
      </c>
      <c r="G88" s="3">
        <f t="shared" si="32"/>
        <v>1.2679875917104615</v>
      </c>
      <c r="H88" s="3">
        <f t="shared" si="32"/>
        <v>1.074357399072585</v>
      </c>
      <c r="I88" s="3">
        <f t="shared" si="32"/>
        <v>1.0014955810737676</v>
      </c>
      <c r="J88" s="3">
        <f t="shared" si="32"/>
        <v>1.0190243738354332</v>
      </c>
      <c r="K88" s="3">
        <f t="shared" si="32"/>
        <v>1.7402985785420653</v>
      </c>
      <c r="L88" s="3">
        <f t="shared" si="32"/>
        <v>1.119999999999999</v>
      </c>
      <c r="M88" s="3">
        <f t="shared" si="32"/>
        <v>0.81728833486702479</v>
      </c>
      <c r="N88" s="3">
        <f t="shared" si="32"/>
        <v>0.8488931598918561</v>
      </c>
      <c r="P88">
        <f t="shared" si="21"/>
        <v>36</v>
      </c>
    </row>
    <row r="89" spans="2:16" hidden="1" outlineLevel="2" x14ac:dyDescent="0.25">
      <c r="C89" t="s">
        <v>83</v>
      </c>
      <c r="D89" s="3">
        <f t="shared" ref="D89:K89" si="33">D116*D118</f>
        <v>0.79477141507291993</v>
      </c>
      <c r="E89" s="3">
        <f t="shared" si="33"/>
        <v>0.82399583512681562</v>
      </c>
      <c r="F89" s="3">
        <f t="shared" si="33"/>
        <v>0.82170300347681413</v>
      </c>
      <c r="G89" s="3">
        <f t="shared" si="33"/>
        <v>0.69833056827032136</v>
      </c>
      <c r="H89" s="3">
        <f t="shared" si="33"/>
        <v>0.86919781492599579</v>
      </c>
      <c r="I89" s="3">
        <f t="shared" si="33"/>
        <v>0.88145938796368783</v>
      </c>
      <c r="J89" s="3">
        <f t="shared" si="33"/>
        <v>0.91082527735532937</v>
      </c>
      <c r="K89" s="3">
        <f t="shared" si="33"/>
        <v>0.31606775809159798</v>
      </c>
      <c r="L89" s="3">
        <f>L116*$L118</f>
        <v>0.94000000000000106</v>
      </c>
      <c r="M89" s="3">
        <f t="shared" ref="M89:N89" si="34">M116*$L118</f>
        <v>1.3709869834601243</v>
      </c>
      <c r="N89" s="3">
        <f t="shared" si="34"/>
        <v>1.2911265501351581</v>
      </c>
      <c r="P89">
        <f t="shared" si="21"/>
        <v>37</v>
      </c>
    </row>
    <row r="90" spans="2:16" hidden="1" outlineLevel="2" x14ac:dyDescent="0.25">
      <c r="B90" t="s">
        <v>152</v>
      </c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P90">
        <f t="shared" si="21"/>
        <v>38</v>
      </c>
    </row>
    <row r="91" spans="2:16" hidden="1" outlineLevel="2" x14ac:dyDescent="0.25">
      <c r="C91" t="s">
        <v>79</v>
      </c>
      <c r="D91" s="3">
        <f>D72-D92</f>
        <v>0.80572161172161927</v>
      </c>
      <c r="E91" s="3">
        <f t="shared" ref="E91:N91" si="35">E72-E92</f>
        <v>0.83800888549867736</v>
      </c>
      <c r="F91" s="3">
        <f t="shared" si="35"/>
        <v>0.92528585321301104</v>
      </c>
      <c r="G91" s="3">
        <f t="shared" si="35"/>
        <v>1.3775293947254861</v>
      </c>
      <c r="H91" s="3">
        <f t="shared" si="35"/>
        <v>0.91279090100235871</v>
      </c>
      <c r="I91" s="3">
        <f t="shared" si="35"/>
        <v>0.79513166596524654</v>
      </c>
      <c r="J91" s="3">
        <f t="shared" si="35"/>
        <v>0.78641921121408309</v>
      </c>
      <c r="K91" s="3">
        <f t="shared" si="35"/>
        <v>2.474750463204217</v>
      </c>
      <c r="L91" s="3">
        <f t="shared" si="35"/>
        <v>0.92999999999999705</v>
      </c>
      <c r="M91" s="3">
        <f t="shared" si="35"/>
        <v>6.0739009710188085E-2</v>
      </c>
      <c r="N91" s="3">
        <f t="shared" si="35"/>
        <v>0.18294059203135715</v>
      </c>
      <c r="P91">
        <f t="shared" si="21"/>
        <v>39</v>
      </c>
    </row>
    <row r="92" spans="2:16" hidden="1" outlineLevel="2" x14ac:dyDescent="0.25">
      <c r="C92" t="s">
        <v>83</v>
      </c>
      <c r="D92" s="3">
        <f t="shared" ref="D92:K92" si="36">D116*D119</f>
        <v>1.9769938949938881</v>
      </c>
      <c r="E92" s="3">
        <f t="shared" si="36"/>
        <v>2.0450980968207713</v>
      </c>
      <c r="F92" s="3">
        <f t="shared" si="36"/>
        <v>2.0494239616127601</v>
      </c>
      <c r="G92" s="3">
        <f t="shared" si="36"/>
        <v>1.7418130266052843</v>
      </c>
      <c r="H92" s="3">
        <f t="shared" si="36"/>
        <v>2.1828717852118755</v>
      </c>
      <c r="I92" s="3">
        <f t="shared" si="36"/>
        <v>2.2036484699092194</v>
      </c>
      <c r="J92" s="3">
        <f t="shared" si="36"/>
        <v>2.2874134806309971</v>
      </c>
      <c r="K92" s="3">
        <f t="shared" si="36"/>
        <v>0.79574706154825847</v>
      </c>
      <c r="L92" s="3">
        <f>L116*$L119</f>
        <v>2.3400000000000025</v>
      </c>
      <c r="M92" s="3">
        <f t="shared" ref="M92:N92" si="37">M116*$L119</f>
        <v>3.4128824907411599</v>
      </c>
      <c r="N92" s="3">
        <f t="shared" si="37"/>
        <v>3.2140809865066697</v>
      </c>
      <c r="P92">
        <f t="shared" si="21"/>
        <v>40</v>
      </c>
    </row>
    <row r="93" spans="2:16" hidden="1" outlineLevel="2" x14ac:dyDescent="0.25">
      <c r="B93" t="s">
        <v>67</v>
      </c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P93">
        <f t="shared" si="21"/>
        <v>41</v>
      </c>
    </row>
    <row r="94" spans="2:16" hidden="1" outlineLevel="2" x14ac:dyDescent="0.25">
      <c r="C94" t="s">
        <v>73</v>
      </c>
      <c r="D94" s="3">
        <f>D55</f>
        <v>2.98</v>
      </c>
      <c r="E94" s="3">
        <f t="shared" ref="E94:N94" si="38">E55</f>
        <v>3.3</v>
      </c>
      <c r="F94" s="3">
        <f t="shared" si="38"/>
        <v>3.68</v>
      </c>
      <c r="G94" s="3">
        <f t="shared" si="38"/>
        <v>3.91</v>
      </c>
      <c r="H94" s="3">
        <f t="shared" si="38"/>
        <v>3.87</v>
      </c>
      <c r="I94" s="3">
        <f t="shared" si="38"/>
        <v>4.75</v>
      </c>
      <c r="J94" s="3">
        <f t="shared" si="38"/>
        <v>5.17</v>
      </c>
      <c r="K94" s="3">
        <f t="shared" si="38"/>
        <v>5.96</v>
      </c>
      <c r="L94" s="3">
        <f t="shared" si="38"/>
        <v>6.51</v>
      </c>
      <c r="M94" s="3">
        <f t="shared" si="38"/>
        <v>6.72</v>
      </c>
      <c r="N94" s="3">
        <f t="shared" si="38"/>
        <v>8.4700000000000006</v>
      </c>
      <c r="P94">
        <f t="shared" si="21"/>
        <v>42</v>
      </c>
    </row>
    <row r="95" spans="2:16" hidden="1" outlineLevel="2" x14ac:dyDescent="0.25">
      <c r="C95" t="s">
        <v>75</v>
      </c>
      <c r="D95" s="3">
        <f>D56*CyS!C205/(CyS!C205+CyS!C237)</f>
        <v>4.8499999999999996</v>
      </c>
      <c r="E95" s="3">
        <f>E56*CyS!D205/(CyS!D205+CyS!D237)</f>
        <v>4.82</v>
      </c>
      <c r="F95" s="3">
        <f>F56*CyS!E205/(CyS!E205+CyS!E237)</f>
        <v>4.8</v>
      </c>
      <c r="G95" s="3">
        <f>G56*CyS!F205/(CyS!F205+CyS!F237)</f>
        <v>4.78</v>
      </c>
      <c r="H95" s="3">
        <f>H56*CyS!G205/(CyS!G205+CyS!G237)</f>
        <v>4.75</v>
      </c>
      <c r="I95" s="3">
        <f>I56*CyS!H205/(CyS!H205+CyS!H237)</f>
        <v>4.7300000000000004</v>
      </c>
      <c r="J95" s="3">
        <f>J56*CyS!I205/(CyS!I205+CyS!I237)</f>
        <v>4.7</v>
      </c>
      <c r="K95" s="3">
        <f>K56*CyS!J205/(CyS!J205+CyS!J237)</f>
        <v>4.68</v>
      </c>
      <c r="L95" s="3">
        <f>L56*CyS!$K205/(CyS!$K205+CyS!$K237)</f>
        <v>4.66</v>
      </c>
      <c r="M95" s="3">
        <f>M56*CyS!$K205/(CyS!$K205+CyS!$K237)</f>
        <v>4.6420077220077216</v>
      </c>
      <c r="N95" s="3">
        <f>N56*CyS!$K205/(CyS!$K205+CyS!$K237)</f>
        <v>4.624015444015444</v>
      </c>
      <c r="P95">
        <f t="shared" si="21"/>
        <v>43</v>
      </c>
    </row>
    <row r="96" spans="2:16" hidden="1" outlineLevel="2" x14ac:dyDescent="0.25">
      <c r="C96" t="s">
        <v>76</v>
      </c>
      <c r="D96" s="3">
        <f>D57*CyS!C209/(CyS!C241+CyS!C209)</f>
        <v>2.08</v>
      </c>
      <c r="E96" s="3">
        <f>E57*CyS!D209/(CyS!D241+CyS!D209)</f>
        <v>2.1</v>
      </c>
      <c r="F96" s="3">
        <f>F57*CyS!E209/(CyS!E241+CyS!E209)</f>
        <v>2.13</v>
      </c>
      <c r="G96" s="3">
        <f>G57*CyS!F209/(CyS!F241+CyS!F209)</f>
        <v>2.16</v>
      </c>
      <c r="H96" s="3">
        <f>H57*CyS!G209/(CyS!G241+CyS!G209)</f>
        <v>2.19</v>
      </c>
      <c r="I96" s="3">
        <f>I57*CyS!H209/(CyS!H241+CyS!H209)</f>
        <v>2.21</v>
      </c>
      <c r="J96" s="3">
        <f>J57*CyS!I209/(CyS!I241+CyS!I209)</f>
        <v>2.2400000000000002</v>
      </c>
      <c r="K96" s="3">
        <f>K57*CyS!J209/(CyS!J241+CyS!J209)</f>
        <v>2.27</v>
      </c>
      <c r="L96" s="3">
        <f>L57*CyS!$K209/(CyS!$K241+CyS!$K209)</f>
        <v>2.2999999999999998</v>
      </c>
      <c r="M96" s="3">
        <f>M57*CyS!$K209/(CyS!$K241+CyS!$K209)</f>
        <v>2.3288401253918489</v>
      </c>
      <c r="N96" s="3">
        <f>N57*CyS!$K209/(CyS!$K241+CyS!$K209)</f>
        <v>2.357680250783698</v>
      </c>
      <c r="P96">
        <f t="shared" si="21"/>
        <v>44</v>
      </c>
    </row>
    <row r="97" spans="2:16" hidden="1" outlineLevel="2" x14ac:dyDescent="0.25">
      <c r="C97" t="s">
        <v>79</v>
      </c>
      <c r="D97" s="3">
        <f>(D58-D84-D88-D91)*CyS!C213/(CyS!C213+CyS!C245)</f>
        <v>18.359862705179303</v>
      </c>
      <c r="E97" s="3">
        <f>(E58-E84-E88-E91)*CyS!D213/(CyS!D213+CyS!D245)</f>
        <v>17.536594731234199</v>
      </c>
      <c r="F97" s="3">
        <f>(F58-F84-F88-F91)*CyS!E213/(CyS!E213+CyS!E245)</f>
        <v>17.339470041513017</v>
      </c>
      <c r="G97" s="3">
        <f>(G58-G84-G88-G91)*CyS!F213/(CyS!F213+CyS!F245)</f>
        <v>17.240396017567168</v>
      </c>
      <c r="H97" s="3">
        <f>(H58-H84-H88-H91)*CyS!G213/(CyS!G213+CyS!G245)</f>
        <v>17.056307862459416</v>
      </c>
      <c r="I97" s="3">
        <f>(I58-I84-I88-I91)*CyS!H213/(CyS!H213+CyS!H245)</f>
        <v>17.334976103099478</v>
      </c>
      <c r="J97" s="3">
        <f>(J58-J84-J88-J91)*CyS!I213/(CyS!I213+CyS!I245)</f>
        <v>17.203414143925063</v>
      </c>
      <c r="K97" s="3">
        <f>(K58-K84-K88-K91)*CyS!J213/(CyS!J213+CyS!J245)</f>
        <v>19.959897577031125</v>
      </c>
      <c r="L97" s="3">
        <f>(L58-L84-L88-L91)*CyS!$K213/(CyS!$K213+CyS!$K245)</f>
        <v>16.920000000000002</v>
      </c>
      <c r="M97" s="3">
        <f>(M58-M84-M88-M91)*CyS!$K213/(CyS!$K213+CyS!$K245)</f>
        <v>18.464880293188422</v>
      </c>
      <c r="N97" s="3">
        <f>(N58-N84-N88-N91)*CyS!$K213/(CyS!$K213+CyS!$K245)</f>
        <v>16.88637230494172</v>
      </c>
      <c r="P97">
        <f t="shared" si="21"/>
        <v>45</v>
      </c>
    </row>
    <row r="98" spans="2:16" hidden="1" outlineLevel="2" x14ac:dyDescent="0.25">
      <c r="C98" t="s">
        <v>81</v>
      </c>
      <c r="D98" s="3">
        <f>D60*CyS!C219/(CyS!C219+CyS!C251)</f>
        <v>4</v>
      </c>
      <c r="E98" s="3">
        <f>E60*CyS!D219/(CyS!D219+CyS!D251)</f>
        <v>4.7300000000000004</v>
      </c>
      <c r="F98" s="3">
        <f>F60*CyS!E219/(CyS!E219+CyS!E251)</f>
        <v>4.8</v>
      </c>
      <c r="G98" s="3">
        <f>G60*CyS!F219/(CyS!F219+CyS!F251)</f>
        <v>5.1800000000000006</v>
      </c>
      <c r="H98" s="3">
        <f>H60*CyS!G219/(CyS!G219+CyS!G251)</f>
        <v>4.96</v>
      </c>
      <c r="I98" s="3">
        <f>I60*CyS!H219/(CyS!H219+CyS!H251)</f>
        <v>4.4000000000000004</v>
      </c>
      <c r="J98" s="3">
        <f>J60*CyS!I219/(CyS!I219+CyS!I251)</f>
        <v>3.9500000000000006</v>
      </c>
      <c r="K98" s="3">
        <f>K60*CyS!J219/(CyS!J219+CyS!J251)</f>
        <v>3.4200000000000004</v>
      </c>
      <c r="L98" s="3">
        <f>L60*CyS!$K219/(CyS!$K219+CyS!$K251)</f>
        <v>4.26</v>
      </c>
      <c r="M98" s="3">
        <f>M60*CyS!$K219/(CyS!$K219+CyS!$K251)</f>
        <v>4.3176162299239218</v>
      </c>
      <c r="N98" s="3">
        <f>N60*CyS!$K219/(CyS!$K219+CyS!$K251)</f>
        <v>4.7461369399830939</v>
      </c>
      <c r="P98">
        <f t="shared" si="21"/>
        <v>46</v>
      </c>
    </row>
    <row r="99" spans="2:16" hidden="1" outlineLevel="2" x14ac:dyDescent="0.25">
      <c r="C99" t="s">
        <v>83</v>
      </c>
      <c r="D99" s="3">
        <f t="shared" ref="D99:K99" si="39">D116*D120</f>
        <v>7.9477141507291987E-2</v>
      </c>
      <c r="E99" s="3">
        <f t="shared" si="39"/>
        <v>7.9421285313428014E-2</v>
      </c>
      <c r="F99" s="3">
        <f t="shared" si="39"/>
        <v>7.7336753268406042E-2</v>
      </c>
      <c r="G99" s="3">
        <f t="shared" si="39"/>
        <v>7.2241093269343581E-2</v>
      </c>
      <c r="H99" s="3">
        <f t="shared" si="39"/>
        <v>8.8895231071976832E-2</v>
      </c>
      <c r="I99" s="3">
        <f t="shared" si="39"/>
        <v>9.2245749903176619E-2</v>
      </c>
      <c r="J99" s="3">
        <f t="shared" si="39"/>
        <v>9.3152585184067757E-2</v>
      </c>
      <c r="K99" s="3">
        <f t="shared" si="39"/>
        <v>3.3465997915580963E-2</v>
      </c>
      <c r="L99" s="3">
        <f>L116*$L120</f>
        <v>9.0000000000000108E-2</v>
      </c>
      <c r="M99" s="3">
        <f t="shared" ref="M99:N99" si="40">M116*$L120</f>
        <v>0.13126471118235233</v>
      </c>
      <c r="N99" s="3">
        <f t="shared" si="40"/>
        <v>0.12361849948102578</v>
      </c>
      <c r="P99">
        <f t="shared" si="21"/>
        <v>47</v>
      </c>
    </row>
    <row r="100" spans="2:16" hidden="1" outlineLevel="2" x14ac:dyDescent="0.25">
      <c r="B100" t="s">
        <v>56</v>
      </c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P100">
        <f t="shared" si="21"/>
        <v>48</v>
      </c>
    </row>
    <row r="101" spans="2:16" hidden="1" outlineLevel="2" x14ac:dyDescent="0.25">
      <c r="C101" t="s">
        <v>75</v>
      </c>
      <c r="D101" s="3">
        <f>D56-D95</f>
        <v>8.61</v>
      </c>
      <c r="E101" s="3">
        <f t="shared" ref="E101:N101" si="41">E56-E95</f>
        <v>8.58</v>
      </c>
      <c r="F101" s="3">
        <f t="shared" si="41"/>
        <v>8.5299999999999976</v>
      </c>
      <c r="G101" s="3">
        <f t="shared" si="41"/>
        <v>8.4899999999999984</v>
      </c>
      <c r="H101" s="3">
        <f t="shared" si="41"/>
        <v>8.4499999999999993</v>
      </c>
      <c r="I101" s="3">
        <f t="shared" si="41"/>
        <v>8.4</v>
      </c>
      <c r="J101" s="3">
        <f t="shared" si="41"/>
        <v>8.370000000000001</v>
      </c>
      <c r="K101" s="3">
        <f t="shared" si="41"/>
        <v>8.32</v>
      </c>
      <c r="L101" s="3">
        <f t="shared" si="41"/>
        <v>8.2899999999999991</v>
      </c>
      <c r="M101" s="3">
        <f t="shared" si="41"/>
        <v>8.2579922779922761</v>
      </c>
      <c r="N101" s="3">
        <f t="shared" si="41"/>
        <v>8.225984555984553</v>
      </c>
      <c r="P101">
        <f t="shared" si="21"/>
        <v>49</v>
      </c>
    </row>
    <row r="102" spans="2:16" hidden="1" outlineLevel="2" x14ac:dyDescent="0.25">
      <c r="C102" t="s">
        <v>76</v>
      </c>
      <c r="D102" s="3">
        <f>D57-D96</f>
        <v>3.6899999999999995</v>
      </c>
      <c r="E102" s="3">
        <f t="shared" ref="E102:N102" si="42">E57-E96</f>
        <v>3.7499999999999996</v>
      </c>
      <c r="F102" s="3">
        <f t="shared" si="42"/>
        <v>3.79</v>
      </c>
      <c r="G102" s="3">
        <f t="shared" si="42"/>
        <v>3.84</v>
      </c>
      <c r="H102" s="3">
        <f t="shared" si="42"/>
        <v>3.8800000000000003</v>
      </c>
      <c r="I102" s="3">
        <f t="shared" si="42"/>
        <v>3.9400000000000004</v>
      </c>
      <c r="J102" s="3">
        <f t="shared" si="42"/>
        <v>3.9800000000000004</v>
      </c>
      <c r="K102" s="3">
        <f t="shared" si="42"/>
        <v>4.0300000000000011</v>
      </c>
      <c r="L102" s="3">
        <f t="shared" si="42"/>
        <v>4.08</v>
      </c>
      <c r="M102" s="3">
        <f t="shared" si="42"/>
        <v>4.1311598746081497</v>
      </c>
      <c r="N102" s="3">
        <f t="shared" si="42"/>
        <v>4.1823197492163002</v>
      </c>
      <c r="P102">
        <f t="shared" si="21"/>
        <v>50</v>
      </c>
    </row>
    <row r="103" spans="2:16" hidden="1" outlineLevel="2" x14ac:dyDescent="0.25">
      <c r="C103" t="s">
        <v>79</v>
      </c>
      <c r="D103" s="3">
        <f>(D58-D84-D88-D91)*CyS!C245/(CyS!C213+CyS!C245)</f>
        <v>40.255846954228829</v>
      </c>
      <c r="E103" s="3">
        <f>(E58-E84-E88-E91)*CyS!D245/(CyS!D213+CyS!D245)</f>
        <v>38.318857621723019</v>
      </c>
      <c r="F103" s="3">
        <f>(F58-F84-F88-F91)*CyS!E245/(CyS!E213+CyS!E245)</f>
        <v>37.955293433893317</v>
      </c>
      <c r="G103" s="3">
        <f>(G58-G84-G88-G91)*CyS!F245/(CyS!F213+CyS!F245)</f>
        <v>37.855059145606191</v>
      </c>
      <c r="H103" s="3">
        <f>(H58-H84-H88-H91)*CyS!G245/(CyS!G213+CyS!G245)</f>
        <v>37.323214851970022</v>
      </c>
      <c r="I103" s="3">
        <f>(I58-I84-I88-I91)*CyS!H245/(CyS!H213+CyS!H245)</f>
        <v>38.087277008185325</v>
      </c>
      <c r="J103" s="3">
        <f>(J58-J84-J88-J91)*CyS!I245/(CyS!I213+CyS!I245)</f>
        <v>38.05363497273747</v>
      </c>
      <c r="K103" s="3">
        <f>(K58-K84-K88-K91)*CyS!J245/(CyS!J213+CyS!J245)</f>
        <v>44.551888002842652</v>
      </c>
      <c r="L103" s="3">
        <f>(L58-L84-L88-L91)*CyS!$K245/(CyS!$K213+CyS!$K245)</f>
        <v>37.400000000000006</v>
      </c>
      <c r="M103" s="3">
        <f>(M58-M84-M88-M91)*CyS!$K245/(CyS!$K213+CyS!$K245)</f>
        <v>40.814806321823099</v>
      </c>
      <c r="N103" s="3">
        <f>(N58-N84-N88-N91)*CyS!$K245/(CyS!$K213+CyS!$K245)</f>
        <v>37.325669279244693</v>
      </c>
      <c r="P103">
        <f t="shared" si="21"/>
        <v>51</v>
      </c>
    </row>
    <row r="104" spans="2:16" hidden="1" outlineLevel="2" x14ac:dyDescent="0.25">
      <c r="C104" t="s">
        <v>81</v>
      </c>
      <c r="D104" s="3">
        <f>D60-D98</f>
        <v>7.1</v>
      </c>
      <c r="E104" s="3">
        <f t="shared" ref="E104:N104" si="43">E60-E98</f>
        <v>8.4</v>
      </c>
      <c r="F104" s="3">
        <f t="shared" si="43"/>
        <v>8.5399999999999991</v>
      </c>
      <c r="G104" s="3">
        <f t="shared" si="43"/>
        <v>9.1999999999999993</v>
      </c>
      <c r="H104" s="3">
        <f t="shared" si="43"/>
        <v>8.8099999999999987</v>
      </c>
      <c r="I104" s="3">
        <f t="shared" si="43"/>
        <v>7.82</v>
      </c>
      <c r="J104" s="3">
        <f t="shared" si="43"/>
        <v>7.01</v>
      </c>
      <c r="K104" s="3">
        <f t="shared" si="43"/>
        <v>6.08</v>
      </c>
      <c r="L104" s="3">
        <f t="shared" si="43"/>
        <v>7.57</v>
      </c>
      <c r="M104" s="3">
        <f t="shared" si="43"/>
        <v>7.6723837700760784</v>
      </c>
      <c r="N104" s="3">
        <f t="shared" si="43"/>
        <v>8.4338630600169058</v>
      </c>
      <c r="P104">
        <f t="shared" si="21"/>
        <v>52</v>
      </c>
    </row>
    <row r="105" spans="2:16" hidden="1" outlineLevel="2" x14ac:dyDescent="0.25">
      <c r="C105" t="s">
        <v>83</v>
      </c>
      <c r="D105" s="3">
        <f t="shared" ref="D105:K105" si="44">D116*D121</f>
        <v>0.71529427356562791</v>
      </c>
      <c r="E105" s="3">
        <f t="shared" si="44"/>
        <v>0.73464688914920906</v>
      </c>
      <c r="F105" s="3">
        <f t="shared" si="44"/>
        <v>0.73469915604985747</v>
      </c>
      <c r="G105" s="3">
        <f t="shared" si="44"/>
        <v>0.62608947500097778</v>
      </c>
      <c r="H105" s="3">
        <f t="shared" si="44"/>
        <v>0.79017983175090523</v>
      </c>
      <c r="I105" s="3">
        <f t="shared" si="44"/>
        <v>0.78921363806051126</v>
      </c>
      <c r="J105" s="3">
        <f t="shared" si="44"/>
        <v>0.82802297941393566</v>
      </c>
      <c r="K105" s="3">
        <f t="shared" si="44"/>
        <v>0.28632020438885936</v>
      </c>
      <c r="L105" s="3">
        <f>L116*$L121</f>
        <v>0.84000000000000097</v>
      </c>
      <c r="M105" s="3">
        <f t="shared" ref="M105:N105" si="45">M116*$L121</f>
        <v>1.2251373043686216</v>
      </c>
      <c r="N105" s="3">
        <f t="shared" si="45"/>
        <v>1.1537726618229072</v>
      </c>
      <c r="P105">
        <f t="shared" si="21"/>
        <v>53</v>
      </c>
    </row>
    <row r="106" spans="2:16" hidden="1" outlineLevel="2" x14ac:dyDescent="0.25"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P106">
        <f t="shared" si="21"/>
        <v>54</v>
      </c>
    </row>
    <row r="107" spans="2:16" hidden="1" outlineLevel="2" x14ac:dyDescent="0.25">
      <c r="D107" s="3">
        <f t="shared" ref="D107:N107" si="46">SUM(D77:D105)</f>
        <v>163.96</v>
      </c>
      <c r="E107" s="3">
        <f t="shared" si="46"/>
        <v>167.03000000000003</v>
      </c>
      <c r="F107" s="3">
        <f t="shared" si="46"/>
        <v>169.87</v>
      </c>
      <c r="G107" s="3">
        <f t="shared" si="46"/>
        <v>171.42999999999998</v>
      </c>
      <c r="H107" s="3">
        <f t="shared" si="46"/>
        <v>169.47</v>
      </c>
      <c r="I107" s="3">
        <f t="shared" si="46"/>
        <v>165.71</v>
      </c>
      <c r="J107" s="3">
        <f t="shared" si="46"/>
        <v>165.41</v>
      </c>
      <c r="K107" s="3">
        <f t="shared" si="46"/>
        <v>176.76</v>
      </c>
      <c r="L107" s="3">
        <f t="shared" si="46"/>
        <v>170.83</v>
      </c>
      <c r="M107" s="3">
        <f t="shared" si="46"/>
        <v>181.46751098535287</v>
      </c>
      <c r="N107" s="3">
        <f t="shared" si="46"/>
        <v>177.46580925432755</v>
      </c>
      <c r="P107">
        <f t="shared" si="21"/>
        <v>55</v>
      </c>
    </row>
    <row r="108" spans="2:16" hidden="1" outlineLevel="2" x14ac:dyDescent="0.25"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P108">
        <f t="shared" si="21"/>
        <v>56</v>
      </c>
    </row>
    <row r="109" spans="2:16" hidden="1" outlineLevel="2" x14ac:dyDescent="0.25">
      <c r="B109" t="s">
        <v>158</v>
      </c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P109">
        <f t="shared" si="21"/>
        <v>57</v>
      </c>
    </row>
    <row r="110" spans="2:16" hidden="1" outlineLevel="2" x14ac:dyDescent="0.25">
      <c r="C110" t="s">
        <v>79</v>
      </c>
      <c r="D110" s="3">
        <f>D91+D88+D84</f>
        <v>6.4142903405918759</v>
      </c>
      <c r="E110" s="3">
        <f t="shared" ref="E110:N110" si="47">E91+E88+E84</f>
        <v>7.4645476470427923</v>
      </c>
      <c r="F110" s="3">
        <f t="shared" si="47"/>
        <v>7.8752365245936629</v>
      </c>
      <c r="G110" s="3">
        <f t="shared" si="47"/>
        <v>10.114544836826635</v>
      </c>
      <c r="H110" s="3">
        <f t="shared" si="47"/>
        <v>10.050477285570571</v>
      </c>
      <c r="I110" s="3">
        <f t="shared" si="47"/>
        <v>7.8677468887151916</v>
      </c>
      <c r="J110" s="3">
        <f t="shared" si="47"/>
        <v>6.6329508833374735</v>
      </c>
      <c r="K110" s="3">
        <f t="shared" si="47"/>
        <v>11.688214420126229</v>
      </c>
      <c r="L110" s="3">
        <f t="shared" si="47"/>
        <v>6.8499999999999908</v>
      </c>
      <c r="M110" s="3">
        <f t="shared" si="47"/>
        <v>3.9403133849884768</v>
      </c>
      <c r="N110" s="3">
        <f t="shared" si="47"/>
        <v>4.2979584158135777</v>
      </c>
      <c r="P110">
        <f t="shared" si="21"/>
        <v>58</v>
      </c>
    </row>
    <row r="111" spans="2:16" hidden="1" outlineLevel="2" x14ac:dyDescent="0.25">
      <c r="C111" t="s">
        <v>107</v>
      </c>
      <c r="D111" s="3">
        <f>D85</f>
        <v>4.4000000000000004</v>
      </c>
      <c r="E111" s="3">
        <f t="shared" ref="E111:N111" si="48">E85</f>
        <v>4.46</v>
      </c>
      <c r="F111" s="3">
        <f t="shared" si="48"/>
        <v>5.22</v>
      </c>
      <c r="G111" s="3">
        <f t="shared" si="48"/>
        <v>1.97</v>
      </c>
      <c r="H111" s="3">
        <f t="shared" si="48"/>
        <v>0</v>
      </c>
      <c r="I111" s="3">
        <f t="shared" si="48"/>
        <v>0</v>
      </c>
      <c r="J111" s="3">
        <f t="shared" si="48"/>
        <v>0</v>
      </c>
      <c r="K111" s="3">
        <f t="shared" si="48"/>
        <v>0</v>
      </c>
      <c r="L111" s="3">
        <f t="shared" si="48"/>
        <v>0</v>
      </c>
      <c r="M111" s="3">
        <f t="shared" si="48"/>
        <v>0</v>
      </c>
      <c r="N111" s="3">
        <f t="shared" si="48"/>
        <v>0</v>
      </c>
      <c r="P111">
        <f t="shared" si="21"/>
        <v>59</v>
      </c>
    </row>
    <row r="112" spans="2:16" hidden="1" outlineLevel="2" x14ac:dyDescent="0.25">
      <c r="C112" t="s">
        <v>83</v>
      </c>
      <c r="D112" s="3">
        <f>D92+D89+D86+D82</f>
        <v>12.638596106294575</v>
      </c>
      <c r="E112" s="3">
        <f t="shared" ref="E112:N112" si="49">E92+E89+E86+E82</f>
        <v>13.112433473724362</v>
      </c>
      <c r="F112" s="3">
        <f t="shared" si="49"/>
        <v>13.285213691344341</v>
      </c>
      <c r="G112" s="3">
        <f t="shared" si="49"/>
        <v>12.458400154765961</v>
      </c>
      <c r="H112" s="3">
        <f t="shared" si="49"/>
        <v>14.023559720813916</v>
      </c>
      <c r="I112" s="3">
        <f t="shared" si="49"/>
        <v>13.880881139902613</v>
      </c>
      <c r="J112" s="3">
        <f t="shared" si="49"/>
        <v>14.346703314401278</v>
      </c>
      <c r="K112" s="3">
        <f t="shared" si="49"/>
        <v>9.3567261739331773</v>
      </c>
      <c r="L112" s="3">
        <f t="shared" si="49"/>
        <v>14.910000000000009</v>
      </c>
      <c r="M112" s="3">
        <f t="shared" si="49"/>
        <v>19.174672501807038</v>
      </c>
      <c r="N112" s="3">
        <f t="shared" si="49"/>
        <v>18.307298326996047</v>
      </c>
      <c r="P112">
        <f t="shared" si="21"/>
        <v>60</v>
      </c>
    </row>
    <row r="113" spans="1:16" hidden="1" outlineLevel="2" x14ac:dyDescent="0.25">
      <c r="B113" t="s">
        <v>67</v>
      </c>
      <c r="C113" t="s">
        <v>74</v>
      </c>
      <c r="D113" s="3">
        <f>D95+D96</f>
        <v>6.93</v>
      </c>
      <c r="E113" s="3">
        <f t="shared" ref="E113:N113" si="50">E95+E96</f>
        <v>6.92</v>
      </c>
      <c r="F113" s="3">
        <f t="shared" si="50"/>
        <v>6.93</v>
      </c>
      <c r="G113" s="3">
        <f t="shared" si="50"/>
        <v>6.94</v>
      </c>
      <c r="H113" s="3">
        <f t="shared" si="50"/>
        <v>6.9399999999999995</v>
      </c>
      <c r="I113" s="3">
        <f t="shared" si="50"/>
        <v>6.94</v>
      </c>
      <c r="J113" s="3">
        <f t="shared" si="50"/>
        <v>6.94</v>
      </c>
      <c r="K113" s="3">
        <f t="shared" si="50"/>
        <v>6.9499999999999993</v>
      </c>
      <c r="L113" s="3">
        <f t="shared" si="50"/>
        <v>6.96</v>
      </c>
      <c r="M113" s="3">
        <f t="shared" si="50"/>
        <v>6.9708478473995701</v>
      </c>
      <c r="N113" s="3">
        <f t="shared" si="50"/>
        <v>6.981695694799142</v>
      </c>
      <c r="P113">
        <f t="shared" si="21"/>
        <v>61</v>
      </c>
    </row>
    <row r="114" spans="1:16" hidden="1" outlineLevel="2" x14ac:dyDescent="0.25">
      <c r="B114" t="s">
        <v>56</v>
      </c>
      <c r="C114" t="s">
        <v>74</v>
      </c>
      <c r="D114" s="3">
        <f>D101+D102</f>
        <v>12.299999999999999</v>
      </c>
      <c r="E114" s="3">
        <f t="shared" ref="E114:N114" si="51">E101+E102</f>
        <v>12.33</v>
      </c>
      <c r="F114" s="3">
        <f t="shared" si="51"/>
        <v>12.319999999999997</v>
      </c>
      <c r="G114" s="3">
        <f t="shared" si="51"/>
        <v>12.329999999999998</v>
      </c>
      <c r="H114" s="3">
        <f t="shared" si="51"/>
        <v>12.33</v>
      </c>
      <c r="I114" s="3">
        <f t="shared" si="51"/>
        <v>12.34</v>
      </c>
      <c r="J114" s="3">
        <f t="shared" si="51"/>
        <v>12.350000000000001</v>
      </c>
      <c r="K114" s="3">
        <f t="shared" si="51"/>
        <v>12.350000000000001</v>
      </c>
      <c r="L114" s="3">
        <f t="shared" si="51"/>
        <v>12.37</v>
      </c>
      <c r="M114" s="3">
        <f t="shared" si="51"/>
        <v>12.389152152600426</v>
      </c>
      <c r="N114" s="3">
        <f t="shared" si="51"/>
        <v>12.408304305200854</v>
      </c>
      <c r="P114">
        <f t="shared" si="21"/>
        <v>62</v>
      </c>
    </row>
    <row r="115" spans="1:16" hidden="1" outlineLevel="2" x14ac:dyDescent="0.25"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1:16" hidden="1" outlineLevel="2" x14ac:dyDescent="0.25">
      <c r="B116" t="s">
        <v>83</v>
      </c>
      <c r="D116" s="3">
        <f t="shared" ref="D116:N116" si="52">D61-D78-D80-D82</f>
        <v>7.9079755799755524</v>
      </c>
      <c r="E116" s="3">
        <f t="shared" si="52"/>
        <v>8.1903200479472638</v>
      </c>
      <c r="F116" s="3">
        <f t="shared" si="52"/>
        <v>8.1880287522924906</v>
      </c>
      <c r="G116" s="3">
        <f t="shared" si="52"/>
        <v>6.9592253182800992</v>
      </c>
      <c r="H116" s="3">
        <f t="shared" si="52"/>
        <v>8.7413643887443904</v>
      </c>
      <c r="I116" s="3">
        <f t="shared" si="52"/>
        <v>8.8145938796368775</v>
      </c>
      <c r="J116" s="3">
        <f t="shared" si="52"/>
        <v>9.1600042097666652</v>
      </c>
      <c r="K116" s="3">
        <f t="shared" si="52"/>
        <v>3.1792698019801913</v>
      </c>
      <c r="L116" s="3">
        <f t="shared" si="52"/>
        <v>9.3500000000000103</v>
      </c>
      <c r="M116" s="3">
        <f t="shared" si="52"/>
        <v>13.63694499505549</v>
      </c>
      <c r="N116" s="3">
        <f t="shared" si="52"/>
        <v>12.842588557195455</v>
      </c>
    </row>
    <row r="117" spans="1:16" hidden="1" outlineLevel="2" x14ac:dyDescent="0.25">
      <c r="C117" t="s">
        <v>162</v>
      </c>
      <c r="D117" s="3">
        <f>CyS!C124/SUM(CyS!C124,CyS!C156,CyS!C188,CyS!C220,CyS!C252)</f>
        <v>0.54899497487437188</v>
      </c>
      <c r="E117" s="3">
        <f>CyS!D124/SUM(CyS!D124,CyS!D156,CyS!D188,CyS!D220,CyS!D252)</f>
        <v>0.55030303030303029</v>
      </c>
      <c r="F117" s="3">
        <f>CyS!E124/SUM(CyS!E124,CyS!E156,CyS!E188,CyS!E220,CyS!E252)</f>
        <v>0.55017709563164108</v>
      </c>
      <c r="G117" s="3">
        <f>CyS!F124/SUM(CyS!F124,CyS!F156,CyS!F188,CyS!F220,CyS!F252)</f>
        <v>0.54901960784313719</v>
      </c>
      <c r="H117" s="3">
        <f>CyS!G124/SUM(CyS!G124,CyS!G156,CyS!G188,CyS!G220,CyS!G252)</f>
        <v>0.55028248587570616</v>
      </c>
      <c r="I117" s="3">
        <f>CyS!H124/SUM(CyS!H124,CyS!H156,CyS!H188,CyS!H220,CyS!H252)</f>
        <v>0.55000000000000004</v>
      </c>
      <c r="J117" s="3">
        <f>CyS!I124/SUM(CyS!I124,CyS!I156,CyS!I188,CyS!I220,CyS!I252)</f>
        <v>0.55028248587570616</v>
      </c>
      <c r="K117" s="3">
        <f>CyS!J124/SUM(CyS!J124,CyS!J156,CyS!J188,CyS!J220,CyS!J252)</f>
        <v>0.54970760233918137</v>
      </c>
      <c r="L117" s="3">
        <f>CyS!K124/SUM(CyS!K124,CyS!K156,CyS!K188,CyS!K220,CyS!K252)</f>
        <v>0.54973262032085557</v>
      </c>
      <c r="M117" s="3"/>
      <c r="N117" s="3"/>
      <c r="P117" t="s">
        <v>157</v>
      </c>
    </row>
    <row r="118" spans="1:16" hidden="1" outlineLevel="2" x14ac:dyDescent="0.25">
      <c r="C118" t="s">
        <v>163</v>
      </c>
      <c r="D118" s="3">
        <f>CyS!C156/SUM(CyS!C124,CyS!C156,CyS!C188,CyS!C220,CyS!C252)</f>
        <v>0.10050251256281408</v>
      </c>
      <c r="E118" s="3">
        <f>CyS!D156/SUM(CyS!D124,CyS!D156,CyS!D188,CyS!D220,CyS!D252)</f>
        <v>0.1006060606060606</v>
      </c>
      <c r="F118" s="3">
        <f>CyS!E156/SUM(CyS!E124,CyS!E156,CyS!E188,CyS!E220,CyS!E252)</f>
        <v>0.10035419126328216</v>
      </c>
      <c r="G118" s="3">
        <f>CyS!F156/SUM(CyS!F124,CyS!F156,CyS!F188,CyS!F220,CyS!F252)</f>
        <v>0.10034602076124567</v>
      </c>
      <c r="H118" s="3">
        <f>CyS!G156/SUM(CyS!G124,CyS!G156,CyS!G188,CyS!G220,CyS!G252)</f>
        <v>9.9435028248587562E-2</v>
      </c>
      <c r="I118" s="3">
        <f>CyS!H156/SUM(CyS!H124,CyS!H156,CyS!H188,CyS!H220,CyS!H252)</f>
        <v>0.1</v>
      </c>
      <c r="J118" s="3">
        <f>CyS!I156/SUM(CyS!I124,CyS!I156,CyS!I188,CyS!I220,CyS!I252)</f>
        <v>9.9435028248587562E-2</v>
      </c>
      <c r="K118" s="3">
        <f>CyS!J156/SUM(CyS!J124,CyS!J156,CyS!J188,CyS!J220,CyS!J252)</f>
        <v>9.9415204678362581E-2</v>
      </c>
      <c r="L118" s="3">
        <f>CyS!K156/SUM(CyS!K124,CyS!K156,CyS!K188,CyS!K220,CyS!K252)</f>
        <v>0.10053475935828877</v>
      </c>
      <c r="M118" s="3"/>
      <c r="N118" s="3"/>
      <c r="P118" t="s">
        <v>162</v>
      </c>
    </row>
    <row r="119" spans="1:16" hidden="1" outlineLevel="2" x14ac:dyDescent="0.25">
      <c r="C119" t="s">
        <v>152</v>
      </c>
      <c r="D119" s="3">
        <f>CyS!C188/SUM(CyS!C124,CyS!C156,CyS!C188,CyS!C220,CyS!C252)</f>
        <v>0.25</v>
      </c>
      <c r="E119" s="3">
        <f>CyS!D188/SUM(CyS!D124,CyS!D156,CyS!D188,CyS!D220,CyS!D252)</f>
        <v>0.2496969696969697</v>
      </c>
      <c r="F119" s="3">
        <f>CyS!E188/SUM(CyS!E124,CyS!E156,CyS!E188,CyS!E220,CyS!E252)</f>
        <v>0.25029515938606844</v>
      </c>
      <c r="G119" s="3">
        <f>CyS!F188/SUM(CyS!F124,CyS!F156,CyS!F188,CyS!F220,CyS!F252)</f>
        <v>0.25028835063437138</v>
      </c>
      <c r="H119" s="3">
        <f>CyS!G188/SUM(CyS!G124,CyS!G156,CyS!G188,CyS!G220,CyS!G252)</f>
        <v>0.24971751412429374</v>
      </c>
      <c r="I119" s="3">
        <f>CyS!H188/SUM(CyS!H124,CyS!H156,CyS!H188,CyS!H220,CyS!H252)</f>
        <v>0.25</v>
      </c>
      <c r="J119" s="3">
        <f>CyS!I188/SUM(CyS!I124,CyS!I156,CyS!I188,CyS!I220,CyS!I252)</f>
        <v>0.24971751412429374</v>
      </c>
      <c r="K119" s="3">
        <f>CyS!J188/SUM(CyS!J124,CyS!J156,CyS!J188,CyS!J220,CyS!J252)</f>
        <v>0.25029239766081873</v>
      </c>
      <c r="L119" s="3">
        <f>CyS!K188/SUM(CyS!K124,CyS!K156,CyS!K188,CyS!K220,CyS!K252)</f>
        <v>0.25026737967914436</v>
      </c>
      <c r="M119" s="3"/>
      <c r="N119" s="3"/>
      <c r="P119" t="s">
        <v>163</v>
      </c>
    </row>
    <row r="120" spans="1:16" hidden="1" outlineLevel="2" x14ac:dyDescent="0.25">
      <c r="C120" t="s">
        <v>67</v>
      </c>
      <c r="D120" s="3">
        <f>CyS!C220/SUM(CyS!C124,CyS!C156,CyS!C188,CyS!C220,CyS!C252)</f>
        <v>1.0050251256281407E-2</v>
      </c>
      <c r="E120" s="3">
        <f>CyS!D220/SUM(CyS!D124,CyS!D156,CyS!D188,CyS!D220,CyS!D252)</f>
        <v>9.696969696969697E-3</v>
      </c>
      <c r="F120" s="3">
        <f>CyS!E220/SUM(CyS!E124,CyS!E156,CyS!E188,CyS!E220,CyS!E252)</f>
        <v>9.4451003541912628E-3</v>
      </c>
      <c r="G120" s="3">
        <f>CyS!F220/SUM(CyS!F124,CyS!F156,CyS!F188,CyS!F220,CyS!F252)</f>
        <v>1.0380622837370242E-2</v>
      </c>
      <c r="H120" s="3">
        <f>CyS!G220/SUM(CyS!G124,CyS!G156,CyS!G188,CyS!G220,CyS!G252)</f>
        <v>1.0169491525423726E-2</v>
      </c>
      <c r="I120" s="3">
        <f>CyS!H220/SUM(CyS!H124,CyS!H156,CyS!H188,CyS!H220,CyS!H252)</f>
        <v>1.0465116279069767E-2</v>
      </c>
      <c r="J120" s="3">
        <f>CyS!I220/SUM(CyS!I124,CyS!I156,CyS!I188,CyS!I220,CyS!I252)</f>
        <v>1.0169491525423726E-2</v>
      </c>
      <c r="K120" s="3">
        <f>CyS!J220/SUM(CyS!J124,CyS!J156,CyS!J188,CyS!J220,CyS!J252)</f>
        <v>1.0526315789473686E-2</v>
      </c>
      <c r="L120" s="3">
        <f>CyS!K220/SUM(CyS!K124,CyS!K156,CyS!K188,CyS!K220,CyS!K252)</f>
        <v>9.6256684491978616E-3</v>
      </c>
      <c r="M120" s="3"/>
      <c r="N120" s="3"/>
      <c r="P120" t="s">
        <v>152</v>
      </c>
    </row>
    <row r="121" spans="1:16" hidden="1" outlineLevel="2" x14ac:dyDescent="0.25">
      <c r="C121" t="s">
        <v>56</v>
      </c>
      <c r="D121" s="3">
        <f>CyS!C252/SUM(CyS!C124,CyS!C156,CyS!C188,CyS!C220,CyS!C252)</f>
        <v>9.0452261306532666E-2</v>
      </c>
      <c r="E121" s="3">
        <f>CyS!D252/SUM(CyS!D124,CyS!D156,CyS!D188,CyS!D220,CyS!D252)</f>
        <v>8.9696969696969692E-2</v>
      </c>
      <c r="F121" s="3">
        <f>CyS!E252/SUM(CyS!E124,CyS!E156,CyS!E188,CyS!E220,CyS!E252)</f>
        <v>8.9728453364816996E-2</v>
      </c>
      <c r="G121" s="3">
        <f>CyS!F252/SUM(CyS!F124,CyS!F156,CyS!F188,CyS!F220,CyS!F252)</f>
        <v>8.9965397923875437E-2</v>
      </c>
      <c r="H121" s="3">
        <f>CyS!G252/SUM(CyS!G124,CyS!G156,CyS!G188,CyS!G220,CyS!G252)</f>
        <v>9.0395480225988686E-2</v>
      </c>
      <c r="I121" s="3">
        <f>CyS!H252/SUM(CyS!H124,CyS!H156,CyS!H188,CyS!H220,CyS!H252)</f>
        <v>8.9534883720930242E-2</v>
      </c>
      <c r="J121" s="3">
        <f>CyS!I252/SUM(CyS!I124,CyS!I156,CyS!I188,CyS!I220,CyS!I252)</f>
        <v>9.0395480225988686E-2</v>
      </c>
      <c r="K121" s="3">
        <f>CyS!J252/SUM(CyS!J124,CyS!J156,CyS!J188,CyS!J220,CyS!J252)</f>
        <v>9.0058479532163754E-2</v>
      </c>
      <c r="L121" s="3">
        <f>CyS!K252/SUM(CyS!K124,CyS!K156,CyS!K188,CyS!K220,CyS!K252)</f>
        <v>8.9839572192513373E-2</v>
      </c>
      <c r="M121" s="3"/>
      <c r="N121" s="3"/>
    </row>
    <row r="122" spans="1:16" hidden="1" outlineLevel="2" x14ac:dyDescent="0.25"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1:16" collapsed="1" x14ac:dyDescent="0.25">
      <c r="A123" t="s">
        <v>47</v>
      </c>
      <c r="D123">
        <v>2013</v>
      </c>
      <c r="E123">
        <v>2014</v>
      </c>
      <c r="F123">
        <v>2015</v>
      </c>
      <c r="G123">
        <v>2016</v>
      </c>
      <c r="H123">
        <v>2017</v>
      </c>
      <c r="I123">
        <v>2018</v>
      </c>
      <c r="J123">
        <v>2019</v>
      </c>
      <c r="K123">
        <v>2020</v>
      </c>
      <c r="L123">
        <v>2021</v>
      </c>
      <c r="M123">
        <v>2022</v>
      </c>
      <c r="N123">
        <v>2023</v>
      </c>
    </row>
    <row r="124" spans="1:16" hidden="1" outlineLevel="1" x14ac:dyDescent="0.25">
      <c r="B124" t="s">
        <v>164</v>
      </c>
      <c r="D124" s="3">
        <f>SUM(Pub!C3:C29,Pub!C35:C61)</f>
        <v>26.47</v>
      </c>
      <c r="E124" s="3">
        <f>SUM(Pub!D3:D29,Pub!D35:D61)</f>
        <v>25.159999999999997</v>
      </c>
      <c r="F124" s="3">
        <f>SUM(Pub!E3:E29,Pub!E35:E61)</f>
        <v>25.68</v>
      </c>
      <c r="G124" s="3">
        <f>SUM(Pub!F3:F29,Pub!F35:F61)</f>
        <v>24.85</v>
      </c>
      <c r="H124" s="3">
        <f>SUM(Pub!G3:G29,Pub!G35:G61)</f>
        <v>24.18</v>
      </c>
      <c r="I124" s="3">
        <f>SUM(Pub!H3:H29,Pub!H35:H61)</f>
        <v>24.83</v>
      </c>
      <c r="J124" s="3">
        <f>SUM(Pub!I3:I29,Pub!I35:I61)</f>
        <v>24.76</v>
      </c>
      <c r="K124" s="3">
        <f>SUM(Pub!J3:J29,Pub!J35:J61)</f>
        <v>23.72</v>
      </c>
      <c r="L124" s="3">
        <f>SUM(Pub!K3:K29,Pub!K35:K61)</f>
        <v>22.619999999999997</v>
      </c>
      <c r="M124" s="3">
        <f>M127+M129</f>
        <v>23.911701065246337</v>
      </c>
      <c r="N124" s="3">
        <f>N127+N129</f>
        <v>21.983645139813582</v>
      </c>
      <c r="O124" s="3"/>
    </row>
    <row r="125" spans="1:16" hidden="1" outlineLevel="1" x14ac:dyDescent="0.25">
      <c r="B125" t="s">
        <v>62</v>
      </c>
      <c r="D125" s="3">
        <f>Pub!C28</f>
        <v>6.97</v>
      </c>
      <c r="E125" s="3">
        <f>Pub!D28</f>
        <v>5.85</v>
      </c>
      <c r="F125" s="3">
        <f>Pub!E28</f>
        <v>6.12</v>
      </c>
      <c r="G125" s="3">
        <f>Pub!F28</f>
        <v>5.85</v>
      </c>
      <c r="H125" s="3">
        <f>Pub!G28</f>
        <v>6.04</v>
      </c>
      <c r="I125" s="3">
        <f>Pub!H28</f>
        <v>6.04</v>
      </c>
      <c r="J125" s="3">
        <f>Pub!I28</f>
        <v>6.25</v>
      </c>
      <c r="K125" s="3">
        <f>Pub!J28</f>
        <v>5.74</v>
      </c>
      <c r="L125" s="3">
        <f>Pub!K28</f>
        <v>5.51</v>
      </c>
      <c r="M125" s="3">
        <f>L125/L$124*M$124</f>
        <v>5.8246451312779541</v>
      </c>
      <c r="N125" s="3">
        <f>L125/L$124*N$124</f>
        <v>5.3549904827751043</v>
      </c>
      <c r="O125" s="3"/>
    </row>
    <row r="126" spans="1:16" hidden="1" outlineLevel="1" x14ac:dyDescent="0.25">
      <c r="B126" t="s">
        <v>68</v>
      </c>
      <c r="D126" s="3">
        <f>Pub!C60</f>
        <v>19.5</v>
      </c>
      <c r="E126" s="3">
        <f>Pub!D60</f>
        <v>19.309999999999999</v>
      </c>
      <c r="F126" s="3">
        <f>Pub!E60</f>
        <v>19.559999999999999</v>
      </c>
      <c r="G126" s="3">
        <f>Pub!F60</f>
        <v>19</v>
      </c>
      <c r="H126" s="3">
        <f>Pub!G60</f>
        <v>18.14</v>
      </c>
      <c r="I126" s="3">
        <f>Pub!H60</f>
        <v>18.79</v>
      </c>
      <c r="J126" s="3">
        <f>Pub!I60</f>
        <v>18.510000000000002</v>
      </c>
      <c r="K126" s="3">
        <f>Pub!J60</f>
        <v>17.98</v>
      </c>
      <c r="L126" s="3">
        <f>Pub!K60</f>
        <v>17.11</v>
      </c>
      <c r="M126" s="3">
        <f>L126/L$124*M$124</f>
        <v>18.087055933968387</v>
      </c>
      <c r="N126" s="3">
        <f>L126/L$124*N$124</f>
        <v>16.628654657038481</v>
      </c>
      <c r="O126" s="3"/>
    </row>
    <row r="127" spans="1:16" hidden="1" outlineLevel="1" x14ac:dyDescent="0.25">
      <c r="B127" t="s">
        <v>160</v>
      </c>
      <c r="L127">
        <f>'Cuadro A.15'!J30</f>
        <v>13.92</v>
      </c>
      <c r="M127">
        <f>'Cuadro A.15'!K30</f>
        <v>15.34</v>
      </c>
      <c r="N127">
        <f>'Cuadro A.15'!L30</f>
        <v>13.31</v>
      </c>
    </row>
    <row r="128" spans="1:16" hidden="1" outlineLevel="1" x14ac:dyDescent="0.25">
      <c r="B128" t="s">
        <v>161</v>
      </c>
      <c r="L128">
        <f>'Cuadro A.11'!J12</f>
        <v>300.39999999999998</v>
      </c>
      <c r="M128">
        <f>'Cuadro A.11'!K12</f>
        <v>295.97000000000003</v>
      </c>
      <c r="N128">
        <f>'Cuadro A.11'!L12</f>
        <v>299.49</v>
      </c>
    </row>
    <row r="129" spans="1:14" hidden="1" outlineLevel="1" x14ac:dyDescent="0.25">
      <c r="L129">
        <f>(L124-L127)/L128</f>
        <v>2.8961384820239675E-2</v>
      </c>
      <c r="M129">
        <f>$L129*M128</f>
        <v>8.5717010652463372</v>
      </c>
      <c r="N129">
        <f>$L129*N128</f>
        <v>8.6736451398135799</v>
      </c>
    </row>
    <row r="131" spans="1:14" x14ac:dyDescent="0.25">
      <c r="A131" t="s">
        <v>165</v>
      </c>
      <c r="B131">
        <f>About!A28</f>
        <v>2022</v>
      </c>
    </row>
    <row r="133" spans="1:14" collapsed="1" x14ac:dyDescent="0.25">
      <c r="A133" t="s">
        <v>166</v>
      </c>
      <c r="D133" t="s">
        <v>45</v>
      </c>
    </row>
    <row r="134" spans="1:14" hidden="1" outlineLevel="1" x14ac:dyDescent="0.25">
      <c r="A134" t="s">
        <v>165</v>
      </c>
      <c r="B134" t="s">
        <v>167</v>
      </c>
      <c r="C134" t="s">
        <v>168</v>
      </c>
      <c r="D134" t="s">
        <v>169</v>
      </c>
      <c r="E134" t="s">
        <v>170</v>
      </c>
      <c r="F134" t="s">
        <v>158</v>
      </c>
      <c r="G134" t="s">
        <v>171</v>
      </c>
    </row>
    <row r="135" spans="1:14" hidden="1" outlineLevel="1" x14ac:dyDescent="0.25">
      <c r="A135" t="s">
        <v>82</v>
      </c>
      <c r="B135" s="6">
        <v>0</v>
      </c>
      <c r="C135" s="6">
        <v>0</v>
      </c>
      <c r="D135" s="8">
        <f>HLOOKUP(B131,D2:N51,18,FALSE)</f>
        <v>56.160920000000004</v>
      </c>
      <c r="E135" s="8">
        <f>HLOOKUP(B131,D2:N51,12,FALSE)</f>
        <v>22.782260000000001</v>
      </c>
      <c r="F135" s="8">
        <f>HLOOKUP(B131,D2:N51,43,FALSE)</f>
        <v>185.96682000000004</v>
      </c>
      <c r="G135" s="6">
        <v>0</v>
      </c>
    </row>
    <row r="136" spans="1:14" hidden="1" outlineLevel="1" x14ac:dyDescent="0.25">
      <c r="A136" t="s">
        <v>172</v>
      </c>
      <c r="B136" s="6">
        <v>0</v>
      </c>
      <c r="C136" s="6">
        <v>0</v>
      </c>
      <c r="D136" s="6">
        <v>0</v>
      </c>
      <c r="E136" s="6">
        <v>0</v>
      </c>
      <c r="F136" s="6">
        <v>0</v>
      </c>
      <c r="G136" s="6">
        <v>0</v>
      </c>
    </row>
    <row r="137" spans="1:14" hidden="1" outlineLevel="1" x14ac:dyDescent="0.25">
      <c r="A137" t="s">
        <v>80</v>
      </c>
      <c r="B137" s="8">
        <f>HLOOKUP(B131,D2:N51,40,FALSE)</f>
        <v>18.943205115136987</v>
      </c>
      <c r="C137" s="6">
        <v>0</v>
      </c>
      <c r="D137" s="6">
        <v>0</v>
      </c>
      <c r="E137" s="6">
        <v>0</v>
      </c>
      <c r="F137" s="6">
        <v>0</v>
      </c>
      <c r="G137" s="8">
        <f>HLOOKUP(B131,D2:N51,33,FALSE)</f>
        <v>6.2567948848630124</v>
      </c>
    </row>
    <row r="138" spans="1:14" hidden="1" outlineLevel="1" x14ac:dyDescent="0.25">
      <c r="A138" t="s">
        <v>173</v>
      </c>
      <c r="B138" s="6">
        <v>0</v>
      </c>
      <c r="C138" s="6">
        <v>0</v>
      </c>
      <c r="D138" s="6">
        <v>0</v>
      </c>
      <c r="E138" s="6">
        <v>0</v>
      </c>
      <c r="F138" s="6">
        <v>0</v>
      </c>
      <c r="G138" s="6">
        <v>0</v>
      </c>
    </row>
    <row r="139" spans="1:14" hidden="1" outlineLevel="1" x14ac:dyDescent="0.25">
      <c r="A139" t="s">
        <v>174</v>
      </c>
      <c r="B139" s="6">
        <v>0</v>
      </c>
      <c r="C139" s="6">
        <v>0</v>
      </c>
      <c r="D139" s="6">
        <v>0</v>
      </c>
      <c r="E139" s="6">
        <v>0</v>
      </c>
      <c r="F139" s="6">
        <v>0</v>
      </c>
      <c r="G139" s="8">
        <f>HLOOKUP(B131,D2:N51,28,FALSE)</f>
        <v>12.37</v>
      </c>
    </row>
    <row r="140" spans="1:14" hidden="1" outlineLevel="1" x14ac:dyDescent="0.25">
      <c r="A140" t="s">
        <v>175</v>
      </c>
      <c r="B140" s="8">
        <f>HLOOKUP(B131,D2:N51,41,FALSE)</f>
        <v>312.07426998210798</v>
      </c>
      <c r="C140" s="6">
        <v>0</v>
      </c>
      <c r="D140" s="6">
        <v>0</v>
      </c>
      <c r="E140" s="6">
        <v>0</v>
      </c>
      <c r="F140" s="6">
        <v>0</v>
      </c>
      <c r="G140" s="8">
        <f>HLOOKUP(B131,D2:N51,34,FALSE)</f>
        <v>103.07573001789206</v>
      </c>
    </row>
    <row r="141" spans="1:14" hidden="1" outlineLevel="1" x14ac:dyDescent="0.25">
      <c r="A141" t="s">
        <v>176</v>
      </c>
      <c r="B141" s="6">
        <v>0</v>
      </c>
      <c r="C141" s="6">
        <v>0</v>
      </c>
      <c r="D141" s="6">
        <v>0</v>
      </c>
      <c r="E141" s="6">
        <v>0</v>
      </c>
      <c r="F141" s="6">
        <v>0</v>
      </c>
      <c r="G141" s="6">
        <v>0</v>
      </c>
    </row>
    <row r="142" spans="1:14" hidden="1" outlineLevel="1" x14ac:dyDescent="0.25">
      <c r="A142" t="s">
        <v>177</v>
      </c>
      <c r="B142" s="6">
        <v>0</v>
      </c>
      <c r="C142" s="6">
        <v>0</v>
      </c>
      <c r="D142" s="6">
        <v>0</v>
      </c>
      <c r="E142" s="6">
        <v>0</v>
      </c>
      <c r="F142" s="6">
        <v>0</v>
      </c>
      <c r="G142" s="6">
        <v>0</v>
      </c>
    </row>
    <row r="143" spans="1:14" hidden="1" outlineLevel="1" x14ac:dyDescent="0.25">
      <c r="A143" t="s">
        <v>78</v>
      </c>
      <c r="B143" s="8">
        <f>HLOOKUP(B131,D2:N51,39,FALSE)</f>
        <v>185.65844441811637</v>
      </c>
      <c r="C143" s="6">
        <v>0</v>
      </c>
      <c r="D143" s="6">
        <v>0</v>
      </c>
      <c r="E143" s="6">
        <v>0</v>
      </c>
      <c r="F143" s="6">
        <v>0</v>
      </c>
      <c r="G143" s="8">
        <f>HLOOKUP(B131,D2:N51,32,FALSE)</f>
        <v>61.321555581883601</v>
      </c>
    </row>
    <row r="144" spans="1:14" hidden="1" outlineLevel="1" x14ac:dyDescent="0.25">
      <c r="A144" t="s">
        <v>178</v>
      </c>
      <c r="B144" s="6">
        <v>0</v>
      </c>
      <c r="C144" s="6">
        <v>0</v>
      </c>
      <c r="D144" s="6">
        <v>0</v>
      </c>
      <c r="E144" s="6">
        <v>0</v>
      </c>
      <c r="F144" s="6">
        <v>0</v>
      </c>
      <c r="G144" s="6">
        <v>0</v>
      </c>
    </row>
    <row r="145" spans="1:9" hidden="1" outlineLevel="1" x14ac:dyDescent="0.25"/>
    <row r="146" spans="1:9" collapsed="1" x14ac:dyDescent="0.25">
      <c r="A146" t="s">
        <v>179</v>
      </c>
      <c r="D146" t="s">
        <v>47</v>
      </c>
    </row>
    <row r="147" spans="1:9" hidden="1" outlineLevel="1" x14ac:dyDescent="0.25">
      <c r="A147" t="s">
        <v>165</v>
      </c>
      <c r="B147" t="s">
        <v>167</v>
      </c>
      <c r="C147" t="s">
        <v>168</v>
      </c>
      <c r="D147" t="s">
        <v>169</v>
      </c>
      <c r="E147" t="s">
        <v>170</v>
      </c>
      <c r="F147" t="s">
        <v>158</v>
      </c>
      <c r="G147" t="s">
        <v>171</v>
      </c>
    </row>
    <row r="148" spans="1:9" hidden="1" outlineLevel="1" x14ac:dyDescent="0.25">
      <c r="A148" t="s">
        <v>82</v>
      </c>
      <c r="B148" s="6">
        <v>0</v>
      </c>
      <c r="C148" s="6">
        <v>0</v>
      </c>
      <c r="D148" s="6">
        <v>0</v>
      </c>
      <c r="E148" s="8">
        <f>HLOOKUP(B131,D123:N126,3,FALSE)</f>
        <v>5.8246451312779541</v>
      </c>
      <c r="F148" s="6">
        <v>0</v>
      </c>
      <c r="G148" s="8">
        <f>HLOOKUP(B131,D123:N126,4,FALSE)</f>
        <v>18.087055933968387</v>
      </c>
      <c r="H148" s="6"/>
      <c r="I148" s="6"/>
    </row>
    <row r="149" spans="1:9" hidden="1" outlineLevel="1" x14ac:dyDescent="0.25">
      <c r="A149" t="s">
        <v>172</v>
      </c>
      <c r="B149" s="6">
        <v>0</v>
      </c>
      <c r="C149" s="6">
        <v>0</v>
      </c>
      <c r="D149" s="6">
        <v>0</v>
      </c>
      <c r="E149" s="6">
        <v>0</v>
      </c>
      <c r="F149" s="6">
        <v>0</v>
      </c>
      <c r="G149" s="6">
        <v>0</v>
      </c>
    </row>
    <row r="150" spans="1:9" hidden="1" outlineLevel="1" x14ac:dyDescent="0.25">
      <c r="A150" t="s">
        <v>80</v>
      </c>
      <c r="B150" s="6">
        <v>0</v>
      </c>
      <c r="C150" s="6">
        <v>0</v>
      </c>
      <c r="D150" s="6">
        <v>0</v>
      </c>
      <c r="E150" s="6">
        <v>0</v>
      </c>
      <c r="F150" s="6">
        <v>0</v>
      </c>
      <c r="G150" s="6">
        <v>0</v>
      </c>
    </row>
    <row r="151" spans="1:9" hidden="1" outlineLevel="1" x14ac:dyDescent="0.25">
      <c r="A151" t="s">
        <v>173</v>
      </c>
      <c r="B151" s="6">
        <v>0</v>
      </c>
      <c r="C151" s="6">
        <v>0</v>
      </c>
      <c r="D151" s="6">
        <v>0</v>
      </c>
      <c r="E151" s="6">
        <v>0</v>
      </c>
      <c r="F151" s="6">
        <v>0</v>
      </c>
      <c r="G151" s="6">
        <v>0</v>
      </c>
    </row>
    <row r="152" spans="1:9" hidden="1" outlineLevel="1" x14ac:dyDescent="0.25">
      <c r="A152" t="s">
        <v>174</v>
      </c>
      <c r="B152" s="6">
        <v>0</v>
      </c>
      <c r="C152" s="6">
        <v>0</v>
      </c>
      <c r="D152" s="6">
        <v>0</v>
      </c>
      <c r="E152" s="6">
        <v>0</v>
      </c>
      <c r="F152" s="6">
        <v>0</v>
      </c>
      <c r="G152" s="6">
        <v>0</v>
      </c>
    </row>
    <row r="153" spans="1:9" hidden="1" outlineLevel="1" x14ac:dyDescent="0.25">
      <c r="A153" t="s">
        <v>175</v>
      </c>
      <c r="B153" s="6">
        <v>0</v>
      </c>
      <c r="C153" s="6">
        <v>0</v>
      </c>
      <c r="D153" s="6">
        <v>0</v>
      </c>
      <c r="E153" s="6">
        <v>0</v>
      </c>
      <c r="F153" s="6">
        <v>0</v>
      </c>
      <c r="G153" s="6">
        <v>0</v>
      </c>
    </row>
    <row r="154" spans="1:9" hidden="1" outlineLevel="1" x14ac:dyDescent="0.25">
      <c r="A154" t="s">
        <v>176</v>
      </c>
      <c r="B154" s="6">
        <v>0</v>
      </c>
      <c r="C154" s="6">
        <v>0</v>
      </c>
      <c r="D154" s="6">
        <v>0</v>
      </c>
      <c r="E154" s="6">
        <v>0</v>
      </c>
      <c r="F154" s="6">
        <v>0</v>
      </c>
      <c r="G154" s="6">
        <v>0</v>
      </c>
    </row>
    <row r="155" spans="1:9" hidden="1" outlineLevel="1" x14ac:dyDescent="0.25">
      <c r="A155" t="s">
        <v>177</v>
      </c>
      <c r="B155" s="6">
        <v>0</v>
      </c>
      <c r="C155" s="6">
        <v>0</v>
      </c>
      <c r="D155" s="6">
        <v>0</v>
      </c>
      <c r="E155" s="6">
        <v>0</v>
      </c>
      <c r="F155" s="6">
        <v>0</v>
      </c>
      <c r="G155" s="6">
        <v>0</v>
      </c>
    </row>
    <row r="156" spans="1:9" hidden="1" outlineLevel="1" x14ac:dyDescent="0.25">
      <c r="A156" t="s">
        <v>78</v>
      </c>
      <c r="B156" s="6">
        <v>0</v>
      </c>
      <c r="C156" s="6">
        <v>0</v>
      </c>
      <c r="D156" s="6">
        <v>0</v>
      </c>
      <c r="E156" s="6">
        <v>0</v>
      </c>
      <c r="F156" s="6">
        <v>0</v>
      </c>
      <c r="G156" s="6">
        <v>0</v>
      </c>
    </row>
    <row r="157" spans="1:9" hidden="1" outlineLevel="1" x14ac:dyDescent="0.25">
      <c r="A157" t="s">
        <v>178</v>
      </c>
      <c r="B157" s="6">
        <v>0</v>
      </c>
      <c r="C157" s="6">
        <v>0</v>
      </c>
      <c r="D157" s="6">
        <v>0</v>
      </c>
      <c r="E157" s="6">
        <v>0</v>
      </c>
      <c r="F157" s="6">
        <v>0</v>
      </c>
      <c r="G157" s="6">
        <v>0</v>
      </c>
    </row>
    <row r="158" spans="1:9" hidden="1" outlineLevel="1" x14ac:dyDescent="0.25"/>
    <row r="159" spans="1:9" collapsed="1" x14ac:dyDescent="0.25">
      <c r="A159" t="s">
        <v>180</v>
      </c>
      <c r="D159" t="s">
        <v>49</v>
      </c>
    </row>
    <row r="160" spans="1:9" hidden="1" outlineLevel="1" x14ac:dyDescent="0.25">
      <c r="A160" t="s">
        <v>165</v>
      </c>
      <c r="B160" t="s">
        <v>167</v>
      </c>
      <c r="C160" t="s">
        <v>168</v>
      </c>
      <c r="D160" t="s">
        <v>169</v>
      </c>
      <c r="E160" t="s">
        <v>170</v>
      </c>
      <c r="F160" t="s">
        <v>158</v>
      </c>
      <c r="G160" t="s">
        <v>171</v>
      </c>
    </row>
    <row r="161" spans="1:8" hidden="1" outlineLevel="1" x14ac:dyDescent="0.25">
      <c r="A161" t="s">
        <v>82</v>
      </c>
      <c r="B161" s="8">
        <f>HLOOKUP($B$131,$D$53:$N$121,53,FALSE)</f>
        <v>1.2251373043686216</v>
      </c>
      <c r="C161" s="6">
        <v>0</v>
      </c>
      <c r="D161" s="8">
        <f>HLOOKUP($B$131,$D$53:$N$121,28,FALSE)</f>
        <v>37.115698845801255</v>
      </c>
      <c r="E161" s="8">
        <f>HLOOKUP($B$131,$D$53:$N$121,26,FALSE)</f>
        <v>22.530737622193609</v>
      </c>
      <c r="F161" s="8">
        <f>HLOOKUP($B$131,$D$53:$N$121,60,FALSE)</f>
        <v>19.174672501807038</v>
      </c>
      <c r="G161" s="8">
        <f>HLOOKUP($B$131,$D$53:$N$121,47,FALSE)</f>
        <v>0.13126471118235233</v>
      </c>
      <c r="H161" s="6"/>
    </row>
    <row r="162" spans="1:8" hidden="1" outlineLevel="1" x14ac:dyDescent="0.25">
      <c r="A162" t="s">
        <v>172</v>
      </c>
      <c r="B162" s="6">
        <v>0</v>
      </c>
      <c r="C162" s="6">
        <v>0</v>
      </c>
      <c r="D162" s="6">
        <v>0</v>
      </c>
      <c r="E162" s="6">
        <v>0</v>
      </c>
      <c r="F162" s="6">
        <v>0</v>
      </c>
      <c r="G162" s="6">
        <v>0</v>
      </c>
    </row>
    <row r="163" spans="1:8" hidden="1" outlineLevel="1" x14ac:dyDescent="0.25">
      <c r="A163" t="s">
        <v>80</v>
      </c>
      <c r="B163" s="8">
        <f>HLOOKUP($B$131,$D$53:$N$121,52,FALSE)</f>
        <v>7.6723837700760784</v>
      </c>
      <c r="C163" s="6">
        <v>0</v>
      </c>
      <c r="D163" s="6">
        <v>0</v>
      </c>
      <c r="E163" s="6">
        <v>0</v>
      </c>
      <c r="F163" s="6">
        <v>0</v>
      </c>
      <c r="G163" s="8">
        <f>HLOOKUP($B$131,$D$53:$N$121,46,FALSE)</f>
        <v>4.3176162299239218</v>
      </c>
    </row>
    <row r="164" spans="1:8" hidden="1" outlineLevel="1" x14ac:dyDescent="0.25">
      <c r="A164" t="s">
        <v>173</v>
      </c>
      <c r="B164" s="6">
        <v>0</v>
      </c>
      <c r="C164" s="6">
        <v>0</v>
      </c>
      <c r="D164" s="6">
        <v>0</v>
      </c>
      <c r="E164" s="6">
        <v>0</v>
      </c>
      <c r="F164" s="8">
        <f>HLOOKUP($B$131,$D$53:$N$121,59,FALSE)</f>
        <v>0</v>
      </c>
      <c r="G164" s="6">
        <v>0</v>
      </c>
    </row>
    <row r="165" spans="1:8" hidden="1" outlineLevel="1" x14ac:dyDescent="0.25">
      <c r="A165" t="s">
        <v>174</v>
      </c>
      <c r="B165" s="6">
        <v>0</v>
      </c>
      <c r="C165" s="6">
        <v>0</v>
      </c>
      <c r="D165" s="6">
        <v>0</v>
      </c>
      <c r="E165" s="6">
        <v>0</v>
      </c>
      <c r="F165" s="6">
        <v>0</v>
      </c>
      <c r="G165" s="8">
        <f>HLOOKUP($B$131,$D$53:$N$121,42,FALSE)</f>
        <v>6.72</v>
      </c>
    </row>
    <row r="166" spans="1:8" hidden="1" outlineLevel="1" x14ac:dyDescent="0.25">
      <c r="A166" t="s">
        <v>175</v>
      </c>
      <c r="B166" s="8">
        <f>HLOOKUP($B$131,$D$53:$N$121,62,FALSE)</f>
        <v>12.389152152600426</v>
      </c>
      <c r="C166" s="6">
        <v>0</v>
      </c>
      <c r="D166" s="6">
        <v>0</v>
      </c>
      <c r="E166" s="6">
        <v>0</v>
      </c>
      <c r="F166" s="6">
        <v>0</v>
      </c>
      <c r="G166" s="8">
        <f>HLOOKUP($B$131,$D$53:$N$121,61,FALSE)</f>
        <v>6.9708478473995701</v>
      </c>
    </row>
    <row r="167" spans="1:8" hidden="1" outlineLevel="1" x14ac:dyDescent="0.25">
      <c r="A167" t="s">
        <v>176</v>
      </c>
      <c r="B167" s="6">
        <v>0</v>
      </c>
      <c r="C167" s="6">
        <v>0</v>
      </c>
      <c r="D167" s="6">
        <v>0</v>
      </c>
      <c r="E167" s="6">
        <v>0</v>
      </c>
      <c r="F167" s="6">
        <v>0</v>
      </c>
      <c r="G167" s="6">
        <v>0</v>
      </c>
    </row>
    <row r="168" spans="1:8" hidden="1" outlineLevel="1" x14ac:dyDescent="0.25">
      <c r="A168" t="s">
        <v>177</v>
      </c>
      <c r="B168" s="6">
        <v>0</v>
      </c>
      <c r="C168" s="6">
        <v>0</v>
      </c>
      <c r="D168" s="6">
        <v>0</v>
      </c>
      <c r="E168" s="6">
        <v>0</v>
      </c>
      <c r="F168" s="6">
        <v>0</v>
      </c>
      <c r="G168" s="6">
        <v>0</v>
      </c>
    </row>
    <row r="169" spans="1:8" hidden="1" outlineLevel="1" x14ac:dyDescent="0.25">
      <c r="A169" t="s">
        <v>78</v>
      </c>
      <c r="B169" s="8">
        <f>HLOOKUP($B$131,$D$53:$N$121,51,FALSE)</f>
        <v>40.814806321823099</v>
      </c>
      <c r="C169" s="6">
        <v>0</v>
      </c>
      <c r="D169" s="6">
        <v>0</v>
      </c>
      <c r="E169" s="6">
        <v>0</v>
      </c>
      <c r="F169" s="8">
        <f>HLOOKUP($B$131,$D$53:$N$121,58,FALSE)</f>
        <v>3.9403133849884768</v>
      </c>
      <c r="G169" s="8">
        <f>HLOOKUP($B$131,$D$53:$N$121,45,FALSE)</f>
        <v>18.464880293188422</v>
      </c>
    </row>
    <row r="170" spans="1:8" hidden="1" outlineLevel="1" x14ac:dyDescent="0.25">
      <c r="A170" t="s">
        <v>178</v>
      </c>
      <c r="B170" s="6">
        <v>0</v>
      </c>
      <c r="C170" s="6">
        <v>0</v>
      </c>
      <c r="D170" s="6">
        <v>0</v>
      </c>
      <c r="E170" s="6">
        <v>0</v>
      </c>
      <c r="F170" s="6">
        <v>0</v>
      </c>
      <c r="G170" s="6">
        <v>0</v>
      </c>
    </row>
  </sheetData>
  <pageMargins left="0.7" right="0.7" top="0.75" bottom="0.75" header="0.3" footer="0.3"/>
  <ignoredErrors>
    <ignoredError sqref="D124:L124 D46:L47 D67:N74" formulaRange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3"/>
  </sheetPr>
  <dimension ref="A1:I11"/>
  <sheetViews>
    <sheetView workbookViewId="0">
      <pane xSplit="1" ySplit="1" topLeftCell="B2" activePane="bottomRight" state="frozen"/>
      <selection pane="topRight" activeCell="M41" sqref="M41"/>
      <selection pane="bottomLeft" activeCell="M41" sqref="M41"/>
      <selection pane="bottomRight" activeCell="G4" sqref="G4"/>
    </sheetView>
  </sheetViews>
  <sheetFormatPr baseColWidth="10" defaultColWidth="8.85546875" defaultRowHeight="15" x14ac:dyDescent="0.25"/>
  <cols>
    <col min="1" max="1" width="29.85546875" customWidth="1"/>
    <col min="2" max="7" width="23.85546875" customWidth="1"/>
  </cols>
  <sheetData>
    <row r="1" spans="1:9" x14ac:dyDescent="0.25">
      <c r="A1" s="1" t="s">
        <v>165</v>
      </c>
      <c r="B1" s="4" t="s">
        <v>167</v>
      </c>
      <c r="C1" s="4" t="s">
        <v>168</v>
      </c>
      <c r="D1" s="4" t="s">
        <v>169</v>
      </c>
      <c r="E1" s="4" t="s">
        <v>170</v>
      </c>
      <c r="F1" s="4" t="s">
        <v>158</v>
      </c>
      <c r="G1" s="4" t="s">
        <v>171</v>
      </c>
      <c r="H1" s="1"/>
      <c r="I1" s="1"/>
    </row>
    <row r="2" spans="1:9" x14ac:dyDescent="0.25">
      <c r="A2" s="1" t="s">
        <v>181</v>
      </c>
      <c r="B2">
        <f>'BCEU PJ'!B135*About!$B$31</f>
        <v>0</v>
      </c>
      <c r="C2">
        <f>'BCEU PJ'!C135*About!$B$31</f>
        <v>0</v>
      </c>
      <c r="D2">
        <f>'BCEU PJ'!D135*About!$B$31</f>
        <v>53233090512487.234</v>
      </c>
      <c r="E2">
        <f>'BCEU PJ'!E135*About!$B$31</f>
        <v>21594555585254.254</v>
      </c>
      <c r="F2">
        <f>'BCEU PJ'!F135*About!$B$31</f>
        <v>176271837451726.63</v>
      </c>
      <c r="G2">
        <f>'BCEU PJ'!G135*About!$B$31</f>
        <v>0</v>
      </c>
      <c r="I2" s="3"/>
    </row>
    <row r="3" spans="1:9" x14ac:dyDescent="0.25">
      <c r="A3" s="1" t="s">
        <v>182</v>
      </c>
      <c r="B3">
        <f>'BCEU PJ'!B136*About!$B$31</f>
        <v>0</v>
      </c>
      <c r="C3">
        <f>'BCEU PJ'!C136*About!$B$31</f>
        <v>0</v>
      </c>
      <c r="D3">
        <f>'BCEU PJ'!D136*About!$B$31</f>
        <v>0</v>
      </c>
      <c r="E3">
        <f>'BCEU PJ'!E136*About!$B$31</f>
        <v>0</v>
      </c>
      <c r="F3">
        <f>'BCEU PJ'!F136*About!$B$31</f>
        <v>0</v>
      </c>
      <c r="G3">
        <f>'BCEU PJ'!G136*About!$B$31</f>
        <v>0</v>
      </c>
    </row>
    <row r="4" spans="1:9" x14ac:dyDescent="0.25">
      <c r="A4" s="1" t="s">
        <v>183</v>
      </c>
      <c r="B4">
        <f>'BCEU PJ'!B137*About!$B$31</f>
        <v>17955641618597.031</v>
      </c>
      <c r="C4">
        <f>'BCEU PJ'!C137*About!$B$31</f>
        <v>0</v>
      </c>
      <c r="D4">
        <f>'BCEU PJ'!D137*About!$B$31</f>
        <v>0</v>
      </c>
      <c r="E4">
        <f>'BCEU PJ'!E137*About!$B$31</f>
        <v>0</v>
      </c>
      <c r="F4">
        <f>'BCEU PJ'!F137*About!$B$31</f>
        <v>0</v>
      </c>
      <c r="G4">
        <f>'BCEU PJ'!G137*About!$B$31</f>
        <v>5930610261085.1074</v>
      </c>
    </row>
    <row r="5" spans="1:9" x14ac:dyDescent="0.25">
      <c r="A5" s="1" t="s">
        <v>184</v>
      </c>
      <c r="B5">
        <f>'BCEU PJ'!B138*About!$B$31</f>
        <v>0</v>
      </c>
      <c r="C5">
        <f>'BCEU PJ'!C138*About!$B$31</f>
        <v>0</v>
      </c>
      <c r="D5">
        <f>'BCEU PJ'!D138*About!$B$31</f>
        <v>0</v>
      </c>
      <c r="E5">
        <f>'BCEU PJ'!E138*About!$B$31</f>
        <v>0</v>
      </c>
      <c r="F5">
        <f>'BCEU PJ'!F138*About!$B$31</f>
        <v>0</v>
      </c>
      <c r="G5">
        <f>'BCEU PJ'!G138*About!$B$31</f>
        <v>0</v>
      </c>
    </row>
    <row r="6" spans="1:9" x14ac:dyDescent="0.25">
      <c r="A6" s="1" t="s">
        <v>185</v>
      </c>
      <c r="B6">
        <f>'BCEU PJ'!B139*About!$B$31</f>
        <v>0</v>
      </c>
      <c r="C6">
        <f>'BCEU PJ'!C139*About!$B$31</f>
        <v>0</v>
      </c>
      <c r="D6">
        <f>'BCEU PJ'!D139*About!$B$31</f>
        <v>0</v>
      </c>
      <c r="E6">
        <f>'BCEU PJ'!E139*About!$B$31</f>
        <v>0</v>
      </c>
      <c r="F6">
        <f>'BCEU PJ'!F139*About!$B$31</f>
        <v>0</v>
      </c>
      <c r="G6">
        <f>'BCEU PJ'!G139*About!$B$31</f>
        <v>11725116498082.064</v>
      </c>
    </row>
    <row r="7" spans="1:9" x14ac:dyDescent="0.25">
      <c r="A7" s="1" t="s">
        <v>186</v>
      </c>
      <c r="B7">
        <f>'BCEU PJ'!B140*About!$B$31</f>
        <v>295804945157165</v>
      </c>
      <c r="C7">
        <f>'BCEU PJ'!C140*About!$B$31</f>
        <v>0</v>
      </c>
      <c r="D7">
        <f>'BCEU PJ'!D140*About!$B$31</f>
        <v>0</v>
      </c>
      <c r="E7">
        <f>'BCEU PJ'!E140*About!$B$31</f>
        <v>0</v>
      </c>
      <c r="F7">
        <f>'BCEU PJ'!F140*About!$B$31</f>
        <v>0</v>
      </c>
      <c r="G7">
        <f>'BCEU PJ'!G140*About!$B$31</f>
        <v>97702097217836.609</v>
      </c>
    </row>
    <row r="8" spans="1:9" x14ac:dyDescent="0.25">
      <c r="A8" s="1" t="s">
        <v>187</v>
      </c>
      <c r="B8">
        <f>'BCEU PJ'!B141*About!$B$31</f>
        <v>0</v>
      </c>
      <c r="C8">
        <f>'BCEU PJ'!C141*About!$B$31</f>
        <v>0</v>
      </c>
      <c r="D8">
        <f>'BCEU PJ'!D141*About!$B$31</f>
        <v>0</v>
      </c>
      <c r="E8">
        <f>'BCEU PJ'!E141*About!$B$31</f>
        <v>0</v>
      </c>
      <c r="F8">
        <f>'BCEU PJ'!F141*About!$B$31</f>
        <v>0</v>
      </c>
      <c r="G8">
        <f>'BCEU PJ'!G141*About!$B$31</f>
        <v>0</v>
      </c>
    </row>
    <row r="9" spans="1:9" x14ac:dyDescent="0.25">
      <c r="A9" s="1" t="s">
        <v>188</v>
      </c>
      <c r="B9">
        <f>'BCEU PJ'!B142*About!$B$31</f>
        <v>0</v>
      </c>
      <c r="C9">
        <f>'BCEU PJ'!C142*About!$B$31</f>
        <v>0</v>
      </c>
      <c r="D9">
        <f>'BCEU PJ'!D142*About!$B$31</f>
        <v>0</v>
      </c>
      <c r="E9">
        <f>'BCEU PJ'!E142*About!$B$31</f>
        <v>0</v>
      </c>
      <c r="F9">
        <f>'BCEU PJ'!F142*About!$B$31</f>
        <v>0</v>
      </c>
      <c r="G9">
        <f>'BCEU PJ'!G142*About!$B$31</f>
        <v>0</v>
      </c>
    </row>
    <row r="10" spans="1:9" x14ac:dyDescent="0.25">
      <c r="A10" s="1" t="s">
        <v>189</v>
      </c>
      <c r="B10">
        <f>'BCEU PJ'!B143*About!$B$31</f>
        <v>175979538371471.97</v>
      </c>
      <c r="C10">
        <f>'BCEU PJ'!C143*About!$B$31</f>
        <v>0</v>
      </c>
      <c r="D10">
        <f>'BCEU PJ'!D143*About!$B$31</f>
        <v>0</v>
      </c>
      <c r="E10">
        <f>'BCEU PJ'!E143*About!$B$31</f>
        <v>0</v>
      </c>
      <c r="F10">
        <f>'BCEU PJ'!F143*About!$B$31</f>
        <v>0</v>
      </c>
      <c r="G10">
        <f>'BCEU PJ'!G143*About!$B$31</f>
        <v>58124687392174.594</v>
      </c>
    </row>
    <row r="11" spans="1:9" x14ac:dyDescent="0.25">
      <c r="A11" s="1" t="s">
        <v>190</v>
      </c>
      <c r="B11">
        <f>'BCEU PJ'!B144*About!$B$31</f>
        <v>0</v>
      </c>
      <c r="C11">
        <f>'BCEU PJ'!C144*About!$B$31</f>
        <v>0</v>
      </c>
      <c r="D11">
        <f>'BCEU PJ'!D144*About!$B$31</f>
        <v>0</v>
      </c>
      <c r="E11">
        <f>'BCEU PJ'!E144*About!$B$31</f>
        <v>0</v>
      </c>
      <c r="F11">
        <f>'BCEU PJ'!F144*About!$B$31</f>
        <v>0</v>
      </c>
      <c r="G11">
        <f>'BCEU PJ'!G144*About!$B$31</f>
        <v>0</v>
      </c>
    </row>
  </sheetData>
  <pageMargins left="0.7" right="0.7" top="0.75" bottom="0.75" header="0.3" footer="0.3"/>
  <pageSetup orientation="portrait" horizontalDpi="1200" verticalDpi="12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363CC6-2AF1-40D2-9144-7FE415EBF2FA}">
  <sheetPr>
    <tabColor theme="3"/>
  </sheetPr>
  <dimension ref="A1:I11"/>
  <sheetViews>
    <sheetView workbookViewId="0">
      <pane xSplit="1" ySplit="1" topLeftCell="B2" activePane="bottomRight" state="frozen"/>
      <selection pane="topRight" activeCell="M41" sqref="M41"/>
      <selection pane="bottomLeft" activeCell="M41" sqref="M41"/>
      <selection pane="bottomRight" activeCell="B2" sqref="B2"/>
    </sheetView>
  </sheetViews>
  <sheetFormatPr baseColWidth="10" defaultColWidth="8.85546875" defaultRowHeight="15" x14ac:dyDescent="0.25"/>
  <cols>
    <col min="1" max="1" width="29.85546875" customWidth="1"/>
    <col min="2" max="7" width="23.85546875" customWidth="1"/>
  </cols>
  <sheetData>
    <row r="1" spans="1:9" x14ac:dyDescent="0.25">
      <c r="A1" s="1" t="s">
        <v>165</v>
      </c>
      <c r="B1" s="4" t="s">
        <v>167</v>
      </c>
      <c r="C1" s="4" t="s">
        <v>168</v>
      </c>
      <c r="D1" s="4" t="s">
        <v>169</v>
      </c>
      <c r="E1" s="4" t="s">
        <v>170</v>
      </c>
      <c r="F1" s="4" t="s">
        <v>158</v>
      </c>
      <c r="G1" s="4" t="s">
        <v>171</v>
      </c>
      <c r="H1" s="1"/>
      <c r="I1" s="1"/>
    </row>
    <row r="2" spans="1:9" x14ac:dyDescent="0.25">
      <c r="A2" s="1" t="s">
        <v>181</v>
      </c>
      <c r="B2">
        <f>'BCEU PJ'!B148*About!$B$31</f>
        <v>0</v>
      </c>
      <c r="C2">
        <f>'BCEU PJ'!C148*About!$B$31</f>
        <v>0</v>
      </c>
      <c r="D2">
        <f>'BCEU PJ'!D148*About!$B$31</f>
        <v>0</v>
      </c>
      <c r="E2">
        <f>'BCEU PJ'!E148*About!$B$31</f>
        <v>5520989710931.3271</v>
      </c>
      <c r="F2">
        <f>'BCEU PJ'!F148*About!$B$31</f>
        <v>0</v>
      </c>
      <c r="G2">
        <f>'BCEU PJ'!G148*About!$B$31</f>
        <v>17144125944470.965</v>
      </c>
      <c r="I2" s="3"/>
    </row>
    <row r="3" spans="1:9" x14ac:dyDescent="0.25">
      <c r="A3" s="1" t="s">
        <v>182</v>
      </c>
      <c r="B3">
        <f>'BCEU PJ'!B149*About!$B$31</f>
        <v>0</v>
      </c>
      <c r="C3">
        <f>'BCEU PJ'!C149*About!$B$31</f>
        <v>0</v>
      </c>
      <c r="D3">
        <f>'BCEU PJ'!D149*About!$B$31</f>
        <v>0</v>
      </c>
      <c r="E3">
        <f>'BCEU PJ'!E149*About!$B$31</f>
        <v>0</v>
      </c>
      <c r="F3">
        <f>'BCEU PJ'!F149*About!$B$31</f>
        <v>0</v>
      </c>
      <c r="G3">
        <f>'BCEU PJ'!G149*About!$B$31</f>
        <v>0</v>
      </c>
    </row>
    <row r="4" spans="1:9" x14ac:dyDescent="0.25">
      <c r="A4" s="1" t="s">
        <v>183</v>
      </c>
      <c r="B4">
        <f>'BCEU PJ'!B150*About!$B$31</f>
        <v>0</v>
      </c>
      <c r="C4">
        <f>'BCEU PJ'!C150*About!$B$31</f>
        <v>0</v>
      </c>
      <c r="D4">
        <f>'BCEU PJ'!D150*About!$B$31</f>
        <v>0</v>
      </c>
      <c r="E4">
        <f>'BCEU PJ'!E150*About!$B$31</f>
        <v>0</v>
      </c>
      <c r="F4">
        <f>'BCEU PJ'!F150*About!$B$31</f>
        <v>0</v>
      </c>
      <c r="G4">
        <f>'BCEU PJ'!G150*About!$B$31</f>
        <v>0</v>
      </c>
    </row>
    <row r="5" spans="1:9" x14ac:dyDescent="0.25">
      <c r="A5" s="1" t="s">
        <v>184</v>
      </c>
      <c r="B5">
        <f>'BCEU PJ'!B151*About!$B$31</f>
        <v>0</v>
      </c>
      <c r="C5">
        <f>'BCEU PJ'!C151*About!$B$31</f>
        <v>0</v>
      </c>
      <c r="D5">
        <f>'BCEU PJ'!D151*About!$B$31</f>
        <v>0</v>
      </c>
      <c r="E5">
        <f>'BCEU PJ'!E151*About!$B$31</f>
        <v>0</v>
      </c>
      <c r="F5">
        <f>'BCEU PJ'!F151*About!$B$31</f>
        <v>0</v>
      </c>
      <c r="G5">
        <f>'BCEU PJ'!G151*About!$B$31</f>
        <v>0</v>
      </c>
    </row>
    <row r="6" spans="1:9" x14ac:dyDescent="0.25">
      <c r="A6" s="1" t="s">
        <v>185</v>
      </c>
      <c r="B6">
        <f>'BCEU PJ'!B152*About!$B$31</f>
        <v>0</v>
      </c>
      <c r="C6">
        <f>'BCEU PJ'!C152*About!$B$31</f>
        <v>0</v>
      </c>
      <c r="D6">
        <f>'BCEU PJ'!D152*About!$B$31</f>
        <v>0</v>
      </c>
      <c r="E6">
        <f>'BCEU PJ'!E152*About!$B$31</f>
        <v>0</v>
      </c>
      <c r="F6">
        <f>'BCEU PJ'!F152*About!$B$31</f>
        <v>0</v>
      </c>
      <c r="G6">
        <f>'BCEU PJ'!G152*About!$B$31</f>
        <v>0</v>
      </c>
    </row>
    <row r="7" spans="1:9" x14ac:dyDescent="0.25">
      <c r="A7" s="1" t="s">
        <v>186</v>
      </c>
      <c r="B7">
        <f>'BCEU PJ'!B153*About!$B$31</f>
        <v>0</v>
      </c>
      <c r="C7">
        <f>'BCEU PJ'!C153*About!$B$31</f>
        <v>0</v>
      </c>
      <c r="D7">
        <f>'BCEU PJ'!D153*About!$B$31</f>
        <v>0</v>
      </c>
      <c r="E7">
        <f>'BCEU PJ'!E153*About!$B$31</f>
        <v>0</v>
      </c>
      <c r="F7">
        <f>'BCEU PJ'!F153*About!$B$31</f>
        <v>0</v>
      </c>
      <c r="G7">
        <f>'BCEU PJ'!G153*About!$B$31</f>
        <v>0</v>
      </c>
    </row>
    <row r="8" spans="1:9" x14ac:dyDescent="0.25">
      <c r="A8" s="1" t="s">
        <v>187</v>
      </c>
      <c r="B8">
        <f>'BCEU PJ'!B154*About!$B$31</f>
        <v>0</v>
      </c>
      <c r="C8">
        <f>'BCEU PJ'!C154*About!$B$31</f>
        <v>0</v>
      </c>
      <c r="D8">
        <f>'BCEU PJ'!D154*About!$B$31</f>
        <v>0</v>
      </c>
      <c r="E8">
        <f>'BCEU PJ'!E154*About!$B$31</f>
        <v>0</v>
      </c>
      <c r="F8">
        <f>'BCEU PJ'!F154*About!$B$31</f>
        <v>0</v>
      </c>
      <c r="G8">
        <f>'BCEU PJ'!G154*About!$B$31</f>
        <v>0</v>
      </c>
    </row>
    <row r="9" spans="1:9" x14ac:dyDescent="0.25">
      <c r="A9" s="1" t="s">
        <v>188</v>
      </c>
      <c r="B9">
        <f>'BCEU PJ'!B155*About!$B$31</f>
        <v>0</v>
      </c>
      <c r="C9">
        <f>'BCEU PJ'!C155*About!$B$31</f>
        <v>0</v>
      </c>
      <c r="D9">
        <f>'BCEU PJ'!D155*About!$B$31</f>
        <v>0</v>
      </c>
      <c r="E9">
        <f>'BCEU PJ'!E155*About!$B$31</f>
        <v>0</v>
      </c>
      <c r="F9">
        <f>'BCEU PJ'!F155*About!$B$31</f>
        <v>0</v>
      </c>
      <c r="G9">
        <f>'BCEU PJ'!G155*About!$B$31</f>
        <v>0</v>
      </c>
    </row>
    <row r="10" spans="1:9" x14ac:dyDescent="0.25">
      <c r="A10" s="1" t="s">
        <v>189</v>
      </c>
      <c r="B10">
        <f>'BCEU PJ'!B156*About!$B$31</f>
        <v>0</v>
      </c>
      <c r="C10">
        <f>'BCEU PJ'!C156*About!$B$31</f>
        <v>0</v>
      </c>
      <c r="D10">
        <f>'BCEU PJ'!D156*About!$B$31</f>
        <v>0</v>
      </c>
      <c r="E10">
        <f>'BCEU PJ'!E156*About!$B$31</f>
        <v>0</v>
      </c>
      <c r="F10">
        <f>'BCEU PJ'!F156*About!$B$31</f>
        <v>0</v>
      </c>
      <c r="G10">
        <f>'BCEU PJ'!G156*About!$B$31</f>
        <v>0</v>
      </c>
    </row>
    <row r="11" spans="1:9" x14ac:dyDescent="0.25">
      <c r="A11" s="1" t="s">
        <v>190</v>
      </c>
      <c r="B11">
        <f>'BCEU PJ'!B157*About!$B$31</f>
        <v>0</v>
      </c>
      <c r="C11">
        <f>'BCEU PJ'!C157*About!$B$31</f>
        <v>0</v>
      </c>
      <c r="D11">
        <f>'BCEU PJ'!D157*About!$B$31</f>
        <v>0</v>
      </c>
      <c r="E11">
        <f>'BCEU PJ'!E157*About!$B$31</f>
        <v>0</v>
      </c>
      <c r="F11">
        <f>'BCEU PJ'!F157*About!$B$31</f>
        <v>0</v>
      </c>
      <c r="G11">
        <f>'BCEU PJ'!G157*About!$B$31</f>
        <v>0</v>
      </c>
    </row>
  </sheetData>
  <pageMargins left="0.7" right="0.7" top="0.75" bottom="0.75" header="0.3" footer="0.3"/>
  <pageSetup orientation="portrait" horizontalDpi="1200" verticalDpi="12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05FCB0-8DA3-4DD4-BAD8-E7EDBDA67910}">
  <sheetPr>
    <tabColor theme="3"/>
  </sheetPr>
  <dimension ref="A1:I11"/>
  <sheetViews>
    <sheetView workbookViewId="0">
      <pane xSplit="1" ySplit="1" topLeftCell="B2" activePane="bottomRight" state="frozen"/>
      <selection pane="topRight" activeCell="B2" sqref="B2:G11"/>
      <selection pane="bottomLeft" activeCell="B2" sqref="B2:G11"/>
      <selection pane="bottomRight" activeCell="F4" sqref="F4"/>
    </sheetView>
  </sheetViews>
  <sheetFormatPr baseColWidth="10" defaultColWidth="8.85546875" defaultRowHeight="15" x14ac:dyDescent="0.25"/>
  <cols>
    <col min="1" max="1" width="29.85546875" customWidth="1"/>
    <col min="2" max="7" width="23.85546875" customWidth="1"/>
  </cols>
  <sheetData>
    <row r="1" spans="1:9" x14ac:dyDescent="0.25">
      <c r="A1" s="1" t="s">
        <v>165</v>
      </c>
      <c r="B1" s="4" t="s">
        <v>167</v>
      </c>
      <c r="C1" s="4" t="s">
        <v>168</v>
      </c>
      <c r="D1" s="4" t="s">
        <v>169</v>
      </c>
      <c r="E1" s="4" t="s">
        <v>170</v>
      </c>
      <c r="F1" s="4" t="s">
        <v>158</v>
      </c>
      <c r="G1" s="4" t="s">
        <v>171</v>
      </c>
      <c r="H1" s="1"/>
      <c r="I1" s="1"/>
    </row>
    <row r="2" spans="1:9" x14ac:dyDescent="0.25">
      <c r="A2" s="1" t="s">
        <v>181</v>
      </c>
      <c r="B2">
        <f>'BCEU PJ'!B161*About!$B$31</f>
        <v>1161267390450.1465</v>
      </c>
      <c r="C2">
        <f>'BCEU PJ'!C161*About!$B$31</f>
        <v>0</v>
      </c>
      <c r="D2">
        <f>'BCEU PJ'!D161*About!$B$31</f>
        <v>35180751242906.207</v>
      </c>
      <c r="E2">
        <f>'BCEU PJ'!E161*About!$B$31</f>
        <v>21356145788839.172</v>
      </c>
      <c r="F2">
        <f>'BCEU PJ'!F161*About!$B$31</f>
        <v>18175041947959.434</v>
      </c>
      <c r="G2">
        <f>'BCEU PJ'!G161*About!$B$31</f>
        <v>124421506119.65858</v>
      </c>
      <c r="I2" s="3"/>
    </row>
    <row r="3" spans="1:9" x14ac:dyDescent="0.25">
      <c r="A3" s="1" t="s">
        <v>182</v>
      </c>
      <c r="B3">
        <f>'BCEU PJ'!B162*About!$B$31</f>
        <v>0</v>
      </c>
      <c r="C3">
        <f>'BCEU PJ'!C162*About!$B$31</f>
        <v>0</v>
      </c>
      <c r="D3">
        <f>'BCEU PJ'!D162*About!$B$31</f>
        <v>0</v>
      </c>
      <c r="E3">
        <f>'BCEU PJ'!E162*About!$B$31</f>
        <v>0</v>
      </c>
      <c r="F3">
        <f>'BCEU PJ'!F162*About!$B$31</f>
        <v>0</v>
      </c>
      <c r="G3">
        <f>'BCEU PJ'!G162*About!$B$31</f>
        <v>0</v>
      </c>
    </row>
    <row r="4" spans="1:9" x14ac:dyDescent="0.25">
      <c r="A4" s="1" t="s">
        <v>183</v>
      </c>
      <c r="B4">
        <f>'BCEU PJ'!B163*About!$B$31</f>
        <v>7272400446413.5898</v>
      </c>
      <c r="C4">
        <f>'BCEU PJ'!C163*About!$B$31</f>
        <v>0</v>
      </c>
      <c r="D4">
        <f>'BCEU PJ'!D163*About!$B$31</f>
        <v>0</v>
      </c>
      <c r="E4">
        <f>'BCEU PJ'!E163*About!$B$31</f>
        <v>0</v>
      </c>
      <c r="F4">
        <f>'BCEU PJ'!F163*About!$B$31</f>
        <v>0</v>
      </c>
      <c r="G4">
        <f>'BCEU PJ'!G163*About!$B$31</f>
        <v>4092526539197.0786</v>
      </c>
    </row>
    <row r="5" spans="1:9" x14ac:dyDescent="0.25">
      <c r="A5" s="1" t="s">
        <v>184</v>
      </c>
      <c r="B5">
        <f>'BCEU PJ'!B164*About!$B$31</f>
        <v>0</v>
      </c>
      <c r="C5">
        <f>'BCEU PJ'!C164*About!$B$31</f>
        <v>0</v>
      </c>
      <c r="D5">
        <f>'BCEU PJ'!D164*About!$B$31</f>
        <v>0</v>
      </c>
      <c r="E5">
        <f>'BCEU PJ'!E164*About!$B$31</f>
        <v>0</v>
      </c>
      <c r="F5">
        <f>'BCEU PJ'!F164*About!$B$31</f>
        <v>0</v>
      </c>
      <c r="G5">
        <f>'BCEU PJ'!G164*About!$B$31</f>
        <v>0</v>
      </c>
    </row>
    <row r="6" spans="1:9" x14ac:dyDescent="0.25">
      <c r="A6" s="1" t="s">
        <v>185</v>
      </c>
      <c r="B6">
        <f>'BCEU PJ'!B165*About!$B$31</f>
        <v>0</v>
      </c>
      <c r="C6">
        <f>'BCEU PJ'!C165*About!$B$31</f>
        <v>0</v>
      </c>
      <c r="D6">
        <f>'BCEU PJ'!D165*About!$B$31</f>
        <v>0</v>
      </c>
      <c r="E6">
        <f>'BCEU PJ'!E165*About!$B$31</f>
        <v>0</v>
      </c>
      <c r="F6">
        <f>'BCEU PJ'!F165*About!$B$31</f>
        <v>0</v>
      </c>
      <c r="G6">
        <f>'BCEU PJ'!G165*About!$B$31</f>
        <v>6369667167915.2363</v>
      </c>
    </row>
    <row r="7" spans="1:9" x14ac:dyDescent="0.25">
      <c r="A7" s="1" t="s">
        <v>186</v>
      </c>
      <c r="B7">
        <f>'BCEU PJ'!B166*About!$B$31</f>
        <v>11743270194155.553</v>
      </c>
      <c r="C7">
        <f>'BCEU PJ'!C166*About!$B$31</f>
        <v>0</v>
      </c>
      <c r="D7">
        <f>'BCEU PJ'!D166*About!$B$31</f>
        <v>0</v>
      </c>
      <c r="E7">
        <f>'BCEU PJ'!E166*About!$B$31</f>
        <v>0</v>
      </c>
      <c r="F7">
        <f>'BCEU PJ'!F166*About!$B$31</f>
        <v>0</v>
      </c>
      <c r="G7">
        <f>'BCEU PJ'!G166*About!$B$31</f>
        <v>6607437599124.0537</v>
      </c>
    </row>
    <row r="8" spans="1:9" x14ac:dyDescent="0.25">
      <c r="A8" s="1" t="s">
        <v>187</v>
      </c>
      <c r="B8">
        <f>'BCEU PJ'!B167*About!$B$31</f>
        <v>0</v>
      </c>
      <c r="C8">
        <f>'BCEU PJ'!C167*About!$B$31</f>
        <v>0</v>
      </c>
      <c r="D8">
        <f>'BCEU PJ'!D167*About!$B$31</f>
        <v>0</v>
      </c>
      <c r="E8">
        <f>'BCEU PJ'!E167*About!$B$31</f>
        <v>0</v>
      </c>
      <c r="F8">
        <f>'BCEU PJ'!F167*About!$B$31</f>
        <v>0</v>
      </c>
      <c r="G8">
        <f>'BCEU PJ'!G167*About!$B$31</f>
        <v>0</v>
      </c>
    </row>
    <row r="9" spans="1:9" x14ac:dyDescent="0.25">
      <c r="A9" s="1" t="s">
        <v>188</v>
      </c>
      <c r="B9">
        <f>'BCEU PJ'!B168*About!$B$31</f>
        <v>0</v>
      </c>
      <c r="C9">
        <f>'BCEU PJ'!C168*About!$B$31</f>
        <v>0</v>
      </c>
      <c r="D9">
        <f>'BCEU PJ'!D168*About!$B$31</f>
        <v>0</v>
      </c>
      <c r="E9">
        <f>'BCEU PJ'!E168*About!$B$31</f>
        <v>0</v>
      </c>
      <c r="F9">
        <f>'BCEU PJ'!F168*About!$B$31</f>
        <v>0</v>
      </c>
      <c r="G9">
        <f>'BCEU PJ'!G168*About!$B$31</f>
        <v>0</v>
      </c>
    </row>
    <row r="10" spans="1:9" x14ac:dyDescent="0.25">
      <c r="A10" s="1" t="s">
        <v>189</v>
      </c>
      <c r="B10">
        <f>'BCEU PJ'!B169*About!$B$31</f>
        <v>38687013659663.07</v>
      </c>
      <c r="C10">
        <f>'BCEU PJ'!C169*About!$B$31</f>
        <v>0</v>
      </c>
      <c r="D10">
        <f>'BCEU PJ'!D169*About!$B$31</f>
        <v>0</v>
      </c>
      <c r="E10">
        <f>'BCEU PJ'!E169*About!$B$31</f>
        <v>0</v>
      </c>
      <c r="F10">
        <f>'BCEU PJ'!F169*About!$B$31</f>
        <v>3734893571377.686</v>
      </c>
      <c r="G10">
        <f>'BCEU PJ'!G169*About!$B$31</f>
        <v>17502253238542.762</v>
      </c>
    </row>
    <row r="11" spans="1:9" x14ac:dyDescent="0.25">
      <c r="A11" s="1" t="s">
        <v>190</v>
      </c>
      <c r="B11">
        <f>'BCEU PJ'!B170*About!$B$31</f>
        <v>0</v>
      </c>
      <c r="C11">
        <f>'BCEU PJ'!C170*About!$B$31</f>
        <v>0</v>
      </c>
      <c r="D11">
        <f>'BCEU PJ'!D170*About!$B$31</f>
        <v>0</v>
      </c>
      <c r="E11">
        <f>'BCEU PJ'!E170*About!$B$31</f>
        <v>0</v>
      </c>
      <c r="F11">
        <f>'BCEU PJ'!F170*About!$B$31</f>
        <v>0</v>
      </c>
      <c r="G11">
        <f>'BCEU PJ'!G170*About!$B$31</f>
        <v>0</v>
      </c>
    </row>
  </sheetData>
  <pageMargins left="0.7" right="0.7" top="0.75" bottom="0.75" header="0.3" footer="0.3"/>
  <pageSetup orientation="portrait" horizontalDpi="1200" verticalDpi="12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A9DAB439B36DB4795F39C4E722C7BC4" ma:contentTypeVersion="4" ma:contentTypeDescription="Create a new document." ma:contentTypeScope="" ma:versionID="44674c89fa9bc5e97a878a6680c46188">
  <xsd:schema xmlns:xsd="http://www.w3.org/2001/XMLSchema" xmlns:xs="http://www.w3.org/2001/XMLSchema" xmlns:p="http://schemas.microsoft.com/office/2006/metadata/properties" xmlns:ns2="79748b23-d81a-423e-9112-21109dc864e6" targetNamespace="http://schemas.microsoft.com/office/2006/metadata/properties" ma:root="true" ma:fieldsID="447839a363ea5a12024b5bf1ab53ed90" ns2:_="">
    <xsd:import namespace="79748b23-d81a-423e-9112-21109dc864e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9748b23-d81a-423e-9112-21109dc864e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91B1882-6760-4E65-BB4A-2D5EFD71190C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A4DB74B0-4B9C-4DFC-A22C-7F851C2A377C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4387855-B3CB-4F02-A759-EF5512EF226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About</vt:lpstr>
      <vt:lpstr>Cuadro A.11</vt:lpstr>
      <vt:lpstr>Cuadro A.15</vt:lpstr>
      <vt:lpstr>CyS</vt:lpstr>
      <vt:lpstr>Res</vt:lpstr>
      <vt:lpstr>Pub</vt:lpstr>
      <vt:lpstr>BCEU PJ</vt:lpstr>
      <vt:lpstr>SYCEU-urban-residential</vt:lpstr>
      <vt:lpstr>SYCEU-rural-residential</vt:lpstr>
      <vt:lpstr>SYCEU-commercial</vt:lpstr>
    </vt:vector>
  </TitlesOfParts>
  <Manager/>
  <Company>EnergyInnovation.org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Jeffrey Rissman</dc:creator>
  <cp:keywords/>
  <dc:description/>
  <cp:lastModifiedBy>Rodrigo Palacios</cp:lastModifiedBy>
  <cp:revision/>
  <dcterms:created xsi:type="dcterms:W3CDTF">2014-04-18T00:48:59Z</dcterms:created>
  <dcterms:modified xsi:type="dcterms:W3CDTF">2024-12-03T00:19:37Z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0x0101009A9DAB439B36DB4795F39C4E722C7BC4</vt:lpwstr>
  </property>
</Properties>
</file>