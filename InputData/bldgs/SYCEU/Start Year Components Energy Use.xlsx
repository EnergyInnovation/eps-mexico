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chel Goldstein\Desktop\EPS Models\Mexico EPS\InputData\bldgs\SYCEU\"/>
    </mc:Choice>
  </mc:AlternateContent>
  <xr:revisionPtr revIDLastSave="0" documentId="13_ncr:1_{6AECE78D-53AA-4961-8FA3-ADDFA807CF82}" xr6:coauthVersionLast="47" xr6:coauthVersionMax="47" xr10:uidLastSave="{00000000-0000-0000-0000-000000000000}"/>
  <bookViews>
    <workbookView xWindow="0" yWindow="768" windowWidth="23232" windowHeight="11232" tabRatio="988" firstSheet="2" activeTab="12" xr2:uid="{10B09699-C0FC-4DDB-9992-26BE15698862}"/>
  </bookViews>
  <sheets>
    <sheet name="About" sheetId="36" r:id="rId1"/>
    <sheet name="Cuadro A.11" sheetId="42" r:id="rId2"/>
    <sheet name="Cuadro A.15" sheetId="37" r:id="rId3"/>
    <sheet name="CyS" sheetId="38" r:id="rId4"/>
    <sheet name="Res" sheetId="39" r:id="rId5"/>
    <sheet name="Pub" sheetId="40" r:id="rId6"/>
    <sheet name="Pob" sheetId="45" r:id="rId7"/>
    <sheet name="Viv" sheetId="46" r:id="rId8"/>
    <sheet name="Pob&amp;Viv" sheetId="47" r:id="rId9"/>
    <sheet name="P.Res" sheetId="48" r:id="rId10"/>
    <sheet name="P.Com" sheetId="49" r:id="rId11"/>
    <sheet name="P.Pub" sheetId="50" r:id="rId12"/>
    <sheet name="BCEU-all-envelope" sheetId="66" r:id="rId13"/>
    <sheet name="SYCEU-urban-residential" sheetId="67" r:id="rId14"/>
    <sheet name="SYCEU-rural-residential" sheetId="68" r:id="rId15"/>
    <sheet name="SYCEU-commercial" sheetId="69" r:id="rId16"/>
  </sheets>
  <externalReferences>
    <externalReference r:id="rId17"/>
    <externalReference r:id="rId18"/>
    <externalReference r:id="rId19"/>
  </externalReferences>
  <definedNames>
    <definedName name="Fraction_coal">[1]About!#REF!</definedName>
    <definedName name="gal_per_barrel">[2]About!$A$63</definedName>
    <definedName name="Percent_rural">[1]About!#REF!</definedName>
    <definedName name="Percent_urban">[1]About!#REF!</definedName>
    <definedName name="quadrillion">[1]About!$B$62</definedName>
    <definedName name="Table4">#REF!</definedName>
    <definedName name="Table4_1">#REF!</definedName>
    <definedName name="Table4_A">#REF!</definedName>
    <definedName name="Table5">#REF!</definedName>
    <definedName name="Table5_1">#REF!</definedName>
    <definedName name="Table5_A">#REF!</definedName>
    <definedName name="UrbFrac">'[3]MX urban Rural'!$B$3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1" i="69" l="1"/>
  <c r="G10" i="69"/>
  <c r="G9" i="69"/>
  <c r="G8" i="69"/>
  <c r="G7" i="69"/>
  <c r="G6" i="69"/>
  <c r="G5" i="69"/>
  <c r="G4" i="69"/>
  <c r="G3" i="69"/>
  <c r="G2" i="69"/>
  <c r="F11" i="69"/>
  <c r="F10" i="69"/>
  <c r="F9" i="69"/>
  <c r="F8" i="69"/>
  <c r="F7" i="69"/>
  <c r="F6" i="69"/>
  <c r="F5" i="69"/>
  <c r="F4" i="69"/>
  <c r="F3" i="69"/>
  <c r="F2" i="69"/>
  <c r="E11" i="69"/>
  <c r="E10" i="69"/>
  <c r="E9" i="69"/>
  <c r="E8" i="69"/>
  <c r="E7" i="69"/>
  <c r="E6" i="69"/>
  <c r="E5" i="69"/>
  <c r="E4" i="69"/>
  <c r="E3" i="69"/>
  <c r="E2" i="69"/>
  <c r="C2" i="69"/>
  <c r="C11" i="69"/>
  <c r="C10" i="69"/>
  <c r="C9" i="69"/>
  <c r="C8" i="69"/>
  <c r="C7" i="69"/>
  <c r="C6" i="69"/>
  <c r="C5" i="69"/>
  <c r="C4" i="69"/>
  <c r="C3" i="69"/>
  <c r="B11" i="69"/>
  <c r="B10" i="69"/>
  <c r="B9" i="69"/>
  <c r="B8" i="69"/>
  <c r="B7" i="69"/>
  <c r="B6" i="69"/>
  <c r="B5" i="69"/>
  <c r="B4" i="69"/>
  <c r="B3" i="69"/>
  <c r="B2" i="69"/>
  <c r="G11" i="68"/>
  <c r="G10" i="68"/>
  <c r="G9" i="68"/>
  <c r="G8" i="68"/>
  <c r="G7" i="68"/>
  <c r="G6" i="68"/>
  <c r="G5" i="68"/>
  <c r="G4" i="68"/>
  <c r="G3" i="68"/>
  <c r="G2" i="68"/>
  <c r="F11" i="68"/>
  <c r="F10" i="68"/>
  <c r="F9" i="68"/>
  <c r="F8" i="68"/>
  <c r="F7" i="68"/>
  <c r="F6" i="68"/>
  <c r="F5" i="68"/>
  <c r="F4" i="68"/>
  <c r="F3" i="68"/>
  <c r="F2" i="68"/>
  <c r="E11" i="68"/>
  <c r="E10" i="68"/>
  <c r="E9" i="68"/>
  <c r="E8" i="68"/>
  <c r="E7" i="68"/>
  <c r="E6" i="68"/>
  <c r="E5" i="68"/>
  <c r="E4" i="68"/>
  <c r="E3" i="68"/>
  <c r="E2" i="68"/>
  <c r="C11" i="68"/>
  <c r="C10" i="68"/>
  <c r="C9" i="68"/>
  <c r="C8" i="68"/>
  <c r="C7" i="68"/>
  <c r="C6" i="68"/>
  <c r="C5" i="68"/>
  <c r="C4" i="68"/>
  <c r="C3" i="68"/>
  <c r="C2" i="68"/>
  <c r="B11" i="68"/>
  <c r="B10" i="68"/>
  <c r="B9" i="68"/>
  <c r="B8" i="68"/>
  <c r="B7" i="68"/>
  <c r="B6" i="68"/>
  <c r="B5" i="68"/>
  <c r="B4" i="68"/>
  <c r="B3" i="68"/>
  <c r="B2" i="68"/>
  <c r="G11" i="67"/>
  <c r="G10" i="67"/>
  <c r="G9" i="67"/>
  <c r="G8" i="67"/>
  <c r="G7" i="67"/>
  <c r="G6" i="67"/>
  <c r="G5" i="67"/>
  <c r="G4" i="67"/>
  <c r="G3" i="67"/>
  <c r="G2" i="67"/>
  <c r="F11" i="67"/>
  <c r="F10" i="67"/>
  <c r="F9" i="67"/>
  <c r="F8" i="67"/>
  <c r="F7" i="67"/>
  <c r="F6" i="67"/>
  <c r="F5" i="67"/>
  <c r="F4" i="67"/>
  <c r="F3" i="67"/>
  <c r="F2" i="67"/>
  <c r="C2" i="67"/>
  <c r="E11" i="67"/>
  <c r="E10" i="67"/>
  <c r="E9" i="67"/>
  <c r="E8" i="67"/>
  <c r="E7" i="67"/>
  <c r="E6" i="67"/>
  <c r="E5" i="67"/>
  <c r="E4" i="67"/>
  <c r="E3" i="67"/>
  <c r="E2" i="67"/>
  <c r="C11" i="67"/>
  <c r="C10" i="67"/>
  <c r="C9" i="67"/>
  <c r="C8" i="67"/>
  <c r="C7" i="67"/>
  <c r="C6" i="67"/>
  <c r="C5" i="67"/>
  <c r="C4" i="67"/>
  <c r="C3" i="67"/>
  <c r="B5" i="67"/>
  <c r="B11" i="67"/>
  <c r="B10" i="67"/>
  <c r="B9" i="67"/>
  <c r="B8" i="67"/>
  <c r="B7" i="67"/>
  <c r="B6" i="67"/>
  <c r="B4" i="67"/>
  <c r="B3" i="67"/>
  <c r="B2" i="67"/>
  <c r="F127" i="48" l="1"/>
  <c r="G127" i="48"/>
  <c r="H127" i="48"/>
  <c r="I127" i="48"/>
  <c r="J127" i="48"/>
  <c r="K127" i="48"/>
  <c r="L127" i="48"/>
  <c r="M127" i="48"/>
  <c r="N127" i="48"/>
  <c r="E127" i="48"/>
  <c r="L42" i="48"/>
  <c r="M42" i="48" s="1"/>
  <c r="N42" i="48" s="1"/>
  <c r="K42" i="48"/>
  <c r="J42" i="48"/>
  <c r="I42" i="48"/>
  <c r="H42" i="48"/>
  <c r="G42" i="48"/>
  <c r="F42" i="48"/>
  <c r="E42" i="48"/>
  <c r="D42" i="48"/>
  <c r="L40" i="48"/>
  <c r="M40" i="48" s="1"/>
  <c r="N40" i="48" s="1"/>
  <c r="K40" i="48"/>
  <c r="J40" i="48"/>
  <c r="I40" i="48"/>
  <c r="H40" i="48"/>
  <c r="G40" i="48"/>
  <c r="F40" i="48"/>
  <c r="E40" i="48"/>
  <c r="D40" i="48"/>
  <c r="L38" i="48"/>
  <c r="M38" i="48" s="1"/>
  <c r="N38" i="48" s="1"/>
  <c r="K38" i="48"/>
  <c r="J38" i="48"/>
  <c r="I38" i="48"/>
  <c r="H38" i="48"/>
  <c r="G38" i="48"/>
  <c r="F38" i="48"/>
  <c r="E38" i="48"/>
  <c r="D38" i="48"/>
  <c r="L36" i="48"/>
  <c r="M36" i="48" s="1"/>
  <c r="N36" i="48" s="1"/>
  <c r="K36" i="48"/>
  <c r="J36" i="48"/>
  <c r="I36" i="48"/>
  <c r="H36" i="48"/>
  <c r="G36" i="48"/>
  <c r="F36" i="48"/>
  <c r="E36" i="48"/>
  <c r="D36" i="48"/>
  <c r="L34" i="48"/>
  <c r="M34" i="48" s="1"/>
  <c r="N34" i="48" s="1"/>
  <c r="K34" i="48"/>
  <c r="J34" i="48"/>
  <c r="I34" i="48"/>
  <c r="H34" i="48"/>
  <c r="G34" i="48"/>
  <c r="F34" i="48"/>
  <c r="E34" i="48"/>
  <c r="D34" i="48"/>
  <c r="L32" i="48"/>
  <c r="K32" i="48"/>
  <c r="J32" i="48"/>
  <c r="I32" i="48"/>
  <c r="H32" i="48"/>
  <c r="G32" i="48"/>
  <c r="F32" i="48"/>
  <c r="E32" i="48"/>
  <c r="D32" i="48"/>
  <c r="L30" i="48"/>
  <c r="K30" i="48"/>
  <c r="J30" i="48"/>
  <c r="I30" i="48"/>
  <c r="H30" i="48"/>
  <c r="G30" i="48"/>
  <c r="F30" i="48"/>
  <c r="E30" i="48"/>
  <c r="D30" i="48"/>
  <c r="L28" i="48"/>
  <c r="K28" i="48"/>
  <c r="J28" i="48"/>
  <c r="I28" i="48"/>
  <c r="H28" i="48"/>
  <c r="G28" i="48"/>
  <c r="F28" i="48"/>
  <c r="E28" i="48"/>
  <c r="D28" i="48"/>
  <c r="M32" i="48"/>
  <c r="N32" i="48" s="1"/>
  <c r="M30" i="48"/>
  <c r="N30" i="48" s="1"/>
  <c r="M28" i="48"/>
  <c r="N28" i="48" s="1"/>
  <c r="B40" i="50"/>
  <c r="D28" i="50"/>
  <c r="D39" i="50" s="1"/>
  <c r="D25" i="50" a="1"/>
  <c r="D25" i="50" s="1"/>
  <c r="B151" i="49"/>
  <c r="D134" i="49" a="1"/>
  <c r="D134" i="49" s="1"/>
  <c r="N7" i="50"/>
  <c r="M7" i="50"/>
  <c r="L7" i="50"/>
  <c r="N6" i="50"/>
  <c r="M6" i="50"/>
  <c r="L6" i="50"/>
  <c r="L5" i="50"/>
  <c r="K5" i="50"/>
  <c r="J5" i="50"/>
  <c r="I5" i="50"/>
  <c r="H5" i="50"/>
  <c r="G5" i="50"/>
  <c r="F5" i="50"/>
  <c r="E5" i="50"/>
  <c r="D5" i="50"/>
  <c r="L4" i="50"/>
  <c r="K4" i="50"/>
  <c r="J4" i="50"/>
  <c r="I4" i="50"/>
  <c r="H4" i="50"/>
  <c r="G4" i="50"/>
  <c r="F4" i="50"/>
  <c r="E4" i="50"/>
  <c r="D4" i="50"/>
  <c r="L3" i="50"/>
  <c r="L11" i="50" s="1"/>
  <c r="L33" i="50" s="1"/>
  <c r="K3" i="50"/>
  <c r="K12" i="50" s="1"/>
  <c r="K34" i="50" s="1"/>
  <c r="J3" i="50"/>
  <c r="J12" i="50" s="1"/>
  <c r="J34" i="50" s="1"/>
  <c r="I3" i="50"/>
  <c r="I12" i="50" s="1"/>
  <c r="I34" i="50" s="1"/>
  <c r="H3" i="50"/>
  <c r="H11" i="50" s="1"/>
  <c r="H33" i="50" s="1"/>
  <c r="G3" i="50"/>
  <c r="G11" i="50" s="1"/>
  <c r="G33" i="50" s="1"/>
  <c r="F3" i="50"/>
  <c r="F12" i="50" s="1"/>
  <c r="F34" i="50" s="1"/>
  <c r="E3" i="50"/>
  <c r="E11" i="50" s="1"/>
  <c r="E33" i="50" s="1"/>
  <c r="D3" i="50"/>
  <c r="D11" i="50" s="1"/>
  <c r="D33" i="50" s="1"/>
  <c r="L70" i="49"/>
  <c r="K70" i="49"/>
  <c r="J70" i="49"/>
  <c r="I70" i="49"/>
  <c r="H70" i="49"/>
  <c r="G70" i="49"/>
  <c r="F70" i="49"/>
  <c r="E70" i="49"/>
  <c r="D70" i="49"/>
  <c r="L69" i="49"/>
  <c r="K69" i="49"/>
  <c r="J69" i="49"/>
  <c r="I69" i="49"/>
  <c r="H69" i="49"/>
  <c r="G69" i="49"/>
  <c r="F69" i="49"/>
  <c r="E69" i="49"/>
  <c r="D69" i="49"/>
  <c r="L68" i="49"/>
  <c r="K68" i="49"/>
  <c r="J68" i="49"/>
  <c r="I68" i="49"/>
  <c r="H68" i="49"/>
  <c r="G68" i="49"/>
  <c r="F68" i="49"/>
  <c r="E68" i="49"/>
  <c r="D68" i="49"/>
  <c r="L67" i="49"/>
  <c r="K67" i="49"/>
  <c r="J67" i="49"/>
  <c r="I67" i="49"/>
  <c r="H67" i="49"/>
  <c r="G67" i="49"/>
  <c r="F67" i="49"/>
  <c r="E67" i="49"/>
  <c r="D67" i="49"/>
  <c r="L66" i="49"/>
  <c r="K66" i="49"/>
  <c r="J66" i="49"/>
  <c r="I66" i="49"/>
  <c r="H66" i="49"/>
  <c r="G66" i="49"/>
  <c r="F66" i="49"/>
  <c r="E66" i="49"/>
  <c r="D66" i="49"/>
  <c r="N13" i="49"/>
  <c r="M13" i="49"/>
  <c r="L13" i="49"/>
  <c r="N12" i="49"/>
  <c r="M12" i="49"/>
  <c r="L12" i="49"/>
  <c r="L10" i="49"/>
  <c r="L93" i="49" s="1"/>
  <c r="K10" i="49"/>
  <c r="K84" i="49" s="1"/>
  <c r="J10" i="49"/>
  <c r="J84" i="49" s="1"/>
  <c r="I10" i="49"/>
  <c r="I93" i="49" s="1"/>
  <c r="H10" i="49"/>
  <c r="H84" i="49" s="1"/>
  <c r="G10" i="49"/>
  <c r="G84" i="49" s="1"/>
  <c r="F10" i="49"/>
  <c r="F93" i="49" s="1"/>
  <c r="E10" i="49"/>
  <c r="E93" i="49" s="1"/>
  <c r="D10" i="49"/>
  <c r="D93" i="49" s="1"/>
  <c r="N9" i="49"/>
  <c r="N83" i="49" s="1"/>
  <c r="M9" i="49"/>
  <c r="M83" i="49" s="1"/>
  <c r="L9" i="49"/>
  <c r="L83" i="49" s="1"/>
  <c r="K9" i="49"/>
  <c r="K83" i="49" s="1"/>
  <c r="J9" i="49"/>
  <c r="J83" i="49" s="1"/>
  <c r="I9" i="49"/>
  <c r="I92" i="49" s="1"/>
  <c r="H9" i="49"/>
  <c r="H92" i="49" s="1"/>
  <c r="G9" i="49"/>
  <c r="G47" i="49" s="1"/>
  <c r="G213" i="49" s="1"/>
  <c r="G297" i="49" s="1"/>
  <c r="F9" i="49"/>
  <c r="F47" i="49" s="1"/>
  <c r="F213" i="49" s="1"/>
  <c r="F297" i="49" s="1"/>
  <c r="E9" i="49"/>
  <c r="E83" i="49" s="1"/>
  <c r="D9" i="49"/>
  <c r="D83" i="49" s="1"/>
  <c r="N8" i="49"/>
  <c r="N34" i="49" s="1"/>
  <c r="M8" i="49"/>
  <c r="M34" i="49" s="1"/>
  <c r="L8" i="49"/>
  <c r="L34" i="49" s="1"/>
  <c r="K8" i="49"/>
  <c r="K34" i="49" s="1"/>
  <c r="J8" i="49"/>
  <c r="J34" i="49" s="1"/>
  <c r="I8" i="49"/>
  <c r="I34" i="49" s="1"/>
  <c r="H8" i="49"/>
  <c r="H34" i="49" s="1"/>
  <c r="G8" i="49"/>
  <c r="G34" i="49" s="1"/>
  <c r="F8" i="49"/>
  <c r="F34" i="49" s="1"/>
  <c r="E8" i="49"/>
  <c r="E34" i="49" s="1"/>
  <c r="D8" i="49"/>
  <c r="D34" i="49" s="1"/>
  <c r="N7" i="49"/>
  <c r="N81" i="49" s="1"/>
  <c r="M7" i="49"/>
  <c r="M90" i="49" s="1"/>
  <c r="L7" i="49"/>
  <c r="L90" i="49" s="1"/>
  <c r="K7" i="49"/>
  <c r="K81" i="49" s="1"/>
  <c r="J7" i="49"/>
  <c r="J81" i="49" s="1"/>
  <c r="I7" i="49"/>
  <c r="I81" i="49" s="1"/>
  <c r="H7" i="49"/>
  <c r="H81" i="49" s="1"/>
  <c r="G7" i="49"/>
  <c r="G90" i="49" s="1"/>
  <c r="F7" i="49"/>
  <c r="F81" i="49" s="1"/>
  <c r="E7" i="49"/>
  <c r="E90" i="49" s="1"/>
  <c r="D7" i="49"/>
  <c r="D81" i="49" s="1"/>
  <c r="L6" i="49"/>
  <c r="L89" i="49" s="1"/>
  <c r="K6" i="49"/>
  <c r="K89" i="49" s="1"/>
  <c r="J6" i="49"/>
  <c r="J89" i="49" s="1"/>
  <c r="I6" i="49"/>
  <c r="I89" i="49" s="1"/>
  <c r="H6" i="49"/>
  <c r="H89" i="49" s="1"/>
  <c r="G6" i="49"/>
  <c r="G80" i="49" s="1"/>
  <c r="F6" i="49"/>
  <c r="F89" i="49" s="1"/>
  <c r="E6" i="49"/>
  <c r="E45" i="49" s="1"/>
  <c r="E211" i="49" s="1"/>
  <c r="D6" i="49"/>
  <c r="D80" i="49" s="1"/>
  <c r="L5" i="49"/>
  <c r="L88" i="49" s="1"/>
  <c r="K5" i="49"/>
  <c r="K88" i="49" s="1"/>
  <c r="J5" i="49"/>
  <c r="J79" i="49" s="1"/>
  <c r="I5" i="49"/>
  <c r="I88" i="49" s="1"/>
  <c r="H5" i="49"/>
  <c r="H44" i="49" s="1"/>
  <c r="H210" i="49" s="1"/>
  <c r="G5" i="49"/>
  <c r="G44" i="49" s="1"/>
  <c r="G210" i="49" s="1"/>
  <c r="F5" i="49"/>
  <c r="F88" i="49" s="1"/>
  <c r="E5" i="49"/>
  <c r="E88" i="49" s="1"/>
  <c r="D5" i="49"/>
  <c r="D88" i="49" s="1"/>
  <c r="N4" i="49"/>
  <c r="N43" i="49" s="1"/>
  <c r="N209" i="49" s="1"/>
  <c r="N299" i="49" s="1"/>
  <c r="M4" i="49"/>
  <c r="M78" i="49" s="1"/>
  <c r="L4" i="49"/>
  <c r="L43" i="49" s="1"/>
  <c r="L209" i="49" s="1"/>
  <c r="L299" i="49" s="1"/>
  <c r="K4" i="49"/>
  <c r="K43" i="49" s="1"/>
  <c r="K209" i="49" s="1"/>
  <c r="K299" i="49" s="1"/>
  <c r="J4" i="49"/>
  <c r="J87" i="49" s="1"/>
  <c r="I4" i="49"/>
  <c r="I43" i="49" s="1"/>
  <c r="I209" i="49" s="1"/>
  <c r="I299" i="49" s="1"/>
  <c r="H4" i="49"/>
  <c r="H43" i="49" s="1"/>
  <c r="H209" i="49" s="1"/>
  <c r="H299" i="49" s="1"/>
  <c r="G4" i="49"/>
  <c r="G43" i="49" s="1"/>
  <c r="G209" i="49" s="1"/>
  <c r="G299" i="49" s="1"/>
  <c r="F4" i="49"/>
  <c r="F43" i="49" s="1"/>
  <c r="F209" i="49" s="1"/>
  <c r="F299" i="49" s="1"/>
  <c r="E4" i="49"/>
  <c r="E43" i="49" s="1"/>
  <c r="E209" i="49" s="1"/>
  <c r="E299" i="49" s="1"/>
  <c r="D4" i="49"/>
  <c r="D43" i="49" s="1"/>
  <c r="D209" i="49" s="1"/>
  <c r="D299" i="49" s="1"/>
  <c r="B165" i="48"/>
  <c r="D145" i="48" a="1"/>
  <c r="D145" i="48" s="1"/>
  <c r="D137" i="48" a="1"/>
  <c r="D137" i="48" s="1"/>
  <c r="L62" i="48"/>
  <c r="K62" i="48"/>
  <c r="J62" i="48"/>
  <c r="I62" i="48"/>
  <c r="H62" i="48"/>
  <c r="G62" i="48"/>
  <c r="F62" i="48"/>
  <c r="E62" i="48"/>
  <c r="D62" i="48"/>
  <c r="L61" i="48"/>
  <c r="K61" i="48"/>
  <c r="J61" i="48"/>
  <c r="I61" i="48"/>
  <c r="H61" i="48"/>
  <c r="G61" i="48"/>
  <c r="F61" i="48"/>
  <c r="E61" i="48"/>
  <c r="D61" i="48"/>
  <c r="N10" i="48"/>
  <c r="N80" i="48" s="1"/>
  <c r="M10" i="48"/>
  <c r="M80" i="48" s="1"/>
  <c r="L10" i="48"/>
  <c r="L21" i="48" s="1"/>
  <c r="L109" i="48" s="1"/>
  <c r="K10" i="48"/>
  <c r="J10" i="48"/>
  <c r="I10" i="48"/>
  <c r="H10" i="48"/>
  <c r="G10" i="48"/>
  <c r="F10" i="48"/>
  <c r="F15" i="48" s="1"/>
  <c r="F103" i="48" s="1"/>
  <c r="E10" i="48"/>
  <c r="D10" i="48"/>
  <c r="N9" i="48"/>
  <c r="N79" i="48" s="1"/>
  <c r="M9" i="48"/>
  <c r="M79" i="48" s="1"/>
  <c r="L9" i="48"/>
  <c r="L79" i="48" s="1"/>
  <c r="K9" i="48"/>
  <c r="K79" i="48" s="1"/>
  <c r="J9" i="48"/>
  <c r="J79" i="48" s="1"/>
  <c r="I9" i="48"/>
  <c r="I79" i="48" s="1"/>
  <c r="H9" i="48"/>
  <c r="H79" i="48" s="1"/>
  <c r="G9" i="48"/>
  <c r="G79" i="48" s="1"/>
  <c r="F9" i="48"/>
  <c r="F79" i="48" s="1"/>
  <c r="E9" i="48"/>
  <c r="E79" i="48" s="1"/>
  <c r="D9" i="48"/>
  <c r="D79" i="48" s="1"/>
  <c r="N8" i="48"/>
  <c r="N78" i="48" s="1"/>
  <c r="M8" i="48"/>
  <c r="M78" i="48" s="1"/>
  <c r="L8" i="48"/>
  <c r="L78" i="48" s="1"/>
  <c r="K8" i="48"/>
  <c r="K78" i="48" s="1"/>
  <c r="J8" i="48"/>
  <c r="J78" i="48" s="1"/>
  <c r="I8" i="48"/>
  <c r="I78" i="48" s="1"/>
  <c r="H8" i="48"/>
  <c r="H78" i="48" s="1"/>
  <c r="G8" i="48"/>
  <c r="G78" i="48" s="1"/>
  <c r="F8" i="48"/>
  <c r="F78" i="48" s="1"/>
  <c r="E8" i="48"/>
  <c r="E78" i="48" s="1"/>
  <c r="D8" i="48"/>
  <c r="D78" i="48" s="1"/>
  <c r="L7" i="48"/>
  <c r="L77" i="48" s="1"/>
  <c r="K7" i="48"/>
  <c r="K77" i="48" s="1"/>
  <c r="J7" i="48"/>
  <c r="J77" i="48" s="1"/>
  <c r="I7" i="48"/>
  <c r="I77" i="48" s="1"/>
  <c r="H7" i="48"/>
  <c r="H77" i="48" s="1"/>
  <c r="G7" i="48"/>
  <c r="G77" i="48" s="1"/>
  <c r="F7" i="48"/>
  <c r="F77" i="48" s="1"/>
  <c r="E7" i="48"/>
  <c r="E77" i="48" s="1"/>
  <c r="D7" i="48"/>
  <c r="D77" i="48" s="1"/>
  <c r="L6" i="48"/>
  <c r="L76" i="48" s="1"/>
  <c r="K6" i="48"/>
  <c r="K76" i="48" s="1"/>
  <c r="J6" i="48"/>
  <c r="J76" i="48" s="1"/>
  <c r="I6" i="48"/>
  <c r="I76" i="48" s="1"/>
  <c r="H6" i="48"/>
  <c r="H76" i="48" s="1"/>
  <c r="G6" i="48"/>
  <c r="G76" i="48" s="1"/>
  <c r="F6" i="48"/>
  <c r="F76" i="48" s="1"/>
  <c r="E6" i="48"/>
  <c r="E76" i="48" s="1"/>
  <c r="D6" i="48"/>
  <c r="D76" i="48" s="1"/>
  <c r="L5" i="48"/>
  <c r="L75" i="48" s="1"/>
  <c r="K5" i="48"/>
  <c r="K75" i="48" s="1"/>
  <c r="J5" i="48"/>
  <c r="J75" i="48" s="1"/>
  <c r="I5" i="48"/>
  <c r="I75" i="48" s="1"/>
  <c r="H5" i="48"/>
  <c r="H75" i="48" s="1"/>
  <c r="G5" i="48"/>
  <c r="G75" i="48" s="1"/>
  <c r="F5" i="48"/>
  <c r="F75" i="48" s="1"/>
  <c r="E5" i="48"/>
  <c r="E75" i="48" s="1"/>
  <c r="D5" i="48"/>
  <c r="D75" i="48" s="1"/>
  <c r="L4" i="48"/>
  <c r="L44" i="48" s="1"/>
  <c r="L188" i="48" s="1"/>
  <c r="L281" i="48" s="1"/>
  <c r="K4" i="48"/>
  <c r="K74" i="48" s="1"/>
  <c r="J4" i="48"/>
  <c r="J44" i="48" s="1"/>
  <c r="J188" i="48" s="1"/>
  <c r="J281" i="48" s="1"/>
  <c r="I4" i="48"/>
  <c r="I44" i="48" s="1"/>
  <c r="I188" i="48" s="1"/>
  <c r="I281" i="48" s="1"/>
  <c r="H4" i="48"/>
  <c r="H74" i="48" s="1"/>
  <c r="G4" i="48"/>
  <c r="G74" i="48" s="1"/>
  <c r="F4" i="48"/>
  <c r="F74" i="48" s="1"/>
  <c r="E4" i="48"/>
  <c r="E74" i="48" s="1"/>
  <c r="D4" i="48"/>
  <c r="D74" i="48" s="1"/>
  <c r="C74" i="47"/>
  <c r="C75" i="47"/>
  <c r="C76" i="47"/>
  <c r="C77" i="47"/>
  <c r="C78" i="47"/>
  <c r="C79" i="47"/>
  <c r="C80" i="47"/>
  <c r="C81" i="47"/>
  <c r="C82" i="47"/>
  <c r="C83" i="47"/>
  <c r="C84" i="47"/>
  <c r="C85" i="47"/>
  <c r="C86" i="47"/>
  <c r="C87" i="47"/>
  <c r="C88" i="47"/>
  <c r="C89" i="47"/>
  <c r="C90" i="47"/>
  <c r="C91" i="47"/>
  <c r="C92" i="47"/>
  <c r="C93" i="47"/>
  <c r="C94" i="47"/>
  <c r="C95" i="47"/>
  <c r="C96" i="47"/>
  <c r="C97" i="47"/>
  <c r="C98" i="47"/>
  <c r="C99" i="47"/>
  <c r="C100" i="47"/>
  <c r="C101" i="47"/>
  <c r="C102" i="47"/>
  <c r="C103" i="47"/>
  <c r="C104" i="47"/>
  <c r="C105" i="47"/>
  <c r="C106" i="47"/>
  <c r="C107" i="47"/>
  <c r="C108" i="47"/>
  <c r="C109" i="47"/>
  <c r="C110" i="47"/>
  <c r="C111" i="47"/>
  <c r="C112" i="47"/>
  <c r="C113" i="47"/>
  <c r="C114" i="47"/>
  <c r="C115" i="47"/>
  <c r="C116" i="47"/>
  <c r="C117" i="47"/>
  <c r="C118" i="47"/>
  <c r="C119" i="47"/>
  <c r="C120" i="47"/>
  <c r="C121" i="47"/>
  <c r="C122" i="47"/>
  <c r="C73" i="47"/>
  <c r="D74" i="47"/>
  <c r="D75" i="47" s="1"/>
  <c r="D76" i="47" s="1"/>
  <c r="D77" i="47" s="1"/>
  <c r="D78" i="47" s="1"/>
  <c r="D79" i="47" s="1"/>
  <c r="D80" i="47" s="1"/>
  <c r="D81" i="47" s="1"/>
  <c r="D82" i="47" s="1"/>
  <c r="D83" i="47" s="1"/>
  <c r="D84" i="47" s="1"/>
  <c r="D85" i="47" s="1"/>
  <c r="D86" i="47" s="1"/>
  <c r="D87" i="47" s="1"/>
  <c r="D88" i="47" s="1"/>
  <c r="D89" i="47" s="1"/>
  <c r="D90" i="47" s="1"/>
  <c r="D91" i="47" s="1"/>
  <c r="D92" i="47" s="1"/>
  <c r="D93" i="47" s="1"/>
  <c r="D94" i="47" s="1"/>
  <c r="D95" i="47" s="1"/>
  <c r="D96" i="47" s="1"/>
  <c r="D97" i="47" s="1"/>
  <c r="D98" i="47" s="1"/>
  <c r="D99" i="47" s="1"/>
  <c r="D100" i="47" s="1"/>
  <c r="D101" i="47" s="1"/>
  <c r="D102" i="47" s="1"/>
  <c r="D103" i="47" s="1"/>
  <c r="D104" i="47" s="1"/>
  <c r="D105" i="47" s="1"/>
  <c r="D106" i="47" s="1"/>
  <c r="D107" i="47" s="1"/>
  <c r="D108" i="47" s="1"/>
  <c r="D109" i="47" s="1"/>
  <c r="D110" i="47" s="1"/>
  <c r="D111" i="47" s="1"/>
  <c r="D112" i="47" s="1"/>
  <c r="D113" i="47" s="1"/>
  <c r="D114" i="47" s="1"/>
  <c r="D115" i="47" s="1"/>
  <c r="D116" i="47" s="1"/>
  <c r="D117" i="47" s="1"/>
  <c r="D118" i="47" s="1"/>
  <c r="D119" i="47" s="1"/>
  <c r="D120" i="47" s="1"/>
  <c r="D121" i="47" s="1"/>
  <c r="D122" i="47" s="1"/>
  <c r="D73" i="47"/>
  <c r="D21" i="48" l="1"/>
  <c r="D109" i="48" s="1"/>
  <c r="E18" i="48"/>
  <c r="E106" i="48" s="1"/>
  <c r="G20" i="48"/>
  <c r="G108" i="48" s="1"/>
  <c r="H18" i="48"/>
  <c r="H106" i="48" s="1"/>
  <c r="H179" i="48" s="1"/>
  <c r="J20" i="48"/>
  <c r="J108" i="48" s="1"/>
  <c r="J181" i="48" s="1"/>
  <c r="K16" i="48"/>
  <c r="K104" i="48" s="1"/>
  <c r="K177" i="48" s="1"/>
  <c r="I14" i="48"/>
  <c r="I102" i="48" s="1"/>
  <c r="E60" i="49"/>
  <c r="E177" i="49"/>
  <c r="E287" i="49" s="1"/>
  <c r="M60" i="49"/>
  <c r="M177" i="49"/>
  <c r="M287" i="49" s="1"/>
  <c r="H60" i="49"/>
  <c r="H177" i="49"/>
  <c r="H287" i="49" s="1"/>
  <c r="D60" i="49"/>
  <c r="D177" i="49"/>
  <c r="D287" i="49" s="1"/>
  <c r="N60" i="49"/>
  <c r="N177" i="49"/>
  <c r="N287" i="49" s="1"/>
  <c r="G60" i="49"/>
  <c r="G177" i="49"/>
  <c r="G287" i="49" s="1"/>
  <c r="I60" i="49"/>
  <c r="I177" i="49"/>
  <c r="I287" i="49" s="1"/>
  <c r="J60" i="49"/>
  <c r="J177" i="49"/>
  <c r="J287" i="49" s="1"/>
  <c r="L60" i="49"/>
  <c r="L177" i="49"/>
  <c r="L287" i="49" s="1"/>
  <c r="F60" i="49"/>
  <c r="F177" i="49"/>
  <c r="F287" i="49" s="1"/>
  <c r="K60" i="49"/>
  <c r="K177" i="49"/>
  <c r="K287" i="49" s="1"/>
  <c r="G16" i="50"/>
  <c r="G48" i="50"/>
  <c r="G96" i="50" s="1"/>
  <c r="I15" i="50"/>
  <c r="I47" i="50"/>
  <c r="H16" i="50"/>
  <c r="H48" i="50"/>
  <c r="H96" i="50" s="1"/>
  <c r="K28" i="50"/>
  <c r="K39" i="50" s="1"/>
  <c r="J15" i="50"/>
  <c r="J47" i="50"/>
  <c r="K15" i="50"/>
  <c r="K47" i="50"/>
  <c r="J16" i="50"/>
  <c r="J48" i="50"/>
  <c r="J96" i="50" s="1"/>
  <c r="K27" i="50"/>
  <c r="K38" i="50" s="1"/>
  <c r="H15" i="50"/>
  <c r="H47" i="50"/>
  <c r="I28" i="50"/>
  <c r="I39" i="50" s="1"/>
  <c r="D15" i="50"/>
  <c r="D47" i="50"/>
  <c r="L15" i="50"/>
  <c r="L47" i="50"/>
  <c r="K16" i="50"/>
  <c r="K48" i="50"/>
  <c r="K96" i="50" s="1"/>
  <c r="J27" i="50"/>
  <c r="J38" i="50" s="1"/>
  <c r="I16" i="50"/>
  <c r="I48" i="50"/>
  <c r="I96" i="50" s="1"/>
  <c r="E15" i="50"/>
  <c r="E47" i="50"/>
  <c r="D16" i="50"/>
  <c r="D48" i="50"/>
  <c r="D96" i="50" s="1"/>
  <c r="L16" i="50"/>
  <c r="L17" i="50" s="1"/>
  <c r="L35" i="50" s="1"/>
  <c r="L48" i="50"/>
  <c r="L96" i="50" s="1"/>
  <c r="L26" i="50"/>
  <c r="L37" i="50" s="1"/>
  <c r="K26" i="50"/>
  <c r="K29" i="50" s="1"/>
  <c r="F15" i="50"/>
  <c r="F47" i="50"/>
  <c r="E16" i="50"/>
  <c r="E48" i="50"/>
  <c r="E96" i="50" s="1"/>
  <c r="G15" i="50"/>
  <c r="G47" i="50"/>
  <c r="F16" i="50"/>
  <c r="F48" i="50"/>
  <c r="F96" i="50" s="1"/>
  <c r="D27" i="50"/>
  <c r="D38" i="50" s="1"/>
  <c r="E26" i="50"/>
  <c r="E30" i="50" s="1"/>
  <c r="E37" i="50"/>
  <c r="E29" i="50"/>
  <c r="K30" i="50"/>
  <c r="K37" i="50"/>
  <c r="L30" i="50"/>
  <c r="L29" i="50"/>
  <c r="L31" i="50" s="1"/>
  <c r="F176" i="48"/>
  <c r="G181" i="48"/>
  <c r="I175" i="48"/>
  <c r="I255" i="48" s="1"/>
  <c r="D182" i="48"/>
  <c r="L182" i="48"/>
  <c r="E179" i="48"/>
  <c r="H28" i="50"/>
  <c r="H39" i="50" s="1"/>
  <c r="F28" i="50"/>
  <c r="F39" i="50" s="1"/>
  <c r="H27" i="50"/>
  <c r="H38" i="50" s="1"/>
  <c r="J26" i="50"/>
  <c r="I27" i="50"/>
  <c r="I38" i="50" s="1"/>
  <c r="E28" i="50"/>
  <c r="E39" i="50" s="1"/>
  <c r="G27" i="50"/>
  <c r="G38" i="50" s="1"/>
  <c r="I26" i="50"/>
  <c r="G28" i="50"/>
  <c r="G39" i="50" s="1"/>
  <c r="L28" i="50"/>
  <c r="L39" i="50" s="1"/>
  <c r="F27" i="50"/>
  <c r="F38" i="50" s="1"/>
  <c r="H26" i="50"/>
  <c r="E27" i="50"/>
  <c r="E38" i="50" s="1"/>
  <c r="G26" i="50"/>
  <c r="J28" i="50"/>
  <c r="J39" i="50" s="1"/>
  <c r="L27" i="50"/>
  <c r="L38" i="50" s="1"/>
  <c r="F26" i="50"/>
  <c r="I23" i="50"/>
  <c r="F22" i="50"/>
  <c r="E23" i="50"/>
  <c r="D26" i="50"/>
  <c r="G23" i="50"/>
  <c r="I17" i="50"/>
  <c r="I35" i="50" s="1"/>
  <c r="L20" i="50"/>
  <c r="E22" i="50"/>
  <c r="J20" i="50"/>
  <c r="L19" i="50"/>
  <c r="D20" i="50"/>
  <c r="K19" i="50"/>
  <c r="F19" i="50"/>
  <c r="L22" i="50"/>
  <c r="K17" i="50"/>
  <c r="K35" i="50" s="1"/>
  <c r="H17" i="50"/>
  <c r="H35" i="50" s="1"/>
  <c r="J23" i="50"/>
  <c r="E17" i="50"/>
  <c r="E35" i="50" s="1"/>
  <c r="I22" i="50"/>
  <c r="G17" i="50"/>
  <c r="G35" i="50" s="1"/>
  <c r="G22" i="50"/>
  <c r="H23" i="50"/>
  <c r="H20" i="50"/>
  <c r="G20" i="50"/>
  <c r="I19" i="50"/>
  <c r="D17" i="50"/>
  <c r="D35" i="50" s="1"/>
  <c r="F20" i="50"/>
  <c r="H19" i="50"/>
  <c r="I20" i="50"/>
  <c r="J19" i="50"/>
  <c r="D19" i="50"/>
  <c r="E20" i="50"/>
  <c r="G19" i="50"/>
  <c r="K20" i="50"/>
  <c r="E19" i="50"/>
  <c r="K11" i="50"/>
  <c r="E13" i="50"/>
  <c r="D12" i="50"/>
  <c r="D34" i="50" s="1"/>
  <c r="I11" i="50"/>
  <c r="I33" i="50" s="1"/>
  <c r="G12" i="50"/>
  <c r="G34" i="50" s="1"/>
  <c r="H13" i="50"/>
  <c r="H12" i="50"/>
  <c r="H34" i="50" s="1"/>
  <c r="J11" i="50"/>
  <c r="J33" i="50" s="1"/>
  <c r="E12" i="50"/>
  <c r="E34" i="50" s="1"/>
  <c r="L12" i="50"/>
  <c r="L34" i="50" s="1"/>
  <c r="F11" i="50"/>
  <c r="L102" i="49"/>
  <c r="J100" i="49"/>
  <c r="K93" i="49"/>
  <c r="F84" i="49"/>
  <c r="G103" i="49" s="1"/>
  <c r="I83" i="49"/>
  <c r="J102" i="49" s="1"/>
  <c r="D79" i="49"/>
  <c r="L81" i="49"/>
  <c r="L100" i="49" s="1"/>
  <c r="I87" i="49"/>
  <c r="I91" i="49"/>
  <c r="I84" i="49"/>
  <c r="J103" i="49" s="1"/>
  <c r="G81" i="49"/>
  <c r="G100" i="49" s="1"/>
  <c r="H87" i="49"/>
  <c r="H91" i="49"/>
  <c r="H83" i="49"/>
  <c r="F80" i="49"/>
  <c r="G99" i="49" s="1"/>
  <c r="N92" i="49"/>
  <c r="D90" i="49"/>
  <c r="J93" i="49"/>
  <c r="K82" i="49"/>
  <c r="I79" i="49"/>
  <c r="J98" i="49" s="1"/>
  <c r="M92" i="49"/>
  <c r="G89" i="49"/>
  <c r="K90" i="49"/>
  <c r="J82" i="49"/>
  <c r="K78" i="49"/>
  <c r="F92" i="49"/>
  <c r="E81" i="49"/>
  <c r="E100" i="49" s="1"/>
  <c r="M81" i="49"/>
  <c r="J78" i="49"/>
  <c r="E92" i="49"/>
  <c r="K100" i="49"/>
  <c r="E102" i="49"/>
  <c r="M102" i="49"/>
  <c r="I100" i="49"/>
  <c r="N102" i="49"/>
  <c r="K103" i="49"/>
  <c r="K102" i="49"/>
  <c r="H103" i="49"/>
  <c r="H79" i="49"/>
  <c r="D78" i="49"/>
  <c r="E84" i="49"/>
  <c r="G83" i="49"/>
  <c r="I82" i="49"/>
  <c r="E80" i="49"/>
  <c r="E99" i="49" s="1"/>
  <c r="G79" i="49"/>
  <c r="I78" i="49"/>
  <c r="G87" i="49"/>
  <c r="L92" i="49"/>
  <c r="D92" i="49"/>
  <c r="G91" i="49"/>
  <c r="J90" i="49"/>
  <c r="E89" i="49"/>
  <c r="H88" i="49"/>
  <c r="J88" i="49"/>
  <c r="D84" i="49"/>
  <c r="L84" i="49"/>
  <c r="L103" i="49" s="1"/>
  <c r="F83" i="49"/>
  <c r="F102" i="49" s="1"/>
  <c r="H82" i="49"/>
  <c r="L80" i="49"/>
  <c r="F79" i="49"/>
  <c r="H78" i="49"/>
  <c r="N87" i="49"/>
  <c r="F87" i="49"/>
  <c r="H93" i="49"/>
  <c r="K92" i="49"/>
  <c r="N91" i="49"/>
  <c r="F91" i="49"/>
  <c r="I90" i="49"/>
  <c r="D89" i="49"/>
  <c r="G88" i="49"/>
  <c r="G82" i="49"/>
  <c r="K80" i="49"/>
  <c r="E79" i="49"/>
  <c r="G78" i="49"/>
  <c r="M87" i="49"/>
  <c r="E87" i="49"/>
  <c r="G93" i="49"/>
  <c r="J92" i="49"/>
  <c r="M91" i="49"/>
  <c r="E91" i="49"/>
  <c r="H90" i="49"/>
  <c r="D82" i="49"/>
  <c r="N82" i="49"/>
  <c r="F82" i="49"/>
  <c r="J80" i="49"/>
  <c r="L79" i="49"/>
  <c r="N78" i="49"/>
  <c r="F78" i="49"/>
  <c r="L87" i="49"/>
  <c r="L91" i="49"/>
  <c r="D91" i="49"/>
  <c r="M82" i="49"/>
  <c r="E82" i="49"/>
  <c r="I80" i="49"/>
  <c r="K79" i="49"/>
  <c r="K98" i="49" s="1"/>
  <c r="E78" i="49"/>
  <c r="K87" i="49"/>
  <c r="K91" i="49"/>
  <c r="N90" i="49"/>
  <c r="F90" i="49"/>
  <c r="L82" i="49"/>
  <c r="H80" i="49"/>
  <c r="H99" i="49" s="1"/>
  <c r="L78" i="49"/>
  <c r="D87" i="49"/>
  <c r="G92" i="49"/>
  <c r="J91" i="49"/>
  <c r="L8" i="50"/>
  <c r="N8" i="50" s="1"/>
  <c r="N3" i="50" s="1"/>
  <c r="J11" i="49"/>
  <c r="H11" i="49"/>
  <c r="K44" i="49"/>
  <c r="H45" i="49"/>
  <c r="I11" i="49"/>
  <c r="J43" i="49"/>
  <c r="J209" i="49" s="1"/>
  <c r="J299" i="49" s="1"/>
  <c r="H50" i="49"/>
  <c r="H231" i="49" s="1"/>
  <c r="D44" i="49"/>
  <c r="L44" i="49"/>
  <c r="I45" i="49"/>
  <c r="H47" i="49"/>
  <c r="H213" i="49" s="1"/>
  <c r="H297" i="49" s="1"/>
  <c r="M43" i="49"/>
  <c r="M209" i="49" s="1"/>
  <c r="M299" i="49" s="1"/>
  <c r="E51" i="49"/>
  <c r="E232" i="49" s="1"/>
  <c r="E44" i="49"/>
  <c r="M5" i="49"/>
  <c r="J45" i="49"/>
  <c r="K11" i="49"/>
  <c r="F44" i="49"/>
  <c r="K45" i="49"/>
  <c r="J47" i="49"/>
  <c r="D11" i="49"/>
  <c r="L11" i="49"/>
  <c r="J44" i="49"/>
  <c r="I47" i="49"/>
  <c r="I213" i="49" s="1"/>
  <c r="I297" i="49" s="1"/>
  <c r="G50" i="49"/>
  <c r="G231" i="49" s="1"/>
  <c r="K47" i="49"/>
  <c r="E11" i="49"/>
  <c r="L14" i="49"/>
  <c r="D45" i="49"/>
  <c r="N47" i="49"/>
  <c r="N213" i="49" s="1"/>
  <c r="N297" i="49" s="1"/>
  <c r="G53" i="49"/>
  <c r="G234" i="49" s="1"/>
  <c r="G253" i="49" s="1"/>
  <c r="M6" i="49"/>
  <c r="D47" i="49"/>
  <c r="D213" i="49" s="1"/>
  <c r="D297" i="49" s="1"/>
  <c r="L47" i="49"/>
  <c r="L213" i="49" s="1"/>
  <c r="L297" i="49" s="1"/>
  <c r="F11" i="49"/>
  <c r="G45" i="49"/>
  <c r="F53" i="49"/>
  <c r="F234" i="49" s="1"/>
  <c r="F253" i="49" s="1"/>
  <c r="I44" i="49"/>
  <c r="I210" i="49" s="1"/>
  <c r="F45" i="49"/>
  <c r="E47" i="49"/>
  <c r="E213" i="49" s="1"/>
  <c r="E297" i="49" s="1"/>
  <c r="M47" i="49"/>
  <c r="M213" i="49" s="1"/>
  <c r="M297" i="49" s="1"/>
  <c r="G11" i="49"/>
  <c r="L45" i="49"/>
  <c r="H85" i="48"/>
  <c r="L87" i="48"/>
  <c r="H118" i="48"/>
  <c r="F115" i="48"/>
  <c r="F86" i="48"/>
  <c r="K116" i="48"/>
  <c r="E118" i="48"/>
  <c r="H89" i="48"/>
  <c r="D121" i="48"/>
  <c r="L121" i="48"/>
  <c r="J88" i="48"/>
  <c r="I114" i="48"/>
  <c r="L83" i="48"/>
  <c r="D89" i="48"/>
  <c r="G89" i="48"/>
  <c r="I88" i="48"/>
  <c r="K87" i="48"/>
  <c r="E86" i="48"/>
  <c r="G85" i="48"/>
  <c r="I84" i="48"/>
  <c r="K83" i="48"/>
  <c r="D88" i="48"/>
  <c r="N89" i="48"/>
  <c r="F89" i="48"/>
  <c r="H88" i="48"/>
  <c r="J87" i="48"/>
  <c r="L86" i="48"/>
  <c r="F85" i="48"/>
  <c r="H84" i="48"/>
  <c r="J83" i="48"/>
  <c r="J84" i="48"/>
  <c r="D87" i="48"/>
  <c r="M89" i="48"/>
  <c r="E89" i="48"/>
  <c r="G88" i="48"/>
  <c r="I87" i="48"/>
  <c r="K86" i="48"/>
  <c r="E85" i="48"/>
  <c r="G84" i="48"/>
  <c r="I83" i="48"/>
  <c r="D86" i="48"/>
  <c r="L89" i="48"/>
  <c r="N88" i="48"/>
  <c r="F88" i="48"/>
  <c r="H87" i="48"/>
  <c r="J86" i="48"/>
  <c r="L85" i="48"/>
  <c r="F84" i="48"/>
  <c r="H83" i="48"/>
  <c r="D83" i="48"/>
  <c r="D85" i="48"/>
  <c r="K89" i="48"/>
  <c r="M88" i="48"/>
  <c r="E88" i="48"/>
  <c r="G87" i="48"/>
  <c r="I86" i="48"/>
  <c r="K85" i="48"/>
  <c r="E84" i="48"/>
  <c r="G83" i="48"/>
  <c r="D84" i="48"/>
  <c r="J89" i="48"/>
  <c r="L88" i="48"/>
  <c r="N87" i="48"/>
  <c r="F87" i="48"/>
  <c r="H86" i="48"/>
  <c r="J85" i="48"/>
  <c r="L84" i="48"/>
  <c r="F83" i="48"/>
  <c r="I89" i="48"/>
  <c r="K88" i="48"/>
  <c r="M87" i="48"/>
  <c r="E87" i="48"/>
  <c r="G86" i="48"/>
  <c r="I85" i="48"/>
  <c r="K84" i="48"/>
  <c r="E83" i="48"/>
  <c r="F97" i="48"/>
  <c r="N97" i="48"/>
  <c r="J96" i="48"/>
  <c r="H94" i="48"/>
  <c r="G95" i="48"/>
  <c r="F96" i="48"/>
  <c r="M97" i="48"/>
  <c r="J98" i="48"/>
  <c r="E95" i="48"/>
  <c r="J80" i="48"/>
  <c r="L96" i="48"/>
  <c r="G97" i="48"/>
  <c r="M98" i="48"/>
  <c r="E98" i="48"/>
  <c r="G96" i="48"/>
  <c r="H97" i="48"/>
  <c r="H95" i="48"/>
  <c r="I80" i="48"/>
  <c r="E97" i="48"/>
  <c r="K98" i="48"/>
  <c r="I96" i="48"/>
  <c r="F94" i="48"/>
  <c r="K97" i="48"/>
  <c r="H98" i="48"/>
  <c r="I94" i="48"/>
  <c r="K95" i="48"/>
  <c r="F98" i="48"/>
  <c r="H93" i="48"/>
  <c r="J94" i="48"/>
  <c r="K94" i="48"/>
  <c r="L94" i="48"/>
  <c r="N98" i="48"/>
  <c r="E93" i="48"/>
  <c r="I97" i="48"/>
  <c r="F93" i="48"/>
  <c r="L95" i="48"/>
  <c r="K96" i="48"/>
  <c r="J97" i="48"/>
  <c r="G98" i="48"/>
  <c r="H96" i="48"/>
  <c r="I95" i="48"/>
  <c r="J95" i="48"/>
  <c r="G94" i="48"/>
  <c r="F95" i="48"/>
  <c r="E96" i="48"/>
  <c r="L97" i="48"/>
  <c r="I98" i="48"/>
  <c r="N99" i="48"/>
  <c r="L98" i="48"/>
  <c r="E94" i="48"/>
  <c r="G93" i="48"/>
  <c r="K80" i="48"/>
  <c r="H80" i="48"/>
  <c r="H81" i="48" s="1"/>
  <c r="H157" i="48" s="1"/>
  <c r="L74" i="48"/>
  <c r="G80" i="48"/>
  <c r="G81" i="48" s="1"/>
  <c r="G157" i="48" s="1"/>
  <c r="F80" i="48"/>
  <c r="J74" i="48"/>
  <c r="E80" i="48"/>
  <c r="E81" i="48" s="1"/>
  <c r="E157" i="48" s="1"/>
  <c r="I74" i="48"/>
  <c r="D80" i="48"/>
  <c r="D81" i="48" s="1"/>
  <c r="D157" i="48" s="1"/>
  <c r="L80" i="48"/>
  <c r="M5" i="48"/>
  <c r="M6" i="48"/>
  <c r="M85" i="48" s="1"/>
  <c r="M21" i="48"/>
  <c r="D14" i="48"/>
  <c r="F63" i="48"/>
  <c r="F65" i="48" s="1"/>
  <c r="H20" i="48"/>
  <c r="J14" i="48"/>
  <c r="E21" i="48"/>
  <c r="I17" i="48"/>
  <c r="G21" i="48"/>
  <c r="E15" i="48"/>
  <c r="K17" i="48"/>
  <c r="E11" i="48"/>
  <c r="G15" i="48"/>
  <c r="F18" i="48"/>
  <c r="G11" i="48"/>
  <c r="I15" i="48"/>
  <c r="D16" i="48"/>
  <c r="E19" i="48"/>
  <c r="F16" i="48"/>
  <c r="K19" i="48"/>
  <c r="M7" i="48"/>
  <c r="J11" i="48"/>
  <c r="J63" i="48"/>
  <c r="J65" i="48" s="1"/>
  <c r="L11" i="48"/>
  <c r="L63" i="48"/>
  <c r="L65" i="48" s="1"/>
  <c r="M4" i="48"/>
  <c r="H17" i="48"/>
  <c r="H14" i="48"/>
  <c r="H19" i="48"/>
  <c r="H16" i="48"/>
  <c r="H21" i="48"/>
  <c r="H15" i="48"/>
  <c r="K11" i="48"/>
  <c r="D11" i="48"/>
  <c r="D63" i="48"/>
  <c r="D65" i="48" s="1"/>
  <c r="E63" i="48"/>
  <c r="E64" i="48" s="1"/>
  <c r="E66" i="48" s="1"/>
  <c r="E44" i="48"/>
  <c r="E188" i="48" s="1"/>
  <c r="E281" i="48" s="1"/>
  <c r="D44" i="48"/>
  <c r="D188" i="48" s="1"/>
  <c r="D281" i="48" s="1"/>
  <c r="G44" i="48"/>
  <c r="G188" i="48" s="1"/>
  <c r="G281" i="48" s="1"/>
  <c r="G63" i="48"/>
  <c r="G65" i="48" s="1"/>
  <c r="H44" i="48"/>
  <c r="H188" i="48" s="1"/>
  <c r="H281" i="48" s="1"/>
  <c r="H11" i="48"/>
  <c r="H63" i="48"/>
  <c r="H65" i="48" s="1"/>
  <c r="F44" i="48"/>
  <c r="F188" i="48" s="1"/>
  <c r="F281" i="48" s="1"/>
  <c r="F11" i="48"/>
  <c r="N5" i="48"/>
  <c r="J19" i="48"/>
  <c r="J16" i="48"/>
  <c r="J21" i="48"/>
  <c r="J18" i="48"/>
  <c r="J15" i="48"/>
  <c r="J17" i="48"/>
  <c r="K14" i="48"/>
  <c r="E16" i="48"/>
  <c r="G18" i="48"/>
  <c r="D19" i="48"/>
  <c r="I20" i="48"/>
  <c r="F21" i="48"/>
  <c r="K44" i="48"/>
  <c r="K188" i="48" s="1"/>
  <c r="K281" i="48" s="1"/>
  <c r="E14" i="48"/>
  <c r="G16" i="48"/>
  <c r="D17" i="48"/>
  <c r="L17" i="48"/>
  <c r="I18" i="48"/>
  <c r="F19" i="48"/>
  <c r="K20" i="48"/>
  <c r="I63" i="48"/>
  <c r="I64" i="48" s="1"/>
  <c r="I66" i="48" s="1"/>
  <c r="I11" i="48"/>
  <c r="F14" i="48"/>
  <c r="K15" i="48"/>
  <c r="E17" i="48"/>
  <c r="G19" i="48"/>
  <c r="D20" i="48"/>
  <c r="I21" i="48"/>
  <c r="G14" i="48"/>
  <c r="D15" i="48"/>
  <c r="I16" i="48"/>
  <c r="F17" i="48"/>
  <c r="K18" i="48"/>
  <c r="E20" i="48"/>
  <c r="K63" i="48"/>
  <c r="K64" i="48" s="1"/>
  <c r="K66" i="48" s="1"/>
  <c r="G17" i="48"/>
  <c r="D18" i="48"/>
  <c r="I19" i="48"/>
  <c r="F20" i="48"/>
  <c r="K21" i="48"/>
  <c r="D3" i="47"/>
  <c r="D4" i="47"/>
  <c r="D5" i="47"/>
  <c r="D6" i="47"/>
  <c r="D7" i="47"/>
  <c r="D8" i="47"/>
  <c r="D9" i="47"/>
  <c r="D10" i="47"/>
  <c r="D11" i="47"/>
  <c r="D12" i="47"/>
  <c r="D13" i="47"/>
  <c r="D14" i="47"/>
  <c r="D15" i="47"/>
  <c r="D16" i="47"/>
  <c r="D17" i="47"/>
  <c r="D18" i="47"/>
  <c r="D19" i="47"/>
  <c r="D20" i="47"/>
  <c r="D21" i="47"/>
  <c r="D22" i="47"/>
  <c r="D23" i="47"/>
  <c r="D24" i="47"/>
  <c r="D25" i="47"/>
  <c r="D26" i="47"/>
  <c r="D27" i="47"/>
  <c r="D28" i="47"/>
  <c r="D29" i="47"/>
  <c r="D30" i="47"/>
  <c r="D31" i="47"/>
  <c r="D32" i="47"/>
  <c r="D33" i="47"/>
  <c r="D34" i="47"/>
  <c r="D35" i="47"/>
  <c r="D36" i="47"/>
  <c r="D37" i="47"/>
  <c r="D38" i="47"/>
  <c r="D39" i="47"/>
  <c r="D40" i="47"/>
  <c r="D41" i="47"/>
  <c r="D42" i="47"/>
  <c r="D43" i="47"/>
  <c r="D44" i="47"/>
  <c r="D45" i="47"/>
  <c r="D46" i="47"/>
  <c r="D47" i="47"/>
  <c r="D48" i="47"/>
  <c r="D49" i="47"/>
  <c r="D50" i="47"/>
  <c r="D51" i="47"/>
  <c r="D52" i="47"/>
  <c r="D53" i="47"/>
  <c r="D54" i="47"/>
  <c r="D55" i="47"/>
  <c r="D56" i="47"/>
  <c r="D57" i="47"/>
  <c r="D58" i="47"/>
  <c r="D59" i="47"/>
  <c r="D60" i="47"/>
  <c r="D61" i="47"/>
  <c r="D62" i="47"/>
  <c r="D63" i="47"/>
  <c r="D64" i="47"/>
  <c r="D65" i="47"/>
  <c r="D66" i="47"/>
  <c r="D67" i="47"/>
  <c r="D68" i="47"/>
  <c r="D69" i="47"/>
  <c r="D70" i="47"/>
  <c r="D71" i="47"/>
  <c r="D72" i="47"/>
  <c r="D2" i="47"/>
  <c r="C3" i="47"/>
  <c r="C4" i="47"/>
  <c r="C5" i="47"/>
  <c r="C6" i="47"/>
  <c r="C7" i="47"/>
  <c r="C8" i="47"/>
  <c r="C9" i="47"/>
  <c r="C10" i="47"/>
  <c r="C11" i="47"/>
  <c r="C12" i="47"/>
  <c r="C13" i="47"/>
  <c r="C14" i="47"/>
  <c r="C15" i="47"/>
  <c r="C16" i="47"/>
  <c r="C17" i="47"/>
  <c r="C18" i="47"/>
  <c r="C19" i="47"/>
  <c r="C20" i="47"/>
  <c r="C21" i="47"/>
  <c r="C22" i="47"/>
  <c r="C23" i="47"/>
  <c r="C24" i="47"/>
  <c r="C25" i="47"/>
  <c r="C26" i="47"/>
  <c r="C27" i="47"/>
  <c r="C28" i="47"/>
  <c r="C29" i="47"/>
  <c r="C30" i="47"/>
  <c r="C31" i="47"/>
  <c r="C32" i="47"/>
  <c r="C33" i="47"/>
  <c r="C34" i="47"/>
  <c r="C35" i="47"/>
  <c r="C36" i="47"/>
  <c r="C37" i="47"/>
  <c r="C38" i="47"/>
  <c r="C39" i="47"/>
  <c r="C40" i="47"/>
  <c r="C41" i="47"/>
  <c r="C42" i="47"/>
  <c r="C43" i="47"/>
  <c r="C44" i="47"/>
  <c r="C45" i="47"/>
  <c r="C46" i="47"/>
  <c r="C47" i="47"/>
  <c r="C48" i="47"/>
  <c r="C49" i="47"/>
  <c r="C50" i="47"/>
  <c r="C51" i="47"/>
  <c r="C52" i="47"/>
  <c r="C53" i="47"/>
  <c r="C54" i="47"/>
  <c r="C55" i="47"/>
  <c r="C56" i="47"/>
  <c r="C57" i="47"/>
  <c r="C58" i="47"/>
  <c r="C59" i="47"/>
  <c r="C60" i="47"/>
  <c r="C61" i="47"/>
  <c r="C62" i="47"/>
  <c r="C63" i="47"/>
  <c r="C64" i="47"/>
  <c r="C65" i="47"/>
  <c r="C66" i="47"/>
  <c r="C67" i="47"/>
  <c r="C68" i="47"/>
  <c r="C69" i="47"/>
  <c r="C70" i="47"/>
  <c r="C71" i="47"/>
  <c r="C72" i="47"/>
  <c r="C2" i="47"/>
  <c r="B3" i="47"/>
  <c r="B4" i="47"/>
  <c r="B5" i="47"/>
  <c r="B6" i="47"/>
  <c r="B7" i="47"/>
  <c r="B8" i="47"/>
  <c r="B9" i="47"/>
  <c r="B10" i="47"/>
  <c r="B11" i="47"/>
  <c r="B12" i="47"/>
  <c r="B13" i="47"/>
  <c r="B14" i="47"/>
  <c r="B15" i="47"/>
  <c r="B16" i="47"/>
  <c r="B17" i="47"/>
  <c r="B18" i="47"/>
  <c r="B19" i="47"/>
  <c r="B20" i="47"/>
  <c r="B21" i="47"/>
  <c r="B22" i="47"/>
  <c r="B23" i="47"/>
  <c r="B24" i="47"/>
  <c r="B25" i="47"/>
  <c r="B26" i="47"/>
  <c r="B27" i="47"/>
  <c r="B28" i="47"/>
  <c r="B29" i="47"/>
  <c r="B30" i="47"/>
  <c r="B31" i="47"/>
  <c r="B32" i="47"/>
  <c r="B33" i="47"/>
  <c r="B34" i="47"/>
  <c r="B35" i="47"/>
  <c r="B36" i="47"/>
  <c r="B37" i="47"/>
  <c r="B38" i="47"/>
  <c r="B39" i="47"/>
  <c r="B40" i="47"/>
  <c r="B41" i="47"/>
  <c r="B42" i="47"/>
  <c r="B43" i="47"/>
  <c r="B44" i="47"/>
  <c r="B45" i="47"/>
  <c r="B46" i="47"/>
  <c r="B47" i="47"/>
  <c r="B48" i="47"/>
  <c r="B49" i="47"/>
  <c r="B50" i="47"/>
  <c r="B51" i="47"/>
  <c r="B52" i="47"/>
  <c r="B53" i="47"/>
  <c r="B54" i="47"/>
  <c r="B55" i="47"/>
  <c r="B56" i="47"/>
  <c r="B57" i="47"/>
  <c r="B58" i="47"/>
  <c r="B59" i="47"/>
  <c r="B60" i="47"/>
  <c r="B61" i="47"/>
  <c r="B62" i="47"/>
  <c r="B63" i="47"/>
  <c r="B64" i="47"/>
  <c r="B65" i="47"/>
  <c r="B66" i="47"/>
  <c r="B67" i="47"/>
  <c r="B68" i="47"/>
  <c r="B69" i="47"/>
  <c r="B70" i="47"/>
  <c r="B71" i="47"/>
  <c r="B72" i="47"/>
  <c r="B73" i="47"/>
  <c r="B74" i="47"/>
  <c r="B75" i="47"/>
  <c r="B76" i="47"/>
  <c r="B77" i="47"/>
  <c r="B78" i="47"/>
  <c r="B79" i="47"/>
  <c r="B80" i="47"/>
  <c r="B81" i="47"/>
  <c r="B82" i="47"/>
  <c r="B83" i="47"/>
  <c r="B84" i="47"/>
  <c r="B85" i="47"/>
  <c r="B86" i="47"/>
  <c r="B87" i="47"/>
  <c r="B88" i="47"/>
  <c r="B89" i="47"/>
  <c r="B90" i="47"/>
  <c r="B91" i="47"/>
  <c r="B92" i="47"/>
  <c r="B93" i="47"/>
  <c r="B94" i="47"/>
  <c r="B95" i="47"/>
  <c r="B96" i="47"/>
  <c r="B97" i="47"/>
  <c r="B98" i="47"/>
  <c r="B99" i="47"/>
  <c r="B100" i="47"/>
  <c r="B101" i="47"/>
  <c r="B102" i="47"/>
  <c r="B103" i="47"/>
  <c r="B104" i="47"/>
  <c r="B105" i="47"/>
  <c r="B106" i="47"/>
  <c r="B107" i="47"/>
  <c r="B108" i="47"/>
  <c r="B109" i="47"/>
  <c r="B110" i="47"/>
  <c r="B111" i="47"/>
  <c r="B112" i="47"/>
  <c r="B113" i="47"/>
  <c r="B114" i="47"/>
  <c r="B115" i="47"/>
  <c r="B116" i="47"/>
  <c r="B117" i="47"/>
  <c r="B118" i="47"/>
  <c r="B119" i="47"/>
  <c r="B120" i="47"/>
  <c r="B121" i="47"/>
  <c r="B122" i="47"/>
  <c r="B2" i="47"/>
  <c r="B41" i="36"/>
  <c r="J120" i="48" l="1"/>
  <c r="G120" i="48"/>
  <c r="C3" i="66"/>
  <c r="D3" i="66"/>
  <c r="E3" i="66"/>
  <c r="F3" i="66"/>
  <c r="G3" i="66"/>
  <c r="H3" i="66"/>
  <c r="I3" i="66"/>
  <c r="J3" i="66"/>
  <c r="K3" i="66"/>
  <c r="L3" i="66"/>
  <c r="M3" i="66"/>
  <c r="N3" i="66"/>
  <c r="O3" i="66"/>
  <c r="P3" i="66"/>
  <c r="Q3" i="66"/>
  <c r="R3" i="66"/>
  <c r="S3" i="66"/>
  <c r="T3" i="66"/>
  <c r="U3" i="66"/>
  <c r="V3" i="66"/>
  <c r="W3" i="66"/>
  <c r="X3" i="66"/>
  <c r="Y3" i="66"/>
  <c r="Z3" i="66"/>
  <c r="AA3" i="66"/>
  <c r="AB3" i="66"/>
  <c r="AC3" i="66"/>
  <c r="AD3" i="66"/>
  <c r="AE3" i="66"/>
  <c r="AF3" i="66"/>
  <c r="AG3" i="66"/>
  <c r="AH3" i="66"/>
  <c r="AI3" i="66"/>
  <c r="AJ3" i="66"/>
  <c r="AK3" i="66"/>
  <c r="AL3" i="66"/>
  <c r="AM3" i="66"/>
  <c r="AN3" i="66"/>
  <c r="AO3" i="66"/>
  <c r="AP3" i="66"/>
  <c r="AQ3" i="66"/>
  <c r="AR3" i="66"/>
  <c r="AS3" i="66"/>
  <c r="AT3" i="66"/>
  <c r="AU3" i="66"/>
  <c r="AV3" i="66"/>
  <c r="AW3" i="66"/>
  <c r="AX3" i="66"/>
  <c r="AY3" i="66"/>
  <c r="C4" i="66"/>
  <c r="D4" i="66"/>
  <c r="E4" i="66"/>
  <c r="F4" i="66"/>
  <c r="G4" i="66"/>
  <c r="H4" i="66"/>
  <c r="I4" i="66"/>
  <c r="J4" i="66"/>
  <c r="K4" i="66"/>
  <c r="L4" i="66"/>
  <c r="M4" i="66"/>
  <c r="N4" i="66"/>
  <c r="O4" i="66"/>
  <c r="P4" i="66"/>
  <c r="Q4" i="66"/>
  <c r="R4" i="66"/>
  <c r="S4" i="66"/>
  <c r="T4" i="66"/>
  <c r="U4" i="66"/>
  <c r="V4" i="66"/>
  <c r="W4" i="66"/>
  <c r="X4" i="66"/>
  <c r="Y4" i="66"/>
  <c r="Z4" i="66"/>
  <c r="AA4" i="66"/>
  <c r="AB4" i="66"/>
  <c r="AC4" i="66"/>
  <c r="AD4" i="66"/>
  <c r="AE4" i="66"/>
  <c r="AF4" i="66"/>
  <c r="AG4" i="66"/>
  <c r="AH4" i="66"/>
  <c r="AI4" i="66"/>
  <c r="AJ4" i="66"/>
  <c r="AK4" i="66"/>
  <c r="AL4" i="66"/>
  <c r="AM4" i="66"/>
  <c r="AN4" i="66"/>
  <c r="AO4" i="66"/>
  <c r="AP4" i="66"/>
  <c r="AQ4" i="66"/>
  <c r="AR4" i="66"/>
  <c r="AS4" i="66"/>
  <c r="AT4" i="66"/>
  <c r="AU4" i="66"/>
  <c r="AV4" i="66"/>
  <c r="AW4" i="66"/>
  <c r="AX4" i="66"/>
  <c r="AY4" i="66"/>
  <c r="C5" i="66"/>
  <c r="D5" i="66"/>
  <c r="E5" i="66"/>
  <c r="F5" i="66"/>
  <c r="G5" i="66"/>
  <c r="H5" i="66"/>
  <c r="I5" i="66"/>
  <c r="J5" i="66"/>
  <c r="K5" i="66"/>
  <c r="L5" i="66"/>
  <c r="M5" i="66"/>
  <c r="N5" i="66"/>
  <c r="O5" i="66"/>
  <c r="P5" i="66"/>
  <c r="Q5" i="66"/>
  <c r="R5" i="66"/>
  <c r="S5" i="66"/>
  <c r="T5" i="66"/>
  <c r="U5" i="66"/>
  <c r="V5" i="66"/>
  <c r="W5" i="66"/>
  <c r="X5" i="66"/>
  <c r="Y5" i="66"/>
  <c r="Z5" i="66"/>
  <c r="AA5" i="66"/>
  <c r="AB5" i="66"/>
  <c r="AC5" i="66"/>
  <c r="AD5" i="66"/>
  <c r="AE5" i="66"/>
  <c r="AF5" i="66"/>
  <c r="AG5" i="66"/>
  <c r="AH5" i="66"/>
  <c r="AI5" i="66"/>
  <c r="AJ5" i="66"/>
  <c r="AK5" i="66"/>
  <c r="AL5" i="66"/>
  <c r="AM5" i="66"/>
  <c r="AN5" i="66"/>
  <c r="AO5" i="66"/>
  <c r="AP5" i="66"/>
  <c r="AQ5" i="66"/>
  <c r="AR5" i="66"/>
  <c r="AS5" i="66"/>
  <c r="AT5" i="66"/>
  <c r="AU5" i="66"/>
  <c r="AV5" i="66"/>
  <c r="AW5" i="66"/>
  <c r="AX5" i="66"/>
  <c r="AY5" i="66"/>
  <c r="C6" i="66"/>
  <c r="D6" i="66"/>
  <c r="E6" i="66"/>
  <c r="F6" i="66"/>
  <c r="G6" i="66"/>
  <c r="H6" i="66"/>
  <c r="I6" i="66"/>
  <c r="J6" i="66"/>
  <c r="K6" i="66"/>
  <c r="L6" i="66"/>
  <c r="M6" i="66"/>
  <c r="N6" i="66"/>
  <c r="O6" i="66"/>
  <c r="P6" i="66"/>
  <c r="Q6" i="66"/>
  <c r="R6" i="66"/>
  <c r="S6" i="66"/>
  <c r="T6" i="66"/>
  <c r="U6" i="66"/>
  <c r="V6" i="66"/>
  <c r="W6" i="66"/>
  <c r="X6" i="66"/>
  <c r="Y6" i="66"/>
  <c r="Z6" i="66"/>
  <c r="AA6" i="66"/>
  <c r="AB6" i="66"/>
  <c r="AC6" i="66"/>
  <c r="AD6" i="66"/>
  <c r="AE6" i="66"/>
  <c r="AF6" i="66"/>
  <c r="AG6" i="66"/>
  <c r="AH6" i="66"/>
  <c r="AI6" i="66"/>
  <c r="AJ6" i="66"/>
  <c r="AK6" i="66"/>
  <c r="AL6" i="66"/>
  <c r="AM6" i="66"/>
  <c r="AN6" i="66"/>
  <c r="AO6" i="66"/>
  <c r="AP6" i="66"/>
  <c r="AQ6" i="66"/>
  <c r="AR6" i="66"/>
  <c r="AS6" i="66"/>
  <c r="AT6" i="66"/>
  <c r="AU6" i="66"/>
  <c r="AV6" i="66"/>
  <c r="AW6" i="66"/>
  <c r="AX6" i="66"/>
  <c r="AY6" i="66"/>
  <c r="C7" i="66"/>
  <c r="D7" i="66"/>
  <c r="E7" i="66"/>
  <c r="F7" i="66"/>
  <c r="G7" i="66"/>
  <c r="H7" i="66"/>
  <c r="I7" i="66"/>
  <c r="J7" i="66"/>
  <c r="K7" i="66"/>
  <c r="L7" i="66"/>
  <c r="M7" i="66"/>
  <c r="N7" i="66"/>
  <c r="O7" i="66"/>
  <c r="P7" i="66"/>
  <c r="Q7" i="66"/>
  <c r="R7" i="66"/>
  <c r="S7" i="66"/>
  <c r="T7" i="66"/>
  <c r="U7" i="66"/>
  <c r="V7" i="66"/>
  <c r="W7" i="66"/>
  <c r="X7" i="66"/>
  <c r="Y7" i="66"/>
  <c r="Z7" i="66"/>
  <c r="AA7" i="66"/>
  <c r="AB7" i="66"/>
  <c r="AC7" i="66"/>
  <c r="AD7" i="66"/>
  <c r="AE7" i="66"/>
  <c r="AF7" i="66"/>
  <c r="AG7" i="66"/>
  <c r="AH7" i="66"/>
  <c r="AI7" i="66"/>
  <c r="AJ7" i="66"/>
  <c r="AK7" i="66"/>
  <c r="AL7" i="66"/>
  <c r="AM7" i="66"/>
  <c r="AN7" i="66"/>
  <c r="AO7" i="66"/>
  <c r="AP7" i="66"/>
  <c r="AQ7" i="66"/>
  <c r="AR7" i="66"/>
  <c r="AS7" i="66"/>
  <c r="AT7" i="66"/>
  <c r="AU7" i="66"/>
  <c r="AV7" i="66"/>
  <c r="AW7" i="66"/>
  <c r="AX7" i="66"/>
  <c r="AY7" i="66"/>
  <c r="C8" i="66"/>
  <c r="D8" i="66"/>
  <c r="E8" i="66"/>
  <c r="F8" i="66"/>
  <c r="G8" i="66"/>
  <c r="H8" i="66"/>
  <c r="I8" i="66"/>
  <c r="J8" i="66"/>
  <c r="K8" i="66"/>
  <c r="L8" i="66"/>
  <c r="M8" i="66"/>
  <c r="N8" i="66"/>
  <c r="O8" i="66"/>
  <c r="P8" i="66"/>
  <c r="Q8" i="66"/>
  <c r="R8" i="66"/>
  <c r="S8" i="66"/>
  <c r="T8" i="66"/>
  <c r="U8" i="66"/>
  <c r="V8" i="66"/>
  <c r="W8" i="66"/>
  <c r="X8" i="66"/>
  <c r="Y8" i="66"/>
  <c r="Z8" i="66"/>
  <c r="AA8" i="66"/>
  <c r="AB8" i="66"/>
  <c r="AC8" i="66"/>
  <c r="AD8" i="66"/>
  <c r="AE8" i="66"/>
  <c r="AF8" i="66"/>
  <c r="AG8" i="66"/>
  <c r="AH8" i="66"/>
  <c r="AI8" i="66"/>
  <c r="AJ8" i="66"/>
  <c r="AK8" i="66"/>
  <c r="AL8" i="66"/>
  <c r="AM8" i="66"/>
  <c r="AN8" i="66"/>
  <c r="AO8" i="66"/>
  <c r="AP8" i="66"/>
  <c r="AQ8" i="66"/>
  <c r="AR8" i="66"/>
  <c r="AS8" i="66"/>
  <c r="AT8" i="66"/>
  <c r="AU8" i="66"/>
  <c r="AV8" i="66"/>
  <c r="AW8" i="66"/>
  <c r="AX8" i="66"/>
  <c r="AY8" i="66"/>
  <c r="C9" i="66"/>
  <c r="D9" i="66"/>
  <c r="E9" i="66"/>
  <c r="F9" i="66"/>
  <c r="G9" i="66"/>
  <c r="H9" i="66"/>
  <c r="I9" i="66"/>
  <c r="J9" i="66"/>
  <c r="K9" i="66"/>
  <c r="L9" i="66"/>
  <c r="M9" i="66"/>
  <c r="N9" i="66"/>
  <c r="O9" i="66"/>
  <c r="P9" i="66"/>
  <c r="Q9" i="66"/>
  <c r="R9" i="66"/>
  <c r="S9" i="66"/>
  <c r="T9" i="66"/>
  <c r="U9" i="66"/>
  <c r="V9" i="66"/>
  <c r="W9" i="66"/>
  <c r="X9" i="66"/>
  <c r="Y9" i="66"/>
  <c r="Z9" i="66"/>
  <c r="AA9" i="66"/>
  <c r="AB9" i="66"/>
  <c r="AC9" i="66"/>
  <c r="AD9" i="66"/>
  <c r="AE9" i="66"/>
  <c r="AF9" i="66"/>
  <c r="AG9" i="66"/>
  <c r="AH9" i="66"/>
  <c r="AI9" i="66"/>
  <c r="AJ9" i="66"/>
  <c r="AK9" i="66"/>
  <c r="AL9" i="66"/>
  <c r="AM9" i="66"/>
  <c r="AN9" i="66"/>
  <c r="AO9" i="66"/>
  <c r="AP9" i="66"/>
  <c r="AQ9" i="66"/>
  <c r="AR9" i="66"/>
  <c r="AS9" i="66"/>
  <c r="AT9" i="66"/>
  <c r="AU9" i="66"/>
  <c r="AV9" i="66"/>
  <c r="AW9" i="66"/>
  <c r="AX9" i="66"/>
  <c r="AY9" i="66"/>
  <c r="C10" i="66"/>
  <c r="D10" i="66"/>
  <c r="E10" i="66"/>
  <c r="F10" i="66"/>
  <c r="G10" i="66"/>
  <c r="H10" i="66"/>
  <c r="I10" i="66"/>
  <c r="J10" i="66"/>
  <c r="K10" i="66"/>
  <c r="L10" i="66"/>
  <c r="M10" i="66"/>
  <c r="N10" i="66"/>
  <c r="O10" i="66"/>
  <c r="P10" i="66"/>
  <c r="Q10" i="66"/>
  <c r="R10" i="66"/>
  <c r="S10" i="66"/>
  <c r="T10" i="66"/>
  <c r="U10" i="66"/>
  <c r="V10" i="66"/>
  <c r="W10" i="66"/>
  <c r="X10" i="66"/>
  <c r="Y10" i="66"/>
  <c r="Z10" i="66"/>
  <c r="AA10" i="66"/>
  <c r="AB10" i="66"/>
  <c r="AC10" i="66"/>
  <c r="AD10" i="66"/>
  <c r="AE10" i="66"/>
  <c r="AF10" i="66"/>
  <c r="AG10" i="66"/>
  <c r="AH10" i="66"/>
  <c r="AI10" i="66"/>
  <c r="AJ10" i="66"/>
  <c r="AK10" i="66"/>
  <c r="AL10" i="66"/>
  <c r="AM10" i="66"/>
  <c r="AN10" i="66"/>
  <c r="AO10" i="66"/>
  <c r="AP10" i="66"/>
  <c r="AQ10" i="66"/>
  <c r="AR10" i="66"/>
  <c r="AS10" i="66"/>
  <c r="AT10" i="66"/>
  <c r="AU10" i="66"/>
  <c r="AV10" i="66"/>
  <c r="AW10" i="66"/>
  <c r="AX10" i="66"/>
  <c r="AY10" i="66"/>
  <c r="C11" i="66"/>
  <c r="D11" i="66"/>
  <c r="E11" i="66"/>
  <c r="F11" i="66"/>
  <c r="G11" i="66"/>
  <c r="H11" i="66"/>
  <c r="I11" i="66"/>
  <c r="J11" i="66"/>
  <c r="K11" i="66"/>
  <c r="L11" i="66"/>
  <c r="M11" i="66"/>
  <c r="N11" i="66"/>
  <c r="O11" i="66"/>
  <c r="P11" i="66"/>
  <c r="Q11" i="66"/>
  <c r="R11" i="66"/>
  <c r="S11" i="66"/>
  <c r="T11" i="66"/>
  <c r="U11" i="66"/>
  <c r="V11" i="66"/>
  <c r="W11" i="66"/>
  <c r="X11" i="66"/>
  <c r="Y11" i="66"/>
  <c r="Z11" i="66"/>
  <c r="AA11" i="66"/>
  <c r="AB11" i="66"/>
  <c r="AC11" i="66"/>
  <c r="AD11" i="66"/>
  <c r="AE11" i="66"/>
  <c r="AF11" i="66"/>
  <c r="AG11" i="66"/>
  <c r="AH11" i="66"/>
  <c r="AI11" i="66"/>
  <c r="AJ11" i="66"/>
  <c r="AK11" i="66"/>
  <c r="AL11" i="66"/>
  <c r="AM11" i="66"/>
  <c r="AN11" i="66"/>
  <c r="AO11" i="66"/>
  <c r="AP11" i="66"/>
  <c r="AQ11" i="66"/>
  <c r="AR11" i="66"/>
  <c r="AS11" i="66"/>
  <c r="AT11" i="66"/>
  <c r="AU11" i="66"/>
  <c r="AV11" i="66"/>
  <c r="AW11" i="66"/>
  <c r="AX11" i="66"/>
  <c r="AY11" i="66"/>
  <c r="B3" i="66"/>
  <c r="B4" i="66"/>
  <c r="B5" i="66"/>
  <c r="B6" i="66"/>
  <c r="B7" i="66"/>
  <c r="B8" i="66"/>
  <c r="B9" i="66"/>
  <c r="B10" i="66"/>
  <c r="B11" i="66"/>
  <c r="F23" i="50"/>
  <c r="F17" i="50"/>
  <c r="F35" i="50" s="1"/>
  <c r="L23" i="50"/>
  <c r="H22" i="50"/>
  <c r="K22" i="50"/>
  <c r="D51" i="49"/>
  <c r="D232" i="49" s="1"/>
  <c r="D211" i="49"/>
  <c r="G51" i="49"/>
  <c r="G232" i="49" s="1"/>
  <c r="G256" i="49" s="1"/>
  <c r="G211" i="49"/>
  <c r="G300" i="49" s="1"/>
  <c r="J53" i="49"/>
  <c r="J234" i="49" s="1"/>
  <c r="J253" i="49" s="1"/>
  <c r="J213" i="49"/>
  <c r="J297" i="49" s="1"/>
  <c r="H51" i="49"/>
  <c r="H232" i="49" s="1"/>
  <c r="H256" i="49" s="1"/>
  <c r="H211" i="49"/>
  <c r="H300" i="49" s="1"/>
  <c r="F50" i="49"/>
  <c r="F231" i="49" s="1"/>
  <c r="F210" i="49"/>
  <c r="I51" i="49"/>
  <c r="I232" i="49" s="1"/>
  <c r="I211" i="49"/>
  <c r="I300" i="49" s="1"/>
  <c r="L50" i="49"/>
  <c r="L231" i="49" s="1"/>
  <c r="L210" i="49"/>
  <c r="L51" i="49"/>
  <c r="L232" i="49" s="1"/>
  <c r="L211" i="49"/>
  <c r="K51" i="49"/>
  <c r="K232" i="49" s="1"/>
  <c r="K211" i="49"/>
  <c r="K53" i="49"/>
  <c r="K234" i="49" s="1"/>
  <c r="K253" i="49" s="1"/>
  <c r="K213" i="49"/>
  <c r="K297" i="49" s="1"/>
  <c r="J51" i="49"/>
  <c r="J232" i="49" s="1"/>
  <c r="J211" i="49"/>
  <c r="D50" i="49"/>
  <c r="D231" i="49" s="1"/>
  <c r="D256" i="49" s="1"/>
  <c r="D210" i="49"/>
  <c r="D300" i="49" s="1"/>
  <c r="F51" i="49"/>
  <c r="F232" i="49" s="1"/>
  <c r="F211" i="49"/>
  <c r="J50" i="49"/>
  <c r="J231" i="49" s="1"/>
  <c r="J210" i="49"/>
  <c r="J300" i="49" s="1"/>
  <c r="K50" i="49"/>
  <c r="K231" i="49" s="1"/>
  <c r="K256" i="49" s="1"/>
  <c r="K210" i="49"/>
  <c r="K300" i="49" s="1"/>
  <c r="E62" i="49"/>
  <c r="E210" i="49"/>
  <c r="E300" i="49" s="1"/>
  <c r="F103" i="49"/>
  <c r="E98" i="49"/>
  <c r="G49" i="50"/>
  <c r="G74" i="50"/>
  <c r="H74" i="50"/>
  <c r="H49" i="50"/>
  <c r="K23" i="50"/>
  <c r="L74" i="50"/>
  <c r="L49" i="50"/>
  <c r="J17" i="50"/>
  <c r="J35" i="50" s="1"/>
  <c r="F49" i="50"/>
  <c r="F74" i="50"/>
  <c r="E49" i="50"/>
  <c r="E74" i="50"/>
  <c r="I74" i="50"/>
  <c r="I49" i="50"/>
  <c r="J22" i="50"/>
  <c r="D74" i="50"/>
  <c r="D49" i="50"/>
  <c r="K74" i="50"/>
  <c r="K49" i="50"/>
  <c r="J74" i="50"/>
  <c r="J49" i="50"/>
  <c r="D30" i="50"/>
  <c r="D29" i="50"/>
  <c r="D37" i="50"/>
  <c r="H37" i="50"/>
  <c r="H30" i="50"/>
  <c r="H29" i="50"/>
  <c r="J30" i="50"/>
  <c r="J37" i="50"/>
  <c r="J29" i="50"/>
  <c r="F37" i="50"/>
  <c r="F29" i="50"/>
  <c r="F31" i="50" s="1"/>
  <c r="F30" i="50"/>
  <c r="I37" i="50"/>
  <c r="I30" i="50"/>
  <c r="I29" i="50"/>
  <c r="G37" i="50"/>
  <c r="G29" i="50"/>
  <c r="G30" i="50"/>
  <c r="J21" i="50"/>
  <c r="J36" i="50" s="1"/>
  <c r="N26" i="50"/>
  <c r="N27" i="50"/>
  <c r="N38" i="50" s="1"/>
  <c r="N28" i="50"/>
  <c r="N39" i="50" s="1"/>
  <c r="I13" i="50"/>
  <c r="F21" i="50"/>
  <c r="F36" i="50" s="1"/>
  <c r="K21" i="50"/>
  <c r="K36" i="50" s="1"/>
  <c r="L21" i="50"/>
  <c r="L36" i="50" s="1"/>
  <c r="L40" i="50" s="1"/>
  <c r="L45" i="50" s="1"/>
  <c r="D21" i="50"/>
  <c r="D36" i="50" s="1"/>
  <c r="D40" i="50" s="1"/>
  <c r="D45" i="50" s="1"/>
  <c r="H21" i="50"/>
  <c r="H36" i="50" s="1"/>
  <c r="H40" i="50" s="1"/>
  <c r="H45" i="50" s="1"/>
  <c r="E21" i="50"/>
  <c r="E36" i="50" s="1"/>
  <c r="E40" i="50" s="1"/>
  <c r="E45" i="50" s="1"/>
  <c r="F13" i="50"/>
  <c r="F33" i="50"/>
  <c r="L13" i="50"/>
  <c r="K33" i="50"/>
  <c r="K40" i="50" s="1"/>
  <c r="K45" i="50" s="1"/>
  <c r="G21" i="50"/>
  <c r="G36" i="50" s="1"/>
  <c r="I21" i="50"/>
  <c r="I36" i="50" s="1"/>
  <c r="I40" i="50" s="1"/>
  <c r="I45" i="50" s="1"/>
  <c r="J13" i="50"/>
  <c r="N11" i="50"/>
  <c r="N33" i="50" s="1"/>
  <c r="N12" i="50"/>
  <c r="N34" i="50" s="1"/>
  <c r="K13" i="50"/>
  <c r="G13" i="50"/>
  <c r="M8" i="50"/>
  <c r="M3" i="50" s="1"/>
  <c r="I102" i="49"/>
  <c r="L136" i="49"/>
  <c r="L149" i="49" s="1"/>
  <c r="L137" i="49"/>
  <c r="L150" i="49" s="1"/>
  <c r="L135" i="49"/>
  <c r="I137" i="49"/>
  <c r="I150" i="49" s="1"/>
  <c r="I136" i="49"/>
  <c r="I149" i="49" s="1"/>
  <c r="I135" i="49"/>
  <c r="F135" i="49"/>
  <c r="F136" i="49"/>
  <c r="F149" i="49" s="1"/>
  <c r="F137" i="49"/>
  <c r="F150" i="49" s="1"/>
  <c r="E135" i="49"/>
  <c r="E136" i="49"/>
  <c r="E149" i="49" s="1"/>
  <c r="E137" i="49"/>
  <c r="E150" i="49" s="1"/>
  <c r="G135" i="49"/>
  <c r="G137" i="49"/>
  <c r="G150" i="49" s="1"/>
  <c r="G136" i="49"/>
  <c r="G149" i="49" s="1"/>
  <c r="H137" i="49"/>
  <c r="H150" i="49" s="1"/>
  <c r="H135" i="49"/>
  <c r="H136" i="49"/>
  <c r="H149" i="49" s="1"/>
  <c r="J85" i="49"/>
  <c r="J144" i="49" s="1"/>
  <c r="K136" i="49"/>
  <c r="K149" i="49" s="1"/>
  <c r="K137" i="49"/>
  <c r="K150" i="49" s="1"/>
  <c r="K135" i="49"/>
  <c r="J137" i="49"/>
  <c r="J150" i="49" s="1"/>
  <c r="J136" i="49"/>
  <c r="J149" i="49" s="1"/>
  <c r="J135" i="49"/>
  <c r="M100" i="49"/>
  <c r="I98" i="49"/>
  <c r="D136" i="49"/>
  <c r="D149" i="49" s="1"/>
  <c r="D135" i="49"/>
  <c r="D137" i="49"/>
  <c r="D150" i="49" s="1"/>
  <c r="I94" i="49"/>
  <c r="I145" i="49" s="1"/>
  <c r="F99" i="49"/>
  <c r="I103" i="49"/>
  <c r="E94" i="49"/>
  <c r="E145" i="49" s="1"/>
  <c r="H100" i="49"/>
  <c r="N100" i="49"/>
  <c r="L99" i="49"/>
  <c r="K97" i="49"/>
  <c r="F100" i="49"/>
  <c r="J94" i="49"/>
  <c r="J145" i="49" s="1"/>
  <c r="J99" i="49"/>
  <c r="H94" i="49"/>
  <c r="H145" i="49" s="1"/>
  <c r="G98" i="49"/>
  <c r="F101" i="49"/>
  <c r="F98" i="49"/>
  <c r="K94" i="49"/>
  <c r="K145" i="49" s="1"/>
  <c r="L94" i="49"/>
  <c r="L145" i="49" s="1"/>
  <c r="K85" i="49"/>
  <c r="K144" i="49" s="1"/>
  <c r="M88" i="49"/>
  <c r="M79" i="49"/>
  <c r="D94" i="49"/>
  <c r="D145" i="49" s="1"/>
  <c r="E97" i="49"/>
  <c r="E85" i="49"/>
  <c r="E144" i="49" s="1"/>
  <c r="G85" i="49"/>
  <c r="G144" i="49" s="1"/>
  <c r="G97" i="49"/>
  <c r="H101" i="49"/>
  <c r="G102" i="49"/>
  <c r="L85" i="49"/>
  <c r="L144" i="49" s="1"/>
  <c r="L97" i="49"/>
  <c r="F85" i="49"/>
  <c r="F144" i="49" s="1"/>
  <c r="F97" i="49"/>
  <c r="E103" i="49"/>
  <c r="H85" i="49"/>
  <c r="H144" i="49" s="1"/>
  <c r="H97" i="49"/>
  <c r="I99" i="49"/>
  <c r="N97" i="49"/>
  <c r="K99" i="49"/>
  <c r="D85" i="49"/>
  <c r="D144" i="49" s="1"/>
  <c r="E101" i="49"/>
  <c r="L98" i="49"/>
  <c r="G101" i="49"/>
  <c r="F94" i="49"/>
  <c r="F145" i="49" s="1"/>
  <c r="G94" i="49"/>
  <c r="G145" i="49" s="1"/>
  <c r="H98" i="49"/>
  <c r="M97" i="49"/>
  <c r="M89" i="49"/>
  <c r="M80" i="49"/>
  <c r="M99" i="49" s="1"/>
  <c r="I85" i="49"/>
  <c r="I144" i="49" s="1"/>
  <c r="I97" i="49"/>
  <c r="J97" i="49"/>
  <c r="H102" i="49"/>
  <c r="H18" i="49"/>
  <c r="H74" i="49"/>
  <c r="H75" i="49"/>
  <c r="H143" i="49" s="1"/>
  <c r="E75" i="49"/>
  <c r="E143" i="49" s="1"/>
  <c r="E74" i="49"/>
  <c r="G74" i="49"/>
  <c r="G75" i="49"/>
  <c r="G143" i="49" s="1"/>
  <c r="K75" i="49"/>
  <c r="K143" i="49" s="1"/>
  <c r="K74" i="49"/>
  <c r="J17" i="49"/>
  <c r="J75" i="49"/>
  <c r="J143" i="49" s="1"/>
  <c r="J74" i="49"/>
  <c r="F75" i="49"/>
  <c r="F143" i="49" s="1"/>
  <c r="F74" i="49"/>
  <c r="L75" i="49"/>
  <c r="L143" i="49" s="1"/>
  <c r="L74" i="49"/>
  <c r="D74" i="49"/>
  <c r="D142" i="49" s="1"/>
  <c r="D75" i="49"/>
  <c r="D143" i="49" s="1"/>
  <c r="I74" i="49"/>
  <c r="I75" i="49"/>
  <c r="I143" i="49" s="1"/>
  <c r="H17" i="49"/>
  <c r="H21" i="49"/>
  <c r="H164" i="49" s="1"/>
  <c r="J20" i="49"/>
  <c r="J163" i="49" s="1"/>
  <c r="J18" i="49"/>
  <c r="I62" i="49"/>
  <c r="H22" i="49"/>
  <c r="H165" i="49" s="1"/>
  <c r="H20" i="49"/>
  <c r="H163" i="49" s="1"/>
  <c r="H19" i="49"/>
  <c r="H162" i="49" s="1"/>
  <c r="H16" i="49"/>
  <c r="H23" i="49"/>
  <c r="H166" i="49" s="1"/>
  <c r="N4" i="50"/>
  <c r="N47" i="50" s="1"/>
  <c r="N5" i="50"/>
  <c r="N48" i="50" s="1"/>
  <c r="N96" i="50" s="1"/>
  <c r="J16" i="49"/>
  <c r="J19" i="49"/>
  <c r="J162" i="49" s="1"/>
  <c r="J22" i="49"/>
  <c r="J165" i="49" s="1"/>
  <c r="J23" i="49"/>
  <c r="J166" i="49" s="1"/>
  <c r="J21" i="49"/>
  <c r="J164" i="49" s="1"/>
  <c r="H53" i="49"/>
  <c r="H234" i="49" s="1"/>
  <c r="H253" i="49" s="1"/>
  <c r="E50" i="49"/>
  <c r="H62" i="49"/>
  <c r="F63" i="49"/>
  <c r="F62" i="49"/>
  <c r="D53" i="49"/>
  <c r="D234" i="49" s="1"/>
  <c r="D253" i="49" s="1"/>
  <c r="D23" i="49"/>
  <c r="D166" i="49" s="1"/>
  <c r="D20" i="49"/>
  <c r="D163" i="49" s="1"/>
  <c r="D19" i="49"/>
  <c r="D162" i="49" s="1"/>
  <c r="D18" i="49"/>
  <c r="D16" i="49"/>
  <c r="D159" i="49" s="1"/>
  <c r="D21" i="49"/>
  <c r="D164" i="49" s="1"/>
  <c r="D17" i="49"/>
  <c r="D22" i="49"/>
  <c r="D165" i="49" s="1"/>
  <c r="G22" i="49"/>
  <c r="G165" i="49" s="1"/>
  <c r="G23" i="49"/>
  <c r="G166" i="49" s="1"/>
  <c r="G17" i="49"/>
  <c r="G21" i="49"/>
  <c r="G164" i="49" s="1"/>
  <c r="G19" i="49"/>
  <c r="G162" i="49" s="1"/>
  <c r="G16" i="49"/>
  <c r="G159" i="49" s="1"/>
  <c r="G20" i="49"/>
  <c r="G163" i="49" s="1"/>
  <c r="G18" i="49"/>
  <c r="J63" i="49"/>
  <c r="I21" i="49"/>
  <c r="I164" i="49" s="1"/>
  <c r="I20" i="49"/>
  <c r="I163" i="49" s="1"/>
  <c r="I23" i="49"/>
  <c r="I166" i="49" s="1"/>
  <c r="I19" i="49"/>
  <c r="I162" i="49" s="1"/>
  <c r="I16" i="49"/>
  <c r="I159" i="49" s="1"/>
  <c r="I18" i="49"/>
  <c r="I17" i="49"/>
  <c r="I22" i="49"/>
  <c r="I165" i="49" s="1"/>
  <c r="L23" i="49"/>
  <c r="L166" i="49" s="1"/>
  <c r="L20" i="49"/>
  <c r="L163" i="49" s="1"/>
  <c r="L19" i="49"/>
  <c r="L162" i="49" s="1"/>
  <c r="L21" i="49"/>
  <c r="L164" i="49" s="1"/>
  <c r="L18" i="49"/>
  <c r="L22" i="49"/>
  <c r="L165" i="49" s="1"/>
  <c r="L17" i="49"/>
  <c r="L16" i="49"/>
  <c r="L159" i="49" s="1"/>
  <c r="M45" i="49"/>
  <c r="N6" i="49"/>
  <c r="M44" i="49"/>
  <c r="M210" i="49" s="1"/>
  <c r="N5" i="49"/>
  <c r="L62" i="49"/>
  <c r="K63" i="49"/>
  <c r="M53" i="49"/>
  <c r="M234" i="49" s="1"/>
  <c r="M253" i="49" s="1"/>
  <c r="I50" i="49"/>
  <c r="F22" i="49"/>
  <c r="F165" i="49" s="1"/>
  <c r="F21" i="49"/>
  <c r="F164" i="49" s="1"/>
  <c r="F18" i="49"/>
  <c r="F23" i="49"/>
  <c r="F166" i="49" s="1"/>
  <c r="F17" i="49"/>
  <c r="F19" i="49"/>
  <c r="F162" i="49" s="1"/>
  <c r="F16" i="49"/>
  <c r="F159" i="49" s="1"/>
  <c r="F20" i="49"/>
  <c r="F163" i="49" s="1"/>
  <c r="N14" i="49"/>
  <c r="N10" i="49" s="1"/>
  <c r="M14" i="49"/>
  <c r="M10" i="49" s="1"/>
  <c r="G63" i="49"/>
  <c r="J62" i="49"/>
  <c r="K23" i="49"/>
  <c r="K166" i="49" s="1"/>
  <c r="K20" i="49"/>
  <c r="K163" i="49" s="1"/>
  <c r="K22" i="49"/>
  <c r="K165" i="49" s="1"/>
  <c r="K19" i="49"/>
  <c r="K162" i="49" s="1"/>
  <c r="K16" i="49"/>
  <c r="K159" i="49" s="1"/>
  <c r="K21" i="49"/>
  <c r="K164" i="49" s="1"/>
  <c r="K18" i="49"/>
  <c r="K17" i="49"/>
  <c r="N53" i="49"/>
  <c r="N234" i="49" s="1"/>
  <c r="N253" i="49" s="1"/>
  <c r="K62" i="49"/>
  <c r="G62" i="49"/>
  <c r="H63" i="49"/>
  <c r="E20" i="49"/>
  <c r="E163" i="49" s="1"/>
  <c r="E22" i="49"/>
  <c r="E165" i="49" s="1"/>
  <c r="E21" i="49"/>
  <c r="E164" i="49" s="1"/>
  <c r="E18" i="49"/>
  <c r="E23" i="49"/>
  <c r="E166" i="49" s="1"/>
  <c r="E17" i="49"/>
  <c r="E19" i="49"/>
  <c r="E162" i="49" s="1"/>
  <c r="E16" i="49"/>
  <c r="E159" i="49" s="1"/>
  <c r="D62" i="49"/>
  <c r="E53" i="49"/>
  <c r="E234" i="49" s="1"/>
  <c r="E253" i="49" s="1"/>
  <c r="L53" i="49"/>
  <c r="L234" i="49" s="1"/>
  <c r="L253" i="49" s="1"/>
  <c r="I53" i="49"/>
  <c r="I234" i="49" s="1"/>
  <c r="I253" i="49" s="1"/>
  <c r="I148" i="48"/>
  <c r="I164" i="48" s="1"/>
  <c r="I147" i="48"/>
  <c r="I163" i="48" s="1"/>
  <c r="F147" i="48"/>
  <c r="F163" i="48" s="1"/>
  <c r="F148" i="48"/>
  <c r="F164" i="48" s="1"/>
  <c r="E147" i="48"/>
  <c r="E163" i="48" s="1"/>
  <c r="E148" i="48"/>
  <c r="E164" i="48" s="1"/>
  <c r="H147" i="48"/>
  <c r="H163" i="48" s="1"/>
  <c r="H148" i="48"/>
  <c r="H164" i="48" s="1"/>
  <c r="D148" i="48"/>
  <c r="D164" i="48" s="1"/>
  <c r="D147" i="48"/>
  <c r="D163" i="48" s="1"/>
  <c r="K148" i="48"/>
  <c r="K164" i="48" s="1"/>
  <c r="K147" i="48"/>
  <c r="K163" i="48" s="1"/>
  <c r="L147" i="48"/>
  <c r="L163" i="48" s="1"/>
  <c r="L148" i="48"/>
  <c r="L164" i="48" s="1"/>
  <c r="G147" i="48"/>
  <c r="G163" i="48" s="1"/>
  <c r="G148" i="48"/>
  <c r="G164" i="48" s="1"/>
  <c r="J148" i="48"/>
  <c r="J164" i="48" s="1"/>
  <c r="J147" i="48"/>
  <c r="J163" i="48" s="1"/>
  <c r="H139" i="48"/>
  <c r="H161" i="48" s="1"/>
  <c r="H140" i="48"/>
  <c r="H162" i="48" s="1"/>
  <c r="D140" i="48"/>
  <c r="D162" i="48" s="1"/>
  <c r="D139" i="48"/>
  <c r="D161" i="48" s="1"/>
  <c r="K140" i="48"/>
  <c r="K162" i="48" s="1"/>
  <c r="K139" i="48"/>
  <c r="K161" i="48" s="1"/>
  <c r="J140" i="48"/>
  <c r="J162" i="48" s="1"/>
  <c r="J139" i="48"/>
  <c r="J161" i="48" s="1"/>
  <c r="G140" i="48"/>
  <c r="G162" i="48" s="1"/>
  <c r="G139" i="48"/>
  <c r="G161" i="48" s="1"/>
  <c r="I139" i="48"/>
  <c r="I161" i="48" s="1"/>
  <c r="I140" i="48"/>
  <c r="I162" i="48" s="1"/>
  <c r="F139" i="48"/>
  <c r="F161" i="48" s="1"/>
  <c r="F140" i="48"/>
  <c r="F162" i="48" s="1"/>
  <c r="L139" i="48"/>
  <c r="L161" i="48" s="1"/>
  <c r="L140" i="48"/>
  <c r="L162" i="48" s="1"/>
  <c r="E139" i="48"/>
  <c r="E161" i="48" s="1"/>
  <c r="E140" i="48"/>
  <c r="E162" i="48" s="1"/>
  <c r="J99" i="48"/>
  <c r="D90" i="48"/>
  <c r="D158" i="48" s="1"/>
  <c r="J103" i="48"/>
  <c r="J115" i="48"/>
  <c r="K109" i="48"/>
  <c r="K182" i="48" s="1"/>
  <c r="K121" i="48"/>
  <c r="K106" i="48"/>
  <c r="K118" i="48"/>
  <c r="D108" i="48"/>
  <c r="D120" i="48"/>
  <c r="F107" i="48"/>
  <c r="F119" i="48"/>
  <c r="I108" i="48"/>
  <c r="I181" i="48" s="1"/>
  <c r="I120" i="48"/>
  <c r="J106" i="48"/>
  <c r="J118" i="48"/>
  <c r="E107" i="48"/>
  <c r="E119" i="48"/>
  <c r="E103" i="48"/>
  <c r="E115" i="48"/>
  <c r="E108" i="48"/>
  <c r="E120" i="48"/>
  <c r="F108" i="48"/>
  <c r="F181" i="48" s="1"/>
  <c r="F120" i="48"/>
  <c r="F105" i="48"/>
  <c r="F117" i="48"/>
  <c r="G107" i="48"/>
  <c r="G180" i="48" s="1"/>
  <c r="G119" i="48"/>
  <c r="I106" i="48"/>
  <c r="I179" i="48" s="1"/>
  <c r="I118" i="48"/>
  <c r="J109" i="48"/>
  <c r="J121" i="48"/>
  <c r="D104" i="48"/>
  <c r="D116" i="48"/>
  <c r="G109" i="48"/>
  <c r="G121" i="48"/>
  <c r="D102" i="48"/>
  <c r="D114" i="48"/>
  <c r="F109" i="48"/>
  <c r="F182" i="48" s="1"/>
  <c r="F121" i="48"/>
  <c r="K105" i="48"/>
  <c r="K117" i="48"/>
  <c r="I107" i="48"/>
  <c r="I119" i="48"/>
  <c r="I104" i="48"/>
  <c r="I116" i="48"/>
  <c r="E105" i="48"/>
  <c r="E117" i="48"/>
  <c r="L105" i="48"/>
  <c r="L178" i="48" s="1"/>
  <c r="L288" i="48" s="1"/>
  <c r="L117" i="48"/>
  <c r="D107" i="48"/>
  <c r="D119" i="48"/>
  <c r="J104" i="48"/>
  <c r="J177" i="48" s="1"/>
  <c r="J116" i="48"/>
  <c r="H103" i="48"/>
  <c r="H115" i="48"/>
  <c r="I103" i="48"/>
  <c r="I115" i="48"/>
  <c r="I105" i="48"/>
  <c r="I117" i="48"/>
  <c r="M109" i="48"/>
  <c r="M182" i="48" s="1"/>
  <c r="M121" i="48"/>
  <c r="H105" i="48"/>
  <c r="H117" i="48"/>
  <c r="K103" i="48"/>
  <c r="K115" i="48"/>
  <c r="D105" i="48"/>
  <c r="D117" i="48"/>
  <c r="G106" i="48"/>
  <c r="G179" i="48" s="1"/>
  <c r="G118" i="48"/>
  <c r="J107" i="48"/>
  <c r="J119" i="48"/>
  <c r="H109" i="48"/>
  <c r="H121" i="48"/>
  <c r="G90" i="48"/>
  <c r="G158" i="48" s="1"/>
  <c r="K108" i="48"/>
  <c r="K181" i="48" s="1"/>
  <c r="K120" i="48"/>
  <c r="D106" i="48"/>
  <c r="D179" i="48" s="1"/>
  <c r="D118" i="48"/>
  <c r="D103" i="48"/>
  <c r="D115" i="48"/>
  <c r="F102" i="48"/>
  <c r="F114" i="48"/>
  <c r="G104" i="48"/>
  <c r="G116" i="48"/>
  <c r="E104" i="48"/>
  <c r="E116" i="48"/>
  <c r="H104" i="48"/>
  <c r="H116" i="48"/>
  <c r="F106" i="48"/>
  <c r="F179" i="48" s="1"/>
  <c r="F118" i="48"/>
  <c r="E109" i="48"/>
  <c r="E182" i="48" s="1"/>
  <c r="E121" i="48"/>
  <c r="F104" i="48"/>
  <c r="F116" i="48"/>
  <c r="G105" i="48"/>
  <c r="G117" i="48"/>
  <c r="G102" i="48"/>
  <c r="G175" i="48" s="1"/>
  <c r="G255" i="48" s="1"/>
  <c r="G114" i="48"/>
  <c r="E102" i="48"/>
  <c r="E114" i="48"/>
  <c r="K102" i="48"/>
  <c r="K114" i="48"/>
  <c r="H107" i="48"/>
  <c r="H119" i="48"/>
  <c r="G103" i="48"/>
  <c r="G176" i="48" s="1"/>
  <c r="G115" i="48"/>
  <c r="J102" i="48"/>
  <c r="J175" i="48" s="1"/>
  <c r="J255" i="48" s="1"/>
  <c r="J114" i="48"/>
  <c r="H90" i="48"/>
  <c r="H158" i="48" s="1"/>
  <c r="I109" i="48"/>
  <c r="I121" i="48"/>
  <c r="J105" i="48"/>
  <c r="J117" i="48"/>
  <c r="H102" i="48"/>
  <c r="H175" i="48" s="1"/>
  <c r="H255" i="48" s="1"/>
  <c r="H114" i="48"/>
  <c r="K107" i="48"/>
  <c r="K119" i="48"/>
  <c r="H108" i="48"/>
  <c r="H181" i="48" s="1"/>
  <c r="H120" i="48"/>
  <c r="N75" i="48"/>
  <c r="N84" i="48"/>
  <c r="O84" i="48" s="1"/>
  <c r="P84" i="48" s="1"/>
  <c r="Q84" i="48" s="1"/>
  <c r="R84" i="48" s="1"/>
  <c r="S84" i="48" s="1"/>
  <c r="T84" i="48" s="1"/>
  <c r="U84" i="48" s="1"/>
  <c r="V84" i="48" s="1"/>
  <c r="W84" i="48" s="1"/>
  <c r="X84" i="48" s="1"/>
  <c r="Y84" i="48" s="1"/>
  <c r="Z84" i="48" s="1"/>
  <c r="AA84" i="48" s="1"/>
  <c r="AB84" i="48" s="1"/>
  <c r="AC84" i="48" s="1"/>
  <c r="AD84" i="48" s="1"/>
  <c r="AE84" i="48" s="1"/>
  <c r="AF84" i="48" s="1"/>
  <c r="AG84" i="48" s="1"/>
  <c r="AH84" i="48" s="1"/>
  <c r="AI84" i="48" s="1"/>
  <c r="AJ84" i="48" s="1"/>
  <c r="AK84" i="48" s="1"/>
  <c r="AL84" i="48" s="1"/>
  <c r="AM84" i="48" s="1"/>
  <c r="AN84" i="48" s="1"/>
  <c r="AO84" i="48" s="1"/>
  <c r="AP84" i="48" s="1"/>
  <c r="AQ84" i="48" s="1"/>
  <c r="AR84" i="48" s="1"/>
  <c r="AS84" i="48" s="1"/>
  <c r="AT84" i="48" s="1"/>
  <c r="AU84" i="48" s="1"/>
  <c r="AV84" i="48" s="1"/>
  <c r="AW84" i="48" s="1"/>
  <c r="AX84" i="48" s="1"/>
  <c r="AY84" i="48" s="1"/>
  <c r="AZ84" i="48" s="1"/>
  <c r="BA84" i="48" s="1"/>
  <c r="BB84" i="48" s="1"/>
  <c r="BC84" i="48" s="1"/>
  <c r="BD84" i="48" s="1"/>
  <c r="BE84" i="48" s="1"/>
  <c r="BF84" i="48" s="1"/>
  <c r="BG84" i="48" s="1"/>
  <c r="BH84" i="48" s="1"/>
  <c r="BI84" i="48" s="1"/>
  <c r="M75" i="48"/>
  <c r="M94" i="48" s="1"/>
  <c r="M84" i="48"/>
  <c r="M77" i="48"/>
  <c r="M96" i="48" s="1"/>
  <c r="M86" i="48"/>
  <c r="I90" i="48"/>
  <c r="I158" i="48" s="1"/>
  <c r="M74" i="48"/>
  <c r="M93" i="48" s="1"/>
  <c r="M83" i="48"/>
  <c r="J90" i="48"/>
  <c r="J158" i="48" s="1"/>
  <c r="E90" i="48"/>
  <c r="E158" i="48" s="1"/>
  <c r="F90" i="48"/>
  <c r="F158" i="48" s="1"/>
  <c r="K90" i="48"/>
  <c r="K158" i="48" s="1"/>
  <c r="L90" i="48"/>
  <c r="L158" i="48" s="1"/>
  <c r="O87" i="48"/>
  <c r="P87" i="48" s="1"/>
  <c r="Q87" i="48" s="1"/>
  <c r="R87" i="48" s="1"/>
  <c r="S87" i="48" s="1"/>
  <c r="T87" i="48" s="1"/>
  <c r="U87" i="48" s="1"/>
  <c r="V87" i="48" s="1"/>
  <c r="W87" i="48" s="1"/>
  <c r="X87" i="48" s="1"/>
  <c r="Y87" i="48" s="1"/>
  <c r="Z87" i="48" s="1"/>
  <c r="AA87" i="48" s="1"/>
  <c r="AB87" i="48" s="1"/>
  <c r="AC87" i="48" s="1"/>
  <c r="AD87" i="48" s="1"/>
  <c r="AE87" i="48" s="1"/>
  <c r="AF87" i="48" s="1"/>
  <c r="AG87" i="48" s="1"/>
  <c r="AH87" i="48" s="1"/>
  <c r="AI87" i="48" s="1"/>
  <c r="AJ87" i="48" s="1"/>
  <c r="AK87" i="48" s="1"/>
  <c r="AL87" i="48" s="1"/>
  <c r="AM87" i="48" s="1"/>
  <c r="AN87" i="48" s="1"/>
  <c r="AO87" i="48" s="1"/>
  <c r="AP87" i="48" s="1"/>
  <c r="AQ87" i="48" s="1"/>
  <c r="AR87" i="48" s="1"/>
  <c r="AS87" i="48" s="1"/>
  <c r="AT87" i="48" s="1"/>
  <c r="AU87" i="48" s="1"/>
  <c r="AV87" i="48" s="1"/>
  <c r="AW87" i="48" s="1"/>
  <c r="AX87" i="48" s="1"/>
  <c r="AY87" i="48" s="1"/>
  <c r="AZ87" i="48" s="1"/>
  <c r="BA87" i="48" s="1"/>
  <c r="BB87" i="48" s="1"/>
  <c r="BC87" i="48" s="1"/>
  <c r="BD87" i="48" s="1"/>
  <c r="BE87" i="48" s="1"/>
  <c r="BF87" i="48" s="1"/>
  <c r="BG87" i="48" s="1"/>
  <c r="BH87" i="48" s="1"/>
  <c r="BI87" i="48" s="1"/>
  <c r="O88" i="48"/>
  <c r="P88" i="48" s="1"/>
  <c r="Q88" i="48" s="1"/>
  <c r="R88" i="48" s="1"/>
  <c r="S88" i="48" s="1"/>
  <c r="T88" i="48" s="1"/>
  <c r="U88" i="48" s="1"/>
  <c r="V88" i="48" s="1"/>
  <c r="W88" i="48" s="1"/>
  <c r="X88" i="48" s="1"/>
  <c r="Y88" i="48" s="1"/>
  <c r="Z88" i="48" s="1"/>
  <c r="AA88" i="48" s="1"/>
  <c r="AB88" i="48" s="1"/>
  <c r="AC88" i="48" s="1"/>
  <c r="AD88" i="48" s="1"/>
  <c r="AE88" i="48" s="1"/>
  <c r="AF88" i="48" s="1"/>
  <c r="AG88" i="48" s="1"/>
  <c r="AH88" i="48" s="1"/>
  <c r="AI88" i="48" s="1"/>
  <c r="AJ88" i="48" s="1"/>
  <c r="AK88" i="48" s="1"/>
  <c r="AL88" i="48" s="1"/>
  <c r="AM88" i="48" s="1"/>
  <c r="AN88" i="48" s="1"/>
  <c r="AO88" i="48" s="1"/>
  <c r="AP88" i="48" s="1"/>
  <c r="AQ88" i="48" s="1"/>
  <c r="AR88" i="48" s="1"/>
  <c r="AS88" i="48" s="1"/>
  <c r="AT88" i="48" s="1"/>
  <c r="AU88" i="48" s="1"/>
  <c r="AV88" i="48" s="1"/>
  <c r="AW88" i="48" s="1"/>
  <c r="AX88" i="48" s="1"/>
  <c r="AY88" i="48" s="1"/>
  <c r="AZ88" i="48" s="1"/>
  <c r="BA88" i="48" s="1"/>
  <c r="BB88" i="48" s="1"/>
  <c r="BC88" i="48" s="1"/>
  <c r="BD88" i="48" s="1"/>
  <c r="BE88" i="48" s="1"/>
  <c r="BF88" i="48" s="1"/>
  <c r="BG88" i="48" s="1"/>
  <c r="BH88" i="48" s="1"/>
  <c r="BI88" i="48" s="1"/>
  <c r="L146" i="48"/>
  <c r="L71" i="48"/>
  <c r="L156" i="48" s="1"/>
  <c r="G146" i="48"/>
  <c r="G71" i="48"/>
  <c r="G156" i="48" s="1"/>
  <c r="I146" i="48"/>
  <c r="I71" i="48"/>
  <c r="I156" i="48" s="1"/>
  <c r="F146" i="48"/>
  <c r="F71" i="48"/>
  <c r="F156" i="48" s="1"/>
  <c r="J146" i="48"/>
  <c r="J71" i="48"/>
  <c r="J156" i="48" s="1"/>
  <c r="E146" i="48"/>
  <c r="E71" i="48"/>
  <c r="E156" i="48" s="1"/>
  <c r="H146" i="48"/>
  <c r="H71" i="48"/>
  <c r="H156" i="48" s="1"/>
  <c r="D146" i="48"/>
  <c r="D71" i="48"/>
  <c r="D156" i="48" s="1"/>
  <c r="K146" i="48"/>
  <c r="K71" i="48"/>
  <c r="K156" i="48" s="1"/>
  <c r="G70" i="48"/>
  <c r="G155" i="48" s="1"/>
  <c r="G138" i="48"/>
  <c r="L70" i="48"/>
  <c r="L155" i="48" s="1"/>
  <c r="L138" i="48"/>
  <c r="J70" i="48"/>
  <c r="J155" i="48" s="1"/>
  <c r="J138" i="48"/>
  <c r="E70" i="48"/>
  <c r="E138" i="48"/>
  <c r="I70" i="48"/>
  <c r="I155" i="48" s="1"/>
  <c r="I138" i="48"/>
  <c r="F70" i="48"/>
  <c r="F155" i="48" s="1"/>
  <c r="F138" i="48"/>
  <c r="H70" i="48"/>
  <c r="H155" i="48" s="1"/>
  <c r="H138" i="48"/>
  <c r="D70" i="48"/>
  <c r="D155" i="48" s="1"/>
  <c r="D138" i="48"/>
  <c r="K70" i="48"/>
  <c r="K155" i="48" s="1"/>
  <c r="K138" i="48"/>
  <c r="J81" i="48"/>
  <c r="J157" i="48" s="1"/>
  <c r="L99" i="48"/>
  <c r="O78" i="48"/>
  <c r="P78" i="48" s="1"/>
  <c r="Q78" i="48" s="1"/>
  <c r="R78" i="48" s="1"/>
  <c r="S78" i="48" s="1"/>
  <c r="T78" i="48" s="1"/>
  <c r="U78" i="48" s="1"/>
  <c r="V78" i="48" s="1"/>
  <c r="W78" i="48" s="1"/>
  <c r="X78" i="48" s="1"/>
  <c r="Y78" i="48" s="1"/>
  <c r="Z78" i="48" s="1"/>
  <c r="AA78" i="48" s="1"/>
  <c r="AB78" i="48" s="1"/>
  <c r="AC78" i="48" s="1"/>
  <c r="AD78" i="48" s="1"/>
  <c r="AE78" i="48" s="1"/>
  <c r="AF78" i="48" s="1"/>
  <c r="AG78" i="48" s="1"/>
  <c r="AH78" i="48" s="1"/>
  <c r="AI78" i="48" s="1"/>
  <c r="AJ78" i="48" s="1"/>
  <c r="AK78" i="48" s="1"/>
  <c r="AL78" i="48" s="1"/>
  <c r="AM78" i="48" s="1"/>
  <c r="AN78" i="48" s="1"/>
  <c r="AO78" i="48" s="1"/>
  <c r="AP78" i="48" s="1"/>
  <c r="AQ78" i="48" s="1"/>
  <c r="AR78" i="48" s="1"/>
  <c r="AS78" i="48" s="1"/>
  <c r="AT78" i="48" s="1"/>
  <c r="AU78" i="48" s="1"/>
  <c r="AV78" i="48" s="1"/>
  <c r="AW78" i="48" s="1"/>
  <c r="AX78" i="48" s="1"/>
  <c r="AY78" i="48" s="1"/>
  <c r="AZ78" i="48" s="1"/>
  <c r="BA78" i="48" s="1"/>
  <c r="BB78" i="48" s="1"/>
  <c r="BC78" i="48" s="1"/>
  <c r="BD78" i="48" s="1"/>
  <c r="BE78" i="48" s="1"/>
  <c r="BF78" i="48" s="1"/>
  <c r="BG78" i="48" s="1"/>
  <c r="BH78" i="48" s="1"/>
  <c r="BI78" i="48" s="1"/>
  <c r="I99" i="48"/>
  <c r="F99" i="48"/>
  <c r="L64" i="48"/>
  <c r="L66" i="48" s="1"/>
  <c r="L56" i="48" s="1"/>
  <c r="L215" i="48" s="1"/>
  <c r="L235" i="48" s="1"/>
  <c r="K99" i="48"/>
  <c r="F81" i="48"/>
  <c r="F157" i="48" s="1"/>
  <c r="I93" i="48"/>
  <c r="I81" i="48"/>
  <c r="I157" i="48" s="1"/>
  <c r="O79" i="48"/>
  <c r="P79" i="48" s="1"/>
  <c r="Q79" i="48" s="1"/>
  <c r="R79" i="48" s="1"/>
  <c r="S79" i="48" s="1"/>
  <c r="T79" i="48" s="1"/>
  <c r="U79" i="48" s="1"/>
  <c r="V79" i="48" s="1"/>
  <c r="W79" i="48" s="1"/>
  <c r="X79" i="48" s="1"/>
  <c r="Y79" i="48" s="1"/>
  <c r="Z79" i="48" s="1"/>
  <c r="AA79" i="48" s="1"/>
  <c r="AB79" i="48" s="1"/>
  <c r="AC79" i="48" s="1"/>
  <c r="AD79" i="48" s="1"/>
  <c r="AE79" i="48" s="1"/>
  <c r="AF79" i="48" s="1"/>
  <c r="AG79" i="48" s="1"/>
  <c r="AH79" i="48" s="1"/>
  <c r="AI79" i="48" s="1"/>
  <c r="AJ79" i="48" s="1"/>
  <c r="AK79" i="48" s="1"/>
  <c r="AL79" i="48" s="1"/>
  <c r="AM79" i="48" s="1"/>
  <c r="AN79" i="48" s="1"/>
  <c r="AO79" i="48" s="1"/>
  <c r="AP79" i="48" s="1"/>
  <c r="AQ79" i="48" s="1"/>
  <c r="AR79" i="48" s="1"/>
  <c r="AS79" i="48" s="1"/>
  <c r="AT79" i="48" s="1"/>
  <c r="AU79" i="48" s="1"/>
  <c r="AV79" i="48" s="1"/>
  <c r="AW79" i="48" s="1"/>
  <c r="AX79" i="48" s="1"/>
  <c r="AY79" i="48" s="1"/>
  <c r="AZ79" i="48" s="1"/>
  <c r="BA79" i="48" s="1"/>
  <c r="BB79" i="48" s="1"/>
  <c r="BC79" i="48" s="1"/>
  <c r="BD79" i="48" s="1"/>
  <c r="BE79" i="48" s="1"/>
  <c r="BF79" i="48" s="1"/>
  <c r="BG79" i="48" s="1"/>
  <c r="BH79" i="48" s="1"/>
  <c r="BI79" i="48" s="1"/>
  <c r="M99" i="48"/>
  <c r="L93" i="48"/>
  <c r="L81" i="48"/>
  <c r="L157" i="48" s="1"/>
  <c r="K81" i="48"/>
  <c r="K157" i="48" s="1"/>
  <c r="N6" i="48"/>
  <c r="M76" i="48"/>
  <c r="M95" i="48" s="1"/>
  <c r="H99" i="48"/>
  <c r="E99" i="48"/>
  <c r="G99" i="48"/>
  <c r="J93" i="48"/>
  <c r="K93" i="48"/>
  <c r="F64" i="48"/>
  <c r="F66" i="48" s="1"/>
  <c r="F47" i="48" s="1"/>
  <c r="F191" i="48" s="1"/>
  <c r="L20" i="48"/>
  <c r="M14" i="48"/>
  <c r="L14" i="48"/>
  <c r="N21" i="48"/>
  <c r="L18" i="48"/>
  <c r="L15" i="48"/>
  <c r="L19" i="48"/>
  <c r="L16" i="48"/>
  <c r="D64" i="48"/>
  <c r="D66" i="48" s="1"/>
  <c r="D54" i="48" s="1"/>
  <c r="D213" i="48" s="1"/>
  <c r="E59" i="48"/>
  <c r="H59" i="48"/>
  <c r="K59" i="48"/>
  <c r="D59" i="48"/>
  <c r="G64" i="48"/>
  <c r="G66" i="48" s="1"/>
  <c r="G54" i="48" s="1"/>
  <c r="G213" i="48" s="1"/>
  <c r="J59" i="48"/>
  <c r="G59" i="48"/>
  <c r="I65" i="48"/>
  <c r="K65" i="48"/>
  <c r="K46" i="48" s="1"/>
  <c r="K190" i="48" s="1"/>
  <c r="E65" i="48"/>
  <c r="E47" i="48" s="1"/>
  <c r="E191" i="48" s="1"/>
  <c r="L59" i="48"/>
  <c r="M17" i="48"/>
  <c r="F59" i="48"/>
  <c r="J64" i="48"/>
  <c r="J66" i="48" s="1"/>
  <c r="J55" i="48" s="1"/>
  <c r="J214" i="48" s="1"/>
  <c r="J241" i="48" s="1"/>
  <c r="M63" i="48"/>
  <c r="N4" i="48"/>
  <c r="M44" i="48"/>
  <c r="M188" i="48" s="1"/>
  <c r="M281" i="48" s="1"/>
  <c r="M11" i="48"/>
  <c r="I59" i="48"/>
  <c r="H64" i="48"/>
  <c r="H66" i="48" s="1"/>
  <c r="H56" i="48" s="1"/>
  <c r="H215" i="48" s="1"/>
  <c r="H235" i="48" s="1"/>
  <c r="N7" i="48"/>
  <c r="L300" i="49" l="1"/>
  <c r="F300" i="49"/>
  <c r="L256" i="49"/>
  <c r="J256" i="49"/>
  <c r="F256" i="49"/>
  <c r="L63" i="49"/>
  <c r="D63" i="49"/>
  <c r="I63" i="49"/>
  <c r="I231" i="49"/>
  <c r="I256" i="49" s="1"/>
  <c r="M51" i="49"/>
  <c r="M232" i="49" s="1"/>
  <c r="M211" i="49"/>
  <c r="M300" i="49" s="1"/>
  <c r="E63" i="49"/>
  <c r="E231" i="49"/>
  <c r="E256" i="49" s="1"/>
  <c r="H116" i="49"/>
  <c r="H160" i="49"/>
  <c r="H115" i="49"/>
  <c r="H159" i="49"/>
  <c r="E116" i="49"/>
  <c r="E160" i="49"/>
  <c r="L116" i="49"/>
  <c r="L160" i="49"/>
  <c r="I116" i="49"/>
  <c r="I160" i="49"/>
  <c r="D117" i="49"/>
  <c r="D161" i="49"/>
  <c r="G116" i="49"/>
  <c r="G160" i="49"/>
  <c r="G117" i="49"/>
  <c r="G161" i="49"/>
  <c r="E117" i="49"/>
  <c r="E161" i="49"/>
  <c r="F116" i="49"/>
  <c r="F160" i="49"/>
  <c r="L117" i="49"/>
  <c r="L161" i="49"/>
  <c r="D116" i="49"/>
  <c r="D160" i="49"/>
  <c r="J116" i="49"/>
  <c r="J160" i="49"/>
  <c r="I117" i="49"/>
  <c r="I161" i="49"/>
  <c r="K116" i="49"/>
  <c r="K160" i="49"/>
  <c r="J115" i="49"/>
  <c r="J159" i="49"/>
  <c r="H117" i="49"/>
  <c r="H161" i="49"/>
  <c r="K117" i="49"/>
  <c r="K161" i="49"/>
  <c r="F117" i="49"/>
  <c r="F161" i="49"/>
  <c r="J117" i="49"/>
  <c r="J161" i="49"/>
  <c r="N49" i="50"/>
  <c r="N74" i="50"/>
  <c r="H31" i="50"/>
  <c r="J40" i="50"/>
  <c r="J45" i="50" s="1"/>
  <c r="G40" i="50"/>
  <c r="G45" i="50" s="1"/>
  <c r="F40" i="50"/>
  <c r="F45" i="50" s="1"/>
  <c r="J31" i="50"/>
  <c r="K31" i="50"/>
  <c r="G31" i="50"/>
  <c r="I31" i="50"/>
  <c r="N37" i="50"/>
  <c r="N29" i="50"/>
  <c r="N30" i="50"/>
  <c r="E31" i="50"/>
  <c r="I182" i="48"/>
  <c r="J180" i="48"/>
  <c r="H178" i="48"/>
  <c r="H288" i="48" s="1"/>
  <c r="H176" i="48"/>
  <c r="E178" i="48"/>
  <c r="E288" i="48" s="1"/>
  <c r="J182" i="48"/>
  <c r="J179" i="48"/>
  <c r="K179" i="48"/>
  <c r="G178" i="48"/>
  <c r="G288" i="48" s="1"/>
  <c r="K175" i="48"/>
  <c r="K255" i="48" s="1"/>
  <c r="F177" i="48"/>
  <c r="E177" i="48"/>
  <c r="D176" i="48"/>
  <c r="K180" i="48"/>
  <c r="I177" i="48"/>
  <c r="D175" i="48"/>
  <c r="D255" i="48" s="1"/>
  <c r="E181" i="48"/>
  <c r="H180" i="48"/>
  <c r="E175" i="48"/>
  <c r="E255" i="48" s="1"/>
  <c r="G177" i="48"/>
  <c r="H177" i="48"/>
  <c r="D178" i="48"/>
  <c r="D288" i="48" s="1"/>
  <c r="I178" i="48"/>
  <c r="I288" i="48" s="1"/>
  <c r="D180" i="48"/>
  <c r="I180" i="48"/>
  <c r="G182" i="48"/>
  <c r="E176" i="48"/>
  <c r="F180" i="48"/>
  <c r="J176" i="48"/>
  <c r="F175" i="48"/>
  <c r="F255" i="48" s="1"/>
  <c r="J178" i="48"/>
  <c r="J288" i="48" s="1"/>
  <c r="H182" i="48"/>
  <c r="K176" i="48"/>
  <c r="I176" i="48"/>
  <c r="K178" i="48"/>
  <c r="K288" i="48" s="1"/>
  <c r="D177" i="48"/>
  <c r="F178" i="48"/>
  <c r="F288" i="48" s="1"/>
  <c r="E180" i="48"/>
  <c r="D181" i="48"/>
  <c r="H132" i="48"/>
  <c r="E130" i="48"/>
  <c r="H130" i="48"/>
  <c r="M133" i="48"/>
  <c r="J128" i="48"/>
  <c r="I130" i="48"/>
  <c r="J132" i="48"/>
  <c r="L133" i="48"/>
  <c r="G133" i="48"/>
  <c r="J126" i="48"/>
  <c r="E133" i="48"/>
  <c r="K132" i="48"/>
  <c r="L129" i="48"/>
  <c r="G132" i="48"/>
  <c r="I126" i="48"/>
  <c r="G131" i="48"/>
  <c r="G126" i="48"/>
  <c r="F130" i="48"/>
  <c r="M27" i="50"/>
  <c r="M38" i="50" s="1"/>
  <c r="M28" i="50"/>
  <c r="M39" i="50" s="1"/>
  <c r="M26" i="50"/>
  <c r="N15" i="50"/>
  <c r="N19" i="50"/>
  <c r="N16" i="50"/>
  <c r="N20" i="50"/>
  <c r="O20" i="50" s="1"/>
  <c r="M11" i="50"/>
  <c r="M12" i="50"/>
  <c r="M34" i="50" s="1"/>
  <c r="O12" i="50"/>
  <c r="M4" i="50"/>
  <c r="M47" i="50" s="1"/>
  <c r="M5" i="50"/>
  <c r="M48" i="50" s="1"/>
  <c r="M96" i="50" s="1"/>
  <c r="E138" i="49"/>
  <c r="E139" i="49"/>
  <c r="E148" i="49"/>
  <c r="L138" i="49"/>
  <c r="L148" i="49"/>
  <c r="L139" i="49"/>
  <c r="J139" i="49"/>
  <c r="J148" i="49"/>
  <c r="J138" i="49"/>
  <c r="H148" i="49"/>
  <c r="H139" i="49"/>
  <c r="H138" i="49"/>
  <c r="O81" i="49"/>
  <c r="P81" i="49" s="1"/>
  <c r="Q81" i="49" s="1"/>
  <c r="R81" i="49" s="1"/>
  <c r="S81" i="49" s="1"/>
  <c r="T81" i="49" s="1"/>
  <c r="U81" i="49" s="1"/>
  <c r="V81" i="49" s="1"/>
  <c r="W81" i="49" s="1"/>
  <c r="X81" i="49" s="1"/>
  <c r="Y81" i="49" s="1"/>
  <c r="Z81" i="49" s="1"/>
  <c r="AA81" i="49" s="1"/>
  <c r="AB81" i="49" s="1"/>
  <c r="AC81" i="49" s="1"/>
  <c r="AD81" i="49" s="1"/>
  <c r="AE81" i="49" s="1"/>
  <c r="AF81" i="49" s="1"/>
  <c r="AG81" i="49" s="1"/>
  <c r="AH81" i="49" s="1"/>
  <c r="AI81" i="49" s="1"/>
  <c r="AJ81" i="49" s="1"/>
  <c r="AK81" i="49" s="1"/>
  <c r="AL81" i="49" s="1"/>
  <c r="AM81" i="49" s="1"/>
  <c r="AN81" i="49" s="1"/>
  <c r="AO81" i="49" s="1"/>
  <c r="AP81" i="49" s="1"/>
  <c r="AQ81" i="49" s="1"/>
  <c r="AR81" i="49" s="1"/>
  <c r="AS81" i="49" s="1"/>
  <c r="AT81" i="49" s="1"/>
  <c r="AU81" i="49" s="1"/>
  <c r="AV81" i="49" s="1"/>
  <c r="AW81" i="49" s="1"/>
  <c r="AX81" i="49" s="1"/>
  <c r="AY81" i="49" s="1"/>
  <c r="AZ81" i="49" s="1"/>
  <c r="BA81" i="49" s="1"/>
  <c r="BB81" i="49" s="1"/>
  <c r="BC81" i="49" s="1"/>
  <c r="BD81" i="49" s="1"/>
  <c r="BE81" i="49" s="1"/>
  <c r="BF81" i="49" s="1"/>
  <c r="BG81" i="49" s="1"/>
  <c r="BH81" i="49" s="1"/>
  <c r="BI81" i="49" s="1"/>
  <c r="F139" i="49"/>
  <c r="F148" i="49"/>
  <c r="F138" i="49"/>
  <c r="K138" i="49"/>
  <c r="K140" i="49" s="1"/>
  <c r="K148" i="49"/>
  <c r="K139" i="49"/>
  <c r="I139" i="49"/>
  <c r="I148" i="49"/>
  <c r="I138" i="49"/>
  <c r="D138" i="49"/>
  <c r="D148" i="49"/>
  <c r="D139" i="49"/>
  <c r="G148" i="49"/>
  <c r="G139" i="49"/>
  <c r="G138" i="49"/>
  <c r="E112" i="49"/>
  <c r="E122" i="49"/>
  <c r="K109" i="49"/>
  <c r="K119" i="49"/>
  <c r="F108" i="49"/>
  <c r="F118" i="49"/>
  <c r="L111" i="49"/>
  <c r="L121" i="49"/>
  <c r="D111" i="49"/>
  <c r="D121" i="49"/>
  <c r="J111" i="49"/>
  <c r="J121" i="49"/>
  <c r="H109" i="49"/>
  <c r="H119" i="49"/>
  <c r="J112" i="49"/>
  <c r="J122" i="49"/>
  <c r="K112" i="49"/>
  <c r="K122" i="49"/>
  <c r="I105" i="49"/>
  <c r="I115" i="49"/>
  <c r="G109" i="49"/>
  <c r="G119" i="49"/>
  <c r="J108" i="49"/>
  <c r="J118" i="49"/>
  <c r="H111" i="49"/>
  <c r="H121" i="49"/>
  <c r="K111" i="49"/>
  <c r="K131" i="49" s="1"/>
  <c r="K121" i="49"/>
  <c r="D112" i="49"/>
  <c r="D122" i="49"/>
  <c r="E110" i="49"/>
  <c r="E120" i="49"/>
  <c r="F112" i="49"/>
  <c r="F132" i="49" s="1"/>
  <c r="F122" i="49"/>
  <c r="L110" i="49"/>
  <c r="L120" i="49"/>
  <c r="I108" i="49"/>
  <c r="I118" i="49"/>
  <c r="G105" i="49"/>
  <c r="G115" i="49"/>
  <c r="D110" i="49"/>
  <c r="D120" i="49"/>
  <c r="G111" i="49"/>
  <c r="G121" i="49"/>
  <c r="E111" i="49"/>
  <c r="E121" i="49"/>
  <c r="L108" i="49"/>
  <c r="L118" i="49"/>
  <c r="I112" i="49"/>
  <c r="I122" i="49"/>
  <c r="G108" i="49"/>
  <c r="G118" i="49"/>
  <c r="D105" i="49"/>
  <c r="D115" i="49"/>
  <c r="F105" i="49"/>
  <c r="F115" i="49"/>
  <c r="H108" i="49"/>
  <c r="H118" i="49"/>
  <c r="E109" i="49"/>
  <c r="E119" i="49"/>
  <c r="K110" i="49"/>
  <c r="K120" i="49"/>
  <c r="F110" i="49"/>
  <c r="F130" i="49" s="1"/>
  <c r="F120" i="49"/>
  <c r="L109" i="49"/>
  <c r="L119" i="49"/>
  <c r="I109" i="49"/>
  <c r="I119" i="49"/>
  <c r="G110" i="49"/>
  <c r="G120" i="49"/>
  <c r="J109" i="49"/>
  <c r="J119" i="49"/>
  <c r="E105" i="49"/>
  <c r="E115" i="49"/>
  <c r="F111" i="49"/>
  <c r="F121" i="49"/>
  <c r="L112" i="49"/>
  <c r="L122" i="49"/>
  <c r="I110" i="49"/>
  <c r="I120" i="49"/>
  <c r="D108" i="49"/>
  <c r="D118" i="49"/>
  <c r="H112" i="49"/>
  <c r="H122" i="49"/>
  <c r="H110" i="49"/>
  <c r="H130" i="49" s="1"/>
  <c r="H120" i="49"/>
  <c r="K105" i="49"/>
  <c r="K115" i="49"/>
  <c r="E108" i="49"/>
  <c r="E128" i="49" s="1"/>
  <c r="E118" i="49"/>
  <c r="K108" i="49"/>
  <c r="K118" i="49"/>
  <c r="F109" i="49"/>
  <c r="F119" i="49"/>
  <c r="L105" i="49"/>
  <c r="L115" i="49"/>
  <c r="I111" i="49"/>
  <c r="I121" i="49"/>
  <c r="G112" i="49"/>
  <c r="G122" i="49"/>
  <c r="D109" i="49"/>
  <c r="D119" i="49"/>
  <c r="J110" i="49"/>
  <c r="J130" i="49" s="1"/>
  <c r="J120" i="49"/>
  <c r="E31" i="49"/>
  <c r="E174" i="49" s="1"/>
  <c r="E107" i="49"/>
  <c r="F29" i="49"/>
  <c r="F172" i="49" s="1"/>
  <c r="F306" i="49" s="1"/>
  <c r="F106" i="49"/>
  <c r="L31" i="49"/>
  <c r="L174" i="49" s="1"/>
  <c r="L107" i="49"/>
  <c r="D29" i="49"/>
  <c r="D172" i="49" s="1"/>
  <c r="D306" i="49" s="1"/>
  <c r="D106" i="49"/>
  <c r="J29" i="49"/>
  <c r="J172" i="49" s="1"/>
  <c r="J306" i="49" s="1"/>
  <c r="J106" i="49"/>
  <c r="O90" i="49"/>
  <c r="P90" i="49" s="1"/>
  <c r="Q90" i="49" s="1"/>
  <c r="R90" i="49" s="1"/>
  <c r="S90" i="49" s="1"/>
  <c r="T90" i="49" s="1"/>
  <c r="U90" i="49" s="1"/>
  <c r="V90" i="49" s="1"/>
  <c r="W90" i="49" s="1"/>
  <c r="X90" i="49" s="1"/>
  <c r="Y90" i="49" s="1"/>
  <c r="Z90" i="49" s="1"/>
  <c r="AA90" i="49" s="1"/>
  <c r="AB90" i="49" s="1"/>
  <c r="AC90" i="49" s="1"/>
  <c r="AD90" i="49" s="1"/>
  <c r="AE90" i="49" s="1"/>
  <c r="AF90" i="49" s="1"/>
  <c r="AG90" i="49" s="1"/>
  <c r="AH90" i="49" s="1"/>
  <c r="AI90" i="49" s="1"/>
  <c r="AJ90" i="49" s="1"/>
  <c r="AK90" i="49" s="1"/>
  <c r="AL90" i="49" s="1"/>
  <c r="AM90" i="49" s="1"/>
  <c r="AN90" i="49" s="1"/>
  <c r="AO90" i="49" s="1"/>
  <c r="AP90" i="49" s="1"/>
  <c r="AQ90" i="49" s="1"/>
  <c r="AR90" i="49" s="1"/>
  <c r="AS90" i="49" s="1"/>
  <c r="AT90" i="49" s="1"/>
  <c r="AU90" i="49" s="1"/>
  <c r="AV90" i="49" s="1"/>
  <c r="AW90" i="49" s="1"/>
  <c r="AX90" i="49" s="1"/>
  <c r="AY90" i="49" s="1"/>
  <c r="AZ90" i="49" s="1"/>
  <c r="BA90" i="49" s="1"/>
  <c r="BB90" i="49" s="1"/>
  <c r="BC90" i="49" s="1"/>
  <c r="BD90" i="49" s="1"/>
  <c r="BE90" i="49" s="1"/>
  <c r="BF90" i="49" s="1"/>
  <c r="BG90" i="49" s="1"/>
  <c r="BH90" i="49" s="1"/>
  <c r="BI90" i="49" s="1"/>
  <c r="G31" i="49"/>
  <c r="G174" i="49" s="1"/>
  <c r="G107" i="49"/>
  <c r="K29" i="49"/>
  <c r="K172" i="49" s="1"/>
  <c r="K306" i="49" s="1"/>
  <c r="K106" i="49"/>
  <c r="J27" i="49"/>
  <c r="J170" i="49" s="1"/>
  <c r="J273" i="49" s="1"/>
  <c r="J105" i="49"/>
  <c r="H31" i="49"/>
  <c r="H174" i="49" s="1"/>
  <c r="H107" i="49"/>
  <c r="L29" i="49"/>
  <c r="L172" i="49" s="1"/>
  <c r="L306" i="49" s="1"/>
  <c r="L106" i="49"/>
  <c r="I31" i="49"/>
  <c r="I174" i="49" s="1"/>
  <c r="I107" i="49"/>
  <c r="K31" i="49"/>
  <c r="K174" i="49" s="1"/>
  <c r="K107" i="49"/>
  <c r="F31" i="49"/>
  <c r="F174" i="49" s="1"/>
  <c r="F107" i="49"/>
  <c r="J31" i="49"/>
  <c r="J174" i="49" s="1"/>
  <c r="J107" i="49"/>
  <c r="I29" i="49"/>
  <c r="I172" i="49" s="1"/>
  <c r="I306" i="49" s="1"/>
  <c r="I106" i="49"/>
  <c r="E29" i="49"/>
  <c r="E172" i="49" s="1"/>
  <c r="E306" i="49" s="1"/>
  <c r="E106" i="49"/>
  <c r="D31" i="49"/>
  <c r="D174" i="49" s="1"/>
  <c r="D107" i="49"/>
  <c r="G29" i="49"/>
  <c r="G172" i="49" s="1"/>
  <c r="G306" i="49" s="1"/>
  <c r="G106" i="49"/>
  <c r="H27" i="49"/>
  <c r="H170" i="49" s="1"/>
  <c r="H273" i="49" s="1"/>
  <c r="H105" i="49"/>
  <c r="H29" i="49"/>
  <c r="H172" i="49" s="1"/>
  <c r="H306" i="49" s="1"/>
  <c r="H106" i="49"/>
  <c r="O91" i="49"/>
  <c r="P91" i="49" s="1"/>
  <c r="Q91" i="49" s="1"/>
  <c r="R91" i="49" s="1"/>
  <c r="S91" i="49" s="1"/>
  <c r="T91" i="49" s="1"/>
  <c r="U91" i="49" s="1"/>
  <c r="V91" i="49" s="1"/>
  <c r="W91" i="49" s="1"/>
  <c r="X91" i="49" s="1"/>
  <c r="Y91" i="49" s="1"/>
  <c r="Z91" i="49" s="1"/>
  <c r="AA91" i="49" s="1"/>
  <c r="AB91" i="49" s="1"/>
  <c r="AC91" i="49" s="1"/>
  <c r="AD91" i="49" s="1"/>
  <c r="AE91" i="49" s="1"/>
  <c r="AF91" i="49" s="1"/>
  <c r="AG91" i="49" s="1"/>
  <c r="AH91" i="49" s="1"/>
  <c r="AI91" i="49" s="1"/>
  <c r="AJ91" i="49" s="1"/>
  <c r="AK91" i="49" s="1"/>
  <c r="AL91" i="49" s="1"/>
  <c r="AM91" i="49" s="1"/>
  <c r="AN91" i="49" s="1"/>
  <c r="AO91" i="49" s="1"/>
  <c r="AP91" i="49" s="1"/>
  <c r="AQ91" i="49" s="1"/>
  <c r="AR91" i="49" s="1"/>
  <c r="AS91" i="49" s="1"/>
  <c r="AT91" i="49" s="1"/>
  <c r="AU91" i="49" s="1"/>
  <c r="AV91" i="49" s="1"/>
  <c r="AW91" i="49" s="1"/>
  <c r="AX91" i="49" s="1"/>
  <c r="AY91" i="49" s="1"/>
  <c r="AZ91" i="49" s="1"/>
  <c r="BA91" i="49" s="1"/>
  <c r="BB91" i="49" s="1"/>
  <c r="BC91" i="49" s="1"/>
  <c r="BD91" i="49" s="1"/>
  <c r="BE91" i="49" s="1"/>
  <c r="BF91" i="49" s="1"/>
  <c r="BG91" i="49" s="1"/>
  <c r="BH91" i="49" s="1"/>
  <c r="BI91" i="49" s="1"/>
  <c r="O83" i="49"/>
  <c r="P83" i="49" s="1"/>
  <c r="Q83" i="49" s="1"/>
  <c r="R83" i="49" s="1"/>
  <c r="S83" i="49" s="1"/>
  <c r="T83" i="49" s="1"/>
  <c r="U83" i="49" s="1"/>
  <c r="V83" i="49" s="1"/>
  <c r="W83" i="49" s="1"/>
  <c r="X83" i="49" s="1"/>
  <c r="Y83" i="49" s="1"/>
  <c r="Z83" i="49" s="1"/>
  <c r="AA83" i="49" s="1"/>
  <c r="AB83" i="49" s="1"/>
  <c r="AC83" i="49" s="1"/>
  <c r="AD83" i="49" s="1"/>
  <c r="AE83" i="49" s="1"/>
  <c r="AF83" i="49" s="1"/>
  <c r="AG83" i="49" s="1"/>
  <c r="AH83" i="49" s="1"/>
  <c r="AI83" i="49" s="1"/>
  <c r="AJ83" i="49" s="1"/>
  <c r="AK83" i="49" s="1"/>
  <c r="AL83" i="49" s="1"/>
  <c r="AM83" i="49" s="1"/>
  <c r="AN83" i="49" s="1"/>
  <c r="AO83" i="49" s="1"/>
  <c r="AP83" i="49" s="1"/>
  <c r="AQ83" i="49" s="1"/>
  <c r="AR83" i="49" s="1"/>
  <c r="AS83" i="49" s="1"/>
  <c r="AT83" i="49" s="1"/>
  <c r="AU83" i="49" s="1"/>
  <c r="AV83" i="49" s="1"/>
  <c r="AW83" i="49" s="1"/>
  <c r="AX83" i="49" s="1"/>
  <c r="AY83" i="49" s="1"/>
  <c r="AZ83" i="49" s="1"/>
  <c r="BA83" i="49" s="1"/>
  <c r="BB83" i="49" s="1"/>
  <c r="BC83" i="49" s="1"/>
  <c r="BD83" i="49" s="1"/>
  <c r="BE83" i="49" s="1"/>
  <c r="BF83" i="49" s="1"/>
  <c r="BG83" i="49" s="1"/>
  <c r="BH83" i="49" s="1"/>
  <c r="BI83" i="49" s="1"/>
  <c r="O92" i="49"/>
  <c r="P92" i="49" s="1"/>
  <c r="Q92" i="49" s="1"/>
  <c r="R92" i="49" s="1"/>
  <c r="S92" i="49" s="1"/>
  <c r="T92" i="49" s="1"/>
  <c r="U92" i="49" s="1"/>
  <c r="V92" i="49" s="1"/>
  <c r="W92" i="49" s="1"/>
  <c r="X92" i="49" s="1"/>
  <c r="Y92" i="49" s="1"/>
  <c r="Z92" i="49" s="1"/>
  <c r="AA92" i="49" s="1"/>
  <c r="AB92" i="49" s="1"/>
  <c r="AC92" i="49" s="1"/>
  <c r="AD92" i="49" s="1"/>
  <c r="AE92" i="49" s="1"/>
  <c r="AF92" i="49" s="1"/>
  <c r="AG92" i="49" s="1"/>
  <c r="AH92" i="49" s="1"/>
  <c r="AI92" i="49" s="1"/>
  <c r="AJ92" i="49" s="1"/>
  <c r="AK92" i="49" s="1"/>
  <c r="AL92" i="49" s="1"/>
  <c r="AM92" i="49" s="1"/>
  <c r="AN92" i="49" s="1"/>
  <c r="AO92" i="49" s="1"/>
  <c r="AP92" i="49" s="1"/>
  <c r="AQ92" i="49" s="1"/>
  <c r="AR92" i="49" s="1"/>
  <c r="AS92" i="49" s="1"/>
  <c r="AT92" i="49" s="1"/>
  <c r="AU92" i="49" s="1"/>
  <c r="AV92" i="49" s="1"/>
  <c r="AW92" i="49" s="1"/>
  <c r="AX92" i="49" s="1"/>
  <c r="AY92" i="49" s="1"/>
  <c r="AZ92" i="49" s="1"/>
  <c r="BA92" i="49" s="1"/>
  <c r="BB92" i="49" s="1"/>
  <c r="BC92" i="49" s="1"/>
  <c r="BD92" i="49" s="1"/>
  <c r="BE92" i="49" s="1"/>
  <c r="BF92" i="49" s="1"/>
  <c r="BG92" i="49" s="1"/>
  <c r="BH92" i="49" s="1"/>
  <c r="BI92" i="49" s="1"/>
  <c r="M11" i="49"/>
  <c r="M93" i="49"/>
  <c r="M94" i="49" s="1"/>
  <c r="M145" i="49" s="1"/>
  <c r="M84" i="49"/>
  <c r="M103" i="49" s="1"/>
  <c r="N89" i="49"/>
  <c r="O89" i="49" s="1"/>
  <c r="P89" i="49" s="1"/>
  <c r="Q89" i="49" s="1"/>
  <c r="R89" i="49" s="1"/>
  <c r="S89" i="49" s="1"/>
  <c r="T89" i="49" s="1"/>
  <c r="U89" i="49" s="1"/>
  <c r="V89" i="49" s="1"/>
  <c r="W89" i="49" s="1"/>
  <c r="X89" i="49" s="1"/>
  <c r="Y89" i="49" s="1"/>
  <c r="Z89" i="49" s="1"/>
  <c r="AA89" i="49" s="1"/>
  <c r="AB89" i="49" s="1"/>
  <c r="AC89" i="49" s="1"/>
  <c r="AD89" i="49" s="1"/>
  <c r="AE89" i="49" s="1"/>
  <c r="AF89" i="49" s="1"/>
  <c r="AG89" i="49" s="1"/>
  <c r="AH89" i="49" s="1"/>
  <c r="AI89" i="49" s="1"/>
  <c r="AJ89" i="49" s="1"/>
  <c r="AK89" i="49" s="1"/>
  <c r="AL89" i="49" s="1"/>
  <c r="AM89" i="49" s="1"/>
  <c r="AN89" i="49" s="1"/>
  <c r="AO89" i="49" s="1"/>
  <c r="AP89" i="49" s="1"/>
  <c r="AQ89" i="49" s="1"/>
  <c r="AR89" i="49" s="1"/>
  <c r="AS89" i="49" s="1"/>
  <c r="AT89" i="49" s="1"/>
  <c r="AU89" i="49" s="1"/>
  <c r="AV89" i="49" s="1"/>
  <c r="AW89" i="49" s="1"/>
  <c r="AX89" i="49" s="1"/>
  <c r="AY89" i="49" s="1"/>
  <c r="AZ89" i="49" s="1"/>
  <c r="BA89" i="49" s="1"/>
  <c r="BB89" i="49" s="1"/>
  <c r="BC89" i="49" s="1"/>
  <c r="BD89" i="49" s="1"/>
  <c r="BE89" i="49" s="1"/>
  <c r="BF89" i="49" s="1"/>
  <c r="BG89" i="49" s="1"/>
  <c r="BH89" i="49" s="1"/>
  <c r="BI89" i="49" s="1"/>
  <c r="N80" i="49"/>
  <c r="O87" i="49"/>
  <c r="O78" i="49"/>
  <c r="N93" i="49"/>
  <c r="O93" i="49" s="1"/>
  <c r="P93" i="49" s="1"/>
  <c r="Q93" i="49" s="1"/>
  <c r="R93" i="49" s="1"/>
  <c r="S93" i="49" s="1"/>
  <c r="T93" i="49" s="1"/>
  <c r="U93" i="49" s="1"/>
  <c r="V93" i="49" s="1"/>
  <c r="W93" i="49" s="1"/>
  <c r="X93" i="49" s="1"/>
  <c r="Y93" i="49" s="1"/>
  <c r="Z93" i="49" s="1"/>
  <c r="AA93" i="49" s="1"/>
  <c r="AB93" i="49" s="1"/>
  <c r="AC93" i="49" s="1"/>
  <c r="AD93" i="49" s="1"/>
  <c r="AE93" i="49" s="1"/>
  <c r="AF93" i="49" s="1"/>
  <c r="AG93" i="49" s="1"/>
  <c r="AH93" i="49" s="1"/>
  <c r="AI93" i="49" s="1"/>
  <c r="AJ93" i="49" s="1"/>
  <c r="AK93" i="49" s="1"/>
  <c r="AL93" i="49" s="1"/>
  <c r="AM93" i="49" s="1"/>
  <c r="AN93" i="49" s="1"/>
  <c r="AO93" i="49" s="1"/>
  <c r="AP93" i="49" s="1"/>
  <c r="AQ93" i="49" s="1"/>
  <c r="AR93" i="49" s="1"/>
  <c r="AS93" i="49" s="1"/>
  <c r="AT93" i="49" s="1"/>
  <c r="AU93" i="49" s="1"/>
  <c r="AV93" i="49" s="1"/>
  <c r="AW93" i="49" s="1"/>
  <c r="AX93" i="49" s="1"/>
  <c r="AY93" i="49" s="1"/>
  <c r="AZ93" i="49" s="1"/>
  <c r="BA93" i="49" s="1"/>
  <c r="BB93" i="49" s="1"/>
  <c r="BC93" i="49" s="1"/>
  <c r="BD93" i="49" s="1"/>
  <c r="BE93" i="49" s="1"/>
  <c r="BF93" i="49" s="1"/>
  <c r="BG93" i="49" s="1"/>
  <c r="BH93" i="49" s="1"/>
  <c r="BI93" i="49" s="1"/>
  <c r="N84" i="49"/>
  <c r="N88" i="49"/>
  <c r="N79" i="49"/>
  <c r="M98" i="49"/>
  <c r="O82" i="49"/>
  <c r="P82" i="49" s="1"/>
  <c r="Q82" i="49" s="1"/>
  <c r="R82" i="49" s="1"/>
  <c r="S82" i="49" s="1"/>
  <c r="T82" i="49" s="1"/>
  <c r="U82" i="49" s="1"/>
  <c r="V82" i="49" s="1"/>
  <c r="W82" i="49" s="1"/>
  <c r="X82" i="49" s="1"/>
  <c r="Y82" i="49" s="1"/>
  <c r="Z82" i="49" s="1"/>
  <c r="AA82" i="49" s="1"/>
  <c r="AB82" i="49" s="1"/>
  <c r="AC82" i="49" s="1"/>
  <c r="AD82" i="49" s="1"/>
  <c r="AE82" i="49" s="1"/>
  <c r="AF82" i="49" s="1"/>
  <c r="AG82" i="49" s="1"/>
  <c r="AH82" i="49" s="1"/>
  <c r="AI82" i="49" s="1"/>
  <c r="AJ82" i="49" s="1"/>
  <c r="AK82" i="49" s="1"/>
  <c r="AL82" i="49" s="1"/>
  <c r="AM82" i="49" s="1"/>
  <c r="AN82" i="49" s="1"/>
  <c r="AO82" i="49" s="1"/>
  <c r="AP82" i="49" s="1"/>
  <c r="AQ82" i="49" s="1"/>
  <c r="AR82" i="49" s="1"/>
  <c r="AS82" i="49" s="1"/>
  <c r="AT82" i="49" s="1"/>
  <c r="AU82" i="49" s="1"/>
  <c r="AV82" i="49" s="1"/>
  <c r="AW82" i="49" s="1"/>
  <c r="AX82" i="49" s="1"/>
  <c r="AY82" i="49" s="1"/>
  <c r="AZ82" i="49" s="1"/>
  <c r="BA82" i="49" s="1"/>
  <c r="BB82" i="49" s="1"/>
  <c r="BC82" i="49" s="1"/>
  <c r="BD82" i="49" s="1"/>
  <c r="BE82" i="49" s="1"/>
  <c r="BF82" i="49" s="1"/>
  <c r="BG82" i="49" s="1"/>
  <c r="BH82" i="49" s="1"/>
  <c r="BI82" i="49" s="1"/>
  <c r="G142" i="49"/>
  <c r="G76" i="49"/>
  <c r="L76" i="49"/>
  <c r="L142" i="49"/>
  <c r="F76" i="49"/>
  <c r="F142" i="49"/>
  <c r="E142" i="49"/>
  <c r="E76" i="49"/>
  <c r="J142" i="49"/>
  <c r="J76" i="49"/>
  <c r="I76" i="49"/>
  <c r="I142" i="49"/>
  <c r="H142" i="49"/>
  <c r="H76" i="49"/>
  <c r="K142" i="49"/>
  <c r="K76" i="49"/>
  <c r="H24" i="49"/>
  <c r="M62" i="49"/>
  <c r="J24" i="49"/>
  <c r="M16" i="49"/>
  <c r="M159" i="49" s="1"/>
  <c r="D27" i="49"/>
  <c r="D170" i="49" s="1"/>
  <c r="D273" i="49" s="1"/>
  <c r="D24" i="49"/>
  <c r="M50" i="49"/>
  <c r="N44" i="49"/>
  <c r="N11" i="49"/>
  <c r="F27" i="49"/>
  <c r="F170" i="49" s="1"/>
  <c r="F273" i="49" s="1"/>
  <c r="F24" i="49"/>
  <c r="I24" i="49"/>
  <c r="I27" i="49"/>
  <c r="I170" i="49" s="1"/>
  <c r="I273" i="49" s="1"/>
  <c r="N45" i="49"/>
  <c r="E27" i="49"/>
  <c r="E170" i="49" s="1"/>
  <c r="E273" i="49" s="1"/>
  <c r="E24" i="49"/>
  <c r="G27" i="49"/>
  <c r="G170" i="49" s="1"/>
  <c r="G273" i="49" s="1"/>
  <c r="G24" i="49"/>
  <c r="K27" i="49"/>
  <c r="K170" i="49" s="1"/>
  <c r="K273" i="49" s="1"/>
  <c r="K24" i="49"/>
  <c r="L27" i="49"/>
  <c r="L170" i="49" s="1"/>
  <c r="L273" i="49" s="1"/>
  <c r="L24" i="49"/>
  <c r="E132" i="48"/>
  <c r="F129" i="48"/>
  <c r="F133" i="48"/>
  <c r="G130" i="48"/>
  <c r="K133" i="48"/>
  <c r="F126" i="48"/>
  <c r="H126" i="48"/>
  <c r="I129" i="48"/>
  <c r="H129" i="48"/>
  <c r="J130" i="48"/>
  <c r="K126" i="48"/>
  <c r="I128" i="48"/>
  <c r="D149" i="48"/>
  <c r="D150" i="48"/>
  <c r="F149" i="48"/>
  <c r="F150" i="48"/>
  <c r="M147" i="48"/>
  <c r="M163" i="48" s="1"/>
  <c r="M148" i="48"/>
  <c r="M164" i="48" s="1"/>
  <c r="H149" i="48"/>
  <c r="H150" i="48"/>
  <c r="I149" i="48"/>
  <c r="I150" i="48"/>
  <c r="E149" i="48"/>
  <c r="E150" i="48"/>
  <c r="G149" i="48"/>
  <c r="G150" i="48"/>
  <c r="K149" i="48"/>
  <c r="K150" i="48"/>
  <c r="J149" i="48"/>
  <c r="J150" i="48"/>
  <c r="L149" i="48"/>
  <c r="L150" i="48"/>
  <c r="K142" i="48"/>
  <c r="L142" i="48"/>
  <c r="G142" i="48"/>
  <c r="D142" i="48"/>
  <c r="E142" i="48"/>
  <c r="M139" i="48"/>
  <c r="M161" i="48" s="1"/>
  <c r="M140" i="48"/>
  <c r="M162" i="48" s="1"/>
  <c r="N94" i="48"/>
  <c r="O75" i="48" s="1"/>
  <c r="P75" i="48" s="1"/>
  <c r="J129" i="48"/>
  <c r="H133" i="48"/>
  <c r="E131" i="48"/>
  <c r="I142" i="48"/>
  <c r="H142" i="48"/>
  <c r="J142" i="48"/>
  <c r="I131" i="48"/>
  <c r="F142" i="48"/>
  <c r="J131" i="48"/>
  <c r="E129" i="48"/>
  <c r="J133" i="48"/>
  <c r="H128" i="48"/>
  <c r="G128" i="48"/>
  <c r="K131" i="48"/>
  <c r="E126" i="48"/>
  <c r="F132" i="48"/>
  <c r="I132" i="48"/>
  <c r="K129" i="48"/>
  <c r="H131" i="48"/>
  <c r="E128" i="48"/>
  <c r="I133" i="48"/>
  <c r="K128" i="48"/>
  <c r="F128" i="48"/>
  <c r="G129" i="48"/>
  <c r="L102" i="48"/>
  <c r="L175" i="48" s="1"/>
  <c r="L255" i="48" s="1"/>
  <c r="L114" i="48"/>
  <c r="M102" i="48"/>
  <c r="M114" i="48"/>
  <c r="M105" i="48"/>
  <c r="M178" i="48" s="1"/>
  <c r="M288" i="48" s="1"/>
  <c r="M117" i="48"/>
  <c r="L108" i="48"/>
  <c r="L181" i="48" s="1"/>
  <c r="L120" i="48"/>
  <c r="K130" i="48"/>
  <c r="L106" i="48"/>
  <c r="L179" i="48" s="1"/>
  <c r="L118" i="48"/>
  <c r="L107" i="48"/>
  <c r="L180" i="48" s="1"/>
  <c r="L119" i="48"/>
  <c r="L103" i="48"/>
  <c r="L176" i="48" s="1"/>
  <c r="L115" i="48"/>
  <c r="L104" i="48"/>
  <c r="L177" i="48" s="1"/>
  <c r="L116" i="48"/>
  <c r="N109" i="48"/>
  <c r="N182" i="48" s="1"/>
  <c r="N121" i="48"/>
  <c r="F131" i="48"/>
  <c r="N77" i="48"/>
  <c r="N96" i="48" s="1"/>
  <c r="O77" i="48" s="1"/>
  <c r="P77" i="48" s="1"/>
  <c r="Q77" i="48" s="1"/>
  <c r="R77" i="48" s="1"/>
  <c r="S77" i="48" s="1"/>
  <c r="T77" i="48" s="1"/>
  <c r="U77" i="48" s="1"/>
  <c r="V77" i="48" s="1"/>
  <c r="W77" i="48" s="1"/>
  <c r="X77" i="48" s="1"/>
  <c r="Y77" i="48" s="1"/>
  <c r="Z77" i="48" s="1"/>
  <c r="AA77" i="48" s="1"/>
  <c r="AB77" i="48" s="1"/>
  <c r="AC77" i="48" s="1"/>
  <c r="AD77" i="48" s="1"/>
  <c r="AE77" i="48" s="1"/>
  <c r="AF77" i="48" s="1"/>
  <c r="AG77" i="48" s="1"/>
  <c r="AH77" i="48" s="1"/>
  <c r="AI77" i="48" s="1"/>
  <c r="AJ77" i="48" s="1"/>
  <c r="AK77" i="48" s="1"/>
  <c r="AL77" i="48" s="1"/>
  <c r="AM77" i="48" s="1"/>
  <c r="AN77" i="48" s="1"/>
  <c r="AO77" i="48" s="1"/>
  <c r="AP77" i="48" s="1"/>
  <c r="AQ77" i="48" s="1"/>
  <c r="AR77" i="48" s="1"/>
  <c r="AS77" i="48" s="1"/>
  <c r="AT77" i="48" s="1"/>
  <c r="AU77" i="48" s="1"/>
  <c r="AV77" i="48" s="1"/>
  <c r="AW77" i="48" s="1"/>
  <c r="AX77" i="48" s="1"/>
  <c r="AY77" i="48" s="1"/>
  <c r="AZ77" i="48" s="1"/>
  <c r="BA77" i="48" s="1"/>
  <c r="BB77" i="48" s="1"/>
  <c r="BC77" i="48" s="1"/>
  <c r="BD77" i="48" s="1"/>
  <c r="BE77" i="48" s="1"/>
  <c r="BF77" i="48" s="1"/>
  <c r="BG77" i="48" s="1"/>
  <c r="BH77" i="48" s="1"/>
  <c r="BI77" i="48" s="1"/>
  <c r="N86" i="48"/>
  <c r="O86" i="48" s="1"/>
  <c r="P86" i="48" s="1"/>
  <c r="Q86" i="48" s="1"/>
  <c r="R86" i="48" s="1"/>
  <c r="S86" i="48" s="1"/>
  <c r="T86" i="48" s="1"/>
  <c r="U86" i="48" s="1"/>
  <c r="V86" i="48" s="1"/>
  <c r="W86" i="48" s="1"/>
  <c r="X86" i="48" s="1"/>
  <c r="Y86" i="48" s="1"/>
  <c r="Z86" i="48" s="1"/>
  <c r="AA86" i="48" s="1"/>
  <c r="AB86" i="48" s="1"/>
  <c r="AC86" i="48" s="1"/>
  <c r="AD86" i="48" s="1"/>
  <c r="AE86" i="48" s="1"/>
  <c r="AF86" i="48" s="1"/>
  <c r="AG86" i="48" s="1"/>
  <c r="AH86" i="48" s="1"/>
  <c r="AI86" i="48" s="1"/>
  <c r="AJ86" i="48" s="1"/>
  <c r="AK86" i="48" s="1"/>
  <c r="AL86" i="48" s="1"/>
  <c r="AM86" i="48" s="1"/>
  <c r="AN86" i="48" s="1"/>
  <c r="AO86" i="48" s="1"/>
  <c r="AP86" i="48" s="1"/>
  <c r="AQ86" i="48" s="1"/>
  <c r="AR86" i="48" s="1"/>
  <c r="AS86" i="48" s="1"/>
  <c r="AT86" i="48" s="1"/>
  <c r="AU86" i="48" s="1"/>
  <c r="AV86" i="48" s="1"/>
  <c r="AW86" i="48" s="1"/>
  <c r="AX86" i="48" s="1"/>
  <c r="AY86" i="48" s="1"/>
  <c r="AZ86" i="48" s="1"/>
  <c r="BA86" i="48" s="1"/>
  <c r="BB86" i="48" s="1"/>
  <c r="BC86" i="48" s="1"/>
  <c r="BD86" i="48" s="1"/>
  <c r="BE86" i="48" s="1"/>
  <c r="BF86" i="48" s="1"/>
  <c r="BG86" i="48" s="1"/>
  <c r="BH86" i="48" s="1"/>
  <c r="BI86" i="48" s="1"/>
  <c r="N76" i="48"/>
  <c r="N95" i="48" s="1"/>
  <c r="O76" i="48" s="1"/>
  <c r="P76" i="48" s="1"/>
  <c r="Q76" i="48" s="1"/>
  <c r="R76" i="48" s="1"/>
  <c r="S76" i="48" s="1"/>
  <c r="T76" i="48" s="1"/>
  <c r="U76" i="48" s="1"/>
  <c r="V76" i="48" s="1"/>
  <c r="W76" i="48" s="1"/>
  <c r="X76" i="48" s="1"/>
  <c r="Y76" i="48" s="1"/>
  <c r="Z76" i="48" s="1"/>
  <c r="AA76" i="48" s="1"/>
  <c r="AB76" i="48" s="1"/>
  <c r="AC76" i="48" s="1"/>
  <c r="AD76" i="48" s="1"/>
  <c r="AE76" i="48" s="1"/>
  <c r="AF76" i="48" s="1"/>
  <c r="AG76" i="48" s="1"/>
  <c r="AH76" i="48" s="1"/>
  <c r="AI76" i="48" s="1"/>
  <c r="AJ76" i="48" s="1"/>
  <c r="AK76" i="48" s="1"/>
  <c r="AL76" i="48" s="1"/>
  <c r="AM76" i="48" s="1"/>
  <c r="AN76" i="48" s="1"/>
  <c r="AO76" i="48" s="1"/>
  <c r="AP76" i="48" s="1"/>
  <c r="AQ76" i="48" s="1"/>
  <c r="AR76" i="48" s="1"/>
  <c r="AS76" i="48" s="1"/>
  <c r="AT76" i="48" s="1"/>
  <c r="AU76" i="48" s="1"/>
  <c r="AV76" i="48" s="1"/>
  <c r="AW76" i="48" s="1"/>
  <c r="AX76" i="48" s="1"/>
  <c r="AY76" i="48" s="1"/>
  <c r="AZ76" i="48" s="1"/>
  <c r="BA76" i="48" s="1"/>
  <c r="BB76" i="48" s="1"/>
  <c r="BC76" i="48" s="1"/>
  <c r="BD76" i="48" s="1"/>
  <c r="BE76" i="48" s="1"/>
  <c r="BF76" i="48" s="1"/>
  <c r="BG76" i="48" s="1"/>
  <c r="BH76" i="48" s="1"/>
  <c r="BI76" i="48" s="1"/>
  <c r="N85" i="48"/>
  <c r="O85" i="48" s="1"/>
  <c r="P85" i="48" s="1"/>
  <c r="Q85" i="48" s="1"/>
  <c r="R85" i="48" s="1"/>
  <c r="S85" i="48" s="1"/>
  <c r="T85" i="48" s="1"/>
  <c r="U85" i="48" s="1"/>
  <c r="V85" i="48" s="1"/>
  <c r="W85" i="48" s="1"/>
  <c r="X85" i="48" s="1"/>
  <c r="Y85" i="48" s="1"/>
  <c r="Z85" i="48" s="1"/>
  <c r="AA85" i="48" s="1"/>
  <c r="AB85" i="48" s="1"/>
  <c r="AC85" i="48" s="1"/>
  <c r="AD85" i="48" s="1"/>
  <c r="AE85" i="48" s="1"/>
  <c r="AF85" i="48" s="1"/>
  <c r="AG85" i="48" s="1"/>
  <c r="AH85" i="48" s="1"/>
  <c r="AI85" i="48" s="1"/>
  <c r="AJ85" i="48" s="1"/>
  <c r="AK85" i="48" s="1"/>
  <c r="AL85" i="48" s="1"/>
  <c r="AM85" i="48" s="1"/>
  <c r="AN85" i="48" s="1"/>
  <c r="AO85" i="48" s="1"/>
  <c r="AP85" i="48" s="1"/>
  <c r="AQ85" i="48" s="1"/>
  <c r="AR85" i="48" s="1"/>
  <c r="AS85" i="48" s="1"/>
  <c r="AT85" i="48" s="1"/>
  <c r="AU85" i="48" s="1"/>
  <c r="AV85" i="48" s="1"/>
  <c r="AW85" i="48" s="1"/>
  <c r="AX85" i="48" s="1"/>
  <c r="AY85" i="48" s="1"/>
  <c r="AZ85" i="48" s="1"/>
  <c r="BA85" i="48" s="1"/>
  <c r="BB85" i="48" s="1"/>
  <c r="BC85" i="48" s="1"/>
  <c r="BD85" i="48" s="1"/>
  <c r="BE85" i="48" s="1"/>
  <c r="BF85" i="48" s="1"/>
  <c r="BG85" i="48" s="1"/>
  <c r="BH85" i="48" s="1"/>
  <c r="BI85" i="48" s="1"/>
  <c r="N74" i="48"/>
  <c r="N93" i="48" s="1"/>
  <c r="O74" i="48" s="1"/>
  <c r="N83" i="48"/>
  <c r="M90" i="48"/>
  <c r="M158" i="48" s="1"/>
  <c r="O89" i="48"/>
  <c r="P89" i="48" s="1"/>
  <c r="Q89" i="48" s="1"/>
  <c r="R89" i="48" s="1"/>
  <c r="S89" i="48" s="1"/>
  <c r="T89" i="48" s="1"/>
  <c r="U89" i="48" s="1"/>
  <c r="V89" i="48" s="1"/>
  <c r="W89" i="48" s="1"/>
  <c r="X89" i="48" s="1"/>
  <c r="Y89" i="48" s="1"/>
  <c r="Z89" i="48" s="1"/>
  <c r="AA89" i="48" s="1"/>
  <c r="AB89" i="48" s="1"/>
  <c r="AC89" i="48" s="1"/>
  <c r="AD89" i="48" s="1"/>
  <c r="AE89" i="48" s="1"/>
  <c r="AF89" i="48" s="1"/>
  <c r="AG89" i="48" s="1"/>
  <c r="AH89" i="48" s="1"/>
  <c r="AI89" i="48" s="1"/>
  <c r="AJ89" i="48" s="1"/>
  <c r="AK89" i="48" s="1"/>
  <c r="AL89" i="48" s="1"/>
  <c r="AM89" i="48" s="1"/>
  <c r="AN89" i="48" s="1"/>
  <c r="AO89" i="48" s="1"/>
  <c r="AP89" i="48" s="1"/>
  <c r="AQ89" i="48" s="1"/>
  <c r="AR89" i="48" s="1"/>
  <c r="AS89" i="48" s="1"/>
  <c r="AT89" i="48" s="1"/>
  <c r="AU89" i="48" s="1"/>
  <c r="AV89" i="48" s="1"/>
  <c r="AW89" i="48" s="1"/>
  <c r="AX89" i="48" s="1"/>
  <c r="AY89" i="48" s="1"/>
  <c r="AZ89" i="48" s="1"/>
  <c r="BA89" i="48" s="1"/>
  <c r="BB89" i="48" s="1"/>
  <c r="BC89" i="48" s="1"/>
  <c r="BD89" i="48" s="1"/>
  <c r="BE89" i="48" s="1"/>
  <c r="BF89" i="48" s="1"/>
  <c r="BG89" i="48" s="1"/>
  <c r="BH89" i="48" s="1"/>
  <c r="BI89" i="48" s="1"/>
  <c r="M146" i="48"/>
  <c r="M71" i="48"/>
  <c r="M156" i="48" s="1"/>
  <c r="G72" i="48"/>
  <c r="F72" i="48"/>
  <c r="E155" i="48"/>
  <c r="J141" i="48"/>
  <c r="L141" i="48"/>
  <c r="K141" i="48"/>
  <c r="I141" i="48"/>
  <c r="G141" i="48"/>
  <c r="H141" i="48"/>
  <c r="F141" i="48"/>
  <c r="D141" i="48"/>
  <c r="E141" i="48"/>
  <c r="E72" i="48"/>
  <c r="L72" i="48"/>
  <c r="H72" i="48"/>
  <c r="I72" i="48"/>
  <c r="M70" i="48"/>
  <c r="M155" i="48" s="1"/>
  <c r="M138" i="48"/>
  <c r="K72" i="48"/>
  <c r="J72" i="48"/>
  <c r="L54" i="48"/>
  <c r="L213" i="48" s="1"/>
  <c r="L46" i="48"/>
  <c r="L190" i="48" s="1"/>
  <c r="L45" i="48"/>
  <c r="L189" i="48" s="1"/>
  <c r="L52" i="48"/>
  <c r="L211" i="48" s="1"/>
  <c r="L48" i="48"/>
  <c r="L192" i="48" s="1"/>
  <c r="L285" i="48" s="1"/>
  <c r="L55" i="48"/>
  <c r="L214" i="48" s="1"/>
  <c r="L241" i="48" s="1"/>
  <c r="L53" i="48"/>
  <c r="L212" i="48" s="1"/>
  <c r="L49" i="48"/>
  <c r="L193" i="48" s="1"/>
  <c r="L279" i="48" s="1"/>
  <c r="L47" i="48"/>
  <c r="L191" i="48" s="1"/>
  <c r="M81" i="48"/>
  <c r="M157" i="48" s="1"/>
  <c r="O80" i="48"/>
  <c r="P80" i="48" s="1"/>
  <c r="Q80" i="48" s="1"/>
  <c r="R80" i="48" s="1"/>
  <c r="S80" i="48" s="1"/>
  <c r="T80" i="48" s="1"/>
  <c r="U80" i="48" s="1"/>
  <c r="V80" i="48" s="1"/>
  <c r="W80" i="48" s="1"/>
  <c r="X80" i="48" s="1"/>
  <c r="Y80" i="48" s="1"/>
  <c r="Z80" i="48" s="1"/>
  <c r="AA80" i="48" s="1"/>
  <c r="AB80" i="48" s="1"/>
  <c r="AC80" i="48" s="1"/>
  <c r="AD80" i="48" s="1"/>
  <c r="AE80" i="48" s="1"/>
  <c r="AF80" i="48" s="1"/>
  <c r="AG80" i="48" s="1"/>
  <c r="AH80" i="48" s="1"/>
  <c r="AI80" i="48" s="1"/>
  <c r="AJ80" i="48" s="1"/>
  <c r="AK80" i="48" s="1"/>
  <c r="AL80" i="48" s="1"/>
  <c r="AM80" i="48" s="1"/>
  <c r="AN80" i="48" s="1"/>
  <c r="AO80" i="48" s="1"/>
  <c r="AP80" i="48" s="1"/>
  <c r="AQ80" i="48" s="1"/>
  <c r="AR80" i="48" s="1"/>
  <c r="AS80" i="48" s="1"/>
  <c r="AT80" i="48" s="1"/>
  <c r="AU80" i="48" s="1"/>
  <c r="AV80" i="48" s="1"/>
  <c r="AW80" i="48" s="1"/>
  <c r="AX80" i="48" s="1"/>
  <c r="AY80" i="48" s="1"/>
  <c r="AZ80" i="48" s="1"/>
  <c r="BA80" i="48" s="1"/>
  <c r="BB80" i="48" s="1"/>
  <c r="BC80" i="48" s="1"/>
  <c r="BD80" i="48" s="1"/>
  <c r="BE80" i="48" s="1"/>
  <c r="BF80" i="48" s="1"/>
  <c r="BG80" i="48" s="1"/>
  <c r="BH80" i="48" s="1"/>
  <c r="BI80" i="48" s="1"/>
  <c r="F45" i="48"/>
  <c r="F189" i="48" s="1"/>
  <c r="N14" i="48"/>
  <c r="F52" i="48"/>
  <c r="F211" i="48" s="1"/>
  <c r="F56" i="48"/>
  <c r="F215" i="48" s="1"/>
  <c r="F235" i="48" s="1"/>
  <c r="D46" i="48"/>
  <c r="D190" i="48" s="1"/>
  <c r="F53" i="48"/>
  <c r="F212" i="48" s="1"/>
  <c r="F54" i="48"/>
  <c r="F213" i="48" s="1"/>
  <c r="F48" i="48"/>
  <c r="F192" i="48" s="1"/>
  <c r="F285" i="48" s="1"/>
  <c r="F46" i="48"/>
  <c r="F190" i="48" s="1"/>
  <c r="F55" i="48"/>
  <c r="F214" i="48" s="1"/>
  <c r="F241" i="48" s="1"/>
  <c r="F49" i="48"/>
  <c r="F193" i="48" s="1"/>
  <c r="F279" i="48" s="1"/>
  <c r="D52" i="48"/>
  <c r="D211" i="48" s="1"/>
  <c r="K48" i="48"/>
  <c r="K192" i="48" s="1"/>
  <c r="K285" i="48" s="1"/>
  <c r="D49" i="48"/>
  <c r="D193" i="48" s="1"/>
  <c r="D279" i="48" s="1"/>
  <c r="D47" i="48"/>
  <c r="D191" i="48" s="1"/>
  <c r="D45" i="48"/>
  <c r="D189" i="48" s="1"/>
  <c r="D53" i="48"/>
  <c r="D212" i="48" s="1"/>
  <c r="D48" i="48"/>
  <c r="D192" i="48" s="1"/>
  <c r="D285" i="48" s="1"/>
  <c r="D56" i="48"/>
  <c r="D215" i="48" s="1"/>
  <c r="D235" i="48" s="1"/>
  <c r="K45" i="48"/>
  <c r="K189" i="48" s="1"/>
  <c r="D55" i="48"/>
  <c r="D214" i="48" s="1"/>
  <c r="D241" i="48" s="1"/>
  <c r="K47" i="48"/>
  <c r="K191" i="48" s="1"/>
  <c r="N18" i="48"/>
  <c r="M18" i="48"/>
  <c r="K49" i="48"/>
  <c r="K193" i="48" s="1"/>
  <c r="K279" i="48" s="1"/>
  <c r="N19" i="48"/>
  <c r="M19" i="48"/>
  <c r="M59" i="48"/>
  <c r="N15" i="48"/>
  <c r="M15" i="48"/>
  <c r="N16" i="48"/>
  <c r="M16" i="48"/>
  <c r="M20" i="48"/>
  <c r="G46" i="48"/>
  <c r="G190" i="48" s="1"/>
  <c r="G47" i="48"/>
  <c r="G191" i="48" s="1"/>
  <c r="G56" i="48"/>
  <c r="G215" i="48" s="1"/>
  <c r="G235" i="48" s="1"/>
  <c r="G49" i="48"/>
  <c r="G193" i="48" s="1"/>
  <c r="G279" i="48" s="1"/>
  <c r="E45" i="48"/>
  <c r="E189" i="48" s="1"/>
  <c r="G45" i="48"/>
  <c r="G189" i="48" s="1"/>
  <c r="G48" i="48"/>
  <c r="G192" i="48" s="1"/>
  <c r="G285" i="48" s="1"/>
  <c r="G55" i="48"/>
  <c r="G214" i="48" s="1"/>
  <c r="G241" i="48" s="1"/>
  <c r="G53" i="48"/>
  <c r="G212" i="48" s="1"/>
  <c r="E48" i="48"/>
  <c r="E192" i="48" s="1"/>
  <c r="E285" i="48" s="1"/>
  <c r="E49" i="48"/>
  <c r="E193" i="48" s="1"/>
  <c r="E279" i="48" s="1"/>
  <c r="E46" i="48"/>
  <c r="E190" i="48" s="1"/>
  <c r="G52" i="48"/>
  <c r="G211" i="48" s="1"/>
  <c r="H47" i="48"/>
  <c r="H191" i="48" s="1"/>
  <c r="H49" i="48"/>
  <c r="H193" i="48" s="1"/>
  <c r="H279" i="48" s="1"/>
  <c r="H46" i="48"/>
  <c r="H190" i="48" s="1"/>
  <c r="H45" i="48"/>
  <c r="H189" i="48" s="1"/>
  <c r="H48" i="48"/>
  <c r="H192" i="48" s="1"/>
  <c r="H285" i="48" s="1"/>
  <c r="K55" i="48"/>
  <c r="K214" i="48" s="1"/>
  <c r="K241" i="48" s="1"/>
  <c r="K52" i="48"/>
  <c r="K211" i="48" s="1"/>
  <c r="K54" i="48"/>
  <c r="K213" i="48" s="1"/>
  <c r="K56" i="48"/>
  <c r="K215" i="48" s="1"/>
  <c r="K235" i="48" s="1"/>
  <c r="K53" i="48"/>
  <c r="K212" i="48" s="1"/>
  <c r="J52" i="48"/>
  <c r="J211" i="48" s="1"/>
  <c r="M64" i="48"/>
  <c r="M66" i="48" s="1"/>
  <c r="M65" i="48"/>
  <c r="I53" i="48"/>
  <c r="I212" i="48" s="1"/>
  <c r="I55" i="48"/>
  <c r="I214" i="48" s="1"/>
  <c r="I241" i="48" s="1"/>
  <c r="I52" i="48"/>
  <c r="I211" i="48" s="1"/>
  <c r="I56" i="48"/>
  <c r="I215" i="48" s="1"/>
  <c r="I235" i="48" s="1"/>
  <c r="I54" i="48"/>
  <c r="I213" i="48" s="1"/>
  <c r="I45" i="48"/>
  <c r="I189" i="48" s="1"/>
  <c r="N17" i="48"/>
  <c r="H54" i="48"/>
  <c r="H213" i="48" s="1"/>
  <c r="I47" i="48"/>
  <c r="I191" i="48" s="1"/>
  <c r="H52" i="48"/>
  <c r="H211" i="48" s="1"/>
  <c r="I48" i="48"/>
  <c r="I192" i="48" s="1"/>
  <c r="I285" i="48" s="1"/>
  <c r="J49" i="48"/>
  <c r="J193" i="48" s="1"/>
  <c r="J279" i="48" s="1"/>
  <c r="J46" i="48"/>
  <c r="J190" i="48" s="1"/>
  <c r="J48" i="48"/>
  <c r="J192" i="48" s="1"/>
  <c r="J285" i="48" s="1"/>
  <c r="J45" i="48"/>
  <c r="J189" i="48" s="1"/>
  <c r="J47" i="48"/>
  <c r="J191" i="48" s="1"/>
  <c r="J54" i="48"/>
  <c r="J213" i="48" s="1"/>
  <c r="N44" i="48"/>
  <c r="N188" i="48" s="1"/>
  <c r="N281" i="48" s="1"/>
  <c r="N11" i="48"/>
  <c r="N63" i="48"/>
  <c r="E54" i="48"/>
  <c r="E213" i="48" s="1"/>
  <c r="E56" i="48"/>
  <c r="E215" i="48" s="1"/>
  <c r="E235" i="48" s="1"/>
  <c r="E53" i="48"/>
  <c r="E212" i="48" s="1"/>
  <c r="E55" i="48"/>
  <c r="E214" i="48" s="1"/>
  <c r="E241" i="48" s="1"/>
  <c r="E52" i="48"/>
  <c r="E211" i="48" s="1"/>
  <c r="H55" i="48"/>
  <c r="H214" i="48" s="1"/>
  <c r="H241" i="48" s="1"/>
  <c r="J53" i="48"/>
  <c r="J212" i="48" s="1"/>
  <c r="I46" i="48"/>
  <c r="I190" i="48" s="1"/>
  <c r="H53" i="48"/>
  <c r="H212" i="48" s="1"/>
  <c r="J56" i="48"/>
  <c r="J215" i="48" s="1"/>
  <c r="J235" i="48" s="1"/>
  <c r="I49" i="48"/>
  <c r="I193" i="48" s="1"/>
  <c r="I279" i="48" s="1"/>
  <c r="K282" i="48" l="1"/>
  <c r="F238" i="48"/>
  <c r="D167" i="49"/>
  <c r="M63" i="49"/>
  <c r="M231" i="49"/>
  <c r="M256" i="49" s="1"/>
  <c r="N50" i="49"/>
  <c r="N231" i="49" s="1"/>
  <c r="N210" i="49"/>
  <c r="N51" i="49"/>
  <c r="N232" i="49" s="1"/>
  <c r="N211" i="49"/>
  <c r="E167" i="49"/>
  <c r="I167" i="49"/>
  <c r="I140" i="49"/>
  <c r="K167" i="49"/>
  <c r="G167" i="49"/>
  <c r="L167" i="49"/>
  <c r="L132" i="49"/>
  <c r="H167" i="49"/>
  <c r="J167" i="49"/>
  <c r="F167" i="49"/>
  <c r="M49" i="50"/>
  <c r="M74" i="50"/>
  <c r="P20" i="50"/>
  <c r="O30" i="50"/>
  <c r="P30" i="50" s="1"/>
  <c r="E130" i="49"/>
  <c r="I282" i="48"/>
  <c r="J238" i="48"/>
  <c r="E282" i="48"/>
  <c r="M37" i="50"/>
  <c r="M29" i="50"/>
  <c r="N31" i="50" s="1"/>
  <c r="M30" i="50"/>
  <c r="J282" i="48"/>
  <c r="H282" i="48"/>
  <c r="D266" i="48"/>
  <c r="L238" i="48"/>
  <c r="I266" i="48"/>
  <c r="I238" i="48"/>
  <c r="F282" i="48"/>
  <c r="L266" i="48"/>
  <c r="J266" i="48"/>
  <c r="G282" i="48"/>
  <c r="D282" i="48"/>
  <c r="L282" i="48"/>
  <c r="E266" i="48"/>
  <c r="H238" i="48"/>
  <c r="K238" i="48"/>
  <c r="K266" i="48"/>
  <c r="E238" i="48"/>
  <c r="G238" i="48"/>
  <c r="D238" i="48"/>
  <c r="G216" i="48"/>
  <c r="H216" i="48"/>
  <c r="K216" i="48"/>
  <c r="E216" i="48"/>
  <c r="K194" i="48"/>
  <c r="K200" i="48" s="1"/>
  <c r="D216" i="48"/>
  <c r="I216" i="48"/>
  <c r="J194" i="48"/>
  <c r="H194" i="48"/>
  <c r="F216" i="48"/>
  <c r="I194" i="48"/>
  <c r="I196" i="48" s="1"/>
  <c r="J216" i="48"/>
  <c r="E194" i="48"/>
  <c r="E198" i="48" s="1"/>
  <c r="F194" i="48"/>
  <c r="F201" i="48" s="1"/>
  <c r="L216" i="48"/>
  <c r="G194" i="48"/>
  <c r="L194" i="48"/>
  <c r="D194" i="48"/>
  <c r="M175" i="48"/>
  <c r="M255" i="48" s="1"/>
  <c r="M129" i="48"/>
  <c r="L131" i="48"/>
  <c r="N133" i="48"/>
  <c r="O109" i="48" s="1"/>
  <c r="L130" i="48"/>
  <c r="L126" i="48"/>
  <c r="L128" i="48"/>
  <c r="L132" i="48"/>
  <c r="N21" i="50"/>
  <c r="N36" i="50" s="1"/>
  <c r="O19" i="50"/>
  <c r="M13" i="50"/>
  <c r="M33" i="50"/>
  <c r="P12" i="50"/>
  <c r="O34" i="50"/>
  <c r="J140" i="49"/>
  <c r="M16" i="50"/>
  <c r="M23" i="50" s="1"/>
  <c r="M20" i="50"/>
  <c r="N17" i="50"/>
  <c r="N35" i="50" s="1"/>
  <c r="M15" i="50"/>
  <c r="N22" i="50" s="1"/>
  <c r="M19" i="50"/>
  <c r="N13" i="50"/>
  <c r="G140" i="49"/>
  <c r="F140" i="49"/>
  <c r="I130" i="49"/>
  <c r="J128" i="49"/>
  <c r="H140" i="49"/>
  <c r="L140" i="49"/>
  <c r="H127" i="49"/>
  <c r="G132" i="49"/>
  <c r="E140" i="49"/>
  <c r="G123" i="49"/>
  <c r="G147" i="49" s="1"/>
  <c r="J123" i="49"/>
  <c r="J147" i="49" s="1"/>
  <c r="J129" i="49"/>
  <c r="L128" i="49"/>
  <c r="J132" i="49"/>
  <c r="L131" i="49"/>
  <c r="G126" i="49"/>
  <c r="I128" i="49"/>
  <c r="M75" i="49"/>
  <c r="M143" i="49" s="1"/>
  <c r="M135" i="49"/>
  <c r="M136" i="49"/>
  <c r="M149" i="49" s="1"/>
  <c r="M137" i="49"/>
  <c r="M150" i="49" s="1"/>
  <c r="J127" i="49"/>
  <c r="L126" i="49"/>
  <c r="F131" i="49"/>
  <c r="I129" i="49"/>
  <c r="E129" i="49"/>
  <c r="G128" i="49"/>
  <c r="L130" i="49"/>
  <c r="J131" i="49"/>
  <c r="N135" i="49"/>
  <c r="N136" i="49"/>
  <c r="N149" i="49" s="1"/>
  <c r="N137" i="49"/>
  <c r="N150" i="49" s="1"/>
  <c r="J126" i="49"/>
  <c r="E127" i="49"/>
  <c r="H123" i="49"/>
  <c r="H147" i="49" s="1"/>
  <c r="H126" i="49"/>
  <c r="E126" i="49"/>
  <c r="K127" i="49"/>
  <c r="H131" i="49"/>
  <c r="J113" i="49"/>
  <c r="J146" i="49" s="1"/>
  <c r="J125" i="49"/>
  <c r="D123" i="49"/>
  <c r="D147" i="49" s="1"/>
  <c r="G113" i="49"/>
  <c r="G146" i="49" s="1"/>
  <c r="G125" i="49"/>
  <c r="J65" i="49"/>
  <c r="J35" i="49" s="1"/>
  <c r="F129" i="49"/>
  <c r="G130" i="49"/>
  <c r="K130" i="49"/>
  <c r="D113" i="49"/>
  <c r="D146" i="49" s="1"/>
  <c r="E131" i="49"/>
  <c r="L113" i="49"/>
  <c r="L146" i="49" s="1"/>
  <c r="L125" i="49"/>
  <c r="H113" i="49"/>
  <c r="H146" i="49" s="1"/>
  <c r="H125" i="49"/>
  <c r="I126" i="49"/>
  <c r="I127" i="49"/>
  <c r="K126" i="49"/>
  <c r="G129" i="49"/>
  <c r="H129" i="49"/>
  <c r="F128" i="49"/>
  <c r="K113" i="49"/>
  <c r="K146" i="49" s="1"/>
  <c r="K125" i="49"/>
  <c r="L127" i="49"/>
  <c r="K128" i="49"/>
  <c r="H132" i="49"/>
  <c r="G131" i="49"/>
  <c r="I123" i="49"/>
  <c r="I147" i="49" s="1"/>
  <c r="F125" i="49"/>
  <c r="F113" i="49"/>
  <c r="F146" i="49" s="1"/>
  <c r="M105" i="49"/>
  <c r="M115" i="49"/>
  <c r="G127" i="49"/>
  <c r="E123" i="49"/>
  <c r="E147" i="49" s="1"/>
  <c r="I113" i="49"/>
  <c r="I146" i="49" s="1"/>
  <c r="I125" i="49"/>
  <c r="K129" i="49"/>
  <c r="F126" i="49"/>
  <c r="I131" i="49"/>
  <c r="E125" i="49"/>
  <c r="E113" i="49"/>
  <c r="E146" i="49" s="1"/>
  <c r="L129" i="49"/>
  <c r="H128" i="49"/>
  <c r="I132" i="49"/>
  <c r="F127" i="49"/>
  <c r="L123" i="49"/>
  <c r="L147" i="49" s="1"/>
  <c r="K123" i="49"/>
  <c r="K147" i="49" s="1"/>
  <c r="F123" i="49"/>
  <c r="F147" i="49" s="1"/>
  <c r="K132" i="49"/>
  <c r="E132" i="49"/>
  <c r="H65" i="49"/>
  <c r="H48" i="49" s="1"/>
  <c r="H214" i="49" s="1"/>
  <c r="H295" i="49" s="1"/>
  <c r="M22" i="49"/>
  <c r="M165" i="49" s="1"/>
  <c r="M20" i="49"/>
  <c r="M163" i="49" s="1"/>
  <c r="M74" i="49"/>
  <c r="M76" i="49" s="1"/>
  <c r="M17" i="49"/>
  <c r="M18" i="49"/>
  <c r="M19" i="49"/>
  <c r="M162" i="49" s="1"/>
  <c r="M23" i="49"/>
  <c r="M166" i="49" s="1"/>
  <c r="M21" i="49"/>
  <c r="M164" i="49" s="1"/>
  <c r="M85" i="49"/>
  <c r="M144" i="49" s="1"/>
  <c r="N98" i="49"/>
  <c r="O79" i="49" s="1"/>
  <c r="P79" i="49" s="1"/>
  <c r="Q79" i="49" s="1"/>
  <c r="R79" i="49" s="1"/>
  <c r="S79" i="49" s="1"/>
  <c r="T79" i="49" s="1"/>
  <c r="U79" i="49" s="1"/>
  <c r="V79" i="49" s="1"/>
  <c r="W79" i="49" s="1"/>
  <c r="X79" i="49" s="1"/>
  <c r="Y79" i="49" s="1"/>
  <c r="Z79" i="49" s="1"/>
  <c r="AA79" i="49" s="1"/>
  <c r="AB79" i="49" s="1"/>
  <c r="AC79" i="49" s="1"/>
  <c r="AD79" i="49" s="1"/>
  <c r="AE79" i="49" s="1"/>
  <c r="AF79" i="49" s="1"/>
  <c r="AG79" i="49" s="1"/>
  <c r="AH79" i="49" s="1"/>
  <c r="AI79" i="49" s="1"/>
  <c r="AJ79" i="49" s="1"/>
  <c r="AK79" i="49" s="1"/>
  <c r="AL79" i="49" s="1"/>
  <c r="AM79" i="49" s="1"/>
  <c r="AN79" i="49" s="1"/>
  <c r="AO79" i="49" s="1"/>
  <c r="AP79" i="49" s="1"/>
  <c r="AQ79" i="49" s="1"/>
  <c r="AR79" i="49" s="1"/>
  <c r="AS79" i="49" s="1"/>
  <c r="AT79" i="49" s="1"/>
  <c r="AU79" i="49" s="1"/>
  <c r="AV79" i="49" s="1"/>
  <c r="AW79" i="49" s="1"/>
  <c r="AX79" i="49" s="1"/>
  <c r="AY79" i="49" s="1"/>
  <c r="AZ79" i="49" s="1"/>
  <c r="BA79" i="49" s="1"/>
  <c r="BB79" i="49" s="1"/>
  <c r="BC79" i="49" s="1"/>
  <c r="BD79" i="49" s="1"/>
  <c r="BE79" i="49" s="1"/>
  <c r="BF79" i="49" s="1"/>
  <c r="BG79" i="49" s="1"/>
  <c r="BH79" i="49" s="1"/>
  <c r="BI79" i="49" s="1"/>
  <c r="N85" i="49"/>
  <c r="N144" i="49" s="1"/>
  <c r="O88" i="49"/>
  <c r="P88" i="49" s="1"/>
  <c r="Q88" i="49" s="1"/>
  <c r="R88" i="49" s="1"/>
  <c r="S88" i="49" s="1"/>
  <c r="T88" i="49" s="1"/>
  <c r="U88" i="49" s="1"/>
  <c r="V88" i="49" s="1"/>
  <c r="W88" i="49" s="1"/>
  <c r="X88" i="49" s="1"/>
  <c r="Y88" i="49" s="1"/>
  <c r="Z88" i="49" s="1"/>
  <c r="AA88" i="49" s="1"/>
  <c r="AB88" i="49" s="1"/>
  <c r="AC88" i="49" s="1"/>
  <c r="AD88" i="49" s="1"/>
  <c r="AE88" i="49" s="1"/>
  <c r="AF88" i="49" s="1"/>
  <c r="AG88" i="49" s="1"/>
  <c r="AH88" i="49" s="1"/>
  <c r="AI88" i="49" s="1"/>
  <c r="AJ88" i="49" s="1"/>
  <c r="AK88" i="49" s="1"/>
  <c r="AL88" i="49" s="1"/>
  <c r="AM88" i="49" s="1"/>
  <c r="AN88" i="49" s="1"/>
  <c r="AO88" i="49" s="1"/>
  <c r="AP88" i="49" s="1"/>
  <c r="AQ88" i="49" s="1"/>
  <c r="AR88" i="49" s="1"/>
  <c r="AS88" i="49" s="1"/>
  <c r="AT88" i="49" s="1"/>
  <c r="AU88" i="49" s="1"/>
  <c r="AV88" i="49" s="1"/>
  <c r="AW88" i="49" s="1"/>
  <c r="AX88" i="49" s="1"/>
  <c r="AY88" i="49" s="1"/>
  <c r="AZ88" i="49" s="1"/>
  <c r="BA88" i="49" s="1"/>
  <c r="BB88" i="49" s="1"/>
  <c r="BC88" i="49" s="1"/>
  <c r="BD88" i="49" s="1"/>
  <c r="BE88" i="49" s="1"/>
  <c r="BF88" i="49" s="1"/>
  <c r="BG88" i="49" s="1"/>
  <c r="BH88" i="49" s="1"/>
  <c r="BI88" i="49" s="1"/>
  <c r="N94" i="49"/>
  <c r="N145" i="49" s="1"/>
  <c r="N103" i="49"/>
  <c r="O84" i="49" s="1"/>
  <c r="P84" i="49" s="1"/>
  <c r="Q84" i="49" s="1"/>
  <c r="R84" i="49" s="1"/>
  <c r="S84" i="49" s="1"/>
  <c r="T84" i="49" s="1"/>
  <c r="U84" i="49" s="1"/>
  <c r="V84" i="49" s="1"/>
  <c r="W84" i="49" s="1"/>
  <c r="X84" i="49" s="1"/>
  <c r="Y84" i="49" s="1"/>
  <c r="Z84" i="49" s="1"/>
  <c r="AA84" i="49" s="1"/>
  <c r="AB84" i="49" s="1"/>
  <c r="AC84" i="49" s="1"/>
  <c r="AD84" i="49" s="1"/>
  <c r="AE84" i="49" s="1"/>
  <c r="AF84" i="49" s="1"/>
  <c r="AG84" i="49" s="1"/>
  <c r="AH84" i="49" s="1"/>
  <c r="AI84" i="49" s="1"/>
  <c r="AJ84" i="49" s="1"/>
  <c r="AK84" i="49" s="1"/>
  <c r="AL84" i="49" s="1"/>
  <c r="AM84" i="49" s="1"/>
  <c r="AN84" i="49" s="1"/>
  <c r="AO84" i="49" s="1"/>
  <c r="AP84" i="49" s="1"/>
  <c r="AQ84" i="49" s="1"/>
  <c r="AR84" i="49" s="1"/>
  <c r="AS84" i="49" s="1"/>
  <c r="AT84" i="49" s="1"/>
  <c r="AU84" i="49" s="1"/>
  <c r="AV84" i="49" s="1"/>
  <c r="AW84" i="49" s="1"/>
  <c r="AX84" i="49" s="1"/>
  <c r="AY84" i="49" s="1"/>
  <c r="AZ84" i="49" s="1"/>
  <c r="BA84" i="49" s="1"/>
  <c r="BB84" i="49" s="1"/>
  <c r="BC84" i="49" s="1"/>
  <c r="BD84" i="49" s="1"/>
  <c r="BE84" i="49" s="1"/>
  <c r="BF84" i="49" s="1"/>
  <c r="BG84" i="49" s="1"/>
  <c r="BH84" i="49" s="1"/>
  <c r="BI84" i="49" s="1"/>
  <c r="N99" i="49"/>
  <c r="O80" i="49" s="1"/>
  <c r="P78" i="49"/>
  <c r="P87" i="49"/>
  <c r="N75" i="49"/>
  <c r="N74" i="49"/>
  <c r="M142" i="49"/>
  <c r="J151" i="48"/>
  <c r="F65" i="49"/>
  <c r="L65" i="49"/>
  <c r="I65" i="49"/>
  <c r="N22" i="49"/>
  <c r="N165" i="49" s="1"/>
  <c r="N19" i="49"/>
  <c r="N162" i="49" s="1"/>
  <c r="N21" i="49"/>
  <c r="N164" i="49" s="1"/>
  <c r="N23" i="49"/>
  <c r="N166" i="49" s="1"/>
  <c r="N17" i="49"/>
  <c r="N18" i="49"/>
  <c r="N20" i="49"/>
  <c r="N163" i="49" s="1"/>
  <c r="N16" i="49"/>
  <c r="N159" i="49" s="1"/>
  <c r="G65" i="49"/>
  <c r="K65" i="49"/>
  <c r="N62" i="49"/>
  <c r="D65" i="49"/>
  <c r="E65" i="49"/>
  <c r="M27" i="49"/>
  <c r="M170" i="49" s="1"/>
  <c r="M273" i="49" s="1"/>
  <c r="G151" i="48"/>
  <c r="O121" i="48"/>
  <c r="P121" i="48" s="1"/>
  <c r="Q121" i="48" s="1"/>
  <c r="R121" i="48" s="1"/>
  <c r="S121" i="48" s="1"/>
  <c r="T121" i="48" s="1"/>
  <c r="U121" i="48" s="1"/>
  <c r="V121" i="48" s="1"/>
  <c r="W121" i="48" s="1"/>
  <c r="X121" i="48" s="1"/>
  <c r="Y121" i="48" s="1"/>
  <c r="Z121" i="48" s="1"/>
  <c r="AA121" i="48" s="1"/>
  <c r="AB121" i="48" s="1"/>
  <c r="AC121" i="48" s="1"/>
  <c r="AD121" i="48" s="1"/>
  <c r="AE121" i="48" s="1"/>
  <c r="AF121" i="48" s="1"/>
  <c r="AG121" i="48" s="1"/>
  <c r="AH121" i="48" s="1"/>
  <c r="AI121" i="48" s="1"/>
  <c r="AJ121" i="48" s="1"/>
  <c r="AK121" i="48" s="1"/>
  <c r="AL121" i="48" s="1"/>
  <c r="AM121" i="48" s="1"/>
  <c r="AN121" i="48" s="1"/>
  <c r="AO121" i="48" s="1"/>
  <c r="AP121" i="48" s="1"/>
  <c r="AQ121" i="48" s="1"/>
  <c r="AR121" i="48" s="1"/>
  <c r="AS121" i="48" s="1"/>
  <c r="AT121" i="48" s="1"/>
  <c r="AU121" i="48" s="1"/>
  <c r="AV121" i="48" s="1"/>
  <c r="AW121" i="48" s="1"/>
  <c r="AX121" i="48" s="1"/>
  <c r="AY121" i="48" s="1"/>
  <c r="AZ121" i="48" s="1"/>
  <c r="BA121" i="48" s="1"/>
  <c r="BB121" i="48" s="1"/>
  <c r="BC121" i="48" s="1"/>
  <c r="BD121" i="48" s="1"/>
  <c r="BE121" i="48" s="1"/>
  <c r="BF121" i="48" s="1"/>
  <c r="BG121" i="48" s="1"/>
  <c r="BH121" i="48" s="1"/>
  <c r="BI121" i="48" s="1"/>
  <c r="K151" i="48"/>
  <c r="E151" i="48"/>
  <c r="L151" i="48"/>
  <c r="H151" i="48"/>
  <c r="M149" i="48"/>
  <c r="M151" i="48" s="1"/>
  <c r="M150" i="48"/>
  <c r="F151" i="48"/>
  <c r="I151" i="48"/>
  <c r="N147" i="48"/>
  <c r="N163" i="48" s="1"/>
  <c r="N148" i="48"/>
  <c r="N164" i="48" s="1"/>
  <c r="M142" i="48"/>
  <c r="N139" i="48"/>
  <c r="N161" i="48" s="1"/>
  <c r="N140" i="48"/>
  <c r="N162" i="48" s="1"/>
  <c r="F143" i="48"/>
  <c r="K143" i="48"/>
  <c r="L143" i="48"/>
  <c r="H143" i="48"/>
  <c r="G143" i="48"/>
  <c r="M126" i="48"/>
  <c r="E143" i="48"/>
  <c r="I143" i="48"/>
  <c r="J143" i="48"/>
  <c r="N81" i="48"/>
  <c r="N157" i="48" s="1"/>
  <c r="M108" i="48"/>
  <c r="M181" i="48" s="1"/>
  <c r="M120" i="48"/>
  <c r="N107" i="48"/>
  <c r="N119" i="48"/>
  <c r="O119" i="48" s="1"/>
  <c r="P119" i="48" s="1"/>
  <c r="Q119" i="48" s="1"/>
  <c r="R119" i="48" s="1"/>
  <c r="S119" i="48" s="1"/>
  <c r="T119" i="48" s="1"/>
  <c r="U119" i="48" s="1"/>
  <c r="V119" i="48" s="1"/>
  <c r="W119" i="48" s="1"/>
  <c r="X119" i="48" s="1"/>
  <c r="Y119" i="48" s="1"/>
  <c r="Z119" i="48" s="1"/>
  <c r="AA119" i="48" s="1"/>
  <c r="AB119" i="48" s="1"/>
  <c r="AC119" i="48" s="1"/>
  <c r="AD119" i="48" s="1"/>
  <c r="AE119" i="48" s="1"/>
  <c r="AF119" i="48" s="1"/>
  <c r="AG119" i="48" s="1"/>
  <c r="AH119" i="48" s="1"/>
  <c r="AI119" i="48" s="1"/>
  <c r="AJ119" i="48" s="1"/>
  <c r="AK119" i="48" s="1"/>
  <c r="AL119" i="48" s="1"/>
  <c r="AM119" i="48" s="1"/>
  <c r="AN119" i="48" s="1"/>
  <c r="AO119" i="48" s="1"/>
  <c r="AP119" i="48" s="1"/>
  <c r="AQ119" i="48" s="1"/>
  <c r="AR119" i="48" s="1"/>
  <c r="AS119" i="48" s="1"/>
  <c r="AT119" i="48" s="1"/>
  <c r="AU119" i="48" s="1"/>
  <c r="AV119" i="48" s="1"/>
  <c r="AW119" i="48" s="1"/>
  <c r="AX119" i="48" s="1"/>
  <c r="AY119" i="48" s="1"/>
  <c r="AZ119" i="48" s="1"/>
  <c r="BA119" i="48" s="1"/>
  <c r="BB119" i="48" s="1"/>
  <c r="BC119" i="48" s="1"/>
  <c r="BD119" i="48" s="1"/>
  <c r="BE119" i="48" s="1"/>
  <c r="BF119" i="48" s="1"/>
  <c r="BG119" i="48" s="1"/>
  <c r="BH119" i="48" s="1"/>
  <c r="BI119" i="48" s="1"/>
  <c r="N102" i="48"/>
  <c r="N126" i="48" s="1"/>
  <c r="N114" i="48"/>
  <c r="O114" i="48" s="1"/>
  <c r="P114" i="48" s="1"/>
  <c r="Q114" i="48" s="1"/>
  <c r="N104" i="48"/>
  <c r="N116" i="48"/>
  <c r="O116" i="48" s="1"/>
  <c r="P116" i="48" s="1"/>
  <c r="Q116" i="48" s="1"/>
  <c r="R116" i="48" s="1"/>
  <c r="S116" i="48" s="1"/>
  <c r="T116" i="48" s="1"/>
  <c r="U116" i="48" s="1"/>
  <c r="V116" i="48" s="1"/>
  <c r="W116" i="48" s="1"/>
  <c r="X116" i="48" s="1"/>
  <c r="Y116" i="48" s="1"/>
  <c r="Z116" i="48" s="1"/>
  <c r="AA116" i="48" s="1"/>
  <c r="AB116" i="48" s="1"/>
  <c r="AC116" i="48" s="1"/>
  <c r="AD116" i="48" s="1"/>
  <c r="AE116" i="48" s="1"/>
  <c r="AF116" i="48" s="1"/>
  <c r="AG116" i="48" s="1"/>
  <c r="AH116" i="48" s="1"/>
  <c r="AI116" i="48" s="1"/>
  <c r="AJ116" i="48" s="1"/>
  <c r="AK116" i="48" s="1"/>
  <c r="AL116" i="48" s="1"/>
  <c r="AM116" i="48" s="1"/>
  <c r="AN116" i="48" s="1"/>
  <c r="AO116" i="48" s="1"/>
  <c r="AP116" i="48" s="1"/>
  <c r="AQ116" i="48" s="1"/>
  <c r="AR116" i="48" s="1"/>
  <c r="AS116" i="48" s="1"/>
  <c r="AT116" i="48" s="1"/>
  <c r="AU116" i="48" s="1"/>
  <c r="AV116" i="48" s="1"/>
  <c r="AW116" i="48" s="1"/>
  <c r="AX116" i="48" s="1"/>
  <c r="AY116" i="48" s="1"/>
  <c r="AZ116" i="48" s="1"/>
  <c r="BA116" i="48" s="1"/>
  <c r="BB116" i="48" s="1"/>
  <c r="BC116" i="48" s="1"/>
  <c r="BD116" i="48" s="1"/>
  <c r="BE116" i="48" s="1"/>
  <c r="BF116" i="48" s="1"/>
  <c r="BG116" i="48" s="1"/>
  <c r="BH116" i="48" s="1"/>
  <c r="BI116" i="48" s="1"/>
  <c r="M103" i="48"/>
  <c r="M176" i="48" s="1"/>
  <c r="M115" i="48"/>
  <c r="M107" i="48"/>
  <c r="M180" i="48" s="1"/>
  <c r="M119" i="48"/>
  <c r="N106" i="48"/>
  <c r="N118" i="48"/>
  <c r="N105" i="48"/>
  <c r="N129" i="48" s="1"/>
  <c r="N117" i="48"/>
  <c r="O117" i="48" s="1"/>
  <c r="P117" i="48" s="1"/>
  <c r="Q117" i="48" s="1"/>
  <c r="R117" i="48" s="1"/>
  <c r="S117" i="48" s="1"/>
  <c r="T117" i="48" s="1"/>
  <c r="U117" i="48" s="1"/>
  <c r="V117" i="48" s="1"/>
  <c r="W117" i="48" s="1"/>
  <c r="X117" i="48" s="1"/>
  <c r="Y117" i="48" s="1"/>
  <c r="Z117" i="48" s="1"/>
  <c r="AA117" i="48" s="1"/>
  <c r="AB117" i="48" s="1"/>
  <c r="AC117" i="48" s="1"/>
  <c r="AD117" i="48" s="1"/>
  <c r="AE117" i="48" s="1"/>
  <c r="AF117" i="48" s="1"/>
  <c r="AG117" i="48" s="1"/>
  <c r="AH117" i="48" s="1"/>
  <c r="AI117" i="48" s="1"/>
  <c r="AJ117" i="48" s="1"/>
  <c r="AK117" i="48" s="1"/>
  <c r="AL117" i="48" s="1"/>
  <c r="AM117" i="48" s="1"/>
  <c r="AN117" i="48" s="1"/>
  <c r="AO117" i="48" s="1"/>
  <c r="AP117" i="48" s="1"/>
  <c r="AQ117" i="48" s="1"/>
  <c r="AR117" i="48" s="1"/>
  <c r="AS117" i="48" s="1"/>
  <c r="AT117" i="48" s="1"/>
  <c r="AU117" i="48" s="1"/>
  <c r="AV117" i="48" s="1"/>
  <c r="AW117" i="48" s="1"/>
  <c r="AX117" i="48" s="1"/>
  <c r="AY117" i="48" s="1"/>
  <c r="AZ117" i="48" s="1"/>
  <c r="BA117" i="48" s="1"/>
  <c r="BB117" i="48" s="1"/>
  <c r="BC117" i="48" s="1"/>
  <c r="BD117" i="48" s="1"/>
  <c r="BE117" i="48" s="1"/>
  <c r="BF117" i="48" s="1"/>
  <c r="BG117" i="48" s="1"/>
  <c r="BH117" i="48" s="1"/>
  <c r="BI117" i="48" s="1"/>
  <c r="M104" i="48"/>
  <c r="M177" i="48" s="1"/>
  <c r="M116" i="48"/>
  <c r="M106" i="48"/>
  <c r="M179" i="48" s="1"/>
  <c r="M118" i="48"/>
  <c r="N103" i="48"/>
  <c r="N115" i="48"/>
  <c r="O115" i="48" s="1"/>
  <c r="P115" i="48" s="1"/>
  <c r="Q115" i="48" s="1"/>
  <c r="R115" i="48" s="1"/>
  <c r="S115" i="48" s="1"/>
  <c r="T115" i="48" s="1"/>
  <c r="U115" i="48" s="1"/>
  <c r="V115" i="48" s="1"/>
  <c r="W115" i="48" s="1"/>
  <c r="X115" i="48" s="1"/>
  <c r="Y115" i="48" s="1"/>
  <c r="Z115" i="48" s="1"/>
  <c r="AA115" i="48" s="1"/>
  <c r="AB115" i="48" s="1"/>
  <c r="AC115" i="48" s="1"/>
  <c r="AD115" i="48" s="1"/>
  <c r="AE115" i="48" s="1"/>
  <c r="AF115" i="48" s="1"/>
  <c r="AG115" i="48" s="1"/>
  <c r="AH115" i="48" s="1"/>
  <c r="AI115" i="48" s="1"/>
  <c r="AJ115" i="48" s="1"/>
  <c r="AK115" i="48" s="1"/>
  <c r="AL115" i="48" s="1"/>
  <c r="AM115" i="48" s="1"/>
  <c r="AN115" i="48" s="1"/>
  <c r="AO115" i="48" s="1"/>
  <c r="AP115" i="48" s="1"/>
  <c r="AQ115" i="48" s="1"/>
  <c r="AR115" i="48" s="1"/>
  <c r="AS115" i="48" s="1"/>
  <c r="AT115" i="48" s="1"/>
  <c r="AU115" i="48" s="1"/>
  <c r="AV115" i="48" s="1"/>
  <c r="AW115" i="48" s="1"/>
  <c r="AX115" i="48" s="1"/>
  <c r="AY115" i="48" s="1"/>
  <c r="AZ115" i="48" s="1"/>
  <c r="BA115" i="48" s="1"/>
  <c r="BB115" i="48" s="1"/>
  <c r="BC115" i="48" s="1"/>
  <c r="BD115" i="48" s="1"/>
  <c r="BE115" i="48" s="1"/>
  <c r="BF115" i="48" s="1"/>
  <c r="BG115" i="48" s="1"/>
  <c r="BH115" i="48" s="1"/>
  <c r="BI115" i="48" s="1"/>
  <c r="N90" i="48"/>
  <c r="N158" i="48" s="1"/>
  <c r="O83" i="48"/>
  <c r="N146" i="48"/>
  <c r="N71" i="48"/>
  <c r="N156" i="48" s="1"/>
  <c r="M72" i="48"/>
  <c r="M141" i="48"/>
  <c r="M143" i="48" s="1"/>
  <c r="N70" i="48"/>
  <c r="N155" i="48" s="1"/>
  <c r="N138" i="48"/>
  <c r="L23" i="48"/>
  <c r="L57" i="48"/>
  <c r="L50" i="48"/>
  <c r="L22" i="48"/>
  <c r="L122" i="48" s="1"/>
  <c r="Q75" i="48"/>
  <c r="P74" i="48"/>
  <c r="O81" i="48"/>
  <c r="O157" i="48" s="1"/>
  <c r="D57" i="48"/>
  <c r="F57" i="48"/>
  <c r="F22" i="48"/>
  <c r="F50" i="48"/>
  <c r="K50" i="48"/>
  <c r="F23" i="48"/>
  <c r="D23" i="48"/>
  <c r="I22" i="48"/>
  <c r="D22" i="48"/>
  <c r="D50" i="48"/>
  <c r="H22" i="48"/>
  <c r="E23" i="48"/>
  <c r="H23" i="48"/>
  <c r="K22" i="48"/>
  <c r="E22" i="48"/>
  <c r="J23" i="48"/>
  <c r="I23" i="48"/>
  <c r="J22" i="48"/>
  <c r="K23" i="48"/>
  <c r="G23" i="48"/>
  <c r="N20" i="48"/>
  <c r="N59" i="48"/>
  <c r="E50" i="48"/>
  <c r="G50" i="48"/>
  <c r="G22" i="48"/>
  <c r="G57" i="48"/>
  <c r="H50" i="48"/>
  <c r="K57" i="48"/>
  <c r="J50" i="48"/>
  <c r="M49" i="48"/>
  <c r="M193" i="48" s="1"/>
  <c r="M279" i="48" s="1"/>
  <c r="M46" i="48"/>
  <c r="M190" i="48" s="1"/>
  <c r="M48" i="48"/>
  <c r="M192" i="48" s="1"/>
  <c r="M285" i="48" s="1"/>
  <c r="M45" i="48"/>
  <c r="M189" i="48" s="1"/>
  <c r="M47" i="48"/>
  <c r="M191" i="48" s="1"/>
  <c r="I50" i="48"/>
  <c r="J57" i="48"/>
  <c r="N65" i="48"/>
  <c r="N64" i="48"/>
  <c r="N66" i="48" s="1"/>
  <c r="M53" i="48"/>
  <c r="M212" i="48" s="1"/>
  <c r="M55" i="48"/>
  <c r="M214" i="48" s="1"/>
  <c r="M241" i="48" s="1"/>
  <c r="M52" i="48"/>
  <c r="M211" i="48" s="1"/>
  <c r="M56" i="48"/>
  <c r="M215" i="48" s="1"/>
  <c r="M235" i="48" s="1"/>
  <c r="M54" i="48"/>
  <c r="M213" i="48" s="1"/>
  <c r="E57" i="48"/>
  <c r="I57" i="48"/>
  <c r="H57" i="48"/>
  <c r="N300" i="49" l="1"/>
  <c r="N256" i="49"/>
  <c r="N63" i="49"/>
  <c r="J33" i="49"/>
  <c r="J176" i="49" s="1"/>
  <c r="J178" i="49"/>
  <c r="J182" i="49" s="1"/>
  <c r="H41" i="49"/>
  <c r="H200" i="49" s="1"/>
  <c r="H35" i="49"/>
  <c r="G151" i="49"/>
  <c r="G156" i="49" s="1"/>
  <c r="D151" i="49"/>
  <c r="D156" i="49" s="1"/>
  <c r="M116" i="49"/>
  <c r="M160" i="49"/>
  <c r="N116" i="49"/>
  <c r="O116" i="49" s="1"/>
  <c r="N160" i="49"/>
  <c r="M117" i="49"/>
  <c r="M161" i="49"/>
  <c r="N117" i="49"/>
  <c r="O117" i="49" s="1"/>
  <c r="N161" i="49"/>
  <c r="Q20" i="50"/>
  <c r="O28" i="50"/>
  <c r="O39" i="50" s="1"/>
  <c r="H151" i="49"/>
  <c r="H156" i="49" s="1"/>
  <c r="P28" i="50"/>
  <c r="P39" i="50" s="1"/>
  <c r="Q30" i="50"/>
  <c r="M31" i="50"/>
  <c r="O29" i="50" s="1"/>
  <c r="AY26" i="50"/>
  <c r="U26" i="50"/>
  <c r="AT26" i="50"/>
  <c r="O26" i="50"/>
  <c r="O37" i="50" s="1"/>
  <c r="AW26" i="50"/>
  <c r="BC26" i="50"/>
  <c r="BG26" i="50"/>
  <c r="AC26" i="50"/>
  <c r="BB26" i="50"/>
  <c r="P26" i="50"/>
  <c r="AM26" i="50"/>
  <c r="AN26" i="50"/>
  <c r="AN37" i="50" s="1"/>
  <c r="AG26" i="50"/>
  <c r="T26" i="50"/>
  <c r="AK26" i="50"/>
  <c r="AD26" i="50"/>
  <c r="AF26" i="50"/>
  <c r="X26" i="50"/>
  <c r="Y26" i="50"/>
  <c r="W26" i="50"/>
  <c r="W37" i="50" s="1"/>
  <c r="AB26" i="50"/>
  <c r="AS26" i="50"/>
  <c r="Z26" i="50"/>
  <c r="AV26" i="50"/>
  <c r="AO26" i="50"/>
  <c r="AL26" i="50"/>
  <c r="S26" i="50"/>
  <c r="AJ26" i="50"/>
  <c r="AJ37" i="50" s="1"/>
  <c r="BA26" i="50"/>
  <c r="AP26" i="50"/>
  <c r="BD26" i="50"/>
  <c r="R26" i="50"/>
  <c r="AQ26" i="50"/>
  <c r="AA26" i="50"/>
  <c r="AR26" i="50"/>
  <c r="BI26" i="50"/>
  <c r="BI37" i="50" s="1"/>
  <c r="A37" i="50" s="1"/>
  <c r="BF26" i="50"/>
  <c r="BE26" i="50"/>
  <c r="AH26" i="50"/>
  <c r="BH26" i="50"/>
  <c r="AI26" i="50"/>
  <c r="AZ26" i="50"/>
  <c r="V26" i="50"/>
  <c r="AE26" i="50"/>
  <c r="AE37" i="50" s="1"/>
  <c r="Q26" i="50"/>
  <c r="AX26" i="50"/>
  <c r="AU26" i="50"/>
  <c r="N40" i="50"/>
  <c r="N45" i="50" s="1"/>
  <c r="M266" i="48"/>
  <c r="M238" i="48"/>
  <c r="M282" i="48"/>
  <c r="I219" i="48"/>
  <c r="I218" i="48"/>
  <c r="I221" i="48"/>
  <c r="I220" i="48"/>
  <c r="I222" i="48"/>
  <c r="D218" i="48"/>
  <c r="D220" i="48"/>
  <c r="D221" i="48"/>
  <c r="D222" i="48"/>
  <c r="D219" i="48"/>
  <c r="J219" i="48"/>
  <c r="J220" i="48"/>
  <c r="J221" i="48"/>
  <c r="J218" i="48"/>
  <c r="J222" i="48"/>
  <c r="E221" i="48"/>
  <c r="E220" i="48"/>
  <c r="E219" i="48"/>
  <c r="E222" i="48"/>
  <c r="E218" i="48"/>
  <c r="K218" i="48"/>
  <c r="K222" i="48"/>
  <c r="K221" i="48"/>
  <c r="K220" i="48"/>
  <c r="K219" i="48"/>
  <c r="F221" i="48"/>
  <c r="F218" i="48"/>
  <c r="F222" i="48"/>
  <c r="F219" i="48"/>
  <c r="F220" i="48"/>
  <c r="H220" i="48"/>
  <c r="H221" i="48"/>
  <c r="H218" i="48"/>
  <c r="H222" i="48"/>
  <c r="H219" i="48"/>
  <c r="L218" i="48"/>
  <c r="L222" i="48"/>
  <c r="L219" i="48"/>
  <c r="L220" i="48"/>
  <c r="L221" i="48"/>
  <c r="G220" i="48"/>
  <c r="G218" i="48"/>
  <c r="G222" i="48"/>
  <c r="G219" i="48"/>
  <c r="G221" i="48"/>
  <c r="G196" i="48"/>
  <c r="L196" i="48"/>
  <c r="H196" i="48"/>
  <c r="J196" i="48"/>
  <c r="D196" i="48"/>
  <c r="D200" i="48"/>
  <c r="I198" i="48"/>
  <c r="I201" i="48"/>
  <c r="E201" i="48"/>
  <c r="H199" i="48"/>
  <c r="J201" i="48"/>
  <c r="D198" i="48"/>
  <c r="H198" i="48"/>
  <c r="J200" i="48"/>
  <c r="J198" i="48"/>
  <c r="J199" i="48"/>
  <c r="H201" i="48"/>
  <c r="I199" i="48"/>
  <c r="M216" i="48"/>
  <c r="M194" i="48"/>
  <c r="M196" i="48" s="1"/>
  <c r="G198" i="48"/>
  <c r="K196" i="48"/>
  <c r="K198" i="48"/>
  <c r="K199" i="48"/>
  <c r="F196" i="48"/>
  <c r="F199" i="48"/>
  <c r="D199" i="48"/>
  <c r="I197" i="48"/>
  <c r="K197" i="48"/>
  <c r="G201" i="48"/>
  <c r="L197" i="48"/>
  <c r="F197" i="48"/>
  <c r="E196" i="48"/>
  <c r="E199" i="48"/>
  <c r="H197" i="48"/>
  <c r="G199" i="48"/>
  <c r="G200" i="48"/>
  <c r="G197" i="48"/>
  <c r="F200" i="48"/>
  <c r="F198" i="48"/>
  <c r="E197" i="48"/>
  <c r="L198" i="48"/>
  <c r="E200" i="48"/>
  <c r="L199" i="48"/>
  <c r="D197" i="48"/>
  <c r="K201" i="48"/>
  <c r="L200" i="48"/>
  <c r="I200" i="48"/>
  <c r="J197" i="48"/>
  <c r="H200" i="48"/>
  <c r="L201" i="48"/>
  <c r="D201" i="48"/>
  <c r="O105" i="48"/>
  <c r="P105" i="48" s="1"/>
  <c r="P109" i="48"/>
  <c r="O102" i="48"/>
  <c r="N178" i="48"/>
  <c r="N288" i="48" s="1"/>
  <c r="N176" i="48"/>
  <c r="N179" i="48"/>
  <c r="N175" i="48"/>
  <c r="N255" i="48" s="1"/>
  <c r="N180" i="48"/>
  <c r="N177" i="48"/>
  <c r="M130" i="48"/>
  <c r="M131" i="48"/>
  <c r="M128" i="48"/>
  <c r="M132" i="48"/>
  <c r="O11" i="50"/>
  <c r="P11" i="50" s="1"/>
  <c r="P19" i="50"/>
  <c r="O21" i="50"/>
  <c r="M17" i="50"/>
  <c r="M35" i="50" s="1"/>
  <c r="M22" i="50"/>
  <c r="O15" i="50" s="1"/>
  <c r="M21" i="50"/>
  <c r="M36" i="50" s="1"/>
  <c r="M40" i="50" s="1"/>
  <c r="M45" i="50" s="1"/>
  <c r="N23" i="50"/>
  <c r="O16" i="50" s="1"/>
  <c r="P16" i="50" s="1"/>
  <c r="Q16" i="50" s="1"/>
  <c r="R16" i="50" s="1"/>
  <c r="S16" i="50" s="1"/>
  <c r="T16" i="50" s="1"/>
  <c r="U16" i="50" s="1"/>
  <c r="V16" i="50" s="1"/>
  <c r="W16" i="50" s="1"/>
  <c r="X16" i="50" s="1"/>
  <c r="Y16" i="50" s="1"/>
  <c r="Z16" i="50" s="1"/>
  <c r="AA16" i="50" s="1"/>
  <c r="AB16" i="50" s="1"/>
  <c r="AC16" i="50" s="1"/>
  <c r="AD16" i="50" s="1"/>
  <c r="AE16" i="50" s="1"/>
  <c r="AF16" i="50" s="1"/>
  <c r="AG16" i="50" s="1"/>
  <c r="AH16" i="50" s="1"/>
  <c r="AI16" i="50" s="1"/>
  <c r="AJ16" i="50" s="1"/>
  <c r="AK16" i="50" s="1"/>
  <c r="AL16" i="50" s="1"/>
  <c r="AM16" i="50" s="1"/>
  <c r="AN16" i="50" s="1"/>
  <c r="AO16" i="50" s="1"/>
  <c r="AP16" i="50" s="1"/>
  <c r="AQ16" i="50" s="1"/>
  <c r="AR16" i="50" s="1"/>
  <c r="AS16" i="50" s="1"/>
  <c r="AT16" i="50" s="1"/>
  <c r="AU16" i="50" s="1"/>
  <c r="AV16" i="50" s="1"/>
  <c r="AW16" i="50" s="1"/>
  <c r="AX16" i="50" s="1"/>
  <c r="AY16" i="50" s="1"/>
  <c r="AZ16" i="50" s="1"/>
  <c r="BA16" i="50" s="1"/>
  <c r="BB16" i="50" s="1"/>
  <c r="BC16" i="50" s="1"/>
  <c r="BD16" i="50" s="1"/>
  <c r="BE16" i="50" s="1"/>
  <c r="BF16" i="50" s="1"/>
  <c r="BG16" i="50" s="1"/>
  <c r="BH16" i="50" s="1"/>
  <c r="BI16" i="50" s="1"/>
  <c r="Q12" i="50"/>
  <c r="P34" i="50"/>
  <c r="F151" i="49"/>
  <c r="F156" i="49" s="1"/>
  <c r="K151" i="49"/>
  <c r="K156" i="49" s="1"/>
  <c r="M138" i="49"/>
  <c r="M139" i="49"/>
  <c r="M148" i="49"/>
  <c r="J41" i="49"/>
  <c r="J200" i="49" s="1"/>
  <c r="E151" i="49"/>
  <c r="E156" i="49" s="1"/>
  <c r="J151" i="49"/>
  <c r="J156" i="49" s="1"/>
  <c r="N139" i="49"/>
  <c r="O139" i="49" s="1"/>
  <c r="N148" i="49"/>
  <c r="N138" i="49"/>
  <c r="J38" i="49"/>
  <c r="L151" i="49"/>
  <c r="L156" i="49" s="1"/>
  <c r="J48" i="49"/>
  <c r="J214" i="49" s="1"/>
  <c r="J295" i="49" s="1"/>
  <c r="I151" i="49"/>
  <c r="I156" i="49" s="1"/>
  <c r="J54" i="49"/>
  <c r="J235" i="49" s="1"/>
  <c r="J251" i="49" s="1"/>
  <c r="N110" i="49"/>
  <c r="N120" i="49"/>
  <c r="O120" i="49" s="1"/>
  <c r="N108" i="49"/>
  <c r="N118" i="49"/>
  <c r="O118" i="49" s="1"/>
  <c r="M110" i="49"/>
  <c r="M130" i="49" s="1"/>
  <c r="M120" i="49"/>
  <c r="M125" i="49"/>
  <c r="N111" i="49"/>
  <c r="N121" i="49"/>
  <c r="O121" i="49" s="1"/>
  <c r="M112" i="49"/>
  <c r="M132" i="49" s="1"/>
  <c r="M122" i="49"/>
  <c r="M108" i="49"/>
  <c r="M128" i="49" s="1"/>
  <c r="M118" i="49"/>
  <c r="M111" i="49"/>
  <c r="M131" i="49" s="1"/>
  <c r="M121" i="49"/>
  <c r="N105" i="49"/>
  <c r="N115" i="49"/>
  <c r="N109" i="49"/>
  <c r="N119" i="49"/>
  <c r="O119" i="49" s="1"/>
  <c r="H54" i="49"/>
  <c r="H235" i="49" s="1"/>
  <c r="H251" i="49" s="1"/>
  <c r="H38" i="49"/>
  <c r="N112" i="49"/>
  <c r="N122" i="49"/>
  <c r="O122" i="49" s="1"/>
  <c r="M109" i="49"/>
  <c r="M129" i="49" s="1"/>
  <c r="M119" i="49"/>
  <c r="M31" i="49"/>
  <c r="M174" i="49" s="1"/>
  <c r="M107" i="49"/>
  <c r="M127" i="49" s="1"/>
  <c r="N31" i="49"/>
  <c r="N174" i="49" s="1"/>
  <c r="N107" i="49"/>
  <c r="M29" i="49"/>
  <c r="M172" i="49" s="1"/>
  <c r="M306" i="49" s="1"/>
  <c r="M106" i="49"/>
  <c r="M126" i="49" s="1"/>
  <c r="M24" i="49"/>
  <c r="O94" i="49"/>
  <c r="O145" i="49" s="1"/>
  <c r="N29" i="49"/>
  <c r="N172" i="49" s="1"/>
  <c r="N306" i="49" s="1"/>
  <c r="N106" i="49"/>
  <c r="P80" i="49"/>
  <c r="Q80" i="49" s="1"/>
  <c r="R80" i="49" s="1"/>
  <c r="S80" i="49" s="1"/>
  <c r="T80" i="49" s="1"/>
  <c r="U80" i="49" s="1"/>
  <c r="V80" i="49" s="1"/>
  <c r="W80" i="49" s="1"/>
  <c r="X80" i="49" s="1"/>
  <c r="Y80" i="49" s="1"/>
  <c r="Z80" i="49" s="1"/>
  <c r="AA80" i="49" s="1"/>
  <c r="AB80" i="49" s="1"/>
  <c r="AC80" i="49" s="1"/>
  <c r="AD80" i="49" s="1"/>
  <c r="AE80" i="49" s="1"/>
  <c r="AF80" i="49" s="1"/>
  <c r="AG80" i="49" s="1"/>
  <c r="AH80" i="49" s="1"/>
  <c r="AI80" i="49" s="1"/>
  <c r="AJ80" i="49" s="1"/>
  <c r="AK80" i="49" s="1"/>
  <c r="AL80" i="49" s="1"/>
  <c r="AM80" i="49" s="1"/>
  <c r="AN80" i="49" s="1"/>
  <c r="AO80" i="49" s="1"/>
  <c r="AP80" i="49" s="1"/>
  <c r="AQ80" i="49" s="1"/>
  <c r="AR80" i="49" s="1"/>
  <c r="AS80" i="49" s="1"/>
  <c r="AT80" i="49" s="1"/>
  <c r="AU80" i="49" s="1"/>
  <c r="AV80" i="49" s="1"/>
  <c r="AW80" i="49" s="1"/>
  <c r="AX80" i="49" s="1"/>
  <c r="AY80" i="49" s="1"/>
  <c r="AZ80" i="49" s="1"/>
  <c r="BA80" i="49" s="1"/>
  <c r="BB80" i="49" s="1"/>
  <c r="BC80" i="49" s="1"/>
  <c r="BD80" i="49" s="1"/>
  <c r="BE80" i="49" s="1"/>
  <c r="BF80" i="49" s="1"/>
  <c r="BG80" i="49" s="1"/>
  <c r="BH80" i="49" s="1"/>
  <c r="BI80" i="49" s="1"/>
  <c r="O85" i="49"/>
  <c r="O144" i="49" s="1"/>
  <c r="Q87" i="49"/>
  <c r="P94" i="49"/>
  <c r="P145" i="49" s="1"/>
  <c r="Q78" i="49"/>
  <c r="N142" i="49"/>
  <c r="N76" i="49"/>
  <c r="O74" i="49" s="1"/>
  <c r="N143" i="49"/>
  <c r="O75" i="49"/>
  <c r="G35" i="49"/>
  <c r="G48" i="49"/>
  <c r="G214" i="49" s="1"/>
  <c r="G295" i="49" s="1"/>
  <c r="G38" i="49"/>
  <c r="G54" i="49"/>
  <c r="G235" i="49" s="1"/>
  <c r="G251" i="49" s="1"/>
  <c r="G41" i="49"/>
  <c r="G200" i="49" s="1"/>
  <c r="D41" i="49"/>
  <c r="D200" i="49" s="1"/>
  <c r="D48" i="49"/>
  <c r="D214" i="49" s="1"/>
  <c r="D295" i="49" s="1"/>
  <c r="D38" i="49"/>
  <c r="D54" i="49"/>
  <c r="D235" i="49" s="1"/>
  <c r="D251" i="49" s="1"/>
  <c r="D35" i="49"/>
  <c r="K54" i="49"/>
  <c r="K235" i="49" s="1"/>
  <c r="K251" i="49" s="1"/>
  <c r="K41" i="49"/>
  <c r="K200" i="49" s="1"/>
  <c r="K35" i="49"/>
  <c r="K48" i="49"/>
  <c r="K214" i="49" s="1"/>
  <c r="K295" i="49" s="1"/>
  <c r="K38" i="49"/>
  <c r="I48" i="49"/>
  <c r="I214" i="49" s="1"/>
  <c r="I295" i="49" s="1"/>
  <c r="I38" i="49"/>
  <c r="I54" i="49"/>
  <c r="I235" i="49" s="1"/>
  <c r="I251" i="49" s="1"/>
  <c r="I41" i="49"/>
  <c r="I200" i="49" s="1"/>
  <c r="I35" i="49"/>
  <c r="E35" i="49"/>
  <c r="E48" i="49"/>
  <c r="E214" i="49" s="1"/>
  <c r="E295" i="49" s="1"/>
  <c r="E38" i="49"/>
  <c r="E54" i="49"/>
  <c r="E235" i="49" s="1"/>
  <c r="E251" i="49" s="1"/>
  <c r="E41" i="49"/>
  <c r="E200" i="49" s="1"/>
  <c r="N27" i="49"/>
  <c r="N170" i="49" s="1"/>
  <c r="N273" i="49" s="1"/>
  <c r="N24" i="49"/>
  <c r="H40" i="49"/>
  <c r="H199" i="49" s="1"/>
  <c r="L41" i="49"/>
  <c r="L200" i="49" s="1"/>
  <c r="L48" i="49"/>
  <c r="L214" i="49" s="1"/>
  <c r="L295" i="49" s="1"/>
  <c r="L38" i="49"/>
  <c r="L54" i="49"/>
  <c r="L235" i="49" s="1"/>
  <c r="L251" i="49" s="1"/>
  <c r="L35" i="49"/>
  <c r="F35" i="49"/>
  <c r="F54" i="49"/>
  <c r="F235" i="49" s="1"/>
  <c r="F251" i="49" s="1"/>
  <c r="F41" i="49"/>
  <c r="F200" i="49" s="1"/>
  <c r="F48" i="49"/>
  <c r="F214" i="49" s="1"/>
  <c r="F295" i="49" s="1"/>
  <c r="F38" i="49"/>
  <c r="N149" i="48"/>
  <c r="BD146" i="48" s="1"/>
  <c r="N150" i="48"/>
  <c r="O150" i="48" s="1"/>
  <c r="N142" i="48"/>
  <c r="O142" i="48" s="1"/>
  <c r="N128" i="48"/>
  <c r="G110" i="48"/>
  <c r="G122" i="48"/>
  <c r="I111" i="48"/>
  <c r="I123" i="48"/>
  <c r="D110" i="48"/>
  <c r="D122" i="48"/>
  <c r="N130" i="48"/>
  <c r="O118" i="48"/>
  <c r="P118" i="48" s="1"/>
  <c r="Q118" i="48" s="1"/>
  <c r="R118" i="48" s="1"/>
  <c r="S118" i="48" s="1"/>
  <c r="T118" i="48" s="1"/>
  <c r="U118" i="48" s="1"/>
  <c r="V118" i="48" s="1"/>
  <c r="W118" i="48" s="1"/>
  <c r="X118" i="48" s="1"/>
  <c r="Y118" i="48" s="1"/>
  <c r="Z118" i="48" s="1"/>
  <c r="AA118" i="48" s="1"/>
  <c r="AB118" i="48" s="1"/>
  <c r="AC118" i="48" s="1"/>
  <c r="AD118" i="48" s="1"/>
  <c r="AE118" i="48" s="1"/>
  <c r="AF118" i="48" s="1"/>
  <c r="AG118" i="48" s="1"/>
  <c r="AH118" i="48" s="1"/>
  <c r="AI118" i="48" s="1"/>
  <c r="AJ118" i="48" s="1"/>
  <c r="AK118" i="48" s="1"/>
  <c r="AL118" i="48" s="1"/>
  <c r="AM118" i="48" s="1"/>
  <c r="AN118" i="48" s="1"/>
  <c r="AO118" i="48" s="1"/>
  <c r="AP118" i="48" s="1"/>
  <c r="AQ118" i="48" s="1"/>
  <c r="AR118" i="48" s="1"/>
  <c r="AS118" i="48" s="1"/>
  <c r="AT118" i="48" s="1"/>
  <c r="AU118" i="48" s="1"/>
  <c r="AV118" i="48" s="1"/>
  <c r="AW118" i="48" s="1"/>
  <c r="AX118" i="48" s="1"/>
  <c r="AY118" i="48" s="1"/>
  <c r="AZ118" i="48" s="1"/>
  <c r="BA118" i="48" s="1"/>
  <c r="BB118" i="48" s="1"/>
  <c r="BC118" i="48" s="1"/>
  <c r="BD118" i="48" s="1"/>
  <c r="BE118" i="48" s="1"/>
  <c r="BF118" i="48" s="1"/>
  <c r="BG118" i="48" s="1"/>
  <c r="BH118" i="48" s="1"/>
  <c r="BI118" i="48" s="1"/>
  <c r="K111" i="48"/>
  <c r="K123" i="48"/>
  <c r="H110" i="48"/>
  <c r="H122" i="48"/>
  <c r="F110" i="48"/>
  <c r="F122" i="48"/>
  <c r="J111" i="48"/>
  <c r="J123" i="48"/>
  <c r="I110" i="48"/>
  <c r="I122" i="48"/>
  <c r="J110" i="48"/>
  <c r="J122" i="48"/>
  <c r="L111" i="48"/>
  <c r="L123" i="48"/>
  <c r="L124" i="48" s="1"/>
  <c r="L160" i="48" s="1"/>
  <c r="E110" i="48"/>
  <c r="E122" i="48"/>
  <c r="D111" i="48"/>
  <c r="D123" i="48"/>
  <c r="K110" i="48"/>
  <c r="K183" i="48" s="1"/>
  <c r="K122" i="48"/>
  <c r="F111" i="48"/>
  <c r="F123" i="48"/>
  <c r="N108" i="48"/>
  <c r="N181" i="48" s="1"/>
  <c r="N120" i="48"/>
  <c r="O120" i="48" s="1"/>
  <c r="P120" i="48" s="1"/>
  <c r="Q120" i="48" s="1"/>
  <c r="R120" i="48" s="1"/>
  <c r="S120" i="48" s="1"/>
  <c r="T120" i="48" s="1"/>
  <c r="U120" i="48" s="1"/>
  <c r="V120" i="48" s="1"/>
  <c r="W120" i="48" s="1"/>
  <c r="X120" i="48" s="1"/>
  <c r="Y120" i="48" s="1"/>
  <c r="Z120" i="48" s="1"/>
  <c r="AA120" i="48" s="1"/>
  <c r="AB120" i="48" s="1"/>
  <c r="AC120" i="48" s="1"/>
  <c r="AD120" i="48" s="1"/>
  <c r="AE120" i="48" s="1"/>
  <c r="AF120" i="48" s="1"/>
  <c r="AG120" i="48" s="1"/>
  <c r="AH120" i="48" s="1"/>
  <c r="AI120" i="48" s="1"/>
  <c r="AJ120" i="48" s="1"/>
  <c r="AK120" i="48" s="1"/>
  <c r="AL120" i="48" s="1"/>
  <c r="AM120" i="48" s="1"/>
  <c r="AN120" i="48" s="1"/>
  <c r="AO120" i="48" s="1"/>
  <c r="AP120" i="48" s="1"/>
  <c r="AQ120" i="48" s="1"/>
  <c r="AR120" i="48" s="1"/>
  <c r="AS120" i="48" s="1"/>
  <c r="AT120" i="48" s="1"/>
  <c r="AU120" i="48" s="1"/>
  <c r="AV120" i="48" s="1"/>
  <c r="AW120" i="48" s="1"/>
  <c r="AX120" i="48" s="1"/>
  <c r="AY120" i="48" s="1"/>
  <c r="AZ120" i="48" s="1"/>
  <c r="BA120" i="48" s="1"/>
  <c r="BB120" i="48" s="1"/>
  <c r="BC120" i="48" s="1"/>
  <c r="BD120" i="48" s="1"/>
  <c r="BE120" i="48" s="1"/>
  <c r="BF120" i="48" s="1"/>
  <c r="BG120" i="48" s="1"/>
  <c r="BH120" i="48" s="1"/>
  <c r="BI120" i="48" s="1"/>
  <c r="H111" i="48"/>
  <c r="H123" i="48"/>
  <c r="G111" i="48"/>
  <c r="G123" i="48"/>
  <c r="E111" i="48"/>
  <c r="E123" i="48"/>
  <c r="N131" i="48"/>
  <c r="R114" i="48"/>
  <c r="P83" i="48"/>
  <c r="O90" i="48"/>
  <c r="O158" i="48" s="1"/>
  <c r="O71" i="48"/>
  <c r="O156" i="48" s="1"/>
  <c r="N141" i="48"/>
  <c r="AO138" i="48" s="1"/>
  <c r="N72" i="48"/>
  <c r="O70" i="48" s="1"/>
  <c r="L24" i="48"/>
  <c r="L110" i="48"/>
  <c r="R75" i="48"/>
  <c r="Q74" i="48"/>
  <c r="P81" i="48"/>
  <c r="P157" i="48" s="1"/>
  <c r="I24" i="48"/>
  <c r="F24" i="48"/>
  <c r="H24" i="48"/>
  <c r="D24" i="48"/>
  <c r="G24" i="48"/>
  <c r="E24" i="48"/>
  <c r="K24" i="48"/>
  <c r="M23" i="48"/>
  <c r="M22" i="48"/>
  <c r="J24" i="48"/>
  <c r="M57" i="48"/>
  <c r="M50" i="48"/>
  <c r="N53" i="48"/>
  <c r="N212" i="48" s="1"/>
  <c r="N55" i="48"/>
  <c r="N214" i="48" s="1"/>
  <c r="N241" i="48" s="1"/>
  <c r="N56" i="48"/>
  <c r="N215" i="48" s="1"/>
  <c r="N235" i="48" s="1"/>
  <c r="N52" i="48"/>
  <c r="N211" i="48" s="1"/>
  <c r="N54" i="48"/>
  <c r="N213" i="48" s="1"/>
  <c r="N48" i="48"/>
  <c r="N192" i="48" s="1"/>
  <c r="N285" i="48" s="1"/>
  <c r="N46" i="48"/>
  <c r="N190" i="48" s="1"/>
  <c r="N49" i="48"/>
  <c r="N193" i="48" s="1"/>
  <c r="N279" i="48" s="1"/>
  <c r="N45" i="48"/>
  <c r="N189" i="48" s="1"/>
  <c r="N47" i="48"/>
  <c r="N191" i="48" s="1"/>
  <c r="H202" i="49" l="1"/>
  <c r="H203" i="49"/>
  <c r="J180" i="49"/>
  <c r="J181" i="49"/>
  <c r="I33" i="49"/>
  <c r="I176" i="49" s="1"/>
  <c r="I178" i="49"/>
  <c r="I182" i="49" s="1"/>
  <c r="G37" i="49"/>
  <c r="G189" i="49" s="1"/>
  <c r="G190" i="49"/>
  <c r="J37" i="49"/>
  <c r="J189" i="49" s="1"/>
  <c r="J190" i="49"/>
  <c r="J284" i="49" s="1"/>
  <c r="H33" i="49"/>
  <c r="H176" i="49" s="1"/>
  <c r="H178" i="49"/>
  <c r="H182" i="49" s="1"/>
  <c r="D33" i="49"/>
  <c r="D176" i="49" s="1"/>
  <c r="D178" i="49"/>
  <c r="D182" i="49" s="1"/>
  <c r="D37" i="49"/>
  <c r="D189" i="49" s="1"/>
  <c r="D190" i="49"/>
  <c r="D284" i="49" s="1"/>
  <c r="L37" i="49"/>
  <c r="L189" i="49" s="1"/>
  <c r="L190" i="49"/>
  <c r="E37" i="49"/>
  <c r="E189" i="49" s="1"/>
  <c r="E190" i="49"/>
  <c r="K37" i="49"/>
  <c r="K189" i="49" s="1"/>
  <c r="K190" i="49"/>
  <c r="L33" i="49"/>
  <c r="L176" i="49" s="1"/>
  <c r="L178" i="49"/>
  <c r="I37" i="49"/>
  <c r="I189" i="49" s="1"/>
  <c r="I190" i="49"/>
  <c r="I284" i="49" s="1"/>
  <c r="H37" i="49"/>
  <c r="H189" i="49" s="1"/>
  <c r="H292" i="49" s="1"/>
  <c r="H190" i="49"/>
  <c r="F37" i="49"/>
  <c r="F189" i="49" s="1"/>
  <c r="F190" i="49"/>
  <c r="F33" i="49"/>
  <c r="F176" i="49" s="1"/>
  <c r="F178" i="49"/>
  <c r="G33" i="49"/>
  <c r="G176" i="49" s="1"/>
  <c r="G178" i="49"/>
  <c r="E33" i="49"/>
  <c r="E176" i="49" s="1"/>
  <c r="E178" i="49"/>
  <c r="K33" i="49"/>
  <c r="K176" i="49" s="1"/>
  <c r="K178" i="49"/>
  <c r="K182" i="49" s="1"/>
  <c r="J61" i="49"/>
  <c r="P117" i="49"/>
  <c r="P118" i="49"/>
  <c r="P119" i="49"/>
  <c r="P120" i="49"/>
  <c r="P121" i="49"/>
  <c r="N167" i="49"/>
  <c r="J40" i="49"/>
  <c r="P122" i="49"/>
  <c r="M167" i="49"/>
  <c r="P116" i="49"/>
  <c r="O36" i="50"/>
  <c r="R20" i="50"/>
  <c r="P102" i="48"/>
  <c r="Q102" i="48" s="1"/>
  <c r="AU37" i="50"/>
  <c r="AH37" i="50"/>
  <c r="BD37" i="50"/>
  <c r="AK37" i="50"/>
  <c r="Q37" i="50"/>
  <c r="BF37" i="50"/>
  <c r="BA37" i="50"/>
  <c r="AB37" i="50"/>
  <c r="V37" i="50"/>
  <c r="AR37" i="50"/>
  <c r="S37" i="50"/>
  <c r="Y37" i="50"/>
  <c r="AM37" i="50"/>
  <c r="AT37" i="50"/>
  <c r="AZ37" i="50"/>
  <c r="AA37" i="50"/>
  <c r="AL37" i="50"/>
  <c r="X37" i="50"/>
  <c r="P37" i="50"/>
  <c r="U37" i="50"/>
  <c r="AI37" i="50"/>
  <c r="AQ37" i="50"/>
  <c r="AO37" i="50"/>
  <c r="AF37" i="50"/>
  <c r="BB37" i="50"/>
  <c r="AY37" i="50"/>
  <c r="BH37" i="50"/>
  <c r="R37" i="50"/>
  <c r="AV37" i="50"/>
  <c r="AD37" i="50"/>
  <c r="AC37" i="50"/>
  <c r="O27" i="50"/>
  <c r="O38" i="50" s="1"/>
  <c r="P29" i="50"/>
  <c r="Z37" i="50"/>
  <c r="BG37" i="50"/>
  <c r="AX37" i="50"/>
  <c r="BE37" i="50"/>
  <c r="AP37" i="50"/>
  <c r="AS37" i="50"/>
  <c r="T37" i="50"/>
  <c r="BC37" i="50"/>
  <c r="Q28" i="50"/>
  <c r="Q39" i="50" s="1"/>
  <c r="R30" i="50"/>
  <c r="AG37" i="50"/>
  <c r="AW37" i="50"/>
  <c r="N282" i="48"/>
  <c r="N266" i="48"/>
  <c r="N238" i="48"/>
  <c r="M221" i="48"/>
  <c r="M222" i="48"/>
  <c r="M218" i="48"/>
  <c r="M220" i="48"/>
  <c r="M219" i="48"/>
  <c r="M200" i="48"/>
  <c r="M198" i="48"/>
  <c r="M197" i="48"/>
  <c r="M199" i="48"/>
  <c r="M201" i="48"/>
  <c r="N216" i="48"/>
  <c r="N194" i="48"/>
  <c r="N196" i="48" s="1"/>
  <c r="E124" i="48"/>
  <c r="E160" i="48" s="1"/>
  <c r="O104" i="48"/>
  <c r="Q105" i="48"/>
  <c r="O103" i="48"/>
  <c r="Q109" i="48"/>
  <c r="E184" i="48"/>
  <c r="F183" i="48"/>
  <c r="G184" i="48"/>
  <c r="J183" i="48"/>
  <c r="H183" i="48"/>
  <c r="I184" i="48"/>
  <c r="L184" i="48"/>
  <c r="F184" i="48"/>
  <c r="D183" i="48"/>
  <c r="L183" i="48"/>
  <c r="H184" i="48"/>
  <c r="D184" i="48"/>
  <c r="I183" i="48"/>
  <c r="K184" i="48"/>
  <c r="K185" i="48" s="1"/>
  <c r="G183" i="48"/>
  <c r="O107" i="48"/>
  <c r="E183" i="48"/>
  <c r="E185" i="48" s="1"/>
  <c r="J184" i="48"/>
  <c r="F112" i="48"/>
  <c r="F159" i="48" s="1"/>
  <c r="K134" i="48"/>
  <c r="N132" i="48"/>
  <c r="O108" i="48" s="1"/>
  <c r="O106" i="48"/>
  <c r="BI146" i="48"/>
  <c r="AB146" i="48"/>
  <c r="O33" i="50"/>
  <c r="P15" i="50"/>
  <c r="O17" i="50"/>
  <c r="O35" i="50" s="1"/>
  <c r="Q19" i="50"/>
  <c r="P21" i="50"/>
  <c r="Q11" i="50"/>
  <c r="P33" i="50"/>
  <c r="R12" i="50"/>
  <c r="Q34" i="50"/>
  <c r="O137" i="49"/>
  <c r="O150" i="49" s="1"/>
  <c r="P139" i="49"/>
  <c r="H61" i="49"/>
  <c r="N140" i="49"/>
  <c r="M140" i="49"/>
  <c r="AZ135" i="49"/>
  <c r="AZ148" i="49" s="1"/>
  <c r="V135" i="49"/>
  <c r="V148" i="49" s="1"/>
  <c r="AM135" i="49"/>
  <c r="AM148" i="49" s="1"/>
  <c r="AN135" i="49"/>
  <c r="AN148" i="49" s="1"/>
  <c r="AH135" i="49"/>
  <c r="AH148" i="49" s="1"/>
  <c r="AQ135" i="49"/>
  <c r="AQ148" i="49" s="1"/>
  <c r="BH135" i="49"/>
  <c r="BH148" i="49" s="1"/>
  <c r="AD135" i="49"/>
  <c r="AD148" i="49" s="1"/>
  <c r="AU135" i="49"/>
  <c r="AU148" i="49" s="1"/>
  <c r="AV135" i="49"/>
  <c r="AV148" i="49" s="1"/>
  <c r="AP135" i="49"/>
  <c r="AP148" i="49" s="1"/>
  <c r="AY135" i="49"/>
  <c r="AY148" i="49" s="1"/>
  <c r="U135" i="49"/>
  <c r="U148" i="49" s="1"/>
  <c r="AL135" i="49"/>
  <c r="AL148" i="49" s="1"/>
  <c r="BC135" i="49"/>
  <c r="BC148" i="49" s="1"/>
  <c r="BD135" i="49"/>
  <c r="BD148" i="49" s="1"/>
  <c r="AX135" i="49"/>
  <c r="AX148" i="49" s="1"/>
  <c r="BG135" i="49"/>
  <c r="BG148" i="49" s="1"/>
  <c r="AC135" i="49"/>
  <c r="AC148" i="49" s="1"/>
  <c r="AT135" i="49"/>
  <c r="AT148" i="49" s="1"/>
  <c r="Q135" i="49"/>
  <c r="Q148" i="49" s="1"/>
  <c r="Y135" i="49"/>
  <c r="Y148" i="49" s="1"/>
  <c r="BF135" i="49"/>
  <c r="BF148" i="49" s="1"/>
  <c r="T135" i="49"/>
  <c r="T148" i="49" s="1"/>
  <c r="AK135" i="49"/>
  <c r="AK148" i="49" s="1"/>
  <c r="BB135" i="49"/>
  <c r="BB148" i="49" s="1"/>
  <c r="AW135" i="49"/>
  <c r="AW148" i="49" s="1"/>
  <c r="AG135" i="49"/>
  <c r="AG148" i="49" s="1"/>
  <c r="O135" i="49"/>
  <c r="O148" i="49" s="1"/>
  <c r="BI135" i="49"/>
  <c r="BI148" i="49" s="1"/>
  <c r="A148" i="49" s="1"/>
  <c r="AF135" i="49"/>
  <c r="AF148" i="49" s="1"/>
  <c r="AI135" i="49"/>
  <c r="AI148" i="49" s="1"/>
  <c r="AB135" i="49"/>
  <c r="AB148" i="49" s="1"/>
  <c r="AS135" i="49"/>
  <c r="AS148" i="49" s="1"/>
  <c r="AO135" i="49"/>
  <c r="AO148" i="49" s="1"/>
  <c r="P135" i="49"/>
  <c r="P148" i="49" s="1"/>
  <c r="BE135" i="49"/>
  <c r="BE148" i="49" s="1"/>
  <c r="S135" i="49"/>
  <c r="S148" i="49" s="1"/>
  <c r="AR135" i="49"/>
  <c r="AR148" i="49" s="1"/>
  <c r="AE135" i="49"/>
  <c r="AE148" i="49" s="1"/>
  <c r="Z135" i="49"/>
  <c r="Z148" i="49" s="1"/>
  <c r="AJ135" i="49"/>
  <c r="AJ148" i="49" s="1"/>
  <c r="BA135" i="49"/>
  <c r="BA148" i="49" s="1"/>
  <c r="W135" i="49"/>
  <c r="W148" i="49" s="1"/>
  <c r="X135" i="49"/>
  <c r="X148" i="49" s="1"/>
  <c r="R135" i="49"/>
  <c r="R148" i="49" s="1"/>
  <c r="AA135" i="49"/>
  <c r="AA148" i="49" s="1"/>
  <c r="M65" i="49"/>
  <c r="M38" i="49" s="1"/>
  <c r="M123" i="49"/>
  <c r="M147" i="49" s="1"/>
  <c r="N113" i="49"/>
  <c r="N146" i="49" s="1"/>
  <c r="N125" i="49"/>
  <c r="O105" i="49" s="1"/>
  <c r="M113" i="49"/>
  <c r="M146" i="49" s="1"/>
  <c r="N126" i="49"/>
  <c r="O106" i="49" s="1"/>
  <c r="P106" i="49" s="1"/>
  <c r="Q106" i="49" s="1"/>
  <c r="R106" i="49" s="1"/>
  <c r="S106" i="49" s="1"/>
  <c r="T106" i="49" s="1"/>
  <c r="U106" i="49" s="1"/>
  <c r="V106" i="49" s="1"/>
  <c r="W106" i="49" s="1"/>
  <c r="X106" i="49" s="1"/>
  <c r="Y106" i="49" s="1"/>
  <c r="Z106" i="49" s="1"/>
  <c r="AA106" i="49" s="1"/>
  <c r="AB106" i="49" s="1"/>
  <c r="AC106" i="49" s="1"/>
  <c r="AD106" i="49" s="1"/>
  <c r="AE106" i="49" s="1"/>
  <c r="AF106" i="49" s="1"/>
  <c r="AG106" i="49" s="1"/>
  <c r="AH106" i="49" s="1"/>
  <c r="AI106" i="49" s="1"/>
  <c r="AJ106" i="49" s="1"/>
  <c r="AK106" i="49" s="1"/>
  <c r="AL106" i="49" s="1"/>
  <c r="AM106" i="49" s="1"/>
  <c r="AN106" i="49" s="1"/>
  <c r="AO106" i="49" s="1"/>
  <c r="AP106" i="49" s="1"/>
  <c r="AQ106" i="49" s="1"/>
  <c r="AR106" i="49" s="1"/>
  <c r="AS106" i="49" s="1"/>
  <c r="AT106" i="49" s="1"/>
  <c r="AU106" i="49" s="1"/>
  <c r="AV106" i="49" s="1"/>
  <c r="AW106" i="49" s="1"/>
  <c r="AX106" i="49" s="1"/>
  <c r="AY106" i="49" s="1"/>
  <c r="AZ106" i="49" s="1"/>
  <c r="BA106" i="49" s="1"/>
  <c r="BB106" i="49" s="1"/>
  <c r="BC106" i="49" s="1"/>
  <c r="BD106" i="49" s="1"/>
  <c r="BE106" i="49" s="1"/>
  <c r="BF106" i="49" s="1"/>
  <c r="BG106" i="49" s="1"/>
  <c r="BH106" i="49" s="1"/>
  <c r="BI106" i="49" s="1"/>
  <c r="N127" i="49"/>
  <c r="O107" i="49" s="1"/>
  <c r="P107" i="49" s="1"/>
  <c r="Q107" i="49" s="1"/>
  <c r="R107" i="49" s="1"/>
  <c r="S107" i="49" s="1"/>
  <c r="T107" i="49" s="1"/>
  <c r="U107" i="49" s="1"/>
  <c r="V107" i="49" s="1"/>
  <c r="W107" i="49" s="1"/>
  <c r="X107" i="49" s="1"/>
  <c r="Y107" i="49" s="1"/>
  <c r="Z107" i="49" s="1"/>
  <c r="AA107" i="49" s="1"/>
  <c r="AB107" i="49" s="1"/>
  <c r="AC107" i="49" s="1"/>
  <c r="AD107" i="49" s="1"/>
  <c r="AE107" i="49" s="1"/>
  <c r="AF107" i="49" s="1"/>
  <c r="AG107" i="49" s="1"/>
  <c r="AH107" i="49" s="1"/>
  <c r="AI107" i="49" s="1"/>
  <c r="AJ107" i="49" s="1"/>
  <c r="AK107" i="49" s="1"/>
  <c r="AL107" i="49" s="1"/>
  <c r="AM107" i="49" s="1"/>
  <c r="AN107" i="49" s="1"/>
  <c r="AO107" i="49" s="1"/>
  <c r="AP107" i="49" s="1"/>
  <c r="AQ107" i="49" s="1"/>
  <c r="AR107" i="49" s="1"/>
  <c r="AS107" i="49" s="1"/>
  <c r="AT107" i="49" s="1"/>
  <c r="AU107" i="49" s="1"/>
  <c r="AV107" i="49" s="1"/>
  <c r="AW107" i="49" s="1"/>
  <c r="AX107" i="49" s="1"/>
  <c r="AY107" i="49" s="1"/>
  <c r="AZ107" i="49" s="1"/>
  <c r="BA107" i="49" s="1"/>
  <c r="BB107" i="49" s="1"/>
  <c r="BC107" i="49" s="1"/>
  <c r="BD107" i="49" s="1"/>
  <c r="BE107" i="49" s="1"/>
  <c r="BF107" i="49" s="1"/>
  <c r="BG107" i="49" s="1"/>
  <c r="BH107" i="49" s="1"/>
  <c r="BI107" i="49" s="1"/>
  <c r="N129" i="49"/>
  <c r="O109" i="49" s="1"/>
  <c r="P109" i="49" s="1"/>
  <c r="Q109" i="49" s="1"/>
  <c r="R109" i="49" s="1"/>
  <c r="S109" i="49" s="1"/>
  <c r="T109" i="49" s="1"/>
  <c r="U109" i="49" s="1"/>
  <c r="V109" i="49" s="1"/>
  <c r="W109" i="49" s="1"/>
  <c r="X109" i="49" s="1"/>
  <c r="Y109" i="49" s="1"/>
  <c r="Z109" i="49" s="1"/>
  <c r="AA109" i="49" s="1"/>
  <c r="AB109" i="49" s="1"/>
  <c r="AC109" i="49" s="1"/>
  <c r="AD109" i="49" s="1"/>
  <c r="AE109" i="49" s="1"/>
  <c r="AF109" i="49" s="1"/>
  <c r="AG109" i="49" s="1"/>
  <c r="AH109" i="49" s="1"/>
  <c r="AI109" i="49" s="1"/>
  <c r="AJ109" i="49" s="1"/>
  <c r="AK109" i="49" s="1"/>
  <c r="AL109" i="49" s="1"/>
  <c r="AM109" i="49" s="1"/>
  <c r="AN109" i="49" s="1"/>
  <c r="AO109" i="49" s="1"/>
  <c r="AP109" i="49" s="1"/>
  <c r="AQ109" i="49" s="1"/>
  <c r="AR109" i="49" s="1"/>
  <c r="AS109" i="49" s="1"/>
  <c r="AT109" i="49" s="1"/>
  <c r="AU109" i="49" s="1"/>
  <c r="AV109" i="49" s="1"/>
  <c r="AW109" i="49" s="1"/>
  <c r="AX109" i="49" s="1"/>
  <c r="AY109" i="49" s="1"/>
  <c r="AZ109" i="49" s="1"/>
  <c r="BA109" i="49" s="1"/>
  <c r="BB109" i="49" s="1"/>
  <c r="BC109" i="49" s="1"/>
  <c r="BD109" i="49" s="1"/>
  <c r="BE109" i="49" s="1"/>
  <c r="BF109" i="49" s="1"/>
  <c r="BG109" i="49" s="1"/>
  <c r="BH109" i="49" s="1"/>
  <c r="BI109" i="49" s="1"/>
  <c r="N123" i="49"/>
  <c r="N147" i="49" s="1"/>
  <c r="O115" i="49"/>
  <c r="N128" i="49"/>
  <c r="O108" i="49" s="1"/>
  <c r="P108" i="49" s="1"/>
  <c r="Q108" i="49" s="1"/>
  <c r="R108" i="49" s="1"/>
  <c r="S108" i="49" s="1"/>
  <c r="T108" i="49" s="1"/>
  <c r="U108" i="49" s="1"/>
  <c r="V108" i="49" s="1"/>
  <c r="W108" i="49" s="1"/>
  <c r="X108" i="49" s="1"/>
  <c r="Y108" i="49" s="1"/>
  <c r="Z108" i="49" s="1"/>
  <c r="AA108" i="49" s="1"/>
  <c r="AB108" i="49" s="1"/>
  <c r="AC108" i="49" s="1"/>
  <c r="AD108" i="49" s="1"/>
  <c r="AE108" i="49" s="1"/>
  <c r="AF108" i="49" s="1"/>
  <c r="AG108" i="49" s="1"/>
  <c r="AH108" i="49" s="1"/>
  <c r="AI108" i="49" s="1"/>
  <c r="AJ108" i="49" s="1"/>
  <c r="AK108" i="49" s="1"/>
  <c r="AL108" i="49" s="1"/>
  <c r="AM108" i="49" s="1"/>
  <c r="AN108" i="49" s="1"/>
  <c r="AO108" i="49" s="1"/>
  <c r="AP108" i="49" s="1"/>
  <c r="AQ108" i="49" s="1"/>
  <c r="AR108" i="49" s="1"/>
  <c r="AS108" i="49" s="1"/>
  <c r="AT108" i="49" s="1"/>
  <c r="AU108" i="49" s="1"/>
  <c r="AV108" i="49" s="1"/>
  <c r="AW108" i="49" s="1"/>
  <c r="AX108" i="49" s="1"/>
  <c r="AY108" i="49" s="1"/>
  <c r="AZ108" i="49" s="1"/>
  <c r="BA108" i="49" s="1"/>
  <c r="BB108" i="49" s="1"/>
  <c r="BC108" i="49" s="1"/>
  <c r="BD108" i="49" s="1"/>
  <c r="BE108" i="49" s="1"/>
  <c r="BF108" i="49" s="1"/>
  <c r="BG108" i="49" s="1"/>
  <c r="BH108" i="49" s="1"/>
  <c r="BI108" i="49" s="1"/>
  <c r="N132" i="49"/>
  <c r="O112" i="49" s="1"/>
  <c r="P112" i="49" s="1"/>
  <c r="Q112" i="49" s="1"/>
  <c r="R112" i="49" s="1"/>
  <c r="S112" i="49" s="1"/>
  <c r="T112" i="49" s="1"/>
  <c r="U112" i="49" s="1"/>
  <c r="V112" i="49" s="1"/>
  <c r="W112" i="49" s="1"/>
  <c r="X112" i="49" s="1"/>
  <c r="Y112" i="49" s="1"/>
  <c r="Z112" i="49" s="1"/>
  <c r="AA112" i="49" s="1"/>
  <c r="AB112" i="49" s="1"/>
  <c r="AC112" i="49" s="1"/>
  <c r="AD112" i="49" s="1"/>
  <c r="AE112" i="49" s="1"/>
  <c r="AF112" i="49" s="1"/>
  <c r="AG112" i="49" s="1"/>
  <c r="AH112" i="49" s="1"/>
  <c r="AI112" i="49" s="1"/>
  <c r="AJ112" i="49" s="1"/>
  <c r="AK112" i="49" s="1"/>
  <c r="AL112" i="49" s="1"/>
  <c r="AM112" i="49" s="1"/>
  <c r="AN112" i="49" s="1"/>
  <c r="AO112" i="49" s="1"/>
  <c r="AP112" i="49" s="1"/>
  <c r="AQ112" i="49" s="1"/>
  <c r="AR112" i="49" s="1"/>
  <c r="AS112" i="49" s="1"/>
  <c r="AT112" i="49" s="1"/>
  <c r="AU112" i="49" s="1"/>
  <c r="AV112" i="49" s="1"/>
  <c r="AW112" i="49" s="1"/>
  <c r="AX112" i="49" s="1"/>
  <c r="AY112" i="49" s="1"/>
  <c r="AZ112" i="49" s="1"/>
  <c r="BA112" i="49" s="1"/>
  <c r="BB112" i="49" s="1"/>
  <c r="BC112" i="49" s="1"/>
  <c r="BD112" i="49" s="1"/>
  <c r="BE112" i="49" s="1"/>
  <c r="BF112" i="49" s="1"/>
  <c r="BG112" i="49" s="1"/>
  <c r="BH112" i="49" s="1"/>
  <c r="BI112" i="49" s="1"/>
  <c r="N131" i="49"/>
  <c r="O111" i="49" s="1"/>
  <c r="P111" i="49" s="1"/>
  <c r="Q111" i="49" s="1"/>
  <c r="R111" i="49" s="1"/>
  <c r="S111" i="49" s="1"/>
  <c r="T111" i="49" s="1"/>
  <c r="U111" i="49" s="1"/>
  <c r="V111" i="49" s="1"/>
  <c r="W111" i="49" s="1"/>
  <c r="X111" i="49" s="1"/>
  <c r="Y111" i="49" s="1"/>
  <c r="Z111" i="49" s="1"/>
  <c r="AA111" i="49" s="1"/>
  <c r="AB111" i="49" s="1"/>
  <c r="AC111" i="49" s="1"/>
  <c r="AD111" i="49" s="1"/>
  <c r="AE111" i="49" s="1"/>
  <c r="AF111" i="49" s="1"/>
  <c r="AG111" i="49" s="1"/>
  <c r="AH111" i="49" s="1"/>
  <c r="AI111" i="49" s="1"/>
  <c r="AJ111" i="49" s="1"/>
  <c r="AK111" i="49" s="1"/>
  <c r="AL111" i="49" s="1"/>
  <c r="AM111" i="49" s="1"/>
  <c r="AN111" i="49" s="1"/>
  <c r="AO111" i="49" s="1"/>
  <c r="AP111" i="49" s="1"/>
  <c r="AQ111" i="49" s="1"/>
  <c r="AR111" i="49" s="1"/>
  <c r="AS111" i="49" s="1"/>
  <c r="AT111" i="49" s="1"/>
  <c r="AU111" i="49" s="1"/>
  <c r="AV111" i="49" s="1"/>
  <c r="AW111" i="49" s="1"/>
  <c r="AX111" i="49" s="1"/>
  <c r="AY111" i="49" s="1"/>
  <c r="AZ111" i="49" s="1"/>
  <c r="BA111" i="49" s="1"/>
  <c r="BB111" i="49" s="1"/>
  <c r="BC111" i="49" s="1"/>
  <c r="BD111" i="49" s="1"/>
  <c r="BE111" i="49" s="1"/>
  <c r="BF111" i="49" s="1"/>
  <c r="BG111" i="49" s="1"/>
  <c r="BH111" i="49" s="1"/>
  <c r="BI111" i="49" s="1"/>
  <c r="N130" i="49"/>
  <c r="O110" i="49" s="1"/>
  <c r="P110" i="49" s="1"/>
  <c r="Q110" i="49" s="1"/>
  <c r="R110" i="49" s="1"/>
  <c r="S110" i="49" s="1"/>
  <c r="T110" i="49" s="1"/>
  <c r="U110" i="49" s="1"/>
  <c r="V110" i="49" s="1"/>
  <c r="W110" i="49" s="1"/>
  <c r="X110" i="49" s="1"/>
  <c r="Y110" i="49" s="1"/>
  <c r="Z110" i="49" s="1"/>
  <c r="AA110" i="49" s="1"/>
  <c r="AB110" i="49" s="1"/>
  <c r="AC110" i="49" s="1"/>
  <c r="AD110" i="49" s="1"/>
  <c r="AE110" i="49" s="1"/>
  <c r="AF110" i="49" s="1"/>
  <c r="AG110" i="49" s="1"/>
  <c r="AH110" i="49" s="1"/>
  <c r="AI110" i="49" s="1"/>
  <c r="AJ110" i="49" s="1"/>
  <c r="AK110" i="49" s="1"/>
  <c r="AL110" i="49" s="1"/>
  <c r="AM110" i="49" s="1"/>
  <c r="AN110" i="49" s="1"/>
  <c r="AO110" i="49" s="1"/>
  <c r="AP110" i="49" s="1"/>
  <c r="AQ110" i="49" s="1"/>
  <c r="AR110" i="49" s="1"/>
  <c r="AS110" i="49" s="1"/>
  <c r="AT110" i="49" s="1"/>
  <c r="AU110" i="49" s="1"/>
  <c r="AV110" i="49" s="1"/>
  <c r="AW110" i="49" s="1"/>
  <c r="AX110" i="49" s="1"/>
  <c r="AY110" i="49" s="1"/>
  <c r="AZ110" i="49" s="1"/>
  <c r="BA110" i="49" s="1"/>
  <c r="BB110" i="49" s="1"/>
  <c r="BC110" i="49" s="1"/>
  <c r="BD110" i="49" s="1"/>
  <c r="BE110" i="49" s="1"/>
  <c r="BF110" i="49" s="1"/>
  <c r="BG110" i="49" s="1"/>
  <c r="BH110" i="49" s="1"/>
  <c r="BI110" i="49" s="1"/>
  <c r="P85" i="49"/>
  <c r="P144" i="49" s="1"/>
  <c r="Q85" i="49"/>
  <c r="Q144" i="49" s="1"/>
  <c r="R78" i="49"/>
  <c r="R87" i="49"/>
  <c r="Q94" i="49"/>
  <c r="Q145" i="49" s="1"/>
  <c r="P74" i="49"/>
  <c r="O142" i="49"/>
  <c r="P75" i="49"/>
  <c r="O143" i="49"/>
  <c r="N65" i="49"/>
  <c r="I61" i="49"/>
  <c r="I40" i="49"/>
  <c r="K61" i="49"/>
  <c r="K40" i="49"/>
  <c r="G61" i="49"/>
  <c r="G40" i="49"/>
  <c r="E61" i="49"/>
  <c r="E40" i="49"/>
  <c r="L61" i="49"/>
  <c r="L40" i="49"/>
  <c r="D61" i="49"/>
  <c r="D40" i="49"/>
  <c r="F61" i="49"/>
  <c r="F40" i="49"/>
  <c r="BF146" i="48"/>
  <c r="AJ146" i="48"/>
  <c r="G135" i="48"/>
  <c r="W146" i="48"/>
  <c r="D112" i="48"/>
  <c r="BB146" i="48"/>
  <c r="AZ146" i="48"/>
  <c r="T146" i="48"/>
  <c r="AF146" i="48"/>
  <c r="AG146" i="48"/>
  <c r="AM146" i="48"/>
  <c r="AA146" i="48"/>
  <c r="AS146" i="48"/>
  <c r="AT146" i="48"/>
  <c r="AU146" i="48"/>
  <c r="Q146" i="48"/>
  <c r="AI146" i="48"/>
  <c r="AR146" i="48"/>
  <c r="AY146" i="48"/>
  <c r="P146" i="48"/>
  <c r="O146" i="48"/>
  <c r="S146" i="48"/>
  <c r="BE146" i="48"/>
  <c r="V146" i="48"/>
  <c r="AC146" i="48"/>
  <c r="AN146" i="48"/>
  <c r="BC146" i="48"/>
  <c r="AQ146" i="48"/>
  <c r="BH146" i="48"/>
  <c r="AK146" i="48"/>
  <c r="AW146" i="48"/>
  <c r="X146" i="48"/>
  <c r="BG146" i="48"/>
  <c r="AH146" i="48"/>
  <c r="BA146" i="48"/>
  <c r="AX146" i="48"/>
  <c r="AP146" i="48"/>
  <c r="AO146" i="48"/>
  <c r="R146" i="48"/>
  <c r="AL146" i="48"/>
  <c r="AV146" i="48"/>
  <c r="Z146" i="48"/>
  <c r="AD146" i="48"/>
  <c r="Y146" i="48"/>
  <c r="U146" i="48"/>
  <c r="AE146" i="48"/>
  <c r="J135" i="48"/>
  <c r="I135" i="48"/>
  <c r="I134" i="48"/>
  <c r="K112" i="48"/>
  <c r="G134" i="48"/>
  <c r="O148" i="48"/>
  <c r="O164" i="48" s="1"/>
  <c r="P150" i="48"/>
  <c r="N151" i="48"/>
  <c r="O149" i="48" s="1"/>
  <c r="E134" i="48"/>
  <c r="K124" i="48"/>
  <c r="K160" i="48" s="1"/>
  <c r="P142" i="48"/>
  <c r="O140" i="48"/>
  <c r="O162" i="48" s="1"/>
  <c r="H112" i="48"/>
  <c r="H134" i="48"/>
  <c r="E135" i="48"/>
  <c r="L135" i="48"/>
  <c r="J134" i="48"/>
  <c r="I112" i="48"/>
  <c r="G112" i="48"/>
  <c r="H135" i="48"/>
  <c r="AR138" i="48"/>
  <c r="N143" i="48"/>
  <c r="O141" i="48" s="1"/>
  <c r="F134" i="48"/>
  <c r="F124" i="48"/>
  <c r="F160" i="48" s="1"/>
  <c r="D124" i="48"/>
  <c r="D160" i="48" s="1"/>
  <c r="K135" i="48"/>
  <c r="F135" i="48"/>
  <c r="E112" i="48"/>
  <c r="J112" i="48"/>
  <c r="I124" i="48"/>
  <c r="I160" i="48" s="1"/>
  <c r="M110" i="48"/>
  <c r="M183" i="48" s="1"/>
  <c r="M122" i="48"/>
  <c r="M111" i="48"/>
  <c r="M184" i="48" s="1"/>
  <c r="M123" i="48"/>
  <c r="J124" i="48"/>
  <c r="J160" i="48" s="1"/>
  <c r="H124" i="48"/>
  <c r="H160" i="48" s="1"/>
  <c r="G124" i="48"/>
  <c r="G160" i="48" s="1"/>
  <c r="S114" i="48"/>
  <c r="Q83" i="48"/>
  <c r="P90" i="48"/>
  <c r="P158" i="48" s="1"/>
  <c r="P71" i="48"/>
  <c r="Q71" i="48" s="1"/>
  <c r="R71" i="48" s="1"/>
  <c r="P70" i="48"/>
  <c r="P155" i="48" s="1"/>
  <c r="O155" i="48"/>
  <c r="AA138" i="48"/>
  <c r="P138" i="48"/>
  <c r="AF138" i="48"/>
  <c r="AT138" i="48"/>
  <c r="AK138" i="48"/>
  <c r="AU138" i="48"/>
  <c r="Y138" i="48"/>
  <c r="AS138" i="48"/>
  <c r="X138" i="48"/>
  <c r="AG138" i="48"/>
  <c r="BC138" i="48"/>
  <c r="AJ138" i="48"/>
  <c r="U138" i="48"/>
  <c r="V138" i="48"/>
  <c r="AX138" i="48"/>
  <c r="AN138" i="48"/>
  <c r="AL138" i="48"/>
  <c r="AZ138" i="48"/>
  <c r="AH138" i="48"/>
  <c r="T138" i="48"/>
  <c r="AD138" i="48"/>
  <c r="AE138" i="48"/>
  <c r="AC138" i="48"/>
  <c r="S138" i="48"/>
  <c r="BG138" i="48"/>
  <c r="BB138" i="48"/>
  <c r="AY138" i="48"/>
  <c r="W138" i="48"/>
  <c r="AW138" i="48"/>
  <c r="AV138" i="48"/>
  <c r="AQ138" i="48"/>
  <c r="BI138" i="48"/>
  <c r="BE138" i="48"/>
  <c r="BD138" i="48"/>
  <c r="BA138" i="48"/>
  <c r="O138" i="48"/>
  <c r="Z138" i="48"/>
  <c r="AM138" i="48"/>
  <c r="AI138" i="48"/>
  <c r="BH138" i="48"/>
  <c r="R138" i="48"/>
  <c r="Q138" i="48"/>
  <c r="AP138" i="48"/>
  <c r="BF138" i="48"/>
  <c r="AB138" i="48"/>
  <c r="L134" i="48"/>
  <c r="L112" i="48"/>
  <c r="S75" i="48"/>
  <c r="R74" i="48"/>
  <c r="Q81" i="48"/>
  <c r="Q157" i="48" s="1"/>
  <c r="M24" i="48"/>
  <c r="N22" i="48"/>
  <c r="N23" i="48"/>
  <c r="N57" i="48"/>
  <c r="N50" i="48"/>
  <c r="F193" i="49" l="1"/>
  <c r="F284" i="49"/>
  <c r="H193" i="49"/>
  <c r="H284" i="49"/>
  <c r="I192" i="49"/>
  <c r="K193" i="49"/>
  <c r="K284" i="49"/>
  <c r="E193" i="49"/>
  <c r="E284" i="49"/>
  <c r="L284" i="49"/>
  <c r="L192" i="49"/>
  <c r="J192" i="49"/>
  <c r="G284" i="49"/>
  <c r="D192" i="49"/>
  <c r="G192" i="49"/>
  <c r="H192" i="49"/>
  <c r="E192" i="49"/>
  <c r="F182" i="49"/>
  <c r="L182" i="49"/>
  <c r="D193" i="49"/>
  <c r="G193" i="49"/>
  <c r="F180" i="49"/>
  <c r="F181" i="49"/>
  <c r="L180" i="49"/>
  <c r="L181" i="49"/>
  <c r="K180" i="49"/>
  <c r="K181" i="49"/>
  <c r="F192" i="49"/>
  <c r="K192" i="49"/>
  <c r="D180" i="49"/>
  <c r="D181" i="49"/>
  <c r="I180" i="49"/>
  <c r="I181" i="49"/>
  <c r="E182" i="49"/>
  <c r="E180" i="49"/>
  <c r="E181" i="49"/>
  <c r="H180" i="49"/>
  <c r="H181" i="49"/>
  <c r="G182" i="49"/>
  <c r="I193" i="49"/>
  <c r="L193" i="49"/>
  <c r="J193" i="49"/>
  <c r="G180" i="49"/>
  <c r="G181" i="49"/>
  <c r="J52" i="49"/>
  <c r="J233" i="49" s="1"/>
  <c r="J259" i="49" s="1"/>
  <c r="J46" i="49"/>
  <c r="J212" i="49" s="1"/>
  <c r="J303" i="49" s="1"/>
  <c r="J59" i="49"/>
  <c r="J199" i="49"/>
  <c r="J292" i="49" s="1"/>
  <c r="F59" i="49"/>
  <c r="F199" i="49"/>
  <c r="F292" i="49" s="1"/>
  <c r="E59" i="49"/>
  <c r="E199" i="49"/>
  <c r="E292" i="49" s="1"/>
  <c r="H46" i="49"/>
  <c r="H212" i="49" s="1"/>
  <c r="H303" i="49" s="1"/>
  <c r="M37" i="49"/>
  <c r="M189" i="49" s="1"/>
  <c r="M190" i="49"/>
  <c r="L59" i="49"/>
  <c r="L199" i="49"/>
  <c r="L292" i="49" s="1"/>
  <c r="I59" i="49"/>
  <c r="I199" i="49"/>
  <c r="I292" i="49" s="1"/>
  <c r="G59" i="49"/>
  <c r="G199" i="49"/>
  <c r="G292" i="49" s="1"/>
  <c r="H59" i="49"/>
  <c r="D59" i="49"/>
  <c r="D199" i="49"/>
  <c r="D292" i="49" s="1"/>
  <c r="H52" i="49"/>
  <c r="H233" i="49" s="1"/>
  <c r="H259" i="49" s="1"/>
  <c r="H157" i="49" s="1"/>
  <c r="K59" i="49"/>
  <c r="K199" i="49"/>
  <c r="K292" i="49" s="1"/>
  <c r="Q119" i="49"/>
  <c r="M48" i="49"/>
  <c r="M214" i="49" s="1"/>
  <c r="M295" i="49" s="1"/>
  <c r="M35" i="49"/>
  <c r="Q118" i="49"/>
  <c r="Q122" i="49"/>
  <c r="Q121" i="49"/>
  <c r="Q120" i="49"/>
  <c r="Q116" i="49"/>
  <c r="Q117" i="49"/>
  <c r="P36" i="50"/>
  <c r="S20" i="50"/>
  <c r="O40" i="50"/>
  <c r="O45" i="50" s="1"/>
  <c r="R28" i="50"/>
  <c r="R39" i="50" s="1"/>
  <c r="S30" i="50"/>
  <c r="Q29" i="50"/>
  <c r="P27" i="50"/>
  <c r="P38" i="50" s="1"/>
  <c r="N221" i="48"/>
  <c r="A221" i="48" s="1"/>
  <c r="O221" i="48" s="1"/>
  <c r="N218" i="48"/>
  <c r="N222" i="48"/>
  <c r="A222" i="48" s="1"/>
  <c r="O222" i="48" s="1"/>
  <c r="N219" i="48"/>
  <c r="N220" i="48"/>
  <c r="A220" i="48" s="1"/>
  <c r="O220" i="48" s="1"/>
  <c r="N197" i="48"/>
  <c r="A197" i="48" s="1"/>
  <c r="O197" i="48" s="1"/>
  <c r="N199" i="48"/>
  <c r="A199" i="48" s="1"/>
  <c r="O199" i="48" s="1"/>
  <c r="A196" i="48"/>
  <c r="O196" i="48" s="1"/>
  <c r="N201" i="48"/>
  <c r="N200" i="48"/>
  <c r="N198" i="48"/>
  <c r="G185" i="48"/>
  <c r="F185" i="48"/>
  <c r="D185" i="48"/>
  <c r="P103" i="48"/>
  <c r="R109" i="48"/>
  <c r="R105" i="48"/>
  <c r="P106" i="48"/>
  <c r="P108" i="48"/>
  <c r="P107" i="48"/>
  <c r="P104" i="48"/>
  <c r="M185" i="48"/>
  <c r="L185" i="48"/>
  <c r="I185" i="48"/>
  <c r="H185" i="48"/>
  <c r="J185" i="48"/>
  <c r="J159" i="48"/>
  <c r="J165" i="48" s="1"/>
  <c r="J172" i="48" s="1"/>
  <c r="H159" i="48"/>
  <c r="H165" i="48" s="1"/>
  <c r="H172" i="48" s="1"/>
  <c r="G159" i="48"/>
  <c r="G165" i="48" s="1"/>
  <c r="G172" i="48" s="1"/>
  <c r="I159" i="48"/>
  <c r="I165" i="48" s="1"/>
  <c r="I172" i="48" s="1"/>
  <c r="K159" i="48"/>
  <c r="K165" i="48" s="1"/>
  <c r="K172" i="48" s="1"/>
  <c r="L159" i="48"/>
  <c r="L165" i="48" s="1"/>
  <c r="L172" i="48" s="1"/>
  <c r="M135" i="48"/>
  <c r="F165" i="48"/>
  <c r="F172" i="48" s="1"/>
  <c r="E159" i="48"/>
  <c r="E165" i="48" s="1"/>
  <c r="E172" i="48" s="1"/>
  <c r="M134" i="48"/>
  <c r="D159" i="48"/>
  <c r="D165" i="48" s="1"/>
  <c r="D172" i="48" s="1"/>
  <c r="Q21" i="50"/>
  <c r="R19" i="50"/>
  <c r="Q15" i="50"/>
  <c r="P17" i="50"/>
  <c r="P35" i="50" s="1"/>
  <c r="P40" i="50" s="1"/>
  <c r="P45" i="50" s="1"/>
  <c r="P48" i="50" s="1"/>
  <c r="P96" i="50" s="1"/>
  <c r="S12" i="50"/>
  <c r="R34" i="50"/>
  <c r="R11" i="50"/>
  <c r="Q33" i="50"/>
  <c r="O138" i="49"/>
  <c r="O136" i="49" s="1"/>
  <c r="O149" i="49" s="1"/>
  <c r="M41" i="49"/>
  <c r="M54" i="49"/>
  <c r="M235" i="49" s="1"/>
  <c r="M251" i="49" s="1"/>
  <c r="N151" i="49"/>
  <c r="N156" i="49" s="1"/>
  <c r="Q139" i="49"/>
  <c r="P137" i="49"/>
  <c r="P150" i="49" s="1"/>
  <c r="M151" i="49"/>
  <c r="M156" i="49" s="1"/>
  <c r="P115" i="49"/>
  <c r="O123" i="49"/>
  <c r="P105" i="49"/>
  <c r="O113" i="49"/>
  <c r="O146" i="49" s="1"/>
  <c r="S87" i="49"/>
  <c r="R94" i="49"/>
  <c r="R145" i="49" s="1"/>
  <c r="S78" i="49"/>
  <c r="R85" i="49"/>
  <c r="R144" i="49" s="1"/>
  <c r="P143" i="49"/>
  <c r="Q75" i="49"/>
  <c r="P142" i="49"/>
  <c r="Q74" i="49"/>
  <c r="G52" i="49"/>
  <c r="G233" i="49" s="1"/>
  <c r="G259" i="49" s="1"/>
  <c r="K52" i="49"/>
  <c r="K233" i="49" s="1"/>
  <c r="K259" i="49" s="1"/>
  <c r="I52" i="49"/>
  <c r="I233" i="49" s="1"/>
  <c r="I259" i="49" s="1"/>
  <c r="I46" i="49"/>
  <c r="I212" i="49" s="1"/>
  <c r="I303" i="49" s="1"/>
  <c r="K46" i="49"/>
  <c r="K212" i="49" s="1"/>
  <c r="K303" i="49" s="1"/>
  <c r="F46" i="49"/>
  <c r="F212" i="49" s="1"/>
  <c r="F303" i="49" s="1"/>
  <c r="N35" i="49"/>
  <c r="N54" i="49"/>
  <c r="N235" i="49" s="1"/>
  <c r="N251" i="49" s="1"/>
  <c r="N41" i="49"/>
  <c r="N200" i="49" s="1"/>
  <c r="N48" i="49"/>
  <c r="N214" i="49" s="1"/>
  <c r="N295" i="49" s="1"/>
  <c r="N38" i="49"/>
  <c r="E52" i="49"/>
  <c r="E233" i="49" s="1"/>
  <c r="E259" i="49" s="1"/>
  <c r="F52" i="49"/>
  <c r="F233" i="49" s="1"/>
  <c r="F259" i="49" s="1"/>
  <c r="F157" i="49" s="1"/>
  <c r="D46" i="49"/>
  <c r="D212" i="49" s="1"/>
  <c r="D303" i="49" s="1"/>
  <c r="G46" i="49"/>
  <c r="G212" i="49" s="1"/>
  <c r="G303" i="49" s="1"/>
  <c r="D52" i="49"/>
  <c r="D233" i="49" s="1"/>
  <c r="D259" i="49" s="1"/>
  <c r="D157" i="49" s="1"/>
  <c r="L52" i="49"/>
  <c r="L233" i="49" s="1"/>
  <c r="L259" i="49" s="1"/>
  <c r="L46" i="49"/>
  <c r="L212" i="49" s="1"/>
  <c r="L303" i="49" s="1"/>
  <c r="E46" i="49"/>
  <c r="E212" i="49" s="1"/>
  <c r="E303" i="49" s="1"/>
  <c r="P149" i="48"/>
  <c r="O147" i="48"/>
  <c r="O163" i="48" s="1"/>
  <c r="Q150" i="48"/>
  <c r="P148" i="48"/>
  <c r="P164" i="48" s="1"/>
  <c r="Q142" i="48"/>
  <c r="P140" i="48"/>
  <c r="P162" i="48" s="1"/>
  <c r="P141" i="48"/>
  <c r="O139" i="48"/>
  <c r="O161" i="48" s="1"/>
  <c r="M112" i="48"/>
  <c r="M124" i="48"/>
  <c r="M160" i="48" s="1"/>
  <c r="N111" i="48"/>
  <c r="N184" i="48" s="1"/>
  <c r="N123" i="48"/>
  <c r="O123" i="48" s="1"/>
  <c r="P123" i="48" s="1"/>
  <c r="Q123" i="48" s="1"/>
  <c r="R123" i="48" s="1"/>
  <c r="S123" i="48" s="1"/>
  <c r="T123" i="48" s="1"/>
  <c r="U123" i="48" s="1"/>
  <c r="V123" i="48" s="1"/>
  <c r="W123" i="48" s="1"/>
  <c r="X123" i="48" s="1"/>
  <c r="Y123" i="48" s="1"/>
  <c r="Z123" i="48" s="1"/>
  <c r="AA123" i="48" s="1"/>
  <c r="AB123" i="48" s="1"/>
  <c r="AC123" i="48" s="1"/>
  <c r="AD123" i="48" s="1"/>
  <c r="AE123" i="48" s="1"/>
  <c r="AF123" i="48" s="1"/>
  <c r="AG123" i="48" s="1"/>
  <c r="AH123" i="48" s="1"/>
  <c r="AI123" i="48" s="1"/>
  <c r="AJ123" i="48" s="1"/>
  <c r="AK123" i="48" s="1"/>
  <c r="AL123" i="48" s="1"/>
  <c r="AM123" i="48" s="1"/>
  <c r="AN123" i="48" s="1"/>
  <c r="AO123" i="48" s="1"/>
  <c r="AP123" i="48" s="1"/>
  <c r="AQ123" i="48" s="1"/>
  <c r="AR123" i="48" s="1"/>
  <c r="AS123" i="48" s="1"/>
  <c r="AT123" i="48" s="1"/>
  <c r="AU123" i="48" s="1"/>
  <c r="AV123" i="48" s="1"/>
  <c r="AW123" i="48" s="1"/>
  <c r="AX123" i="48" s="1"/>
  <c r="AY123" i="48" s="1"/>
  <c r="AZ123" i="48" s="1"/>
  <c r="BA123" i="48" s="1"/>
  <c r="BB123" i="48" s="1"/>
  <c r="BC123" i="48" s="1"/>
  <c r="BD123" i="48" s="1"/>
  <c r="BE123" i="48" s="1"/>
  <c r="BF123" i="48" s="1"/>
  <c r="BG123" i="48" s="1"/>
  <c r="BH123" i="48" s="1"/>
  <c r="BI123" i="48" s="1"/>
  <c r="N110" i="48"/>
  <c r="N183" i="48" s="1"/>
  <c r="N122" i="48"/>
  <c r="T114" i="48"/>
  <c r="Q156" i="48"/>
  <c r="R83" i="48"/>
  <c r="Q90" i="48"/>
  <c r="Q158" i="48" s="1"/>
  <c r="P156" i="48"/>
  <c r="S71" i="48"/>
  <c r="R156" i="48"/>
  <c r="Q70" i="48"/>
  <c r="Q155" i="48" s="1"/>
  <c r="R102" i="48"/>
  <c r="T75" i="48"/>
  <c r="S74" i="48"/>
  <c r="R81" i="48"/>
  <c r="R157" i="48" s="1"/>
  <c r="N24" i="48"/>
  <c r="L157" i="49" l="1"/>
  <c r="E157" i="49"/>
  <c r="I157" i="49"/>
  <c r="K157" i="49"/>
  <c r="G157" i="49"/>
  <c r="M192" i="49"/>
  <c r="J157" i="49"/>
  <c r="J56" i="49"/>
  <c r="F239" i="49"/>
  <c r="F238" i="49"/>
  <c r="F237" i="49"/>
  <c r="F240" i="49"/>
  <c r="F241" i="49"/>
  <c r="K219" i="49"/>
  <c r="K217" i="49"/>
  <c r="K218" i="49"/>
  <c r="K216" i="49"/>
  <c r="K220" i="49"/>
  <c r="K221" i="49"/>
  <c r="H239" i="49"/>
  <c r="H238" i="49"/>
  <c r="H240" i="49"/>
  <c r="H237" i="49"/>
  <c r="H241" i="49"/>
  <c r="L202" i="49"/>
  <c r="L203" i="49"/>
  <c r="E239" i="49"/>
  <c r="E237" i="49"/>
  <c r="E238" i="49"/>
  <c r="E240" i="49"/>
  <c r="E241" i="49"/>
  <c r="I219" i="49"/>
  <c r="I220" i="49"/>
  <c r="I218" i="49"/>
  <c r="I217" i="49"/>
  <c r="I216" i="49"/>
  <c r="I221" i="49"/>
  <c r="D202" i="49"/>
  <c r="D203" i="49"/>
  <c r="J202" i="49"/>
  <c r="J203" i="49"/>
  <c r="I239" i="49"/>
  <c r="I237" i="49"/>
  <c r="I240" i="49"/>
  <c r="I238" i="49"/>
  <c r="I241" i="49"/>
  <c r="M193" i="49"/>
  <c r="E219" i="49"/>
  <c r="E216" i="49"/>
  <c r="E218" i="49"/>
  <c r="E220" i="49"/>
  <c r="E217" i="49"/>
  <c r="E221" i="49"/>
  <c r="K239" i="49"/>
  <c r="K238" i="49"/>
  <c r="K240" i="49"/>
  <c r="K237" i="49"/>
  <c r="K241" i="49"/>
  <c r="J219" i="49"/>
  <c r="J216" i="49"/>
  <c r="J217" i="49"/>
  <c r="J218" i="49"/>
  <c r="J220" i="49"/>
  <c r="J221" i="49"/>
  <c r="L239" i="49"/>
  <c r="L238" i="49"/>
  <c r="L240" i="49"/>
  <c r="L237" i="49"/>
  <c r="L241" i="49"/>
  <c r="G239" i="49"/>
  <c r="G238" i="49"/>
  <c r="G237" i="49"/>
  <c r="G240" i="49"/>
  <c r="G241" i="49"/>
  <c r="G202" i="49"/>
  <c r="G203" i="49"/>
  <c r="H219" i="49"/>
  <c r="H220" i="49"/>
  <c r="H218" i="49"/>
  <c r="H216" i="49"/>
  <c r="H217" i="49"/>
  <c r="H221" i="49"/>
  <c r="J239" i="49"/>
  <c r="J240" i="49"/>
  <c r="J237" i="49"/>
  <c r="J238" i="49"/>
  <c r="J241" i="49"/>
  <c r="E202" i="49"/>
  <c r="E203" i="49"/>
  <c r="D239" i="49"/>
  <c r="D237" i="49"/>
  <c r="D238" i="49"/>
  <c r="D240" i="49"/>
  <c r="D241" i="49"/>
  <c r="G219" i="49"/>
  <c r="G218" i="49"/>
  <c r="G216" i="49"/>
  <c r="G217" i="49"/>
  <c r="G220" i="49"/>
  <c r="G221" i="49"/>
  <c r="K202" i="49"/>
  <c r="K203" i="49"/>
  <c r="I202" i="49"/>
  <c r="I203" i="49"/>
  <c r="L219" i="49"/>
  <c r="L220" i="49"/>
  <c r="L217" i="49"/>
  <c r="L218" i="49"/>
  <c r="L216" i="49"/>
  <c r="L221" i="49"/>
  <c r="D219" i="49"/>
  <c r="D220" i="49"/>
  <c r="D217" i="49"/>
  <c r="D216" i="49"/>
  <c r="D218" i="49"/>
  <c r="D221" i="49"/>
  <c r="F219" i="49"/>
  <c r="F218" i="49"/>
  <c r="F217" i="49"/>
  <c r="F220" i="49"/>
  <c r="F216" i="49"/>
  <c r="F221" i="49"/>
  <c r="F202" i="49"/>
  <c r="F203" i="49"/>
  <c r="H56" i="49"/>
  <c r="N37" i="49"/>
  <c r="N189" i="49" s="1"/>
  <c r="N190" i="49"/>
  <c r="M61" i="49"/>
  <c r="M200" i="49"/>
  <c r="N33" i="49"/>
  <c r="N176" i="49" s="1"/>
  <c r="N178" i="49"/>
  <c r="M33" i="49"/>
  <c r="M176" i="49" s="1"/>
  <c r="M178" i="49"/>
  <c r="M182" i="49" s="1"/>
  <c r="R122" i="49"/>
  <c r="R118" i="49"/>
  <c r="R120" i="49"/>
  <c r="R117" i="49"/>
  <c r="R116" i="49"/>
  <c r="R121" i="49"/>
  <c r="O147" i="49"/>
  <c r="O151" i="49" s="1"/>
  <c r="O156" i="49" s="1"/>
  <c r="R119" i="49"/>
  <c r="P47" i="50"/>
  <c r="P74" i="50" s="1"/>
  <c r="O48" i="50"/>
  <c r="O47" i="50"/>
  <c r="O74" i="50" s="1"/>
  <c r="T20" i="50"/>
  <c r="P49" i="50"/>
  <c r="Q36" i="50"/>
  <c r="R29" i="50"/>
  <c r="Q27" i="50"/>
  <c r="Q38" i="50" s="1"/>
  <c r="T30" i="50"/>
  <c r="S28" i="50"/>
  <c r="S39" i="50" s="1"/>
  <c r="P220" i="48"/>
  <c r="P222" i="48"/>
  <c r="P221" i="48"/>
  <c r="A219" i="48"/>
  <c r="O219" i="48" s="1"/>
  <c r="A218" i="48"/>
  <c r="O218" i="48" s="1"/>
  <c r="P199" i="48"/>
  <c r="P196" i="48"/>
  <c r="P197" i="48"/>
  <c r="A201" i="48"/>
  <c r="O201" i="48" s="1"/>
  <c r="A200" i="48"/>
  <c r="O200" i="48" s="1"/>
  <c r="A198" i="48"/>
  <c r="O198" i="48" s="1"/>
  <c r="N185" i="48"/>
  <c r="Q107" i="48"/>
  <c r="S109" i="48"/>
  <c r="S105" i="48"/>
  <c r="Q106" i="48"/>
  <c r="Q104" i="48"/>
  <c r="Q108" i="48"/>
  <c r="Q103" i="48"/>
  <c r="N134" i="48"/>
  <c r="O110" i="48" s="1"/>
  <c r="N135" i="48"/>
  <c r="O111" i="48" s="1"/>
  <c r="M159" i="48"/>
  <c r="M165" i="48" s="1"/>
  <c r="M172" i="48" s="1"/>
  <c r="R21" i="50"/>
  <c r="S19" i="50"/>
  <c r="Q17" i="50"/>
  <c r="Q35" i="50" s="1"/>
  <c r="R15" i="50"/>
  <c r="S11" i="50"/>
  <c r="R33" i="50"/>
  <c r="T12" i="50"/>
  <c r="S34" i="50"/>
  <c r="P138" i="49"/>
  <c r="Q138" i="49" s="1"/>
  <c r="M40" i="49"/>
  <c r="R139" i="49"/>
  <c r="Q137" i="49"/>
  <c r="Q150" i="49" s="1"/>
  <c r="Q105" i="49"/>
  <c r="P113" i="49"/>
  <c r="P146" i="49" s="1"/>
  <c r="Q115" i="49"/>
  <c r="P123" i="49"/>
  <c r="S94" i="49"/>
  <c r="S145" i="49" s="1"/>
  <c r="T87" i="49"/>
  <c r="T78" i="49"/>
  <c r="S85" i="49"/>
  <c r="S144" i="49" s="1"/>
  <c r="I56" i="49"/>
  <c r="Q142" i="49"/>
  <c r="R74" i="49"/>
  <c r="R75" i="49"/>
  <c r="Q143" i="49"/>
  <c r="K56" i="49"/>
  <c r="F56" i="49"/>
  <c r="E56" i="49"/>
  <c r="L56" i="49"/>
  <c r="N61" i="49"/>
  <c r="N40" i="49"/>
  <c r="G56" i="49"/>
  <c r="D56" i="49"/>
  <c r="R150" i="48"/>
  <c r="Q148" i="48"/>
  <c r="Q164" i="48" s="1"/>
  <c r="P147" i="48"/>
  <c r="P163" i="48" s="1"/>
  <c r="Q149" i="48"/>
  <c r="Q141" i="48"/>
  <c r="P139" i="48"/>
  <c r="P161" i="48" s="1"/>
  <c r="R142" i="48"/>
  <c r="Q140" i="48"/>
  <c r="Q162" i="48" s="1"/>
  <c r="N112" i="48"/>
  <c r="N124" i="48"/>
  <c r="N160" i="48" s="1"/>
  <c r="O122" i="48"/>
  <c r="U114" i="48"/>
  <c r="S83" i="48"/>
  <c r="R90" i="48"/>
  <c r="R158" i="48" s="1"/>
  <c r="R70" i="48"/>
  <c r="R155" i="48" s="1"/>
  <c r="T71" i="48"/>
  <c r="S156" i="48"/>
  <c r="S102" i="48"/>
  <c r="U75" i="48"/>
  <c r="S81" i="48"/>
  <c r="S157" i="48" s="1"/>
  <c r="T74" i="48"/>
  <c r="M284" i="49" l="1"/>
  <c r="N284" i="49"/>
  <c r="N193" i="49"/>
  <c r="A193" i="49" s="1"/>
  <c r="O193" i="49" s="1"/>
  <c r="N192" i="49"/>
  <c r="M180" i="49"/>
  <c r="M181" i="49"/>
  <c r="N182" i="49"/>
  <c r="A182" i="49" s="1"/>
  <c r="O182" i="49" s="1"/>
  <c r="N180" i="49"/>
  <c r="N181" i="49"/>
  <c r="M46" i="49"/>
  <c r="M212" i="49" s="1"/>
  <c r="M303" i="49" s="1"/>
  <c r="M59" i="49"/>
  <c r="M199" i="49"/>
  <c r="N59" i="49"/>
  <c r="N199" i="49"/>
  <c r="N292" i="49" s="1"/>
  <c r="O159" i="49"/>
  <c r="O170" i="49" s="1"/>
  <c r="O273" i="49" s="1"/>
  <c r="O160" i="49"/>
  <c r="O172" i="49" s="1"/>
  <c r="O306" i="49" s="1"/>
  <c r="O164" i="49"/>
  <c r="O165" i="49"/>
  <c r="O163" i="49"/>
  <c r="O162" i="49"/>
  <c r="O166" i="49"/>
  <c r="O161" i="49"/>
  <c r="O174" i="49" s="1"/>
  <c r="S119" i="49"/>
  <c r="S116" i="49"/>
  <c r="S118" i="49"/>
  <c r="P147" i="49"/>
  <c r="S122" i="49"/>
  <c r="S120" i="49"/>
  <c r="S121" i="49"/>
  <c r="S117" i="49"/>
  <c r="Q40" i="50"/>
  <c r="Q45" i="50" s="1"/>
  <c r="Q47" i="50" s="1"/>
  <c r="Q74" i="50" s="1"/>
  <c r="R36" i="50"/>
  <c r="U20" i="50"/>
  <c r="Q48" i="50"/>
  <c r="Q96" i="50" s="1"/>
  <c r="O49" i="50"/>
  <c r="O96" i="50"/>
  <c r="U30" i="50"/>
  <c r="T28" i="50"/>
  <c r="T39" i="50" s="1"/>
  <c r="S29" i="50"/>
  <c r="R27" i="50"/>
  <c r="R38" i="50" s="1"/>
  <c r="P219" i="48"/>
  <c r="Q221" i="48"/>
  <c r="Q222" i="48"/>
  <c r="P218" i="48"/>
  <c r="Q220" i="48"/>
  <c r="P201" i="48"/>
  <c r="Q197" i="48"/>
  <c r="P200" i="48"/>
  <c r="Q196" i="48"/>
  <c r="P198" i="48"/>
  <c r="Q199" i="48"/>
  <c r="R106" i="48"/>
  <c r="R103" i="48"/>
  <c r="T105" i="48"/>
  <c r="R108" i="48"/>
  <c r="T109" i="48"/>
  <c r="P110" i="48"/>
  <c r="Q110" i="48" s="1"/>
  <c r="P111" i="48"/>
  <c r="R104" i="48"/>
  <c r="R107" i="48"/>
  <c r="O112" i="48"/>
  <c r="N159" i="48"/>
  <c r="N165" i="48" s="1"/>
  <c r="N172" i="48" s="1"/>
  <c r="T19" i="50"/>
  <c r="S21" i="50"/>
  <c r="S15" i="50"/>
  <c r="R17" i="50"/>
  <c r="R35" i="50" s="1"/>
  <c r="R40" i="50" s="1"/>
  <c r="R45" i="50" s="1"/>
  <c r="R47" i="50" s="1"/>
  <c r="U12" i="50"/>
  <c r="T34" i="50"/>
  <c r="T11" i="50"/>
  <c r="S33" i="50"/>
  <c r="P136" i="49"/>
  <c r="P149" i="49" s="1"/>
  <c r="M52" i="49"/>
  <c r="R138" i="49"/>
  <c r="Q136" i="49"/>
  <c r="Q149" i="49" s="1"/>
  <c r="S139" i="49"/>
  <c r="R137" i="49"/>
  <c r="R150" i="49" s="1"/>
  <c r="R115" i="49"/>
  <c r="Q123" i="49"/>
  <c r="R105" i="49"/>
  <c r="Q113" i="49"/>
  <c r="Q146" i="49" s="1"/>
  <c r="U78" i="49"/>
  <c r="T85" i="49"/>
  <c r="T144" i="49" s="1"/>
  <c r="U87" i="49"/>
  <c r="T94" i="49"/>
  <c r="T145" i="49" s="1"/>
  <c r="S75" i="49"/>
  <c r="R143" i="49"/>
  <c r="R142" i="49"/>
  <c r="S74" i="49"/>
  <c r="N52" i="49"/>
  <c r="N233" i="49" s="1"/>
  <c r="N259" i="49" s="1"/>
  <c r="N46" i="49"/>
  <c r="N212" i="49" s="1"/>
  <c r="N303" i="49" s="1"/>
  <c r="Q147" i="48"/>
  <c r="Q163" i="48" s="1"/>
  <c r="R149" i="48"/>
  <c r="S150" i="48"/>
  <c r="R148" i="48"/>
  <c r="R164" i="48" s="1"/>
  <c r="S142" i="48"/>
  <c r="R140" i="48"/>
  <c r="R162" i="48" s="1"/>
  <c r="R141" i="48"/>
  <c r="Q139" i="48"/>
  <c r="Q161" i="48" s="1"/>
  <c r="P122" i="48"/>
  <c r="O124" i="48"/>
  <c r="O160" i="48" s="1"/>
  <c r="V114" i="48"/>
  <c r="S70" i="48"/>
  <c r="S155" i="48" s="1"/>
  <c r="S90" i="48"/>
  <c r="S158" i="48" s="1"/>
  <c r="T83" i="48"/>
  <c r="U71" i="48"/>
  <c r="T156" i="48"/>
  <c r="T102" i="48"/>
  <c r="V75" i="48"/>
  <c r="U74" i="48"/>
  <c r="T81" i="48"/>
  <c r="T157" i="48" s="1"/>
  <c r="N157" i="49" l="1"/>
  <c r="M202" i="49"/>
  <c r="M292" i="49"/>
  <c r="P193" i="49"/>
  <c r="O196" i="49"/>
  <c r="O186" i="49"/>
  <c r="P182" i="49"/>
  <c r="N202" i="49"/>
  <c r="N203" i="49"/>
  <c r="A203" i="49" s="1"/>
  <c r="O203" i="49" s="1"/>
  <c r="M219" i="49"/>
  <c r="M217" i="49"/>
  <c r="M218" i="49"/>
  <c r="M220" i="49"/>
  <c r="M221" i="49"/>
  <c r="M216" i="49"/>
  <c r="A192" i="49"/>
  <c r="O192" i="49"/>
  <c r="N219" i="49"/>
  <c r="A219" i="49" s="1"/>
  <c r="O219" i="49" s="1"/>
  <c r="N217" i="49"/>
  <c r="A217" i="49" s="1"/>
  <c r="O217" i="49" s="1"/>
  <c r="N218" i="49"/>
  <c r="A218" i="49" s="1"/>
  <c r="O218" i="49" s="1"/>
  <c r="N216" i="49"/>
  <c r="A216" i="49" s="1"/>
  <c r="O216" i="49" s="1"/>
  <c r="N220" i="49"/>
  <c r="A220" i="49" s="1"/>
  <c r="O220" i="49" s="1"/>
  <c r="N221" i="49"/>
  <c r="A221" i="49" s="1"/>
  <c r="O221" i="49" s="1"/>
  <c r="N239" i="49"/>
  <c r="A239" i="49" s="1"/>
  <c r="O239" i="49" s="1"/>
  <c r="N238" i="49"/>
  <c r="N237" i="49"/>
  <c r="N240" i="49"/>
  <c r="N241" i="49"/>
  <c r="A241" i="49" s="1"/>
  <c r="O241" i="49" s="1"/>
  <c r="A181" i="49"/>
  <c r="O181" i="49" s="1"/>
  <c r="A180" i="49"/>
  <c r="O180" i="49" s="1"/>
  <c r="M203" i="49"/>
  <c r="M56" i="49"/>
  <c r="M233" i="49"/>
  <c r="M259" i="49" s="1"/>
  <c r="P151" i="49"/>
  <c r="P156" i="49" s="1"/>
  <c r="P159" i="49" s="1"/>
  <c r="P170" i="49" s="1"/>
  <c r="P273" i="49" s="1"/>
  <c r="T121" i="49"/>
  <c r="T116" i="49"/>
  <c r="T122" i="49"/>
  <c r="Q147" i="49"/>
  <c r="Q151" i="49" s="1"/>
  <c r="Q156" i="49" s="1"/>
  <c r="T117" i="49"/>
  <c r="T118" i="49"/>
  <c r="T120" i="49"/>
  <c r="T119" i="49"/>
  <c r="O167" i="49"/>
  <c r="R74" i="50"/>
  <c r="V20" i="50"/>
  <c r="R48" i="50"/>
  <c r="R96" i="50" s="1"/>
  <c r="S36" i="50"/>
  <c r="Q49" i="50"/>
  <c r="T29" i="50"/>
  <c r="S27" i="50"/>
  <c r="S38" i="50" s="1"/>
  <c r="V30" i="50"/>
  <c r="U28" i="50"/>
  <c r="U39" i="50" s="1"/>
  <c r="R222" i="48"/>
  <c r="R221" i="48"/>
  <c r="R220" i="48"/>
  <c r="Q218" i="48"/>
  <c r="Q219" i="48"/>
  <c r="R196" i="48"/>
  <c r="Q200" i="48"/>
  <c r="R199" i="48"/>
  <c r="R197" i="48"/>
  <c r="Q198" i="48"/>
  <c r="Q201" i="48"/>
  <c r="P112" i="48"/>
  <c r="P159" i="48" s="1"/>
  <c r="S108" i="48"/>
  <c r="S104" i="48"/>
  <c r="O159" i="48"/>
  <c r="O165" i="48" s="1"/>
  <c r="O172" i="48" s="1"/>
  <c r="O179" i="48" s="1"/>
  <c r="S103" i="48"/>
  <c r="U105" i="48"/>
  <c r="S107" i="48"/>
  <c r="U109" i="48"/>
  <c r="S106" i="48"/>
  <c r="Q111" i="48"/>
  <c r="S17" i="50"/>
  <c r="S35" i="50" s="1"/>
  <c r="T15" i="50"/>
  <c r="U19" i="50"/>
  <c r="T21" i="50"/>
  <c r="U11" i="50"/>
  <c r="T33" i="50"/>
  <c r="V12" i="50"/>
  <c r="U34" i="50"/>
  <c r="T139" i="49"/>
  <c r="S137" i="49"/>
  <c r="S150" i="49" s="1"/>
  <c r="R136" i="49"/>
  <c r="R149" i="49" s="1"/>
  <c r="S138" i="49"/>
  <c r="S105" i="49"/>
  <c r="R113" i="49"/>
  <c r="R146" i="49" s="1"/>
  <c r="S115" i="49"/>
  <c r="R123" i="49"/>
  <c r="U85" i="49"/>
  <c r="U144" i="49" s="1"/>
  <c r="V78" i="49"/>
  <c r="U94" i="49"/>
  <c r="U145" i="49" s="1"/>
  <c r="V87" i="49"/>
  <c r="N56" i="49"/>
  <c r="T74" i="49"/>
  <c r="S142" i="49"/>
  <c r="T75" i="49"/>
  <c r="S143" i="49"/>
  <c r="T150" i="48"/>
  <c r="S148" i="48"/>
  <c r="S164" i="48" s="1"/>
  <c r="S149" i="48"/>
  <c r="R147" i="48"/>
  <c r="R163" i="48" s="1"/>
  <c r="T142" i="48"/>
  <c r="S140" i="48"/>
  <c r="S162" i="48" s="1"/>
  <c r="S141" i="48"/>
  <c r="R139" i="48"/>
  <c r="R161" i="48" s="1"/>
  <c r="T70" i="48"/>
  <c r="T155" i="48" s="1"/>
  <c r="P124" i="48"/>
  <c r="P160" i="48" s="1"/>
  <c r="Q122" i="48"/>
  <c r="W114" i="48"/>
  <c r="U83" i="48"/>
  <c r="T90" i="48"/>
  <c r="T158" i="48" s="1"/>
  <c r="V71" i="48"/>
  <c r="U156" i="48"/>
  <c r="R110" i="48"/>
  <c r="U102" i="48"/>
  <c r="W75" i="48"/>
  <c r="V74" i="48"/>
  <c r="U81" i="48"/>
  <c r="U157" i="48" s="1"/>
  <c r="M157" i="49" l="1"/>
  <c r="O184" i="49"/>
  <c r="P180" i="49"/>
  <c r="P181" i="49"/>
  <c r="O185" i="49"/>
  <c r="M239" i="49"/>
  <c r="M238" i="49"/>
  <c r="M237" i="49"/>
  <c r="M240" i="49"/>
  <c r="M241" i="49"/>
  <c r="A240" i="49"/>
  <c r="O240" i="49"/>
  <c r="O224" i="49"/>
  <c r="P217" i="49"/>
  <c r="A237" i="49"/>
  <c r="O237" i="49" s="1"/>
  <c r="O226" i="49"/>
  <c r="P219" i="49"/>
  <c r="A238" i="49"/>
  <c r="O238" i="49" s="1"/>
  <c r="P192" i="49"/>
  <c r="O195" i="49"/>
  <c r="O189" i="49" s="1"/>
  <c r="O206" i="49"/>
  <c r="P203" i="49"/>
  <c r="O245" i="49"/>
  <c r="P239" i="49"/>
  <c r="A202" i="49"/>
  <c r="O202" i="49" s="1"/>
  <c r="O228" i="49"/>
  <c r="P221" i="49"/>
  <c r="Q182" i="49"/>
  <c r="O227" i="49"/>
  <c r="P220" i="49"/>
  <c r="O223" i="49"/>
  <c r="P216" i="49"/>
  <c r="P241" i="49"/>
  <c r="O247" i="49"/>
  <c r="O225" i="49"/>
  <c r="P218" i="49"/>
  <c r="Q193" i="49"/>
  <c r="P164" i="49"/>
  <c r="P162" i="49"/>
  <c r="P186" i="49" s="1"/>
  <c r="P161" i="49"/>
  <c r="P174" i="49" s="1"/>
  <c r="P166" i="49"/>
  <c r="P163" i="49"/>
  <c r="P196" i="49" s="1"/>
  <c r="P165" i="49"/>
  <c r="P160" i="49"/>
  <c r="P172" i="49" s="1"/>
  <c r="P306" i="49" s="1"/>
  <c r="Q159" i="49"/>
  <c r="Q170" i="49" s="1"/>
  <c r="Q273" i="49" s="1"/>
  <c r="Q161" i="49"/>
  <c r="Q174" i="49" s="1"/>
  <c r="Q162" i="49"/>
  <c r="Q165" i="49"/>
  <c r="Q160" i="49"/>
  <c r="Q172" i="49" s="1"/>
  <c r="Q306" i="49" s="1"/>
  <c r="Q164" i="49"/>
  <c r="Q166" i="49"/>
  <c r="Q163" i="49"/>
  <c r="U117" i="49"/>
  <c r="U119" i="49"/>
  <c r="U120" i="49"/>
  <c r="U116" i="49"/>
  <c r="U121" i="49"/>
  <c r="R147" i="49"/>
  <c r="R151" i="49" s="1"/>
  <c r="R156" i="49" s="1"/>
  <c r="R159" i="49" s="1"/>
  <c r="R170" i="49" s="1"/>
  <c r="R273" i="49" s="1"/>
  <c r="U122" i="49"/>
  <c r="U118" i="49"/>
  <c r="T36" i="50"/>
  <c r="W20" i="50"/>
  <c r="R49" i="50"/>
  <c r="S40" i="50"/>
  <c r="S45" i="50" s="1"/>
  <c r="O175" i="48"/>
  <c r="O255" i="48" s="1"/>
  <c r="W30" i="50"/>
  <c r="V28" i="50"/>
  <c r="V39" i="50" s="1"/>
  <c r="U29" i="50"/>
  <c r="T27" i="50"/>
  <c r="T38" i="50" s="1"/>
  <c r="S220" i="48"/>
  <c r="R218" i="48"/>
  <c r="S221" i="48"/>
  <c r="S222" i="48"/>
  <c r="R219" i="48"/>
  <c r="S197" i="48"/>
  <c r="P165" i="48"/>
  <c r="P172" i="48" s="1"/>
  <c r="P183" i="48" s="1"/>
  <c r="S199" i="48"/>
  <c r="R201" i="48"/>
  <c r="R200" i="48"/>
  <c r="R198" i="48"/>
  <c r="S196" i="48"/>
  <c r="O180" i="48"/>
  <c r="T107" i="48"/>
  <c r="O181" i="48"/>
  <c r="R111" i="48"/>
  <c r="V105" i="48"/>
  <c r="O177" i="48"/>
  <c r="O184" i="48"/>
  <c r="O176" i="48"/>
  <c r="T106" i="48"/>
  <c r="T104" i="48"/>
  <c r="Q112" i="48"/>
  <c r="T103" i="48"/>
  <c r="O178" i="48"/>
  <c r="O288" i="48" s="1"/>
  <c r="T108" i="48"/>
  <c r="V109" i="48"/>
  <c r="O182" i="48"/>
  <c r="O183" i="48"/>
  <c r="V19" i="50"/>
  <c r="U21" i="50"/>
  <c r="T17" i="50"/>
  <c r="T35" i="50" s="1"/>
  <c r="T40" i="50" s="1"/>
  <c r="T45" i="50" s="1"/>
  <c r="T48" i="50" s="1"/>
  <c r="T96" i="50" s="1"/>
  <c r="U15" i="50"/>
  <c r="W12" i="50"/>
  <c r="V34" i="50"/>
  <c r="V11" i="50"/>
  <c r="U33" i="50"/>
  <c r="S136" i="49"/>
  <c r="S149" i="49" s="1"/>
  <c r="T138" i="49"/>
  <c r="U139" i="49"/>
  <c r="T137" i="49"/>
  <c r="T150" i="49" s="1"/>
  <c r="T115" i="49"/>
  <c r="S123" i="49"/>
  <c r="T105" i="49"/>
  <c r="S113" i="49"/>
  <c r="S146" i="49" s="1"/>
  <c r="W87" i="49"/>
  <c r="V94" i="49"/>
  <c r="V145" i="49" s="1"/>
  <c r="W78" i="49"/>
  <c r="V85" i="49"/>
  <c r="V144" i="49" s="1"/>
  <c r="U74" i="49"/>
  <c r="T142" i="49"/>
  <c r="T143" i="49"/>
  <c r="U75" i="49"/>
  <c r="S147" i="48"/>
  <c r="S163" i="48" s="1"/>
  <c r="T149" i="48"/>
  <c r="T148" i="48"/>
  <c r="T164" i="48" s="1"/>
  <c r="U150" i="48"/>
  <c r="U142" i="48"/>
  <c r="T140" i="48"/>
  <c r="T162" i="48" s="1"/>
  <c r="T141" i="48"/>
  <c r="S139" i="48"/>
  <c r="S161" i="48" s="1"/>
  <c r="U70" i="48"/>
  <c r="U155" i="48" s="1"/>
  <c r="R122" i="48"/>
  <c r="Q124" i="48"/>
  <c r="Q160" i="48" s="1"/>
  <c r="X114" i="48"/>
  <c r="U90" i="48"/>
  <c r="U158" i="48" s="1"/>
  <c r="V83" i="48"/>
  <c r="W71" i="48"/>
  <c r="V156" i="48"/>
  <c r="V102" i="48"/>
  <c r="S110" i="48"/>
  <c r="X75" i="48"/>
  <c r="W74" i="48"/>
  <c r="V81" i="48"/>
  <c r="V157" i="48" s="1"/>
  <c r="O178" i="49" l="1"/>
  <c r="O177" i="49"/>
  <c r="O287" i="49" s="1"/>
  <c r="O190" i="49"/>
  <c r="O243" i="49"/>
  <c r="P237" i="49"/>
  <c r="O213" i="49"/>
  <c r="O297" i="49" s="1"/>
  <c r="O212" i="49"/>
  <c r="O303" i="49" s="1"/>
  <c r="R182" i="49"/>
  <c r="Q186" i="49"/>
  <c r="Q203" i="49"/>
  <c r="P206" i="49"/>
  <c r="P247" i="49"/>
  <c r="Q241" i="49"/>
  <c r="Q221" i="49"/>
  <c r="P228" i="49"/>
  <c r="P224" i="49"/>
  <c r="Q217" i="49"/>
  <c r="Q216" i="49"/>
  <c r="P223" i="49"/>
  <c r="O211" i="49"/>
  <c r="O214" i="49"/>
  <c r="O295" i="49" s="1"/>
  <c r="Q192" i="49"/>
  <c r="P195" i="49"/>
  <c r="P189" i="49" s="1"/>
  <c r="O210" i="49"/>
  <c r="O300" i="49" s="1"/>
  <c r="P167" i="49"/>
  <c r="O209" i="49"/>
  <c r="O299" i="49" s="1"/>
  <c r="P202" i="49"/>
  <c r="O205" i="49"/>
  <c r="O199" i="49" s="1"/>
  <c r="O244" i="49"/>
  <c r="P238" i="49"/>
  <c r="O246" i="49"/>
  <c r="P240" i="49"/>
  <c r="Q181" i="49"/>
  <c r="P185" i="49"/>
  <c r="R193" i="49"/>
  <c r="Q196" i="49"/>
  <c r="Q180" i="49"/>
  <c r="P184" i="49"/>
  <c r="Q218" i="49"/>
  <c r="P225" i="49"/>
  <c r="Q220" i="49"/>
  <c r="P227" i="49"/>
  <c r="Q239" i="49"/>
  <c r="P245" i="49"/>
  <c r="Q219" i="49"/>
  <c r="P226" i="49"/>
  <c r="O176" i="49"/>
  <c r="R163" i="49"/>
  <c r="R160" i="49"/>
  <c r="R172" i="49" s="1"/>
  <c r="R306" i="49" s="1"/>
  <c r="R166" i="49"/>
  <c r="V122" i="49"/>
  <c r="V119" i="49"/>
  <c r="S147" i="49"/>
  <c r="S151" i="49" s="1"/>
  <c r="S156" i="49" s="1"/>
  <c r="R161" i="49"/>
  <c r="R174" i="49" s="1"/>
  <c r="V120" i="49"/>
  <c r="R162" i="49"/>
  <c r="V121" i="49"/>
  <c r="R165" i="49"/>
  <c r="V117" i="49"/>
  <c r="Q167" i="49"/>
  <c r="V118" i="49"/>
  <c r="R164" i="49"/>
  <c r="V116" i="49"/>
  <c r="T47" i="50"/>
  <c r="S47" i="50"/>
  <c r="S74" i="50" s="1"/>
  <c r="S48" i="50"/>
  <c r="X20" i="50"/>
  <c r="U36" i="50"/>
  <c r="V29" i="50"/>
  <c r="U27" i="50"/>
  <c r="U38" i="50" s="1"/>
  <c r="X30" i="50"/>
  <c r="W28" i="50"/>
  <c r="W39" i="50" s="1"/>
  <c r="O266" i="48"/>
  <c r="P178" i="48"/>
  <c r="P288" i="48" s="1"/>
  <c r="P177" i="48"/>
  <c r="P176" i="48"/>
  <c r="P182" i="48"/>
  <c r="P204" i="48"/>
  <c r="P203" i="48"/>
  <c r="P206" i="48"/>
  <c r="P205" i="48"/>
  <c r="P207" i="48"/>
  <c r="P208" i="48"/>
  <c r="O227" i="48"/>
  <c r="O226" i="48"/>
  <c r="O228" i="48"/>
  <c r="O224" i="48"/>
  <c r="O225" i="48"/>
  <c r="O203" i="48"/>
  <c r="O206" i="48"/>
  <c r="O204" i="48"/>
  <c r="O208" i="48"/>
  <c r="O205" i="48"/>
  <c r="O207" i="48"/>
  <c r="P175" i="48"/>
  <c r="P255" i="48" s="1"/>
  <c r="P181" i="48"/>
  <c r="P179" i="48"/>
  <c r="S218" i="48"/>
  <c r="S219" i="48"/>
  <c r="T220" i="48"/>
  <c r="T221" i="48"/>
  <c r="T222" i="48"/>
  <c r="P180" i="48"/>
  <c r="S200" i="48"/>
  <c r="T196" i="48"/>
  <c r="T199" i="48"/>
  <c r="S198" i="48"/>
  <c r="S201" i="48"/>
  <c r="P184" i="48"/>
  <c r="T197" i="48"/>
  <c r="O185" i="48"/>
  <c r="U104" i="48"/>
  <c r="U107" i="48"/>
  <c r="U106" i="48"/>
  <c r="W109" i="48"/>
  <c r="U103" i="48"/>
  <c r="W105" i="48"/>
  <c r="S111" i="48"/>
  <c r="S112" i="48" s="1"/>
  <c r="U108" i="48"/>
  <c r="R112" i="48"/>
  <c r="Q159" i="48"/>
  <c r="Q165" i="48" s="1"/>
  <c r="Q172" i="48" s="1"/>
  <c r="U17" i="50"/>
  <c r="U35" i="50" s="1"/>
  <c r="V15" i="50"/>
  <c r="W19" i="50"/>
  <c r="V21" i="50"/>
  <c r="W11" i="50"/>
  <c r="V33" i="50"/>
  <c r="X12" i="50"/>
  <c r="W34" i="50"/>
  <c r="U137" i="49"/>
  <c r="U150" i="49" s="1"/>
  <c r="V139" i="49"/>
  <c r="T136" i="49"/>
  <c r="T149" i="49" s="1"/>
  <c r="U138" i="49"/>
  <c r="T113" i="49"/>
  <c r="T146" i="49" s="1"/>
  <c r="U105" i="49"/>
  <c r="T123" i="49"/>
  <c r="U115" i="49"/>
  <c r="X87" i="49"/>
  <c r="W94" i="49"/>
  <c r="W145" i="49" s="1"/>
  <c r="X78" i="49"/>
  <c r="W85" i="49"/>
  <c r="W144" i="49" s="1"/>
  <c r="V74" i="49"/>
  <c r="U142" i="49"/>
  <c r="U143" i="49"/>
  <c r="V75" i="49"/>
  <c r="V150" i="48"/>
  <c r="U148" i="48"/>
  <c r="U164" i="48" s="1"/>
  <c r="U149" i="48"/>
  <c r="T147" i="48"/>
  <c r="T163" i="48" s="1"/>
  <c r="U141" i="48"/>
  <c r="T139" i="48"/>
  <c r="T161" i="48" s="1"/>
  <c r="V142" i="48"/>
  <c r="U140" i="48"/>
  <c r="U162" i="48" s="1"/>
  <c r="V70" i="48"/>
  <c r="V155" i="48" s="1"/>
  <c r="S122" i="48"/>
  <c r="R124" i="48"/>
  <c r="R160" i="48" s="1"/>
  <c r="Y114" i="48"/>
  <c r="W83" i="48"/>
  <c r="V90" i="48"/>
  <c r="V158" i="48" s="1"/>
  <c r="X71" i="48"/>
  <c r="W156" i="48"/>
  <c r="T110" i="48"/>
  <c r="W102" i="48"/>
  <c r="Y75" i="48"/>
  <c r="W81" i="48"/>
  <c r="W157" i="48" s="1"/>
  <c r="X74" i="48"/>
  <c r="O292" i="49" l="1"/>
  <c r="O232" i="49"/>
  <c r="P176" i="49"/>
  <c r="P212" i="49"/>
  <c r="P303" i="49" s="1"/>
  <c r="Q238" i="49"/>
  <c r="P244" i="49"/>
  <c r="Q195" i="49"/>
  <c r="Q189" i="49" s="1"/>
  <c r="R192" i="49"/>
  <c r="R221" i="49"/>
  <c r="Q228" i="49"/>
  <c r="S182" i="49"/>
  <c r="R186" i="49"/>
  <c r="R219" i="49"/>
  <c r="Q226" i="49"/>
  <c r="R180" i="49"/>
  <c r="Q184" i="49"/>
  <c r="O200" i="49"/>
  <c r="O284" i="49" s="1"/>
  <c r="O235" i="49"/>
  <c r="O251" i="49" s="1"/>
  <c r="P178" i="49"/>
  <c r="R239" i="49"/>
  <c r="Q245" i="49"/>
  <c r="S193" i="49"/>
  <c r="R196" i="49"/>
  <c r="Q202" i="49"/>
  <c r="P205" i="49"/>
  <c r="P199" i="49" s="1"/>
  <c r="P292" i="49" s="1"/>
  <c r="P211" i="49"/>
  <c r="P209" i="49"/>
  <c r="P299" i="49" s="1"/>
  <c r="R241" i="49"/>
  <c r="Q247" i="49"/>
  <c r="O233" i="49"/>
  <c r="O259" i="49" s="1"/>
  <c r="P213" i="49"/>
  <c r="P297" i="49" s="1"/>
  <c r="P177" i="49"/>
  <c r="P287" i="49" s="1"/>
  <c r="R216" i="49"/>
  <c r="Q223" i="49"/>
  <c r="R220" i="49"/>
  <c r="Q227" i="49"/>
  <c r="R181" i="49"/>
  <c r="Q185" i="49"/>
  <c r="R217" i="49"/>
  <c r="Q224" i="49"/>
  <c r="P190" i="49"/>
  <c r="P246" i="49"/>
  <c r="Q240" i="49"/>
  <c r="P210" i="49"/>
  <c r="R203" i="49"/>
  <c r="Q206" i="49"/>
  <c r="Q237" i="49"/>
  <c r="P243" i="49"/>
  <c r="R218" i="49"/>
  <c r="Q225" i="49"/>
  <c r="O234" i="49"/>
  <c r="O253" i="49" s="1"/>
  <c r="P214" i="49"/>
  <c r="P295" i="49" s="1"/>
  <c r="O231" i="49"/>
  <c r="R167" i="49"/>
  <c r="S162" i="49"/>
  <c r="S160" i="49"/>
  <c r="S172" i="49" s="1"/>
  <c r="S306" i="49" s="1"/>
  <c r="S163" i="49"/>
  <c r="S165" i="49"/>
  <c r="S164" i="49"/>
  <c r="S161" i="49"/>
  <c r="S174" i="49" s="1"/>
  <c r="S166" i="49"/>
  <c r="S159" i="49"/>
  <c r="S170" i="49" s="1"/>
  <c r="S273" i="49" s="1"/>
  <c r="T147" i="49"/>
  <c r="T151" i="49" s="1"/>
  <c r="T156" i="49" s="1"/>
  <c r="T161" i="49" s="1"/>
  <c r="T174" i="49" s="1"/>
  <c r="W117" i="49"/>
  <c r="W116" i="49"/>
  <c r="W121" i="49"/>
  <c r="W119" i="49"/>
  <c r="W118" i="49"/>
  <c r="W122" i="49"/>
  <c r="W120" i="49"/>
  <c r="U40" i="50"/>
  <c r="U45" i="50" s="1"/>
  <c r="U47" i="50" s="1"/>
  <c r="U74" i="50" s="1"/>
  <c r="Y20" i="50"/>
  <c r="S49" i="50"/>
  <c r="S96" i="50"/>
  <c r="V36" i="50"/>
  <c r="T49" i="50"/>
  <c r="T74" i="50"/>
  <c r="U48" i="50"/>
  <c r="U96" i="50" s="1"/>
  <c r="Y30" i="50"/>
  <c r="X28" i="50"/>
  <c r="X39" i="50" s="1"/>
  <c r="W29" i="50"/>
  <c r="V27" i="50"/>
  <c r="V38" i="50" s="1"/>
  <c r="P266" i="48"/>
  <c r="O211" i="48"/>
  <c r="O212" i="48"/>
  <c r="P185" i="48"/>
  <c r="P226" i="48"/>
  <c r="P227" i="48"/>
  <c r="P228" i="48"/>
  <c r="P224" i="48"/>
  <c r="P225" i="48"/>
  <c r="O215" i="48"/>
  <c r="O235" i="48" s="1"/>
  <c r="O213" i="48"/>
  <c r="O214" i="48"/>
  <c r="O241" i="48" s="1"/>
  <c r="T219" i="48"/>
  <c r="U221" i="48"/>
  <c r="T218" i="48"/>
  <c r="U222" i="48"/>
  <c r="U220" i="48"/>
  <c r="O190" i="48"/>
  <c r="T198" i="48"/>
  <c r="U197" i="48"/>
  <c r="U199" i="48"/>
  <c r="U196" i="48"/>
  <c r="T201" i="48"/>
  <c r="T200" i="48"/>
  <c r="Q181" i="48"/>
  <c r="Q183" i="48"/>
  <c r="Q184" i="48"/>
  <c r="Q182" i="48"/>
  <c r="Q177" i="48"/>
  <c r="Q175" i="48"/>
  <c r="Q255" i="48" s="1"/>
  <c r="Q178" i="48"/>
  <c r="Q288" i="48" s="1"/>
  <c r="T111" i="48"/>
  <c r="T112" i="48" s="1"/>
  <c r="Q176" i="48"/>
  <c r="V106" i="48"/>
  <c r="Q180" i="48"/>
  <c r="X105" i="48"/>
  <c r="V108" i="48"/>
  <c r="Q179" i="48"/>
  <c r="R159" i="48"/>
  <c r="R165" i="48" s="1"/>
  <c r="R172" i="48" s="1"/>
  <c r="V107" i="48"/>
  <c r="S159" i="48"/>
  <c r="V103" i="48"/>
  <c r="X109" i="48"/>
  <c r="V104" i="48"/>
  <c r="W21" i="50"/>
  <c r="X19" i="50"/>
  <c r="V17" i="50"/>
  <c r="V35" i="50" s="1"/>
  <c r="W15" i="50"/>
  <c r="Y12" i="50"/>
  <c r="X34" i="50"/>
  <c r="X11" i="50"/>
  <c r="W33" i="50"/>
  <c r="U136" i="49"/>
  <c r="U149" i="49" s="1"/>
  <c r="V138" i="49"/>
  <c r="V137" i="49"/>
  <c r="V150" i="49" s="1"/>
  <c r="W139" i="49"/>
  <c r="V115" i="49"/>
  <c r="U123" i="49"/>
  <c r="U113" i="49"/>
  <c r="U146" i="49" s="1"/>
  <c r="V105" i="49"/>
  <c r="Y87" i="49"/>
  <c r="X94" i="49"/>
  <c r="X145" i="49" s="1"/>
  <c r="X85" i="49"/>
  <c r="X144" i="49" s="1"/>
  <c r="Y78" i="49"/>
  <c r="W74" i="49"/>
  <c r="V142" i="49"/>
  <c r="W75" i="49"/>
  <c r="V143" i="49"/>
  <c r="V149" i="48"/>
  <c r="U147" i="48"/>
  <c r="U163" i="48" s="1"/>
  <c r="W150" i="48"/>
  <c r="V148" i="48"/>
  <c r="V164" i="48" s="1"/>
  <c r="W142" i="48"/>
  <c r="V140" i="48"/>
  <c r="V162" i="48" s="1"/>
  <c r="V141" i="48"/>
  <c r="U139" i="48"/>
  <c r="U161" i="48" s="1"/>
  <c r="W70" i="48"/>
  <c r="W155" i="48" s="1"/>
  <c r="S124" i="48"/>
  <c r="S160" i="48" s="1"/>
  <c r="T122" i="48"/>
  <c r="Z114" i="48"/>
  <c r="X83" i="48"/>
  <c r="W90" i="48"/>
  <c r="W158" i="48" s="1"/>
  <c r="Y71" i="48"/>
  <c r="X156" i="48"/>
  <c r="X102" i="48"/>
  <c r="U110" i="48"/>
  <c r="Z75" i="48"/>
  <c r="X81" i="48"/>
  <c r="X157" i="48" s="1"/>
  <c r="Y74" i="48"/>
  <c r="P300" i="49" l="1"/>
  <c r="O256" i="49"/>
  <c r="Q178" i="49"/>
  <c r="P200" i="49"/>
  <c r="P284" i="49" s="1"/>
  <c r="Q177" i="49"/>
  <c r="Q287" i="49" s="1"/>
  <c r="Q190" i="49"/>
  <c r="Q210" i="49"/>
  <c r="P231" i="49"/>
  <c r="Q209" i="49"/>
  <c r="Q299" i="49" s="1"/>
  <c r="R237" i="49"/>
  <c r="Q243" i="49"/>
  <c r="S216" i="49"/>
  <c r="R223" i="49"/>
  <c r="P233" i="49"/>
  <c r="P259" i="49" s="1"/>
  <c r="T182" i="49"/>
  <c r="S186" i="49"/>
  <c r="S217" i="49"/>
  <c r="R224" i="49"/>
  <c r="R202" i="49"/>
  <c r="Q205" i="49"/>
  <c r="Q199" i="49" s="1"/>
  <c r="Q214" i="49"/>
  <c r="Q295" i="49" s="1"/>
  <c r="S203" i="49"/>
  <c r="R206" i="49"/>
  <c r="S221" i="49"/>
  <c r="R228" i="49"/>
  <c r="S181" i="49"/>
  <c r="R185" i="49"/>
  <c r="T193" i="49"/>
  <c r="S196" i="49"/>
  <c r="Q176" i="49"/>
  <c r="S192" i="49"/>
  <c r="R195" i="49"/>
  <c r="R189" i="49" s="1"/>
  <c r="R240" i="49"/>
  <c r="Q246" i="49"/>
  <c r="Q213" i="49"/>
  <c r="Q297" i="49" s="1"/>
  <c r="S180" i="49"/>
  <c r="R184" i="49"/>
  <c r="Q211" i="49"/>
  <c r="P234" i="49"/>
  <c r="P253" i="49" s="1"/>
  <c r="R227" i="49"/>
  <c r="S220" i="49"/>
  <c r="S241" i="49"/>
  <c r="R247" i="49"/>
  <c r="S239" i="49"/>
  <c r="R245" i="49"/>
  <c r="Q212" i="49"/>
  <c r="Q303" i="49" s="1"/>
  <c r="P232" i="49"/>
  <c r="S218" i="49"/>
  <c r="R225" i="49"/>
  <c r="P235" i="49"/>
  <c r="P251" i="49" s="1"/>
  <c r="S219" i="49"/>
  <c r="R226" i="49"/>
  <c r="R238" i="49"/>
  <c r="Q244" i="49"/>
  <c r="T162" i="49"/>
  <c r="T166" i="49"/>
  <c r="X119" i="49"/>
  <c r="X121" i="49"/>
  <c r="T163" i="49"/>
  <c r="U147" i="49"/>
  <c r="U151" i="49" s="1"/>
  <c r="U156" i="49" s="1"/>
  <c r="X122" i="49"/>
  <c r="X116" i="49"/>
  <c r="T160" i="49"/>
  <c r="T172" i="49" s="1"/>
  <c r="T306" i="49" s="1"/>
  <c r="X120" i="49"/>
  <c r="T159" i="49"/>
  <c r="T170" i="49" s="1"/>
  <c r="T273" i="49" s="1"/>
  <c r="T164" i="49"/>
  <c r="S167" i="49"/>
  <c r="T165" i="49"/>
  <c r="X118" i="49"/>
  <c r="X117" i="49"/>
  <c r="V40" i="50"/>
  <c r="V45" i="50" s="1"/>
  <c r="V48" i="50" s="1"/>
  <c r="V96" i="50" s="1"/>
  <c r="W36" i="50"/>
  <c r="Z20" i="50"/>
  <c r="V47" i="50"/>
  <c r="U49" i="50"/>
  <c r="X29" i="50"/>
  <c r="W27" i="50"/>
  <c r="W38" i="50" s="1"/>
  <c r="Z30" i="50"/>
  <c r="Y28" i="50"/>
  <c r="Y39" i="50" s="1"/>
  <c r="Q266" i="48"/>
  <c r="O238" i="48"/>
  <c r="P212" i="48"/>
  <c r="Q228" i="48"/>
  <c r="Q227" i="48"/>
  <c r="Q226" i="48"/>
  <c r="Q224" i="48"/>
  <c r="Q225" i="48"/>
  <c r="Q206" i="48"/>
  <c r="Q203" i="48"/>
  <c r="Q204" i="48"/>
  <c r="Q205" i="48"/>
  <c r="Q207" i="48"/>
  <c r="Q208" i="48"/>
  <c r="P211" i="48"/>
  <c r="O216" i="48"/>
  <c r="P215" i="48"/>
  <c r="P235" i="48" s="1"/>
  <c r="P214" i="48"/>
  <c r="P241" i="48" s="1"/>
  <c r="P213" i="48"/>
  <c r="U218" i="48"/>
  <c r="U219" i="48"/>
  <c r="V220" i="48"/>
  <c r="V221" i="48"/>
  <c r="V222" i="48"/>
  <c r="P193" i="48"/>
  <c r="P279" i="48" s="1"/>
  <c r="U200" i="48"/>
  <c r="V197" i="48"/>
  <c r="U198" i="48"/>
  <c r="U201" i="48"/>
  <c r="P192" i="48"/>
  <c r="P285" i="48" s="1"/>
  <c r="O192" i="48"/>
  <c r="O285" i="48" s="1"/>
  <c r="P190" i="48"/>
  <c r="O193" i="48"/>
  <c r="O279" i="48" s="1"/>
  <c r="V196" i="48"/>
  <c r="P191" i="48"/>
  <c r="O188" i="48"/>
  <c r="O281" i="48" s="1"/>
  <c r="P188" i="48"/>
  <c r="P281" i="48" s="1"/>
  <c r="O189" i="48"/>
  <c r="V199" i="48"/>
  <c r="P189" i="48"/>
  <c r="O191" i="48"/>
  <c r="R184" i="48"/>
  <c r="R182" i="48"/>
  <c r="R183" i="48"/>
  <c r="R178" i="48"/>
  <c r="R288" i="48" s="1"/>
  <c r="R179" i="48"/>
  <c r="R177" i="48"/>
  <c r="S165" i="48"/>
  <c r="S172" i="48" s="1"/>
  <c r="S183" i="48" s="1"/>
  <c r="Q185" i="48"/>
  <c r="T159" i="48"/>
  <c r="R180" i="48"/>
  <c r="W103" i="48"/>
  <c r="R176" i="48"/>
  <c r="Y109" i="48"/>
  <c r="W106" i="48"/>
  <c r="W108" i="48"/>
  <c r="U111" i="48"/>
  <c r="U112" i="48" s="1"/>
  <c r="R181" i="48"/>
  <c r="W104" i="48"/>
  <c r="R175" i="48"/>
  <c r="R255" i="48" s="1"/>
  <c r="W107" i="48"/>
  <c r="Y105" i="48"/>
  <c r="W17" i="50"/>
  <c r="W35" i="50" s="1"/>
  <c r="W40" i="50" s="1"/>
  <c r="W45" i="50" s="1"/>
  <c r="W48" i="50" s="1"/>
  <c r="W96" i="50" s="1"/>
  <c r="X15" i="50"/>
  <c r="Y19" i="50"/>
  <c r="X21" i="50"/>
  <c r="Y11" i="50"/>
  <c r="X33" i="50"/>
  <c r="Z12" i="50"/>
  <c r="Y34" i="50"/>
  <c r="W137" i="49"/>
  <c r="W150" i="49" s="1"/>
  <c r="X139" i="49"/>
  <c r="V136" i="49"/>
  <c r="V149" i="49" s="1"/>
  <c r="W138" i="49"/>
  <c r="V113" i="49"/>
  <c r="V146" i="49" s="1"/>
  <c r="W105" i="49"/>
  <c r="V123" i="49"/>
  <c r="W115" i="49"/>
  <c r="Y94" i="49"/>
  <c r="Y145" i="49" s="1"/>
  <c r="Z87" i="49"/>
  <c r="Y85" i="49"/>
  <c r="Y144" i="49" s="1"/>
  <c r="Z78" i="49"/>
  <c r="X74" i="49"/>
  <c r="W142" i="49"/>
  <c r="X75" i="49"/>
  <c r="W143" i="49"/>
  <c r="X150" i="48"/>
  <c r="W148" i="48"/>
  <c r="W164" i="48" s="1"/>
  <c r="V147" i="48"/>
  <c r="V163" i="48" s="1"/>
  <c r="W149" i="48"/>
  <c r="W141" i="48"/>
  <c r="V139" i="48"/>
  <c r="V161" i="48" s="1"/>
  <c r="X142" i="48"/>
  <c r="W140" i="48"/>
  <c r="W162" i="48" s="1"/>
  <c r="X70" i="48"/>
  <c r="X155" i="48" s="1"/>
  <c r="U122" i="48"/>
  <c r="T124" i="48"/>
  <c r="T160" i="48" s="1"/>
  <c r="AA114" i="48"/>
  <c r="Y83" i="48"/>
  <c r="X90" i="48"/>
  <c r="X158" i="48" s="1"/>
  <c r="Z71" i="48"/>
  <c r="Y156" i="48"/>
  <c r="V110" i="48"/>
  <c r="Y102" i="48"/>
  <c r="AA75" i="48"/>
  <c r="Y81" i="48"/>
  <c r="Y157" i="48" s="1"/>
  <c r="Z74" i="48"/>
  <c r="T165" i="48" l="1"/>
  <c r="T172" i="48" s="1"/>
  <c r="T179" i="48" s="1"/>
  <c r="Q292" i="49"/>
  <c r="O157" i="49"/>
  <c r="Q300" i="49"/>
  <c r="R177" i="49"/>
  <c r="R287" i="49" s="1"/>
  <c r="Q233" i="49"/>
  <c r="Q259" i="49" s="1"/>
  <c r="P256" i="49"/>
  <c r="Q235" i="49"/>
  <c r="Q251" i="49" s="1"/>
  <c r="R211" i="49"/>
  <c r="Q232" i="49"/>
  <c r="S226" i="49"/>
  <c r="T219" i="49"/>
  <c r="T203" i="49"/>
  <c r="S206" i="49"/>
  <c r="U182" i="49"/>
  <c r="T186" i="49"/>
  <c r="S247" i="49"/>
  <c r="T241" i="49"/>
  <c r="U193" i="49"/>
  <c r="T196" i="49"/>
  <c r="S227" i="49"/>
  <c r="T220" i="49"/>
  <c r="R209" i="49"/>
  <c r="R299" i="49" s="1"/>
  <c r="T218" i="49"/>
  <c r="S225" i="49"/>
  <c r="R213" i="49"/>
  <c r="R297" i="49" s="1"/>
  <c r="Q234" i="49"/>
  <c r="Q253" i="49" s="1"/>
  <c r="T181" i="49"/>
  <c r="S185" i="49"/>
  <c r="R205" i="49"/>
  <c r="R199" i="49" s="1"/>
  <c r="S202" i="49"/>
  <c r="S223" i="49"/>
  <c r="T216" i="49"/>
  <c r="R246" i="49"/>
  <c r="S240" i="49"/>
  <c r="R214" i="49"/>
  <c r="R295" i="49" s="1"/>
  <c r="R210" i="49"/>
  <c r="Q231" i="49"/>
  <c r="T221" i="49"/>
  <c r="S228" i="49"/>
  <c r="S224" i="49"/>
  <c r="T217" i="49"/>
  <c r="S237" i="49"/>
  <c r="R243" i="49"/>
  <c r="R244" i="49"/>
  <c r="S238" i="49"/>
  <c r="R176" i="49"/>
  <c r="T192" i="49"/>
  <c r="S195" i="49"/>
  <c r="S189" i="49" s="1"/>
  <c r="R190" i="49"/>
  <c r="Q200" i="49"/>
  <c r="Q284" i="49" s="1"/>
  <c r="R178" i="49"/>
  <c r="R212" i="49"/>
  <c r="R303" i="49" s="1"/>
  <c r="S245" i="49"/>
  <c r="T239" i="49"/>
  <c r="T180" i="49"/>
  <c r="S184" i="49"/>
  <c r="U164" i="49"/>
  <c r="U160" i="49"/>
  <c r="U172" i="49" s="1"/>
  <c r="U306" i="49" s="1"/>
  <c r="U165" i="49"/>
  <c r="U162" i="49"/>
  <c r="U163" i="49"/>
  <c r="U161" i="49"/>
  <c r="U174" i="49" s="1"/>
  <c r="U166" i="49"/>
  <c r="U159" i="49"/>
  <c r="U170" i="49" s="1"/>
  <c r="U273" i="49" s="1"/>
  <c r="Y120" i="49"/>
  <c r="Y118" i="49"/>
  <c r="T167" i="49"/>
  <c r="V147" i="49"/>
  <c r="V151" i="49" s="1"/>
  <c r="V156" i="49" s="1"/>
  <c r="Y122" i="49"/>
  <c r="Y117" i="49"/>
  <c r="Y121" i="49"/>
  <c r="Y116" i="49"/>
  <c r="Y119" i="49"/>
  <c r="V74" i="50"/>
  <c r="V49" i="50"/>
  <c r="AA20" i="50"/>
  <c r="X36" i="50"/>
  <c r="W47" i="50"/>
  <c r="P282" i="48"/>
  <c r="P238" i="48"/>
  <c r="AA30" i="50"/>
  <c r="Z28" i="50"/>
  <c r="Z39" i="50" s="1"/>
  <c r="Y29" i="50"/>
  <c r="X27" i="50"/>
  <c r="X38" i="50" s="1"/>
  <c r="R266" i="48"/>
  <c r="O282" i="48"/>
  <c r="Q212" i="48"/>
  <c r="P216" i="48"/>
  <c r="R227" i="48"/>
  <c r="R228" i="48"/>
  <c r="R226" i="48"/>
  <c r="R224" i="48"/>
  <c r="R225" i="48"/>
  <c r="S206" i="48"/>
  <c r="S204" i="48"/>
  <c r="S203" i="48"/>
  <c r="S207" i="48"/>
  <c r="S208" i="48"/>
  <c r="S205" i="48"/>
  <c r="Q211" i="48"/>
  <c r="Q213" i="48"/>
  <c r="R204" i="48"/>
  <c r="R206" i="48"/>
  <c r="R203" i="48"/>
  <c r="R208" i="48"/>
  <c r="R207" i="48"/>
  <c r="R205" i="48"/>
  <c r="Q214" i="48"/>
  <c r="Q241" i="48" s="1"/>
  <c r="Q215" i="48"/>
  <c r="Q235" i="48" s="1"/>
  <c r="W220" i="48"/>
  <c r="V218" i="48"/>
  <c r="W222" i="48"/>
  <c r="W221" i="48"/>
  <c r="V219" i="48"/>
  <c r="O194" i="48"/>
  <c r="V201" i="48"/>
  <c r="W196" i="48"/>
  <c r="V198" i="48"/>
  <c r="W199" i="48"/>
  <c r="W197" i="48"/>
  <c r="P194" i="48"/>
  <c r="V200" i="48"/>
  <c r="S176" i="48"/>
  <c r="S184" i="48"/>
  <c r="S180" i="48"/>
  <c r="S175" i="48"/>
  <c r="S255" i="48" s="1"/>
  <c r="S182" i="48"/>
  <c r="S178" i="48"/>
  <c r="S288" i="48" s="1"/>
  <c r="R185" i="48"/>
  <c r="S179" i="48"/>
  <c r="S181" i="48"/>
  <c r="S177" i="48"/>
  <c r="Z105" i="48"/>
  <c r="X104" i="48"/>
  <c r="X108" i="48"/>
  <c r="T180" i="48"/>
  <c r="X103" i="48"/>
  <c r="T176" i="48"/>
  <c r="T181" i="48"/>
  <c r="T177" i="48"/>
  <c r="U159" i="48"/>
  <c r="T183" i="48"/>
  <c r="Z109" i="48"/>
  <c r="T178" i="48"/>
  <c r="T288" i="48" s="1"/>
  <c r="X106" i="48"/>
  <c r="T184" i="48"/>
  <c r="T175" i="48"/>
  <c r="T255" i="48" s="1"/>
  <c r="V111" i="48"/>
  <c r="V112" i="48" s="1"/>
  <c r="T182" i="48"/>
  <c r="X107" i="48"/>
  <c r="Z19" i="50"/>
  <c r="Y21" i="50"/>
  <c r="Y15" i="50"/>
  <c r="X17" i="50"/>
  <c r="X35" i="50" s="1"/>
  <c r="AA12" i="50"/>
  <c r="Z34" i="50"/>
  <c r="Z11" i="50"/>
  <c r="Y33" i="50"/>
  <c r="W136" i="49"/>
  <c r="W149" i="49" s="1"/>
  <c r="X138" i="49"/>
  <c r="Y139" i="49"/>
  <c r="X137" i="49"/>
  <c r="X150" i="49" s="1"/>
  <c r="X115" i="49"/>
  <c r="W123" i="49"/>
  <c r="W113" i="49"/>
  <c r="W146" i="49" s="1"/>
  <c r="X105" i="49"/>
  <c r="AA78" i="49"/>
  <c r="Z85" i="49"/>
  <c r="Z144" i="49" s="1"/>
  <c r="Z94" i="49"/>
  <c r="Z145" i="49" s="1"/>
  <c r="AA87" i="49"/>
  <c r="Y74" i="49"/>
  <c r="X142" i="49"/>
  <c r="Y75" i="49"/>
  <c r="X143" i="49"/>
  <c r="X148" i="48"/>
  <c r="X164" i="48" s="1"/>
  <c r="Y150" i="48"/>
  <c r="X149" i="48"/>
  <c r="W147" i="48"/>
  <c r="W163" i="48" s="1"/>
  <c r="X141" i="48"/>
  <c r="W139" i="48"/>
  <c r="W161" i="48" s="1"/>
  <c r="Y142" i="48"/>
  <c r="X140" i="48"/>
  <c r="X162" i="48" s="1"/>
  <c r="Y70" i="48"/>
  <c r="Y155" i="48" s="1"/>
  <c r="V122" i="48"/>
  <c r="U124" i="48"/>
  <c r="U160" i="48" s="1"/>
  <c r="AB114" i="48"/>
  <c r="Z83" i="48"/>
  <c r="Y90" i="48"/>
  <c r="Y158" i="48" s="1"/>
  <c r="AA71" i="48"/>
  <c r="Z156" i="48"/>
  <c r="Z102" i="48"/>
  <c r="W110" i="48"/>
  <c r="AB75" i="48"/>
  <c r="AA74" i="48"/>
  <c r="Z81" i="48"/>
  <c r="Z157" i="48" s="1"/>
  <c r="R292" i="49" l="1"/>
  <c r="P157" i="49"/>
  <c r="R300" i="49"/>
  <c r="Q256" i="49"/>
  <c r="S177" i="49"/>
  <c r="S287" i="49" s="1"/>
  <c r="R233" i="49"/>
  <c r="R259" i="49" s="1"/>
  <c r="S214" i="49"/>
  <c r="S295" i="49" s="1"/>
  <c r="S210" i="49"/>
  <c r="T184" i="49"/>
  <c r="U180" i="49"/>
  <c r="U192" i="49"/>
  <c r="T195" i="49"/>
  <c r="T189" i="49" s="1"/>
  <c r="U216" i="49"/>
  <c r="T223" i="49"/>
  <c r="S211" i="49"/>
  <c r="U239" i="49"/>
  <c r="T245" i="49"/>
  <c r="S212" i="49"/>
  <c r="S303" i="49" s="1"/>
  <c r="S209" i="49"/>
  <c r="S299" i="49" s="1"/>
  <c r="T225" i="49"/>
  <c r="U218" i="49"/>
  <c r="T228" i="49"/>
  <c r="U221" i="49"/>
  <c r="S205" i="49"/>
  <c r="S199" i="49" s="1"/>
  <c r="T202" i="49"/>
  <c r="V182" i="49"/>
  <c r="U186" i="49"/>
  <c r="S244" i="49"/>
  <c r="T238" i="49"/>
  <c r="U220" i="49"/>
  <c r="T227" i="49"/>
  <c r="R235" i="49"/>
  <c r="R251" i="49" s="1"/>
  <c r="R232" i="49"/>
  <c r="S213" i="49"/>
  <c r="S297" i="49" s="1"/>
  <c r="U203" i="49"/>
  <c r="T206" i="49"/>
  <c r="R231" i="49"/>
  <c r="U181" i="49"/>
  <c r="T185" i="49"/>
  <c r="S190" i="49"/>
  <c r="R200" i="49"/>
  <c r="R284" i="49" s="1"/>
  <c r="T237" i="49"/>
  <c r="S243" i="49"/>
  <c r="S246" i="49"/>
  <c r="T240" i="49"/>
  <c r="V193" i="49"/>
  <c r="U196" i="49"/>
  <c r="U219" i="49"/>
  <c r="T226" i="49"/>
  <c r="S178" i="49"/>
  <c r="S176" i="49"/>
  <c r="U217" i="49"/>
  <c r="T224" i="49"/>
  <c r="R234" i="49"/>
  <c r="R253" i="49" s="1"/>
  <c r="T247" i="49"/>
  <c r="U241" i="49"/>
  <c r="V159" i="49"/>
  <c r="V170" i="49" s="1"/>
  <c r="V273" i="49" s="1"/>
  <c r="V162" i="49"/>
  <c r="V164" i="49"/>
  <c r="V165" i="49"/>
  <c r="V163" i="49"/>
  <c r="V160" i="49"/>
  <c r="V172" i="49" s="1"/>
  <c r="V306" i="49" s="1"/>
  <c r="V166" i="49"/>
  <c r="V161" i="49"/>
  <c r="V174" i="49" s="1"/>
  <c r="Z122" i="49"/>
  <c r="Z116" i="49"/>
  <c r="W147" i="49"/>
  <c r="W151" i="49" s="1"/>
  <c r="W156" i="49" s="1"/>
  <c r="Z118" i="49"/>
  <c r="U167" i="49"/>
  <c r="Z119" i="49"/>
  <c r="Z121" i="49"/>
  <c r="Z117" i="49"/>
  <c r="Z120" i="49"/>
  <c r="X40" i="50"/>
  <c r="X45" i="50" s="1"/>
  <c r="X47" i="50" s="1"/>
  <c r="X74" i="50" s="1"/>
  <c r="W49" i="50"/>
  <c r="W74" i="50"/>
  <c r="X48" i="50"/>
  <c r="X96" i="50" s="1"/>
  <c r="Y36" i="50"/>
  <c r="AB20" i="50"/>
  <c r="Z29" i="50"/>
  <c r="Y27" i="50"/>
  <c r="Y38" i="50" s="1"/>
  <c r="AB30" i="50"/>
  <c r="AA28" i="50"/>
  <c r="AA39" i="50" s="1"/>
  <c r="S266" i="48"/>
  <c r="T266" i="48"/>
  <c r="Q238" i="48"/>
  <c r="R212" i="48"/>
  <c r="Q216" i="48"/>
  <c r="T206" i="48"/>
  <c r="T203" i="48"/>
  <c r="T204" i="48"/>
  <c r="T207" i="48"/>
  <c r="T205" i="48"/>
  <c r="T208" i="48"/>
  <c r="S226" i="48"/>
  <c r="S227" i="48"/>
  <c r="S228" i="48"/>
  <c r="S224" i="48"/>
  <c r="S225" i="48"/>
  <c r="R211" i="48"/>
  <c r="R213" i="48"/>
  <c r="T228" i="48"/>
  <c r="T227" i="48"/>
  <c r="T226" i="48"/>
  <c r="T224" i="48"/>
  <c r="T225" i="48"/>
  <c r="R215" i="48"/>
  <c r="R235" i="48" s="1"/>
  <c r="R214" i="48"/>
  <c r="R241" i="48" s="1"/>
  <c r="W218" i="48"/>
  <c r="X221" i="48"/>
  <c r="W219" i="48"/>
  <c r="X222" i="48"/>
  <c r="X220" i="48"/>
  <c r="Q193" i="48"/>
  <c r="Q279" i="48" s="1"/>
  <c r="W201" i="48"/>
  <c r="X199" i="48"/>
  <c r="Q190" i="48"/>
  <c r="Q192" i="48"/>
  <c r="Q285" i="48" s="1"/>
  <c r="X197" i="48"/>
  <c r="W198" i="48"/>
  <c r="Q189" i="48"/>
  <c r="W200" i="48"/>
  <c r="Q188" i="48"/>
  <c r="Q281" i="48" s="1"/>
  <c r="X196" i="48"/>
  <c r="Q191" i="48"/>
  <c r="S185" i="48"/>
  <c r="Y106" i="48"/>
  <c r="Y104" i="48"/>
  <c r="Y108" i="48"/>
  <c r="Y103" i="48"/>
  <c r="Y107" i="48"/>
  <c r="V159" i="48"/>
  <c r="U165" i="48"/>
  <c r="U172" i="48" s="1"/>
  <c r="W111" i="48"/>
  <c r="W112" i="48" s="1"/>
  <c r="AA109" i="48"/>
  <c r="AA105" i="48"/>
  <c r="T185" i="48"/>
  <c r="Y17" i="50"/>
  <c r="Y35" i="50" s="1"/>
  <c r="Z15" i="50"/>
  <c r="AA19" i="50"/>
  <c r="Z21" i="50"/>
  <c r="AB12" i="50"/>
  <c r="AA34" i="50"/>
  <c r="AA11" i="50"/>
  <c r="Z33" i="50"/>
  <c r="Y137" i="49"/>
  <c r="Y150" i="49" s="1"/>
  <c r="Z139" i="49"/>
  <c r="X136" i="49"/>
  <c r="X149" i="49" s="1"/>
  <c r="Y138" i="49"/>
  <c r="Y115" i="49"/>
  <c r="X123" i="49"/>
  <c r="X113" i="49"/>
  <c r="X146" i="49" s="1"/>
  <c r="Y105" i="49"/>
  <c r="AA85" i="49"/>
  <c r="AA144" i="49" s="1"/>
  <c r="AB78" i="49"/>
  <c r="AB87" i="49"/>
  <c r="AA94" i="49"/>
  <c r="AA145" i="49" s="1"/>
  <c r="Z74" i="49"/>
  <c r="Y142" i="49"/>
  <c r="Z75" i="49"/>
  <c r="Y143" i="49"/>
  <c r="X147" i="48"/>
  <c r="X163" i="48" s="1"/>
  <c r="Y149" i="48"/>
  <c r="Z150" i="48"/>
  <c r="Y148" i="48"/>
  <c r="Y164" i="48" s="1"/>
  <c r="Y141" i="48"/>
  <c r="X139" i="48"/>
  <c r="X161" i="48" s="1"/>
  <c r="Z142" i="48"/>
  <c r="Y140" i="48"/>
  <c r="Y162" i="48" s="1"/>
  <c r="Z70" i="48"/>
  <c r="Z155" i="48" s="1"/>
  <c r="W122" i="48"/>
  <c r="V124" i="48"/>
  <c r="V160" i="48" s="1"/>
  <c r="AC114" i="48"/>
  <c r="Z90" i="48"/>
  <c r="Z158" i="48" s="1"/>
  <c r="AA83" i="48"/>
  <c r="AB71" i="48"/>
  <c r="AA156" i="48"/>
  <c r="X110" i="48"/>
  <c r="AA102" i="48"/>
  <c r="AC75" i="48"/>
  <c r="AB74" i="48"/>
  <c r="AA81" i="48"/>
  <c r="AA157" i="48" s="1"/>
  <c r="S292" i="49" l="1"/>
  <c r="S300" i="49"/>
  <c r="Q157" i="49"/>
  <c r="T177" i="49"/>
  <c r="T287" i="49" s="1"/>
  <c r="S200" i="49"/>
  <c r="S284" i="49" s="1"/>
  <c r="R256" i="49"/>
  <c r="T178" i="49"/>
  <c r="S231" i="49"/>
  <c r="T190" i="49"/>
  <c r="T212" i="49"/>
  <c r="T303" i="49" s="1"/>
  <c r="U238" i="49"/>
  <c r="T244" i="49"/>
  <c r="S233" i="49"/>
  <c r="S259" i="49" s="1"/>
  <c r="S235" i="49"/>
  <c r="S251" i="49" s="1"/>
  <c r="U237" i="49"/>
  <c r="T243" i="49"/>
  <c r="V203" i="49"/>
  <c r="U206" i="49"/>
  <c r="S232" i="49"/>
  <c r="V218" i="49"/>
  <c r="U225" i="49"/>
  <c r="T209" i="49"/>
  <c r="T299" i="49" s="1"/>
  <c r="V241" i="49"/>
  <c r="U247" i="49"/>
  <c r="V219" i="49"/>
  <c r="U226" i="49"/>
  <c r="W182" i="49"/>
  <c r="V186" i="49"/>
  <c r="T211" i="49"/>
  <c r="V216" i="49"/>
  <c r="U223" i="49"/>
  <c r="U202" i="49"/>
  <c r="T205" i="49"/>
  <c r="T199" i="49" s="1"/>
  <c r="W193" i="49"/>
  <c r="V196" i="49"/>
  <c r="V192" i="49"/>
  <c r="U195" i="49"/>
  <c r="U189" i="49" s="1"/>
  <c r="T210" i="49"/>
  <c r="T300" i="49" s="1"/>
  <c r="U240" i="49"/>
  <c r="T246" i="49"/>
  <c r="V181" i="49"/>
  <c r="U185" i="49"/>
  <c r="T213" i="49"/>
  <c r="T297" i="49" s="1"/>
  <c r="V221" i="49"/>
  <c r="U228" i="49"/>
  <c r="V180" i="49"/>
  <c r="U184" i="49"/>
  <c r="U224" i="49"/>
  <c r="V217" i="49"/>
  <c r="S234" i="49"/>
  <c r="S253" i="49" s="1"/>
  <c r="V220" i="49"/>
  <c r="U227" i="49"/>
  <c r="T214" i="49"/>
  <c r="T295" i="49" s="1"/>
  <c r="V239" i="49"/>
  <c r="U245" i="49"/>
  <c r="T176" i="49"/>
  <c r="W159" i="49"/>
  <c r="W170" i="49" s="1"/>
  <c r="W273" i="49" s="1"/>
  <c r="W161" i="49"/>
  <c r="W174" i="49" s="1"/>
  <c r="W163" i="49"/>
  <c r="W164" i="49"/>
  <c r="AA120" i="49"/>
  <c r="AA118" i="49"/>
  <c r="X147" i="49"/>
  <c r="X151" i="49" s="1"/>
  <c r="X156" i="49" s="1"/>
  <c r="AA121" i="49"/>
  <c r="W166" i="49"/>
  <c r="W165" i="49"/>
  <c r="AA116" i="49"/>
  <c r="W162" i="49"/>
  <c r="AA117" i="49"/>
  <c r="AA119" i="49"/>
  <c r="W160" i="49"/>
  <c r="W172" i="49" s="1"/>
  <c r="W306" i="49" s="1"/>
  <c r="AA122" i="49"/>
  <c r="V167" i="49"/>
  <c r="AC20" i="50"/>
  <c r="Z36" i="50"/>
  <c r="X49" i="50"/>
  <c r="Y40" i="50"/>
  <c r="Y45" i="50" s="1"/>
  <c r="AC30" i="50"/>
  <c r="AB28" i="50"/>
  <c r="AB39" i="50" s="1"/>
  <c r="AA29" i="50"/>
  <c r="Z27" i="50"/>
  <c r="Z38" i="50" s="1"/>
  <c r="R238" i="48"/>
  <c r="Q282" i="48"/>
  <c r="S212" i="48"/>
  <c r="T213" i="48"/>
  <c r="T212" i="48"/>
  <c r="T211" i="48"/>
  <c r="S211" i="48"/>
  <c r="S215" i="48"/>
  <c r="S235" i="48" s="1"/>
  <c r="T214" i="48"/>
  <c r="T241" i="48" s="1"/>
  <c r="S214" i="48"/>
  <c r="S241" i="48" s="1"/>
  <c r="T215" i="48"/>
  <c r="T235" i="48" s="1"/>
  <c r="S213" i="48"/>
  <c r="R216" i="48"/>
  <c r="Y220" i="48"/>
  <c r="Y221" i="48"/>
  <c r="X219" i="48"/>
  <c r="Y222" i="48"/>
  <c r="X218" i="48"/>
  <c r="R190" i="48"/>
  <c r="Y196" i="48"/>
  <c r="R193" i="48"/>
  <c r="R279" i="48" s="1"/>
  <c r="T192" i="48"/>
  <c r="T285" i="48" s="1"/>
  <c r="Q194" i="48"/>
  <c r="R192" i="48"/>
  <c r="R285" i="48" s="1"/>
  <c r="X198" i="48"/>
  <c r="R191" i="48"/>
  <c r="Y199" i="48"/>
  <c r="X200" i="48"/>
  <c r="R189" i="48"/>
  <c r="Y197" i="48"/>
  <c r="R188" i="48"/>
  <c r="R281" i="48" s="1"/>
  <c r="X201" i="48"/>
  <c r="W159" i="48"/>
  <c r="Z104" i="48"/>
  <c r="X111" i="48"/>
  <c r="X112" i="48" s="1"/>
  <c r="Z108" i="48"/>
  <c r="AB105" i="48"/>
  <c r="Z107" i="48"/>
  <c r="Z106" i="48"/>
  <c r="Z103" i="48"/>
  <c r="U183" i="48"/>
  <c r="U175" i="48"/>
  <c r="U255" i="48" s="1"/>
  <c r="U178" i="48"/>
  <c r="U288" i="48" s="1"/>
  <c r="U181" i="48"/>
  <c r="U182" i="48"/>
  <c r="U184" i="48"/>
  <c r="U177" i="48"/>
  <c r="U180" i="48"/>
  <c r="U176" i="48"/>
  <c r="U179" i="48"/>
  <c r="V165" i="48"/>
  <c r="V172" i="48" s="1"/>
  <c r="AB109" i="48"/>
  <c r="AB19" i="50"/>
  <c r="AA21" i="50"/>
  <c r="Z17" i="50"/>
  <c r="Z35" i="50" s="1"/>
  <c r="AA15" i="50"/>
  <c r="AB11" i="50"/>
  <c r="AA33" i="50"/>
  <c r="AC12" i="50"/>
  <c r="AB34" i="50"/>
  <c r="Z138" i="49"/>
  <c r="Y136" i="49"/>
  <c r="Y149" i="49" s="1"/>
  <c r="AA139" i="49"/>
  <c r="Z137" i="49"/>
  <c r="Z150" i="49" s="1"/>
  <c r="Z105" i="49"/>
  <c r="Y113" i="49"/>
  <c r="Y146" i="49" s="1"/>
  <c r="Z115" i="49"/>
  <c r="Y123" i="49"/>
  <c r="AC87" i="49"/>
  <c r="AB94" i="49"/>
  <c r="AB145" i="49" s="1"/>
  <c r="AC78" i="49"/>
  <c r="AB85" i="49"/>
  <c r="AB144" i="49" s="1"/>
  <c r="AA75" i="49"/>
  <c r="Z143" i="49"/>
  <c r="AA74" i="49"/>
  <c r="Z142" i="49"/>
  <c r="AA150" i="48"/>
  <c r="Z148" i="48"/>
  <c r="Z164" i="48" s="1"/>
  <c r="Y147" i="48"/>
  <c r="Y163" i="48" s="1"/>
  <c r="Z149" i="48"/>
  <c r="AA142" i="48"/>
  <c r="Z140" i="48"/>
  <c r="Z162" i="48" s="1"/>
  <c r="Z141" i="48"/>
  <c r="Y139" i="48"/>
  <c r="Y161" i="48" s="1"/>
  <c r="AA70" i="48"/>
  <c r="AA155" i="48" s="1"/>
  <c r="X122" i="48"/>
  <c r="W124" i="48"/>
  <c r="W160" i="48" s="1"/>
  <c r="AD114" i="48"/>
  <c r="AB83" i="48"/>
  <c r="AA90" i="48"/>
  <c r="AA158" i="48" s="1"/>
  <c r="AC71" i="48"/>
  <c r="AB156" i="48"/>
  <c r="AB102" i="48"/>
  <c r="Y110" i="48"/>
  <c r="AD75" i="48"/>
  <c r="AC74" i="48"/>
  <c r="AB81" i="48"/>
  <c r="AB157" i="48" s="1"/>
  <c r="T292" i="49" l="1"/>
  <c r="R157" i="49"/>
  <c r="U177" i="49"/>
  <c r="U287" i="49" s="1"/>
  <c r="T235" i="49"/>
  <c r="T251" i="49" s="1"/>
  <c r="T233" i="49"/>
  <c r="T259" i="49" s="1"/>
  <c r="S256" i="49"/>
  <c r="U213" i="49"/>
  <c r="U297" i="49" s="1"/>
  <c r="V245" i="49"/>
  <c r="W239" i="49"/>
  <c r="W180" i="49"/>
  <c r="V184" i="49"/>
  <c r="U246" i="49"/>
  <c r="V240" i="49"/>
  <c r="U190" i="49"/>
  <c r="W219" i="49"/>
  <c r="V226" i="49"/>
  <c r="W203" i="49"/>
  <c r="V206" i="49"/>
  <c r="U214" i="49"/>
  <c r="U295" i="49" s="1"/>
  <c r="U211" i="49"/>
  <c r="U209" i="49"/>
  <c r="U299" i="49" s="1"/>
  <c r="W241" i="49"/>
  <c r="V247" i="49"/>
  <c r="V237" i="49"/>
  <c r="U243" i="49"/>
  <c r="V227" i="49"/>
  <c r="W220" i="49"/>
  <c r="V228" i="49"/>
  <c r="W221" i="49"/>
  <c r="V195" i="49"/>
  <c r="V189" i="49" s="1"/>
  <c r="W192" i="49"/>
  <c r="W216" i="49"/>
  <c r="V223" i="49"/>
  <c r="V224" i="49"/>
  <c r="W217" i="49"/>
  <c r="X193" i="49"/>
  <c r="W196" i="49"/>
  <c r="W218" i="49"/>
  <c r="V225" i="49"/>
  <c r="T231" i="49"/>
  <c r="T232" i="49"/>
  <c r="U210" i="49"/>
  <c r="U300" i="49" s="1"/>
  <c r="W181" i="49"/>
  <c r="V185" i="49"/>
  <c r="X182" i="49"/>
  <c r="W186" i="49"/>
  <c r="V238" i="49"/>
  <c r="U244" i="49"/>
  <c r="U178" i="49"/>
  <c r="U176" i="49"/>
  <c r="T234" i="49"/>
  <c r="T253" i="49" s="1"/>
  <c r="V202" i="49"/>
  <c r="U205" i="49"/>
  <c r="U199" i="49" s="1"/>
  <c r="U292" i="49" s="1"/>
  <c r="U212" i="49"/>
  <c r="U303" i="49" s="1"/>
  <c r="T200" i="49"/>
  <c r="T284" i="49" s="1"/>
  <c r="W167" i="49"/>
  <c r="X164" i="49"/>
  <c r="X163" i="49"/>
  <c r="X161" i="49"/>
  <c r="X174" i="49" s="1"/>
  <c r="X162" i="49"/>
  <c r="X159" i="49"/>
  <c r="X170" i="49" s="1"/>
  <c r="X273" i="49" s="1"/>
  <c r="X160" i="49"/>
  <c r="X172" i="49" s="1"/>
  <c r="X306" i="49" s="1"/>
  <c r="X166" i="49"/>
  <c r="X165" i="49"/>
  <c r="AB122" i="49"/>
  <c r="AB118" i="49"/>
  <c r="Y147" i="49"/>
  <c r="Y151" i="49" s="1"/>
  <c r="Y156" i="49" s="1"/>
  <c r="Y163" i="49" s="1"/>
  <c r="AB116" i="49"/>
  <c r="AB121" i="49"/>
  <c r="AB117" i="49"/>
  <c r="AB119" i="49"/>
  <c r="AB120" i="49"/>
  <c r="Z40" i="50"/>
  <c r="Z45" i="50" s="1"/>
  <c r="Z47" i="50" s="1"/>
  <c r="Z74" i="50"/>
  <c r="Y47" i="50"/>
  <c r="Y48" i="50"/>
  <c r="Y96" i="50" s="1"/>
  <c r="AA36" i="50"/>
  <c r="AD20" i="50"/>
  <c r="S238" i="48"/>
  <c r="T238" i="48"/>
  <c r="AB29" i="50"/>
  <c r="AA27" i="50"/>
  <c r="AA38" i="50" s="1"/>
  <c r="AD30" i="50"/>
  <c r="AC28" i="50"/>
  <c r="AC39" i="50" s="1"/>
  <c r="R282" i="48"/>
  <c r="U266" i="48"/>
  <c r="U203" i="48"/>
  <c r="U206" i="48"/>
  <c r="U204" i="48"/>
  <c r="U207" i="48"/>
  <c r="U208" i="48"/>
  <c r="U205" i="48"/>
  <c r="S216" i="48"/>
  <c r="U228" i="48"/>
  <c r="U226" i="48"/>
  <c r="U227" i="48"/>
  <c r="U225" i="48"/>
  <c r="U224" i="48"/>
  <c r="T216" i="48"/>
  <c r="Z220" i="48"/>
  <c r="Z222" i="48"/>
  <c r="Y219" i="48"/>
  <c r="Y218" i="48"/>
  <c r="Z221" i="48"/>
  <c r="S188" i="48"/>
  <c r="S281" i="48" s="1"/>
  <c r="W165" i="48"/>
  <c r="W172" i="48" s="1"/>
  <c r="W182" i="48" s="1"/>
  <c r="S191" i="48"/>
  <c r="Z199" i="48"/>
  <c r="T190" i="48"/>
  <c r="S189" i="48"/>
  <c r="Y201" i="48"/>
  <c r="T191" i="48"/>
  <c r="R194" i="48"/>
  <c r="Z197" i="48"/>
  <c r="Y198" i="48"/>
  <c r="T189" i="48"/>
  <c r="T188" i="48"/>
  <c r="T281" i="48" s="1"/>
  <c r="S190" i="48"/>
  <c r="S192" i="48"/>
  <c r="S285" i="48" s="1"/>
  <c r="S193" i="48"/>
  <c r="S279" i="48" s="1"/>
  <c r="Y200" i="48"/>
  <c r="T193" i="48"/>
  <c r="T279" i="48" s="1"/>
  <c r="Z196" i="48"/>
  <c r="AA104" i="48"/>
  <c r="AA103" i="48"/>
  <c r="AA108" i="48"/>
  <c r="AC109" i="48"/>
  <c r="X159" i="48"/>
  <c r="AA107" i="48"/>
  <c r="V183" i="48"/>
  <c r="V181" i="48"/>
  <c r="V184" i="48"/>
  <c r="V177" i="48"/>
  <c r="V179" i="48"/>
  <c r="V176" i="48"/>
  <c r="V180" i="48"/>
  <c r="V182" i="48"/>
  <c r="V178" i="48"/>
  <c r="V288" i="48" s="1"/>
  <c r="V175" i="48"/>
  <c r="V255" i="48" s="1"/>
  <c r="U185" i="48"/>
  <c r="AA106" i="48"/>
  <c r="Y111" i="48"/>
  <c r="AC105" i="48"/>
  <c r="AB15" i="50"/>
  <c r="AA17" i="50"/>
  <c r="AA35" i="50" s="1"/>
  <c r="AB21" i="50"/>
  <c r="AC19" i="50"/>
  <c r="AD12" i="50"/>
  <c r="AC34" i="50"/>
  <c r="AC11" i="50"/>
  <c r="AB33" i="50"/>
  <c r="AA137" i="49"/>
  <c r="AA150" i="49" s="1"/>
  <c r="AB139" i="49"/>
  <c r="Z136" i="49"/>
  <c r="Z149" i="49" s="1"/>
  <c r="AA138" i="49"/>
  <c r="AA115" i="49"/>
  <c r="Z123" i="49"/>
  <c r="Z113" i="49"/>
  <c r="Z146" i="49" s="1"/>
  <c r="AA105" i="49"/>
  <c r="AD78" i="49"/>
  <c r="AC85" i="49"/>
  <c r="AC144" i="49" s="1"/>
  <c r="AC94" i="49"/>
  <c r="AC145" i="49" s="1"/>
  <c r="AD87" i="49"/>
  <c r="AB75" i="49"/>
  <c r="AA143" i="49"/>
  <c r="AB74" i="49"/>
  <c r="AA142" i="49"/>
  <c r="Z147" i="48"/>
  <c r="Z163" i="48" s="1"/>
  <c r="AA149" i="48"/>
  <c r="AA148" i="48"/>
  <c r="AA164" i="48" s="1"/>
  <c r="AB150" i="48"/>
  <c r="AB142" i="48"/>
  <c r="AA140" i="48"/>
  <c r="AA162" i="48" s="1"/>
  <c r="AA141" i="48"/>
  <c r="Z139" i="48"/>
  <c r="Z161" i="48" s="1"/>
  <c r="AB70" i="48"/>
  <c r="AB155" i="48" s="1"/>
  <c r="Y122" i="48"/>
  <c r="X124" i="48"/>
  <c r="X160" i="48" s="1"/>
  <c r="AE114" i="48"/>
  <c r="AC83" i="48"/>
  <c r="AB90" i="48"/>
  <c r="AB158" i="48" s="1"/>
  <c r="AD71" i="48"/>
  <c r="AC156" i="48"/>
  <c r="Z110" i="48"/>
  <c r="AC102" i="48"/>
  <c r="AE75" i="48"/>
  <c r="AD74" i="48"/>
  <c r="AC81" i="48"/>
  <c r="AC157" i="48" s="1"/>
  <c r="W183" i="48" l="1"/>
  <c r="W204" i="48" s="1"/>
  <c r="S157" i="49"/>
  <c r="T256" i="49"/>
  <c r="V177" i="49"/>
  <c r="V287" i="49" s="1"/>
  <c r="U233" i="49"/>
  <c r="U259" i="49" s="1"/>
  <c r="T157" i="49"/>
  <c r="V214" i="49"/>
  <c r="V295" i="49" s="1"/>
  <c r="U200" i="49"/>
  <c r="U284" i="49" s="1"/>
  <c r="V205" i="49"/>
  <c r="V199" i="49" s="1"/>
  <c r="W202" i="49"/>
  <c r="Y182" i="49"/>
  <c r="X186" i="49"/>
  <c r="V178" i="49"/>
  <c r="W195" i="49"/>
  <c r="W189" i="49" s="1"/>
  <c r="X192" i="49"/>
  <c r="W226" i="49"/>
  <c r="X219" i="49"/>
  <c r="X241" i="49"/>
  <c r="W247" i="49"/>
  <c r="W185" i="49"/>
  <c r="X181" i="49"/>
  <c r="X196" i="49"/>
  <c r="Y193" i="49"/>
  <c r="X221" i="49"/>
  <c r="W228" i="49"/>
  <c r="V246" i="49"/>
  <c r="W240" i="49"/>
  <c r="W224" i="49"/>
  <c r="X217" i="49"/>
  <c r="U234" i="49"/>
  <c r="U253" i="49" s="1"/>
  <c r="V210" i="49"/>
  <c r="X220" i="49"/>
  <c r="W227" i="49"/>
  <c r="V176" i="49"/>
  <c r="U235" i="49"/>
  <c r="U251" i="49" s="1"/>
  <c r="U232" i="49"/>
  <c r="V190" i="49"/>
  <c r="V213" i="49"/>
  <c r="V297" i="49" s="1"/>
  <c r="W184" i="49"/>
  <c r="X180" i="49"/>
  <c r="W238" i="49"/>
  <c r="V244" i="49"/>
  <c r="V211" i="49"/>
  <c r="V209" i="49"/>
  <c r="V299" i="49" s="1"/>
  <c r="U231" i="49"/>
  <c r="U256" i="49" s="1"/>
  <c r="X203" i="49"/>
  <c r="W206" i="49"/>
  <c r="W245" i="49"/>
  <c r="X239" i="49"/>
  <c r="X218" i="49"/>
  <c r="W225" i="49"/>
  <c r="W223" i="49"/>
  <c r="X216" i="49"/>
  <c r="V243" i="49"/>
  <c r="W237" i="49"/>
  <c r="V212" i="49"/>
  <c r="V303" i="49" s="1"/>
  <c r="AC121" i="49"/>
  <c r="AC120" i="49"/>
  <c r="Y159" i="49"/>
  <c r="Y170" i="49" s="1"/>
  <c r="Y273" i="49" s="1"/>
  <c r="Y161" i="49"/>
  <c r="Y174" i="49" s="1"/>
  <c r="Y166" i="49"/>
  <c r="AC119" i="49"/>
  <c r="AC116" i="49"/>
  <c r="X167" i="49"/>
  <c r="Y165" i="49"/>
  <c r="Z147" i="49"/>
  <c r="Z151" i="49" s="1"/>
  <c r="Z156" i="49" s="1"/>
  <c r="Y164" i="49"/>
  <c r="AC117" i="49"/>
  <c r="Y160" i="49"/>
  <c r="Y172" i="49" s="1"/>
  <c r="Y306" i="49" s="1"/>
  <c r="AC118" i="49"/>
  <c r="Y162" i="49"/>
  <c r="AC122" i="49"/>
  <c r="Z48" i="50"/>
  <c r="AA40" i="50"/>
  <c r="AA45" i="50" s="1"/>
  <c r="AA47" i="50" s="1"/>
  <c r="AA74" i="50" s="1"/>
  <c r="AE20" i="50"/>
  <c r="AB36" i="50"/>
  <c r="AA48" i="50"/>
  <c r="Y49" i="50"/>
  <c r="Y74" i="50"/>
  <c r="W176" i="48"/>
  <c r="W184" i="48"/>
  <c r="W226" i="48" s="1"/>
  <c r="W180" i="48"/>
  <c r="AE30" i="50"/>
  <c r="AD28" i="50"/>
  <c r="AD39" i="50" s="1"/>
  <c r="AC29" i="50"/>
  <c r="AB27" i="50"/>
  <c r="AB38" i="50" s="1"/>
  <c r="V266" i="48"/>
  <c r="T282" i="48"/>
  <c r="S282" i="48"/>
  <c r="W177" i="48"/>
  <c r="U215" i="48"/>
  <c r="U235" i="48" s="1"/>
  <c r="U211" i="48"/>
  <c r="V228" i="48"/>
  <c r="V226" i="48"/>
  <c r="V227" i="48"/>
  <c r="V225" i="48"/>
  <c r="V224" i="48"/>
  <c r="U212" i="48"/>
  <c r="U214" i="48"/>
  <c r="U241" i="48" s="1"/>
  <c r="V204" i="48"/>
  <c r="V203" i="48"/>
  <c r="V206" i="48"/>
  <c r="V205" i="48"/>
  <c r="V208" i="48"/>
  <c r="V207" i="48"/>
  <c r="U213" i="48"/>
  <c r="W178" i="48"/>
  <c r="W288" i="48" s="1"/>
  <c r="W179" i="48"/>
  <c r="W181" i="48"/>
  <c r="AA222" i="48"/>
  <c r="Z218" i="48"/>
  <c r="AA220" i="48"/>
  <c r="AA221" i="48"/>
  <c r="Z219" i="48"/>
  <c r="W175" i="48"/>
  <c r="W255" i="48" s="1"/>
  <c r="S194" i="48"/>
  <c r="Z201" i="48"/>
  <c r="Z198" i="48"/>
  <c r="AA197" i="48"/>
  <c r="AA199" i="48"/>
  <c r="AA196" i="48"/>
  <c r="Z200" i="48"/>
  <c r="T194" i="48"/>
  <c r="X165" i="48"/>
  <c r="X172" i="48" s="1"/>
  <c r="X183" i="48" s="1"/>
  <c r="V185" i="48"/>
  <c r="AD105" i="48"/>
  <c r="AB103" i="48"/>
  <c r="AD109" i="48"/>
  <c r="Z111" i="48"/>
  <c r="Z112" i="48" s="1"/>
  <c r="Y112" i="48"/>
  <c r="AB107" i="48"/>
  <c r="AB106" i="48"/>
  <c r="AB108" i="48"/>
  <c r="AB104" i="48"/>
  <c r="AC21" i="50"/>
  <c r="AD19" i="50"/>
  <c r="AC15" i="50"/>
  <c r="AB17" i="50"/>
  <c r="AB35" i="50" s="1"/>
  <c r="AD11" i="50"/>
  <c r="AC33" i="50"/>
  <c r="AE12" i="50"/>
  <c r="AD34" i="50"/>
  <c r="AB138" i="49"/>
  <c r="AA136" i="49"/>
  <c r="AA149" i="49" s="1"/>
  <c r="AB137" i="49"/>
  <c r="AB150" i="49" s="1"/>
  <c r="AC139" i="49"/>
  <c r="AB115" i="49"/>
  <c r="AA123" i="49"/>
  <c r="AB105" i="49"/>
  <c r="AA113" i="49"/>
  <c r="AA146" i="49" s="1"/>
  <c r="AD94" i="49"/>
  <c r="AD145" i="49" s="1"/>
  <c r="AE87" i="49"/>
  <c r="AE78" i="49"/>
  <c r="AD85" i="49"/>
  <c r="AD144" i="49" s="1"/>
  <c r="AC75" i="49"/>
  <c r="AB143" i="49"/>
  <c r="AC74" i="49"/>
  <c r="AB142" i="49"/>
  <c r="AC150" i="48"/>
  <c r="AB148" i="48"/>
  <c r="AB164" i="48" s="1"/>
  <c r="AA147" i="48"/>
  <c r="AA163" i="48" s="1"/>
  <c r="AB149" i="48"/>
  <c r="AC142" i="48"/>
  <c r="AB140" i="48"/>
  <c r="AB162" i="48" s="1"/>
  <c r="AB141" i="48"/>
  <c r="AA139" i="48"/>
  <c r="AA161" i="48" s="1"/>
  <c r="AC70" i="48"/>
  <c r="AC155" i="48" s="1"/>
  <c r="Z122" i="48"/>
  <c r="Y124" i="48"/>
  <c r="Y160" i="48" s="1"/>
  <c r="AF114" i="48"/>
  <c r="AD83" i="48"/>
  <c r="AC90" i="48"/>
  <c r="AC158" i="48" s="1"/>
  <c r="AE71" i="48"/>
  <c r="AD156" i="48"/>
  <c r="AD102" i="48"/>
  <c r="AA110" i="48"/>
  <c r="AF75" i="48"/>
  <c r="AE74" i="48"/>
  <c r="AD81" i="48"/>
  <c r="AD157" i="48" s="1"/>
  <c r="W208" i="48" l="1"/>
  <c r="W207" i="48"/>
  <c r="W205" i="48"/>
  <c r="W203" i="48"/>
  <c r="W206" i="48"/>
  <c r="V300" i="49"/>
  <c r="V292" i="49"/>
  <c r="W177" i="49"/>
  <c r="W287" i="49" s="1"/>
  <c r="U157" i="49"/>
  <c r="V200" i="49"/>
  <c r="V284" i="49" s="1"/>
  <c r="W178" i="49"/>
  <c r="V235" i="49"/>
  <c r="V251" i="49" s="1"/>
  <c r="W211" i="49"/>
  <c r="V232" i="49"/>
  <c r="V233" i="49"/>
  <c r="V259" i="49" s="1"/>
  <c r="W209" i="49"/>
  <c r="W299" i="49" s="1"/>
  <c r="Y217" i="49"/>
  <c r="X224" i="49"/>
  <c r="Y181" i="49"/>
  <c r="X185" i="49"/>
  <c r="Y192" i="49"/>
  <c r="X195" i="49"/>
  <c r="X189" i="49" s="1"/>
  <c r="Y218" i="49"/>
  <c r="X225" i="49"/>
  <c r="W210" i="49"/>
  <c r="W246" i="49"/>
  <c r="X240" i="49"/>
  <c r="X245" i="49"/>
  <c r="Y239" i="49"/>
  <c r="W244" i="49"/>
  <c r="X238" i="49"/>
  <c r="V234" i="49"/>
  <c r="V253" i="49" s="1"/>
  <c r="Y241" i="49"/>
  <c r="X247" i="49"/>
  <c r="W243" i="49"/>
  <c r="X237" i="49"/>
  <c r="X184" i="49"/>
  <c r="Y180" i="49"/>
  <c r="W213" i="49"/>
  <c r="W297" i="49" s="1"/>
  <c r="W214" i="49"/>
  <c r="W295" i="49" s="1"/>
  <c r="W190" i="49"/>
  <c r="Z182" i="49"/>
  <c r="Y186" i="49"/>
  <c r="V231" i="49"/>
  <c r="W176" i="49"/>
  <c r="X227" i="49"/>
  <c r="Y220" i="49"/>
  <c r="X228" i="49"/>
  <c r="Y221" i="49"/>
  <c r="X226" i="49"/>
  <c r="Y219" i="49"/>
  <c r="X202" i="49"/>
  <c r="W205" i="49"/>
  <c r="W199" i="49" s="1"/>
  <c r="W292" i="49" s="1"/>
  <c r="Y216" i="49"/>
  <c r="X223" i="49"/>
  <c r="X206" i="49"/>
  <c r="Y203" i="49"/>
  <c r="Y196" i="49"/>
  <c r="Z193" i="49"/>
  <c r="W212" i="49"/>
  <c r="W303" i="49" s="1"/>
  <c r="Z162" i="49"/>
  <c r="Z165" i="49"/>
  <c r="Z164" i="49"/>
  <c r="Z163" i="49"/>
  <c r="Z161" i="49"/>
  <c r="Z174" i="49" s="1"/>
  <c r="Z160" i="49"/>
  <c r="Z172" i="49" s="1"/>
  <c r="Z306" i="49" s="1"/>
  <c r="Z159" i="49"/>
  <c r="Z170" i="49" s="1"/>
  <c r="Z273" i="49" s="1"/>
  <c r="Z166" i="49"/>
  <c r="AD122" i="49"/>
  <c r="Y167" i="49"/>
  <c r="AD117" i="49"/>
  <c r="AA147" i="49"/>
  <c r="AA151" i="49" s="1"/>
  <c r="AA156" i="49" s="1"/>
  <c r="AA159" i="49" s="1"/>
  <c r="AA170" i="49" s="1"/>
  <c r="AA273" i="49" s="1"/>
  <c r="AD120" i="49"/>
  <c r="AD118" i="49"/>
  <c r="AD116" i="49"/>
  <c r="AD119" i="49"/>
  <c r="AD121" i="49"/>
  <c r="Z96" i="50"/>
  <c r="Z49" i="50"/>
  <c r="AA49" i="50"/>
  <c r="AA96" i="50"/>
  <c r="AC36" i="50"/>
  <c r="AF20" i="50"/>
  <c r="W228" i="48"/>
  <c r="W225" i="48"/>
  <c r="W227" i="48"/>
  <c r="W224" i="48"/>
  <c r="AB40" i="50"/>
  <c r="AB45" i="50" s="1"/>
  <c r="AD29" i="50"/>
  <c r="AC27" i="50"/>
  <c r="AC38" i="50" s="1"/>
  <c r="AF30" i="50"/>
  <c r="AE28" i="50"/>
  <c r="AE39" i="50" s="1"/>
  <c r="W266" i="48"/>
  <c r="W185" i="48"/>
  <c r="U238" i="48"/>
  <c r="V213" i="48"/>
  <c r="X206" i="48"/>
  <c r="X204" i="48"/>
  <c r="X203" i="48"/>
  <c r="X207" i="48"/>
  <c r="X205" i="48"/>
  <c r="X208" i="48"/>
  <c r="V211" i="48"/>
  <c r="V215" i="48"/>
  <c r="V235" i="48" s="1"/>
  <c r="V212" i="48"/>
  <c r="U216" i="48"/>
  <c r="V214" i="48"/>
  <c r="V241" i="48" s="1"/>
  <c r="AA218" i="48"/>
  <c r="AB220" i="48"/>
  <c r="AA219" i="48"/>
  <c r="AB221" i="48"/>
  <c r="AB222" i="48"/>
  <c r="U189" i="48"/>
  <c r="U192" i="48"/>
  <c r="U285" i="48" s="1"/>
  <c r="AB196" i="48"/>
  <c r="U191" i="48"/>
  <c r="X177" i="48"/>
  <c r="AB197" i="48"/>
  <c r="AA198" i="48"/>
  <c r="AB199" i="48"/>
  <c r="U193" i="48"/>
  <c r="U279" i="48" s="1"/>
  <c r="U188" i="48"/>
  <c r="U281" i="48" s="1"/>
  <c r="X176" i="48"/>
  <c r="AA200" i="48"/>
  <c r="U190" i="48"/>
  <c r="AA201" i="48"/>
  <c r="X175" i="48"/>
  <c r="X255" i="48" s="1"/>
  <c r="X181" i="48"/>
  <c r="X182" i="48"/>
  <c r="X180" i="48"/>
  <c r="X184" i="48"/>
  <c r="X179" i="48"/>
  <c r="X178" i="48"/>
  <c r="X288" i="48" s="1"/>
  <c r="AC104" i="48"/>
  <c r="AE109" i="48"/>
  <c r="AC107" i="48"/>
  <c r="AC108" i="48"/>
  <c r="Y159" i="48"/>
  <c r="Y165" i="48" s="1"/>
  <c r="Y172" i="48" s="1"/>
  <c r="AC103" i="48"/>
  <c r="Z159" i="48"/>
  <c r="AC106" i="48"/>
  <c r="AA111" i="48"/>
  <c r="AA112" i="48" s="1"/>
  <c r="AE105" i="48"/>
  <c r="AC17" i="50"/>
  <c r="AC35" i="50" s="1"/>
  <c r="AC40" i="50" s="1"/>
  <c r="AC45" i="50" s="1"/>
  <c r="AC48" i="50" s="1"/>
  <c r="AC96" i="50" s="1"/>
  <c r="AD15" i="50"/>
  <c r="AE19" i="50"/>
  <c r="AD21" i="50"/>
  <c r="AE11" i="50"/>
  <c r="AD33" i="50"/>
  <c r="AF12" i="50"/>
  <c r="AE34" i="50"/>
  <c r="AD139" i="49"/>
  <c r="AC137" i="49"/>
  <c r="AC150" i="49" s="1"/>
  <c r="AC138" i="49"/>
  <c r="AB136" i="49"/>
  <c r="AB149" i="49" s="1"/>
  <c r="AC105" i="49"/>
  <c r="AB113" i="49"/>
  <c r="AB146" i="49" s="1"/>
  <c r="AB123" i="49"/>
  <c r="AC115" i="49"/>
  <c r="AF78" i="49"/>
  <c r="AE85" i="49"/>
  <c r="AE144" i="49" s="1"/>
  <c r="AF87" i="49"/>
  <c r="AE94" i="49"/>
  <c r="AE145" i="49" s="1"/>
  <c r="AD75" i="49"/>
  <c r="AC143" i="49"/>
  <c r="AD74" i="49"/>
  <c r="AC142" i="49"/>
  <c r="AC149" i="48"/>
  <c r="AB147" i="48"/>
  <c r="AB163" i="48" s="1"/>
  <c r="AD150" i="48"/>
  <c r="AC148" i="48"/>
  <c r="AC164" i="48" s="1"/>
  <c r="AD142" i="48"/>
  <c r="AC140" i="48"/>
  <c r="AC162" i="48" s="1"/>
  <c r="AC141" i="48"/>
  <c r="AB139" i="48"/>
  <c r="AB161" i="48" s="1"/>
  <c r="AD70" i="48"/>
  <c r="AD155" i="48" s="1"/>
  <c r="AA122" i="48"/>
  <c r="Z124" i="48"/>
  <c r="Z160" i="48" s="1"/>
  <c r="AG114" i="48"/>
  <c r="AE83" i="48"/>
  <c r="AD90" i="48"/>
  <c r="AD158" i="48" s="1"/>
  <c r="AF71" i="48"/>
  <c r="AE156" i="48"/>
  <c r="AB110" i="48"/>
  <c r="AE102" i="48"/>
  <c r="AG75" i="48"/>
  <c r="AE81" i="48"/>
  <c r="AE157" i="48" s="1"/>
  <c r="AF74" i="48"/>
  <c r="W300" i="49" l="1"/>
  <c r="V256" i="49"/>
  <c r="V157" i="49"/>
  <c r="X177" i="49"/>
  <c r="X287" i="49" s="1"/>
  <c r="W231" i="49"/>
  <c r="X178" i="49"/>
  <c r="X214" i="49"/>
  <c r="X295" i="49" s="1"/>
  <c r="X212" i="49"/>
  <c r="X303" i="49" s="1"/>
  <c r="Y237" i="49"/>
  <c r="X243" i="49"/>
  <c r="Y245" i="49"/>
  <c r="Z239" i="49"/>
  <c r="Z203" i="49"/>
  <c r="Y206" i="49"/>
  <c r="Z221" i="49"/>
  <c r="Y228" i="49"/>
  <c r="AA182" i="49"/>
  <c r="Z186" i="49"/>
  <c r="Y195" i="49"/>
  <c r="Y189" i="49" s="1"/>
  <c r="Z192" i="49"/>
  <c r="W235" i="49"/>
  <c r="W251" i="49" s="1"/>
  <c r="X209" i="49"/>
  <c r="X299" i="49" s="1"/>
  <c r="Z220" i="49"/>
  <c r="Y227" i="49"/>
  <c r="X246" i="49"/>
  <c r="Y240" i="49"/>
  <c r="Z181" i="49"/>
  <c r="Y185" i="49"/>
  <c r="Z216" i="49"/>
  <c r="Y223" i="49"/>
  <c r="X213" i="49"/>
  <c r="X297" i="49" s="1"/>
  <c r="Z241" i="49"/>
  <c r="Y247" i="49"/>
  <c r="W234" i="49"/>
  <c r="W253" i="49" s="1"/>
  <c r="X210" i="49"/>
  <c r="Z180" i="49"/>
  <c r="Y184" i="49"/>
  <c r="Z217" i="49"/>
  <c r="Y224" i="49"/>
  <c r="Y202" i="49"/>
  <c r="X205" i="49"/>
  <c r="X199" i="49" s="1"/>
  <c r="W200" i="49"/>
  <c r="W284" i="49" s="1"/>
  <c r="X176" i="49"/>
  <c r="Y238" i="49"/>
  <c r="X244" i="49"/>
  <c r="X211" i="49"/>
  <c r="X190" i="49"/>
  <c r="AA193" i="49"/>
  <c r="Z196" i="49"/>
  <c r="Z219" i="49"/>
  <c r="Y226" i="49"/>
  <c r="W233" i="49"/>
  <c r="W259" i="49" s="1"/>
  <c r="W232" i="49"/>
  <c r="Z218" i="49"/>
  <c r="Y225" i="49"/>
  <c r="AA165" i="49"/>
  <c r="AA163" i="49"/>
  <c r="AE120" i="49"/>
  <c r="AA161" i="49"/>
  <c r="AA174" i="49" s="1"/>
  <c r="AE121" i="49"/>
  <c r="AE119" i="49"/>
  <c r="AA162" i="49"/>
  <c r="AE117" i="49"/>
  <c r="AB147" i="49"/>
  <c r="AB151" i="49" s="1"/>
  <c r="AB156" i="49" s="1"/>
  <c r="AB159" i="49" s="1"/>
  <c r="AB170" i="49" s="1"/>
  <c r="AB273" i="49" s="1"/>
  <c r="AA160" i="49"/>
  <c r="AA172" i="49" s="1"/>
  <c r="AA306" i="49" s="1"/>
  <c r="AE116" i="49"/>
  <c r="AA166" i="49"/>
  <c r="AE118" i="49"/>
  <c r="Z167" i="49"/>
  <c r="AA164" i="49"/>
  <c r="AE122" i="49"/>
  <c r="AG20" i="50"/>
  <c r="AC47" i="50"/>
  <c r="AB47" i="50"/>
  <c r="AB48" i="50"/>
  <c r="AB96" i="50" s="1"/>
  <c r="AD36" i="50"/>
  <c r="W215" i="48"/>
  <c r="W235" i="48" s="1"/>
  <c r="W211" i="48"/>
  <c r="W212" i="48"/>
  <c r="W214" i="48"/>
  <c r="W241" i="48" s="1"/>
  <c r="W213" i="48"/>
  <c r="AG30" i="50"/>
  <c r="AF28" i="50"/>
  <c r="AF39" i="50" s="1"/>
  <c r="AE29" i="50"/>
  <c r="AD27" i="50"/>
  <c r="AD38" i="50" s="1"/>
  <c r="X266" i="48"/>
  <c r="U282" i="48"/>
  <c r="V238" i="48"/>
  <c r="V216" i="48"/>
  <c r="X227" i="48"/>
  <c r="X226" i="48"/>
  <c r="X228" i="48"/>
  <c r="X225" i="48"/>
  <c r="X224" i="48"/>
  <c r="AC221" i="48"/>
  <c r="AB219" i="48"/>
  <c r="AB218" i="48"/>
  <c r="AC220" i="48"/>
  <c r="AC222" i="48"/>
  <c r="W190" i="48"/>
  <c r="V189" i="48"/>
  <c r="AB201" i="48"/>
  <c r="V192" i="48"/>
  <c r="V285" i="48" s="1"/>
  <c r="W193" i="48"/>
  <c r="W279" i="48" s="1"/>
  <c r="X185" i="48"/>
  <c r="AB198" i="48"/>
  <c r="V193" i="48"/>
  <c r="V279" i="48" s="1"/>
  <c r="W192" i="48"/>
  <c r="W285" i="48" s="1"/>
  <c r="AC196" i="48"/>
  <c r="AB200" i="48"/>
  <c r="V190" i="48"/>
  <c r="W191" i="48"/>
  <c r="AC199" i="48"/>
  <c r="AC197" i="48"/>
  <c r="V191" i="48"/>
  <c r="W188" i="48"/>
  <c r="W281" i="48" s="1"/>
  <c r="U194" i="48"/>
  <c r="V188" i="48"/>
  <c r="V281" i="48" s="1"/>
  <c r="W189" i="48"/>
  <c r="Y184" i="48"/>
  <c r="Y182" i="48"/>
  <c r="Y175" i="48"/>
  <c r="Y255" i="48" s="1"/>
  <c r="Y177" i="48"/>
  <c r="Y180" i="48"/>
  <c r="Y178" i="48"/>
  <c r="Y288" i="48" s="1"/>
  <c r="Y179" i="48"/>
  <c r="Y181" i="48"/>
  <c r="Y176" i="48"/>
  <c r="Y183" i="48"/>
  <c r="AA159" i="48"/>
  <c r="AD106" i="48"/>
  <c r="AD104" i="48"/>
  <c r="AD108" i="48"/>
  <c r="AF109" i="48"/>
  <c r="AF105" i="48"/>
  <c r="AD103" i="48"/>
  <c r="AD107" i="48"/>
  <c r="Z165" i="48"/>
  <c r="Z172" i="48" s="1"/>
  <c r="AB111" i="48"/>
  <c r="AB112" i="48" s="1"/>
  <c r="AE21" i="50"/>
  <c r="AF19" i="50"/>
  <c r="AD17" i="50"/>
  <c r="AD35" i="50" s="1"/>
  <c r="AE15" i="50"/>
  <c r="AG12" i="50"/>
  <c r="AF34" i="50"/>
  <c r="AF11" i="50"/>
  <c r="AE33" i="50"/>
  <c r="AD138" i="49"/>
  <c r="AC136" i="49"/>
  <c r="AC149" i="49" s="1"/>
  <c r="AD137" i="49"/>
  <c r="AD150" i="49" s="1"/>
  <c r="AE139" i="49"/>
  <c r="AD115" i="49"/>
  <c r="AC123" i="49"/>
  <c r="AC113" i="49"/>
  <c r="AC146" i="49" s="1"/>
  <c r="AD105" i="49"/>
  <c r="AG87" i="49"/>
  <c r="AF94" i="49"/>
  <c r="AF145" i="49" s="1"/>
  <c r="AF85" i="49"/>
  <c r="AF144" i="49" s="1"/>
  <c r="AG78" i="49"/>
  <c r="AE74" i="49"/>
  <c r="AD142" i="49"/>
  <c r="AE75" i="49"/>
  <c r="AD143" i="49"/>
  <c r="AD148" i="48"/>
  <c r="AD164" i="48" s="1"/>
  <c r="AE150" i="48"/>
  <c r="AD149" i="48"/>
  <c r="AC147" i="48"/>
  <c r="AC163" i="48" s="1"/>
  <c r="AE142" i="48"/>
  <c r="AD140" i="48"/>
  <c r="AD162" i="48" s="1"/>
  <c r="AD141" i="48"/>
  <c r="AC139" i="48"/>
  <c r="AC161" i="48" s="1"/>
  <c r="AE70" i="48"/>
  <c r="AE155" i="48" s="1"/>
  <c r="AB122" i="48"/>
  <c r="AA124" i="48"/>
  <c r="AA160" i="48" s="1"/>
  <c r="AH114" i="48"/>
  <c r="AF83" i="48"/>
  <c r="AE90" i="48"/>
  <c r="AE158" i="48" s="1"/>
  <c r="AG71" i="48"/>
  <c r="AF156" i="48"/>
  <c r="AF102" i="48"/>
  <c r="AC110" i="48"/>
  <c r="AH75" i="48"/>
  <c r="AF81" i="48"/>
  <c r="AF157" i="48" s="1"/>
  <c r="AG74" i="48"/>
  <c r="X292" i="49" l="1"/>
  <c r="Y176" i="49"/>
  <c r="X300" i="49"/>
  <c r="W256" i="49"/>
  <c r="X234" i="49"/>
  <c r="X253" i="49" s="1"/>
  <c r="AA219" i="49"/>
  <c r="Z226" i="49"/>
  <c r="Y246" i="49"/>
  <c r="Z240" i="49"/>
  <c r="AA192" i="49"/>
  <c r="Z195" i="49"/>
  <c r="Z189" i="49" s="1"/>
  <c r="Z206" i="49"/>
  <c r="AA203" i="49"/>
  <c r="Z245" i="49"/>
  <c r="AA239" i="49"/>
  <c r="AB193" i="49"/>
  <c r="AA196" i="49"/>
  <c r="Z202" i="49"/>
  <c r="Y205" i="49"/>
  <c r="Y199" i="49" s="1"/>
  <c r="Y292" i="49" s="1"/>
  <c r="AA241" i="49"/>
  <c r="Z247" i="49"/>
  <c r="X235" i="49"/>
  <c r="X251" i="49" s="1"/>
  <c r="X233" i="49"/>
  <c r="X259" i="49" s="1"/>
  <c r="Y211" i="49"/>
  <c r="Y210" i="49"/>
  <c r="Y213" i="49"/>
  <c r="Y297" i="49" s="1"/>
  <c r="AA218" i="49"/>
  <c r="Z225" i="49"/>
  <c r="AA217" i="49"/>
  <c r="Z224" i="49"/>
  <c r="Y209" i="49"/>
  <c r="Y299" i="49" s="1"/>
  <c r="Z227" i="49"/>
  <c r="AA220" i="49"/>
  <c r="AB182" i="49"/>
  <c r="AA186" i="49"/>
  <c r="Z237" i="49"/>
  <c r="Y243" i="49"/>
  <c r="X231" i="49"/>
  <c r="X232" i="49"/>
  <c r="Z223" i="49"/>
  <c r="AA216" i="49"/>
  <c r="Y214" i="49"/>
  <c r="Y295" i="49" s="1"/>
  <c r="Y178" i="49"/>
  <c r="Z238" i="49"/>
  <c r="Y244" i="49"/>
  <c r="AA180" i="49"/>
  <c r="Z184" i="49"/>
  <c r="Y177" i="49"/>
  <c r="Y287" i="49" s="1"/>
  <c r="AA221" i="49"/>
  <c r="Z228" i="49"/>
  <c r="Y212" i="49"/>
  <c r="Y303" i="49" s="1"/>
  <c r="AA181" i="49"/>
  <c r="Z185" i="49"/>
  <c r="X200" i="49"/>
  <c r="X284" i="49" s="1"/>
  <c r="Y190" i="49"/>
  <c r="AB162" i="49"/>
  <c r="AB165" i="49"/>
  <c r="AB163" i="49"/>
  <c r="AB160" i="49"/>
  <c r="AB172" i="49" s="1"/>
  <c r="AB306" i="49" s="1"/>
  <c r="AF119" i="49"/>
  <c r="AF122" i="49"/>
  <c r="AA167" i="49"/>
  <c r="AF121" i="49"/>
  <c r="AC147" i="49"/>
  <c r="AC151" i="49" s="1"/>
  <c r="AC156" i="49" s="1"/>
  <c r="AC164" i="49" s="1"/>
  <c r="AF116" i="49"/>
  <c r="AB166" i="49"/>
  <c r="AB164" i="49"/>
  <c r="AF117" i="49"/>
  <c r="AF118" i="49"/>
  <c r="AB161" i="49"/>
  <c r="AB174" i="49" s="1"/>
  <c r="AF120" i="49"/>
  <c r="AB49" i="50"/>
  <c r="AB74" i="50"/>
  <c r="AE36" i="50"/>
  <c r="AC49" i="50"/>
  <c r="AC74" i="50"/>
  <c r="AD40" i="50"/>
  <c r="AD45" i="50" s="1"/>
  <c r="AH20" i="50"/>
  <c r="W238" i="48"/>
  <c r="W216" i="48"/>
  <c r="AH30" i="50"/>
  <c r="AG28" i="50"/>
  <c r="AG39" i="50" s="1"/>
  <c r="AF29" i="50"/>
  <c r="AE27" i="50"/>
  <c r="AE38" i="50" s="1"/>
  <c r="Y266" i="48"/>
  <c r="V282" i="48"/>
  <c r="W282" i="48"/>
  <c r="X214" i="48"/>
  <c r="X241" i="48" s="1"/>
  <c r="Y227" i="48"/>
  <c r="Y228" i="48"/>
  <c r="Y226" i="48"/>
  <c r="Y224" i="48"/>
  <c r="Y225" i="48"/>
  <c r="Y203" i="48"/>
  <c r="Y206" i="48"/>
  <c r="Y204" i="48"/>
  <c r="Y205" i="48"/>
  <c r="Y208" i="48"/>
  <c r="Y207" i="48"/>
  <c r="X211" i="48"/>
  <c r="X212" i="48"/>
  <c r="X215" i="48"/>
  <c r="X235" i="48" s="1"/>
  <c r="X213" i="48"/>
  <c r="AD221" i="48"/>
  <c r="AD220" i="48"/>
  <c r="AC219" i="48"/>
  <c r="AD222" i="48"/>
  <c r="AC218" i="48"/>
  <c r="AA165" i="48"/>
  <c r="AA172" i="48" s="1"/>
  <c r="AA180" i="48" s="1"/>
  <c r="AD199" i="48"/>
  <c r="V194" i="48"/>
  <c r="AC200" i="48"/>
  <c r="AC198" i="48"/>
  <c r="W194" i="48"/>
  <c r="AD197" i="48"/>
  <c r="AD196" i="48"/>
  <c r="AC201" i="48"/>
  <c r="AE107" i="48"/>
  <c r="AE108" i="48"/>
  <c r="AE103" i="48"/>
  <c r="AE104" i="48"/>
  <c r="AC111" i="48"/>
  <c r="AC112" i="48" s="1"/>
  <c r="AG105" i="48"/>
  <c r="AE106" i="48"/>
  <c r="Z177" i="48"/>
  <c r="Z181" i="48"/>
  <c r="Z184" i="48"/>
  <c r="Z179" i="48"/>
  <c r="Z183" i="48"/>
  <c r="Z180" i="48"/>
  <c r="Z178" i="48"/>
  <c r="Z288" i="48" s="1"/>
  <c r="Z176" i="48"/>
  <c r="Z175" i="48"/>
  <c r="Z255" i="48" s="1"/>
  <c r="Z182" i="48"/>
  <c r="AB159" i="48"/>
  <c r="AG109" i="48"/>
  <c r="Y185" i="48"/>
  <c r="AG19" i="50"/>
  <c r="AF21" i="50"/>
  <c r="AE17" i="50"/>
  <c r="AE35" i="50" s="1"/>
  <c r="AE40" i="50" s="1"/>
  <c r="AE45" i="50" s="1"/>
  <c r="AE48" i="50" s="1"/>
  <c r="AE96" i="50" s="1"/>
  <c r="AF15" i="50"/>
  <c r="AG11" i="50"/>
  <c r="AF33" i="50"/>
  <c r="AH12" i="50"/>
  <c r="AG34" i="50"/>
  <c r="AF139" i="49"/>
  <c r="AE137" i="49"/>
  <c r="AE150" i="49" s="1"/>
  <c r="AE138" i="49"/>
  <c r="AD136" i="49"/>
  <c r="AD149" i="49" s="1"/>
  <c r="AE105" i="49"/>
  <c r="AD113" i="49"/>
  <c r="AD146" i="49" s="1"/>
  <c r="AE115" i="49"/>
  <c r="AD123" i="49"/>
  <c r="AH78" i="49"/>
  <c r="AG85" i="49"/>
  <c r="AG144" i="49" s="1"/>
  <c r="AH87" i="49"/>
  <c r="AG94" i="49"/>
  <c r="AG145" i="49" s="1"/>
  <c r="AF75" i="49"/>
  <c r="AE143" i="49"/>
  <c r="AF74" i="49"/>
  <c r="AE142" i="49"/>
  <c r="AE149" i="48"/>
  <c r="AD147" i="48"/>
  <c r="AD163" i="48" s="1"/>
  <c r="AE148" i="48"/>
  <c r="AE164" i="48" s="1"/>
  <c r="AF150" i="48"/>
  <c r="AE141" i="48"/>
  <c r="AD139" i="48"/>
  <c r="AD161" i="48" s="1"/>
  <c r="AF142" i="48"/>
  <c r="AE140" i="48"/>
  <c r="AE162" i="48" s="1"/>
  <c r="AF70" i="48"/>
  <c r="AF155" i="48" s="1"/>
  <c r="AC122" i="48"/>
  <c r="AB124" i="48"/>
  <c r="AB160" i="48" s="1"/>
  <c r="AI114" i="48"/>
  <c r="AG83" i="48"/>
  <c r="AF90" i="48"/>
  <c r="AF158" i="48" s="1"/>
  <c r="AH71" i="48"/>
  <c r="AG156" i="48"/>
  <c r="AD110" i="48"/>
  <c r="AG102" i="48"/>
  <c r="AI75" i="48"/>
  <c r="AH74" i="48"/>
  <c r="AG81" i="48"/>
  <c r="AG157" i="48" s="1"/>
  <c r="W157" i="49" l="1"/>
  <c r="Y300" i="49"/>
  <c r="Z176" i="49"/>
  <c r="X256" i="49"/>
  <c r="X157" i="49"/>
  <c r="Y200" i="49"/>
  <c r="Y284" i="49" s="1"/>
  <c r="Z209" i="49"/>
  <c r="Z299" i="49" s="1"/>
  <c r="Y232" i="49"/>
  <c r="AA228" i="49"/>
  <c r="AB221" i="49"/>
  <c r="AB216" i="49"/>
  <c r="AA223" i="49"/>
  <c r="AB220" i="49"/>
  <c r="AA227" i="49"/>
  <c r="AB203" i="49"/>
  <c r="AA206" i="49"/>
  <c r="Z213" i="49"/>
  <c r="Z297" i="49" s="1"/>
  <c r="Z205" i="49"/>
  <c r="Z199" i="49" s="1"/>
  <c r="Z292" i="49" s="1"/>
  <c r="AA202" i="49"/>
  <c r="AB180" i="49"/>
  <c r="AA184" i="49"/>
  <c r="Z210" i="49"/>
  <c r="Y233" i="49"/>
  <c r="Y259" i="49" s="1"/>
  <c r="AC193" i="49"/>
  <c r="AB196" i="49"/>
  <c r="AA195" i="49"/>
  <c r="AA189" i="49" s="1"/>
  <c r="AB192" i="49"/>
  <c r="Z177" i="49"/>
  <c r="Z287" i="49" s="1"/>
  <c r="Y231" i="49"/>
  <c r="AB217" i="49"/>
  <c r="AA224" i="49"/>
  <c r="AB239" i="49"/>
  <c r="AA245" i="49"/>
  <c r="Z246" i="49"/>
  <c r="AA240" i="49"/>
  <c r="AA185" i="49"/>
  <c r="AB181" i="49"/>
  <c r="AA238" i="49"/>
  <c r="Z244" i="49"/>
  <c r="Z243" i="49"/>
  <c r="AA237" i="49"/>
  <c r="Z211" i="49"/>
  <c r="Y234" i="49"/>
  <c r="Y253" i="49" s="1"/>
  <c r="AA225" i="49"/>
  <c r="AB218" i="49"/>
  <c r="Y235" i="49"/>
  <c r="Y251" i="49" s="1"/>
  <c r="Z212" i="49"/>
  <c r="Z303" i="49" s="1"/>
  <c r="Z214" i="49"/>
  <c r="Z295" i="49" s="1"/>
  <c r="AC182" i="49"/>
  <c r="AB186" i="49"/>
  <c r="Z178" i="49"/>
  <c r="AB241" i="49"/>
  <c r="AA247" i="49"/>
  <c r="Z190" i="49"/>
  <c r="AA226" i="49"/>
  <c r="AB219" i="49"/>
  <c r="AG121" i="49"/>
  <c r="AG117" i="49"/>
  <c r="AC160" i="49"/>
  <c r="AC172" i="49" s="1"/>
  <c r="AC306" i="49" s="1"/>
  <c r="AC161" i="49"/>
  <c r="AC174" i="49" s="1"/>
  <c r="AC165" i="49"/>
  <c r="AG122" i="49"/>
  <c r="AC163" i="49"/>
  <c r="AG120" i="49"/>
  <c r="AC166" i="49"/>
  <c r="AG118" i="49"/>
  <c r="AC162" i="49"/>
  <c r="AG119" i="49"/>
  <c r="AC159" i="49"/>
  <c r="AC170" i="49" s="1"/>
  <c r="AC273" i="49" s="1"/>
  <c r="AG116" i="49"/>
  <c r="AB167" i="49"/>
  <c r="AD147" i="49"/>
  <c r="AD151" i="49" s="1"/>
  <c r="AD156" i="49" s="1"/>
  <c r="AE47" i="50"/>
  <c r="AF36" i="50"/>
  <c r="AD47" i="50"/>
  <c r="AD48" i="50"/>
  <c r="AD96" i="50" s="1"/>
  <c r="AI20" i="50"/>
  <c r="AA175" i="48"/>
  <c r="AA255" i="48" s="1"/>
  <c r="AG29" i="50"/>
  <c r="AF27" i="50"/>
  <c r="AF38" i="50" s="1"/>
  <c r="AI30" i="50"/>
  <c r="AH28" i="50"/>
  <c r="AH39" i="50" s="1"/>
  <c r="Z266" i="48"/>
  <c r="X238" i="48"/>
  <c r="Y212" i="48"/>
  <c r="X216" i="48"/>
  <c r="Z228" i="48"/>
  <c r="Z226" i="48"/>
  <c r="Z227" i="48"/>
  <c r="Z224" i="48"/>
  <c r="Z225" i="48"/>
  <c r="AA176" i="48"/>
  <c r="AA179" i="48"/>
  <c r="AA181" i="48"/>
  <c r="AA178" i="48"/>
  <c r="AA288" i="48" s="1"/>
  <c r="Y211" i="48"/>
  <c r="AA184" i="48"/>
  <c r="Y213" i="48"/>
  <c r="AA183" i="48"/>
  <c r="Y215" i="48"/>
  <c r="Y235" i="48" s="1"/>
  <c r="Z204" i="48"/>
  <c r="Z206" i="48"/>
  <c r="Z203" i="48"/>
  <c r="Z208" i="48"/>
  <c r="Z205" i="48"/>
  <c r="Z207" i="48"/>
  <c r="AA182" i="48"/>
  <c r="Y214" i="48"/>
  <c r="Y241" i="48" s="1"/>
  <c r="AA177" i="48"/>
  <c r="AD219" i="48"/>
  <c r="AD218" i="48"/>
  <c r="AE222" i="48"/>
  <c r="AE220" i="48"/>
  <c r="AE221" i="48"/>
  <c r="X188" i="48"/>
  <c r="X281" i="48" s="1"/>
  <c r="X193" i="48"/>
  <c r="X279" i="48" s="1"/>
  <c r="X190" i="48"/>
  <c r="AD200" i="48"/>
  <c r="AE197" i="48"/>
  <c r="AD198" i="48"/>
  <c r="AD201" i="48"/>
  <c r="X192" i="48"/>
  <c r="X285" i="48" s="1"/>
  <c r="X189" i="48"/>
  <c r="AE196" i="48"/>
  <c r="X191" i="48"/>
  <c r="AE199" i="48"/>
  <c r="AB165" i="48"/>
  <c r="AB172" i="48" s="1"/>
  <c r="AB178" i="48" s="1"/>
  <c r="AB288" i="48" s="1"/>
  <c r="AF106" i="48"/>
  <c r="AF103" i="48"/>
  <c r="AF104" i="48"/>
  <c r="AC159" i="48"/>
  <c r="AH105" i="48"/>
  <c r="Z185" i="48"/>
  <c r="AF108" i="48"/>
  <c r="AD111" i="48"/>
  <c r="AH109" i="48"/>
  <c r="AF107" i="48"/>
  <c r="AG15" i="50"/>
  <c r="AF17" i="50"/>
  <c r="AF35" i="50" s="1"/>
  <c r="AH19" i="50"/>
  <c r="AG21" i="50"/>
  <c r="AI12" i="50"/>
  <c r="AH34" i="50"/>
  <c r="AH11" i="50"/>
  <c r="AG33" i="50"/>
  <c r="AE136" i="49"/>
  <c r="AE149" i="49" s="1"/>
  <c r="AF138" i="49"/>
  <c r="AG139" i="49"/>
  <c r="AF137" i="49"/>
  <c r="AF150" i="49" s="1"/>
  <c r="AF115" i="49"/>
  <c r="AE123" i="49"/>
  <c r="AE113" i="49"/>
  <c r="AE146" i="49" s="1"/>
  <c r="AF105" i="49"/>
  <c r="AI87" i="49"/>
  <c r="AH94" i="49"/>
  <c r="AH145" i="49" s="1"/>
  <c r="AH85" i="49"/>
  <c r="AH144" i="49" s="1"/>
  <c r="AI78" i="49"/>
  <c r="AG75" i="49"/>
  <c r="AF143" i="49"/>
  <c r="AG74" i="49"/>
  <c r="AF142" i="49"/>
  <c r="AG150" i="48"/>
  <c r="AF148" i="48"/>
  <c r="AF164" i="48" s="1"/>
  <c r="AE147" i="48"/>
  <c r="AE163" i="48" s="1"/>
  <c r="AF149" i="48"/>
  <c r="AF141" i="48"/>
  <c r="AE139" i="48"/>
  <c r="AE161" i="48" s="1"/>
  <c r="AG142" i="48"/>
  <c r="AF140" i="48"/>
  <c r="AF162" i="48" s="1"/>
  <c r="AG70" i="48"/>
  <c r="AG155" i="48" s="1"/>
  <c r="AC124" i="48"/>
  <c r="AC160" i="48" s="1"/>
  <c r="AD122" i="48"/>
  <c r="AJ114" i="48"/>
  <c r="AH83" i="48"/>
  <c r="AG90" i="48"/>
  <c r="AG158" i="48" s="1"/>
  <c r="AI71" i="48"/>
  <c r="AH156" i="48"/>
  <c r="AH102" i="48"/>
  <c r="AE110" i="48"/>
  <c r="AJ75" i="48"/>
  <c r="AI74" i="48"/>
  <c r="AH81" i="48"/>
  <c r="AH157" i="48" s="1"/>
  <c r="Z300" i="49" l="1"/>
  <c r="Z234" i="49"/>
  <c r="Z253" i="49" s="1"/>
  <c r="Y256" i="49"/>
  <c r="AA177" i="49"/>
  <c r="AA287" i="49" s="1"/>
  <c r="Z200" i="49"/>
  <c r="Z284" i="49" s="1"/>
  <c r="Z233" i="49"/>
  <c r="Z259" i="49" s="1"/>
  <c r="AA178" i="49"/>
  <c r="AA176" i="49"/>
  <c r="AA212" i="49"/>
  <c r="AA303" i="49" s="1"/>
  <c r="AA211" i="49"/>
  <c r="AA244" i="49"/>
  <c r="AB238" i="49"/>
  <c r="AB224" i="49"/>
  <c r="AC217" i="49"/>
  <c r="AC181" i="49"/>
  <c r="AB185" i="49"/>
  <c r="AC203" i="49"/>
  <c r="AB206" i="49"/>
  <c r="AD182" i="49"/>
  <c r="AC186" i="49"/>
  <c r="AC180" i="49"/>
  <c r="AB184" i="49"/>
  <c r="AA213" i="49"/>
  <c r="AA297" i="49" s="1"/>
  <c r="AB226" i="49"/>
  <c r="AC219" i="49"/>
  <c r="AA246" i="49"/>
  <c r="AB240" i="49"/>
  <c r="AB195" i="49"/>
  <c r="AB189" i="49" s="1"/>
  <c r="AC192" i="49"/>
  <c r="AA190" i="49"/>
  <c r="AC220" i="49"/>
  <c r="AB227" i="49"/>
  <c r="AA209" i="49"/>
  <c r="AA299" i="49" s="1"/>
  <c r="AA243" i="49"/>
  <c r="AB237" i="49"/>
  <c r="AB190" i="49"/>
  <c r="AA205" i="49"/>
  <c r="AA199" i="49" s="1"/>
  <c r="AA292" i="49" s="1"/>
  <c r="AB202" i="49"/>
  <c r="AC216" i="49"/>
  <c r="AB223" i="49"/>
  <c r="Z235" i="49"/>
  <c r="Z251" i="49" s="1"/>
  <c r="Z231" i="49"/>
  <c r="AC239" i="49"/>
  <c r="AB245" i="49"/>
  <c r="AD193" i="49"/>
  <c r="AC196" i="49"/>
  <c r="AC221" i="49"/>
  <c r="AB228" i="49"/>
  <c r="AB247" i="49"/>
  <c r="AC241" i="49"/>
  <c r="AC218" i="49"/>
  <c r="AB225" i="49"/>
  <c r="Z232" i="49"/>
  <c r="AA210" i="49"/>
  <c r="AA300" i="49" s="1"/>
  <c r="AA214" i="49"/>
  <c r="AA295" i="49" s="1"/>
  <c r="AD162" i="49"/>
  <c r="AD165" i="49"/>
  <c r="AD166" i="49"/>
  <c r="AD164" i="49"/>
  <c r="AD159" i="49"/>
  <c r="AD170" i="49" s="1"/>
  <c r="AD273" i="49" s="1"/>
  <c r="AD160" i="49"/>
  <c r="AD172" i="49" s="1"/>
  <c r="AD306" i="49" s="1"/>
  <c r="AD161" i="49"/>
  <c r="AD174" i="49" s="1"/>
  <c r="AD163" i="49"/>
  <c r="AH116" i="49"/>
  <c r="AH118" i="49"/>
  <c r="AH120" i="49"/>
  <c r="AH117" i="49"/>
  <c r="AC167" i="49"/>
  <c r="AH122" i="49"/>
  <c r="AE147" i="49"/>
  <c r="AE151" i="49" s="1"/>
  <c r="AE156" i="49" s="1"/>
  <c r="AH119" i="49"/>
  <c r="AH121" i="49"/>
  <c r="AF40" i="50"/>
  <c r="AF45" i="50" s="1"/>
  <c r="AF47" i="50" s="1"/>
  <c r="AF74" i="50" s="1"/>
  <c r="AJ20" i="50"/>
  <c r="AD74" i="50"/>
  <c r="AD49" i="50"/>
  <c r="AF48" i="50"/>
  <c r="AF96" i="50" s="1"/>
  <c r="AG36" i="50"/>
  <c r="AE49" i="50"/>
  <c r="AE74" i="50"/>
  <c r="X282" i="48"/>
  <c r="AB175" i="48"/>
  <c r="AB255" i="48" s="1"/>
  <c r="AH29" i="50"/>
  <c r="AG27" i="50"/>
  <c r="AG38" i="50" s="1"/>
  <c r="AJ30" i="50"/>
  <c r="AI28" i="50"/>
  <c r="AI39" i="50" s="1"/>
  <c r="AB177" i="48"/>
  <c r="AA185" i="48"/>
  <c r="AA266" i="48"/>
  <c r="Y238" i="48"/>
  <c r="Z212" i="48"/>
  <c r="Z214" i="48"/>
  <c r="Z241" i="48" s="1"/>
  <c r="AA227" i="48"/>
  <c r="AA228" i="48"/>
  <c r="AA226" i="48"/>
  <c r="AA225" i="48"/>
  <c r="AA224" i="48"/>
  <c r="Y216" i="48"/>
  <c r="AB182" i="48"/>
  <c r="Z211" i="48"/>
  <c r="Z213" i="48"/>
  <c r="AA203" i="48"/>
  <c r="AA206" i="48"/>
  <c r="AA204" i="48"/>
  <c r="AA205" i="48"/>
  <c r="AA208" i="48"/>
  <c r="AA207" i="48"/>
  <c r="Z215" i="48"/>
  <c r="Z235" i="48" s="1"/>
  <c r="AF221" i="48"/>
  <c r="AF222" i="48"/>
  <c r="AE218" i="48"/>
  <c r="AE219" i="48"/>
  <c r="AF220" i="48"/>
  <c r="AB184" i="48"/>
  <c r="Y189" i="48"/>
  <c r="AB180" i="48"/>
  <c r="AB181" i="48"/>
  <c r="AB176" i="48"/>
  <c r="X194" i="48"/>
  <c r="AE198" i="48"/>
  <c r="AF199" i="48"/>
  <c r="Y191" i="48"/>
  <c r="Y188" i="48"/>
  <c r="Y281" i="48" s="1"/>
  <c r="AF196" i="48"/>
  <c r="AE200" i="48"/>
  <c r="Y190" i="48"/>
  <c r="AF197" i="48"/>
  <c r="Y192" i="48"/>
  <c r="Y285" i="48" s="1"/>
  <c r="AE201" i="48"/>
  <c r="Y193" i="48"/>
  <c r="Y279" i="48" s="1"/>
  <c r="AB179" i="48"/>
  <c r="AB183" i="48"/>
  <c r="AC165" i="48"/>
  <c r="AC172" i="48" s="1"/>
  <c r="AC175" i="48" s="1"/>
  <c r="AC255" i="48" s="1"/>
  <c r="AG103" i="48"/>
  <c r="AI105" i="48"/>
  <c r="AG104" i="48"/>
  <c r="AG106" i="48"/>
  <c r="AE111" i="48"/>
  <c r="AD112" i="48"/>
  <c r="AG107" i="48"/>
  <c r="AI109" i="48"/>
  <c r="AG108" i="48"/>
  <c r="AI19" i="50"/>
  <c r="AH21" i="50"/>
  <c r="AH15" i="50"/>
  <c r="AG17" i="50"/>
  <c r="AG35" i="50" s="1"/>
  <c r="AJ12" i="50"/>
  <c r="AI34" i="50"/>
  <c r="AI11" i="50"/>
  <c r="AH33" i="50"/>
  <c r="AH139" i="49"/>
  <c r="AG137" i="49"/>
  <c r="AG150" i="49" s="1"/>
  <c r="AG138" i="49"/>
  <c r="AF136" i="49"/>
  <c r="AF149" i="49" s="1"/>
  <c r="AF113" i="49"/>
  <c r="AF146" i="49" s="1"/>
  <c r="AG105" i="49"/>
  <c r="AG115" i="49"/>
  <c r="AF123" i="49"/>
  <c r="AI85" i="49"/>
  <c r="AI144" i="49" s="1"/>
  <c r="AJ78" i="49"/>
  <c r="AI94" i="49"/>
  <c r="AI145" i="49" s="1"/>
  <c r="AJ87" i="49"/>
  <c r="AH75" i="49"/>
  <c r="AG143" i="49"/>
  <c r="AH74" i="49"/>
  <c r="AG142" i="49"/>
  <c r="AF147" i="48"/>
  <c r="AF163" i="48" s="1"/>
  <c r="AG149" i="48"/>
  <c r="AH150" i="48"/>
  <c r="AG148" i="48"/>
  <c r="AG164" i="48" s="1"/>
  <c r="AG141" i="48"/>
  <c r="AF139" i="48"/>
  <c r="AF161" i="48" s="1"/>
  <c r="AH142" i="48"/>
  <c r="AG140" i="48"/>
  <c r="AG162" i="48" s="1"/>
  <c r="AH70" i="48"/>
  <c r="AH155" i="48" s="1"/>
  <c r="AD124" i="48"/>
  <c r="AD160" i="48" s="1"/>
  <c r="AE122" i="48"/>
  <c r="AK114" i="48"/>
  <c r="AI83" i="48"/>
  <c r="AH90" i="48"/>
  <c r="AH158" i="48" s="1"/>
  <c r="AJ71" i="48"/>
  <c r="AI156" i="48"/>
  <c r="AF110" i="48"/>
  <c r="AI102" i="48"/>
  <c r="AK75" i="48"/>
  <c r="AJ74" i="48"/>
  <c r="AI81" i="48"/>
  <c r="AI157" i="48" s="1"/>
  <c r="Y157" i="49" l="1"/>
  <c r="AA235" i="49"/>
  <c r="AA251" i="49" s="1"/>
  <c r="Z256" i="49"/>
  <c r="AA233" i="49"/>
  <c r="AA259" i="49" s="1"/>
  <c r="AA231" i="49"/>
  <c r="AD216" i="49"/>
  <c r="AC223" i="49"/>
  <c r="AB213" i="49"/>
  <c r="AB297" i="49" s="1"/>
  <c r="AB212" i="49"/>
  <c r="AB303" i="49" s="1"/>
  <c r="AB177" i="49"/>
  <c r="AB287" i="49" s="1"/>
  <c r="AD196" i="49"/>
  <c r="AE193" i="49"/>
  <c r="AC202" i="49"/>
  <c r="AB205" i="49"/>
  <c r="AB199" i="49" s="1"/>
  <c r="AD220" i="49"/>
  <c r="AC227" i="49"/>
  <c r="AD181" i="49"/>
  <c r="AC185" i="49"/>
  <c r="AB178" i="49"/>
  <c r="AB176" i="49"/>
  <c r="AA200" i="49"/>
  <c r="AA284" i="49" s="1"/>
  <c r="AC225" i="49"/>
  <c r="AD218" i="49"/>
  <c r="AD239" i="49"/>
  <c r="AC245" i="49"/>
  <c r="AD192" i="49"/>
  <c r="AC195" i="49"/>
  <c r="AC189" i="49" s="1"/>
  <c r="AD180" i="49"/>
  <c r="AC184" i="49"/>
  <c r="AD217" i="49"/>
  <c r="AC224" i="49"/>
  <c r="AC247" i="49"/>
  <c r="AD241" i="49"/>
  <c r="AB211" i="49"/>
  <c r="AB210" i="49"/>
  <c r="AB300" i="49" s="1"/>
  <c r="AC237" i="49"/>
  <c r="AB243" i="49"/>
  <c r="AC240" i="49"/>
  <c r="AB246" i="49"/>
  <c r="AE182" i="49"/>
  <c r="AD186" i="49"/>
  <c r="AC238" i="49"/>
  <c r="AB244" i="49"/>
  <c r="AB214" i="49"/>
  <c r="AB295" i="49" s="1"/>
  <c r="AA234" i="49"/>
  <c r="AA253" i="49" s="1"/>
  <c r="AA232" i="49"/>
  <c r="AD221" i="49"/>
  <c r="AC228" i="49"/>
  <c r="AB209" i="49"/>
  <c r="AB299" i="49" s="1"/>
  <c r="AD219" i="49"/>
  <c r="AC226" i="49"/>
  <c r="AD203" i="49"/>
  <c r="AC206" i="49"/>
  <c r="AE159" i="49"/>
  <c r="AE170" i="49" s="1"/>
  <c r="AE273" i="49" s="1"/>
  <c r="AE164" i="49"/>
  <c r="AE161" i="49"/>
  <c r="AE174" i="49" s="1"/>
  <c r="AE165" i="49"/>
  <c r="AE162" i="49"/>
  <c r="AE160" i="49"/>
  <c r="AE172" i="49" s="1"/>
  <c r="AE306" i="49" s="1"/>
  <c r="AE163" i="49"/>
  <c r="AE166" i="49"/>
  <c r="AI121" i="49"/>
  <c r="AI118" i="49"/>
  <c r="AD167" i="49"/>
  <c r="AI122" i="49"/>
  <c r="AI116" i="49"/>
  <c r="AI120" i="49"/>
  <c r="AI119" i="49"/>
  <c r="AF147" i="49"/>
  <c r="AF151" i="49" s="1"/>
  <c r="AF156" i="49" s="1"/>
  <c r="AI117" i="49"/>
  <c r="AG40" i="50"/>
  <c r="AG45" i="50" s="1"/>
  <c r="AG47" i="50" s="1"/>
  <c r="AG74" i="50" s="1"/>
  <c r="AH36" i="50"/>
  <c r="AK20" i="50"/>
  <c r="AG48" i="50"/>
  <c r="AG96" i="50" s="1"/>
  <c r="AF49" i="50"/>
  <c r="Y282" i="48"/>
  <c r="AK30" i="50"/>
  <c r="AJ28" i="50"/>
  <c r="AJ39" i="50" s="1"/>
  <c r="AI29" i="50"/>
  <c r="AH27" i="50"/>
  <c r="AH38" i="50" s="1"/>
  <c r="Z238" i="48"/>
  <c r="AB266" i="48"/>
  <c r="AA211" i="48"/>
  <c r="AB203" i="48"/>
  <c r="AB206" i="48"/>
  <c r="AB204" i="48"/>
  <c r="AB205" i="48"/>
  <c r="AB207" i="48"/>
  <c r="AB208" i="48"/>
  <c r="AB228" i="48"/>
  <c r="AB227" i="48"/>
  <c r="AB226" i="48"/>
  <c r="AB224" i="48"/>
  <c r="AB225" i="48"/>
  <c r="AA212" i="48"/>
  <c r="AA213" i="48"/>
  <c r="AA215" i="48"/>
  <c r="AA235" i="48" s="1"/>
  <c r="Z216" i="48"/>
  <c r="AA214" i="48"/>
  <c r="AA241" i="48" s="1"/>
  <c r="AG222" i="48"/>
  <c r="AG220" i="48"/>
  <c r="AF219" i="48"/>
  <c r="AF218" i="48"/>
  <c r="AG221" i="48"/>
  <c r="AA191" i="48"/>
  <c r="Z189" i="48"/>
  <c r="AC181" i="48"/>
  <c r="Y194" i="48"/>
  <c r="AA193" i="48"/>
  <c r="AA279" i="48" s="1"/>
  <c r="Z188" i="48"/>
  <c r="Z281" i="48" s="1"/>
  <c r="AA192" i="48"/>
  <c r="AA285" i="48" s="1"/>
  <c r="Z191" i="48"/>
  <c r="AG196" i="48"/>
  <c r="AC182" i="48"/>
  <c r="AA189" i="48"/>
  <c r="AG197" i="48"/>
  <c r="AF201" i="48"/>
  <c r="Z193" i="48"/>
  <c r="Z279" i="48" s="1"/>
  <c r="AG199" i="48"/>
  <c r="AA188" i="48"/>
  <c r="AA281" i="48" s="1"/>
  <c r="Z190" i="48"/>
  <c r="AC177" i="48"/>
  <c r="AA190" i="48"/>
  <c r="Z192" i="48"/>
  <c r="Z285" i="48" s="1"/>
  <c r="AF200" i="48"/>
  <c r="AF198" i="48"/>
  <c r="AC178" i="48"/>
  <c r="AC288" i="48" s="1"/>
  <c r="AB185" i="48"/>
  <c r="AC183" i="48"/>
  <c r="AC180" i="48"/>
  <c r="AC176" i="48"/>
  <c r="AC179" i="48"/>
  <c r="AC184" i="48"/>
  <c r="AH104" i="48"/>
  <c r="AJ109" i="48"/>
  <c r="AF111" i="48"/>
  <c r="AF112" i="48" s="1"/>
  <c r="AJ105" i="48"/>
  <c r="AD159" i="48"/>
  <c r="AD165" i="48" s="1"/>
  <c r="AD172" i="48" s="1"/>
  <c r="AD184" i="48" s="1"/>
  <c r="AH106" i="48"/>
  <c r="AH107" i="48"/>
  <c r="AE112" i="48"/>
  <c r="AH103" i="48"/>
  <c r="AH108" i="48"/>
  <c r="AI15" i="50"/>
  <c r="AH17" i="50"/>
  <c r="AH35" i="50" s="1"/>
  <c r="AH40" i="50" s="1"/>
  <c r="AH45" i="50" s="1"/>
  <c r="AH47" i="50" s="1"/>
  <c r="AJ19" i="50"/>
  <c r="AI21" i="50"/>
  <c r="AJ11" i="50"/>
  <c r="AI33" i="50"/>
  <c r="AK12" i="50"/>
  <c r="AJ34" i="50"/>
  <c r="AH138" i="49"/>
  <c r="AG136" i="49"/>
  <c r="AG149" i="49" s="1"/>
  <c r="AH137" i="49"/>
  <c r="AH150" i="49" s="1"/>
  <c r="AI139" i="49"/>
  <c r="AH115" i="49"/>
  <c r="AG123" i="49"/>
  <c r="AH105" i="49"/>
  <c r="AG113" i="49"/>
  <c r="AG146" i="49" s="1"/>
  <c r="AK87" i="49"/>
  <c r="AJ94" i="49"/>
  <c r="AJ145" i="49" s="1"/>
  <c r="AJ85" i="49"/>
  <c r="AJ144" i="49" s="1"/>
  <c r="AK78" i="49"/>
  <c r="AI75" i="49"/>
  <c r="AH143" i="49"/>
  <c r="AI74" i="49"/>
  <c r="AH142" i="49"/>
  <c r="AH148" i="48"/>
  <c r="AH164" i="48" s="1"/>
  <c r="AI150" i="48"/>
  <c r="AH149" i="48"/>
  <c r="AG147" i="48"/>
  <c r="AG163" i="48" s="1"/>
  <c r="AI142" i="48"/>
  <c r="AH140" i="48"/>
  <c r="AH162" i="48" s="1"/>
  <c r="AH141" i="48"/>
  <c r="AG139" i="48"/>
  <c r="AG161" i="48" s="1"/>
  <c r="AI70" i="48"/>
  <c r="AI155" i="48" s="1"/>
  <c r="AF122" i="48"/>
  <c r="AE124" i="48"/>
  <c r="AE160" i="48" s="1"/>
  <c r="AL114" i="48"/>
  <c r="AJ83" i="48"/>
  <c r="AI90" i="48"/>
  <c r="AI158" i="48" s="1"/>
  <c r="AK71" i="48"/>
  <c r="AJ156" i="48"/>
  <c r="AJ102" i="48"/>
  <c r="AG110" i="48"/>
  <c r="AL75" i="48"/>
  <c r="AK74" i="48"/>
  <c r="AJ81" i="48"/>
  <c r="AJ157" i="48" s="1"/>
  <c r="AB292" i="49" l="1"/>
  <c r="Z157" i="49"/>
  <c r="AC178" i="49"/>
  <c r="AC177" i="49"/>
  <c r="AC287" i="49" s="1"/>
  <c r="AA256" i="49"/>
  <c r="AB234" i="49"/>
  <c r="AB253" i="49" s="1"/>
  <c r="AB200" i="49"/>
  <c r="AB284" i="49" s="1"/>
  <c r="AC214" i="49"/>
  <c r="AC295" i="49" s="1"/>
  <c r="AB233" i="49"/>
  <c r="AB259" i="49" s="1"/>
  <c r="AF193" i="49"/>
  <c r="AE196" i="49"/>
  <c r="AD228" i="49"/>
  <c r="AE221" i="49"/>
  <c r="AF182" i="49"/>
  <c r="AE186" i="49"/>
  <c r="AE192" i="49"/>
  <c r="AD195" i="49"/>
  <c r="AD189" i="49" s="1"/>
  <c r="AD247" i="49"/>
  <c r="AE241" i="49"/>
  <c r="AD240" i="49"/>
  <c r="AC246" i="49"/>
  <c r="AE239" i="49"/>
  <c r="AD245" i="49"/>
  <c r="AE181" i="49"/>
  <c r="AD185" i="49"/>
  <c r="AE203" i="49"/>
  <c r="AD206" i="49"/>
  <c r="AB231" i="49"/>
  <c r="AC210" i="49"/>
  <c r="AE218" i="49"/>
  <c r="AD225" i="49"/>
  <c r="AC213" i="49"/>
  <c r="AC297" i="49" s="1"/>
  <c r="AC212" i="49"/>
  <c r="AC303" i="49" s="1"/>
  <c r="AD237" i="49"/>
  <c r="AC243" i="49"/>
  <c r="AE217" i="49"/>
  <c r="AD224" i="49"/>
  <c r="AC211" i="49"/>
  <c r="AE220" i="49"/>
  <c r="AD227" i="49"/>
  <c r="AC209" i="49"/>
  <c r="AC299" i="49" s="1"/>
  <c r="AE219" i="49"/>
  <c r="AD226" i="49"/>
  <c r="AB232" i="49"/>
  <c r="AB235" i="49"/>
  <c r="AB251" i="49" s="1"/>
  <c r="AC176" i="49"/>
  <c r="AD223" i="49"/>
  <c r="AE216" i="49"/>
  <c r="AD238" i="49"/>
  <c r="AC244" i="49"/>
  <c r="AE180" i="49"/>
  <c r="AD184" i="49"/>
  <c r="AD202" i="49"/>
  <c r="AC205" i="49"/>
  <c r="AC199" i="49" s="1"/>
  <c r="AC292" i="49" s="1"/>
  <c r="AC190" i="49"/>
  <c r="AF159" i="49"/>
  <c r="AF170" i="49" s="1"/>
  <c r="AF273" i="49" s="1"/>
  <c r="AF166" i="49"/>
  <c r="AF165" i="49"/>
  <c r="AF163" i="49"/>
  <c r="AF164" i="49"/>
  <c r="AF162" i="49"/>
  <c r="AF161" i="49"/>
  <c r="AF174" i="49" s="1"/>
  <c r="AF160" i="49"/>
  <c r="AF172" i="49" s="1"/>
  <c r="AF306" i="49" s="1"/>
  <c r="AJ117" i="49"/>
  <c r="AJ122" i="49"/>
  <c r="AJ120" i="49"/>
  <c r="AJ118" i="49"/>
  <c r="AJ116" i="49"/>
  <c r="AJ121" i="49"/>
  <c r="AJ119" i="49"/>
  <c r="AG147" i="49"/>
  <c r="AG151" i="49" s="1"/>
  <c r="AG156" i="49" s="1"/>
  <c r="AE167" i="49"/>
  <c r="AH74" i="50"/>
  <c r="AL20" i="50"/>
  <c r="AH48" i="50"/>
  <c r="AH96" i="50" s="1"/>
  <c r="AI36" i="50"/>
  <c r="AG49" i="50"/>
  <c r="AJ29" i="50"/>
  <c r="AI27" i="50"/>
  <c r="AI38" i="50" s="1"/>
  <c r="AL30" i="50"/>
  <c r="AK28" i="50"/>
  <c r="AK39" i="50" s="1"/>
  <c r="AC266" i="48"/>
  <c r="AA238" i="48"/>
  <c r="AA282" i="48"/>
  <c r="Z282" i="48"/>
  <c r="AA216" i="48"/>
  <c r="AD227" i="48"/>
  <c r="AD228" i="48"/>
  <c r="AD226" i="48"/>
  <c r="AD225" i="48"/>
  <c r="AD224" i="48"/>
  <c r="AC206" i="48"/>
  <c r="AC204" i="48"/>
  <c r="AC203" i="48"/>
  <c r="AC208" i="48"/>
  <c r="AC205" i="48"/>
  <c r="AC207" i="48"/>
  <c r="AB212" i="48"/>
  <c r="AB214" i="48"/>
  <c r="AB241" i="48" s="1"/>
  <c r="AB211" i="48"/>
  <c r="AB213" i="48"/>
  <c r="AC228" i="48"/>
  <c r="AC226" i="48"/>
  <c r="AC227" i="48"/>
  <c r="AC225" i="48"/>
  <c r="AC224" i="48"/>
  <c r="AB215" i="48"/>
  <c r="AB235" i="48" s="1"/>
  <c r="AA194" i="48"/>
  <c r="AH222" i="48"/>
  <c r="AH221" i="48"/>
  <c r="AH220" i="48"/>
  <c r="AG219" i="48"/>
  <c r="AG218" i="48"/>
  <c r="AG198" i="48"/>
  <c r="AH199" i="48"/>
  <c r="AG200" i="48"/>
  <c r="AG201" i="48"/>
  <c r="Z194" i="48"/>
  <c r="AH196" i="48"/>
  <c r="AH197" i="48"/>
  <c r="AC185" i="48"/>
  <c r="AD176" i="48"/>
  <c r="AI108" i="48"/>
  <c r="AD177" i="48"/>
  <c r="AI106" i="48"/>
  <c r="AD175" i="48"/>
  <c r="AD255" i="48" s="1"/>
  <c r="AG111" i="48"/>
  <c r="AG112" i="48" s="1"/>
  <c r="AD178" i="48"/>
  <c r="AD288" i="48" s="1"/>
  <c r="AI103" i="48"/>
  <c r="AF159" i="48"/>
  <c r="AE159" i="48"/>
  <c r="AE165" i="48" s="1"/>
  <c r="AE172" i="48" s="1"/>
  <c r="AD183" i="48"/>
  <c r="AD182" i="48"/>
  <c r="AK109" i="48"/>
  <c r="AD181" i="48"/>
  <c r="AD179" i="48"/>
  <c r="AI104" i="48"/>
  <c r="AI107" i="48"/>
  <c r="AD180" i="48"/>
  <c r="AK105" i="48"/>
  <c r="AJ21" i="50"/>
  <c r="AK19" i="50"/>
  <c r="AI17" i="50"/>
  <c r="AI35" i="50" s="1"/>
  <c r="AJ15" i="50"/>
  <c r="AL12" i="50"/>
  <c r="AK34" i="50"/>
  <c r="AK11" i="50"/>
  <c r="AJ33" i="50"/>
  <c r="AI137" i="49"/>
  <c r="AI150" i="49" s="1"/>
  <c r="AJ139" i="49"/>
  <c r="AH136" i="49"/>
  <c r="AH149" i="49" s="1"/>
  <c r="AI138" i="49"/>
  <c r="AI105" i="49"/>
  <c r="AH113" i="49"/>
  <c r="AH146" i="49" s="1"/>
  <c r="AI115" i="49"/>
  <c r="AH123" i="49"/>
  <c r="AK85" i="49"/>
  <c r="AK144" i="49" s="1"/>
  <c r="AL78" i="49"/>
  <c r="AK94" i="49"/>
  <c r="AK145" i="49" s="1"/>
  <c r="AL87" i="49"/>
  <c r="AJ74" i="49"/>
  <c r="AI142" i="49"/>
  <c r="AJ75" i="49"/>
  <c r="AI143" i="49"/>
  <c r="AI149" i="48"/>
  <c r="AH147" i="48"/>
  <c r="AH163" i="48" s="1"/>
  <c r="AJ150" i="48"/>
  <c r="AI148" i="48"/>
  <c r="AI164" i="48" s="1"/>
  <c r="AJ142" i="48"/>
  <c r="AI140" i="48"/>
  <c r="AI162" i="48" s="1"/>
  <c r="AI141" i="48"/>
  <c r="AH139" i="48"/>
  <c r="AH161" i="48" s="1"/>
  <c r="AJ70" i="48"/>
  <c r="AJ155" i="48" s="1"/>
  <c r="AG122" i="48"/>
  <c r="AF124" i="48"/>
  <c r="AF160" i="48" s="1"/>
  <c r="AM114" i="48"/>
  <c r="AK83" i="48"/>
  <c r="AJ90" i="48"/>
  <c r="AJ158" i="48" s="1"/>
  <c r="AL71" i="48"/>
  <c r="AK156" i="48"/>
  <c r="AH110" i="48"/>
  <c r="AK102" i="48"/>
  <c r="AM75" i="48"/>
  <c r="AK81" i="48"/>
  <c r="AK157" i="48" s="1"/>
  <c r="AL74" i="48"/>
  <c r="AC300" i="49" l="1"/>
  <c r="AA157" i="49"/>
  <c r="AD176" i="49"/>
  <c r="AB256" i="49"/>
  <c r="AD212" i="49"/>
  <c r="AD303" i="49" s="1"/>
  <c r="AC200" i="49"/>
  <c r="AC284" i="49" s="1"/>
  <c r="AC231" i="49"/>
  <c r="AF217" i="49"/>
  <c r="AE224" i="49"/>
  <c r="AC234" i="49"/>
  <c r="AC253" i="49" s="1"/>
  <c r="AF192" i="49"/>
  <c r="AE195" i="49"/>
  <c r="AE189" i="49" s="1"/>
  <c r="AE184" i="49"/>
  <c r="AF180" i="49"/>
  <c r="AE240" i="49"/>
  <c r="AD246" i="49"/>
  <c r="AC232" i="49"/>
  <c r="AF219" i="49"/>
  <c r="AE226" i="49"/>
  <c r="AD243" i="49"/>
  <c r="AE237" i="49"/>
  <c r="AF203" i="49"/>
  <c r="AE206" i="49"/>
  <c r="AF186" i="49"/>
  <c r="AG182" i="49"/>
  <c r="AE238" i="49"/>
  <c r="AD244" i="49"/>
  <c r="AD177" i="49"/>
  <c r="AD287" i="49" s="1"/>
  <c r="AC233" i="49"/>
  <c r="AC259" i="49" s="1"/>
  <c r="AF221" i="49"/>
  <c r="AE228" i="49"/>
  <c r="AF216" i="49"/>
  <c r="AE223" i="49"/>
  <c r="AD213" i="49"/>
  <c r="AD297" i="49" s="1"/>
  <c r="AF181" i="49"/>
  <c r="AE185" i="49"/>
  <c r="AF241" i="49"/>
  <c r="AE247" i="49"/>
  <c r="AD214" i="49"/>
  <c r="AD295" i="49" s="1"/>
  <c r="AD209" i="49"/>
  <c r="AD299" i="49" s="1"/>
  <c r="AF220" i="49"/>
  <c r="AE227" i="49"/>
  <c r="AD211" i="49"/>
  <c r="AF218" i="49"/>
  <c r="AE225" i="49"/>
  <c r="AE245" i="49"/>
  <c r="AF239" i="49"/>
  <c r="AD190" i="49"/>
  <c r="AG193" i="49"/>
  <c r="AF196" i="49"/>
  <c r="AE202" i="49"/>
  <c r="AD205" i="49"/>
  <c r="AD199" i="49" s="1"/>
  <c r="AD292" i="49" s="1"/>
  <c r="AD210" i="49"/>
  <c r="AD300" i="49" s="1"/>
  <c r="AC235" i="49"/>
  <c r="AC251" i="49" s="1"/>
  <c r="AD178" i="49"/>
  <c r="AG165" i="49"/>
  <c r="AG164" i="49"/>
  <c r="AG161" i="49"/>
  <c r="AG174" i="49" s="1"/>
  <c r="AG162" i="49"/>
  <c r="AG163" i="49"/>
  <c r="AG166" i="49"/>
  <c r="AG159" i="49"/>
  <c r="AG170" i="49" s="1"/>
  <c r="AG273" i="49" s="1"/>
  <c r="AG160" i="49"/>
  <c r="AG172" i="49" s="1"/>
  <c r="AG306" i="49" s="1"/>
  <c r="AH147" i="49"/>
  <c r="AH151" i="49" s="1"/>
  <c r="AH156" i="49" s="1"/>
  <c r="AH159" i="49" s="1"/>
  <c r="AH170" i="49" s="1"/>
  <c r="AH273" i="49" s="1"/>
  <c r="AK121" i="49"/>
  <c r="AK119" i="49"/>
  <c r="AK122" i="49"/>
  <c r="AK116" i="49"/>
  <c r="AK118" i="49"/>
  <c r="AK120" i="49"/>
  <c r="AK117" i="49"/>
  <c r="AF167" i="49"/>
  <c r="AI40" i="50"/>
  <c r="AI45" i="50" s="1"/>
  <c r="AM20" i="50"/>
  <c r="AH49" i="50"/>
  <c r="AJ36" i="50"/>
  <c r="AM30" i="50"/>
  <c r="AL28" i="50"/>
  <c r="AL39" i="50" s="1"/>
  <c r="AK29" i="50"/>
  <c r="AJ27" i="50"/>
  <c r="AJ38" i="50" s="1"/>
  <c r="AD266" i="48"/>
  <c r="AB238" i="48"/>
  <c r="AD211" i="48"/>
  <c r="AC211" i="48"/>
  <c r="AB216" i="48"/>
  <c r="AD206" i="48"/>
  <c r="AD203" i="48"/>
  <c r="AD204" i="48"/>
  <c r="AD208" i="48"/>
  <c r="AD205" i="48"/>
  <c r="AD207" i="48"/>
  <c r="AC212" i="48"/>
  <c r="AC214" i="48"/>
  <c r="AC241" i="48" s="1"/>
  <c r="AC213" i="48"/>
  <c r="AD212" i="48"/>
  <c r="AC215" i="48"/>
  <c r="AC235" i="48" s="1"/>
  <c r="AD213" i="48"/>
  <c r="AD215" i="48"/>
  <c r="AD235" i="48" s="1"/>
  <c r="AD214" i="48"/>
  <c r="AD241" i="48" s="1"/>
  <c r="AI220" i="48"/>
  <c r="AH218" i="48"/>
  <c r="AI221" i="48"/>
  <c r="AH219" i="48"/>
  <c r="AI222" i="48"/>
  <c r="AF165" i="48"/>
  <c r="AF172" i="48" s="1"/>
  <c r="AF182" i="48" s="1"/>
  <c r="AB192" i="48"/>
  <c r="AB285" i="48" s="1"/>
  <c r="AB190" i="48"/>
  <c r="AH200" i="48"/>
  <c r="AH201" i="48"/>
  <c r="AB193" i="48"/>
  <c r="AB279" i="48" s="1"/>
  <c r="AI196" i="48"/>
  <c r="AB189" i="48"/>
  <c r="AI199" i="48"/>
  <c r="AI197" i="48"/>
  <c r="AB188" i="48"/>
  <c r="AB281" i="48" s="1"/>
  <c r="AB191" i="48"/>
  <c r="AH198" i="48"/>
  <c r="AE184" i="48"/>
  <c r="AE175" i="48"/>
  <c r="AE255" i="48" s="1"/>
  <c r="AE183" i="48"/>
  <c r="AD185" i="48"/>
  <c r="AE176" i="48"/>
  <c r="AE179" i="48"/>
  <c r="AJ106" i="48"/>
  <c r="AL105" i="48"/>
  <c r="AJ107" i="48"/>
  <c r="AE180" i="48"/>
  <c r="AE181" i="48"/>
  <c r="AJ103" i="48"/>
  <c r="AG159" i="48"/>
  <c r="AL109" i="48"/>
  <c r="AE177" i="48"/>
  <c r="AJ108" i="48"/>
  <c r="AJ104" i="48"/>
  <c r="AE178" i="48"/>
  <c r="AE288" i="48" s="1"/>
  <c r="AE182" i="48"/>
  <c r="AH111" i="48"/>
  <c r="AK21" i="50"/>
  <c r="AL19" i="50"/>
  <c r="AK15" i="50"/>
  <c r="AJ17" i="50"/>
  <c r="AJ35" i="50" s="1"/>
  <c r="AL11" i="50"/>
  <c r="AK33" i="50"/>
  <c r="AM12" i="50"/>
  <c r="AL34" i="50"/>
  <c r="AJ138" i="49"/>
  <c r="AI136" i="49"/>
  <c r="AI149" i="49" s="1"/>
  <c r="AJ137" i="49"/>
  <c r="AJ150" i="49" s="1"/>
  <c r="AK139" i="49"/>
  <c r="AI123" i="49"/>
  <c r="AJ115" i="49"/>
  <c r="AJ105" i="49"/>
  <c r="AI113" i="49"/>
  <c r="AI146" i="49" s="1"/>
  <c r="AM87" i="49"/>
  <c r="AL94" i="49"/>
  <c r="AL145" i="49" s="1"/>
  <c r="AM78" i="49"/>
  <c r="AL85" i="49"/>
  <c r="AL144" i="49" s="1"/>
  <c r="AK74" i="49"/>
  <c r="AJ142" i="49"/>
  <c r="AK75" i="49"/>
  <c r="AJ143" i="49"/>
  <c r="AJ148" i="48"/>
  <c r="AJ164" i="48" s="1"/>
  <c r="AK150" i="48"/>
  <c r="AJ149" i="48"/>
  <c r="AI147" i="48"/>
  <c r="AI163" i="48" s="1"/>
  <c r="AJ141" i="48"/>
  <c r="AI139" i="48"/>
  <c r="AI161" i="48" s="1"/>
  <c r="AK142" i="48"/>
  <c r="AJ140" i="48"/>
  <c r="AJ162" i="48" s="1"/>
  <c r="AK70" i="48"/>
  <c r="AK155" i="48" s="1"/>
  <c r="AH122" i="48"/>
  <c r="AG124" i="48"/>
  <c r="AG160" i="48" s="1"/>
  <c r="AN114" i="48"/>
  <c r="AL83" i="48"/>
  <c r="AK90" i="48"/>
  <c r="AK158" i="48" s="1"/>
  <c r="AM71" i="48"/>
  <c r="AL156" i="48"/>
  <c r="AL102" i="48"/>
  <c r="AI110" i="48"/>
  <c r="AN75" i="48"/>
  <c r="AM74" i="48"/>
  <c r="AL81" i="48"/>
  <c r="AL157" i="48" s="1"/>
  <c r="AF178" i="48" l="1"/>
  <c r="AF288" i="48" s="1"/>
  <c r="AF181" i="48"/>
  <c r="AB157" i="49"/>
  <c r="AC256" i="49"/>
  <c r="AD231" i="49"/>
  <c r="AD232" i="49"/>
  <c r="AD233" i="49"/>
  <c r="AD259" i="49" s="1"/>
  <c r="AD235" i="49"/>
  <c r="AD251" i="49" s="1"/>
  <c r="AE177" i="49"/>
  <c r="AE287" i="49" s="1"/>
  <c r="AE190" i="49"/>
  <c r="AE214" i="49"/>
  <c r="AE295" i="49" s="1"/>
  <c r="AF247" i="49"/>
  <c r="AG241" i="49"/>
  <c r="AF237" i="49"/>
  <c r="AE243" i="49"/>
  <c r="AD200" i="49"/>
  <c r="AD284" i="49" s="1"/>
  <c r="AH193" i="49"/>
  <c r="AG196" i="49"/>
  <c r="AF184" i="49"/>
  <c r="AG180" i="49"/>
  <c r="AF185" i="49"/>
  <c r="AG181" i="49"/>
  <c r="AE176" i="49"/>
  <c r="AG239" i="49"/>
  <c r="AF245" i="49"/>
  <c r="AE212" i="49"/>
  <c r="AE303" i="49" s="1"/>
  <c r="AE213" i="49"/>
  <c r="AE297" i="49" s="1"/>
  <c r="AF238" i="49"/>
  <c r="AE244" i="49"/>
  <c r="AF226" i="49"/>
  <c r="AG219" i="49"/>
  <c r="AF227" i="49"/>
  <c r="AG220" i="49"/>
  <c r="AE209" i="49"/>
  <c r="AE299" i="49" s="1"/>
  <c r="AH182" i="49"/>
  <c r="AG186" i="49"/>
  <c r="AF195" i="49"/>
  <c r="AF189" i="49" s="1"/>
  <c r="AG192" i="49"/>
  <c r="AE211" i="49"/>
  <c r="AF223" i="49"/>
  <c r="AG216" i="49"/>
  <c r="AE178" i="49"/>
  <c r="AG218" i="49"/>
  <c r="AF225" i="49"/>
  <c r="AD234" i="49"/>
  <c r="AD253" i="49" s="1"/>
  <c r="AE210" i="49"/>
  <c r="AE300" i="49" s="1"/>
  <c r="AF202" i="49"/>
  <c r="AE205" i="49"/>
  <c r="AE199" i="49" s="1"/>
  <c r="AE292" i="49" s="1"/>
  <c r="AG221" i="49"/>
  <c r="AF228" i="49"/>
  <c r="AF206" i="49"/>
  <c r="AG203" i="49"/>
  <c r="AF240" i="49"/>
  <c r="AE246" i="49"/>
  <c r="AG217" i="49"/>
  <c r="AF224" i="49"/>
  <c r="AH162" i="49"/>
  <c r="AH166" i="49"/>
  <c r="AH160" i="49"/>
  <c r="AH172" i="49" s="1"/>
  <c r="AH306" i="49" s="1"/>
  <c r="AL117" i="49"/>
  <c r="AL120" i="49"/>
  <c r="AL119" i="49"/>
  <c r="AH165" i="49"/>
  <c r="AI147" i="49"/>
  <c r="AI151" i="49" s="1"/>
  <c r="AI156" i="49" s="1"/>
  <c r="AI165" i="49" s="1"/>
  <c r="AH161" i="49"/>
  <c r="AH174" i="49" s="1"/>
  <c r="AG167" i="49"/>
  <c r="AL118" i="49"/>
  <c r="AL121" i="49"/>
  <c r="AL122" i="49"/>
  <c r="AH163" i="49"/>
  <c r="AL116" i="49"/>
  <c r="AH164" i="49"/>
  <c r="AJ40" i="50"/>
  <c r="AJ45" i="50" s="1"/>
  <c r="AJ48" i="50" s="1"/>
  <c r="AJ96" i="50" s="1"/>
  <c r="AK36" i="50"/>
  <c r="AN20" i="50"/>
  <c r="AI48" i="50"/>
  <c r="AI47" i="50"/>
  <c r="AI74" i="50" s="1"/>
  <c r="AF177" i="48"/>
  <c r="AF183" i="48"/>
  <c r="AF204" i="48" s="1"/>
  <c r="AL29" i="50"/>
  <c r="AK27" i="50"/>
  <c r="AK38" i="50" s="1"/>
  <c r="AN30" i="50"/>
  <c r="AM28" i="50"/>
  <c r="AM39" i="50" s="1"/>
  <c r="AB282" i="48"/>
  <c r="AE266" i="48"/>
  <c r="AF184" i="48"/>
  <c r="AF228" i="48" s="1"/>
  <c r="AF180" i="48"/>
  <c r="AF176" i="48"/>
  <c r="AC238" i="48"/>
  <c r="AD238" i="48"/>
  <c r="AD216" i="48"/>
  <c r="AC216" i="48"/>
  <c r="AE203" i="48"/>
  <c r="AE204" i="48"/>
  <c r="AE206" i="48"/>
  <c r="AE205" i="48"/>
  <c r="AE207" i="48"/>
  <c r="AE208" i="48"/>
  <c r="AF179" i="48"/>
  <c r="AE227" i="48"/>
  <c r="AE226" i="48"/>
  <c r="AE228" i="48"/>
  <c r="AE224" i="48"/>
  <c r="AE225" i="48"/>
  <c r="AF175" i="48"/>
  <c r="AF255" i="48" s="1"/>
  <c r="AJ220" i="48"/>
  <c r="AJ221" i="48"/>
  <c r="AJ222" i="48"/>
  <c r="AI219" i="48"/>
  <c r="AI218" i="48"/>
  <c r="AC189" i="48"/>
  <c r="AJ199" i="48"/>
  <c r="AC191" i="48"/>
  <c r="AJ196" i="48"/>
  <c r="AC188" i="48"/>
  <c r="AC281" i="48" s="1"/>
  <c r="AB194" i="48"/>
  <c r="AI201" i="48"/>
  <c r="AI198" i="48"/>
  <c r="AC192" i="48"/>
  <c r="AC285" i="48" s="1"/>
  <c r="AJ197" i="48"/>
  <c r="AC193" i="48"/>
  <c r="AC279" i="48" s="1"/>
  <c r="AI200" i="48"/>
  <c r="AC190" i="48"/>
  <c r="AG165" i="48"/>
  <c r="AG172" i="48" s="1"/>
  <c r="AG183" i="48" s="1"/>
  <c r="AE185" i="48"/>
  <c r="AM105" i="48"/>
  <c r="AK108" i="48"/>
  <c r="AK106" i="48"/>
  <c r="AI111" i="48"/>
  <c r="AI112" i="48" s="1"/>
  <c r="AM109" i="48"/>
  <c r="AK107" i="48"/>
  <c r="AK103" i="48"/>
  <c r="AH112" i="48"/>
  <c r="AK104" i="48"/>
  <c r="AK17" i="50"/>
  <c r="AK35" i="50" s="1"/>
  <c r="AL15" i="50"/>
  <c r="AL21" i="50"/>
  <c r="AM19" i="50"/>
  <c r="AM11" i="50"/>
  <c r="AL33" i="50"/>
  <c r="AN12" i="50"/>
  <c r="AM34" i="50"/>
  <c r="AL139" i="49"/>
  <c r="AK137" i="49"/>
  <c r="AK150" i="49" s="1"/>
  <c r="AJ136" i="49"/>
  <c r="AJ149" i="49" s="1"/>
  <c r="AK138" i="49"/>
  <c r="AJ113" i="49"/>
  <c r="AJ146" i="49" s="1"/>
  <c r="AK105" i="49"/>
  <c r="AJ123" i="49"/>
  <c r="AK115" i="49"/>
  <c r="AM85" i="49"/>
  <c r="AM144" i="49" s="1"/>
  <c r="AN78" i="49"/>
  <c r="AN87" i="49"/>
  <c r="AM94" i="49"/>
  <c r="AM145" i="49" s="1"/>
  <c r="AL75" i="49"/>
  <c r="AK143" i="49"/>
  <c r="AL74" i="49"/>
  <c r="AK142" i="49"/>
  <c r="AJ147" i="48"/>
  <c r="AJ163" i="48" s="1"/>
  <c r="AK149" i="48"/>
  <c r="AL150" i="48"/>
  <c r="AK148" i="48"/>
  <c r="AK164" i="48" s="1"/>
  <c r="AL142" i="48"/>
  <c r="AK140" i="48"/>
  <c r="AK162" i="48" s="1"/>
  <c r="AK141" i="48"/>
  <c r="AJ139" i="48"/>
  <c r="AJ161" i="48" s="1"/>
  <c r="AL70" i="48"/>
  <c r="AL155" i="48" s="1"/>
  <c r="AI122" i="48"/>
  <c r="AH124" i="48"/>
  <c r="AH160" i="48" s="1"/>
  <c r="AO114" i="48"/>
  <c r="AM83" i="48"/>
  <c r="AL90" i="48"/>
  <c r="AL158" i="48" s="1"/>
  <c r="AN71" i="48"/>
  <c r="AM156" i="48"/>
  <c r="AJ110" i="48"/>
  <c r="AM102" i="48"/>
  <c r="AO75" i="48"/>
  <c r="AM81" i="48"/>
  <c r="AM157" i="48" s="1"/>
  <c r="AN74" i="48"/>
  <c r="AF206" i="48" l="1"/>
  <c r="AF207" i="48"/>
  <c r="AF208" i="48"/>
  <c r="AF205" i="48"/>
  <c r="AF203" i="48"/>
  <c r="AC157" i="49"/>
  <c r="AD256" i="49"/>
  <c r="AF177" i="49"/>
  <c r="AF287" i="49" s="1"/>
  <c r="AE234" i="49"/>
  <c r="AE253" i="49" s="1"/>
  <c r="AF178" i="49"/>
  <c r="AE200" i="49"/>
  <c r="AE284" i="49" s="1"/>
  <c r="AF209" i="49"/>
  <c r="AF299" i="49" s="1"/>
  <c r="AF205" i="49"/>
  <c r="AF199" i="49" s="1"/>
  <c r="AG202" i="49"/>
  <c r="AH216" i="49"/>
  <c r="AG223" i="49"/>
  <c r="AH220" i="49"/>
  <c r="AG227" i="49"/>
  <c r="AG240" i="49"/>
  <c r="AF246" i="49"/>
  <c r="AF213" i="49"/>
  <c r="AF297" i="49" s="1"/>
  <c r="AH196" i="49"/>
  <c r="AI193" i="49"/>
  <c r="AH203" i="49"/>
  <c r="AG206" i="49"/>
  <c r="AE233" i="49"/>
  <c r="AE259" i="49" s="1"/>
  <c r="AH239" i="49"/>
  <c r="AG245" i="49"/>
  <c r="AH192" i="49"/>
  <c r="AG195" i="49"/>
  <c r="AG189" i="49" s="1"/>
  <c r="AH219" i="49"/>
  <c r="AG226" i="49"/>
  <c r="AE231" i="49"/>
  <c r="AF214" i="49"/>
  <c r="AF295" i="49" s="1"/>
  <c r="AF211" i="49"/>
  <c r="AF212" i="49"/>
  <c r="AF303" i="49" s="1"/>
  <c r="AH181" i="49"/>
  <c r="AG185" i="49"/>
  <c r="AG237" i="49"/>
  <c r="AF243" i="49"/>
  <c r="AH221" i="49"/>
  <c r="AG228" i="49"/>
  <c r="AH218" i="49"/>
  <c r="AG225" i="49"/>
  <c r="AE232" i="49"/>
  <c r="AG247" i="49"/>
  <c r="AH241" i="49"/>
  <c r="AF210" i="49"/>
  <c r="AE235" i="49"/>
  <c r="AE251" i="49" s="1"/>
  <c r="AH186" i="49"/>
  <c r="AI182" i="49"/>
  <c r="AF244" i="49"/>
  <c r="AG238" i="49"/>
  <c r="AH180" i="49"/>
  <c r="AG184" i="49"/>
  <c r="AH217" i="49"/>
  <c r="AG224" i="49"/>
  <c r="AF176" i="49"/>
  <c r="AF190" i="49"/>
  <c r="AI166" i="49"/>
  <c r="AH167" i="49"/>
  <c r="AI160" i="49"/>
  <c r="AI172" i="49" s="1"/>
  <c r="AI306" i="49" s="1"/>
  <c r="AI161" i="49"/>
  <c r="AI174" i="49" s="1"/>
  <c r="AM120" i="49"/>
  <c r="AM121" i="49"/>
  <c r="AM118" i="49"/>
  <c r="AI162" i="49"/>
  <c r="AJ147" i="49"/>
  <c r="AJ151" i="49" s="1"/>
  <c r="AJ156" i="49" s="1"/>
  <c r="AJ159" i="49" s="1"/>
  <c r="AJ170" i="49" s="1"/>
  <c r="AJ273" i="49" s="1"/>
  <c r="AM117" i="49"/>
  <c r="AI163" i="49"/>
  <c r="AM119" i="49"/>
  <c r="AM116" i="49"/>
  <c r="AI164" i="49"/>
  <c r="AI159" i="49"/>
  <c r="AI170" i="49" s="1"/>
  <c r="AI273" i="49" s="1"/>
  <c r="AM122" i="49"/>
  <c r="AJ47" i="50"/>
  <c r="AO20" i="50"/>
  <c r="AL36" i="50"/>
  <c r="AK40" i="50"/>
  <c r="AK45" i="50" s="1"/>
  <c r="AI49" i="50"/>
  <c r="AI96" i="50"/>
  <c r="AF224" i="48"/>
  <c r="AF225" i="48"/>
  <c r="AF227" i="48"/>
  <c r="AF226" i="48"/>
  <c r="AF185" i="48"/>
  <c r="AO30" i="50"/>
  <c r="AN28" i="50"/>
  <c r="AN39" i="50" s="1"/>
  <c r="AM29" i="50"/>
  <c r="AL27" i="50"/>
  <c r="AL38" i="50" s="1"/>
  <c r="AF266" i="48"/>
  <c r="AG181" i="48"/>
  <c r="AC282" i="48"/>
  <c r="AE214" i="48"/>
  <c r="AE241" i="48" s="1"/>
  <c r="AE213" i="48"/>
  <c r="AE212" i="48"/>
  <c r="AG204" i="48"/>
  <c r="AG203" i="48"/>
  <c r="AG206" i="48"/>
  <c r="AG207" i="48"/>
  <c r="AG208" i="48"/>
  <c r="AG205" i="48"/>
  <c r="AE215" i="48"/>
  <c r="AE235" i="48" s="1"/>
  <c r="AE211" i="48"/>
  <c r="AJ218" i="48"/>
  <c r="AK221" i="48"/>
  <c r="AJ219" i="48"/>
  <c r="AK220" i="48"/>
  <c r="AK222" i="48"/>
  <c r="AG176" i="48"/>
  <c r="AG182" i="48"/>
  <c r="AD190" i="48"/>
  <c r="AG179" i="48"/>
  <c r="AG184" i="48"/>
  <c r="AG180" i="48"/>
  <c r="AG178" i="48"/>
  <c r="AG288" i="48" s="1"/>
  <c r="AG177" i="48"/>
  <c r="AJ201" i="48"/>
  <c r="AD192" i="48"/>
  <c r="AD285" i="48" s="1"/>
  <c r="AC194" i="48"/>
  <c r="AD189" i="48"/>
  <c r="AD188" i="48"/>
  <c r="AD281" i="48" s="1"/>
  <c r="AK196" i="48"/>
  <c r="AK197" i="48"/>
  <c r="AJ200" i="48"/>
  <c r="AJ198" i="48"/>
  <c r="AD191" i="48"/>
  <c r="AD193" i="48"/>
  <c r="AD279" i="48" s="1"/>
  <c r="AK199" i="48"/>
  <c r="AG175" i="48"/>
  <c r="AG255" i="48" s="1"/>
  <c r="AI159" i="48"/>
  <c r="AL104" i="48"/>
  <c r="AN109" i="48"/>
  <c r="AL103" i="48"/>
  <c r="AJ111" i="48"/>
  <c r="AJ112" i="48" s="1"/>
  <c r="AL108" i="48"/>
  <c r="AL107" i="48"/>
  <c r="AH159" i="48"/>
  <c r="AH165" i="48" s="1"/>
  <c r="AH172" i="48" s="1"/>
  <c r="AH184" i="48" s="1"/>
  <c r="AN105" i="48"/>
  <c r="AL106" i="48"/>
  <c r="AM21" i="50"/>
  <c r="AN19" i="50"/>
  <c r="AM15" i="50"/>
  <c r="AL17" i="50"/>
  <c r="AL35" i="50" s="1"/>
  <c r="AO12" i="50"/>
  <c r="AN34" i="50"/>
  <c r="AN11" i="50"/>
  <c r="AM33" i="50"/>
  <c r="AL138" i="49"/>
  <c r="AK136" i="49"/>
  <c r="AK149" i="49" s="1"/>
  <c r="AM139" i="49"/>
  <c r="AL137" i="49"/>
  <c r="AL150" i="49" s="1"/>
  <c r="AL115" i="49"/>
  <c r="AK123" i="49"/>
  <c r="AK113" i="49"/>
  <c r="AK146" i="49" s="1"/>
  <c r="AL105" i="49"/>
  <c r="AN94" i="49"/>
  <c r="AN145" i="49" s="1"/>
  <c r="AO87" i="49"/>
  <c r="AO78" i="49"/>
  <c r="AN85" i="49"/>
  <c r="AN144" i="49" s="1"/>
  <c r="AM75" i="49"/>
  <c r="AL143" i="49"/>
  <c r="AM74" i="49"/>
  <c r="AL142" i="49"/>
  <c r="AL148" i="48"/>
  <c r="AL164" i="48" s="1"/>
  <c r="AM150" i="48"/>
  <c r="AK147" i="48"/>
  <c r="AK163" i="48" s="1"/>
  <c r="AL149" i="48"/>
  <c r="AM70" i="48"/>
  <c r="AM155" i="48" s="1"/>
  <c r="AL141" i="48"/>
  <c r="AK139" i="48"/>
  <c r="AK161" i="48" s="1"/>
  <c r="AM142" i="48"/>
  <c r="AL140" i="48"/>
  <c r="AL162" i="48" s="1"/>
  <c r="AJ122" i="48"/>
  <c r="AI124" i="48"/>
  <c r="AI160" i="48" s="1"/>
  <c r="AP114" i="48"/>
  <c r="AN83" i="48"/>
  <c r="AM90" i="48"/>
  <c r="AM158" i="48" s="1"/>
  <c r="AO71" i="48"/>
  <c r="AN156" i="48"/>
  <c r="AN102" i="48"/>
  <c r="AK110" i="48"/>
  <c r="AP75" i="48"/>
  <c r="AO74" i="48"/>
  <c r="AN81" i="48"/>
  <c r="AN157" i="48" s="1"/>
  <c r="AF292" i="49" l="1"/>
  <c r="AD157" i="49"/>
  <c r="AF300" i="49"/>
  <c r="AE256" i="49"/>
  <c r="AF200" i="49"/>
  <c r="AF284" i="49" s="1"/>
  <c r="AF231" i="49"/>
  <c r="AG176" i="49"/>
  <c r="AG190" i="49"/>
  <c r="AG212" i="49"/>
  <c r="AG303" i="49" s="1"/>
  <c r="AF235" i="49"/>
  <c r="AF251" i="49" s="1"/>
  <c r="AH228" i="49"/>
  <c r="AI221" i="49"/>
  <c r="AG246" i="49"/>
  <c r="AH240" i="49"/>
  <c r="AI241" i="49"/>
  <c r="AH247" i="49"/>
  <c r="AH184" i="49"/>
  <c r="AI180" i="49"/>
  <c r="AH237" i="49"/>
  <c r="AG243" i="49"/>
  <c r="AI219" i="49"/>
  <c r="AH226" i="49"/>
  <c r="AI203" i="49"/>
  <c r="AH206" i="49"/>
  <c r="AG213" i="49"/>
  <c r="AG297" i="49" s="1"/>
  <c r="AH238" i="49"/>
  <c r="AG244" i="49"/>
  <c r="AG177" i="49"/>
  <c r="AG287" i="49" s="1"/>
  <c r="AJ193" i="49"/>
  <c r="AI196" i="49"/>
  <c r="AH227" i="49"/>
  <c r="AI220" i="49"/>
  <c r="AF232" i="49"/>
  <c r="AG178" i="49"/>
  <c r="AI181" i="49"/>
  <c r="AH185" i="49"/>
  <c r="AH195" i="49"/>
  <c r="AH189" i="49" s="1"/>
  <c r="AI192" i="49"/>
  <c r="AG211" i="49"/>
  <c r="AG209" i="49"/>
  <c r="AG299" i="49" s="1"/>
  <c r="AJ182" i="49"/>
  <c r="AI186" i="49"/>
  <c r="AF233" i="49"/>
  <c r="AF259" i="49" s="1"/>
  <c r="AI216" i="49"/>
  <c r="AH223" i="49"/>
  <c r="AG210" i="49"/>
  <c r="AH225" i="49"/>
  <c r="AI218" i="49"/>
  <c r="AH202" i="49"/>
  <c r="AG205" i="49"/>
  <c r="AG199" i="49" s="1"/>
  <c r="AG292" i="49" s="1"/>
  <c r="AI217" i="49"/>
  <c r="AH224" i="49"/>
  <c r="AG214" i="49"/>
  <c r="AG295" i="49" s="1"/>
  <c r="AI239" i="49"/>
  <c r="AH245" i="49"/>
  <c r="AF234" i="49"/>
  <c r="AF253" i="49" s="1"/>
  <c r="AI167" i="49"/>
  <c r="AJ164" i="49"/>
  <c r="AN116" i="49"/>
  <c r="AJ163" i="49"/>
  <c r="AN118" i="49"/>
  <c r="AJ161" i="49"/>
  <c r="AJ174" i="49" s="1"/>
  <c r="AJ162" i="49"/>
  <c r="AN121" i="49"/>
  <c r="AN122" i="49"/>
  <c r="AJ160" i="49"/>
  <c r="AJ172" i="49" s="1"/>
  <c r="AJ306" i="49" s="1"/>
  <c r="AJ165" i="49"/>
  <c r="AN117" i="49"/>
  <c r="AN120" i="49"/>
  <c r="AN119" i="49"/>
  <c r="AK147" i="49"/>
  <c r="AK151" i="49" s="1"/>
  <c r="AK156" i="49" s="1"/>
  <c r="AJ166" i="49"/>
  <c r="AL40" i="50"/>
  <c r="AL45" i="50" s="1"/>
  <c r="AL47" i="50" s="1"/>
  <c r="AL74" i="50" s="1"/>
  <c r="AJ49" i="50"/>
  <c r="AJ74" i="50"/>
  <c r="AK47" i="50"/>
  <c r="AK48" i="50"/>
  <c r="AK96" i="50" s="1"/>
  <c r="AL48" i="50"/>
  <c r="AL96" i="50" s="1"/>
  <c r="AM36" i="50"/>
  <c r="AP20" i="50"/>
  <c r="AF212" i="48"/>
  <c r="AF213" i="48"/>
  <c r="AF214" i="48"/>
  <c r="AF241" i="48" s="1"/>
  <c r="AF215" i="48"/>
  <c r="AF235" i="48" s="1"/>
  <c r="AF211" i="48"/>
  <c r="AN29" i="50"/>
  <c r="AM27" i="50"/>
  <c r="AM38" i="50" s="1"/>
  <c r="AP30" i="50"/>
  <c r="AO28" i="50"/>
  <c r="AO39" i="50" s="1"/>
  <c r="AG266" i="48"/>
  <c r="AE216" i="48"/>
  <c r="AE238" i="48"/>
  <c r="AD282" i="48"/>
  <c r="AG228" i="48"/>
  <c r="AG227" i="48"/>
  <c r="AG226" i="48"/>
  <c r="AG225" i="48"/>
  <c r="AG224" i="48"/>
  <c r="AH226" i="48"/>
  <c r="AH228" i="48"/>
  <c r="AH227" i="48"/>
  <c r="AH225" i="48"/>
  <c r="AH224" i="48"/>
  <c r="AK218" i="48"/>
  <c r="AK219" i="48"/>
  <c r="AL222" i="48"/>
  <c r="AL221" i="48"/>
  <c r="AL220" i="48"/>
  <c r="AG185" i="48"/>
  <c r="AD194" i="48"/>
  <c r="AE192" i="48"/>
  <c r="AE285" i="48" s="1"/>
  <c r="AF193" i="48"/>
  <c r="AF279" i="48" s="1"/>
  <c r="AI165" i="48"/>
  <c r="AI172" i="48" s="1"/>
  <c r="AI176" i="48" s="1"/>
  <c r="AL196" i="48"/>
  <c r="AE190" i="48"/>
  <c r="AL199" i="48"/>
  <c r="AE188" i="48"/>
  <c r="AE281" i="48" s="1"/>
  <c r="AF192" i="48"/>
  <c r="AF285" i="48" s="1"/>
  <c r="AL197" i="48"/>
  <c r="AE191" i="48"/>
  <c r="AF190" i="48"/>
  <c r="AE193" i="48"/>
  <c r="AE279" i="48" s="1"/>
  <c r="AE189" i="48"/>
  <c r="AF191" i="48"/>
  <c r="AF189" i="48"/>
  <c r="AK198" i="48"/>
  <c r="AK200" i="48"/>
  <c r="AF188" i="48"/>
  <c r="AF281" i="48" s="1"/>
  <c r="AK201" i="48"/>
  <c r="AH177" i="48"/>
  <c r="AH176" i="48"/>
  <c r="AM106" i="48"/>
  <c r="AH181" i="48"/>
  <c r="AO109" i="48"/>
  <c r="AM107" i="48"/>
  <c r="AH180" i="48"/>
  <c r="AH182" i="48"/>
  <c r="AM108" i="48"/>
  <c r="AM104" i="48"/>
  <c r="AJ159" i="48"/>
  <c r="AO105" i="48"/>
  <c r="AH178" i="48"/>
  <c r="AH288" i="48" s="1"/>
  <c r="AK111" i="48"/>
  <c r="AH183" i="48"/>
  <c r="AH175" i="48"/>
  <c r="AH255" i="48" s="1"/>
  <c r="AH179" i="48"/>
  <c r="AM103" i="48"/>
  <c r="AM17" i="50"/>
  <c r="AM35" i="50" s="1"/>
  <c r="AN15" i="50"/>
  <c r="AO19" i="50"/>
  <c r="AN21" i="50"/>
  <c r="AP12" i="50"/>
  <c r="AO34" i="50"/>
  <c r="AO11" i="50"/>
  <c r="AN33" i="50"/>
  <c r="AM137" i="49"/>
  <c r="AM150" i="49" s="1"/>
  <c r="AN139" i="49"/>
  <c r="AL136" i="49"/>
  <c r="AL149" i="49" s="1"/>
  <c r="AM138" i="49"/>
  <c r="AM105" i="49"/>
  <c r="AL113" i="49"/>
  <c r="AL146" i="49" s="1"/>
  <c r="AM115" i="49"/>
  <c r="AL123" i="49"/>
  <c r="AO85" i="49"/>
  <c r="AO144" i="49" s="1"/>
  <c r="AP78" i="49"/>
  <c r="AP87" i="49"/>
  <c r="AO94" i="49"/>
  <c r="AO145" i="49" s="1"/>
  <c r="AN74" i="49"/>
  <c r="AM142" i="49"/>
  <c r="AN75" i="49"/>
  <c r="AM143" i="49"/>
  <c r="AN70" i="48"/>
  <c r="AN155" i="48" s="1"/>
  <c r="AM149" i="48"/>
  <c r="AL147" i="48"/>
  <c r="AL163" i="48" s="1"/>
  <c r="AM148" i="48"/>
  <c r="AM164" i="48" s="1"/>
  <c r="AN150" i="48"/>
  <c r="AN142" i="48"/>
  <c r="AM140" i="48"/>
  <c r="AM162" i="48" s="1"/>
  <c r="AM141" i="48"/>
  <c r="AL139" i="48"/>
  <c r="AL161" i="48" s="1"/>
  <c r="AK122" i="48"/>
  <c r="AJ124" i="48"/>
  <c r="AJ160" i="48" s="1"/>
  <c r="AQ114" i="48"/>
  <c r="AO83" i="48"/>
  <c r="AN90" i="48"/>
  <c r="AN158" i="48" s="1"/>
  <c r="AP71" i="48"/>
  <c r="AO156" i="48"/>
  <c r="AL110" i="48"/>
  <c r="AO102" i="48"/>
  <c r="AQ75" i="48"/>
  <c r="AP74" i="48"/>
  <c r="AO81" i="48"/>
  <c r="AO157" i="48" s="1"/>
  <c r="AE157" i="49" l="1"/>
  <c r="AG300" i="49"/>
  <c r="AH177" i="49"/>
  <c r="AH287" i="49" s="1"/>
  <c r="AF256" i="49"/>
  <c r="AH190" i="49"/>
  <c r="AH178" i="49"/>
  <c r="AH210" i="49"/>
  <c r="AG231" i="49"/>
  <c r="AG233" i="49"/>
  <c r="AG259" i="49" s="1"/>
  <c r="AJ220" i="49"/>
  <c r="AI227" i="49"/>
  <c r="AG200" i="49"/>
  <c r="AG284" i="49" s="1"/>
  <c r="AH213" i="49"/>
  <c r="AH297" i="49" s="1"/>
  <c r="AJ203" i="49"/>
  <c r="AI206" i="49"/>
  <c r="AI224" i="49"/>
  <c r="AJ217" i="49"/>
  <c r="AH209" i="49"/>
  <c r="AH299" i="49" s="1"/>
  <c r="AJ192" i="49"/>
  <c r="AI195" i="49"/>
  <c r="AI189" i="49" s="1"/>
  <c r="AH212" i="49"/>
  <c r="AH303" i="49" s="1"/>
  <c r="AJ241" i="49"/>
  <c r="AI247" i="49"/>
  <c r="AJ216" i="49"/>
  <c r="AI223" i="49"/>
  <c r="AK193" i="49"/>
  <c r="AJ196" i="49"/>
  <c r="AJ219" i="49"/>
  <c r="AI226" i="49"/>
  <c r="AH246" i="49"/>
  <c r="AI240" i="49"/>
  <c r="AI202" i="49"/>
  <c r="AH205" i="49"/>
  <c r="AH199" i="49" s="1"/>
  <c r="AG235" i="49"/>
  <c r="AG251" i="49" s="1"/>
  <c r="AG234" i="49"/>
  <c r="AG253" i="49" s="1"/>
  <c r="AJ181" i="49"/>
  <c r="AI185" i="49"/>
  <c r="AG232" i="49"/>
  <c r="AI237" i="49"/>
  <c r="AH243" i="49"/>
  <c r="AI228" i="49"/>
  <c r="AJ221" i="49"/>
  <c r="AI225" i="49"/>
  <c r="AJ218" i="49"/>
  <c r="AK182" i="49"/>
  <c r="AJ186" i="49"/>
  <c r="AH244" i="49"/>
  <c r="AI238" i="49"/>
  <c r="AJ180" i="49"/>
  <c r="AI184" i="49"/>
  <c r="AH214" i="49"/>
  <c r="AH295" i="49" s="1"/>
  <c r="AI245" i="49"/>
  <c r="AJ239" i="49"/>
  <c r="AH211" i="49"/>
  <c r="AH176" i="49"/>
  <c r="AK159" i="49"/>
  <c r="AK170" i="49" s="1"/>
  <c r="AK273" i="49" s="1"/>
  <c r="AK160" i="49"/>
  <c r="AK172" i="49" s="1"/>
  <c r="AK306" i="49" s="1"/>
  <c r="AK166" i="49"/>
  <c r="AK164" i="49"/>
  <c r="AK165" i="49"/>
  <c r="AK162" i="49"/>
  <c r="AK163" i="49"/>
  <c r="AK161" i="49"/>
  <c r="AK174" i="49" s="1"/>
  <c r="AO118" i="49"/>
  <c r="AO119" i="49"/>
  <c r="AO122" i="49"/>
  <c r="AO120" i="49"/>
  <c r="AO116" i="49"/>
  <c r="AO121" i="49"/>
  <c r="AJ167" i="49"/>
  <c r="AL147" i="49"/>
  <c r="AL151" i="49" s="1"/>
  <c r="AL156" i="49" s="1"/>
  <c r="AO117" i="49"/>
  <c r="AM40" i="50"/>
  <c r="AM45" i="50" s="1"/>
  <c r="AM47" i="50" s="1"/>
  <c r="AM74" i="50" s="1"/>
  <c r="AN36" i="50"/>
  <c r="AK49" i="50"/>
  <c r="AK74" i="50"/>
  <c r="AQ20" i="50"/>
  <c r="AL49" i="50"/>
  <c r="AI178" i="48"/>
  <c r="AI288" i="48" s="1"/>
  <c r="AF238" i="48"/>
  <c r="AF216" i="48"/>
  <c r="AI183" i="48"/>
  <c r="AI203" i="48" s="1"/>
  <c r="AI184" i="48"/>
  <c r="AI225" i="48" s="1"/>
  <c r="AI175" i="48"/>
  <c r="AI255" i="48" s="1"/>
  <c r="AQ30" i="50"/>
  <c r="AP28" i="50"/>
  <c r="AP39" i="50" s="1"/>
  <c r="AO29" i="50"/>
  <c r="AN27" i="50"/>
  <c r="AN38" i="50" s="1"/>
  <c r="AI181" i="48"/>
  <c r="AH266" i="48"/>
  <c r="AF282" i="48"/>
  <c r="AE282" i="48"/>
  <c r="AH213" i="48"/>
  <c r="AG213" i="48"/>
  <c r="AG211" i="48"/>
  <c r="AG212" i="48"/>
  <c r="AH211" i="48"/>
  <c r="AH212" i="48"/>
  <c r="AG214" i="48"/>
  <c r="AG241" i="48" s="1"/>
  <c r="AH214" i="48"/>
  <c r="AH241" i="48" s="1"/>
  <c r="AG215" i="48"/>
  <c r="AG235" i="48" s="1"/>
  <c r="AH204" i="48"/>
  <c r="AH206" i="48"/>
  <c r="AH203" i="48"/>
  <c r="AH207" i="48"/>
  <c r="AH205" i="48"/>
  <c r="AH208" i="48"/>
  <c r="AI180" i="48"/>
  <c r="AH215" i="48"/>
  <c r="AH235" i="48" s="1"/>
  <c r="AL218" i="48"/>
  <c r="AM220" i="48"/>
  <c r="AM222" i="48"/>
  <c r="AL219" i="48"/>
  <c r="AM221" i="48"/>
  <c r="AE194" i="48"/>
  <c r="AI179" i="48"/>
  <c r="AI177" i="48"/>
  <c r="AI182" i="48"/>
  <c r="AG188" i="48"/>
  <c r="AG281" i="48" s="1"/>
  <c r="AM197" i="48"/>
  <c r="AL198" i="48"/>
  <c r="AG193" i="48"/>
  <c r="AG279" i="48" s="1"/>
  <c r="AG192" i="48"/>
  <c r="AG285" i="48" s="1"/>
  <c r="AM199" i="48"/>
  <c r="AL200" i="48"/>
  <c r="AL201" i="48"/>
  <c r="AG190" i="48"/>
  <c r="AF194" i="48"/>
  <c r="AG191" i="48"/>
  <c r="AG189" i="48"/>
  <c r="AM196" i="48"/>
  <c r="AJ165" i="48"/>
  <c r="AJ172" i="48" s="1"/>
  <c r="AJ183" i="48" s="1"/>
  <c r="AP105" i="48"/>
  <c r="AL111" i="48"/>
  <c r="AL112" i="48" s="1"/>
  <c r="AN106" i="48"/>
  <c r="AN107" i="48"/>
  <c r="AH185" i="48"/>
  <c r="AN104" i="48"/>
  <c r="AN103" i="48"/>
  <c r="AK112" i="48"/>
  <c r="AN108" i="48"/>
  <c r="AP109" i="48"/>
  <c r="AP19" i="50"/>
  <c r="AO21" i="50"/>
  <c r="AO15" i="50"/>
  <c r="AN17" i="50"/>
  <c r="AN35" i="50" s="1"/>
  <c r="AN40" i="50" s="1"/>
  <c r="AN45" i="50" s="1"/>
  <c r="AN47" i="50" s="1"/>
  <c r="AP11" i="50"/>
  <c r="AO33" i="50"/>
  <c r="AQ12" i="50"/>
  <c r="AP34" i="50"/>
  <c r="AM136" i="49"/>
  <c r="AM149" i="49" s="1"/>
  <c r="AN138" i="49"/>
  <c r="AN137" i="49"/>
  <c r="AN150" i="49" s="1"/>
  <c r="AO139" i="49"/>
  <c r="AM123" i="49"/>
  <c r="AN115" i="49"/>
  <c r="AM113" i="49"/>
  <c r="AM146" i="49" s="1"/>
  <c r="AN105" i="49"/>
  <c r="AQ87" i="49"/>
  <c r="AP94" i="49"/>
  <c r="AP145" i="49" s="1"/>
  <c r="AQ78" i="49"/>
  <c r="AP85" i="49"/>
  <c r="AP144" i="49" s="1"/>
  <c r="AO75" i="49"/>
  <c r="AN143" i="49"/>
  <c r="AO74" i="49"/>
  <c r="AN142" i="49"/>
  <c r="AO70" i="48"/>
  <c r="AO155" i="48" s="1"/>
  <c r="AN148" i="48"/>
  <c r="AN164" i="48" s="1"/>
  <c r="AO150" i="48"/>
  <c r="AM147" i="48"/>
  <c r="AM163" i="48" s="1"/>
  <c r="AN149" i="48"/>
  <c r="AN141" i="48"/>
  <c r="AM139" i="48"/>
  <c r="AM161" i="48" s="1"/>
  <c r="AO142" i="48"/>
  <c r="AN140" i="48"/>
  <c r="AN162" i="48" s="1"/>
  <c r="AL122" i="48"/>
  <c r="AK124" i="48"/>
  <c r="AK160" i="48" s="1"/>
  <c r="AR114" i="48"/>
  <c r="AP83" i="48"/>
  <c r="AO90" i="48"/>
  <c r="AO158" i="48" s="1"/>
  <c r="AQ71" i="48"/>
  <c r="AP156" i="48"/>
  <c r="AP102" i="48"/>
  <c r="AM110" i="48"/>
  <c r="AR75" i="48"/>
  <c r="AP81" i="48"/>
  <c r="AP157" i="48" s="1"/>
  <c r="AQ74" i="48"/>
  <c r="AI224" i="48" l="1"/>
  <c r="AI228" i="48"/>
  <c r="AI227" i="48"/>
  <c r="AI206" i="48"/>
  <c r="AI208" i="48"/>
  <c r="AI205" i="48"/>
  <c r="AH292" i="49"/>
  <c r="AF157" i="49"/>
  <c r="AH300" i="49"/>
  <c r="AG256" i="49"/>
  <c r="AI190" i="49"/>
  <c r="AH234" i="49"/>
  <c r="AH253" i="49" s="1"/>
  <c r="AH233" i="49"/>
  <c r="AH259" i="49" s="1"/>
  <c r="AK239" i="49"/>
  <c r="AJ245" i="49"/>
  <c r="AL182" i="49"/>
  <c r="AK186" i="49"/>
  <c r="AJ247" i="49"/>
  <c r="AK241" i="49"/>
  <c r="AH235" i="49"/>
  <c r="AH251" i="49" s="1"/>
  <c r="AK218" i="49"/>
  <c r="AJ225" i="49"/>
  <c r="AI178" i="49"/>
  <c r="AI177" i="49"/>
  <c r="AI287" i="49" s="1"/>
  <c r="AI211" i="49"/>
  <c r="AK181" i="49"/>
  <c r="AJ185" i="49"/>
  <c r="AK219" i="49"/>
  <c r="AJ226" i="49"/>
  <c r="AK203" i="49"/>
  <c r="AJ206" i="49"/>
  <c r="AI176" i="49"/>
  <c r="AK180" i="49"/>
  <c r="AJ184" i="49"/>
  <c r="AK221" i="49"/>
  <c r="AJ228" i="49"/>
  <c r="AL193" i="49"/>
  <c r="AK196" i="49"/>
  <c r="AJ195" i="49"/>
  <c r="AJ189" i="49" s="1"/>
  <c r="AK192" i="49"/>
  <c r="AI244" i="49"/>
  <c r="AJ238" i="49"/>
  <c r="AI214" i="49"/>
  <c r="AI295" i="49" s="1"/>
  <c r="AI209" i="49"/>
  <c r="AI299" i="49" s="1"/>
  <c r="AH200" i="49"/>
  <c r="AH284" i="49" s="1"/>
  <c r="AH232" i="49"/>
  <c r="AH231" i="49"/>
  <c r="AI205" i="49"/>
  <c r="AI199" i="49" s="1"/>
  <c r="AI292" i="49" s="1"/>
  <c r="AJ202" i="49"/>
  <c r="AK216" i="49"/>
  <c r="AJ223" i="49"/>
  <c r="AK217" i="49"/>
  <c r="AJ224" i="49"/>
  <c r="AI213" i="49"/>
  <c r="AI297" i="49" s="1"/>
  <c r="AJ237" i="49"/>
  <c r="AI243" i="49"/>
  <c r="AJ240" i="49"/>
  <c r="AI246" i="49"/>
  <c r="AI212" i="49"/>
  <c r="AI303" i="49" s="1"/>
  <c r="AI210" i="49"/>
  <c r="AI300" i="49" s="1"/>
  <c r="AJ227" i="49"/>
  <c r="AK220" i="49"/>
  <c r="AL159" i="49"/>
  <c r="AL170" i="49" s="1"/>
  <c r="AL273" i="49" s="1"/>
  <c r="AL163" i="49"/>
  <c r="AL164" i="49"/>
  <c r="AL161" i="49"/>
  <c r="AL174" i="49" s="1"/>
  <c r="AL165" i="49"/>
  <c r="AL162" i="49"/>
  <c r="AL166" i="49"/>
  <c r="AL160" i="49"/>
  <c r="AL172" i="49" s="1"/>
  <c r="AL306" i="49" s="1"/>
  <c r="AP117" i="49"/>
  <c r="AP121" i="49"/>
  <c r="AP119" i="49"/>
  <c r="AM147" i="49"/>
  <c r="AM151" i="49" s="1"/>
  <c r="AM156" i="49" s="1"/>
  <c r="AP116" i="49"/>
  <c r="AP122" i="49"/>
  <c r="AP118" i="49"/>
  <c r="AP120" i="49"/>
  <c r="AK167" i="49"/>
  <c r="AM48" i="50"/>
  <c r="AM96" i="50" s="1"/>
  <c r="AN74" i="50"/>
  <c r="AN48" i="50"/>
  <c r="AN96" i="50" s="1"/>
  <c r="AR20" i="50"/>
  <c r="AO36" i="50"/>
  <c r="AI226" i="48"/>
  <c r="AI204" i="48"/>
  <c r="AI207" i="48"/>
  <c r="AP29" i="50"/>
  <c r="AO27" i="50"/>
  <c r="AO38" i="50" s="1"/>
  <c r="AR30" i="50"/>
  <c r="AQ28" i="50"/>
  <c r="AQ39" i="50" s="1"/>
  <c r="AI266" i="48"/>
  <c r="AJ175" i="48"/>
  <c r="AJ255" i="48" s="1"/>
  <c r="AG238" i="48"/>
  <c r="AH238" i="48"/>
  <c r="AG282" i="48"/>
  <c r="AI185" i="48"/>
  <c r="AH216" i="48"/>
  <c r="AG216" i="48"/>
  <c r="AJ203" i="48"/>
  <c r="AJ204" i="48"/>
  <c r="AJ206" i="48"/>
  <c r="AJ205" i="48"/>
  <c r="AJ208" i="48"/>
  <c r="AJ207" i="48"/>
  <c r="AN221" i="48"/>
  <c r="AN220" i="48"/>
  <c r="AM218" i="48"/>
  <c r="AM219" i="48"/>
  <c r="AN222" i="48"/>
  <c r="AJ180" i="48"/>
  <c r="AG194" i="48"/>
  <c r="AJ178" i="48"/>
  <c r="AJ288" i="48" s="1"/>
  <c r="AN199" i="48"/>
  <c r="AJ177" i="48"/>
  <c r="AJ184" i="48"/>
  <c r="AM201" i="48"/>
  <c r="AJ181" i="48"/>
  <c r="AM198" i="48"/>
  <c r="AJ179" i="48"/>
  <c r="AN196" i="48"/>
  <c r="AM200" i="48"/>
  <c r="AN197" i="48"/>
  <c r="AJ176" i="48"/>
  <c r="AJ182" i="48"/>
  <c r="AM111" i="48"/>
  <c r="AM112" i="48" s="1"/>
  <c r="AQ109" i="48"/>
  <c r="AO106" i="48"/>
  <c r="AO103" i="48"/>
  <c r="AO108" i="48"/>
  <c r="AO104" i="48"/>
  <c r="AO107" i="48"/>
  <c r="AL159" i="48"/>
  <c r="AQ105" i="48"/>
  <c r="AK159" i="48"/>
  <c r="AK165" i="48" s="1"/>
  <c r="AK172" i="48" s="1"/>
  <c r="AO17" i="50"/>
  <c r="AO35" i="50" s="1"/>
  <c r="AP15" i="50"/>
  <c r="AP21" i="50"/>
  <c r="AQ19" i="50"/>
  <c r="AR12" i="50"/>
  <c r="AQ34" i="50"/>
  <c r="AQ11" i="50"/>
  <c r="AP33" i="50"/>
  <c r="AO137" i="49"/>
  <c r="AO150" i="49" s="1"/>
  <c r="AP139" i="49"/>
  <c r="AN136" i="49"/>
  <c r="AN149" i="49" s="1"/>
  <c r="AO138" i="49"/>
  <c r="AO115" i="49"/>
  <c r="AN123" i="49"/>
  <c r="AN113" i="49"/>
  <c r="AN146" i="49" s="1"/>
  <c r="AO105" i="49"/>
  <c r="AR78" i="49"/>
  <c r="AQ85" i="49"/>
  <c r="AQ144" i="49" s="1"/>
  <c r="AQ94" i="49"/>
  <c r="AQ145" i="49" s="1"/>
  <c r="AR87" i="49"/>
  <c r="AP74" i="49"/>
  <c r="AO142" i="49"/>
  <c r="AP75" i="49"/>
  <c r="AO143" i="49"/>
  <c r="AP70" i="48"/>
  <c r="AP155" i="48" s="1"/>
  <c r="AN147" i="48"/>
  <c r="AN163" i="48" s="1"/>
  <c r="AO149" i="48"/>
  <c r="AO148" i="48"/>
  <c r="AO164" i="48" s="1"/>
  <c r="AP150" i="48"/>
  <c r="AP142" i="48"/>
  <c r="AO140" i="48"/>
  <c r="AO162" i="48" s="1"/>
  <c r="AO141" i="48"/>
  <c r="AN139" i="48"/>
  <c r="AN161" i="48" s="1"/>
  <c r="AM122" i="48"/>
  <c r="AL124" i="48"/>
  <c r="AL160" i="48" s="1"/>
  <c r="AS114" i="48"/>
  <c r="AP90" i="48"/>
  <c r="AP158" i="48" s="1"/>
  <c r="AQ83" i="48"/>
  <c r="AR71" i="48"/>
  <c r="AQ156" i="48"/>
  <c r="AN110" i="48"/>
  <c r="AQ102" i="48"/>
  <c r="AS75" i="48"/>
  <c r="AQ81" i="48"/>
  <c r="AQ157" i="48" s="1"/>
  <c r="AR74" i="48"/>
  <c r="AI211" i="48" l="1"/>
  <c r="AG157" i="49"/>
  <c r="AM49" i="50"/>
  <c r="AH256" i="49"/>
  <c r="AH157" i="49"/>
  <c r="AJ176" i="49"/>
  <c r="AJ178" i="49"/>
  <c r="AJ213" i="49"/>
  <c r="AJ297" i="49" s="1"/>
  <c r="AI231" i="49"/>
  <c r="AK240" i="49"/>
  <c r="AJ246" i="49"/>
  <c r="AL216" i="49"/>
  <c r="AK223" i="49"/>
  <c r="AK238" i="49"/>
  <c r="AJ244" i="49"/>
  <c r="AJ177" i="49"/>
  <c r="AJ287" i="49" s="1"/>
  <c r="AI233" i="49"/>
  <c r="AI259" i="49" s="1"/>
  <c r="AK202" i="49"/>
  <c r="AJ205" i="49"/>
  <c r="AJ199" i="49" s="1"/>
  <c r="AJ292" i="49" s="1"/>
  <c r="AI232" i="49"/>
  <c r="AL180" i="49"/>
  <c r="AK184" i="49"/>
  <c r="AK185" i="49"/>
  <c r="AL181" i="49"/>
  <c r="AL220" i="49"/>
  <c r="AK227" i="49"/>
  <c r="AK237" i="49"/>
  <c r="AJ243" i="49"/>
  <c r="AK195" i="49"/>
  <c r="AK189" i="49" s="1"/>
  <c r="AL192" i="49"/>
  <c r="AJ190" i="49"/>
  <c r="AL241" i="49"/>
  <c r="AK247" i="49"/>
  <c r="AI200" i="49"/>
  <c r="AI284" i="49" s="1"/>
  <c r="AJ210" i="49"/>
  <c r="AM193" i="49"/>
  <c r="AL196" i="49"/>
  <c r="AL203" i="49"/>
  <c r="AK206" i="49"/>
  <c r="AM182" i="49"/>
  <c r="AL186" i="49"/>
  <c r="AI235" i="49"/>
  <c r="AI251" i="49" s="1"/>
  <c r="AL217" i="49"/>
  <c r="AK224" i="49"/>
  <c r="AJ214" i="49"/>
  <c r="AJ295" i="49" s="1"/>
  <c r="AJ212" i="49"/>
  <c r="AJ303" i="49" s="1"/>
  <c r="AJ211" i="49"/>
  <c r="AI234" i="49"/>
  <c r="AI253" i="49" s="1"/>
  <c r="AJ209" i="49"/>
  <c r="AJ299" i="49" s="1"/>
  <c r="AK228" i="49"/>
  <c r="AL221" i="49"/>
  <c r="AK226" i="49"/>
  <c r="AL219" i="49"/>
  <c r="AL218" i="49"/>
  <c r="AK225" i="49"/>
  <c r="AK245" i="49"/>
  <c r="AL239" i="49"/>
  <c r="AM159" i="49"/>
  <c r="AM170" i="49" s="1"/>
  <c r="AM273" i="49" s="1"/>
  <c r="AM161" i="49"/>
  <c r="AM174" i="49" s="1"/>
  <c r="AM165" i="49"/>
  <c r="AM160" i="49"/>
  <c r="AM172" i="49" s="1"/>
  <c r="AM306" i="49" s="1"/>
  <c r="AM164" i="49"/>
  <c r="AM166" i="49"/>
  <c r="AM162" i="49"/>
  <c r="AM163" i="49"/>
  <c r="AQ116" i="49"/>
  <c r="AQ118" i="49"/>
  <c r="AQ121" i="49"/>
  <c r="AQ120" i="49"/>
  <c r="AN147" i="49"/>
  <c r="AN151" i="49" s="1"/>
  <c r="AN156" i="49" s="1"/>
  <c r="AQ122" i="49"/>
  <c r="AQ119" i="49"/>
  <c r="AQ117" i="49"/>
  <c r="AL167" i="49"/>
  <c r="AO40" i="50"/>
  <c r="AO45" i="50" s="1"/>
  <c r="AO48" i="50" s="1"/>
  <c r="AO96" i="50" s="1"/>
  <c r="AS20" i="50"/>
  <c r="AP36" i="50"/>
  <c r="AO47" i="50"/>
  <c r="AN49" i="50"/>
  <c r="AI215" i="48"/>
  <c r="AI235" i="48" s="1"/>
  <c r="AI212" i="48"/>
  <c r="AI213" i="48"/>
  <c r="AI214" i="48"/>
  <c r="AI241" i="48" s="1"/>
  <c r="AL165" i="48"/>
  <c r="AL172" i="48" s="1"/>
  <c r="AL178" i="48" s="1"/>
  <c r="AL288" i="48" s="1"/>
  <c r="AS30" i="50"/>
  <c r="AR28" i="50"/>
  <c r="AR39" i="50" s="1"/>
  <c r="AQ29" i="50"/>
  <c r="AP27" i="50"/>
  <c r="AP38" i="50" s="1"/>
  <c r="AJ266" i="48"/>
  <c r="AJ228" i="48"/>
  <c r="AJ227" i="48"/>
  <c r="AJ226" i="48"/>
  <c r="AJ224" i="48"/>
  <c r="AJ225" i="48"/>
  <c r="AJ185" i="48"/>
  <c r="AN219" i="48"/>
  <c r="AN218" i="48"/>
  <c r="AO220" i="48"/>
  <c r="AO222" i="48"/>
  <c r="AO221" i="48"/>
  <c r="AH192" i="48"/>
  <c r="AH285" i="48" s="1"/>
  <c r="AI193" i="48"/>
  <c r="AI279" i="48" s="1"/>
  <c r="AJ190" i="48"/>
  <c r="AO196" i="48"/>
  <c r="AH190" i="48"/>
  <c r="AI188" i="48"/>
  <c r="AI281" i="48" s="1"/>
  <c r="AH193" i="48"/>
  <c r="AH279" i="48" s="1"/>
  <c r="AI189" i="48"/>
  <c r="AH188" i="48"/>
  <c r="AH281" i="48" s="1"/>
  <c r="AI191" i="48"/>
  <c r="AN198" i="48"/>
  <c r="AH189" i="48"/>
  <c r="AO197" i="48"/>
  <c r="AH191" i="48"/>
  <c r="AI190" i="48"/>
  <c r="AN200" i="48"/>
  <c r="AN201" i="48"/>
  <c r="AI192" i="48"/>
  <c r="AI285" i="48" s="1"/>
  <c r="AO199" i="48"/>
  <c r="AK177" i="48"/>
  <c r="AK181" i="48"/>
  <c r="AK180" i="48"/>
  <c r="AK176" i="48"/>
  <c r="AK182" i="48"/>
  <c r="AK179" i="48"/>
  <c r="AK183" i="48"/>
  <c r="AK175" i="48"/>
  <c r="AK255" i="48" s="1"/>
  <c r="AK178" i="48"/>
  <c r="AK288" i="48" s="1"/>
  <c r="AK184" i="48"/>
  <c r="AP107" i="48"/>
  <c r="AP106" i="48"/>
  <c r="AP104" i="48"/>
  <c r="AR109" i="48"/>
  <c r="AR105" i="48"/>
  <c r="AP108" i="48"/>
  <c r="AN111" i="48"/>
  <c r="AN112" i="48" s="1"/>
  <c r="AM159" i="48"/>
  <c r="AP103" i="48"/>
  <c r="AP17" i="50"/>
  <c r="AP35" i="50" s="1"/>
  <c r="AQ15" i="50"/>
  <c r="AR19" i="50"/>
  <c r="AQ21" i="50"/>
  <c r="AR11" i="50"/>
  <c r="AQ33" i="50"/>
  <c r="AS12" i="50"/>
  <c r="AR34" i="50"/>
  <c r="AO136" i="49"/>
  <c r="AO149" i="49" s="1"/>
  <c r="AP138" i="49"/>
  <c r="AP137" i="49"/>
  <c r="AP150" i="49" s="1"/>
  <c r="AQ139" i="49"/>
  <c r="AO113" i="49"/>
  <c r="AO146" i="49" s="1"/>
  <c r="AP105" i="49"/>
  <c r="AO123" i="49"/>
  <c r="AP115" i="49"/>
  <c r="AR94" i="49"/>
  <c r="AR145" i="49" s="1"/>
  <c r="AS87" i="49"/>
  <c r="AS78" i="49"/>
  <c r="AR85" i="49"/>
  <c r="AR144" i="49" s="1"/>
  <c r="AQ75" i="49"/>
  <c r="AP143" i="49"/>
  <c r="AQ74" i="49"/>
  <c r="AP142" i="49"/>
  <c r="AQ70" i="48"/>
  <c r="AQ155" i="48" s="1"/>
  <c r="AQ150" i="48"/>
  <c r="AP148" i="48"/>
  <c r="AP164" i="48" s="1"/>
  <c r="AP149" i="48"/>
  <c r="AO147" i="48"/>
  <c r="AO163" i="48" s="1"/>
  <c r="AP141" i="48"/>
  <c r="AO139" i="48"/>
  <c r="AO161" i="48" s="1"/>
  <c r="AQ142" i="48"/>
  <c r="AP140" i="48"/>
  <c r="AP162" i="48" s="1"/>
  <c r="AN122" i="48"/>
  <c r="AM124" i="48"/>
  <c r="AM160" i="48" s="1"/>
  <c r="AT114" i="48"/>
  <c r="AR83" i="48"/>
  <c r="AQ90" i="48"/>
  <c r="AQ158" i="48" s="1"/>
  <c r="AS71" i="48"/>
  <c r="AR156" i="48"/>
  <c r="AR102" i="48"/>
  <c r="AO110" i="48"/>
  <c r="AT75" i="48"/>
  <c r="AS74" i="48"/>
  <c r="AR81" i="48"/>
  <c r="AR157" i="48" s="1"/>
  <c r="AI238" i="48" l="1"/>
  <c r="AJ200" i="49"/>
  <c r="AJ284" i="49" s="1"/>
  <c r="AJ300" i="49"/>
  <c r="AK178" i="49"/>
  <c r="AI256" i="49"/>
  <c r="AK177" i="49"/>
  <c r="AK287" i="49" s="1"/>
  <c r="AJ233" i="49"/>
  <c r="AJ259" i="49" s="1"/>
  <c r="AJ232" i="49"/>
  <c r="AK212" i="49"/>
  <c r="AK303" i="49" s="1"/>
  <c r="AM221" i="49"/>
  <c r="AL228" i="49"/>
  <c r="AK210" i="49"/>
  <c r="AN193" i="49"/>
  <c r="AM196" i="49"/>
  <c r="AL247" i="49"/>
  <c r="AM241" i="49"/>
  <c r="AL185" i="49"/>
  <c r="AM181" i="49"/>
  <c r="AK214" i="49"/>
  <c r="AK295" i="49" s="1"/>
  <c r="AM217" i="49"/>
  <c r="AL224" i="49"/>
  <c r="AL245" i="49"/>
  <c r="AM239" i="49"/>
  <c r="AM192" i="49"/>
  <c r="AL195" i="49"/>
  <c r="AL189" i="49" s="1"/>
  <c r="AK176" i="49"/>
  <c r="AK244" i="49"/>
  <c r="AL238" i="49"/>
  <c r="AM180" i="49"/>
  <c r="AL184" i="49"/>
  <c r="AK209" i="49"/>
  <c r="AK299" i="49" s="1"/>
  <c r="AK211" i="49"/>
  <c r="AM186" i="49"/>
  <c r="AN182" i="49"/>
  <c r="AK190" i="49"/>
  <c r="AJ231" i="49"/>
  <c r="AM216" i="49"/>
  <c r="AL223" i="49"/>
  <c r="AM218" i="49"/>
  <c r="AL225" i="49"/>
  <c r="AJ235" i="49"/>
  <c r="AJ251" i="49" s="1"/>
  <c r="AK243" i="49"/>
  <c r="AL237" i="49"/>
  <c r="AJ234" i="49"/>
  <c r="AJ253" i="49" s="1"/>
  <c r="AM220" i="49"/>
  <c r="AL227" i="49"/>
  <c r="AL226" i="49"/>
  <c r="AM219" i="49"/>
  <c r="AM203" i="49"/>
  <c r="AL206" i="49"/>
  <c r="AK213" i="49"/>
  <c r="AK297" i="49" s="1"/>
  <c r="AK205" i="49"/>
  <c r="AK199" i="49" s="1"/>
  <c r="AK292" i="49" s="1"/>
  <c r="AL202" i="49"/>
  <c r="AL240" i="49"/>
  <c r="AK246" i="49"/>
  <c r="AN159" i="49"/>
  <c r="AN170" i="49" s="1"/>
  <c r="AN273" i="49" s="1"/>
  <c r="AN160" i="49"/>
  <c r="AN172" i="49" s="1"/>
  <c r="AN306" i="49" s="1"/>
  <c r="AN164" i="49"/>
  <c r="AN165" i="49"/>
  <c r="AR120" i="49"/>
  <c r="AR117" i="49"/>
  <c r="AN162" i="49"/>
  <c r="AR119" i="49"/>
  <c r="AN163" i="49"/>
  <c r="AR118" i="49"/>
  <c r="AN161" i="49"/>
  <c r="AN174" i="49" s="1"/>
  <c r="AR121" i="49"/>
  <c r="AO147" i="49"/>
  <c r="AO151" i="49" s="1"/>
  <c r="AO156" i="49" s="1"/>
  <c r="AR122" i="49"/>
  <c r="AR116" i="49"/>
  <c r="AN166" i="49"/>
  <c r="AM167" i="49"/>
  <c r="AP40" i="50"/>
  <c r="AP45" i="50" s="1"/>
  <c r="AP47" i="50" s="1"/>
  <c r="AP74" i="50" s="1"/>
  <c r="AO49" i="50"/>
  <c r="AO74" i="50"/>
  <c r="AQ36" i="50"/>
  <c r="AT20" i="50"/>
  <c r="AI216" i="48"/>
  <c r="AL175" i="48"/>
  <c r="AL255" i="48" s="1"/>
  <c r="AL181" i="48"/>
  <c r="AL182" i="48"/>
  <c r="AL180" i="48"/>
  <c r="AL184" i="48"/>
  <c r="AL228" i="48" s="1"/>
  <c r="AL179" i="48"/>
  <c r="AL177" i="48"/>
  <c r="AL176" i="48"/>
  <c r="AL183" i="48"/>
  <c r="AL203" i="48" s="1"/>
  <c r="AR29" i="50"/>
  <c r="AQ27" i="50"/>
  <c r="AQ38" i="50" s="1"/>
  <c r="AT30" i="50"/>
  <c r="AS28" i="50"/>
  <c r="AS39" i="50" s="1"/>
  <c r="AM165" i="48"/>
  <c r="AM172" i="48" s="1"/>
  <c r="AM177" i="48" s="1"/>
  <c r="AK266" i="48"/>
  <c r="AH282" i="48"/>
  <c r="AI282" i="48"/>
  <c r="AJ212" i="48"/>
  <c r="AK203" i="48"/>
  <c r="AK206" i="48"/>
  <c r="AK204" i="48"/>
  <c r="AK208" i="48"/>
  <c r="AK207" i="48"/>
  <c r="AK205" i="48"/>
  <c r="AJ211" i="48"/>
  <c r="AJ213" i="48"/>
  <c r="AK227" i="48"/>
  <c r="AK226" i="48"/>
  <c r="AK228" i="48"/>
  <c r="AK225" i="48"/>
  <c r="AK224" i="48"/>
  <c r="AJ214" i="48"/>
  <c r="AJ241" i="48" s="1"/>
  <c r="AJ215" i="48"/>
  <c r="AJ235" i="48" s="1"/>
  <c r="AP220" i="48"/>
  <c r="AP221" i="48"/>
  <c r="AP222" i="48"/>
  <c r="AO218" i="48"/>
  <c r="AO219" i="48"/>
  <c r="AJ192" i="48"/>
  <c r="AJ285" i="48" s="1"/>
  <c r="AJ191" i="48"/>
  <c r="AO198" i="48"/>
  <c r="AP196" i="48"/>
  <c r="AO201" i="48"/>
  <c r="AO200" i="48"/>
  <c r="AH194" i="48"/>
  <c r="AJ193" i="48"/>
  <c r="AJ279" i="48" s="1"/>
  <c r="AP199" i="48"/>
  <c r="AJ189" i="48"/>
  <c r="AP197" i="48"/>
  <c r="AI194" i="48"/>
  <c r="AJ188" i="48"/>
  <c r="AJ281" i="48" s="1"/>
  <c r="AQ108" i="48"/>
  <c r="AS109" i="48"/>
  <c r="AQ107" i="48"/>
  <c r="AK185" i="48"/>
  <c r="AQ104" i="48"/>
  <c r="AQ103" i="48"/>
  <c r="AS105" i="48"/>
  <c r="AO111" i="48"/>
  <c r="AO112" i="48" s="1"/>
  <c r="AQ106" i="48"/>
  <c r="AN159" i="48"/>
  <c r="AR21" i="50"/>
  <c r="AS19" i="50"/>
  <c r="AQ17" i="50"/>
  <c r="AQ35" i="50" s="1"/>
  <c r="AR15" i="50"/>
  <c r="AT12" i="50"/>
  <c r="AS34" i="50"/>
  <c r="AS11" i="50"/>
  <c r="AR33" i="50"/>
  <c r="AQ137" i="49"/>
  <c r="AQ150" i="49" s="1"/>
  <c r="AR139" i="49"/>
  <c r="AP136" i="49"/>
  <c r="AP149" i="49" s="1"/>
  <c r="AQ138" i="49"/>
  <c r="AP123" i="49"/>
  <c r="AQ115" i="49"/>
  <c r="AQ105" i="49"/>
  <c r="AP113" i="49"/>
  <c r="AP146" i="49" s="1"/>
  <c r="AT78" i="49"/>
  <c r="AS85" i="49"/>
  <c r="AS144" i="49" s="1"/>
  <c r="AS94" i="49"/>
  <c r="AS145" i="49" s="1"/>
  <c r="AT87" i="49"/>
  <c r="AR74" i="49"/>
  <c r="AQ142" i="49"/>
  <c r="AR75" i="49"/>
  <c r="AQ143" i="49"/>
  <c r="AR70" i="48"/>
  <c r="AR155" i="48" s="1"/>
  <c r="AP147" i="48"/>
  <c r="AP163" i="48" s="1"/>
  <c r="AQ149" i="48"/>
  <c r="AR150" i="48"/>
  <c r="AQ148" i="48"/>
  <c r="AQ164" i="48" s="1"/>
  <c r="AR142" i="48"/>
  <c r="AQ140" i="48"/>
  <c r="AQ162" i="48" s="1"/>
  <c r="AQ141" i="48"/>
  <c r="AP139" i="48"/>
  <c r="AP161" i="48" s="1"/>
  <c r="AO122" i="48"/>
  <c r="AN124" i="48"/>
  <c r="AN160" i="48" s="1"/>
  <c r="AU114" i="48"/>
  <c r="AR90" i="48"/>
  <c r="AR158" i="48" s="1"/>
  <c r="AS83" i="48"/>
  <c r="AT71" i="48"/>
  <c r="AS156" i="48"/>
  <c r="AP110" i="48"/>
  <c r="AS102" i="48"/>
  <c r="AU75" i="48"/>
  <c r="AT74" i="48"/>
  <c r="AS81" i="48"/>
  <c r="AS157" i="48" s="1"/>
  <c r="AL266" i="48" l="1"/>
  <c r="AI157" i="49"/>
  <c r="AK300" i="49"/>
  <c r="AJ256" i="49"/>
  <c r="AL176" i="49"/>
  <c r="AL212" i="49"/>
  <c r="AL303" i="49" s="1"/>
  <c r="AL190" i="49"/>
  <c r="AL210" i="49"/>
  <c r="AK231" i="49"/>
  <c r="AL178" i="49"/>
  <c r="AM237" i="49"/>
  <c r="AL243" i="49"/>
  <c r="AN203" i="49"/>
  <c r="AM206" i="49"/>
  <c r="AO182" i="49"/>
  <c r="AN186" i="49"/>
  <c r="AK233" i="49"/>
  <c r="AK259" i="49" s="1"/>
  <c r="AN192" i="49"/>
  <c r="AM195" i="49"/>
  <c r="AM189" i="49" s="1"/>
  <c r="AN239" i="49"/>
  <c r="AM245" i="49"/>
  <c r="AN219" i="49"/>
  <c r="AM226" i="49"/>
  <c r="AK200" i="49"/>
  <c r="AK284" i="49" s="1"/>
  <c r="AL244" i="49"/>
  <c r="AM238" i="49"/>
  <c r="AM224" i="49"/>
  <c r="AN217" i="49"/>
  <c r="AN196" i="49"/>
  <c r="AO193" i="49"/>
  <c r="AK234" i="49"/>
  <c r="AK253" i="49" s="1"/>
  <c r="AL211" i="49"/>
  <c r="AK232" i="49"/>
  <c r="AL177" i="49"/>
  <c r="AL287" i="49" s="1"/>
  <c r="AM247" i="49"/>
  <c r="AN241" i="49"/>
  <c r="AM240" i="49"/>
  <c r="AL246" i="49"/>
  <c r="AL213" i="49"/>
  <c r="AL297" i="49" s="1"/>
  <c r="AM225" i="49"/>
  <c r="AN218" i="49"/>
  <c r="AK235" i="49"/>
  <c r="AK251" i="49" s="1"/>
  <c r="AL214" i="49"/>
  <c r="AL295" i="49" s="1"/>
  <c r="AN216" i="49"/>
  <c r="AM223" i="49"/>
  <c r="AN180" i="49"/>
  <c r="AM184" i="49"/>
  <c r="AM202" i="49"/>
  <c r="AL205" i="49"/>
  <c r="AL199" i="49" s="1"/>
  <c r="AL292" i="49" s="1"/>
  <c r="AM227" i="49"/>
  <c r="AN220" i="49"/>
  <c r="AL209" i="49"/>
  <c r="AL299" i="49" s="1"/>
  <c r="AN181" i="49"/>
  <c r="AM185" i="49"/>
  <c r="AN221" i="49"/>
  <c r="AM228" i="49"/>
  <c r="AN167" i="49"/>
  <c r="AO159" i="49"/>
  <c r="AO170" i="49" s="1"/>
  <c r="AO273" i="49" s="1"/>
  <c r="AO160" i="49"/>
  <c r="AO172" i="49" s="1"/>
  <c r="AO306" i="49" s="1"/>
  <c r="AO164" i="49"/>
  <c r="AO161" i="49"/>
  <c r="AO174" i="49" s="1"/>
  <c r="AO166" i="49"/>
  <c r="AO165" i="49"/>
  <c r="AO162" i="49"/>
  <c r="AO163" i="49"/>
  <c r="AP147" i="49"/>
  <c r="AP151" i="49" s="1"/>
  <c r="AP156" i="49" s="1"/>
  <c r="AP161" i="49" s="1"/>
  <c r="AP174" i="49" s="1"/>
  <c r="AS121" i="49"/>
  <c r="AS117" i="49"/>
  <c r="AS119" i="49"/>
  <c r="AS116" i="49"/>
  <c r="AS118" i="49"/>
  <c r="AS120" i="49"/>
  <c r="AS122" i="49"/>
  <c r="AP48" i="50"/>
  <c r="AP96" i="50" s="1"/>
  <c r="AQ40" i="50"/>
  <c r="AQ45" i="50" s="1"/>
  <c r="AR36" i="50"/>
  <c r="AU20" i="50"/>
  <c r="AM182" i="48"/>
  <c r="AM178" i="48"/>
  <c r="AM288" i="48" s="1"/>
  <c r="AM181" i="48"/>
  <c r="AL224" i="48"/>
  <c r="AM180" i="48"/>
  <c r="AM183" i="48"/>
  <c r="AM204" i="48" s="1"/>
  <c r="AL204" i="48"/>
  <c r="AM184" i="48"/>
  <c r="AM224" i="48" s="1"/>
  <c r="AL206" i="48"/>
  <c r="AM179" i="48"/>
  <c r="AM176" i="48"/>
  <c r="AL225" i="48"/>
  <c r="AL208" i="48"/>
  <c r="AL205" i="48"/>
  <c r="AL226" i="48"/>
  <c r="AL185" i="48"/>
  <c r="AL207" i="48"/>
  <c r="AL227" i="48"/>
  <c r="AM175" i="48"/>
  <c r="AM255" i="48" s="1"/>
  <c r="AU30" i="50"/>
  <c r="AT28" i="50"/>
  <c r="AT39" i="50" s="1"/>
  <c r="AS29" i="50"/>
  <c r="AR27" i="50"/>
  <c r="AR38" i="50" s="1"/>
  <c r="AJ238" i="48"/>
  <c r="AJ282" i="48"/>
  <c r="AK214" i="48"/>
  <c r="AK241" i="48" s="1"/>
  <c r="AJ216" i="48"/>
  <c r="AK211" i="48"/>
  <c r="AN165" i="48"/>
  <c r="AN172" i="48" s="1"/>
  <c r="AN183" i="48" s="1"/>
  <c r="AM203" i="48"/>
  <c r="AM208" i="48"/>
  <c r="AK212" i="48"/>
  <c r="AK215" i="48"/>
  <c r="AK235" i="48" s="1"/>
  <c r="AK213" i="48"/>
  <c r="AP219" i="48"/>
  <c r="AQ221" i="48"/>
  <c r="AQ222" i="48"/>
  <c r="AP218" i="48"/>
  <c r="AQ220" i="48"/>
  <c r="AP198" i="48"/>
  <c r="AK193" i="48"/>
  <c r="AK279" i="48" s="1"/>
  <c r="AQ197" i="48"/>
  <c r="AP200" i="48"/>
  <c r="AP201" i="48"/>
  <c r="AQ199" i="48"/>
  <c r="AQ196" i="48"/>
  <c r="AJ194" i="48"/>
  <c r="AP111" i="48"/>
  <c r="AP112" i="48" s="1"/>
  <c r="AT105" i="48"/>
  <c r="AR107" i="48"/>
  <c r="AR103" i="48"/>
  <c r="AT109" i="48"/>
  <c r="AO159" i="48"/>
  <c r="AR106" i="48"/>
  <c r="AR104" i="48"/>
  <c r="AR108" i="48"/>
  <c r="AS15" i="50"/>
  <c r="AR17" i="50"/>
  <c r="AR35" i="50" s="1"/>
  <c r="AS21" i="50"/>
  <c r="AT19" i="50"/>
  <c r="AT11" i="50"/>
  <c r="AS33" i="50"/>
  <c r="AU12" i="50"/>
  <c r="AT34" i="50"/>
  <c r="AR137" i="49"/>
  <c r="AR150" i="49" s="1"/>
  <c r="AS139" i="49"/>
  <c r="AQ136" i="49"/>
  <c r="AQ149" i="49" s="1"/>
  <c r="AR138" i="49"/>
  <c r="AR105" i="49"/>
  <c r="AQ113" i="49"/>
  <c r="AQ146" i="49" s="1"/>
  <c r="AR115" i="49"/>
  <c r="AQ123" i="49"/>
  <c r="AT94" i="49"/>
  <c r="AT145" i="49" s="1"/>
  <c r="AU87" i="49"/>
  <c r="AU78" i="49"/>
  <c r="AT85" i="49"/>
  <c r="AT144" i="49" s="1"/>
  <c r="AS75" i="49"/>
  <c r="AR143" i="49"/>
  <c r="AS74" i="49"/>
  <c r="AR142" i="49"/>
  <c r="AS70" i="48"/>
  <c r="AS155" i="48" s="1"/>
  <c r="AS150" i="48"/>
  <c r="AR148" i="48"/>
  <c r="AR164" i="48" s="1"/>
  <c r="AQ147" i="48"/>
  <c r="AQ163" i="48" s="1"/>
  <c r="AR149" i="48"/>
  <c r="AR141" i="48"/>
  <c r="AQ139" i="48"/>
  <c r="AQ161" i="48" s="1"/>
  <c r="AS142" i="48"/>
  <c r="AR140" i="48"/>
  <c r="AR162" i="48" s="1"/>
  <c r="AP122" i="48"/>
  <c r="AO124" i="48"/>
  <c r="AO160" i="48" s="1"/>
  <c r="AV114" i="48"/>
  <c r="AT83" i="48"/>
  <c r="AS90" i="48"/>
  <c r="AS158" i="48" s="1"/>
  <c r="AU71" i="48"/>
  <c r="AT156" i="48"/>
  <c r="AT102" i="48"/>
  <c r="AQ110" i="48"/>
  <c r="AV75" i="48"/>
  <c r="AU74" i="48"/>
  <c r="AT81" i="48"/>
  <c r="AT157" i="48" s="1"/>
  <c r="AJ157" i="49" l="1"/>
  <c r="AM176" i="49"/>
  <c r="AL300" i="49"/>
  <c r="AK256" i="49"/>
  <c r="AK157" i="49"/>
  <c r="AM210" i="49"/>
  <c r="AL231" i="49"/>
  <c r="AM244" i="49"/>
  <c r="AN238" i="49"/>
  <c r="AO218" i="49"/>
  <c r="AN225" i="49"/>
  <c r="AL232" i="49"/>
  <c r="AO192" i="49"/>
  <c r="AN195" i="49"/>
  <c r="AN189" i="49" s="1"/>
  <c r="AM243" i="49"/>
  <c r="AN237" i="49"/>
  <c r="AO239" i="49"/>
  <c r="AN245" i="49"/>
  <c r="AM213" i="49"/>
  <c r="AM297" i="49" s="1"/>
  <c r="AM214" i="49"/>
  <c r="AM295" i="49" s="1"/>
  <c r="AN202" i="49"/>
  <c r="AM205" i="49"/>
  <c r="AM199" i="49" s="1"/>
  <c r="AM292" i="49" s="1"/>
  <c r="AM211" i="49"/>
  <c r="AM178" i="49"/>
  <c r="AM190" i="49"/>
  <c r="AL235" i="49"/>
  <c r="AL251" i="49" s="1"/>
  <c r="AO203" i="49"/>
  <c r="AN206" i="49"/>
  <c r="AO221" i="49"/>
  <c r="AN228" i="49"/>
  <c r="AL233" i="49"/>
  <c r="AL259" i="49" s="1"/>
  <c r="AN227" i="49"/>
  <c r="AO220" i="49"/>
  <c r="AM177" i="49"/>
  <c r="AM287" i="49" s="1"/>
  <c r="AO180" i="49"/>
  <c r="AN184" i="49"/>
  <c r="AL234" i="49"/>
  <c r="AL253" i="49" s="1"/>
  <c r="AO196" i="49"/>
  <c r="AP193" i="49"/>
  <c r="AM212" i="49"/>
  <c r="AM303" i="49" s="1"/>
  <c r="AO181" i="49"/>
  <c r="AN185" i="49"/>
  <c r="AM209" i="49"/>
  <c r="AM299" i="49" s="1"/>
  <c r="AN240" i="49"/>
  <c r="AM246" i="49"/>
  <c r="AN190" i="49"/>
  <c r="AO219" i="49"/>
  <c r="AN226" i="49"/>
  <c r="AP182" i="49"/>
  <c r="AO186" i="49"/>
  <c r="AO216" i="49"/>
  <c r="AN223" i="49"/>
  <c r="AO241" i="49"/>
  <c r="AN247" i="49"/>
  <c r="AN224" i="49"/>
  <c r="AO217" i="49"/>
  <c r="AL200" i="49"/>
  <c r="AL284" i="49" s="1"/>
  <c r="AP165" i="49"/>
  <c r="AT117" i="49"/>
  <c r="AP160" i="49"/>
  <c r="AP172" i="49" s="1"/>
  <c r="AP306" i="49" s="1"/>
  <c r="AT122" i="49"/>
  <c r="AQ147" i="49"/>
  <c r="AQ151" i="49" s="1"/>
  <c r="AQ156" i="49" s="1"/>
  <c r="AQ162" i="49" s="1"/>
  <c r="AP159" i="49"/>
  <c r="AP170" i="49" s="1"/>
  <c r="AP273" i="49" s="1"/>
  <c r="AP162" i="49"/>
  <c r="AP163" i="49"/>
  <c r="AP166" i="49"/>
  <c r="AT118" i="49"/>
  <c r="AP164" i="49"/>
  <c r="AT119" i="49"/>
  <c r="AT121" i="49"/>
  <c r="AT120" i="49"/>
  <c r="AT116" i="49"/>
  <c r="AO167" i="49"/>
  <c r="AP49" i="50"/>
  <c r="AV20" i="50"/>
  <c r="AR40" i="50"/>
  <c r="AR45" i="50" s="1"/>
  <c r="AQ48" i="50"/>
  <c r="AQ47" i="50"/>
  <c r="AQ74" i="50" s="1"/>
  <c r="AS36" i="50"/>
  <c r="AM206" i="48"/>
  <c r="AL213" i="48"/>
  <c r="AM226" i="48"/>
  <c r="AM205" i="48"/>
  <c r="AM227" i="48"/>
  <c r="AM228" i="48"/>
  <c r="AM207" i="48"/>
  <c r="AL211" i="48"/>
  <c r="AM266" i="48"/>
  <c r="AM225" i="48"/>
  <c r="AL215" i="48"/>
  <c r="AL235" i="48" s="1"/>
  <c r="AL212" i="48"/>
  <c r="AL214" i="48"/>
  <c r="AL241" i="48" s="1"/>
  <c r="AM185" i="48"/>
  <c r="AT29" i="50"/>
  <c r="AS27" i="50"/>
  <c r="AS38" i="50" s="1"/>
  <c r="AV30" i="50"/>
  <c r="AU28" i="50"/>
  <c r="AU39" i="50" s="1"/>
  <c r="AK238" i="48"/>
  <c r="AN179" i="48"/>
  <c r="AN180" i="48"/>
  <c r="AN184" i="48"/>
  <c r="AN224" i="48" s="1"/>
  <c r="AN177" i="48"/>
  <c r="AN203" i="48"/>
  <c r="AN204" i="48"/>
  <c r="AN206" i="48"/>
  <c r="AN205" i="48"/>
  <c r="AN208" i="48"/>
  <c r="AN207" i="48"/>
  <c r="AN178" i="48"/>
  <c r="AN288" i="48" s="1"/>
  <c r="AN181" i="48"/>
  <c r="AK216" i="48"/>
  <c r="AN176" i="48"/>
  <c r="AN182" i="48"/>
  <c r="AN175" i="48"/>
  <c r="AN255" i="48" s="1"/>
  <c r="AQ219" i="48"/>
  <c r="AR220" i="48"/>
  <c r="AR222" i="48"/>
  <c r="AQ218" i="48"/>
  <c r="AR221" i="48"/>
  <c r="AK192" i="48"/>
  <c r="AK285" i="48" s="1"/>
  <c r="AL191" i="48"/>
  <c r="AO165" i="48"/>
  <c r="AO172" i="48" s="1"/>
  <c r="AO177" i="48" s="1"/>
  <c r="AR197" i="48"/>
  <c r="AR196" i="48"/>
  <c r="AR199" i="48"/>
  <c r="AK190" i="48"/>
  <c r="AL192" i="48"/>
  <c r="AL285" i="48" s="1"/>
  <c r="AQ201" i="48"/>
  <c r="AK191" i="48"/>
  <c r="AL193" i="48"/>
  <c r="AL279" i="48" s="1"/>
  <c r="AK188" i="48"/>
  <c r="AK281" i="48" s="1"/>
  <c r="AQ198" i="48"/>
  <c r="AL190" i="48"/>
  <c r="AL188" i="48"/>
  <c r="AL281" i="48" s="1"/>
  <c r="AQ200" i="48"/>
  <c r="AK189" i="48"/>
  <c r="AL189" i="48"/>
  <c r="AS108" i="48"/>
  <c r="AS107" i="48"/>
  <c r="AU109" i="48"/>
  <c r="AS106" i="48"/>
  <c r="AU105" i="48"/>
  <c r="AP159" i="48"/>
  <c r="AS104" i="48"/>
  <c r="AQ111" i="48"/>
  <c r="AQ112" i="48" s="1"/>
  <c r="AS103" i="48"/>
  <c r="AU19" i="50"/>
  <c r="AT21" i="50"/>
  <c r="AT15" i="50"/>
  <c r="AS17" i="50"/>
  <c r="AS35" i="50" s="1"/>
  <c r="AU11" i="50"/>
  <c r="AT33" i="50"/>
  <c r="AV12" i="50"/>
  <c r="AU34" i="50"/>
  <c r="AR136" i="49"/>
  <c r="AR149" i="49" s="1"/>
  <c r="AS138" i="49"/>
  <c r="AT139" i="49"/>
  <c r="AS137" i="49"/>
  <c r="AS150" i="49" s="1"/>
  <c r="AS115" i="49"/>
  <c r="AR123" i="49"/>
  <c r="AS105" i="49"/>
  <c r="AR113" i="49"/>
  <c r="AR146" i="49" s="1"/>
  <c r="AU85" i="49"/>
  <c r="AU144" i="49" s="1"/>
  <c r="AV78" i="49"/>
  <c r="AV87" i="49"/>
  <c r="AU94" i="49"/>
  <c r="AU145" i="49" s="1"/>
  <c r="AT74" i="49"/>
  <c r="AS142" i="49"/>
  <c r="AT75" i="49"/>
  <c r="AS143" i="49"/>
  <c r="AT70" i="48"/>
  <c r="AT155" i="48" s="1"/>
  <c r="AS149" i="48"/>
  <c r="AR147" i="48"/>
  <c r="AR163" i="48" s="1"/>
  <c r="AT150" i="48"/>
  <c r="AS148" i="48"/>
  <c r="AS164" i="48" s="1"/>
  <c r="AT142" i="48"/>
  <c r="AS140" i="48"/>
  <c r="AS162" i="48" s="1"/>
  <c r="AS141" i="48"/>
  <c r="AR139" i="48"/>
  <c r="AR161" i="48" s="1"/>
  <c r="AQ122" i="48"/>
  <c r="AP124" i="48"/>
  <c r="AP160" i="48" s="1"/>
  <c r="AW114" i="48"/>
  <c r="AT90" i="48"/>
  <c r="AT158" i="48" s="1"/>
  <c r="AU83" i="48"/>
  <c r="AV71" i="48"/>
  <c r="AU156" i="48"/>
  <c r="AR110" i="48"/>
  <c r="AU102" i="48"/>
  <c r="AW75" i="48"/>
  <c r="AV74" i="48"/>
  <c r="AU81" i="48"/>
  <c r="AU157" i="48" s="1"/>
  <c r="AL256" i="49" l="1"/>
  <c r="AM300" i="49"/>
  <c r="AL157" i="49"/>
  <c r="AN177" i="49"/>
  <c r="AN287" i="49" s="1"/>
  <c r="AM231" i="49"/>
  <c r="AP216" i="49"/>
  <c r="AO223" i="49"/>
  <c r="AO240" i="49"/>
  <c r="AN246" i="49"/>
  <c r="AO228" i="49"/>
  <c r="AP221" i="49"/>
  <c r="AO202" i="49"/>
  <c r="AN205" i="49"/>
  <c r="AN199" i="49" s="1"/>
  <c r="AP192" i="49"/>
  <c r="AO195" i="49"/>
  <c r="AO189" i="49" s="1"/>
  <c r="AM200" i="49"/>
  <c r="AM284" i="49" s="1"/>
  <c r="AM235" i="49"/>
  <c r="AM251" i="49" s="1"/>
  <c r="AN176" i="49"/>
  <c r="AN212" i="49"/>
  <c r="AN303" i="49" s="1"/>
  <c r="AN209" i="49"/>
  <c r="AN299" i="49" s="1"/>
  <c r="AM233" i="49"/>
  <c r="AM259" i="49" s="1"/>
  <c r="AP180" i="49"/>
  <c r="AO184" i="49"/>
  <c r="AO206" i="49"/>
  <c r="AP203" i="49"/>
  <c r="AN211" i="49"/>
  <c r="AM234" i="49"/>
  <c r="AM253" i="49" s="1"/>
  <c r="AP217" i="49"/>
  <c r="AO224" i="49"/>
  <c r="AP186" i="49"/>
  <c r="AQ182" i="49"/>
  <c r="AO185" i="49"/>
  <c r="AP181" i="49"/>
  <c r="AP218" i="49"/>
  <c r="AO225" i="49"/>
  <c r="AP241" i="49"/>
  <c r="AO247" i="49"/>
  <c r="AN214" i="49"/>
  <c r="AN295" i="49" s="1"/>
  <c r="AN210" i="49"/>
  <c r="AN178" i="49"/>
  <c r="AP220" i="49"/>
  <c r="AO227" i="49"/>
  <c r="AP239" i="49"/>
  <c r="AO245" i="49"/>
  <c r="AN244" i="49"/>
  <c r="AO238" i="49"/>
  <c r="AQ193" i="49"/>
  <c r="AP196" i="49"/>
  <c r="AP219" i="49"/>
  <c r="AO226" i="49"/>
  <c r="AN213" i="49"/>
  <c r="AN297" i="49" s="1"/>
  <c r="AO237" i="49"/>
  <c r="AN243" i="49"/>
  <c r="AM232" i="49"/>
  <c r="AQ164" i="49"/>
  <c r="AU121" i="49"/>
  <c r="AQ159" i="49"/>
  <c r="AQ170" i="49" s="1"/>
  <c r="AQ273" i="49" s="1"/>
  <c r="AP167" i="49"/>
  <c r="AU119" i="49"/>
  <c r="AQ161" i="49"/>
  <c r="AQ174" i="49" s="1"/>
  <c r="AR147" i="49"/>
  <c r="AR151" i="49" s="1"/>
  <c r="AR156" i="49" s="1"/>
  <c r="AR161" i="49" s="1"/>
  <c r="AR174" i="49" s="1"/>
  <c r="AQ166" i="49"/>
  <c r="AU116" i="49"/>
  <c r="AQ163" i="49"/>
  <c r="AU122" i="49"/>
  <c r="AQ165" i="49"/>
  <c r="AU120" i="49"/>
  <c r="AU118" i="49"/>
  <c r="AQ160" i="49"/>
  <c r="AQ172" i="49" s="1"/>
  <c r="AQ306" i="49" s="1"/>
  <c r="AU117" i="49"/>
  <c r="AS40" i="50"/>
  <c r="AS45" i="50" s="1"/>
  <c r="AS47" i="50" s="1"/>
  <c r="AS74" i="50" s="1"/>
  <c r="AR47" i="50"/>
  <c r="AR48" i="50"/>
  <c r="AR96" i="50" s="1"/>
  <c r="AT36" i="50"/>
  <c r="AQ49" i="50"/>
  <c r="AQ96" i="50"/>
  <c r="AW20" i="50"/>
  <c r="AS48" i="50"/>
  <c r="AS96" i="50" s="1"/>
  <c r="AM212" i="48"/>
  <c r="AP165" i="48"/>
  <c r="AP172" i="48" s="1"/>
  <c r="AP177" i="48" s="1"/>
  <c r="AL216" i="48"/>
  <c r="AL238" i="48"/>
  <c r="AM215" i="48"/>
  <c r="AM235" i="48" s="1"/>
  <c r="AM214" i="48"/>
  <c r="AM241" i="48" s="1"/>
  <c r="AM211" i="48"/>
  <c r="AM213" i="48"/>
  <c r="AO183" i="48"/>
  <c r="AO206" i="48" s="1"/>
  <c r="AW30" i="50"/>
  <c r="AV28" i="50"/>
  <c r="AV39" i="50" s="1"/>
  <c r="AU29" i="50"/>
  <c r="AT27" i="50"/>
  <c r="AT38" i="50" s="1"/>
  <c r="AO176" i="48"/>
  <c r="AN227" i="48"/>
  <c r="AO180" i="48"/>
  <c r="AN185" i="48"/>
  <c r="AN266" i="48"/>
  <c r="AO184" i="48"/>
  <c r="AO228" i="48" s="1"/>
  <c r="AN228" i="48"/>
  <c r="AN226" i="48"/>
  <c r="AK282" i="48"/>
  <c r="AL282" i="48"/>
  <c r="AN225" i="48"/>
  <c r="AO178" i="48"/>
  <c r="AO288" i="48" s="1"/>
  <c r="AR219" i="48"/>
  <c r="AR218" i="48"/>
  <c r="AS222" i="48"/>
  <c r="AS221" i="48"/>
  <c r="AS220" i="48"/>
  <c r="AO181" i="48"/>
  <c r="AO182" i="48"/>
  <c r="AO179" i="48"/>
  <c r="AO175" i="48"/>
  <c r="AO255" i="48" s="1"/>
  <c r="AM192" i="48"/>
  <c r="AM285" i="48" s="1"/>
  <c r="AL194" i="48"/>
  <c r="AR198" i="48"/>
  <c r="AM190" i="48"/>
  <c r="AK194" i="48"/>
  <c r="AS199" i="48"/>
  <c r="AM193" i="48"/>
  <c r="AM279" i="48" s="1"/>
  <c r="AM189" i="48"/>
  <c r="AS196" i="48"/>
  <c r="AM188" i="48"/>
  <c r="AM281" i="48" s="1"/>
  <c r="AR200" i="48"/>
  <c r="AM191" i="48"/>
  <c r="AR201" i="48"/>
  <c r="AS197" i="48"/>
  <c r="AV105" i="48"/>
  <c r="AT104" i="48"/>
  <c r="AT107" i="48"/>
  <c r="AT106" i="48"/>
  <c r="AT103" i="48"/>
  <c r="AR111" i="48"/>
  <c r="AR112" i="48" s="1"/>
  <c r="AQ159" i="48"/>
  <c r="AV109" i="48"/>
  <c r="AT108" i="48"/>
  <c r="AU15" i="50"/>
  <c r="AT17" i="50"/>
  <c r="AT35" i="50" s="1"/>
  <c r="AU21" i="50"/>
  <c r="AV19" i="50"/>
  <c r="AW12" i="50"/>
  <c r="AV34" i="50"/>
  <c r="AV11" i="50"/>
  <c r="AU33" i="50"/>
  <c r="AU139" i="49"/>
  <c r="AT137" i="49"/>
  <c r="AT150" i="49" s="1"/>
  <c r="AS136" i="49"/>
  <c r="AS149" i="49" s="1"/>
  <c r="AT138" i="49"/>
  <c r="AT105" i="49"/>
  <c r="AS113" i="49"/>
  <c r="AS146" i="49" s="1"/>
  <c r="AT115" i="49"/>
  <c r="AS123" i="49"/>
  <c r="AW87" i="49"/>
  <c r="AV94" i="49"/>
  <c r="AV145" i="49" s="1"/>
  <c r="AV85" i="49"/>
  <c r="AV144" i="49" s="1"/>
  <c r="AW78" i="49"/>
  <c r="AU75" i="49"/>
  <c r="AT143" i="49"/>
  <c r="AU74" i="49"/>
  <c r="AT142" i="49"/>
  <c r="AU70" i="48"/>
  <c r="AU155" i="48" s="1"/>
  <c r="AU150" i="48"/>
  <c r="AT148" i="48"/>
  <c r="AT164" i="48" s="1"/>
  <c r="AT149" i="48"/>
  <c r="AS147" i="48"/>
  <c r="AS163" i="48" s="1"/>
  <c r="AT141" i="48"/>
  <c r="AS139" i="48"/>
  <c r="AS161" i="48" s="1"/>
  <c r="AU142" i="48"/>
  <c r="AT140" i="48"/>
  <c r="AT162" i="48" s="1"/>
  <c r="AR122" i="48"/>
  <c r="AQ124" i="48"/>
  <c r="AQ160" i="48" s="1"/>
  <c r="AX114" i="48"/>
  <c r="AV83" i="48"/>
  <c r="AU90" i="48"/>
  <c r="AU158" i="48" s="1"/>
  <c r="AW71" i="48"/>
  <c r="AV156" i="48"/>
  <c r="AV102" i="48"/>
  <c r="AS110" i="48"/>
  <c r="AX75" i="48"/>
  <c r="AV81" i="48"/>
  <c r="AV157" i="48" s="1"/>
  <c r="AW74" i="48"/>
  <c r="AP175" i="48" l="1"/>
  <c r="AP255" i="48" s="1"/>
  <c r="AP178" i="48"/>
  <c r="AP288" i="48" s="1"/>
  <c r="AP181" i="48"/>
  <c r="AP182" i="48"/>
  <c r="AP183" i="48"/>
  <c r="AP206" i="48" s="1"/>
  <c r="AP179" i="48"/>
  <c r="AP176" i="48"/>
  <c r="AP184" i="48"/>
  <c r="AP228" i="48" s="1"/>
  <c r="AP180" i="48"/>
  <c r="AN292" i="49"/>
  <c r="AO190" i="49"/>
  <c r="AN300" i="49"/>
  <c r="AM256" i="49"/>
  <c r="AN233" i="49"/>
  <c r="AN259" i="49" s="1"/>
  <c r="AN231" i="49"/>
  <c r="AO176" i="49"/>
  <c r="AO177" i="49"/>
  <c r="AO287" i="49" s="1"/>
  <c r="AN235" i="49"/>
  <c r="AN251" i="49" s="1"/>
  <c r="AN232" i="49"/>
  <c r="AQ196" i="49"/>
  <c r="AR193" i="49"/>
  <c r="AQ181" i="49"/>
  <c r="AP185" i="49"/>
  <c r="AP206" i="49"/>
  <c r="AQ203" i="49"/>
  <c r="AN200" i="49"/>
  <c r="AN284" i="49" s="1"/>
  <c r="AQ221" i="49"/>
  <c r="AP228" i="49"/>
  <c r="AP202" i="49"/>
  <c r="AO205" i="49"/>
  <c r="AO199" i="49" s="1"/>
  <c r="AO292" i="49" s="1"/>
  <c r="AO243" i="49"/>
  <c r="AP237" i="49"/>
  <c r="AP238" i="49"/>
  <c r="AO244" i="49"/>
  <c r="AO214" i="49"/>
  <c r="AO295" i="49" s="1"/>
  <c r="AR182" i="49"/>
  <c r="AQ186" i="49"/>
  <c r="AN234" i="49"/>
  <c r="AN253" i="49" s="1"/>
  <c r="AO212" i="49"/>
  <c r="AO303" i="49" s="1"/>
  <c r="AQ241" i="49"/>
  <c r="AP247" i="49"/>
  <c r="AQ180" i="49"/>
  <c r="AP184" i="49"/>
  <c r="AP240" i="49"/>
  <c r="AO246" i="49"/>
  <c r="AQ219" i="49"/>
  <c r="AP226" i="49"/>
  <c r="AQ239" i="49"/>
  <c r="AP245" i="49"/>
  <c r="AO211" i="49"/>
  <c r="AO210" i="49"/>
  <c r="AO300" i="49" s="1"/>
  <c r="AO178" i="49"/>
  <c r="AO209" i="49"/>
  <c r="AO299" i="49" s="1"/>
  <c r="AQ220" i="49"/>
  <c r="AP227" i="49"/>
  <c r="AO213" i="49"/>
  <c r="AO297" i="49" s="1"/>
  <c r="AQ218" i="49"/>
  <c r="AP225" i="49"/>
  <c r="AQ217" i="49"/>
  <c r="AP224" i="49"/>
  <c r="AQ192" i="49"/>
  <c r="AP195" i="49"/>
  <c r="AP189" i="49" s="1"/>
  <c r="AP223" i="49"/>
  <c r="AQ216" i="49"/>
  <c r="AR159" i="49"/>
  <c r="AR170" i="49" s="1"/>
  <c r="AR273" i="49" s="1"/>
  <c r="AR162" i="49"/>
  <c r="AR164" i="49"/>
  <c r="AR163" i="49"/>
  <c r="AV117" i="49"/>
  <c r="AQ167" i="49"/>
  <c r="AV122" i="49"/>
  <c r="AR165" i="49"/>
  <c r="AV119" i="49"/>
  <c r="AR160" i="49"/>
  <c r="AR172" i="49" s="1"/>
  <c r="AR306" i="49" s="1"/>
  <c r="AV118" i="49"/>
  <c r="AR166" i="49"/>
  <c r="AV116" i="49"/>
  <c r="AS147" i="49"/>
  <c r="AS151" i="49" s="1"/>
  <c r="AS156" i="49" s="1"/>
  <c r="AV120" i="49"/>
  <c r="AV121" i="49"/>
  <c r="AT40" i="50"/>
  <c r="AT45" i="50" s="1"/>
  <c r="AT48" i="50" s="1"/>
  <c r="AT96" i="50" s="1"/>
  <c r="AR49" i="50"/>
  <c r="AR74" i="50"/>
  <c r="AU36" i="50"/>
  <c r="AX20" i="50"/>
  <c r="AS49" i="50"/>
  <c r="AM216" i="48"/>
  <c r="AM238" i="48"/>
  <c r="AO207" i="48"/>
  <c r="AO208" i="48"/>
  <c r="AO205" i="48"/>
  <c r="AO203" i="48"/>
  <c r="AO204" i="48"/>
  <c r="AN212" i="48"/>
  <c r="AV29" i="50"/>
  <c r="AU27" i="50"/>
  <c r="AU38" i="50" s="1"/>
  <c r="AX30" i="50"/>
  <c r="AW28" i="50"/>
  <c r="AW39" i="50" s="1"/>
  <c r="AO224" i="48"/>
  <c r="AO225" i="48"/>
  <c r="AO227" i="48"/>
  <c r="AO226" i="48"/>
  <c r="AO266" i="48"/>
  <c r="AN215" i="48"/>
  <c r="AN235" i="48" s="1"/>
  <c r="AM282" i="48"/>
  <c r="AN214" i="48"/>
  <c r="AN241" i="48" s="1"/>
  <c r="AN213" i="48"/>
  <c r="AN211" i="48"/>
  <c r="AO185" i="48"/>
  <c r="AT222" i="48"/>
  <c r="AT220" i="48"/>
  <c r="AS219" i="48"/>
  <c r="AT221" i="48"/>
  <c r="AS218" i="48"/>
  <c r="AN192" i="48"/>
  <c r="AN285" i="48" s="1"/>
  <c r="AS201" i="48"/>
  <c r="AN193" i="48"/>
  <c r="AN279" i="48" s="1"/>
  <c r="AT196" i="48"/>
  <c r="AT199" i="48"/>
  <c r="AN190" i="48"/>
  <c r="AS200" i="48"/>
  <c r="AN191" i="48"/>
  <c r="AS198" i="48"/>
  <c r="AM194" i="48"/>
  <c r="AN189" i="48"/>
  <c r="AT197" i="48"/>
  <c r="AN188" i="48"/>
  <c r="AN281" i="48" s="1"/>
  <c r="AQ165" i="48"/>
  <c r="AQ172" i="48" s="1"/>
  <c r="AQ183" i="48" s="1"/>
  <c r="AU103" i="48"/>
  <c r="AU104" i="48"/>
  <c r="AR159" i="48"/>
  <c r="AU106" i="48"/>
  <c r="AW105" i="48"/>
  <c r="AU108" i="48"/>
  <c r="AS111" i="48"/>
  <c r="AS112" i="48" s="1"/>
  <c r="AU107" i="48"/>
  <c r="AW109" i="48"/>
  <c r="AV21" i="50"/>
  <c r="AW19" i="50"/>
  <c r="AV15" i="50"/>
  <c r="AU17" i="50"/>
  <c r="AU35" i="50" s="1"/>
  <c r="AW11" i="50"/>
  <c r="AV33" i="50"/>
  <c r="AX12" i="50"/>
  <c r="AW34" i="50"/>
  <c r="AT136" i="49"/>
  <c r="AT149" i="49" s="1"/>
  <c r="AU138" i="49"/>
  <c r="AV139" i="49"/>
  <c r="AU137" i="49"/>
  <c r="AU150" i="49" s="1"/>
  <c r="AU115" i="49"/>
  <c r="AT123" i="49"/>
  <c r="AU105" i="49"/>
  <c r="AT113" i="49"/>
  <c r="AT146" i="49" s="1"/>
  <c r="AW85" i="49"/>
  <c r="AW144" i="49" s="1"/>
  <c r="AX78" i="49"/>
  <c r="AW94" i="49"/>
  <c r="AW145" i="49" s="1"/>
  <c r="AX87" i="49"/>
  <c r="AV74" i="49"/>
  <c r="AU142" i="49"/>
  <c r="AV75" i="49"/>
  <c r="AU143" i="49"/>
  <c r="AV70" i="48"/>
  <c r="AV155" i="48" s="1"/>
  <c r="AT147" i="48"/>
  <c r="AT163" i="48" s="1"/>
  <c r="AU149" i="48"/>
  <c r="AV150" i="48"/>
  <c r="AU148" i="48"/>
  <c r="AU164" i="48" s="1"/>
  <c r="AV142" i="48"/>
  <c r="AU140" i="48"/>
  <c r="AU162" i="48" s="1"/>
  <c r="AU141" i="48"/>
  <c r="AT139" i="48"/>
  <c r="AT161" i="48" s="1"/>
  <c r="AS122" i="48"/>
  <c r="AR124" i="48"/>
  <c r="AR160" i="48" s="1"/>
  <c r="AY114" i="48"/>
  <c r="AW83" i="48"/>
  <c r="AV90" i="48"/>
  <c r="AV158" i="48" s="1"/>
  <c r="AX71" i="48"/>
  <c r="AW156" i="48"/>
  <c r="AT110" i="48"/>
  <c r="AW102" i="48"/>
  <c r="AY75" i="48"/>
  <c r="AW81" i="48"/>
  <c r="AW157" i="48" s="1"/>
  <c r="AX74" i="48"/>
  <c r="AP207" i="48" l="1"/>
  <c r="AP266" i="48"/>
  <c r="AP226" i="48"/>
  <c r="AP205" i="48"/>
  <c r="AP208" i="48"/>
  <c r="AP203" i="48"/>
  <c r="AP204" i="48"/>
  <c r="AP185" i="48"/>
  <c r="AP224" i="48"/>
  <c r="AP211" i="48" s="1"/>
  <c r="AP225" i="48"/>
  <c r="AP227" i="48"/>
  <c r="AP214" i="48" s="1"/>
  <c r="AP241" i="48" s="1"/>
  <c r="AM157" i="49"/>
  <c r="AN256" i="49"/>
  <c r="AO234" i="49"/>
  <c r="AO253" i="49" s="1"/>
  <c r="AO233" i="49"/>
  <c r="AO259" i="49" s="1"/>
  <c r="AP176" i="49"/>
  <c r="AO200" i="49"/>
  <c r="AO284" i="49" s="1"/>
  <c r="AO232" i="49"/>
  <c r="AQ228" i="49"/>
  <c r="AR221" i="49"/>
  <c r="AP210" i="49"/>
  <c r="AQ240" i="49"/>
  <c r="AP246" i="49"/>
  <c r="AP244" i="49"/>
  <c r="AQ238" i="49"/>
  <c r="AQ206" i="49"/>
  <c r="AR203" i="49"/>
  <c r="AR217" i="49"/>
  <c r="AQ224" i="49"/>
  <c r="AP243" i="49"/>
  <c r="AQ237" i="49"/>
  <c r="AR180" i="49"/>
  <c r="AQ184" i="49"/>
  <c r="AS182" i="49"/>
  <c r="AR186" i="49"/>
  <c r="AO231" i="49"/>
  <c r="AP177" i="49"/>
  <c r="AP287" i="49" s="1"/>
  <c r="AR219" i="49"/>
  <c r="AQ226" i="49"/>
  <c r="AQ225" i="49"/>
  <c r="AR218" i="49"/>
  <c r="AP178" i="49"/>
  <c r="AO235" i="49"/>
  <c r="AO251" i="49" s="1"/>
  <c r="AQ185" i="49"/>
  <c r="AR181" i="49"/>
  <c r="AR220" i="49"/>
  <c r="AQ227" i="49"/>
  <c r="AR192" i="49"/>
  <c r="AQ195" i="49"/>
  <c r="AQ189" i="49" s="1"/>
  <c r="AR216" i="49"/>
  <c r="AQ223" i="49"/>
  <c r="AQ245" i="49"/>
  <c r="AR239" i="49"/>
  <c r="AP190" i="49"/>
  <c r="AQ202" i="49"/>
  <c r="AP205" i="49"/>
  <c r="AP199" i="49" s="1"/>
  <c r="AP292" i="49" s="1"/>
  <c r="AR196" i="49"/>
  <c r="AS193" i="49"/>
  <c r="AP211" i="49"/>
  <c r="AP209" i="49"/>
  <c r="AP299" i="49" s="1"/>
  <c r="AP213" i="49"/>
  <c r="AP297" i="49" s="1"/>
  <c r="AP212" i="49"/>
  <c r="AP303" i="49" s="1"/>
  <c r="AR241" i="49"/>
  <c r="AQ247" i="49"/>
  <c r="AP214" i="49"/>
  <c r="AP295" i="49" s="1"/>
  <c r="AS159" i="49"/>
  <c r="AS170" i="49" s="1"/>
  <c r="AS273" i="49" s="1"/>
  <c r="AS165" i="49"/>
  <c r="AS161" i="49"/>
  <c r="AS174" i="49" s="1"/>
  <c r="AS162" i="49"/>
  <c r="AS164" i="49"/>
  <c r="AS166" i="49"/>
  <c r="AS160" i="49"/>
  <c r="AS172" i="49" s="1"/>
  <c r="AS306" i="49" s="1"/>
  <c r="AS163" i="49"/>
  <c r="AW122" i="49"/>
  <c r="AW119" i="49"/>
  <c r="AT147" i="49"/>
  <c r="AT151" i="49" s="1"/>
  <c r="AT156" i="49" s="1"/>
  <c r="AW121" i="49"/>
  <c r="AW118" i="49"/>
  <c r="AR167" i="49"/>
  <c r="AW117" i="49"/>
  <c r="AW116" i="49"/>
  <c r="AW120" i="49"/>
  <c r="AU40" i="50"/>
  <c r="AU45" i="50" s="1"/>
  <c r="AU47" i="50" s="1"/>
  <c r="AU74" i="50" s="1"/>
  <c r="AT47" i="50"/>
  <c r="AV36" i="50"/>
  <c r="AU48" i="50"/>
  <c r="AU96" i="50" s="1"/>
  <c r="AY20" i="50"/>
  <c r="AO211" i="48"/>
  <c r="AO214" i="48"/>
  <c r="AO241" i="48" s="1"/>
  <c r="AO215" i="48"/>
  <c r="AO235" i="48" s="1"/>
  <c r="AO213" i="48"/>
  <c r="AO212" i="48"/>
  <c r="AY30" i="50"/>
  <c r="AX28" i="50"/>
  <c r="AX39" i="50" s="1"/>
  <c r="AW29" i="50"/>
  <c r="AV27" i="50"/>
  <c r="AV38" i="50" s="1"/>
  <c r="AQ178" i="48"/>
  <c r="AQ288" i="48" s="1"/>
  <c r="AN238" i="48"/>
  <c r="AN216" i="48"/>
  <c r="AN282" i="48"/>
  <c r="AQ175" i="48"/>
  <c r="AQ255" i="48" s="1"/>
  <c r="AQ206" i="48"/>
  <c r="AQ204" i="48"/>
  <c r="AQ203" i="48"/>
  <c r="AQ208" i="48"/>
  <c r="AQ207" i="48"/>
  <c r="AQ205" i="48"/>
  <c r="AT219" i="48"/>
  <c r="AU220" i="48"/>
  <c r="AT218" i="48"/>
  <c r="AU221" i="48"/>
  <c r="AU222" i="48"/>
  <c r="AR165" i="48"/>
  <c r="AR172" i="48" s="1"/>
  <c r="AR178" i="48" s="1"/>
  <c r="AR288" i="48" s="1"/>
  <c r="AQ184" i="48"/>
  <c r="AO192" i="48"/>
  <c r="AO285" i="48" s="1"/>
  <c r="AQ179" i="48"/>
  <c r="AT200" i="48"/>
  <c r="AU197" i="48"/>
  <c r="AU199" i="48"/>
  <c r="AN194" i="48"/>
  <c r="AQ180" i="48"/>
  <c r="AQ177" i="48"/>
  <c r="AO193" i="48"/>
  <c r="AO279" i="48" s="1"/>
  <c r="AO190" i="48"/>
  <c r="AU196" i="48"/>
  <c r="AQ181" i="48"/>
  <c r="AO189" i="48"/>
  <c r="AT198" i="48"/>
  <c r="AO191" i="48"/>
  <c r="AO188" i="48"/>
  <c r="AO281" i="48" s="1"/>
  <c r="AT201" i="48"/>
  <c r="AQ176" i="48"/>
  <c r="AQ182" i="48"/>
  <c r="AV106" i="48"/>
  <c r="AX105" i="48"/>
  <c r="AV104" i="48"/>
  <c r="AX109" i="48"/>
  <c r="AV103" i="48"/>
  <c r="AV107" i="48"/>
  <c r="AT111" i="48"/>
  <c r="AV108" i="48"/>
  <c r="AS159" i="48"/>
  <c r="AW15" i="50"/>
  <c r="AV17" i="50"/>
  <c r="AV35" i="50" s="1"/>
  <c r="AX19" i="50"/>
  <c r="AW21" i="50"/>
  <c r="AY12" i="50"/>
  <c r="AX34" i="50"/>
  <c r="AX11" i="50"/>
  <c r="AW33" i="50"/>
  <c r="AW139" i="49"/>
  <c r="AV137" i="49"/>
  <c r="AV150" i="49" s="1"/>
  <c r="AU136" i="49"/>
  <c r="AU149" i="49" s="1"/>
  <c r="AV138" i="49"/>
  <c r="AU113" i="49"/>
  <c r="AU146" i="49" s="1"/>
  <c r="AV105" i="49"/>
  <c r="AV115" i="49"/>
  <c r="AU123" i="49"/>
  <c r="AY87" i="49"/>
  <c r="AX94" i="49"/>
  <c r="AX145" i="49" s="1"/>
  <c r="AX85" i="49"/>
  <c r="AX144" i="49" s="1"/>
  <c r="AY78" i="49"/>
  <c r="AW75" i="49"/>
  <c r="AV143" i="49"/>
  <c r="AW74" i="49"/>
  <c r="AV142" i="49"/>
  <c r="AW70" i="48"/>
  <c r="AW155" i="48" s="1"/>
  <c r="AW150" i="48"/>
  <c r="AV148" i="48"/>
  <c r="AV164" i="48" s="1"/>
  <c r="AU147" i="48"/>
  <c r="AU163" i="48" s="1"/>
  <c r="AV149" i="48"/>
  <c r="AV141" i="48"/>
  <c r="AU139" i="48"/>
  <c r="AU161" i="48" s="1"/>
  <c r="AW142" i="48"/>
  <c r="AV140" i="48"/>
  <c r="AV162" i="48" s="1"/>
  <c r="AT122" i="48"/>
  <c r="AS124" i="48"/>
  <c r="AS160" i="48" s="1"/>
  <c r="AZ114" i="48"/>
  <c r="AX83" i="48"/>
  <c r="AW90" i="48"/>
  <c r="AW158" i="48" s="1"/>
  <c r="AY71" i="48"/>
  <c r="AX156" i="48"/>
  <c r="AX102" i="48"/>
  <c r="AU110" i="48"/>
  <c r="AZ75" i="48"/>
  <c r="AY74" i="48"/>
  <c r="AX81" i="48"/>
  <c r="AX157" i="48" s="1"/>
  <c r="AP212" i="48" l="1"/>
  <c r="AP215" i="48"/>
  <c r="AP235" i="48" s="1"/>
  <c r="AP213" i="48"/>
  <c r="AP238" i="48" s="1"/>
  <c r="AN157" i="49"/>
  <c r="AP300" i="49"/>
  <c r="AQ190" i="49"/>
  <c r="AQ177" i="49"/>
  <c r="AQ287" i="49" s="1"/>
  <c r="AO256" i="49"/>
  <c r="AQ211" i="49"/>
  <c r="AP200" i="49"/>
  <c r="AP284" i="49" s="1"/>
  <c r="AP232" i="49"/>
  <c r="AS181" i="49"/>
  <c r="AR185" i="49"/>
  <c r="AS219" i="49"/>
  <c r="AR226" i="49"/>
  <c r="AR237" i="49"/>
  <c r="AQ243" i="49"/>
  <c r="AR184" i="49"/>
  <c r="AS180" i="49"/>
  <c r="AQ244" i="49"/>
  <c r="AR238" i="49"/>
  <c r="AQ209" i="49"/>
  <c r="AQ299" i="49" s="1"/>
  <c r="AP231" i="49"/>
  <c r="AP234" i="49"/>
  <c r="AP253" i="49" s="1"/>
  <c r="AS220" i="49"/>
  <c r="AR227" i="49"/>
  <c r="AT193" i="49"/>
  <c r="AS196" i="49"/>
  <c r="AS216" i="49"/>
  <c r="AR223" i="49"/>
  <c r="AQ178" i="49"/>
  <c r="AR240" i="49"/>
  <c r="AQ246" i="49"/>
  <c r="AQ212" i="49"/>
  <c r="AQ303" i="49" s="1"/>
  <c r="AP233" i="49"/>
  <c r="AP259" i="49" s="1"/>
  <c r="AQ210" i="49"/>
  <c r="AQ300" i="49" s="1"/>
  <c r="AS192" i="49"/>
  <c r="AR195" i="49"/>
  <c r="AR189" i="49" s="1"/>
  <c r="AP235" i="49"/>
  <c r="AP251" i="49" s="1"/>
  <c r="AT182" i="49"/>
  <c r="AS186" i="49"/>
  <c r="AS217" i="49"/>
  <c r="AR224" i="49"/>
  <c r="AS221" i="49"/>
  <c r="AR228" i="49"/>
  <c r="AS239" i="49"/>
  <c r="AR245" i="49"/>
  <c r="AS241" i="49"/>
  <c r="AR247" i="49"/>
  <c r="AR202" i="49"/>
  <c r="AQ205" i="49"/>
  <c r="AQ199" i="49" s="1"/>
  <c r="AQ213" i="49"/>
  <c r="AQ297" i="49" s="1"/>
  <c r="AR225" i="49"/>
  <c r="AS218" i="49"/>
  <c r="AQ176" i="49"/>
  <c r="AS203" i="49"/>
  <c r="AR206" i="49"/>
  <c r="AQ214" i="49"/>
  <c r="AQ295" i="49" s="1"/>
  <c r="AT159" i="49"/>
  <c r="AT170" i="49" s="1"/>
  <c r="AT273" i="49" s="1"/>
  <c r="AT160" i="49"/>
  <c r="AT172" i="49" s="1"/>
  <c r="AT306" i="49" s="1"/>
  <c r="AT166" i="49"/>
  <c r="AT162" i="49"/>
  <c r="AT161" i="49"/>
  <c r="AT174" i="49" s="1"/>
  <c r="AT163" i="49"/>
  <c r="AT165" i="49"/>
  <c r="AT164" i="49"/>
  <c r="AX120" i="49"/>
  <c r="AX118" i="49"/>
  <c r="AX116" i="49"/>
  <c r="AX119" i="49"/>
  <c r="AS167" i="49"/>
  <c r="AX117" i="49"/>
  <c r="AX121" i="49"/>
  <c r="AU147" i="49"/>
  <c r="AU151" i="49" s="1"/>
  <c r="AU156" i="49" s="1"/>
  <c r="AX122" i="49"/>
  <c r="AV40" i="50"/>
  <c r="AV45" i="50" s="1"/>
  <c r="AV48" i="50" s="1"/>
  <c r="AV96" i="50" s="1"/>
  <c r="AT74" i="50"/>
  <c r="AT49" i="50"/>
  <c r="AV47" i="50"/>
  <c r="AZ20" i="50"/>
  <c r="AW36" i="50"/>
  <c r="AU49" i="50"/>
  <c r="AO238" i="48"/>
  <c r="AO216" i="48"/>
  <c r="AR176" i="48"/>
  <c r="AR181" i="48"/>
  <c r="AX29" i="50"/>
  <c r="AW27" i="50"/>
  <c r="AW38" i="50" s="1"/>
  <c r="AZ30" i="50"/>
  <c r="AY28" i="50"/>
  <c r="AY39" i="50" s="1"/>
  <c r="AQ266" i="48"/>
  <c r="AR179" i="48"/>
  <c r="AO282" i="48"/>
  <c r="AR180" i="48"/>
  <c r="AR177" i="48"/>
  <c r="AQ227" i="48"/>
  <c r="AQ226" i="48"/>
  <c r="AQ228" i="48"/>
  <c r="AQ225" i="48"/>
  <c r="AQ224" i="48"/>
  <c r="AR175" i="48"/>
  <c r="AR255" i="48" s="1"/>
  <c r="AR183" i="48"/>
  <c r="AR184" i="48"/>
  <c r="AR182" i="48"/>
  <c r="AV221" i="48"/>
  <c r="AU218" i="48"/>
  <c r="AU219" i="48"/>
  <c r="AV222" i="48"/>
  <c r="AV220" i="48"/>
  <c r="AQ185" i="48"/>
  <c r="AP190" i="48"/>
  <c r="AU198" i="48"/>
  <c r="AV199" i="48"/>
  <c r="AS165" i="48"/>
  <c r="AS172" i="48" s="1"/>
  <c r="AS183" i="48" s="1"/>
  <c r="AP193" i="48"/>
  <c r="AP279" i="48" s="1"/>
  <c r="AV196" i="48"/>
  <c r="AP192" i="48"/>
  <c r="AP285" i="48" s="1"/>
  <c r="AV197" i="48"/>
  <c r="AU201" i="48"/>
  <c r="AP188" i="48"/>
  <c r="AP281" i="48" s="1"/>
  <c r="AO194" i="48"/>
  <c r="AP191" i="48"/>
  <c r="AU200" i="48"/>
  <c r="AP189" i="48"/>
  <c r="AU111" i="48"/>
  <c r="AU112" i="48" s="1"/>
  <c r="AY109" i="48"/>
  <c r="AW107" i="48"/>
  <c r="AW103" i="48"/>
  <c r="AW104" i="48"/>
  <c r="AW106" i="48"/>
  <c r="AW108" i="48"/>
  <c r="AT112" i="48"/>
  <c r="AY105" i="48"/>
  <c r="AY19" i="50"/>
  <c r="AX21" i="50"/>
  <c r="AX15" i="50"/>
  <c r="AW17" i="50"/>
  <c r="AW35" i="50" s="1"/>
  <c r="AY11" i="50"/>
  <c r="AX33" i="50"/>
  <c r="AZ12" i="50"/>
  <c r="AY34" i="50"/>
  <c r="AW138" i="49"/>
  <c r="AV136" i="49"/>
  <c r="AV149" i="49" s="1"/>
  <c r="AW137" i="49"/>
  <c r="AW150" i="49" s="1"/>
  <c r="AX139" i="49"/>
  <c r="AW115" i="49"/>
  <c r="AV123" i="49"/>
  <c r="AV113" i="49"/>
  <c r="AV146" i="49" s="1"/>
  <c r="AW105" i="49"/>
  <c r="AZ78" i="49"/>
  <c r="AY85" i="49"/>
  <c r="AY144" i="49" s="1"/>
  <c r="AY94" i="49"/>
  <c r="AY145" i="49" s="1"/>
  <c r="AZ87" i="49"/>
  <c r="AX70" i="48"/>
  <c r="AX155" i="48" s="1"/>
  <c r="AX74" i="49"/>
  <c r="AW142" i="49"/>
  <c r="AX75" i="49"/>
  <c r="AW143" i="49"/>
  <c r="AV147" i="48"/>
  <c r="AV163" i="48" s="1"/>
  <c r="AW149" i="48"/>
  <c r="AW148" i="48"/>
  <c r="AW164" i="48" s="1"/>
  <c r="AX150" i="48"/>
  <c r="AX142" i="48"/>
  <c r="AW140" i="48"/>
  <c r="AW162" i="48" s="1"/>
  <c r="AW141" i="48"/>
  <c r="AV139" i="48"/>
  <c r="AV161" i="48" s="1"/>
  <c r="AU122" i="48"/>
  <c r="AT124" i="48"/>
  <c r="AT160" i="48" s="1"/>
  <c r="BA114" i="48"/>
  <c r="AY83" i="48"/>
  <c r="AX90" i="48"/>
  <c r="AX158" i="48" s="1"/>
  <c r="AZ71" i="48"/>
  <c r="AY156" i="48"/>
  <c r="AV110" i="48"/>
  <c r="AY102" i="48"/>
  <c r="BA75" i="48"/>
  <c r="AZ74" i="48"/>
  <c r="AY81" i="48"/>
  <c r="AY157" i="48" s="1"/>
  <c r="AP216" i="48" l="1"/>
  <c r="AQ292" i="49"/>
  <c r="AO157" i="49"/>
  <c r="AP256" i="49"/>
  <c r="AR213" i="49"/>
  <c r="AR297" i="49" s="1"/>
  <c r="AR176" i="49"/>
  <c r="AQ234" i="49"/>
  <c r="AQ253" i="49" s="1"/>
  <c r="AR211" i="49"/>
  <c r="AQ231" i="49"/>
  <c r="AS228" i="49"/>
  <c r="AT221" i="49"/>
  <c r="AQ235" i="49"/>
  <c r="AQ251" i="49" s="1"/>
  <c r="AR246" i="49"/>
  <c r="AS240" i="49"/>
  <c r="AS237" i="49"/>
  <c r="AR243" i="49"/>
  <c r="AT218" i="49"/>
  <c r="AS225" i="49"/>
  <c r="AR214" i="49"/>
  <c r="AR295" i="49" s="1"/>
  <c r="AR210" i="49"/>
  <c r="AQ200" i="49"/>
  <c r="AQ284" i="49" s="1"/>
  <c r="AR212" i="49"/>
  <c r="AR303" i="49" s="1"/>
  <c r="AT239" i="49"/>
  <c r="AS245" i="49"/>
  <c r="AS202" i="49"/>
  <c r="AR205" i="49"/>
  <c r="AR199" i="49" s="1"/>
  <c r="AR292" i="49" s="1"/>
  <c r="AT217" i="49"/>
  <c r="AS224" i="49"/>
  <c r="AR209" i="49"/>
  <c r="AR299" i="49" s="1"/>
  <c r="AS226" i="49"/>
  <c r="AT219" i="49"/>
  <c r="AS227" i="49"/>
  <c r="AT220" i="49"/>
  <c r="AR178" i="49"/>
  <c r="AT216" i="49"/>
  <c r="AS223" i="49"/>
  <c r="AS238" i="49"/>
  <c r="AR244" i="49"/>
  <c r="AQ233" i="49"/>
  <c r="AQ259" i="49" s="1"/>
  <c r="AT192" i="49"/>
  <c r="AS195" i="49"/>
  <c r="AS189" i="49" s="1"/>
  <c r="AS206" i="49"/>
  <c r="AT203" i="49"/>
  <c r="AT241" i="49"/>
  <c r="AS247" i="49"/>
  <c r="AT186" i="49"/>
  <c r="AU182" i="49"/>
  <c r="AQ232" i="49"/>
  <c r="AR177" i="49"/>
  <c r="AR287" i="49" s="1"/>
  <c r="AR190" i="49"/>
  <c r="AT196" i="49"/>
  <c r="AU193" i="49"/>
  <c r="AT180" i="49"/>
  <c r="AS184" i="49"/>
  <c r="AT181" i="49"/>
  <c r="AS185" i="49"/>
  <c r="AU159" i="49"/>
  <c r="AU170" i="49" s="1"/>
  <c r="AU273" i="49" s="1"/>
  <c r="AU163" i="49"/>
  <c r="AU165" i="49"/>
  <c r="AU160" i="49"/>
  <c r="AU172" i="49" s="1"/>
  <c r="AU306" i="49" s="1"/>
  <c r="AY119" i="49"/>
  <c r="AY122" i="49"/>
  <c r="AY116" i="49"/>
  <c r="AU162" i="49"/>
  <c r="AV147" i="49"/>
  <c r="AV151" i="49" s="1"/>
  <c r="AV156" i="49" s="1"/>
  <c r="AV159" i="49" s="1"/>
  <c r="AV170" i="49" s="1"/>
  <c r="AV273" i="49" s="1"/>
  <c r="AU161" i="49"/>
  <c r="AU174" i="49" s="1"/>
  <c r="AY117" i="49"/>
  <c r="AY118" i="49"/>
  <c r="AY121" i="49"/>
  <c r="AU166" i="49"/>
  <c r="AU164" i="49"/>
  <c r="AY120" i="49"/>
  <c r="AT167" i="49"/>
  <c r="AX36" i="50"/>
  <c r="BA20" i="50"/>
  <c r="AV49" i="50"/>
  <c r="AV74" i="50"/>
  <c r="AW40" i="50"/>
  <c r="AW45" i="50" s="1"/>
  <c r="AS181" i="48"/>
  <c r="AY29" i="50"/>
  <c r="AX27" i="50"/>
  <c r="AX38" i="50" s="1"/>
  <c r="BA30" i="50"/>
  <c r="AZ28" i="50"/>
  <c r="AZ39" i="50" s="1"/>
  <c r="AR185" i="48"/>
  <c r="AR266" i="48"/>
  <c r="AP282" i="48"/>
  <c r="AQ212" i="48"/>
  <c r="AQ213" i="48"/>
  <c r="AR227" i="48"/>
  <c r="AR226" i="48"/>
  <c r="AR228" i="48"/>
  <c r="AR225" i="48"/>
  <c r="AR224" i="48"/>
  <c r="AQ214" i="48"/>
  <c r="AQ241" i="48" s="1"/>
  <c r="AR203" i="48"/>
  <c r="AR204" i="48"/>
  <c r="AR206" i="48"/>
  <c r="AR205" i="48"/>
  <c r="AR208" i="48"/>
  <c r="AR207" i="48"/>
  <c r="AS204" i="48"/>
  <c r="AS206" i="48"/>
  <c r="AS203" i="48"/>
  <c r="AS208" i="48"/>
  <c r="AS205" i="48"/>
  <c r="AS207" i="48"/>
  <c r="AQ215" i="48"/>
  <c r="AQ235" i="48" s="1"/>
  <c r="AQ211" i="48"/>
  <c r="AW221" i="48"/>
  <c r="AV219" i="48"/>
  <c r="AW222" i="48"/>
  <c r="AV218" i="48"/>
  <c r="AW220" i="48"/>
  <c r="AS184" i="48"/>
  <c r="AQ192" i="48"/>
  <c r="AQ285" i="48" s="1"/>
  <c r="AW196" i="48"/>
  <c r="AS179" i="48"/>
  <c r="AQ190" i="48"/>
  <c r="AP194" i="48"/>
  <c r="AQ191" i="48"/>
  <c r="AS182" i="48"/>
  <c r="AQ188" i="48"/>
  <c r="AQ281" i="48" s="1"/>
  <c r="AV201" i="48"/>
  <c r="AS180" i="48"/>
  <c r="AS176" i="48"/>
  <c r="AS175" i="48"/>
  <c r="AS255" i="48" s="1"/>
  <c r="AQ189" i="48"/>
  <c r="AW199" i="48"/>
  <c r="AQ193" i="48"/>
  <c r="AQ279" i="48" s="1"/>
  <c r="AS178" i="48"/>
  <c r="AS288" i="48" s="1"/>
  <c r="AW197" i="48"/>
  <c r="AS177" i="48"/>
  <c r="AV200" i="48"/>
  <c r="AV198" i="48"/>
  <c r="AT159" i="48"/>
  <c r="AT165" i="48" s="1"/>
  <c r="AT172" i="48" s="1"/>
  <c r="AZ109" i="48"/>
  <c r="AV111" i="48"/>
  <c r="AV112" i="48" s="1"/>
  <c r="AX103" i="48"/>
  <c r="AX106" i="48"/>
  <c r="AU159" i="48"/>
  <c r="AX108" i="48"/>
  <c r="AZ105" i="48"/>
  <c r="AX107" i="48"/>
  <c r="AX104" i="48"/>
  <c r="AY70" i="48"/>
  <c r="AY155" i="48" s="1"/>
  <c r="AY15" i="50"/>
  <c r="AX17" i="50"/>
  <c r="AX35" i="50" s="1"/>
  <c r="AZ19" i="50"/>
  <c r="AY21" i="50"/>
  <c r="BA12" i="50"/>
  <c r="AZ34" i="50"/>
  <c r="AZ11" i="50"/>
  <c r="AY33" i="50"/>
  <c r="AX137" i="49"/>
  <c r="AX150" i="49" s="1"/>
  <c r="AY139" i="49"/>
  <c r="AX138" i="49"/>
  <c r="AW136" i="49"/>
  <c r="AW149" i="49" s="1"/>
  <c r="AX105" i="49"/>
  <c r="AW113" i="49"/>
  <c r="AW146" i="49" s="1"/>
  <c r="AW123" i="49"/>
  <c r="AX115" i="49"/>
  <c r="AZ94" i="49"/>
  <c r="AZ145" i="49" s="1"/>
  <c r="BA87" i="49"/>
  <c r="AZ85" i="49"/>
  <c r="AZ144" i="49" s="1"/>
  <c r="BA78" i="49"/>
  <c r="AY75" i="49"/>
  <c r="AX143" i="49"/>
  <c r="AY74" i="49"/>
  <c r="AX142" i="49"/>
  <c r="AY150" i="48"/>
  <c r="AX148" i="48"/>
  <c r="AX164" i="48" s="1"/>
  <c r="AX149" i="48"/>
  <c r="AW147" i="48"/>
  <c r="AW163" i="48" s="1"/>
  <c r="AX141" i="48"/>
  <c r="AW139" i="48"/>
  <c r="AW161" i="48" s="1"/>
  <c r="AY142" i="48"/>
  <c r="AX140" i="48"/>
  <c r="AX162" i="48" s="1"/>
  <c r="AU124" i="48"/>
  <c r="AU160" i="48" s="1"/>
  <c r="AV122" i="48"/>
  <c r="BB114" i="48"/>
  <c r="AY90" i="48"/>
  <c r="AY158" i="48" s="1"/>
  <c r="AZ83" i="48"/>
  <c r="BA71" i="48"/>
  <c r="AZ156" i="48"/>
  <c r="AZ102" i="48"/>
  <c r="AW110" i="48"/>
  <c r="BB75" i="48"/>
  <c r="AZ81" i="48"/>
  <c r="AZ157" i="48" s="1"/>
  <c r="BA74" i="48"/>
  <c r="AR233" i="49" l="1"/>
  <c r="AR259" i="49" s="1"/>
  <c r="AP157" i="49"/>
  <c r="AR300" i="49"/>
  <c r="AS177" i="49"/>
  <c r="AS287" i="49" s="1"/>
  <c r="AQ256" i="49"/>
  <c r="AQ157" i="49"/>
  <c r="AR200" i="49"/>
  <c r="AR284" i="49" s="1"/>
  <c r="AR234" i="49"/>
  <c r="AR253" i="49" s="1"/>
  <c r="AS178" i="49"/>
  <c r="AS190" i="49"/>
  <c r="AS209" i="49"/>
  <c r="AS299" i="49" s="1"/>
  <c r="AR235" i="49"/>
  <c r="AR251" i="49" s="1"/>
  <c r="AT247" i="49"/>
  <c r="AU241" i="49"/>
  <c r="AS212" i="49"/>
  <c r="AS303" i="49" s="1"/>
  <c r="AU181" i="49"/>
  <c r="AT185" i="49"/>
  <c r="AS210" i="49"/>
  <c r="AU239" i="49"/>
  <c r="AT245" i="49"/>
  <c r="AU216" i="49"/>
  <c r="AT223" i="49"/>
  <c r="AS176" i="49"/>
  <c r="AU192" i="49"/>
  <c r="AT195" i="49"/>
  <c r="AT189" i="49" s="1"/>
  <c r="AU217" i="49"/>
  <c r="AT224" i="49"/>
  <c r="AU221" i="49"/>
  <c r="AT228" i="49"/>
  <c r="AS243" i="49"/>
  <c r="AT237" i="49"/>
  <c r="AT184" i="49"/>
  <c r="AU180" i="49"/>
  <c r="AV182" i="49"/>
  <c r="AU186" i="49"/>
  <c r="AS211" i="49"/>
  <c r="AS214" i="49"/>
  <c r="AS295" i="49" s="1"/>
  <c r="AU219" i="49"/>
  <c r="AT226" i="49"/>
  <c r="AT240" i="49"/>
  <c r="AS246" i="49"/>
  <c r="AV193" i="49"/>
  <c r="AU196" i="49"/>
  <c r="AR232" i="49"/>
  <c r="AT227" i="49"/>
  <c r="AU220" i="49"/>
  <c r="AS205" i="49"/>
  <c r="AS199" i="49" s="1"/>
  <c r="AS292" i="49" s="1"/>
  <c r="AT202" i="49"/>
  <c r="AU218" i="49"/>
  <c r="AT225" i="49"/>
  <c r="AU203" i="49"/>
  <c r="AT206" i="49"/>
  <c r="AT238" i="49"/>
  <c r="AS244" i="49"/>
  <c r="AS213" i="49"/>
  <c r="AS297" i="49" s="1"/>
  <c r="AR231" i="49"/>
  <c r="AU167" i="49"/>
  <c r="AW147" i="49"/>
  <c r="AW151" i="49" s="1"/>
  <c r="AW156" i="49" s="1"/>
  <c r="AW159" i="49" s="1"/>
  <c r="AW170" i="49" s="1"/>
  <c r="AW273" i="49" s="1"/>
  <c r="AV160" i="49"/>
  <c r="AV172" i="49" s="1"/>
  <c r="AV306" i="49" s="1"/>
  <c r="AZ121" i="49"/>
  <c r="AV163" i="49"/>
  <c r="AZ116" i="49"/>
  <c r="AV161" i="49"/>
  <c r="AV174" i="49" s="1"/>
  <c r="AZ118" i="49"/>
  <c r="AZ122" i="49"/>
  <c r="AZ120" i="49"/>
  <c r="AV162" i="49"/>
  <c r="AV164" i="49"/>
  <c r="AV166" i="49"/>
  <c r="AZ117" i="49"/>
  <c r="AV165" i="49"/>
  <c r="AZ119" i="49"/>
  <c r="AX40" i="50"/>
  <c r="AX45" i="50" s="1"/>
  <c r="AX48" i="50" s="1"/>
  <c r="AX96" i="50" s="1"/>
  <c r="BB20" i="50"/>
  <c r="AX47" i="50"/>
  <c r="AY36" i="50"/>
  <c r="AW48" i="50"/>
  <c r="AW96" i="50" s="1"/>
  <c r="AW47" i="50"/>
  <c r="BB30" i="50"/>
  <c r="BA28" i="50"/>
  <c r="BA39" i="50" s="1"/>
  <c r="AZ29" i="50"/>
  <c r="AY27" i="50"/>
  <c r="AY38" i="50" s="1"/>
  <c r="AS266" i="48"/>
  <c r="AQ238" i="48"/>
  <c r="AQ282" i="48"/>
  <c r="AR190" i="48"/>
  <c r="AR213" i="48"/>
  <c r="AQ216" i="48"/>
  <c r="AR215" i="48"/>
  <c r="AR235" i="48" s="1"/>
  <c r="AR214" i="48"/>
  <c r="AR241" i="48" s="1"/>
  <c r="AS227" i="48"/>
  <c r="AS228" i="48"/>
  <c r="AS226" i="48"/>
  <c r="AS225" i="48"/>
  <c r="AS224" i="48"/>
  <c r="AR211" i="48"/>
  <c r="AR212" i="48"/>
  <c r="AW218" i="48"/>
  <c r="AW219" i="48"/>
  <c r="AX221" i="48"/>
  <c r="AX222" i="48"/>
  <c r="AX220" i="48"/>
  <c r="AS185" i="48"/>
  <c r="AQ194" i="48"/>
  <c r="AR192" i="48"/>
  <c r="AR285" i="48" s="1"/>
  <c r="AW198" i="48"/>
  <c r="AR193" i="48"/>
  <c r="AR279" i="48" s="1"/>
  <c r="AX199" i="48"/>
  <c r="AR191" i="48"/>
  <c r="AW200" i="48"/>
  <c r="AR189" i="48"/>
  <c r="AR188" i="48"/>
  <c r="AR281" i="48" s="1"/>
  <c r="AX197" i="48"/>
  <c r="AW201" i="48"/>
  <c r="AX196" i="48"/>
  <c r="AT180" i="48"/>
  <c r="AT179" i="48"/>
  <c r="AT176" i="48"/>
  <c r="AT181" i="48"/>
  <c r="AT178" i="48"/>
  <c r="AT288" i="48" s="1"/>
  <c r="AT175" i="48"/>
  <c r="AT255" i="48" s="1"/>
  <c r="AT184" i="48"/>
  <c r="AT183" i="48"/>
  <c r="AT182" i="48"/>
  <c r="AZ70" i="48"/>
  <c r="AZ155" i="48" s="1"/>
  <c r="AT177" i="48"/>
  <c r="AY108" i="48"/>
  <c r="AY104" i="48"/>
  <c r="AY106" i="48"/>
  <c r="BA109" i="48"/>
  <c r="AV159" i="48"/>
  <c r="AY107" i="48"/>
  <c r="AY103" i="48"/>
  <c r="AU165" i="48"/>
  <c r="AU172" i="48" s="1"/>
  <c r="BA105" i="48"/>
  <c r="AW111" i="48"/>
  <c r="AW112" i="48" s="1"/>
  <c r="AZ21" i="50"/>
  <c r="BA19" i="50"/>
  <c r="AY17" i="50"/>
  <c r="AY35" i="50" s="1"/>
  <c r="AY40" i="50" s="1"/>
  <c r="AY45" i="50" s="1"/>
  <c r="AY47" i="50" s="1"/>
  <c r="AY74" i="50" s="1"/>
  <c r="AZ15" i="50"/>
  <c r="BA11" i="50"/>
  <c r="AZ33" i="50"/>
  <c r="BB12" i="50"/>
  <c r="BA34" i="50"/>
  <c r="AX136" i="49"/>
  <c r="AX149" i="49" s="1"/>
  <c r="AY138" i="49"/>
  <c r="AZ139" i="49"/>
  <c r="AY137" i="49"/>
  <c r="AY150" i="49" s="1"/>
  <c r="AX123" i="49"/>
  <c r="AY115" i="49"/>
  <c r="AY105" i="49"/>
  <c r="AX113" i="49"/>
  <c r="AX146" i="49" s="1"/>
  <c r="BA85" i="49"/>
  <c r="BA144" i="49" s="1"/>
  <c r="BB78" i="49"/>
  <c r="BB87" i="49"/>
  <c r="BA94" i="49"/>
  <c r="BA145" i="49" s="1"/>
  <c r="AZ74" i="49"/>
  <c r="AY142" i="49"/>
  <c r="AZ75" i="49"/>
  <c r="AY143" i="49"/>
  <c r="AX147" i="48"/>
  <c r="AX163" i="48" s="1"/>
  <c r="AY149" i="48"/>
  <c r="AZ150" i="48"/>
  <c r="AY148" i="48"/>
  <c r="AY164" i="48" s="1"/>
  <c r="AZ142" i="48"/>
  <c r="AY140" i="48"/>
  <c r="AY162" i="48" s="1"/>
  <c r="AY141" i="48"/>
  <c r="AX139" i="48"/>
  <c r="AX161" i="48" s="1"/>
  <c r="AW122" i="48"/>
  <c r="AV124" i="48"/>
  <c r="AV160" i="48" s="1"/>
  <c r="BC114" i="48"/>
  <c r="BA83" i="48"/>
  <c r="AZ90" i="48"/>
  <c r="AZ158" i="48" s="1"/>
  <c r="BB71" i="48"/>
  <c r="BA156" i="48"/>
  <c r="AX110" i="48"/>
  <c r="BA102" i="48"/>
  <c r="BC75" i="48"/>
  <c r="BB74" i="48"/>
  <c r="BA81" i="48"/>
  <c r="BA157" i="48" s="1"/>
  <c r="AS300" i="49" l="1"/>
  <c r="AR256" i="49"/>
  <c r="AS233" i="49"/>
  <c r="AS259" i="49" s="1"/>
  <c r="AT211" i="49"/>
  <c r="AT176" i="49"/>
  <c r="AT177" i="49"/>
  <c r="AT287" i="49" s="1"/>
  <c r="AT210" i="49"/>
  <c r="AT300" i="49" s="1"/>
  <c r="AS232" i="49"/>
  <c r="AU245" i="49"/>
  <c r="AV239" i="49"/>
  <c r="AU225" i="49"/>
  <c r="AV218" i="49"/>
  <c r="AV196" i="49"/>
  <c r="AW193" i="49"/>
  <c r="AW182" i="49"/>
  <c r="AV186" i="49"/>
  <c r="AV217" i="49"/>
  <c r="AU224" i="49"/>
  <c r="AU202" i="49"/>
  <c r="AT205" i="49"/>
  <c r="AT199" i="49" s="1"/>
  <c r="AT292" i="49" s="1"/>
  <c r="AS234" i="49"/>
  <c r="AS253" i="49" s="1"/>
  <c r="AU184" i="49"/>
  <c r="AV180" i="49"/>
  <c r="AU238" i="49"/>
  <c r="AT244" i="49"/>
  <c r="AT246" i="49"/>
  <c r="AU240" i="49"/>
  <c r="AU195" i="49"/>
  <c r="AU189" i="49" s="1"/>
  <c r="AV192" i="49"/>
  <c r="AV181" i="49"/>
  <c r="AU185" i="49"/>
  <c r="AS235" i="49"/>
  <c r="AS251" i="49" s="1"/>
  <c r="AV220" i="49"/>
  <c r="AU227" i="49"/>
  <c r="AT212" i="49"/>
  <c r="AT303" i="49" s="1"/>
  <c r="AT243" i="49"/>
  <c r="AU237" i="49"/>
  <c r="AT190" i="49"/>
  <c r="AT213" i="49"/>
  <c r="AT297" i="49" s="1"/>
  <c r="AV219" i="49"/>
  <c r="AU226" i="49"/>
  <c r="AS231" i="49"/>
  <c r="AT209" i="49"/>
  <c r="AT299" i="49" s="1"/>
  <c r="AS200" i="49"/>
  <c r="AS284" i="49" s="1"/>
  <c r="AT200" i="49"/>
  <c r="AT214" i="49"/>
  <c r="AT295" i="49" s="1"/>
  <c r="AV216" i="49"/>
  <c r="AU223" i="49"/>
  <c r="AV241" i="49"/>
  <c r="AU247" i="49"/>
  <c r="AU206" i="49"/>
  <c r="AV203" i="49"/>
  <c r="AT178" i="49"/>
  <c r="AV221" i="49"/>
  <c r="AU228" i="49"/>
  <c r="AV167" i="49"/>
  <c r="AW161" i="49"/>
  <c r="AW174" i="49" s="1"/>
  <c r="AW162" i="49"/>
  <c r="BA119" i="49"/>
  <c r="AW160" i="49"/>
  <c r="AW172" i="49" s="1"/>
  <c r="AW306" i="49" s="1"/>
  <c r="BA116" i="49"/>
  <c r="BA120" i="49"/>
  <c r="BA122" i="49"/>
  <c r="BA121" i="49"/>
  <c r="AW163" i="49"/>
  <c r="AW164" i="49"/>
  <c r="BA117" i="49"/>
  <c r="AX147" i="49"/>
  <c r="AX151" i="49" s="1"/>
  <c r="AX156" i="49" s="1"/>
  <c r="AX165" i="49" s="1"/>
  <c r="BA118" i="49"/>
  <c r="AW166" i="49"/>
  <c r="AW165" i="49"/>
  <c r="AX74" i="50"/>
  <c r="AX49" i="50"/>
  <c r="AY48" i="50"/>
  <c r="AZ36" i="50"/>
  <c r="BC20" i="50"/>
  <c r="AW49" i="50"/>
  <c r="AW74" i="50"/>
  <c r="BA29" i="50"/>
  <c r="AZ27" i="50"/>
  <c r="AZ38" i="50" s="1"/>
  <c r="BC30" i="50"/>
  <c r="BB28" i="50"/>
  <c r="BB39" i="50" s="1"/>
  <c r="AT266" i="48"/>
  <c r="AR238" i="48"/>
  <c r="AR282" i="48"/>
  <c r="AS214" i="48"/>
  <c r="AS241" i="48" s="1"/>
  <c r="AS215" i="48"/>
  <c r="AS235" i="48" s="1"/>
  <c r="AR216" i="48"/>
  <c r="AT206" i="48"/>
  <c r="AT204" i="48"/>
  <c r="AT203" i="48"/>
  <c r="AT207" i="48"/>
  <c r="AT205" i="48"/>
  <c r="AT208" i="48"/>
  <c r="AT228" i="48"/>
  <c r="AT226" i="48"/>
  <c r="AT227" i="48"/>
  <c r="AT224" i="48"/>
  <c r="AT225" i="48"/>
  <c r="AS211" i="48"/>
  <c r="AS212" i="48"/>
  <c r="AS213" i="48"/>
  <c r="AY221" i="48"/>
  <c r="AY222" i="48"/>
  <c r="AX218" i="48"/>
  <c r="AY220" i="48"/>
  <c r="AX219" i="48"/>
  <c r="AS192" i="48"/>
  <c r="AS285" i="48" s="1"/>
  <c r="AS193" i="48"/>
  <c r="AS279" i="48" s="1"/>
  <c r="AY196" i="48"/>
  <c r="AX200" i="48"/>
  <c r="AS190" i="48"/>
  <c r="AX201" i="48"/>
  <c r="AX198" i="48"/>
  <c r="AY199" i="48"/>
  <c r="AS189" i="48"/>
  <c r="AY197" i="48"/>
  <c r="AS191" i="48"/>
  <c r="AR194" i="48"/>
  <c r="AS188" i="48"/>
  <c r="AS281" i="48" s="1"/>
  <c r="AV165" i="48"/>
  <c r="AV172" i="48" s="1"/>
  <c r="AV183" i="48" s="1"/>
  <c r="AT185" i="48"/>
  <c r="BA70" i="48"/>
  <c r="BA155" i="48" s="1"/>
  <c r="AU178" i="48"/>
  <c r="AU288" i="48" s="1"/>
  <c r="AU184" i="48"/>
  <c r="AU175" i="48"/>
  <c r="AU255" i="48" s="1"/>
  <c r="AU176" i="48"/>
  <c r="AU181" i="48"/>
  <c r="AU179" i="48"/>
  <c r="AU180" i="48"/>
  <c r="AU177" i="48"/>
  <c r="AU182" i="48"/>
  <c r="AU183" i="48"/>
  <c r="BB109" i="48"/>
  <c r="AZ106" i="48"/>
  <c r="AW159" i="48"/>
  <c r="AZ104" i="48"/>
  <c r="AZ107" i="48"/>
  <c r="AZ103" i="48"/>
  <c r="BB105" i="48"/>
  <c r="AZ108" i="48"/>
  <c r="AX111" i="48"/>
  <c r="AZ17" i="50"/>
  <c r="AZ35" i="50" s="1"/>
  <c r="BA15" i="50"/>
  <c r="BA21" i="50"/>
  <c r="BB19" i="50"/>
  <c r="BC12" i="50"/>
  <c r="BB34" i="50"/>
  <c r="BB11" i="50"/>
  <c r="BA33" i="50"/>
  <c r="AZ137" i="49"/>
  <c r="AZ150" i="49" s="1"/>
  <c r="BA139" i="49"/>
  <c r="AY136" i="49"/>
  <c r="AY149" i="49" s="1"/>
  <c r="AZ138" i="49"/>
  <c r="AZ105" i="49"/>
  <c r="AY113" i="49"/>
  <c r="AY146" i="49" s="1"/>
  <c r="AY123" i="49"/>
  <c r="AZ115" i="49"/>
  <c r="BB94" i="49"/>
  <c r="BB145" i="49" s="1"/>
  <c r="BC87" i="49"/>
  <c r="BB85" i="49"/>
  <c r="BB144" i="49" s="1"/>
  <c r="BC78" i="49"/>
  <c r="BA75" i="49"/>
  <c r="AZ143" i="49"/>
  <c r="BA74" i="49"/>
  <c r="AZ142" i="49"/>
  <c r="BA150" i="48"/>
  <c r="AZ148" i="48"/>
  <c r="AZ164" i="48" s="1"/>
  <c r="AZ149" i="48"/>
  <c r="AY147" i="48"/>
  <c r="AY163" i="48" s="1"/>
  <c r="AZ141" i="48"/>
  <c r="AY139" i="48"/>
  <c r="AY161" i="48" s="1"/>
  <c r="BA142" i="48"/>
  <c r="AZ140" i="48"/>
  <c r="AZ162" i="48" s="1"/>
  <c r="AW124" i="48"/>
  <c r="AW160" i="48" s="1"/>
  <c r="AX122" i="48"/>
  <c r="BD114" i="48"/>
  <c r="BB83" i="48"/>
  <c r="BA90" i="48"/>
  <c r="BA158" i="48" s="1"/>
  <c r="BC71" i="48"/>
  <c r="BB156" i="48"/>
  <c r="BB102" i="48"/>
  <c r="AY110" i="48"/>
  <c r="BD75" i="48"/>
  <c r="BB81" i="48"/>
  <c r="BB157" i="48" s="1"/>
  <c r="BC74" i="48"/>
  <c r="AT284" i="49" l="1"/>
  <c r="AR157" i="49"/>
  <c r="AU177" i="49"/>
  <c r="AU287" i="49" s="1"/>
  <c r="AS256" i="49"/>
  <c r="AT231" i="49"/>
  <c r="AU209" i="49"/>
  <c r="AU299" i="49" s="1"/>
  <c r="AU214" i="49"/>
  <c r="AU295" i="49" s="1"/>
  <c r="AW186" i="49"/>
  <c r="AX182" i="49"/>
  <c r="AW181" i="49"/>
  <c r="AV185" i="49"/>
  <c r="AU178" i="49"/>
  <c r="AU176" i="49"/>
  <c r="AX193" i="49"/>
  <c r="AW196" i="49"/>
  <c r="AW203" i="49"/>
  <c r="AV206" i="49"/>
  <c r="AU243" i="49"/>
  <c r="AV237" i="49"/>
  <c r="AV195" i="49"/>
  <c r="AV189" i="49" s="1"/>
  <c r="AW192" i="49"/>
  <c r="AV226" i="49"/>
  <c r="AW219" i="49"/>
  <c r="AW221" i="49"/>
  <c r="AV228" i="49"/>
  <c r="AW218" i="49"/>
  <c r="AV225" i="49"/>
  <c r="AV223" i="49"/>
  <c r="AW216" i="49"/>
  <c r="AU190" i="49"/>
  <c r="AV240" i="49"/>
  <c r="AU246" i="49"/>
  <c r="AV202" i="49"/>
  <c r="AU205" i="49"/>
  <c r="AU199" i="49" s="1"/>
  <c r="AU292" i="49" s="1"/>
  <c r="AU211" i="49"/>
  <c r="AU244" i="49"/>
  <c r="AV238" i="49"/>
  <c r="AW180" i="49"/>
  <c r="AV184" i="49"/>
  <c r="AT235" i="49"/>
  <c r="AT251" i="49" s="1"/>
  <c r="AU213" i="49"/>
  <c r="AU297" i="49" s="1"/>
  <c r="AT234" i="49"/>
  <c r="AT253" i="49" s="1"/>
  <c r="AU210" i="49"/>
  <c r="AU300" i="49" s="1"/>
  <c r="AW239" i="49"/>
  <c r="AV245" i="49"/>
  <c r="AT233" i="49"/>
  <c r="AT259" i="49" s="1"/>
  <c r="AW241" i="49"/>
  <c r="AV247" i="49"/>
  <c r="AU212" i="49"/>
  <c r="AU303" i="49" s="1"/>
  <c r="AW220" i="49"/>
  <c r="AV227" i="49"/>
  <c r="AT232" i="49"/>
  <c r="AW217" i="49"/>
  <c r="AV224" i="49"/>
  <c r="AX162" i="49"/>
  <c r="AX160" i="49"/>
  <c r="AX172" i="49" s="1"/>
  <c r="AX306" i="49" s="1"/>
  <c r="AW167" i="49"/>
  <c r="AX164" i="49"/>
  <c r="BB117" i="49"/>
  <c r="AX159" i="49"/>
  <c r="AX170" i="49" s="1"/>
  <c r="AX273" i="49" s="1"/>
  <c r="AX166" i="49"/>
  <c r="AY147" i="49"/>
  <c r="AY151" i="49" s="1"/>
  <c r="AY156" i="49" s="1"/>
  <c r="AX161" i="49"/>
  <c r="AX174" i="49" s="1"/>
  <c r="BB116" i="49"/>
  <c r="BB120" i="49"/>
  <c r="AX163" i="49"/>
  <c r="BB118" i="49"/>
  <c r="BB121" i="49"/>
  <c r="BB122" i="49"/>
  <c r="BB119" i="49"/>
  <c r="AZ40" i="50"/>
  <c r="AZ45" i="50" s="1"/>
  <c r="AZ47" i="50" s="1"/>
  <c r="AZ74" i="50" s="1"/>
  <c r="BD20" i="50"/>
  <c r="AZ48" i="50"/>
  <c r="AZ96" i="50" s="1"/>
  <c r="BA36" i="50"/>
  <c r="AY49" i="50"/>
  <c r="AY96" i="50"/>
  <c r="BD30" i="50"/>
  <c r="BC28" i="50"/>
  <c r="BC39" i="50" s="1"/>
  <c r="BB29" i="50"/>
  <c r="BA27" i="50"/>
  <c r="BA38" i="50" s="1"/>
  <c r="AU266" i="48"/>
  <c r="AS238" i="48"/>
  <c r="AS282" i="48"/>
  <c r="AT212" i="48"/>
  <c r="AU204" i="48"/>
  <c r="AU203" i="48"/>
  <c r="AU206" i="48"/>
  <c r="AU205" i="48"/>
  <c r="AU208" i="48"/>
  <c r="AU207" i="48"/>
  <c r="AU228" i="48"/>
  <c r="AU227" i="48"/>
  <c r="AU226" i="48"/>
  <c r="AU225" i="48"/>
  <c r="AU224" i="48"/>
  <c r="AT214" i="48"/>
  <c r="AT241" i="48" s="1"/>
  <c r="AT211" i="48"/>
  <c r="AT213" i="48"/>
  <c r="AT215" i="48"/>
  <c r="AT235" i="48" s="1"/>
  <c r="AV206" i="48"/>
  <c r="AV204" i="48"/>
  <c r="AV203" i="48"/>
  <c r="AV207" i="48"/>
  <c r="AV208" i="48"/>
  <c r="AV205" i="48"/>
  <c r="AS216" i="48"/>
  <c r="AZ221" i="48"/>
  <c r="AY219" i="48"/>
  <c r="AY218" i="48"/>
  <c r="AZ222" i="48"/>
  <c r="AZ220" i="48"/>
  <c r="BB70" i="48"/>
  <c r="BB155" i="48" s="1"/>
  <c r="AY198" i="48"/>
  <c r="AY201" i="48"/>
  <c r="AZ197" i="48"/>
  <c r="AY200" i="48"/>
  <c r="AZ199" i="48"/>
  <c r="AS194" i="48"/>
  <c r="AZ196" i="48"/>
  <c r="AV184" i="48"/>
  <c r="AV181" i="48"/>
  <c r="AV180" i="48"/>
  <c r="AV176" i="48"/>
  <c r="AV175" i="48"/>
  <c r="AV255" i="48" s="1"/>
  <c r="AV179" i="48"/>
  <c r="AV182" i="48"/>
  <c r="AV177" i="48"/>
  <c r="AV178" i="48"/>
  <c r="AV288" i="48" s="1"/>
  <c r="AW165" i="48"/>
  <c r="AW172" i="48" s="1"/>
  <c r="AW177" i="48" s="1"/>
  <c r="BA106" i="48"/>
  <c r="AU185" i="48"/>
  <c r="BA103" i="48"/>
  <c r="BC109" i="48"/>
  <c r="BC105" i="48"/>
  <c r="AY111" i="48"/>
  <c r="AY112" i="48" s="1"/>
  <c r="BA104" i="48"/>
  <c r="BA108" i="48"/>
  <c r="AX112" i="48"/>
  <c r="BA107" i="48"/>
  <c r="BB21" i="50"/>
  <c r="BC19" i="50"/>
  <c r="BA17" i="50"/>
  <c r="BA35" i="50" s="1"/>
  <c r="BB15" i="50"/>
  <c r="BC11" i="50"/>
  <c r="BB33" i="50"/>
  <c r="BD12" i="50"/>
  <c r="BC34" i="50"/>
  <c r="BA138" i="49"/>
  <c r="AZ136" i="49"/>
  <c r="AZ149" i="49" s="1"/>
  <c r="BB139" i="49"/>
  <c r="BA137" i="49"/>
  <c r="BA150" i="49" s="1"/>
  <c r="AZ123" i="49"/>
  <c r="BA115" i="49"/>
  <c r="AZ113" i="49"/>
  <c r="AZ146" i="49" s="1"/>
  <c r="BA105" i="49"/>
  <c r="BC85" i="49"/>
  <c r="BC144" i="49" s="1"/>
  <c r="BD78" i="49"/>
  <c r="BD87" i="49"/>
  <c r="BC94" i="49"/>
  <c r="BC145" i="49" s="1"/>
  <c r="BB74" i="49"/>
  <c r="BA142" i="49"/>
  <c r="BB75" i="49"/>
  <c r="BA143" i="49"/>
  <c r="BA149" i="48"/>
  <c r="AZ147" i="48"/>
  <c r="AZ163" i="48" s="1"/>
  <c r="BA148" i="48"/>
  <c r="BA164" i="48" s="1"/>
  <c r="BB150" i="48"/>
  <c r="BB142" i="48"/>
  <c r="BA140" i="48"/>
  <c r="BA162" i="48" s="1"/>
  <c r="BA141" i="48"/>
  <c r="AZ139" i="48"/>
  <c r="AZ161" i="48" s="1"/>
  <c r="AY122" i="48"/>
  <c r="AX124" i="48"/>
  <c r="AX160" i="48" s="1"/>
  <c r="BE114" i="48"/>
  <c r="BC83" i="48"/>
  <c r="BB90" i="48"/>
  <c r="BB158" i="48" s="1"/>
  <c r="BD71" i="48"/>
  <c r="BC156" i="48"/>
  <c r="AZ110" i="48"/>
  <c r="BC102" i="48"/>
  <c r="BE75" i="48"/>
  <c r="BD74" i="48"/>
  <c r="BC81" i="48"/>
  <c r="BC157" i="48" s="1"/>
  <c r="AS157" i="49" l="1"/>
  <c r="AT256" i="49"/>
  <c r="AU232" i="49"/>
  <c r="AV177" i="49"/>
  <c r="AV287" i="49" s="1"/>
  <c r="AV190" i="49"/>
  <c r="AV213" i="49"/>
  <c r="AV297" i="49" s="1"/>
  <c r="AW225" i="49"/>
  <c r="AX218" i="49"/>
  <c r="AV209" i="49"/>
  <c r="AV299" i="49" s="1"/>
  <c r="AV211" i="49"/>
  <c r="AU235" i="49"/>
  <c r="AU251" i="49" s="1"/>
  <c r="AW202" i="49"/>
  <c r="AV205" i="49"/>
  <c r="AV199" i="49" s="1"/>
  <c r="AU200" i="49"/>
  <c r="AU284" i="49" s="1"/>
  <c r="AW237" i="49"/>
  <c r="AV243" i="49"/>
  <c r="AX220" i="49"/>
  <c r="AW227" i="49"/>
  <c r="AX192" i="49"/>
  <c r="AW195" i="49"/>
  <c r="AW189" i="49" s="1"/>
  <c r="AU233" i="49"/>
  <c r="AU259" i="49" s="1"/>
  <c r="AX241" i="49"/>
  <c r="AW247" i="49"/>
  <c r="AU234" i="49"/>
  <c r="AU253" i="49" s="1"/>
  <c r="AV214" i="49"/>
  <c r="AV295" i="49" s="1"/>
  <c r="AU231" i="49"/>
  <c r="AU256" i="49" s="1"/>
  <c r="AX181" i="49"/>
  <c r="AW185" i="49"/>
  <c r="AV210" i="49"/>
  <c r="AV300" i="49" s="1"/>
  <c r="AV176" i="49"/>
  <c r="AW240" i="49"/>
  <c r="AV246" i="49"/>
  <c r="AW228" i="49"/>
  <c r="AX221" i="49"/>
  <c r="AY182" i="49"/>
  <c r="AX186" i="49"/>
  <c r="AY193" i="49"/>
  <c r="AX196" i="49"/>
  <c r="AX217" i="49"/>
  <c r="AW224" i="49"/>
  <c r="AX180" i="49"/>
  <c r="AW184" i="49"/>
  <c r="AX219" i="49"/>
  <c r="AW226" i="49"/>
  <c r="AW206" i="49"/>
  <c r="AX203" i="49"/>
  <c r="AX239" i="49"/>
  <c r="AW245" i="49"/>
  <c r="AV244" i="49"/>
  <c r="AW238" i="49"/>
  <c r="AX216" i="49"/>
  <c r="AW223" i="49"/>
  <c r="AV212" i="49"/>
  <c r="AV303" i="49" s="1"/>
  <c r="AV178" i="49"/>
  <c r="AY160" i="49"/>
  <c r="AY172" i="49" s="1"/>
  <c r="AY306" i="49" s="1"/>
  <c r="AY164" i="49"/>
  <c r="AY159" i="49"/>
  <c r="AY170" i="49" s="1"/>
  <c r="AY273" i="49" s="1"/>
  <c r="AY163" i="49"/>
  <c r="AY162" i="49"/>
  <c r="AY161" i="49"/>
  <c r="AY174" i="49" s="1"/>
  <c r="AY165" i="49"/>
  <c r="AY166" i="49"/>
  <c r="AZ147" i="49"/>
  <c r="AZ151" i="49" s="1"/>
  <c r="AZ156" i="49" s="1"/>
  <c r="AZ159" i="49" s="1"/>
  <c r="AZ170" i="49" s="1"/>
  <c r="AZ273" i="49" s="1"/>
  <c r="BC116" i="49"/>
  <c r="BC118" i="49"/>
  <c r="AX167" i="49"/>
  <c r="BC121" i="49"/>
  <c r="BC119" i="49"/>
  <c r="BC117" i="49"/>
  <c r="BC122" i="49"/>
  <c r="BC120" i="49"/>
  <c r="BA40" i="50"/>
  <c r="BA45" i="50" s="1"/>
  <c r="BA47" i="50" s="1"/>
  <c r="BA74" i="50" s="1"/>
  <c r="BB36" i="50"/>
  <c r="BE20" i="50"/>
  <c r="AZ49" i="50"/>
  <c r="BC29" i="50"/>
  <c r="BB27" i="50"/>
  <c r="BB38" i="50" s="1"/>
  <c r="BE30" i="50"/>
  <c r="BD28" i="50"/>
  <c r="BD39" i="50" s="1"/>
  <c r="AV266" i="48"/>
  <c r="AT238" i="48"/>
  <c r="AU211" i="48"/>
  <c r="BC70" i="48"/>
  <c r="BC155" i="48" s="1"/>
  <c r="AT216" i="48"/>
  <c r="AV226" i="48"/>
  <c r="AV228" i="48"/>
  <c r="AV227" i="48"/>
  <c r="AV224" i="48"/>
  <c r="AV225" i="48"/>
  <c r="AU212" i="48"/>
  <c r="AU213" i="48"/>
  <c r="AU214" i="48"/>
  <c r="AU241" i="48" s="1"/>
  <c r="AU215" i="48"/>
  <c r="AU235" i="48" s="1"/>
  <c r="AZ218" i="48"/>
  <c r="BA220" i="48"/>
  <c r="AZ219" i="48"/>
  <c r="BA222" i="48"/>
  <c r="BA221" i="48"/>
  <c r="AT188" i="48"/>
  <c r="AT281" i="48" s="1"/>
  <c r="AW176" i="48"/>
  <c r="AU190" i="48"/>
  <c r="BA199" i="48"/>
  <c r="AT189" i="48"/>
  <c r="AZ200" i="48"/>
  <c r="BA197" i="48"/>
  <c r="AV185" i="48"/>
  <c r="AT192" i="48"/>
  <c r="AT285" i="48" s="1"/>
  <c r="AZ201" i="48"/>
  <c r="AT193" i="48"/>
  <c r="AT279" i="48" s="1"/>
  <c r="BA196" i="48"/>
  <c r="AT190" i="48"/>
  <c r="AW179" i="48"/>
  <c r="AT191" i="48"/>
  <c r="AZ198" i="48"/>
  <c r="AW184" i="48"/>
  <c r="AW178" i="48"/>
  <c r="AW288" i="48" s="1"/>
  <c r="AW180" i="48"/>
  <c r="AW183" i="48"/>
  <c r="AW175" i="48"/>
  <c r="AW255" i="48" s="1"/>
  <c r="AW182" i="48"/>
  <c r="AW181" i="48"/>
  <c r="BB108" i="48"/>
  <c r="BD105" i="48"/>
  <c r="BD109" i="48"/>
  <c r="AY159" i="48"/>
  <c r="BB104" i="48"/>
  <c r="AX159" i="48"/>
  <c r="AX165" i="48" s="1"/>
  <c r="AX172" i="48" s="1"/>
  <c r="AX177" i="48" s="1"/>
  <c r="BB107" i="48"/>
  <c r="AZ111" i="48"/>
  <c r="BB103" i="48"/>
  <c r="BB106" i="48"/>
  <c r="BB17" i="50"/>
  <c r="BB35" i="50" s="1"/>
  <c r="BB40" i="50" s="1"/>
  <c r="BB45" i="50" s="1"/>
  <c r="BB47" i="50" s="1"/>
  <c r="BC15" i="50"/>
  <c r="BD19" i="50"/>
  <c r="BC21" i="50"/>
  <c r="BE12" i="50"/>
  <c r="BD34" i="50"/>
  <c r="BD11" i="50"/>
  <c r="BC33" i="50"/>
  <c r="BC139" i="49"/>
  <c r="BB137" i="49"/>
  <c r="BB150" i="49" s="1"/>
  <c r="BB138" i="49"/>
  <c r="BA136" i="49"/>
  <c r="BA149" i="49" s="1"/>
  <c r="BB105" i="49"/>
  <c r="BA113" i="49"/>
  <c r="BA146" i="49" s="1"/>
  <c r="BA123" i="49"/>
  <c r="BB115" i="49"/>
  <c r="BD94" i="49"/>
  <c r="BD145" i="49" s="1"/>
  <c r="BE87" i="49"/>
  <c r="BE78" i="49"/>
  <c r="BD85" i="49"/>
  <c r="BD144" i="49" s="1"/>
  <c r="BC75" i="49"/>
  <c r="BB143" i="49"/>
  <c r="BC74" i="49"/>
  <c r="BB142" i="49"/>
  <c r="BC150" i="48"/>
  <c r="BB148" i="48"/>
  <c r="BB164" i="48" s="1"/>
  <c r="BB149" i="48"/>
  <c r="BA147" i="48"/>
  <c r="BA163" i="48" s="1"/>
  <c r="BB141" i="48"/>
  <c r="BA139" i="48"/>
  <c r="BA161" i="48" s="1"/>
  <c r="BC142" i="48"/>
  <c r="BB140" i="48"/>
  <c r="BB162" i="48" s="1"/>
  <c r="AZ122" i="48"/>
  <c r="AY124" i="48"/>
  <c r="AY160" i="48" s="1"/>
  <c r="BF114" i="48"/>
  <c r="BD83" i="48"/>
  <c r="BC90" i="48"/>
  <c r="BC158" i="48" s="1"/>
  <c r="BE71" i="48"/>
  <c r="BD156" i="48"/>
  <c r="BD102" i="48"/>
  <c r="BA110" i="48"/>
  <c r="BF75" i="48"/>
  <c r="BD81" i="48"/>
  <c r="BD157" i="48" s="1"/>
  <c r="BE74" i="48"/>
  <c r="AV292" i="49" l="1"/>
  <c r="AT157" i="49"/>
  <c r="AU157" i="49"/>
  <c r="AV232" i="49"/>
  <c r="AW176" i="49"/>
  <c r="AW190" i="49"/>
  <c r="AW210" i="49"/>
  <c r="AZ182" i="49"/>
  <c r="AY186" i="49"/>
  <c r="AW177" i="49"/>
  <c r="AW287" i="49" s="1"/>
  <c r="AX202" i="49"/>
  <c r="AW205" i="49"/>
  <c r="AW199" i="49" s="1"/>
  <c r="AW292" i="49" s="1"/>
  <c r="AY219" i="49"/>
  <c r="AX226" i="49"/>
  <c r="AX184" i="49"/>
  <c r="AY180" i="49"/>
  <c r="AY239" i="49"/>
  <c r="AX245" i="49"/>
  <c r="AV233" i="49"/>
  <c r="AV259" i="49" s="1"/>
  <c r="AY221" i="49"/>
  <c r="AX228" i="49"/>
  <c r="AW213" i="49"/>
  <c r="AW297" i="49" s="1"/>
  <c r="AV235" i="49"/>
  <c r="AV251" i="49" s="1"/>
  <c r="AY192" i="49"/>
  <c r="AX195" i="49"/>
  <c r="AX189" i="49" s="1"/>
  <c r="AW178" i="49"/>
  <c r="AW214" i="49"/>
  <c r="AW295" i="49" s="1"/>
  <c r="AX227" i="49"/>
  <c r="AY220" i="49"/>
  <c r="AV200" i="49"/>
  <c r="AV284" i="49" s="1"/>
  <c r="AY203" i="49"/>
  <c r="AX206" i="49"/>
  <c r="AY217" i="49"/>
  <c r="AX224" i="49"/>
  <c r="AV234" i="49"/>
  <c r="AV253" i="49" s="1"/>
  <c r="AV231" i="49"/>
  <c r="AV256" i="49" s="1"/>
  <c r="AW209" i="49"/>
  <c r="AW299" i="49" s="1"/>
  <c r="AW246" i="49"/>
  <c r="AX240" i="49"/>
  <c r="AW243" i="49"/>
  <c r="AX237" i="49"/>
  <c r="AY218" i="49"/>
  <c r="AX225" i="49"/>
  <c r="AX238" i="49"/>
  <c r="AW244" i="49"/>
  <c r="AY181" i="49"/>
  <c r="AX185" i="49"/>
  <c r="AX223" i="49"/>
  <c r="AY216" i="49"/>
  <c r="AW212" i="49"/>
  <c r="AW303" i="49" s="1"/>
  <c r="AZ193" i="49"/>
  <c r="AY196" i="49"/>
  <c r="AY241" i="49"/>
  <c r="AX247" i="49"/>
  <c r="AW211" i="49"/>
  <c r="AZ164" i="49"/>
  <c r="BD120" i="49"/>
  <c r="AZ160" i="49"/>
  <c r="AZ172" i="49" s="1"/>
  <c r="AZ306" i="49" s="1"/>
  <c r="BD121" i="49"/>
  <c r="AZ162" i="49"/>
  <c r="BD119" i="49"/>
  <c r="BA147" i="49"/>
  <c r="BA151" i="49" s="1"/>
  <c r="BA156" i="49" s="1"/>
  <c r="BD122" i="49"/>
  <c r="AZ165" i="49"/>
  <c r="AZ161" i="49"/>
  <c r="AZ174" i="49" s="1"/>
  <c r="BD118" i="49"/>
  <c r="AZ163" i="49"/>
  <c r="BD117" i="49"/>
  <c r="AZ166" i="49"/>
  <c r="BD116" i="49"/>
  <c r="AY167" i="49"/>
  <c r="BA48" i="50"/>
  <c r="BA96" i="50" s="1"/>
  <c r="BB74" i="50"/>
  <c r="BC36" i="50"/>
  <c r="BF20" i="50"/>
  <c r="BB48" i="50"/>
  <c r="BB96" i="50" s="1"/>
  <c r="BF30" i="50"/>
  <c r="BE28" i="50"/>
  <c r="BE39" i="50" s="1"/>
  <c r="BD29" i="50"/>
  <c r="BC27" i="50"/>
  <c r="BC38" i="50" s="1"/>
  <c r="BD70" i="48"/>
  <c r="BD155" i="48" s="1"/>
  <c r="AW266" i="48"/>
  <c r="AU238" i="48"/>
  <c r="AT282" i="48"/>
  <c r="AV214" i="48"/>
  <c r="AV241" i="48" s="1"/>
  <c r="AV211" i="48"/>
  <c r="AV215" i="48"/>
  <c r="AV235" i="48" s="1"/>
  <c r="AV213" i="48"/>
  <c r="AW203" i="48"/>
  <c r="AW206" i="48"/>
  <c r="AW204" i="48"/>
  <c r="AW208" i="48"/>
  <c r="AW207" i="48"/>
  <c r="AW205" i="48"/>
  <c r="AU216" i="48"/>
  <c r="AW227" i="48"/>
  <c r="AW228" i="48"/>
  <c r="AW226" i="48"/>
  <c r="AW225" i="48"/>
  <c r="AW224" i="48"/>
  <c r="AV212" i="48"/>
  <c r="BB221" i="48"/>
  <c r="BB222" i="48"/>
  <c r="BB220" i="48"/>
  <c r="BA219" i="48"/>
  <c r="BA218" i="48"/>
  <c r="AT194" i="48"/>
  <c r="AU192" i="48"/>
  <c r="AU285" i="48" s="1"/>
  <c r="BB197" i="48"/>
  <c r="AU193" i="48"/>
  <c r="AU279" i="48" s="1"/>
  <c r="AV190" i="48"/>
  <c r="BB196" i="48"/>
  <c r="AU191" i="48"/>
  <c r="BA200" i="48"/>
  <c r="AU189" i="48"/>
  <c r="BB199" i="48"/>
  <c r="AU188" i="48"/>
  <c r="AU281" i="48" s="1"/>
  <c r="BA198" i="48"/>
  <c r="BA201" i="48"/>
  <c r="BA208" i="48" s="1"/>
  <c r="AW185" i="48"/>
  <c r="AY165" i="48"/>
  <c r="AY172" i="48" s="1"/>
  <c r="AY183" i="48" s="1"/>
  <c r="BA111" i="48"/>
  <c r="BA112" i="48" s="1"/>
  <c r="AX180" i="48"/>
  <c r="AX181" i="48"/>
  <c r="AX182" i="48"/>
  <c r="BE109" i="48"/>
  <c r="BC107" i="48"/>
  <c r="AX178" i="48"/>
  <c r="AX288" i="48" s="1"/>
  <c r="AX184" i="48"/>
  <c r="BC106" i="48"/>
  <c r="AX183" i="48"/>
  <c r="AX175" i="48"/>
  <c r="AX255" i="48" s="1"/>
  <c r="BE105" i="48"/>
  <c r="BC103" i="48"/>
  <c r="AX179" i="48"/>
  <c r="AX176" i="48"/>
  <c r="BC108" i="48"/>
  <c r="AZ112" i="48"/>
  <c r="BC104" i="48"/>
  <c r="BD21" i="50"/>
  <c r="BE19" i="50"/>
  <c r="BC17" i="50"/>
  <c r="BC35" i="50" s="1"/>
  <c r="BC40" i="50" s="1"/>
  <c r="BC45" i="50" s="1"/>
  <c r="BC47" i="50" s="1"/>
  <c r="BD15" i="50"/>
  <c r="BF12" i="50"/>
  <c r="BE34" i="50"/>
  <c r="BE11" i="50"/>
  <c r="BD33" i="50"/>
  <c r="BB136" i="49"/>
  <c r="BB149" i="49" s="1"/>
  <c r="BC138" i="49"/>
  <c r="BC137" i="49"/>
  <c r="BC150" i="49" s="1"/>
  <c r="BD139" i="49"/>
  <c r="BC115" i="49"/>
  <c r="BB123" i="49"/>
  <c r="BC105" i="49"/>
  <c r="BB113" i="49"/>
  <c r="BB146" i="49" s="1"/>
  <c r="BE85" i="49"/>
  <c r="BE144" i="49" s="1"/>
  <c r="BF78" i="49"/>
  <c r="BE94" i="49"/>
  <c r="BE145" i="49" s="1"/>
  <c r="BF87" i="49"/>
  <c r="BD74" i="49"/>
  <c r="BC142" i="49"/>
  <c r="BD75" i="49"/>
  <c r="BC143" i="49"/>
  <c r="BD150" i="48"/>
  <c r="BC148" i="48"/>
  <c r="BC164" i="48" s="1"/>
  <c r="BC149" i="48"/>
  <c r="BB147" i="48"/>
  <c r="BB163" i="48" s="1"/>
  <c r="BD142" i="48"/>
  <c r="BC140" i="48"/>
  <c r="BC162" i="48" s="1"/>
  <c r="BC141" i="48"/>
  <c r="BB139" i="48"/>
  <c r="BB161" i="48" s="1"/>
  <c r="BA122" i="48"/>
  <c r="AZ124" i="48"/>
  <c r="AZ160" i="48" s="1"/>
  <c r="BG114" i="48"/>
  <c r="BE83" i="48"/>
  <c r="BD90" i="48"/>
  <c r="BD158" i="48" s="1"/>
  <c r="BF71" i="48"/>
  <c r="BE156" i="48"/>
  <c r="BB110" i="48"/>
  <c r="BE102" i="48"/>
  <c r="BG75" i="48"/>
  <c r="BE81" i="48"/>
  <c r="BE157" i="48" s="1"/>
  <c r="BF74" i="48"/>
  <c r="BA49" i="50" l="1"/>
  <c r="AW300" i="49"/>
  <c r="AV157" i="49"/>
  <c r="AW200" i="49"/>
  <c r="AW284" i="49" s="1"/>
  <c r="AX176" i="49"/>
  <c r="AX190" i="49"/>
  <c r="AX211" i="49"/>
  <c r="BA193" i="49"/>
  <c r="AZ196" i="49"/>
  <c r="AY238" i="49"/>
  <c r="AX244" i="49"/>
  <c r="AX212" i="49"/>
  <c r="AX303" i="49" s="1"/>
  <c r="AW235" i="49"/>
  <c r="AW251" i="49" s="1"/>
  <c r="AW232" i="49"/>
  <c r="AY227" i="49"/>
  <c r="AZ220" i="49"/>
  <c r="AX214" i="49"/>
  <c r="AX295" i="49" s="1"/>
  <c r="AZ219" i="49"/>
  <c r="AY226" i="49"/>
  <c r="AY223" i="49"/>
  <c r="AZ216" i="49"/>
  <c r="AZ218" i="49"/>
  <c r="AY225" i="49"/>
  <c r="AX213" i="49"/>
  <c r="AX297" i="49" s="1"/>
  <c r="AY228" i="49"/>
  <c r="AZ221" i="49"/>
  <c r="AX209" i="49"/>
  <c r="AX299" i="49" s="1"/>
  <c r="AY237" i="49"/>
  <c r="AX243" i="49"/>
  <c r="AX205" i="49"/>
  <c r="AX199" i="49" s="1"/>
  <c r="AX292" i="49" s="1"/>
  <c r="AY202" i="49"/>
  <c r="AX178" i="49"/>
  <c r="AX177" i="49"/>
  <c r="AX287" i="49" s="1"/>
  <c r="AW231" i="49"/>
  <c r="AX210" i="49"/>
  <c r="AZ181" i="49"/>
  <c r="AY185" i="49"/>
  <c r="AY240" i="49"/>
  <c r="AX246" i="49"/>
  <c r="AZ217" i="49"/>
  <c r="AY224" i="49"/>
  <c r="AZ239" i="49"/>
  <c r="AY245" i="49"/>
  <c r="AZ203" i="49"/>
  <c r="AY206" i="49"/>
  <c r="AY247" i="49"/>
  <c r="AZ241" i="49"/>
  <c r="AW233" i="49"/>
  <c r="AW259" i="49" s="1"/>
  <c r="AW234" i="49"/>
  <c r="AW253" i="49" s="1"/>
  <c r="AY195" i="49"/>
  <c r="AY189" i="49" s="1"/>
  <c r="AZ192" i="49"/>
  <c r="AZ180" i="49"/>
  <c r="AY184" i="49"/>
  <c r="AY176" i="49" s="1"/>
  <c r="BA182" i="49"/>
  <c r="AZ186" i="49"/>
  <c r="BA166" i="49"/>
  <c r="BA160" i="49"/>
  <c r="BA172" i="49" s="1"/>
  <c r="BA306" i="49" s="1"/>
  <c r="BA159" i="49"/>
  <c r="BA170" i="49" s="1"/>
  <c r="BA273" i="49" s="1"/>
  <c r="BA165" i="49"/>
  <c r="BA162" i="49"/>
  <c r="BA163" i="49"/>
  <c r="BE119" i="49"/>
  <c r="BE116" i="49"/>
  <c r="BA161" i="49"/>
  <c r="BA174" i="49" s="1"/>
  <c r="BE121" i="49"/>
  <c r="BE118" i="49"/>
  <c r="BB147" i="49"/>
  <c r="BA164" i="49"/>
  <c r="AZ167" i="49"/>
  <c r="BE117" i="49"/>
  <c r="BE122" i="49"/>
  <c r="BE120" i="49"/>
  <c r="BG20" i="50"/>
  <c r="BC48" i="50"/>
  <c r="BC96" i="50" s="1"/>
  <c r="BC74" i="50"/>
  <c r="BB49" i="50"/>
  <c r="BD36" i="50"/>
  <c r="BE70" i="48"/>
  <c r="BE155" i="48" s="1"/>
  <c r="BE29" i="50"/>
  <c r="BD27" i="50"/>
  <c r="BD38" i="50" s="1"/>
  <c r="BG30" i="50"/>
  <c r="BF28" i="50"/>
  <c r="BF39" i="50" s="1"/>
  <c r="AX266" i="48"/>
  <c r="AV238" i="48"/>
  <c r="AU282" i="48"/>
  <c r="AW211" i="48"/>
  <c r="AX206" i="48"/>
  <c r="AX203" i="48"/>
  <c r="AX204" i="48"/>
  <c r="AX205" i="48"/>
  <c r="AX208" i="48"/>
  <c r="AX207" i="48"/>
  <c r="AY177" i="48"/>
  <c r="AX227" i="48"/>
  <c r="AX228" i="48"/>
  <c r="AX226" i="48"/>
  <c r="AX225" i="48"/>
  <c r="AX224" i="48"/>
  <c r="AY203" i="48"/>
  <c r="AY206" i="48"/>
  <c r="AY204" i="48"/>
  <c r="AY208" i="48"/>
  <c r="AY205" i="48"/>
  <c r="AY207" i="48"/>
  <c r="AW212" i="48"/>
  <c r="AW213" i="48"/>
  <c r="AW215" i="48"/>
  <c r="AW235" i="48" s="1"/>
  <c r="AV216" i="48"/>
  <c r="AW214" i="48"/>
  <c r="AW241" i="48" s="1"/>
  <c r="BB218" i="48"/>
  <c r="BC222" i="48"/>
  <c r="BB219" i="48"/>
  <c r="BC220" i="48"/>
  <c r="BC221" i="48"/>
  <c r="AY175" i="48"/>
  <c r="AY255" i="48" s="1"/>
  <c r="AY182" i="48"/>
  <c r="AY180" i="48"/>
  <c r="AY178" i="48"/>
  <c r="AY288" i="48" s="1"/>
  <c r="AV189" i="48"/>
  <c r="AY176" i="48"/>
  <c r="AV191" i="48"/>
  <c r="BB198" i="48"/>
  <c r="BB201" i="48"/>
  <c r="BB208" i="48" s="1"/>
  <c r="AV188" i="48"/>
  <c r="AV281" i="48" s="1"/>
  <c r="AU194" i="48"/>
  <c r="BC196" i="48"/>
  <c r="AV192" i="48"/>
  <c r="AV285" i="48" s="1"/>
  <c r="BC197" i="48"/>
  <c r="BB200" i="48"/>
  <c r="BC199" i="48"/>
  <c r="AV193" i="48"/>
  <c r="AV279" i="48" s="1"/>
  <c r="AY184" i="48"/>
  <c r="AY179" i="48"/>
  <c r="AY181" i="48"/>
  <c r="AZ159" i="48"/>
  <c r="AZ165" i="48" s="1"/>
  <c r="AZ172" i="48" s="1"/>
  <c r="BD103" i="48"/>
  <c r="BD106" i="48"/>
  <c r="BA159" i="48"/>
  <c r="BD108" i="48"/>
  <c r="BF105" i="48"/>
  <c r="BD104" i="48"/>
  <c r="AX185" i="48"/>
  <c r="BD107" i="48"/>
  <c r="BF109" i="48"/>
  <c r="BB111" i="48"/>
  <c r="BB112" i="48" s="1"/>
  <c r="BF19" i="50"/>
  <c r="BE21" i="50"/>
  <c r="BD17" i="50"/>
  <c r="BD35" i="50" s="1"/>
  <c r="BD40" i="50" s="1"/>
  <c r="BD45" i="50" s="1"/>
  <c r="BD47" i="50" s="1"/>
  <c r="BE15" i="50"/>
  <c r="BF11" i="50"/>
  <c r="BE33" i="50"/>
  <c r="BG12" i="50"/>
  <c r="BF34" i="50"/>
  <c r="BD137" i="49"/>
  <c r="BD150" i="49" s="1"/>
  <c r="BE139" i="49"/>
  <c r="BD138" i="49"/>
  <c r="BC136" i="49"/>
  <c r="BC149" i="49" s="1"/>
  <c r="BB151" i="49"/>
  <c r="BB156" i="49" s="1"/>
  <c r="BB159" i="49" s="1"/>
  <c r="BB170" i="49" s="1"/>
  <c r="BB273" i="49" s="1"/>
  <c r="BD105" i="49"/>
  <c r="BC113" i="49"/>
  <c r="BC146" i="49" s="1"/>
  <c r="BC123" i="49"/>
  <c r="BD115" i="49"/>
  <c r="BF85" i="49"/>
  <c r="BF144" i="49" s="1"/>
  <c r="BG78" i="49"/>
  <c r="BG87" i="49"/>
  <c r="BF94" i="49"/>
  <c r="BF145" i="49" s="1"/>
  <c r="BE75" i="49"/>
  <c r="BD143" i="49"/>
  <c r="BE74" i="49"/>
  <c r="BD142" i="49"/>
  <c r="BC147" i="48"/>
  <c r="BC163" i="48" s="1"/>
  <c r="BD149" i="48"/>
  <c r="BD148" i="48"/>
  <c r="BD164" i="48" s="1"/>
  <c r="BE150" i="48"/>
  <c r="BD141" i="48"/>
  <c r="BC139" i="48"/>
  <c r="BC161" i="48" s="1"/>
  <c r="BE142" i="48"/>
  <c r="BD140" i="48"/>
  <c r="BD162" i="48" s="1"/>
  <c r="BB122" i="48"/>
  <c r="BA124" i="48"/>
  <c r="BA160" i="48" s="1"/>
  <c r="BH114" i="48"/>
  <c r="BF83" i="48"/>
  <c r="BE90" i="48"/>
  <c r="BE158" i="48" s="1"/>
  <c r="BG71" i="48"/>
  <c r="BF156" i="48"/>
  <c r="BF102" i="48"/>
  <c r="BC110" i="48"/>
  <c r="BF70" i="48"/>
  <c r="BF155" i="48" s="1"/>
  <c r="BH75" i="48"/>
  <c r="BF81" i="48"/>
  <c r="BF157" i="48" s="1"/>
  <c r="BG74" i="48"/>
  <c r="AX300" i="49" l="1"/>
  <c r="AW256" i="49"/>
  <c r="AX233" i="49"/>
  <c r="AX259" i="49" s="1"/>
  <c r="AX235" i="49"/>
  <c r="AX251" i="49" s="1"/>
  <c r="AY178" i="49"/>
  <c r="AX200" i="49"/>
  <c r="AX284" i="49" s="1"/>
  <c r="AY211" i="49"/>
  <c r="AY213" i="49"/>
  <c r="AY297" i="49" s="1"/>
  <c r="AX231" i="49"/>
  <c r="BA218" i="49"/>
  <c r="AZ225" i="49"/>
  <c r="BA181" i="49"/>
  <c r="AZ185" i="49"/>
  <c r="BA239" i="49"/>
  <c r="AZ245" i="49"/>
  <c r="AY190" i="49"/>
  <c r="AZ223" i="49"/>
  <c r="BA216" i="49"/>
  <c r="AY210" i="49"/>
  <c r="AZ237" i="49"/>
  <c r="AY243" i="49"/>
  <c r="AY209" i="49"/>
  <c r="AY299" i="49" s="1"/>
  <c r="AY205" i="49"/>
  <c r="AY199" i="49" s="1"/>
  <c r="AY292" i="49" s="1"/>
  <c r="AZ202" i="49"/>
  <c r="BB182" i="49"/>
  <c r="BA186" i="49"/>
  <c r="BA241" i="49"/>
  <c r="AZ247" i="49"/>
  <c r="BA217" i="49"/>
  <c r="AZ224" i="49"/>
  <c r="AY212" i="49"/>
  <c r="AY303" i="49" s="1"/>
  <c r="AX232" i="49"/>
  <c r="AX234" i="49"/>
  <c r="AX253" i="49" s="1"/>
  <c r="BA221" i="49"/>
  <c r="AZ228" i="49"/>
  <c r="AZ226" i="49"/>
  <c r="BA219" i="49"/>
  <c r="AY244" i="49"/>
  <c r="AZ238" i="49"/>
  <c r="BA180" i="49"/>
  <c r="AZ184" i="49"/>
  <c r="AZ240" i="49"/>
  <c r="AY246" i="49"/>
  <c r="AY214" i="49"/>
  <c r="AY295" i="49" s="1"/>
  <c r="BA192" i="49"/>
  <c r="AZ195" i="49"/>
  <c r="AZ189" i="49" s="1"/>
  <c r="BA203" i="49"/>
  <c r="AZ206" i="49"/>
  <c r="AY177" i="49"/>
  <c r="AY287" i="49" s="1"/>
  <c r="BA220" i="49"/>
  <c r="AZ227" i="49"/>
  <c r="BA196" i="49"/>
  <c r="BB193" i="49"/>
  <c r="BA167" i="49"/>
  <c r="BB164" i="49"/>
  <c r="BF118" i="49"/>
  <c r="BF122" i="49"/>
  <c r="BB162" i="49"/>
  <c r="BF117" i="49"/>
  <c r="BB161" i="49"/>
  <c r="BB174" i="49" s="1"/>
  <c r="BB160" i="49"/>
  <c r="BB172" i="49" s="1"/>
  <c r="BB306" i="49" s="1"/>
  <c r="BC147" i="49"/>
  <c r="BC151" i="49" s="1"/>
  <c r="BC156" i="49" s="1"/>
  <c r="BB163" i="49"/>
  <c r="BF116" i="49"/>
  <c r="BB166" i="49"/>
  <c r="BF121" i="49"/>
  <c r="BF120" i="49"/>
  <c r="BB165" i="49"/>
  <c r="BF119" i="49"/>
  <c r="BC49" i="50"/>
  <c r="BD74" i="50"/>
  <c r="BE36" i="50"/>
  <c r="BD48" i="50"/>
  <c r="BD96" i="50" s="1"/>
  <c r="BH20" i="50"/>
  <c r="BH30" i="50"/>
  <c r="BG28" i="50"/>
  <c r="BG39" i="50" s="1"/>
  <c r="BF29" i="50"/>
  <c r="BE27" i="50"/>
  <c r="BE38" i="50" s="1"/>
  <c r="AY266" i="48"/>
  <c r="AW238" i="48"/>
  <c r="AV282" i="48"/>
  <c r="AX211" i="48"/>
  <c r="AW216" i="48"/>
  <c r="AY227" i="48"/>
  <c r="AY228" i="48"/>
  <c r="AY226" i="48"/>
  <c r="AY225" i="48"/>
  <c r="AY224" i="48"/>
  <c r="AX212" i="48"/>
  <c r="AX213" i="48"/>
  <c r="AX215" i="48"/>
  <c r="AX235" i="48" s="1"/>
  <c r="AX214" i="48"/>
  <c r="AX241" i="48" s="1"/>
  <c r="BD221" i="48"/>
  <c r="BD222" i="48"/>
  <c r="BD220" i="48"/>
  <c r="BC219" i="48"/>
  <c r="BC218" i="48"/>
  <c r="AW193" i="48"/>
  <c r="AW279" i="48" s="1"/>
  <c r="BD196" i="48"/>
  <c r="BC198" i="48"/>
  <c r="BD199" i="48"/>
  <c r="AW192" i="48"/>
  <c r="AW285" i="48" s="1"/>
  <c r="AV194" i="48"/>
  <c r="AW190" i="48"/>
  <c r="BC200" i="48"/>
  <c r="AW191" i="48"/>
  <c r="AY185" i="48"/>
  <c r="BC201" i="48"/>
  <c r="BC208" i="48" s="1"/>
  <c r="AW189" i="48"/>
  <c r="BD197" i="48"/>
  <c r="AW188" i="48"/>
  <c r="AW281" i="48" s="1"/>
  <c r="AZ177" i="48"/>
  <c r="AZ179" i="48"/>
  <c r="AZ180" i="48"/>
  <c r="BB159" i="48"/>
  <c r="BE104" i="48"/>
  <c r="BG109" i="48"/>
  <c r="AZ181" i="48"/>
  <c r="BE106" i="48"/>
  <c r="AZ176" i="48"/>
  <c r="BA165" i="48"/>
  <c r="BA172" i="48" s="1"/>
  <c r="BE107" i="48"/>
  <c r="BE103" i="48"/>
  <c r="AZ178" i="48"/>
  <c r="AZ288" i="48" s="1"/>
  <c r="BG105" i="48"/>
  <c r="AZ175" i="48"/>
  <c r="AZ255" i="48" s="1"/>
  <c r="BC111" i="48"/>
  <c r="BC112" i="48" s="1"/>
  <c r="AZ184" i="48"/>
  <c r="AZ183" i="48"/>
  <c r="AZ182" i="48"/>
  <c r="BE108" i="48"/>
  <c r="BE17" i="50"/>
  <c r="BE35" i="50" s="1"/>
  <c r="BF15" i="50"/>
  <c r="BF21" i="50"/>
  <c r="BG19" i="50"/>
  <c r="BG11" i="50"/>
  <c r="BF33" i="50"/>
  <c r="BH12" i="50"/>
  <c r="BG34" i="50"/>
  <c r="BD136" i="49"/>
  <c r="BD149" i="49" s="1"/>
  <c r="BE138" i="49"/>
  <c r="BF139" i="49"/>
  <c r="BE137" i="49"/>
  <c r="BE150" i="49" s="1"/>
  <c r="BD123" i="49"/>
  <c r="BE115" i="49"/>
  <c r="BE105" i="49"/>
  <c r="BD113" i="49"/>
  <c r="BD146" i="49" s="1"/>
  <c r="BG94" i="49"/>
  <c r="BG145" i="49" s="1"/>
  <c r="BH87" i="49"/>
  <c r="BH78" i="49"/>
  <c r="BG85" i="49"/>
  <c r="BG144" i="49" s="1"/>
  <c r="BF74" i="49"/>
  <c r="BE142" i="49"/>
  <c r="BF75" i="49"/>
  <c r="BE143" i="49"/>
  <c r="BE149" i="48"/>
  <c r="BD147" i="48"/>
  <c r="BD163" i="48" s="1"/>
  <c r="BF150" i="48"/>
  <c r="BE148" i="48"/>
  <c r="BE164" i="48" s="1"/>
  <c r="BF142" i="48"/>
  <c r="BE140" i="48"/>
  <c r="BE162" i="48" s="1"/>
  <c r="BE141" i="48"/>
  <c r="BD139" i="48"/>
  <c r="BD161" i="48" s="1"/>
  <c r="BC122" i="48"/>
  <c r="BB124" i="48"/>
  <c r="BB160" i="48" s="1"/>
  <c r="BI114" i="48"/>
  <c r="BF90" i="48"/>
  <c r="BF158" i="48" s="1"/>
  <c r="BG83" i="48"/>
  <c r="BH71" i="48"/>
  <c r="BG156" i="48"/>
  <c r="BD110" i="48"/>
  <c r="BG102" i="48"/>
  <c r="BG70" i="48"/>
  <c r="BG155" i="48" s="1"/>
  <c r="BI75" i="48"/>
  <c r="BH74" i="48"/>
  <c r="BG81" i="48"/>
  <c r="BG157" i="48" s="1"/>
  <c r="AW157" i="49" l="1"/>
  <c r="AY300" i="49"/>
  <c r="AZ176" i="49"/>
  <c r="AX256" i="49"/>
  <c r="AY232" i="49"/>
  <c r="AZ190" i="49"/>
  <c r="AZ213" i="49"/>
  <c r="AZ297" i="49" s="1"/>
  <c r="BB219" i="49"/>
  <c r="BA226" i="49"/>
  <c r="AZ210" i="49"/>
  <c r="BB220" i="49"/>
  <c r="BA227" i="49"/>
  <c r="AY234" i="49"/>
  <c r="AY253" i="49" s="1"/>
  <c r="AZ212" i="49"/>
  <c r="AZ303" i="49" s="1"/>
  <c r="BB217" i="49"/>
  <c r="BA224" i="49"/>
  <c r="AY231" i="49"/>
  <c r="AY256" i="49" s="1"/>
  <c r="BA245" i="49"/>
  <c r="BB239" i="49"/>
  <c r="AZ246" i="49"/>
  <c r="BA240" i="49"/>
  <c r="AZ214" i="49"/>
  <c r="AZ295" i="49" s="1"/>
  <c r="BA237" i="49"/>
  <c r="AZ243" i="49"/>
  <c r="AZ177" i="49"/>
  <c r="AZ287" i="49" s="1"/>
  <c r="AY200" i="49"/>
  <c r="AY284" i="49" s="1"/>
  <c r="BB221" i="49"/>
  <c r="BA228" i="49"/>
  <c r="BA247" i="49"/>
  <c r="BB241" i="49"/>
  <c r="BB181" i="49"/>
  <c r="BA185" i="49"/>
  <c r="BB203" i="49"/>
  <c r="BA206" i="49"/>
  <c r="AZ178" i="49"/>
  <c r="AZ211" i="49"/>
  <c r="BB180" i="49"/>
  <c r="BA184" i="49"/>
  <c r="AY235" i="49"/>
  <c r="AY251" i="49" s="1"/>
  <c r="BC182" i="49"/>
  <c r="BB186" i="49"/>
  <c r="BB216" i="49"/>
  <c r="BA223" i="49"/>
  <c r="BB218" i="49"/>
  <c r="BA225" i="49"/>
  <c r="BC193" i="49"/>
  <c r="BB196" i="49"/>
  <c r="BA195" i="49"/>
  <c r="BA189" i="49" s="1"/>
  <c r="BB192" i="49"/>
  <c r="BA238" i="49"/>
  <c r="AZ244" i="49"/>
  <c r="AZ205" i="49"/>
  <c r="AZ199" i="49" s="1"/>
  <c r="AZ292" i="49" s="1"/>
  <c r="BA202" i="49"/>
  <c r="AZ209" i="49"/>
  <c r="AZ299" i="49" s="1"/>
  <c r="AY233" i="49"/>
  <c r="AY259" i="49" s="1"/>
  <c r="BB167" i="49"/>
  <c r="BC159" i="49"/>
  <c r="BC170" i="49" s="1"/>
  <c r="BC273" i="49" s="1"/>
  <c r="BC166" i="49"/>
  <c r="BC164" i="49"/>
  <c r="BC161" i="49"/>
  <c r="BC174" i="49" s="1"/>
  <c r="BC160" i="49"/>
  <c r="BC172" i="49" s="1"/>
  <c r="BC306" i="49" s="1"/>
  <c r="BC163" i="49"/>
  <c r="BC162" i="49"/>
  <c r="BC165" i="49"/>
  <c r="BG119" i="49"/>
  <c r="BG116" i="49"/>
  <c r="BG120" i="49"/>
  <c r="BG118" i="49"/>
  <c r="BG121" i="49"/>
  <c r="BD147" i="49"/>
  <c r="BD151" i="49" s="1"/>
  <c r="BD156" i="49" s="1"/>
  <c r="BG122" i="49"/>
  <c r="BG117" i="49"/>
  <c r="BE40" i="50"/>
  <c r="BE45" i="50" s="1"/>
  <c r="BE48" i="50" s="1"/>
  <c r="BE96" i="50" s="1"/>
  <c r="BF36" i="50"/>
  <c r="BE47" i="50"/>
  <c r="BI20" i="50"/>
  <c r="BD49" i="50"/>
  <c r="BG29" i="50"/>
  <c r="BF27" i="50"/>
  <c r="BF38" i="50" s="1"/>
  <c r="BI30" i="50"/>
  <c r="BI28" i="50" s="1"/>
  <c r="BI39" i="50" s="1"/>
  <c r="A39" i="50" s="1"/>
  <c r="BH28" i="50"/>
  <c r="BH39" i="50" s="1"/>
  <c r="AZ266" i="48"/>
  <c r="AX238" i="48"/>
  <c r="AY211" i="48"/>
  <c r="AW282" i="48"/>
  <c r="AX216" i="48"/>
  <c r="AZ204" i="48"/>
  <c r="AZ203" i="48"/>
  <c r="AZ206" i="48"/>
  <c r="AZ205" i="48"/>
  <c r="AZ207" i="48"/>
  <c r="AZ208" i="48"/>
  <c r="AY212" i="48"/>
  <c r="AZ228" i="48"/>
  <c r="AZ226" i="48"/>
  <c r="AZ227" i="48"/>
  <c r="AZ225" i="48"/>
  <c r="AZ224" i="48"/>
  <c r="AY213" i="48"/>
  <c r="AY215" i="48"/>
  <c r="AY235" i="48" s="1"/>
  <c r="AY214" i="48"/>
  <c r="AY241" i="48" s="1"/>
  <c r="BE220" i="48"/>
  <c r="BE222" i="48"/>
  <c r="BD218" i="48"/>
  <c r="BD219" i="48"/>
  <c r="BE221" i="48"/>
  <c r="AX189" i="48"/>
  <c r="BE197" i="48"/>
  <c r="AX188" i="48"/>
  <c r="AX281" i="48" s="1"/>
  <c r="BD201" i="48"/>
  <c r="BD208" i="48" s="1"/>
  <c r="BE199" i="48"/>
  <c r="AX193" i="48"/>
  <c r="AX279" i="48" s="1"/>
  <c r="BD198" i="48"/>
  <c r="AW194" i="48"/>
  <c r="AX190" i="48"/>
  <c r="BD200" i="48"/>
  <c r="AX191" i="48"/>
  <c r="BB165" i="48"/>
  <c r="BB172" i="48" s="1"/>
  <c r="BB176" i="48" s="1"/>
  <c r="AX192" i="48"/>
  <c r="AX285" i="48" s="1"/>
  <c r="BE196" i="48"/>
  <c r="BF106" i="48"/>
  <c r="BH109" i="48"/>
  <c r="BF103" i="48"/>
  <c r="BD111" i="48"/>
  <c r="BD112" i="48" s="1"/>
  <c r="BF107" i="48"/>
  <c r="BC159" i="48"/>
  <c r="BA182" i="48"/>
  <c r="BA184" i="48"/>
  <c r="BA175" i="48"/>
  <c r="BA255" i="48" s="1"/>
  <c r="BA179" i="48"/>
  <c r="BA178" i="48"/>
  <c r="BA288" i="48" s="1"/>
  <c r="BA183" i="48"/>
  <c r="BA177" i="48"/>
  <c r="BA180" i="48"/>
  <c r="BA176" i="48"/>
  <c r="BA181" i="48"/>
  <c r="BF104" i="48"/>
  <c r="AZ185" i="48"/>
  <c r="BF108" i="48"/>
  <c r="BH105" i="48"/>
  <c r="BH19" i="50"/>
  <c r="BG21" i="50"/>
  <c r="BF17" i="50"/>
  <c r="BF35" i="50" s="1"/>
  <c r="BF40" i="50" s="1"/>
  <c r="BF45" i="50" s="1"/>
  <c r="BF48" i="50" s="1"/>
  <c r="BF96" i="50" s="1"/>
  <c r="BG15" i="50"/>
  <c r="BI12" i="50"/>
  <c r="BI34" i="50" s="1"/>
  <c r="A34" i="50" s="1"/>
  <c r="BH34" i="50"/>
  <c r="BH11" i="50"/>
  <c r="BG33" i="50"/>
  <c r="BF137" i="49"/>
  <c r="BF150" i="49" s="1"/>
  <c r="BG139" i="49"/>
  <c r="BE136" i="49"/>
  <c r="BE149" i="49" s="1"/>
  <c r="BF138" i="49"/>
  <c r="BE113" i="49"/>
  <c r="BE146" i="49" s="1"/>
  <c r="BF105" i="49"/>
  <c r="BF115" i="49"/>
  <c r="BE123" i="49"/>
  <c r="BI78" i="49"/>
  <c r="BI85" i="49" s="1"/>
  <c r="BI144" i="49" s="1"/>
  <c r="A144" i="49" s="1"/>
  <c r="BH85" i="49"/>
  <c r="BH144" i="49" s="1"/>
  <c r="BI87" i="49"/>
  <c r="BI94" i="49" s="1"/>
  <c r="BI145" i="49" s="1"/>
  <c r="A145" i="49" s="1"/>
  <c r="BH94" i="49"/>
  <c r="BH145" i="49" s="1"/>
  <c r="BG75" i="49"/>
  <c r="BF143" i="49"/>
  <c r="BG74" i="49"/>
  <c r="BF142" i="49"/>
  <c r="BG150" i="48"/>
  <c r="BF148" i="48"/>
  <c r="BF164" i="48" s="1"/>
  <c r="BE147" i="48"/>
  <c r="BE163" i="48" s="1"/>
  <c r="BF149" i="48"/>
  <c r="BF141" i="48"/>
  <c r="BE139" i="48"/>
  <c r="BE161" i="48" s="1"/>
  <c r="BG142" i="48"/>
  <c r="BF140" i="48"/>
  <c r="BF162" i="48" s="1"/>
  <c r="BD122" i="48"/>
  <c r="BC124" i="48"/>
  <c r="BC160" i="48" s="1"/>
  <c r="BH83" i="48"/>
  <c r="BG90" i="48"/>
  <c r="BG158" i="48" s="1"/>
  <c r="BI71" i="48"/>
  <c r="BI156" i="48" s="1"/>
  <c r="A156" i="48" s="1"/>
  <c r="BH156" i="48"/>
  <c r="BH102" i="48"/>
  <c r="BE110" i="48"/>
  <c r="BH70" i="48"/>
  <c r="BH155" i="48" s="1"/>
  <c r="BH81" i="48"/>
  <c r="BH157" i="48" s="1"/>
  <c r="BI74" i="48"/>
  <c r="BI81" i="48" s="1"/>
  <c r="BI157" i="48" s="1"/>
  <c r="A157" i="48" s="1"/>
  <c r="AX157" i="49" l="1"/>
  <c r="AZ300" i="49"/>
  <c r="BA178" i="49"/>
  <c r="AY157" i="49"/>
  <c r="AZ233" i="49"/>
  <c r="AZ259" i="49" s="1"/>
  <c r="BA177" i="49"/>
  <c r="BA287" i="49" s="1"/>
  <c r="AZ234" i="49"/>
  <c r="AZ253" i="49" s="1"/>
  <c r="BA214" i="49"/>
  <c r="BA295" i="49" s="1"/>
  <c r="BA209" i="49"/>
  <c r="BA299" i="49" s="1"/>
  <c r="BB238" i="49"/>
  <c r="BA244" i="49"/>
  <c r="BB195" i="49"/>
  <c r="BB189" i="49" s="1"/>
  <c r="BC192" i="49"/>
  <c r="BC216" i="49"/>
  <c r="BB223" i="49"/>
  <c r="BB228" i="49"/>
  <c r="BC221" i="49"/>
  <c r="BB240" i="49"/>
  <c r="BA246" i="49"/>
  <c r="BA213" i="49"/>
  <c r="BA297" i="49" s="1"/>
  <c r="BD182" i="49"/>
  <c r="BC186" i="49"/>
  <c r="BC203" i="49"/>
  <c r="BB206" i="49"/>
  <c r="AZ200" i="49"/>
  <c r="AZ284" i="49" s="1"/>
  <c r="BC239" i="49"/>
  <c r="BB245" i="49"/>
  <c r="BC220" i="49"/>
  <c r="BB227" i="49"/>
  <c r="BD193" i="49"/>
  <c r="BC196" i="49"/>
  <c r="BB202" i="49"/>
  <c r="BA205" i="49"/>
  <c r="BA199" i="49" s="1"/>
  <c r="BA190" i="49"/>
  <c r="BA176" i="49"/>
  <c r="BC181" i="49"/>
  <c r="BB185" i="49"/>
  <c r="AZ231" i="49"/>
  <c r="BA211" i="49"/>
  <c r="BC180" i="49"/>
  <c r="BB184" i="49"/>
  <c r="BC241" i="49"/>
  <c r="BB247" i="49"/>
  <c r="BB237" i="49"/>
  <c r="BA243" i="49"/>
  <c r="BA210" i="49"/>
  <c r="BA300" i="49" s="1"/>
  <c r="BA212" i="49"/>
  <c r="BA303" i="49" s="1"/>
  <c r="AZ232" i="49"/>
  <c r="BB225" i="49"/>
  <c r="BC218" i="49"/>
  <c r="AZ235" i="49"/>
  <c r="AZ251" i="49" s="1"/>
  <c r="BB224" i="49"/>
  <c r="BC217" i="49"/>
  <c r="BC219" i="49"/>
  <c r="BB226" i="49"/>
  <c r="BD159" i="49"/>
  <c r="BD170" i="49" s="1"/>
  <c r="BD273" i="49" s="1"/>
  <c r="BD163" i="49"/>
  <c r="BD162" i="49"/>
  <c r="BD164" i="49"/>
  <c r="BH122" i="49"/>
  <c r="BH117" i="49"/>
  <c r="BE147" i="49"/>
  <c r="BE151" i="49" s="1"/>
  <c r="BE156" i="49" s="1"/>
  <c r="BH120" i="49"/>
  <c r="BD166" i="49"/>
  <c r="BH116" i="49"/>
  <c r="BD165" i="49"/>
  <c r="BH121" i="49"/>
  <c r="BD161" i="49"/>
  <c r="BD174" i="49" s="1"/>
  <c r="BH119" i="49"/>
  <c r="BC167" i="49"/>
  <c r="BD160" i="49"/>
  <c r="BD172" i="49" s="1"/>
  <c r="BD306" i="49" s="1"/>
  <c r="BH118" i="49"/>
  <c r="BE49" i="50"/>
  <c r="BE74" i="50"/>
  <c r="BF47" i="50"/>
  <c r="BG36" i="50"/>
  <c r="BH29" i="50"/>
  <c r="BG27" i="50"/>
  <c r="BG38" i="50" s="1"/>
  <c r="BB179" i="48"/>
  <c r="BC165" i="48"/>
  <c r="BC172" i="48" s="1"/>
  <c r="BC183" i="48" s="1"/>
  <c r="BC203" i="48" s="1"/>
  <c r="BA266" i="48"/>
  <c r="AY238" i="48"/>
  <c r="AX282" i="48"/>
  <c r="AY216" i="48"/>
  <c r="AZ214" i="48"/>
  <c r="AZ241" i="48" s="1"/>
  <c r="BA204" i="48"/>
  <c r="BA203" i="48"/>
  <c r="BA206" i="48"/>
  <c r="BA205" i="48"/>
  <c r="BA207" i="48"/>
  <c r="AZ212" i="48"/>
  <c r="AZ213" i="48"/>
  <c r="AZ215" i="48"/>
  <c r="AZ235" i="48" s="1"/>
  <c r="BA227" i="48"/>
  <c r="BA228" i="48"/>
  <c r="BA226" i="48"/>
  <c r="BA225" i="48"/>
  <c r="BA224" i="48"/>
  <c r="AZ211" i="48"/>
  <c r="BE218" i="48"/>
  <c r="BF222" i="48"/>
  <c r="BF221" i="48"/>
  <c r="BE219" i="48"/>
  <c r="BF220" i="48"/>
  <c r="AY192" i="48"/>
  <c r="AY285" i="48" s="1"/>
  <c r="AY193" i="48"/>
  <c r="AY279" i="48" s="1"/>
  <c r="BB178" i="48"/>
  <c r="BB288" i="48" s="1"/>
  <c r="BF199" i="48"/>
  <c r="BB181" i="48"/>
  <c r="BB184" i="48"/>
  <c r="BB180" i="48"/>
  <c r="AY190" i="48"/>
  <c r="BE201" i="48"/>
  <c r="BE208" i="48" s="1"/>
  <c r="BB175" i="48"/>
  <c r="BB255" i="48" s="1"/>
  <c r="BB177" i="48"/>
  <c r="BE200" i="48"/>
  <c r="AX194" i="48"/>
  <c r="BB183" i="48"/>
  <c r="AY189" i="48"/>
  <c r="BE198" i="48"/>
  <c r="AZ193" i="48"/>
  <c r="AZ279" i="48" s="1"/>
  <c r="AY191" i="48"/>
  <c r="BB182" i="48"/>
  <c r="BF196" i="48"/>
  <c r="AY188" i="48"/>
  <c r="AY281" i="48" s="1"/>
  <c r="BF197" i="48"/>
  <c r="BI109" i="48"/>
  <c r="BI105" i="48"/>
  <c r="BG107" i="48"/>
  <c r="BG108" i="48"/>
  <c r="BG104" i="48"/>
  <c r="BE111" i="48"/>
  <c r="BE112" i="48" s="1"/>
  <c r="BA185" i="48"/>
  <c r="BG103" i="48"/>
  <c r="BD159" i="48"/>
  <c r="BG106" i="48"/>
  <c r="BG17" i="50"/>
  <c r="BG35" i="50" s="1"/>
  <c r="BH15" i="50"/>
  <c r="BH21" i="50"/>
  <c r="BI19" i="50"/>
  <c r="BI11" i="50"/>
  <c r="BI33" i="50" s="1"/>
  <c r="BH33" i="50"/>
  <c r="BF136" i="49"/>
  <c r="BF149" i="49" s="1"/>
  <c r="BG138" i="49"/>
  <c r="BG137" i="49"/>
  <c r="BG150" i="49" s="1"/>
  <c r="BH139" i="49"/>
  <c r="BF123" i="49"/>
  <c r="BG115" i="49"/>
  <c r="BG105" i="49"/>
  <c r="BF113" i="49"/>
  <c r="BF146" i="49" s="1"/>
  <c r="BH74" i="49"/>
  <c r="BG142" i="49"/>
  <c r="BH75" i="49"/>
  <c r="BG143" i="49"/>
  <c r="BF147" i="48"/>
  <c r="BF163" i="48" s="1"/>
  <c r="BG149" i="48"/>
  <c r="BH150" i="48"/>
  <c r="BG148" i="48"/>
  <c r="BG164" i="48" s="1"/>
  <c r="BG141" i="48"/>
  <c r="BF139" i="48"/>
  <c r="BF161" i="48" s="1"/>
  <c r="BH142" i="48"/>
  <c r="BG140" i="48"/>
  <c r="BG162" i="48" s="1"/>
  <c r="BD124" i="48"/>
  <c r="BD160" i="48" s="1"/>
  <c r="BE122" i="48"/>
  <c r="BH90" i="48"/>
  <c r="BH158" i="48" s="1"/>
  <c r="BI83" i="48"/>
  <c r="BI90" i="48" s="1"/>
  <c r="BI158" i="48" s="1"/>
  <c r="A158" i="48" s="1"/>
  <c r="BF110" i="48"/>
  <c r="BI102" i="48"/>
  <c r="BI70" i="48"/>
  <c r="BI155" i="48" s="1"/>
  <c r="A155" i="48" s="1"/>
  <c r="BC181" i="48" l="1"/>
  <c r="BC179" i="48"/>
  <c r="BA292" i="49"/>
  <c r="BB177" i="49"/>
  <c r="BB287" i="49" s="1"/>
  <c r="AZ256" i="49"/>
  <c r="BA231" i="49"/>
  <c r="BB190" i="49"/>
  <c r="BB210" i="49"/>
  <c r="BB243" i="49"/>
  <c r="BC237" i="49"/>
  <c r="BD181" i="49"/>
  <c r="BC185" i="49"/>
  <c r="BB213" i="49"/>
  <c r="BB297" i="49" s="1"/>
  <c r="BE182" i="49"/>
  <c r="BD186" i="49"/>
  <c r="BB214" i="49"/>
  <c r="BB295" i="49" s="1"/>
  <c r="BA235" i="49"/>
  <c r="BA251" i="49" s="1"/>
  <c r="BD220" i="49"/>
  <c r="BC227" i="49"/>
  <c r="BB209" i="49"/>
  <c r="BB299" i="49" s="1"/>
  <c r="BD221" i="49"/>
  <c r="BC228" i="49"/>
  <c r="BD218" i="49"/>
  <c r="BC225" i="49"/>
  <c r="BD241" i="49"/>
  <c r="BC247" i="49"/>
  <c r="BD216" i="49"/>
  <c r="BC223" i="49"/>
  <c r="BB211" i="49"/>
  <c r="BB176" i="49"/>
  <c r="BD239" i="49"/>
  <c r="BC245" i="49"/>
  <c r="BA200" i="49"/>
  <c r="BA284" i="49" s="1"/>
  <c r="BD192" i="49"/>
  <c r="BC195" i="49"/>
  <c r="BC189" i="49" s="1"/>
  <c r="BD196" i="49"/>
  <c r="BE193" i="49"/>
  <c r="BB212" i="49"/>
  <c r="BB303" i="49" s="1"/>
  <c r="BD180" i="49"/>
  <c r="BC184" i="49"/>
  <c r="BB205" i="49"/>
  <c r="BB199" i="49" s="1"/>
  <c r="BB292" i="49" s="1"/>
  <c r="BC202" i="49"/>
  <c r="BB178" i="49"/>
  <c r="BD219" i="49"/>
  <c r="BC226" i="49"/>
  <c r="BA233" i="49"/>
  <c r="BA259" i="49" s="1"/>
  <c r="BA234" i="49"/>
  <c r="BA253" i="49" s="1"/>
  <c r="BA232" i="49"/>
  <c r="BC224" i="49"/>
  <c r="BD217" i="49"/>
  <c r="BD203" i="49"/>
  <c r="BC206" i="49"/>
  <c r="BC240" i="49"/>
  <c r="BB246" i="49"/>
  <c r="BB244" i="49"/>
  <c r="BC238" i="49"/>
  <c r="BD167" i="49"/>
  <c r="BE159" i="49"/>
  <c r="BE170" i="49" s="1"/>
  <c r="BE273" i="49" s="1"/>
  <c r="BE165" i="49"/>
  <c r="BE166" i="49"/>
  <c r="BE161" i="49"/>
  <c r="BE174" i="49" s="1"/>
  <c r="BE162" i="49"/>
  <c r="BE164" i="49"/>
  <c r="BE163" i="49"/>
  <c r="BE160" i="49"/>
  <c r="BE172" i="49" s="1"/>
  <c r="BE306" i="49" s="1"/>
  <c r="BI121" i="49"/>
  <c r="BI118" i="49"/>
  <c r="BI117" i="49"/>
  <c r="BF147" i="49"/>
  <c r="BF151" i="49" s="1"/>
  <c r="BF156" i="49" s="1"/>
  <c r="BF162" i="49" s="1"/>
  <c r="BI122" i="49"/>
  <c r="BI119" i="49"/>
  <c r="BI120" i="49"/>
  <c r="BI116" i="49"/>
  <c r="BG40" i="50"/>
  <c r="BG45" i="50" s="1"/>
  <c r="BG47" i="50" s="1"/>
  <c r="BG74" i="50" s="1"/>
  <c r="BF74" i="50"/>
  <c r="BF49" i="50"/>
  <c r="BI21" i="50"/>
  <c r="BH36" i="50"/>
  <c r="BC206" i="48"/>
  <c r="BC180" i="48"/>
  <c r="BC182" i="48"/>
  <c r="BC176" i="48"/>
  <c r="BC178" i="48"/>
  <c r="BC288" i="48" s="1"/>
  <c r="BC184" i="48"/>
  <c r="BC228" i="48" s="1"/>
  <c r="BC177" i="48"/>
  <c r="BC175" i="48"/>
  <c r="BC255" i="48" s="1"/>
  <c r="BC205" i="48"/>
  <c r="AZ238" i="48"/>
  <c r="A33" i="50"/>
  <c r="BI29" i="50"/>
  <c r="BI27" i="50" s="1"/>
  <c r="BI38" i="50" s="1"/>
  <c r="A38" i="50" s="1"/>
  <c r="BH27" i="50"/>
  <c r="BH38" i="50" s="1"/>
  <c r="BB266" i="48"/>
  <c r="BC207" i="48"/>
  <c r="BC204" i="48"/>
  <c r="BA211" i="48"/>
  <c r="AY282" i="48"/>
  <c r="AZ216" i="48"/>
  <c r="BA212" i="48"/>
  <c r="BB185" i="48"/>
  <c r="BB204" i="48"/>
  <c r="BB203" i="48"/>
  <c r="BB206" i="48"/>
  <c r="BB205" i="48"/>
  <c r="BB207" i="48"/>
  <c r="BB228" i="48"/>
  <c r="BB227" i="48"/>
  <c r="BB226" i="48"/>
  <c r="BB225" i="48"/>
  <c r="BB224" i="48"/>
  <c r="BA213" i="48"/>
  <c r="BA215" i="48"/>
  <c r="BA235" i="48" s="1"/>
  <c r="BA214" i="48"/>
  <c r="BA241" i="48" s="1"/>
  <c r="BG222" i="48"/>
  <c r="BG220" i="48"/>
  <c r="BF219" i="48"/>
  <c r="BF218" i="48"/>
  <c r="BG221" i="48"/>
  <c r="BF201" i="48"/>
  <c r="BF208" i="48" s="1"/>
  <c r="BG197" i="48"/>
  <c r="AZ190" i="48"/>
  <c r="AY194" i="48"/>
  <c r="AZ189" i="48"/>
  <c r="AZ188" i="48"/>
  <c r="AZ281" i="48" s="1"/>
  <c r="BF200" i="48"/>
  <c r="AZ192" i="48"/>
  <c r="AZ285" i="48" s="1"/>
  <c r="BG196" i="48"/>
  <c r="AZ191" i="48"/>
  <c r="BF198" i="48"/>
  <c r="BG199" i="48"/>
  <c r="BH107" i="48"/>
  <c r="BH103" i="48"/>
  <c r="BH104" i="48"/>
  <c r="BH108" i="48"/>
  <c r="BE159" i="48"/>
  <c r="BD165" i="48"/>
  <c r="BD172" i="48" s="1"/>
  <c r="BH106" i="48"/>
  <c r="BF111" i="48"/>
  <c r="BF112" i="48" s="1"/>
  <c r="BH17" i="50"/>
  <c r="BH35" i="50" s="1"/>
  <c r="BH40" i="50" s="1"/>
  <c r="BH45" i="50" s="1"/>
  <c r="BH47" i="50" s="1"/>
  <c r="BI15" i="50"/>
  <c r="BI17" i="50" s="1"/>
  <c r="BI35" i="50" s="1"/>
  <c r="A35" i="50" s="1"/>
  <c r="BH137" i="49"/>
  <c r="BH150" i="49" s="1"/>
  <c r="BI139" i="49"/>
  <c r="BI137" i="49" s="1"/>
  <c r="BI150" i="49" s="1"/>
  <c r="A150" i="49" s="1"/>
  <c r="BG136" i="49"/>
  <c r="BG149" i="49" s="1"/>
  <c r="BH138" i="49"/>
  <c r="BG113" i="49"/>
  <c r="BG146" i="49" s="1"/>
  <c r="BH105" i="49"/>
  <c r="BH115" i="49"/>
  <c r="BG123" i="49"/>
  <c r="BI75" i="49"/>
  <c r="BI143" i="49" s="1"/>
  <c r="A143" i="49" s="1"/>
  <c r="BH143" i="49"/>
  <c r="BI74" i="49"/>
  <c r="BI142" i="49" s="1"/>
  <c r="A142" i="49" s="1"/>
  <c r="BH142" i="49"/>
  <c r="BH148" i="48"/>
  <c r="BH164" i="48" s="1"/>
  <c r="BI150" i="48"/>
  <c r="BI148" i="48" s="1"/>
  <c r="BI164" i="48" s="1"/>
  <c r="A164" i="48" s="1"/>
  <c r="BG147" i="48"/>
  <c r="BG163" i="48" s="1"/>
  <c r="BH149" i="48"/>
  <c r="BI142" i="48"/>
  <c r="BI140" i="48" s="1"/>
  <c r="BI162" i="48" s="1"/>
  <c r="A162" i="48" s="1"/>
  <c r="BH140" i="48"/>
  <c r="BH162" i="48" s="1"/>
  <c r="BH141" i="48"/>
  <c r="BG139" i="48"/>
  <c r="BG161" i="48" s="1"/>
  <c r="BF122" i="48"/>
  <c r="BE124" i="48"/>
  <c r="BE160" i="48" s="1"/>
  <c r="BG110" i="48"/>
  <c r="BC266" i="48" l="1"/>
  <c r="BB300" i="49"/>
  <c r="AZ157" i="49"/>
  <c r="BA256" i="49"/>
  <c r="BC212" i="49"/>
  <c r="BC303" i="49" s="1"/>
  <c r="BB232" i="49"/>
  <c r="BC176" i="49"/>
  <c r="BC190" i="49"/>
  <c r="BC214" i="49"/>
  <c r="BC295" i="49" s="1"/>
  <c r="BF193" i="49"/>
  <c r="BE196" i="49"/>
  <c r="BD226" i="49"/>
  <c r="BE219" i="49"/>
  <c r="BC209" i="49"/>
  <c r="BC299" i="49" s="1"/>
  <c r="BE221" i="49"/>
  <c r="BD228" i="49"/>
  <c r="BF182" i="49"/>
  <c r="BE186" i="49"/>
  <c r="BE217" i="49"/>
  <c r="BD224" i="49"/>
  <c r="BE216" i="49"/>
  <c r="BD223" i="49"/>
  <c r="BC244" i="49"/>
  <c r="BD238" i="49"/>
  <c r="BC210" i="49"/>
  <c r="BD202" i="49"/>
  <c r="BC205" i="49"/>
  <c r="BC199" i="49" s="1"/>
  <c r="BC292" i="49" s="1"/>
  <c r="BE192" i="49"/>
  <c r="BD195" i="49"/>
  <c r="BD189" i="49" s="1"/>
  <c r="BB233" i="49"/>
  <c r="BB259" i="49" s="1"/>
  <c r="BC213" i="49"/>
  <c r="BC297" i="49" s="1"/>
  <c r="BC177" i="49"/>
  <c r="BC287" i="49" s="1"/>
  <c r="BE220" i="49"/>
  <c r="BD227" i="49"/>
  <c r="BE181" i="49"/>
  <c r="BD185" i="49"/>
  <c r="BB234" i="49"/>
  <c r="BB253" i="49" s="1"/>
  <c r="BE241" i="49"/>
  <c r="BD247" i="49"/>
  <c r="BB235" i="49"/>
  <c r="BB251" i="49" s="1"/>
  <c r="BC243" i="49"/>
  <c r="BD237" i="49"/>
  <c r="BE203" i="49"/>
  <c r="BD206" i="49"/>
  <c r="BD240" i="49"/>
  <c r="BC246" i="49"/>
  <c r="BB200" i="49"/>
  <c r="BB284" i="49" s="1"/>
  <c r="BD184" i="49"/>
  <c r="BE180" i="49"/>
  <c r="BE239" i="49"/>
  <c r="BD245" i="49"/>
  <c r="BC211" i="49"/>
  <c r="BB231" i="49"/>
  <c r="BB256" i="49" s="1"/>
  <c r="BE218" i="49"/>
  <c r="BD225" i="49"/>
  <c r="BC178" i="49"/>
  <c r="BF160" i="49"/>
  <c r="BF172" i="49" s="1"/>
  <c r="BF306" i="49" s="1"/>
  <c r="BF166" i="49"/>
  <c r="BF165" i="49"/>
  <c r="BF163" i="49"/>
  <c r="BF164" i="49"/>
  <c r="BF159" i="49"/>
  <c r="BF170" i="49" s="1"/>
  <c r="BF273" i="49" s="1"/>
  <c r="BF161" i="49"/>
  <c r="BF174" i="49" s="1"/>
  <c r="BG147" i="49"/>
  <c r="BG151" i="49" s="1"/>
  <c r="BG156" i="49" s="1"/>
  <c r="BE167" i="49"/>
  <c r="BG48" i="50"/>
  <c r="BG49" i="50" s="1"/>
  <c r="BH48" i="50"/>
  <c r="BH96" i="50" s="1"/>
  <c r="BI36" i="50"/>
  <c r="A36" i="50" s="1"/>
  <c r="BH74" i="50"/>
  <c r="BC227" i="48"/>
  <c r="BC224" i="48"/>
  <c r="BC225" i="48"/>
  <c r="BC185" i="48"/>
  <c r="BC226" i="48"/>
  <c r="BI40" i="50"/>
  <c r="BA238" i="48"/>
  <c r="AZ282" i="48"/>
  <c r="BB211" i="48"/>
  <c r="BB212" i="48"/>
  <c r="BB213" i="48"/>
  <c r="BB214" i="48"/>
  <c r="BB241" i="48" s="1"/>
  <c r="BB215" i="48"/>
  <c r="BB235" i="48" s="1"/>
  <c r="BA216" i="48"/>
  <c r="BG219" i="48"/>
  <c r="BH221" i="48"/>
  <c r="BH220" i="48"/>
  <c r="BH222" i="48"/>
  <c r="BG218" i="48"/>
  <c r="BB192" i="48"/>
  <c r="BB285" i="48" s="1"/>
  <c r="BA190" i="48"/>
  <c r="BH196" i="48"/>
  <c r="BG200" i="48"/>
  <c r="BG201" i="48"/>
  <c r="BG208" i="48" s="1"/>
  <c r="BA192" i="48"/>
  <c r="BA285" i="48" s="1"/>
  <c r="AZ194" i="48"/>
  <c r="BB190" i="48"/>
  <c r="BH197" i="48"/>
  <c r="BH199" i="48"/>
  <c r="BA188" i="48"/>
  <c r="BA281" i="48" s="1"/>
  <c r="BA193" i="48"/>
  <c r="BA279" i="48" s="1"/>
  <c r="BB188" i="48"/>
  <c r="BB281" i="48" s="1"/>
  <c r="BB193" i="48"/>
  <c r="BB279" i="48" s="1"/>
  <c r="BA189" i="48"/>
  <c r="BB191" i="48"/>
  <c r="BG198" i="48"/>
  <c r="BA191" i="48"/>
  <c r="BB189" i="48"/>
  <c r="BE165" i="48"/>
  <c r="BE172" i="48" s="1"/>
  <c r="BE183" i="48" s="1"/>
  <c r="BD183" i="48"/>
  <c r="BD175" i="48"/>
  <c r="BD255" i="48" s="1"/>
  <c r="BD184" i="48"/>
  <c r="BD182" i="48"/>
  <c r="BD178" i="48"/>
  <c r="BD288" i="48" s="1"/>
  <c r="BD180" i="48"/>
  <c r="BD179" i="48"/>
  <c r="BD177" i="48"/>
  <c r="BD181" i="48"/>
  <c r="BD176" i="48"/>
  <c r="BI104" i="48"/>
  <c r="BI103" i="48"/>
  <c r="BI108" i="48"/>
  <c r="BF159" i="48"/>
  <c r="BI107" i="48"/>
  <c r="BG111" i="48"/>
  <c r="BI106" i="48"/>
  <c r="BH136" i="49"/>
  <c r="BH149" i="49" s="1"/>
  <c r="BI138" i="49"/>
  <c r="BI136" i="49" s="1"/>
  <c r="BI149" i="49" s="1"/>
  <c r="A149" i="49" s="1"/>
  <c r="BH123" i="49"/>
  <c r="BI115" i="49"/>
  <c r="BI105" i="49"/>
  <c r="BI113" i="49" s="1"/>
  <c r="BI146" i="49" s="1"/>
  <c r="BH113" i="49"/>
  <c r="BH146" i="49" s="1"/>
  <c r="BI149" i="48"/>
  <c r="BI147" i="48" s="1"/>
  <c r="BI163" i="48" s="1"/>
  <c r="BH147" i="48"/>
  <c r="BH163" i="48" s="1"/>
  <c r="BI141" i="48"/>
  <c r="BI139" i="48" s="1"/>
  <c r="BI161" i="48" s="1"/>
  <c r="A161" i="48" s="1"/>
  <c r="BH139" i="48"/>
  <c r="BH161" i="48" s="1"/>
  <c r="BG122" i="48"/>
  <c r="BF124" i="48"/>
  <c r="BF160" i="48" s="1"/>
  <c r="BH110" i="48"/>
  <c r="BB157" i="49" l="1"/>
  <c r="BC300" i="49"/>
  <c r="BA157" i="49"/>
  <c r="BG96" i="50"/>
  <c r="BH49" i="50"/>
  <c r="BD177" i="49"/>
  <c r="BD287" i="49" s="1"/>
  <c r="BD178" i="49"/>
  <c r="BD214" i="49"/>
  <c r="BD295" i="49" s="1"/>
  <c r="BC233" i="49"/>
  <c r="BC259" i="49" s="1"/>
  <c r="BC234" i="49"/>
  <c r="BC253" i="49" s="1"/>
  <c r="BC200" i="49"/>
  <c r="BC284" i="49" s="1"/>
  <c r="BD211" i="49"/>
  <c r="BF241" i="49"/>
  <c r="BE247" i="49"/>
  <c r="BD244" i="49"/>
  <c r="BE238" i="49"/>
  <c r="BD246" i="49"/>
  <c r="BE240" i="49"/>
  <c r="BC232" i="49"/>
  <c r="BF221" i="49"/>
  <c r="BE228" i="49"/>
  <c r="BD209" i="49"/>
  <c r="BD299" i="49" s="1"/>
  <c r="BF203" i="49"/>
  <c r="BE206" i="49"/>
  <c r="BE223" i="49"/>
  <c r="BF216" i="49"/>
  <c r="BD190" i="49"/>
  <c r="BF239" i="49"/>
  <c r="BE245" i="49"/>
  <c r="BD243" i="49"/>
  <c r="BE237" i="49"/>
  <c r="BF181" i="49"/>
  <c r="BE185" i="49"/>
  <c r="BF192" i="49"/>
  <c r="BE195" i="49"/>
  <c r="BE189" i="49" s="1"/>
  <c r="BD210" i="49"/>
  <c r="BD300" i="49" s="1"/>
  <c r="BF219" i="49"/>
  <c r="BE226" i="49"/>
  <c r="BE184" i="49"/>
  <c r="BF180" i="49"/>
  <c r="BC231" i="49"/>
  <c r="BD213" i="49"/>
  <c r="BD297" i="49" s="1"/>
  <c r="BE224" i="49"/>
  <c r="BF217" i="49"/>
  <c r="BD212" i="49"/>
  <c r="BD303" i="49" s="1"/>
  <c r="BF218" i="49"/>
  <c r="BE225" i="49"/>
  <c r="BD176" i="49"/>
  <c r="BF220" i="49"/>
  <c r="BE227" i="49"/>
  <c r="BE202" i="49"/>
  <c r="BD205" i="49"/>
  <c r="BD199" i="49" s="1"/>
  <c r="BD292" i="49" s="1"/>
  <c r="BC235" i="49"/>
  <c r="BC251" i="49" s="1"/>
  <c r="BG182" i="49"/>
  <c r="BF186" i="49"/>
  <c r="BF196" i="49"/>
  <c r="BG193" i="49"/>
  <c r="BG159" i="49"/>
  <c r="BG170" i="49" s="1"/>
  <c r="BG273" i="49" s="1"/>
  <c r="BG160" i="49"/>
  <c r="BG172" i="49" s="1"/>
  <c r="BG306" i="49" s="1"/>
  <c r="BG162" i="49"/>
  <c r="BG166" i="49"/>
  <c r="BG163" i="49"/>
  <c r="BG161" i="49"/>
  <c r="BG174" i="49" s="1"/>
  <c r="BG165" i="49"/>
  <c r="BG164" i="49"/>
  <c r="BI123" i="49"/>
  <c r="BH147" i="49"/>
  <c r="BF167" i="49"/>
  <c r="BC215" i="48"/>
  <c r="BC235" i="48" s="1"/>
  <c r="BC213" i="48"/>
  <c r="BC212" i="48"/>
  <c r="BC211" i="48"/>
  <c r="BC214" i="48"/>
  <c r="BC241" i="48" s="1"/>
  <c r="A40" i="50"/>
  <c r="BI45" i="50"/>
  <c r="BH151" i="49"/>
  <c r="BH156" i="49" s="1"/>
  <c r="BH159" i="49" s="1"/>
  <c r="BH170" i="49" s="1"/>
  <c r="BH273" i="49" s="1"/>
  <c r="BD266" i="48"/>
  <c r="BB282" i="48"/>
  <c r="BB238" i="48"/>
  <c r="BA282" i="48"/>
  <c r="BB216" i="48"/>
  <c r="BD226" i="48"/>
  <c r="BD228" i="48"/>
  <c r="BD227" i="48"/>
  <c r="BD225" i="48"/>
  <c r="BD224" i="48"/>
  <c r="BD203" i="48"/>
  <c r="BD204" i="48"/>
  <c r="BD206" i="48"/>
  <c r="BD207" i="48"/>
  <c r="BD205" i="48"/>
  <c r="BE203" i="48"/>
  <c r="BE206" i="48"/>
  <c r="BE204" i="48"/>
  <c r="BE205" i="48"/>
  <c r="BE207" i="48"/>
  <c r="BH218" i="48"/>
  <c r="BI222" i="48"/>
  <c r="BH219" i="48"/>
  <c r="BI220" i="48"/>
  <c r="BI221" i="48"/>
  <c r="BC192" i="48"/>
  <c r="BC285" i="48" s="1"/>
  <c r="BE180" i="48"/>
  <c r="BC190" i="48"/>
  <c r="BF165" i="48"/>
  <c r="BF172" i="48" s="1"/>
  <c r="BF183" i="48" s="1"/>
  <c r="BI197" i="48"/>
  <c r="BI196" i="48"/>
  <c r="BB194" i="48"/>
  <c r="BE184" i="48"/>
  <c r="BE177" i="48"/>
  <c r="BA194" i="48"/>
  <c r="BC191" i="48"/>
  <c r="BH198" i="48"/>
  <c r="BH201" i="48"/>
  <c r="BH208" i="48" s="1"/>
  <c r="BC188" i="48"/>
  <c r="BC281" i="48" s="1"/>
  <c r="BC193" i="48"/>
  <c r="BC279" i="48" s="1"/>
  <c r="BH200" i="48"/>
  <c r="BE176" i="48"/>
  <c r="BI199" i="48"/>
  <c r="BC189" i="48"/>
  <c r="BE178" i="48"/>
  <c r="BE288" i="48" s="1"/>
  <c r="BE179" i="48"/>
  <c r="BE182" i="48"/>
  <c r="BE175" i="48"/>
  <c r="BE255" i="48" s="1"/>
  <c r="BE181" i="48"/>
  <c r="BD185" i="48"/>
  <c r="BH111" i="48"/>
  <c r="BG112" i="48"/>
  <c r="A146" i="49"/>
  <c r="A163" i="48"/>
  <c r="BG124" i="48"/>
  <c r="BG160" i="48" s="1"/>
  <c r="BH122" i="48"/>
  <c r="BI110" i="48"/>
  <c r="BC282" i="48" l="1"/>
  <c r="BC256" i="49"/>
  <c r="BE177" i="49"/>
  <c r="BE287" i="49" s="1"/>
  <c r="BD234" i="49"/>
  <c r="BD253" i="49" s="1"/>
  <c r="BE190" i="49"/>
  <c r="BE209" i="49"/>
  <c r="BE299" i="49" s="1"/>
  <c r="BE211" i="49"/>
  <c r="BD235" i="49"/>
  <c r="BD251" i="49" s="1"/>
  <c r="BD231" i="49"/>
  <c r="BE213" i="49"/>
  <c r="BE297" i="49" s="1"/>
  <c r="BG192" i="49"/>
  <c r="BF195" i="49"/>
  <c r="BF189" i="49" s="1"/>
  <c r="BG216" i="49"/>
  <c r="BF223" i="49"/>
  <c r="BF228" i="49"/>
  <c r="BG221" i="49"/>
  <c r="BG220" i="49"/>
  <c r="BF227" i="49"/>
  <c r="BF184" i="49"/>
  <c r="BG180" i="49"/>
  <c r="BG181" i="49"/>
  <c r="BF185" i="49"/>
  <c r="BF240" i="49"/>
  <c r="BE246" i="49"/>
  <c r="BE176" i="49"/>
  <c r="BF237" i="49"/>
  <c r="BE243" i="49"/>
  <c r="BG203" i="49"/>
  <c r="BF206" i="49"/>
  <c r="BF225" i="49"/>
  <c r="BG218" i="49"/>
  <c r="BE212" i="49"/>
  <c r="BE303" i="49" s="1"/>
  <c r="BD233" i="49"/>
  <c r="BD259" i="49" s="1"/>
  <c r="BE244" i="49"/>
  <c r="BF238" i="49"/>
  <c r="BE178" i="49"/>
  <c r="BG219" i="49"/>
  <c r="BF226" i="49"/>
  <c r="BD232" i="49"/>
  <c r="BH182" i="49"/>
  <c r="BG186" i="49"/>
  <c r="BG196" i="49"/>
  <c r="BH193" i="49"/>
  <c r="BG217" i="49"/>
  <c r="BF224" i="49"/>
  <c r="BF245" i="49"/>
  <c r="BG239" i="49"/>
  <c r="BD200" i="49"/>
  <c r="BD284" i="49" s="1"/>
  <c r="BE205" i="49"/>
  <c r="BE199" i="49" s="1"/>
  <c r="BE292" i="49" s="1"/>
  <c r="BF202" i="49"/>
  <c r="BE210" i="49"/>
  <c r="BE214" i="49"/>
  <c r="BE295" i="49" s="1"/>
  <c r="BG241" i="49"/>
  <c r="BF247" i="49"/>
  <c r="BH163" i="49"/>
  <c r="BH162" i="49"/>
  <c r="BH160" i="49"/>
  <c r="BH172" i="49" s="1"/>
  <c r="BH306" i="49" s="1"/>
  <c r="BH165" i="49"/>
  <c r="BH161" i="49"/>
  <c r="BH174" i="49" s="1"/>
  <c r="BG167" i="49"/>
  <c r="BH166" i="49"/>
  <c r="BH164" i="49"/>
  <c r="BI147" i="49"/>
  <c r="BI47" i="50"/>
  <c r="BI48" i="50"/>
  <c r="BI96" i="50" s="1"/>
  <c r="BC216" i="48"/>
  <c r="BC238" i="48"/>
  <c r="BF179" i="48"/>
  <c r="BF180" i="48"/>
  <c r="BF175" i="48"/>
  <c r="BF255" i="48" s="1"/>
  <c r="BE266" i="48"/>
  <c r="BD211" i="48"/>
  <c r="BE228" i="48"/>
  <c r="BE227" i="48"/>
  <c r="BE226" i="48"/>
  <c r="BE225" i="48"/>
  <c r="BE224" i="48"/>
  <c r="BD212" i="48"/>
  <c r="BD214" i="48"/>
  <c r="BD241" i="48" s="1"/>
  <c r="BF206" i="48"/>
  <c r="BF204" i="48"/>
  <c r="BF203" i="48"/>
  <c r="BF207" i="48"/>
  <c r="BF205" i="48"/>
  <c r="BD215" i="48"/>
  <c r="BD235" i="48" s="1"/>
  <c r="BF177" i="48"/>
  <c r="BD213" i="48"/>
  <c r="BI219" i="48"/>
  <c r="BI218" i="48"/>
  <c r="BF181" i="48"/>
  <c r="BF184" i="48"/>
  <c r="BF182" i="48"/>
  <c r="BF176" i="48"/>
  <c r="BF178" i="48"/>
  <c r="BF288" i="48" s="1"/>
  <c r="BE185" i="48"/>
  <c r="BC194" i="48"/>
  <c r="BI201" i="48"/>
  <c r="BI208" i="48" s="1"/>
  <c r="BI198" i="48"/>
  <c r="BI200" i="48"/>
  <c r="BI111" i="48"/>
  <c r="BI112" i="48" s="1"/>
  <c r="BH112" i="48"/>
  <c r="BG159" i="48"/>
  <c r="BG165" i="48" s="1"/>
  <c r="BG172" i="48" s="1"/>
  <c r="BI122" i="48"/>
  <c r="BI124" i="48" s="1"/>
  <c r="BI160" i="48" s="1"/>
  <c r="A160" i="48" s="1"/>
  <c r="BH124" i="48"/>
  <c r="BH160" i="48" s="1"/>
  <c r="BC157" i="49" l="1"/>
  <c r="BE300" i="49"/>
  <c r="BD256" i="49"/>
  <c r="BD157" i="49"/>
  <c r="BE233" i="49"/>
  <c r="BE259" i="49" s="1"/>
  <c r="BE231" i="49"/>
  <c r="BF210" i="49"/>
  <c r="BH239" i="49"/>
  <c r="BG245" i="49"/>
  <c r="BE234" i="49"/>
  <c r="BE253" i="49" s="1"/>
  <c r="BH220" i="49"/>
  <c r="BG227" i="49"/>
  <c r="BG225" i="49"/>
  <c r="BH218" i="49"/>
  <c r="BG240" i="49"/>
  <c r="BF246" i="49"/>
  <c r="BH221" i="49"/>
  <c r="BG228" i="49"/>
  <c r="BF212" i="49"/>
  <c r="BF303" i="49" s="1"/>
  <c r="BF211" i="49"/>
  <c r="BE200" i="49"/>
  <c r="BE284" i="49" s="1"/>
  <c r="BF214" i="49"/>
  <c r="BF295" i="49" s="1"/>
  <c r="BH217" i="49"/>
  <c r="BG224" i="49"/>
  <c r="BH219" i="49"/>
  <c r="BG226" i="49"/>
  <c r="BF178" i="49"/>
  <c r="BF177" i="49"/>
  <c r="BF287" i="49" s="1"/>
  <c r="BF209" i="49"/>
  <c r="BF299" i="49" s="1"/>
  <c r="BF205" i="49"/>
  <c r="BF199" i="49" s="1"/>
  <c r="BG202" i="49"/>
  <c r="BI193" i="49"/>
  <c r="BH196" i="49"/>
  <c r="BH203" i="49"/>
  <c r="BG206" i="49"/>
  <c r="BH181" i="49"/>
  <c r="BG185" i="49"/>
  <c r="BG223" i="49"/>
  <c r="BH216" i="49"/>
  <c r="BH241" i="49"/>
  <c r="BG247" i="49"/>
  <c r="BF244" i="49"/>
  <c r="BG238" i="49"/>
  <c r="BH180" i="49"/>
  <c r="BG184" i="49"/>
  <c r="BF190" i="49"/>
  <c r="BE235" i="49"/>
  <c r="BE251" i="49" s="1"/>
  <c r="BE232" i="49"/>
  <c r="BF243" i="49"/>
  <c r="BG237" i="49"/>
  <c r="BF176" i="49"/>
  <c r="BG195" i="49"/>
  <c r="BG189" i="49" s="1"/>
  <c r="BH192" i="49"/>
  <c r="BI182" i="49"/>
  <c r="BH186" i="49"/>
  <c r="BF213" i="49"/>
  <c r="BF297" i="49" s="1"/>
  <c r="A147" i="49"/>
  <c r="BI151" i="49"/>
  <c r="BH167" i="49"/>
  <c r="BI49" i="50"/>
  <c r="BI74" i="50"/>
  <c r="BF266" i="48"/>
  <c r="BE211" i="48"/>
  <c r="BD238" i="48"/>
  <c r="BD216" i="48"/>
  <c r="BF227" i="48"/>
  <c r="BF228" i="48"/>
  <c r="BF226" i="48"/>
  <c r="BF225" i="48"/>
  <c r="BF224" i="48"/>
  <c r="BE212" i="48"/>
  <c r="BE213" i="48"/>
  <c r="BF185" i="48"/>
  <c r="BE214" i="48"/>
  <c r="BE241" i="48" s="1"/>
  <c r="BE215" i="48"/>
  <c r="BE235" i="48" s="1"/>
  <c r="BD192" i="48"/>
  <c r="BD285" i="48" s="1"/>
  <c r="BF190" i="48"/>
  <c r="BD188" i="48"/>
  <c r="BD281" i="48" s="1"/>
  <c r="BD193" i="48"/>
  <c r="BD279" i="48" s="1"/>
  <c r="BD191" i="48"/>
  <c r="BD189" i="48"/>
  <c r="BD190" i="48"/>
  <c r="BG182" i="48"/>
  <c r="BG183" i="48"/>
  <c r="BG176" i="48"/>
  <c r="BG175" i="48"/>
  <c r="BG255" i="48" s="1"/>
  <c r="BG184" i="48"/>
  <c r="BG178" i="48"/>
  <c r="BG288" i="48" s="1"/>
  <c r="BG177" i="48"/>
  <c r="BG180" i="48"/>
  <c r="BG181" i="48"/>
  <c r="BG179" i="48"/>
  <c r="BI159" i="48"/>
  <c r="A159" i="48" s="1"/>
  <c r="BH159" i="48"/>
  <c r="BH165" i="48" s="1"/>
  <c r="BH172" i="48" s="1"/>
  <c r="BH179" i="48" s="1"/>
  <c r="BF292" i="49" l="1"/>
  <c r="BG190" i="49"/>
  <c r="BF300" i="49"/>
  <c r="BE256" i="49"/>
  <c r="BG178" i="49"/>
  <c r="BF200" i="49"/>
  <c r="BF284" i="49" s="1"/>
  <c r="BF231" i="49"/>
  <c r="BG176" i="49"/>
  <c r="BG244" i="49"/>
  <c r="BH238" i="49"/>
  <c r="BF232" i="49"/>
  <c r="BF233" i="49"/>
  <c r="BF259" i="49" s="1"/>
  <c r="BG212" i="49"/>
  <c r="BG303" i="49" s="1"/>
  <c r="BG214" i="49"/>
  <c r="BG295" i="49" s="1"/>
  <c r="BH227" i="49"/>
  <c r="BI220" i="49"/>
  <c r="BI241" i="49"/>
  <c r="BH247" i="49"/>
  <c r="BH226" i="49"/>
  <c r="BI219" i="49"/>
  <c r="BI226" i="49" s="1"/>
  <c r="BI221" i="49"/>
  <c r="BH228" i="49"/>
  <c r="BG213" i="49"/>
  <c r="BG297" i="49" s="1"/>
  <c r="BI192" i="49"/>
  <c r="BI195" i="49" s="1"/>
  <c r="BH195" i="49"/>
  <c r="BH189" i="49" s="1"/>
  <c r="BH223" i="49"/>
  <c r="BI216" i="49"/>
  <c r="BH202" i="49"/>
  <c r="BG205" i="49"/>
  <c r="BG199" i="49" s="1"/>
  <c r="BG292" i="49" s="1"/>
  <c r="BG210" i="49"/>
  <c r="BF234" i="49"/>
  <c r="BF253" i="49" s="1"/>
  <c r="BG211" i="49"/>
  <c r="BG209" i="49"/>
  <c r="BG299" i="49" s="1"/>
  <c r="BI217" i="49"/>
  <c r="BH224" i="49"/>
  <c r="BG246" i="49"/>
  <c r="BH240" i="49"/>
  <c r="BI239" i="49"/>
  <c r="BH245" i="49"/>
  <c r="BG243" i="49"/>
  <c r="BH237" i="49"/>
  <c r="BI181" i="49"/>
  <c r="BI185" i="49" s="1"/>
  <c r="BH185" i="49"/>
  <c r="BI203" i="49"/>
  <c r="BH206" i="49"/>
  <c r="BH184" i="49"/>
  <c r="BI180" i="49"/>
  <c r="BG177" i="49"/>
  <c r="BG287" i="49" s="1"/>
  <c r="BI218" i="49"/>
  <c r="BH225" i="49"/>
  <c r="BF235" i="49"/>
  <c r="BF251" i="49" s="1"/>
  <c r="A151" i="49"/>
  <c r="BI156" i="49"/>
  <c r="BF211" i="48"/>
  <c r="BG266" i="48"/>
  <c r="BE238" i="48"/>
  <c r="BD282" i="48"/>
  <c r="BE216" i="48"/>
  <c r="BG206" i="48"/>
  <c r="BG204" i="48"/>
  <c r="BG203" i="48"/>
  <c r="BG205" i="48"/>
  <c r="BG207" i="48"/>
  <c r="BF212" i="48"/>
  <c r="BF213" i="48"/>
  <c r="BG226" i="48"/>
  <c r="BG228" i="48"/>
  <c r="BG227" i="48"/>
  <c r="BG225" i="48"/>
  <c r="BG224" i="48"/>
  <c r="BF215" i="48"/>
  <c r="BF235" i="48" s="1"/>
  <c r="BF214" i="48"/>
  <c r="BF241" i="48" s="1"/>
  <c r="BE189" i="48"/>
  <c r="BF188" i="48"/>
  <c r="BF281" i="48" s="1"/>
  <c r="BF193" i="48"/>
  <c r="BF279" i="48" s="1"/>
  <c r="BF192" i="48"/>
  <c r="BF285" i="48" s="1"/>
  <c r="BF191" i="48"/>
  <c r="BF189" i="48"/>
  <c r="BE191" i="48"/>
  <c r="BE192" i="48"/>
  <c r="BE285" i="48" s="1"/>
  <c r="BE190" i="48"/>
  <c r="BI165" i="48"/>
  <c r="BI172" i="48" s="1"/>
  <c r="BE188" i="48"/>
  <c r="BE281" i="48" s="1"/>
  <c r="BE193" i="48"/>
  <c r="BE279" i="48" s="1"/>
  <c r="BD194" i="48"/>
  <c r="BH180" i="48"/>
  <c r="BH184" i="48"/>
  <c r="BH183" i="48"/>
  <c r="BH182" i="48"/>
  <c r="BH175" i="48"/>
  <c r="BH255" i="48" s="1"/>
  <c r="BG185" i="48"/>
  <c r="BH181" i="48"/>
  <c r="BH176" i="48"/>
  <c r="BH178" i="48"/>
  <c r="BH288" i="48" s="1"/>
  <c r="BH177" i="48"/>
  <c r="BG300" i="49" l="1"/>
  <c r="BE157" i="49"/>
  <c r="BF256" i="49"/>
  <c r="BH176" i="49"/>
  <c r="BG231" i="49"/>
  <c r="BH243" i="49"/>
  <c r="BI237" i="49"/>
  <c r="BH212" i="49"/>
  <c r="BH303" i="49" s="1"/>
  <c r="BH209" i="49"/>
  <c r="BH299" i="49" s="1"/>
  <c r="BH190" i="49"/>
  <c r="BG235" i="49"/>
  <c r="BG251" i="49" s="1"/>
  <c r="BG233" i="49"/>
  <c r="BG259" i="49" s="1"/>
  <c r="BH178" i="49"/>
  <c r="BG200" i="49"/>
  <c r="BG284" i="49" s="1"/>
  <c r="BI240" i="49"/>
  <c r="BH246" i="49"/>
  <c r="BH214" i="49"/>
  <c r="BH295" i="49" s="1"/>
  <c r="BG234" i="49"/>
  <c r="BG253" i="49" s="1"/>
  <c r="BH213" i="49"/>
  <c r="BH297" i="49" s="1"/>
  <c r="BI238" i="49"/>
  <c r="BH244" i="49"/>
  <c r="BH211" i="49"/>
  <c r="BH177" i="49"/>
  <c r="BH287" i="49" s="1"/>
  <c r="BH210" i="49"/>
  <c r="BH300" i="49" s="1"/>
  <c r="BI202" i="49"/>
  <c r="BI205" i="49" s="1"/>
  <c r="BH205" i="49"/>
  <c r="BH199" i="49" s="1"/>
  <c r="BH292" i="49" s="1"/>
  <c r="BG232" i="49"/>
  <c r="BI159" i="49"/>
  <c r="BI170" i="49" s="1"/>
  <c r="BI273" i="49" s="1"/>
  <c r="BI160" i="49"/>
  <c r="BI172" i="49" s="1"/>
  <c r="BI306" i="49" s="1"/>
  <c r="BI161" i="49"/>
  <c r="BI174" i="49" s="1"/>
  <c r="BI162" i="49"/>
  <c r="BI186" i="49" s="1"/>
  <c r="BI164" i="49"/>
  <c r="BI206" i="49" s="1"/>
  <c r="BI165" i="49"/>
  <c r="BI223" i="49" s="1"/>
  <c r="BI166" i="49"/>
  <c r="BI247" i="49" s="1"/>
  <c r="BI163" i="49"/>
  <c r="BI196" i="49" s="1"/>
  <c r="BI190" i="49" s="1"/>
  <c r="BF238" i="48"/>
  <c r="A165" i="48"/>
  <c r="BH266" i="48"/>
  <c r="BF282" i="48"/>
  <c r="BG211" i="48"/>
  <c r="BE282" i="48"/>
  <c r="BF216" i="48"/>
  <c r="BH203" i="48"/>
  <c r="BH206" i="48"/>
  <c r="BH204" i="48"/>
  <c r="BH205" i="48"/>
  <c r="BH207" i="48"/>
  <c r="BH226" i="48"/>
  <c r="BH228" i="48"/>
  <c r="BH227" i="48"/>
  <c r="BH225" i="48"/>
  <c r="BH224" i="48"/>
  <c r="BG212" i="48"/>
  <c r="BG214" i="48"/>
  <c r="BG241" i="48" s="1"/>
  <c r="BG215" i="48"/>
  <c r="BG235" i="48" s="1"/>
  <c r="BG213" i="48"/>
  <c r="BE194" i="48"/>
  <c r="BF194" i="48"/>
  <c r="BH185" i="48"/>
  <c r="BI183" i="48"/>
  <c r="BI176" i="48"/>
  <c r="BI177" i="48"/>
  <c r="BI175" i="48"/>
  <c r="BI255" i="48" s="1"/>
  <c r="BI181" i="48"/>
  <c r="BI179" i="48"/>
  <c r="BI178" i="48"/>
  <c r="BI288" i="48" s="1"/>
  <c r="BI182" i="48"/>
  <c r="BI180" i="48"/>
  <c r="BI184" i="48"/>
  <c r="BH234" i="49" l="1"/>
  <c r="BH253" i="49" s="1"/>
  <c r="BF157" i="49"/>
  <c r="BI244" i="49"/>
  <c r="BI245" i="49"/>
  <c r="BI225" i="49"/>
  <c r="BI227" i="49"/>
  <c r="BG256" i="49"/>
  <c r="BI200" i="49"/>
  <c r="BH232" i="49"/>
  <c r="BH235" i="49"/>
  <c r="BH251" i="49" s="1"/>
  <c r="BI246" i="49"/>
  <c r="BI189" i="49"/>
  <c r="BI228" i="49"/>
  <c r="BH200" i="49"/>
  <c r="BH284" i="49" s="1"/>
  <c r="BI243" i="49"/>
  <c r="BI199" i="49"/>
  <c r="BI184" i="49"/>
  <c r="BI176" i="49" s="1"/>
  <c r="BH233" i="49"/>
  <c r="BH259" i="49" s="1"/>
  <c r="BH231" i="49"/>
  <c r="BI224" i="49"/>
  <c r="BI167" i="49"/>
  <c r="BG238" i="48"/>
  <c r="BI266" i="48"/>
  <c r="BH215" i="48"/>
  <c r="BH235" i="48" s="1"/>
  <c r="BG216" i="48"/>
  <c r="BH214" i="48"/>
  <c r="BH241" i="48" s="1"/>
  <c r="BI204" i="48"/>
  <c r="BI203" i="48"/>
  <c r="BI206" i="48"/>
  <c r="BI207" i="48"/>
  <c r="BI205" i="48"/>
  <c r="BH213" i="48"/>
  <c r="BH211" i="48"/>
  <c r="BI228" i="48"/>
  <c r="BI226" i="48"/>
  <c r="BI227" i="48"/>
  <c r="BI225" i="48"/>
  <c r="BI224" i="48"/>
  <c r="BH212" i="48"/>
  <c r="BG192" i="48"/>
  <c r="BG285" i="48" s="1"/>
  <c r="BH192" i="48"/>
  <c r="BH285" i="48" s="1"/>
  <c r="BG190" i="48"/>
  <c r="BG188" i="48"/>
  <c r="BG281" i="48" s="1"/>
  <c r="BG193" i="48"/>
  <c r="BG279" i="48" s="1"/>
  <c r="BG189" i="48"/>
  <c r="BG191" i="48"/>
  <c r="BI185" i="48"/>
  <c r="BI292" i="49" l="1"/>
  <c r="BG157" i="49"/>
  <c r="BH256" i="49"/>
  <c r="BI232" i="49"/>
  <c r="BI210" i="49"/>
  <c r="BI212" i="49"/>
  <c r="BI303" i="49" s="1"/>
  <c r="BI211" i="49"/>
  <c r="BI231" i="49"/>
  <c r="BI233" i="49"/>
  <c r="BI259" i="49" s="1"/>
  <c r="BI177" i="49"/>
  <c r="BI287" i="49" s="1"/>
  <c r="BI178" i="49"/>
  <c r="BI284" i="49" s="1"/>
  <c r="BI214" i="49"/>
  <c r="BI295" i="49" s="1"/>
  <c r="BI213" i="49"/>
  <c r="BI297" i="49" s="1"/>
  <c r="BI209" i="49"/>
  <c r="BI299" i="49" s="1"/>
  <c r="BI234" i="49"/>
  <c r="BI253" i="49" s="1"/>
  <c r="BI235" i="49"/>
  <c r="BI251" i="49" s="1"/>
  <c r="BH238" i="48"/>
  <c r="BG282" i="48"/>
  <c r="BI215" i="48"/>
  <c r="BI235" i="48" s="1"/>
  <c r="BH216" i="48"/>
  <c r="BI211" i="48"/>
  <c r="BI212" i="48"/>
  <c r="BI214" i="48"/>
  <c r="BI241" i="48" s="1"/>
  <c r="BI213" i="48"/>
  <c r="BG194" i="48"/>
  <c r="BH191" i="48"/>
  <c r="BH190" i="48"/>
  <c r="BH188" i="48"/>
  <c r="BH281" i="48" s="1"/>
  <c r="BH193" i="48"/>
  <c r="BH279" i="48" s="1"/>
  <c r="BI190" i="48"/>
  <c r="BH189" i="48"/>
  <c r="BH157" i="49" l="1"/>
  <c r="BI300" i="49"/>
  <c r="BI256" i="49"/>
  <c r="BH282" i="48"/>
  <c r="BI238" i="48"/>
  <c r="BI216" i="48"/>
  <c r="BI188" i="48"/>
  <c r="BI281" i="48" s="1"/>
  <c r="BI193" i="48"/>
  <c r="BI279" i="48" s="1"/>
  <c r="BI191" i="48"/>
  <c r="BH194" i="48"/>
  <c r="BI189" i="48"/>
  <c r="BI192" i="48"/>
  <c r="BI285" i="48" s="1"/>
  <c r="BI157" i="49" l="1"/>
  <c r="BI282" i="48"/>
  <c r="BI194" i="48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<sst xmlns="http://schemas.openxmlformats.org/spreadsheetml/2006/main" count="1428" uniqueCount="243">
  <si>
    <t>Sources:</t>
  </si>
  <si>
    <t>Energy consumption (residential, commercial &amp; public)</t>
  </si>
  <si>
    <t>Energy Ministry (SENER)</t>
  </si>
  <si>
    <t>National Energy Balance 2023</t>
  </si>
  <si>
    <t>https://www.gob.mx/cms/uploads/attachment/file/947752/BALANCE_NACIONAL_DE_ENERG_A_PRELIMINAR_2023.pdf</t>
  </si>
  <si>
    <t>CUADRO A.11 CONSUMO FINAL TOTAL DE ENERGÍA (Petajoules)</t>
  </si>
  <si>
    <t>CUADRO A.15 CONSUMO DE ENERGÍA EN LOS SECTORES RESIDENCIAL, COMERCIAL Y PÚBLICO (Petajoules)</t>
  </si>
  <si>
    <t>Energy consumption by end use (residential, commercial &amp; public)</t>
  </si>
  <si>
    <t>National Council of Humanities, Sciences and Technologies (Conahcyt)</t>
  </si>
  <si>
    <t>Energy futures for Mexico by 2050 The path to a just and sustainable energy transition</t>
  </si>
  <si>
    <t>https://conahcyt.mx/wp-content/uploads/pronaces/micrositios/energia_y_cambio_climatico/energia/cuadernos_tematicos/Cuaderno_9.pdf</t>
  </si>
  <si>
    <t>CyS.UF1</t>
  </si>
  <si>
    <t>Res.UF1</t>
  </si>
  <si>
    <t>Pub.UF1</t>
  </si>
  <si>
    <t>CyS.UF2</t>
  </si>
  <si>
    <t>Res.UF2</t>
  </si>
  <si>
    <t>Pub.UF2</t>
  </si>
  <si>
    <t>CyS.UF3</t>
  </si>
  <si>
    <t>Res.UF3</t>
  </si>
  <si>
    <t>CyS.UF4</t>
  </si>
  <si>
    <t>Res.UF4</t>
  </si>
  <si>
    <t>CyS.UF5</t>
  </si>
  <si>
    <t>Res.UF5</t>
  </si>
  <si>
    <t>CyS.UF6</t>
  </si>
  <si>
    <t>Res.UF6</t>
  </si>
  <si>
    <t>CyS.UF7</t>
  </si>
  <si>
    <t>Res.UF7</t>
  </si>
  <si>
    <t>CyS.UF8</t>
  </si>
  <si>
    <t>Res.UF8</t>
  </si>
  <si>
    <t>Res.UF9</t>
  </si>
  <si>
    <t>Res.UF10</t>
  </si>
  <si>
    <t>National population commission</t>
  </si>
  <si>
    <t>Demographic Reconciliation Databases 1950 to 2019 and Projections of the Population of Mexico 2020 to 2070</t>
  </si>
  <si>
    <t>https://www.gob.mx/conapo/documentos/bases-de-datos-de-la-conciliacion-demografica-1950-a-2019-y-proyecciones-de-la-poblacion-de-mexico-2020-a-2070?idiom=es</t>
  </si>
  <si>
    <t>Datasets, 0_Pob_1950_2070</t>
  </si>
  <si>
    <t>The rows for States of the Republic have been removed to reduce file size.</t>
  </si>
  <si>
    <t>National Institute of Statistics and Geography (INEGI)</t>
  </si>
  <si>
    <t>Private inhabited homes 1950 2020</t>
  </si>
  <si>
    <t>https://www.inegi.org.mx/temas/vivienda/#tabulados</t>
  </si>
  <si>
    <t>Notes:</t>
  </si>
  <si>
    <t>Unit conversion</t>
  </si>
  <si>
    <t>BTU/PJ</t>
  </si>
  <si>
    <t>BEP</t>
  </si>
  <si>
    <t>BTU</t>
  </si>
  <si>
    <t>PJ</t>
  </si>
  <si>
    <t>Source: https://dof.gob.mx/nota_detalle.php?codigo=5278970&amp;fecha=23/11/2012#gsc.tab=0</t>
  </si>
  <si>
    <t>Building type</t>
  </si>
  <si>
    <t>Building type en EPS</t>
  </si>
  <si>
    <t>Sectores en México</t>
  </si>
  <si>
    <t>Urban residential</t>
  </si>
  <si>
    <t>Residencial</t>
  </si>
  <si>
    <t>Rural residential</t>
  </si>
  <si>
    <t>Público</t>
  </si>
  <si>
    <t>Commercial</t>
  </si>
  <si>
    <t>Comercial y servicios</t>
  </si>
  <si>
    <t>Building component</t>
  </si>
  <si>
    <t>Building component en EPS</t>
  </si>
  <si>
    <t>Usos finales comercial y servicios en México</t>
  </si>
  <si>
    <t>Usos finales residencial en México</t>
  </si>
  <si>
    <t>Usos finales público en México</t>
  </si>
  <si>
    <t>FO @ Calibration</t>
  </si>
  <si>
    <t>Heating</t>
  </si>
  <si>
    <t>Cocción de alimentos</t>
  </si>
  <si>
    <t>Cooling and refrigeration were being double counted.</t>
  </si>
  <si>
    <t>Cooling and ventilation</t>
  </si>
  <si>
    <t>Climatización</t>
  </si>
  <si>
    <t>Original values assigned to Cooling as appliances is reported elsewhere.</t>
  </si>
  <si>
    <t>Envelope</t>
  </si>
  <si>
    <t>Lighting</t>
  </si>
  <si>
    <t>Iluminación</t>
  </si>
  <si>
    <t>Alumbrado público</t>
  </si>
  <si>
    <t>Appliances</t>
  </si>
  <si>
    <t>Refrigeración 
Motores
Misceláneos
Otros</t>
  </si>
  <si>
    <t>Refrigeración 
Otros
Stand by
Lavadoras
Microondas
Televisión</t>
  </si>
  <si>
    <t>Other components</t>
  </si>
  <si>
    <t>Calentamiento de agua</t>
  </si>
  <si>
    <t>Bombeo de agua</t>
  </si>
  <si>
    <t>Building fuel</t>
  </si>
  <si>
    <t>Building fuel en EPS</t>
  </si>
  <si>
    <t>Energéticos</t>
  </si>
  <si>
    <t>Heat</t>
  </si>
  <si>
    <t>Radiación solar</t>
  </si>
  <si>
    <t>Biomass</t>
  </si>
  <si>
    <t>Leña</t>
  </si>
  <si>
    <t>Carbón vegetal</t>
  </si>
  <si>
    <t>BCS Procesados</t>
  </si>
  <si>
    <t>LPG propane or butane</t>
  </si>
  <si>
    <t>Gas licuado de petróleo</t>
  </si>
  <si>
    <t>natural gas</t>
  </si>
  <si>
    <t>Gas seco</t>
  </si>
  <si>
    <t>electricity</t>
  </si>
  <si>
    <t>Electricidad</t>
  </si>
  <si>
    <t>This variable is based on bldgs/BCEU and uses the same data sources.</t>
  </si>
  <si>
    <t>We separate the start year values into their own variable so that</t>
  </si>
  <si>
    <t>we do not need to access data from a year outside of the model's</t>
  </si>
  <si>
    <t>run range from BCEU, which helps people avoid introducing</t>
  </si>
  <si>
    <t>bugs when they update model data.</t>
  </si>
  <si>
    <t>S2.2</t>
  </si>
  <si>
    <t>Consumo final total</t>
  </si>
  <si>
    <t>Consumo no energético total</t>
  </si>
  <si>
    <t>PEMEX Petroquímica</t>
  </si>
  <si>
    <t>Otras ramas económicas</t>
  </si>
  <si>
    <t>Consumo energético total</t>
  </si>
  <si>
    <t>Transporte</t>
  </si>
  <si>
    <t>Industrial</t>
  </si>
  <si>
    <t>Residencial, comercial y público</t>
  </si>
  <si>
    <t>Agropecuario</t>
  </si>
  <si>
    <t>Sin clasificar 1</t>
  </si>
  <si>
    <t>-</t>
  </si>
  <si>
    <t>FUENTE: Sistema de Información Energética (SIE). SENER.
NOTA: La suma de los parciales puede no coincidir con los totales debido al redondeo de las cifras.
Las cifras pueden cambiar respecto al SIE, BDI o BDR debido al cierre de cifras.
A partir del BNE 2021, se considera el consumo de combustibles nuevos (licor negro, gas residual y aceite residual). PEMEX reporta gasolina Magna, Premium, Naftas (Gasaviones) y gasolina de llenado inicial.
PEMEX reporta Diésel automotriz, desulfurado, industrial, marino y pañoles.
A partir del BNE 2021, el consumo de diésel, gasolinas y naftas en el sector autotransporte, se consideró a partir de las ventas en estaciones de servicio de expendio al público registradas por la CRE.
Información preliminar
1A partir del BNE 2021 se comenzó a contabilizar este rubro., se refiere a suministro calificado, porteo y pérdidas no técnicas de energía eléctrica.</t>
  </si>
  <si>
    <t>Total, sector residencial, comercial y público</t>
  </si>
  <si>
    <t>Energía solar</t>
  </si>
  <si>
    <t>Total, de petrolíferos</t>
  </si>
  <si>
    <t>Gas licuado</t>
  </si>
  <si>
    <t>Querosenos</t>
  </si>
  <si>
    <t>Diésel</t>
  </si>
  <si>
    <t>Energía eléctrica</t>
  </si>
  <si>
    <t>Comercial</t>
  </si>
  <si>
    <t>FUENTE: Sistema de Información Energética (SIE). SENER.
NOTA: La suma de los parciales puede no coincidir con los totales debido al redondeo de las cifras.
Las cifras pueden cambiar respecto al SIE, BDI o BDR debido al cierre de cifras. PEMEX reporta Diésel automotriz, desulfurado, industrial, marino y pañoles.
Para la energía solar se consideraron los datos reportados por Asociación Nacional de Energía Solar (ANES) y Fabricantes Mexicanos en las Energías Renovables A.С. (FAMERAC).
Se considera la producción del carbón todo uno (incluye impurezas).
Información preliminar.</t>
  </si>
  <si>
    <t>Consumo final del sector Comercial y servicios para Iluminación por energético e y año histórico ā (PJ)</t>
  </si>
  <si>
    <t>Carbón</t>
  </si>
  <si>
    <t>Petróleo</t>
  </si>
  <si>
    <t>Condensados</t>
  </si>
  <si>
    <t>Gas natural</t>
  </si>
  <si>
    <t>Nuclear</t>
  </si>
  <si>
    <t>Hidroenergía</t>
  </si>
  <si>
    <t>Energía eólica</t>
  </si>
  <si>
    <t>Geoenergía</t>
  </si>
  <si>
    <t>Bagazos</t>
  </si>
  <si>
    <t>Biogás</t>
  </si>
  <si>
    <t>Biodiesel</t>
  </si>
  <si>
    <t>Bioturbosina</t>
  </si>
  <si>
    <t>Coque de carbón</t>
  </si>
  <si>
    <t>Coque de petróleo</t>
  </si>
  <si>
    <t>Gasolina</t>
  </si>
  <si>
    <t>Queroseno</t>
  </si>
  <si>
    <t>Combustóleo</t>
  </si>
  <si>
    <t>No energéticos</t>
  </si>
  <si>
    <t>Hidrogeno</t>
  </si>
  <si>
    <t>Consumo final del sector Comercial y servicios para Climatización por energético e y año histórico ā (PJ)</t>
  </si>
  <si>
    <t>Consumo final del sector Comercial y servicios para Refrigeración por energético e y año histórico ā (PJ)</t>
  </si>
  <si>
    <t>Consumo final del sector Comercial y servicios para Motores por energético e y año histórico ā (PJ)</t>
  </si>
  <si>
    <t>Consumo final del sector Comercial y servicios para Misceláneos por energético e y año histórico ā (PJ)</t>
  </si>
  <si>
    <t>Consumo final del sector Comercial y servicios para Otros por energético e y año histórico ā (PJ)</t>
  </si>
  <si>
    <t>Consumo final del sector Comercial y servicios para Calentamiento de agua por energético e y año histórico ā (PJ)</t>
  </si>
  <si>
    <t>Consumo final del sector Comercial y servicios para Cocción de alimentos por energético e y año histórico ā (PJ)</t>
  </si>
  <si>
    <t>Consumo final del sector Residencial para Iluminación por energético e y año histórico ā (PJ)</t>
  </si>
  <si>
    <t>Consumo final del sector Residencial para Climatización por energético e y año histórico ā (PJ)</t>
  </si>
  <si>
    <t>Consumo final del sector Residencial para Refrigeración por energético e y año histórico ā (PJ)</t>
  </si>
  <si>
    <t>FO: Original file had double counting with "climatización", same values. Miscategorization error.</t>
  </si>
  <si>
    <t>Current rerigeration values similar, but total adds up.</t>
  </si>
  <si>
    <t>Consumo final del sector Residencial para Calentamiento de agua por energético e y año histórico ā (PJ)</t>
  </si>
  <si>
    <t>Consumo final del sector Residencial para Cocción de alimentos por energético e y año histórico ā (PJ)</t>
  </si>
  <si>
    <t>Consumo final del sector Residencial para Stand by por energético e y año histórico ā (PJ)</t>
  </si>
  <si>
    <t>Consumo final del sector Residencial para Lavadoras por energético e y año histórico ā (PJ)</t>
  </si>
  <si>
    <t>Consumo final del sector Residencial para Microondas por energético e y año histórico ā (PJ)</t>
  </si>
  <si>
    <t>Consumo final del sector Residencial para Televisión por energético e y año histórico ā (PJ)</t>
  </si>
  <si>
    <t>Consumo final del sector Residencial para Otros por energético e y año histórico ā (PJ)</t>
  </si>
  <si>
    <t>Taken to Refrigeration.</t>
  </si>
  <si>
    <t>Consumo final del sector Público para Alumbrado público por energético e y año histórico ā (PJ)</t>
  </si>
  <si>
    <t>Consumo final del sector Público para Bombeo de agua por energético e y año histórico ā (PJ)</t>
  </si>
  <si>
    <t>Población</t>
  </si>
  <si>
    <t>Viviendas</t>
  </si>
  <si>
    <t>Per/Viv</t>
  </si>
  <si>
    <t>Energético</t>
  </si>
  <si>
    <t>Usos finales</t>
  </si>
  <si>
    <t>Otros</t>
  </si>
  <si>
    <t>Stand by</t>
  </si>
  <si>
    <t>Lavadoras</t>
  </si>
  <si>
    <t>Microondas</t>
  </si>
  <si>
    <t>Televisión</t>
  </si>
  <si>
    <t>Refrigeración</t>
  </si>
  <si>
    <t>Usos finales y energético</t>
  </si>
  <si>
    <t>appliances</t>
  </si>
  <si>
    <t>Calentamiento de agua (sin radiación solar)</t>
  </si>
  <si>
    <t>Proyecciones</t>
  </si>
  <si>
    <t>Proyección por sector</t>
  </si>
  <si>
    <t>CF</t>
  </si>
  <si>
    <t>Proyección por energético</t>
  </si>
  <si>
    <t>Total</t>
  </si>
  <si>
    <t>Proyección por uso final</t>
  </si>
  <si>
    <t>Proyección por población</t>
  </si>
  <si>
    <t>Proyección por vivienda</t>
  </si>
  <si>
    <t xml:space="preserve">Proyección por sector </t>
  </si>
  <si>
    <t>Proyección por sector (13-19)</t>
  </si>
  <si>
    <t>Proyección por energético (13-23)</t>
  </si>
  <si>
    <t>Proyección por energético  (13-19)</t>
  </si>
  <si>
    <t>Proyección por uso final (13-23)</t>
  </si>
  <si>
    <t>Proyección por uso final (13-19)</t>
  </si>
  <si>
    <t>Proyección por población (Intensidad 13-23)</t>
  </si>
  <si>
    <t>Proyección por población (Intensidad 13-19)</t>
  </si>
  <si>
    <t>Proyección por vivienda (Intensidad 13-23)</t>
  </si>
  <si>
    <t>Proyección por vivienda (Intensidad 13-19)</t>
  </si>
  <si>
    <t>Usuario</t>
  </si>
  <si>
    <t>BCEU-urban-residential-heating</t>
  </si>
  <si>
    <t>coal</t>
  </si>
  <si>
    <t>petroleum diesel</t>
  </si>
  <si>
    <t>heat</t>
  </si>
  <si>
    <t>biomass</t>
  </si>
  <si>
    <t>kerosene</t>
  </si>
  <si>
    <t>heavy or residual fuel oil</t>
  </si>
  <si>
    <t>hydrogen</t>
  </si>
  <si>
    <t>BCEU-urban-residential-cooling</t>
  </si>
  <si>
    <t>BCEU-urban-residential-lighting</t>
  </si>
  <si>
    <t>BCEU-urban-residential-appl</t>
  </si>
  <si>
    <t>BCEU-urban-residential-other</t>
  </si>
  <si>
    <t>BCEU-all-envelope</t>
  </si>
  <si>
    <t>Base</t>
  </si>
  <si>
    <t>Sin clasificar</t>
  </si>
  <si>
    <t>Motores</t>
  </si>
  <si>
    <t>Misceláneos</t>
  </si>
  <si>
    <t>Proyección por población (P.Intensidad 13-23)</t>
  </si>
  <si>
    <t>BCEU-commercial-heating</t>
  </si>
  <si>
    <t>BCEU-commercial-cooling</t>
  </si>
  <si>
    <t>BCEU-commercial-lighting</t>
  </si>
  <si>
    <t>BCEU-commercial-appl</t>
  </si>
  <si>
    <t>BCEU-commercial-other</t>
  </si>
  <si>
    <t xml:space="preserve"> </t>
  </si>
  <si>
    <t>Proyecciones por sector</t>
  </si>
  <si>
    <t>TOTAL</t>
  </si>
  <si>
    <t>BCEU-rural-residential-heating</t>
  </si>
  <si>
    <t>BCEU-rural-residential-cooling</t>
  </si>
  <si>
    <t>BCEU-rural-residential-lighting</t>
  </si>
  <si>
    <t>BCEU-rural-residential-appl</t>
  </si>
  <si>
    <t>BCEU-rural-residential-other</t>
  </si>
  <si>
    <t>Year</t>
  </si>
  <si>
    <t>electricity (BTU)</t>
  </si>
  <si>
    <t>coal (BTU)</t>
  </si>
  <si>
    <t>natural gas (BTU)</t>
  </si>
  <si>
    <t>petroleum diesel (BTU)</t>
  </si>
  <si>
    <t>heat (BTU)</t>
  </si>
  <si>
    <t>biomass (BTU)</t>
  </si>
  <si>
    <t>kerosene (BTU)</t>
  </si>
  <si>
    <t>heavy or residual fuel oil (BTU)</t>
  </si>
  <si>
    <t>LPG propane or butane (BTU)</t>
  </si>
  <si>
    <t>hydrogen (BTU)</t>
  </si>
  <si>
    <t>heating</t>
  </si>
  <si>
    <t>cooling &amp; ventilation</t>
  </si>
  <si>
    <t>envelope</t>
  </si>
  <si>
    <t>lighting</t>
  </si>
  <si>
    <t>other</t>
  </si>
  <si>
    <t>KPG propane or butane (BTU)</t>
  </si>
  <si>
    <t>SYCEU Start Year Components Energy 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</si>
</sst>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&quot;$&quot;* #,##0.00_-;\-&quot;$&quot;* #,##0.00_-;_-&quot;$&quot;* &quot;-&quot;??_-;_-@_-"/>
    <numFmt numFmtId="165" formatCode="_-* #,##0.00_-;\-* #,##0.00_-;_-* &quot;-&quot;??_-;_-@_-"/>
    <numFmt numFmtId="166" formatCode="0.000"/>
    <numFmt numFmtId="167" formatCode="0.0000"/>
    <numFmt numFmtId="168" formatCode="#,##0.0000"/>
    <numFmt numFmtId="169" formatCode="0.00000"/>
  </numFmts>
  <fonts count="29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indexed="30"/>
      <name val="Calibri"/>
      <family val="2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8"/>
      <name val="Calibri"/>
      <family val="2"/>
      <scheme val="minor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6500"/>
      <name val="Calibri"/>
      <family val="2"/>
      <scheme val="minor"/>
    </font>
    <font>
      <sz val="10"/>
      <color rgb="FF00000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/>
      <bottom style="thin">
        <color theme="0" tint="-0.249977111117893"/>
      </bottom>
      <diagonal/>
    </border>
    <border>
      <left/>
      <right/>
      <top style="medium">
        <color theme="4"/>
      </top>
      <bottom/>
      <diagonal/>
    </border>
    <border>
      <left/>
      <right/>
      <top/>
      <bottom style="thick">
        <color rgb="FF0096D7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 style="medium">
        <color rgb="FF0096D7"/>
      </top>
      <bottom/>
      <diagonal/>
    </border>
    <border>
      <left style="thick">
        <color theme="0"/>
      </left>
      <right style="thick">
        <color theme="0"/>
      </right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7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Protection="0">
      <alignment wrapText="1"/>
    </xf>
    <xf numFmtId="0" fontId="5" fillId="0" borderId="0" applyNumberFormat="0" applyProtection="0">
      <alignment horizontal="left"/>
    </xf>
    <xf numFmtId="0" fontId="3" fillId="0" borderId="2" applyNumberFormat="0" applyFont="0" applyProtection="0">
      <alignment wrapText="1"/>
    </xf>
    <xf numFmtId="0" fontId="4" fillId="0" borderId="3" applyNumberFormat="0" applyProtection="0">
      <alignment wrapText="1"/>
    </xf>
    <xf numFmtId="0" fontId="3" fillId="0" borderId="4" applyNumberFormat="0" applyProtection="0">
      <alignment vertical="top" wrapText="1"/>
    </xf>
    <xf numFmtId="0" fontId="6" fillId="0" borderId="0" applyNumberFormat="0" applyFill="0" applyBorder="0" applyAlignment="0" applyProtection="0"/>
    <xf numFmtId="0" fontId="8" fillId="0" borderId="0"/>
    <xf numFmtId="0" fontId="8" fillId="0" borderId="8" applyNumberFormat="0" applyProtection="0">
      <alignment wrapText="1"/>
    </xf>
    <xf numFmtId="0" fontId="9" fillId="0" borderId="6" applyNumberFormat="0" applyProtection="0">
      <alignment wrapText="1"/>
    </xf>
    <xf numFmtId="0" fontId="8" fillId="0" borderId="7" applyNumberFormat="0" applyFont="0" applyProtection="0">
      <alignment wrapText="1"/>
    </xf>
    <xf numFmtId="0" fontId="9" fillId="0" borderId="5" applyNumberFormat="0" applyProtection="0">
      <alignment wrapText="1"/>
    </xf>
    <xf numFmtId="0" fontId="8" fillId="0" borderId="0" applyNumberFormat="0" applyFill="0" applyBorder="0" applyAlignment="0" applyProtection="0"/>
    <xf numFmtId="0" fontId="7" fillId="0" borderId="0" applyNumberFormat="0" applyProtection="0">
      <alignment horizontal="left"/>
    </xf>
    <xf numFmtId="0" fontId="4" fillId="0" borderId="9" applyNumberFormat="0" applyProtection="0">
      <alignment horizontal="left" wrapText="1"/>
    </xf>
    <xf numFmtId="0" fontId="1" fillId="0" borderId="0"/>
    <xf numFmtId="165" fontId="10" fillId="0" borderId="0" applyFon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1" applyNumberFormat="0" applyFill="0" applyAlignment="0" applyProtection="0"/>
    <xf numFmtId="0" fontId="15" fillId="0" borderId="21" applyNumberFormat="0" applyFill="0" applyAlignment="0" applyProtection="0"/>
    <xf numFmtId="0" fontId="16" fillId="0" borderId="22" applyNumberFormat="0" applyFill="0" applyAlignment="0" applyProtection="0"/>
    <xf numFmtId="0" fontId="16" fillId="0" borderId="0" applyNumberFormat="0" applyFill="0" applyBorder="0" applyAlignment="0" applyProtection="0"/>
    <xf numFmtId="0" fontId="17" fillId="3" borderId="0" applyNumberFormat="0" applyBorder="0" applyAlignment="0" applyProtection="0"/>
    <xf numFmtId="0" fontId="18" fillId="4" borderId="0" applyNumberFormat="0" applyBorder="0" applyAlignment="0" applyProtection="0"/>
    <xf numFmtId="0" fontId="19" fillId="6" borderId="23" applyNumberFormat="0" applyAlignment="0" applyProtection="0"/>
    <xf numFmtId="0" fontId="20" fillId="7" borderId="24" applyNumberFormat="0" applyAlignment="0" applyProtection="0"/>
    <xf numFmtId="0" fontId="21" fillId="7" borderId="23" applyNumberFormat="0" applyAlignment="0" applyProtection="0"/>
    <xf numFmtId="0" fontId="22" fillId="0" borderId="25" applyNumberFormat="0" applyFill="0" applyAlignment="0" applyProtection="0"/>
    <xf numFmtId="0" fontId="23" fillId="8" borderId="26" applyNumberFormat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" fillId="0" borderId="28" applyNumberFormat="0" applyFill="0" applyAlignment="0" applyProtection="0"/>
    <xf numFmtId="0" fontId="26" fillId="10" borderId="0" applyNumberFormat="0" applyBorder="0" applyAlignment="0" applyProtection="0"/>
    <xf numFmtId="0" fontId="10" fillId="11" borderId="0" applyNumberFormat="0" applyBorder="0" applyAlignment="0" applyProtection="0"/>
    <xf numFmtId="0" fontId="10" fillId="12" borderId="0" applyNumberFormat="0" applyBorder="0" applyAlignment="0" applyProtection="0"/>
    <xf numFmtId="0" fontId="26" fillId="14" borderId="0" applyNumberFormat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26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26" fillId="22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26" fillId="26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26" fillId="30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0" borderId="0"/>
    <xf numFmtId="9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9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10" fillId="9" borderId="27" applyNumberFormat="0" applyFont="0" applyAlignment="0" applyProtection="0"/>
    <xf numFmtId="0" fontId="27" fillId="5" borderId="0" applyNumberFormat="0" applyBorder="0" applyAlignment="0" applyProtection="0"/>
    <xf numFmtId="0" fontId="26" fillId="13" borderId="0" applyNumberFormat="0" applyBorder="0" applyAlignment="0" applyProtection="0"/>
    <xf numFmtId="0" fontId="26" fillId="17" borderId="0" applyNumberFormat="0" applyBorder="0" applyAlignment="0" applyProtection="0"/>
    <xf numFmtId="0" fontId="26" fillId="21" borderId="0" applyNumberFormat="0" applyBorder="0" applyAlignment="0" applyProtection="0"/>
    <xf numFmtId="0" fontId="26" fillId="25" borderId="0" applyNumberFormat="0" applyBorder="0" applyAlignment="0" applyProtection="0"/>
    <xf numFmtId="0" fontId="26" fillId="29" borderId="0" applyNumberFormat="0" applyBorder="0" applyAlignment="0" applyProtection="0"/>
    <xf numFmtId="0" fontId="26" fillId="33" borderId="0" applyNumberFormat="0" applyBorder="0" applyAlignment="0" applyProtection="0"/>
    <xf numFmtId="164" fontId="10" fillId="0" borderId="0" applyFont="0" applyFill="0" applyBorder="0" applyAlignment="0" applyProtection="0"/>
    <xf numFmtId="0" fontId="28" fillId="0" borderId="0"/>
  </cellStyleXfs>
  <cellXfs count="37">
    <xf numFmtId="0" fontId="0" fillId="0" borderId="0" xfId="0"/>
    <xf numFmtId="0" fontId="2" fillId="0" borderId="0" xfId="0" applyFont="1"/>
    <xf numFmtId="0" fontId="6" fillId="0" borderId="0" xfId="7"/>
    <xf numFmtId="4" fontId="0" fillId="0" borderId="0" xfId="0" applyNumberFormat="1"/>
    <xf numFmtId="2" fontId="0" fillId="0" borderId="0" xfId="0" applyNumberFormat="1"/>
    <xf numFmtId="0" fontId="11" fillId="0" borderId="0" xfId="0" applyFont="1"/>
    <xf numFmtId="10" fontId="0" fillId="0" borderId="0" xfId="0" applyNumberFormat="1"/>
    <xf numFmtId="0" fontId="0" fillId="2" borderId="0" xfId="0" applyFill="1"/>
    <xf numFmtId="167" fontId="10" fillId="0" borderId="0" xfId="0" applyNumberFormat="1" applyFont="1"/>
    <xf numFmtId="3" fontId="10" fillId="0" borderId="0" xfId="0" applyNumberFormat="1" applyFont="1"/>
    <xf numFmtId="0" fontId="10" fillId="0" borderId="0" xfId="0" applyFont="1"/>
    <xf numFmtId="3" fontId="0" fillId="0" borderId="0" xfId="0" applyNumberFormat="1"/>
    <xf numFmtId="166" fontId="10" fillId="0" borderId="0" xfId="0" applyNumberFormat="1" applyFont="1"/>
    <xf numFmtId="166" fontId="0" fillId="0" borderId="0" xfId="0" applyNumberFormat="1"/>
    <xf numFmtId="11" fontId="0" fillId="0" borderId="0" xfId="0" applyNumberFormat="1"/>
    <xf numFmtId="168" fontId="0" fillId="0" borderId="0" xfId="0" applyNumberFormat="1"/>
    <xf numFmtId="169" fontId="0" fillId="0" borderId="0" xfId="0" applyNumberFormat="1"/>
    <xf numFmtId="4" fontId="2" fillId="0" borderId="0" xfId="0" applyNumberFormat="1" applyFont="1"/>
    <xf numFmtId="0" fontId="0" fillId="2" borderId="0" xfId="0" quotePrefix="1" applyFill="1"/>
    <xf numFmtId="0" fontId="2" fillId="0" borderId="0" xfId="0" applyFont="1" applyAlignment="1">
      <alignment horizontal="right"/>
    </xf>
    <xf numFmtId="0" fontId="2" fillId="2" borderId="0" xfId="0" applyFont="1" applyFill="1" applyAlignment="1">
      <alignment horizontal="right"/>
    </xf>
    <xf numFmtId="0" fontId="0" fillId="0" borderId="13" xfId="0" applyBorder="1" applyAlignment="1">
      <alignment horizontal="left"/>
    </xf>
    <xf numFmtId="0" fontId="0" fillId="0" borderId="0" xfId="0" applyAlignment="1">
      <alignment horizontal="left"/>
    </xf>
    <xf numFmtId="0" fontId="0" fillId="0" borderId="14" xfId="0" applyBorder="1" applyAlignment="1">
      <alignment horizontal="left"/>
    </xf>
    <xf numFmtId="0" fontId="0" fillId="0" borderId="15" xfId="0" applyBorder="1" applyAlignment="1">
      <alignment horizontal="left"/>
    </xf>
    <xf numFmtId="0" fontId="0" fillId="0" borderId="16" xfId="0" applyBorder="1" applyAlignment="1">
      <alignment horizontal="left"/>
    </xf>
    <xf numFmtId="0" fontId="0" fillId="0" borderId="17" xfId="0" applyBorder="1" applyAlignment="1">
      <alignment horizontal="left"/>
    </xf>
    <xf numFmtId="0" fontId="2" fillId="0" borderId="18" xfId="0" applyFont="1" applyBorder="1" applyAlignment="1">
      <alignment horizontal="center"/>
    </xf>
    <xf numFmtId="0" fontId="2" fillId="0" borderId="19" xfId="0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0" fillId="0" borderId="0" xfId="0" applyAlignment="1">
      <alignment horizontal="left" wrapText="1"/>
    </xf>
    <xf numFmtId="0" fontId="0" fillId="0" borderId="10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2" xfId="0" applyBorder="1" applyAlignment="1">
      <alignment horizontal="left"/>
    </xf>
    <xf numFmtId="0" fontId="2" fillId="0" borderId="18" xfId="0" applyFont="1" applyBorder="1" applyAlignment="1">
      <alignment horizontal="center" wrapText="1"/>
    </xf>
    <xf numFmtId="0" fontId="2" fillId="0" borderId="19" xfId="0" applyFont="1" applyBorder="1" applyAlignment="1">
      <alignment horizontal="center" wrapText="1"/>
    </xf>
    <xf numFmtId="0" fontId="2" fillId="0" borderId="20" xfId="0" applyFont="1" applyBorder="1" applyAlignment="1">
      <alignment horizontal="center" wrapText="1"/>
    </xf>
  </cellXfs>
  <cellStyles count="67">
    <cellStyle name="20% - Accent1" xfId="34" builtinId="30" customBuiltin="1"/>
    <cellStyle name="20% - Accent2" xfId="37" builtinId="34" customBuiltin="1"/>
    <cellStyle name="20% - Accent3" xfId="40" builtinId="38" customBuiltin="1"/>
    <cellStyle name="20% - Accent4" xfId="43" builtinId="42" customBuiltin="1"/>
    <cellStyle name="20% - Accent5" xfId="46" builtinId="46" customBuiltin="1"/>
    <cellStyle name="20% - Accent6" xfId="49" builtinId="50" customBuiltin="1"/>
    <cellStyle name="40% - Accent1" xfId="35" builtinId="31" customBuiltin="1"/>
    <cellStyle name="40% - Accent2" xfId="38" builtinId="35" customBuiltin="1"/>
    <cellStyle name="40% - Accent3" xfId="41" builtinId="39" customBuiltin="1"/>
    <cellStyle name="40% - Accent4" xfId="44" builtinId="43" customBuiltin="1"/>
    <cellStyle name="40% - Accent5" xfId="47" builtinId="47" customBuiltin="1"/>
    <cellStyle name="40% - Accent6" xfId="50" builtinId="51" customBuiltin="1"/>
    <cellStyle name="60% - Accent1 2" xfId="59" xr:uid="{CC23736B-22D0-437C-8C60-F5D406EE5EE7}"/>
    <cellStyle name="60% - Accent2 2" xfId="60" xr:uid="{80506615-7E05-4C46-A5F7-D5B4F1D6D5EE}"/>
    <cellStyle name="60% - Accent3 2" xfId="61" xr:uid="{51FE36AC-099D-4D75-9E25-82ECE53FFAE9}"/>
    <cellStyle name="60% - Accent4 2" xfId="62" xr:uid="{962D73A5-9720-4B8F-94D9-6A1C661EF524}"/>
    <cellStyle name="60% - Accent5 2" xfId="63" xr:uid="{531826BE-0547-435A-AC52-434648772FBB}"/>
    <cellStyle name="60% - Accent6 2" xfId="64" xr:uid="{90C7C52B-AE5D-40D6-BA23-57C80365D2DF}"/>
    <cellStyle name="Accent1" xfId="33" builtinId="29" customBuiltin="1"/>
    <cellStyle name="Accent2" xfId="36" builtinId="33" customBuiltin="1"/>
    <cellStyle name="Accent3" xfId="39" builtinId="37" customBuiltin="1"/>
    <cellStyle name="Accent4" xfId="42" builtinId="41" customBuiltin="1"/>
    <cellStyle name="Accent5" xfId="45" builtinId="45" customBuiltin="1"/>
    <cellStyle name="Accent6" xfId="48" builtinId="49" customBuiltin="1"/>
    <cellStyle name="Bad" xfId="24" builtinId="27" customBuiltin="1"/>
    <cellStyle name="Body: normal cell" xfId="4" xr:uid="{00000000-0005-0000-0000-000000000000}"/>
    <cellStyle name="Body: normal cell 2" xfId="11" xr:uid="{00000000-0005-0000-0000-000001000000}"/>
    <cellStyle name="Calculation" xfId="27" builtinId="22" customBuiltin="1"/>
    <cellStyle name="Check Cell" xfId="29" builtinId="23" customBuiltin="1"/>
    <cellStyle name="Comma 2" xfId="17" xr:uid="{9276920C-6C78-7848-A429-435296DA391A}"/>
    <cellStyle name="Comma 2 2" xfId="53" xr:uid="{5D1E4FB1-5925-4D8E-8BD0-74D4F2D318FA}"/>
    <cellStyle name="Explanatory Text" xfId="31" builtinId="53" customBuiltin="1"/>
    <cellStyle name="Font: Calibri, 9pt regular" xfId="1" xr:uid="{00000000-0005-0000-0000-000002000000}"/>
    <cellStyle name="Font: Calibri, 9pt regular 2" xfId="13" xr:uid="{00000000-0005-0000-0000-000003000000}"/>
    <cellStyle name="Footnotes: top row" xfId="6" xr:uid="{00000000-0005-0000-0000-000004000000}"/>
    <cellStyle name="Footnotes: top row 2" xfId="9" xr:uid="{00000000-0005-0000-0000-000005000000}"/>
    <cellStyle name="Good" xfId="23" builtinId="26" customBuiltin="1"/>
    <cellStyle name="Header: bottom row" xfId="2" xr:uid="{00000000-0005-0000-0000-000006000000}"/>
    <cellStyle name="Header: bottom row 2" xfId="12" xr:uid="{00000000-0005-0000-0000-000007000000}"/>
    <cellStyle name="Header: top rows" xfId="15" xr:uid="{00000000-0005-0000-0000-000008000000}"/>
    <cellStyle name="Heading 1" xfId="19" builtinId="16" customBuiltin="1"/>
    <cellStyle name="Heading 2" xfId="20" builtinId="17" customBuiltin="1"/>
    <cellStyle name="Heading 3" xfId="21" builtinId="18" customBuiltin="1"/>
    <cellStyle name="Heading 4" xfId="22" builtinId="19" customBuiltin="1"/>
    <cellStyle name="Hyperlink" xfId="7" builtinId="8"/>
    <cellStyle name="Input" xfId="25" builtinId="20" customBuiltin="1"/>
    <cellStyle name="Linked Cell" xfId="28" builtinId="24" customBuiltin="1"/>
    <cellStyle name="Millares 2" xfId="56" xr:uid="{9A61B6A5-5591-4A46-950A-F24F5AF0CE7B}"/>
    <cellStyle name="Moneda 2" xfId="65" xr:uid="{4207E383-5BB9-4F0F-A783-2510E3C20B47}"/>
    <cellStyle name="Neutral 2" xfId="58" xr:uid="{052FE3F9-7597-4083-95AB-C5CA3DBF80CF}"/>
    <cellStyle name="Normal" xfId="0" builtinId="0"/>
    <cellStyle name="Normal 2" xfId="8" xr:uid="{00000000-0005-0000-0000-00000B000000}"/>
    <cellStyle name="Normal 3" xfId="51" xr:uid="{55862693-D4D5-45A8-A24E-77504AEE2FAF}"/>
    <cellStyle name="Normal 3 2" xfId="66" xr:uid="{EB275D62-F650-4E39-96B4-F02233D9788A}"/>
    <cellStyle name="Normal 4" xfId="16" xr:uid="{A94F50C6-C442-594B-A3DF-20E6BA2D9B5C}"/>
    <cellStyle name="Normal 4 2" xfId="54" xr:uid="{8B9299A0-1AAC-47BB-8B8A-5055CAC88EA3}"/>
    <cellStyle name="Notas 2" xfId="57" xr:uid="{518961BF-270C-474A-812D-6CFA5C0C84EE}"/>
    <cellStyle name="Output" xfId="26" builtinId="21" customBuiltin="1"/>
    <cellStyle name="Parent row" xfId="5" xr:uid="{00000000-0005-0000-0000-00000C000000}"/>
    <cellStyle name="Parent row 2" xfId="10" xr:uid="{00000000-0005-0000-0000-00000D000000}"/>
    <cellStyle name="Porcentaje 2" xfId="52" xr:uid="{70ECF879-C745-4D97-93BC-9FD3263DB914}"/>
    <cellStyle name="Porcentaje 3" xfId="55" xr:uid="{BCD006F9-318C-46D4-B76A-74C4C9B883F9}"/>
    <cellStyle name="Table title" xfId="3" xr:uid="{00000000-0005-0000-0000-00000F000000}"/>
    <cellStyle name="Table title 2" xfId="14" xr:uid="{00000000-0005-0000-0000-000010000000}"/>
    <cellStyle name="Title" xfId="18" builtinId="15" customBuiltin="1"/>
    <cellStyle name="Total" xfId="32" builtinId="25" customBuiltin="1"/>
    <cellStyle name="Warning Text" xfId="30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2.xml"/><Relationship Id="rId26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Comercial y servicios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P.Com!$C$142</c:f>
              <c:strCache>
                <c:ptCount val="1"/>
                <c:pt idx="0">
                  <c:v>Proyección por sector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P.Com!$D$141:$BI$141</c:f>
              <c:numCache>
                <c:formatCode>General</c:formatCode>
                <c:ptCount val="58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  <c:pt idx="13">
                  <c:v>2026</c:v>
                </c:pt>
                <c:pt idx="14">
                  <c:v>2027</c:v>
                </c:pt>
                <c:pt idx="15">
                  <c:v>2028</c:v>
                </c:pt>
                <c:pt idx="16">
                  <c:v>2029</c:v>
                </c:pt>
                <c:pt idx="17">
                  <c:v>2030</c:v>
                </c:pt>
                <c:pt idx="18">
                  <c:v>2031</c:v>
                </c:pt>
                <c:pt idx="19">
                  <c:v>2032</c:v>
                </c:pt>
                <c:pt idx="20">
                  <c:v>2033</c:v>
                </c:pt>
                <c:pt idx="21">
                  <c:v>2034</c:v>
                </c:pt>
                <c:pt idx="22">
                  <c:v>2035</c:v>
                </c:pt>
                <c:pt idx="23">
                  <c:v>2036</c:v>
                </c:pt>
                <c:pt idx="24">
                  <c:v>2037</c:v>
                </c:pt>
                <c:pt idx="25">
                  <c:v>2038</c:v>
                </c:pt>
                <c:pt idx="26">
                  <c:v>2039</c:v>
                </c:pt>
                <c:pt idx="27">
                  <c:v>2040</c:v>
                </c:pt>
                <c:pt idx="28">
                  <c:v>2041</c:v>
                </c:pt>
                <c:pt idx="29">
                  <c:v>2042</c:v>
                </c:pt>
                <c:pt idx="30">
                  <c:v>2043</c:v>
                </c:pt>
                <c:pt idx="31">
                  <c:v>2044</c:v>
                </c:pt>
                <c:pt idx="32">
                  <c:v>2045</c:v>
                </c:pt>
                <c:pt idx="33">
                  <c:v>2046</c:v>
                </c:pt>
                <c:pt idx="34">
                  <c:v>2047</c:v>
                </c:pt>
                <c:pt idx="35">
                  <c:v>2048</c:v>
                </c:pt>
                <c:pt idx="36">
                  <c:v>2049</c:v>
                </c:pt>
                <c:pt idx="37">
                  <c:v>2050</c:v>
                </c:pt>
                <c:pt idx="38">
                  <c:v>2051</c:v>
                </c:pt>
                <c:pt idx="39">
                  <c:v>2052</c:v>
                </c:pt>
                <c:pt idx="40">
                  <c:v>2053</c:v>
                </c:pt>
                <c:pt idx="41">
                  <c:v>2054</c:v>
                </c:pt>
                <c:pt idx="42">
                  <c:v>2055</c:v>
                </c:pt>
                <c:pt idx="43">
                  <c:v>2056</c:v>
                </c:pt>
                <c:pt idx="44">
                  <c:v>2057</c:v>
                </c:pt>
                <c:pt idx="45">
                  <c:v>2058</c:v>
                </c:pt>
                <c:pt idx="46">
                  <c:v>2059</c:v>
                </c:pt>
                <c:pt idx="47">
                  <c:v>2060</c:v>
                </c:pt>
                <c:pt idx="48">
                  <c:v>2061</c:v>
                </c:pt>
                <c:pt idx="49">
                  <c:v>2062</c:v>
                </c:pt>
                <c:pt idx="50">
                  <c:v>2063</c:v>
                </c:pt>
                <c:pt idx="51">
                  <c:v>2064</c:v>
                </c:pt>
                <c:pt idx="52">
                  <c:v>2065</c:v>
                </c:pt>
                <c:pt idx="53">
                  <c:v>2066</c:v>
                </c:pt>
                <c:pt idx="54">
                  <c:v>2067</c:v>
                </c:pt>
                <c:pt idx="55">
                  <c:v>2068</c:v>
                </c:pt>
                <c:pt idx="56">
                  <c:v>2069</c:v>
                </c:pt>
                <c:pt idx="57">
                  <c:v>2070</c:v>
                </c:pt>
              </c:numCache>
            </c:numRef>
          </c:cat>
          <c:val>
            <c:numRef>
              <c:f>P.Com!$D$142:$BI$142</c:f>
              <c:numCache>
                <c:formatCode>#,##0.00</c:formatCode>
                <c:ptCount val="58"/>
                <c:pt idx="0">
                  <c:v>163.95999999999998</c:v>
                </c:pt>
                <c:pt idx="1">
                  <c:v>167.03</c:v>
                </c:pt>
                <c:pt idx="2">
                  <c:v>169.87</c:v>
                </c:pt>
                <c:pt idx="3">
                  <c:v>171.42999999999998</c:v>
                </c:pt>
                <c:pt idx="4">
                  <c:v>169.47</c:v>
                </c:pt>
                <c:pt idx="5">
                  <c:v>165.70999999999998</c:v>
                </c:pt>
                <c:pt idx="6">
                  <c:v>165.41</c:v>
                </c:pt>
                <c:pt idx="7">
                  <c:v>176.76</c:v>
                </c:pt>
                <c:pt idx="8">
                  <c:v>170.83</c:v>
                </c:pt>
                <c:pt idx="9">
                  <c:v>181.46751098535287</c:v>
                </c:pt>
                <c:pt idx="10">
                  <c:v>177.46580925432758</c:v>
                </c:pt>
                <c:pt idx="11">
                  <c:v>178.97013014128339</c:v>
                </c:pt>
                <c:pt idx="12">
                  <c:v>180.48720267510819</c:v>
                </c:pt>
                <c:pt idx="13">
                  <c:v>182.01713494743277</c:v>
                </c:pt>
                <c:pt idx="14">
                  <c:v>183.56003596614605</c:v>
                </c:pt>
                <c:pt idx="15">
                  <c:v>185.11601566316196</c:v>
                </c:pt>
                <c:pt idx="16">
                  <c:v>186.68518490225213</c:v>
                </c:pt>
                <c:pt idx="17">
                  <c:v>188.26765548694488</c:v>
                </c:pt>
                <c:pt idx="18">
                  <c:v>189.86354016849126</c:v>
                </c:pt>
                <c:pt idx="19">
                  <c:v>191.4729526538986</c:v>
                </c:pt>
                <c:pt idx="20">
                  <c:v>193.0960076140322</c:v>
                </c:pt>
                <c:pt idx="21">
                  <c:v>194.73282069178555</c:v>
                </c:pt>
                <c:pt idx="22">
                  <c:v>196.38350851031998</c:v>
                </c:pt>
                <c:pt idx="23">
                  <c:v>198.04818868137403</c:v>
                </c:pt>
                <c:pt idx="24">
                  <c:v>199.72697981364331</c:v>
                </c:pt>
                <c:pt idx="25">
                  <c:v>201.4200015212314</c:v>
                </c:pt>
                <c:pt idx="26">
                  <c:v>203.12737443217239</c:v>
                </c:pt>
                <c:pt idx="27">
                  <c:v>204.8492201970256</c:v>
                </c:pt>
                <c:pt idx="28">
                  <c:v>206.58566149754321</c:v>
                </c:pt>
                <c:pt idx="29">
                  <c:v>208.3368220554114</c:v>
                </c:pt>
                <c:pt idx="30">
                  <c:v>210.10282664106546</c:v>
                </c:pt>
                <c:pt idx="31">
                  <c:v>211.88380108257977</c:v>
                </c:pt>
                <c:pt idx="32">
                  <c:v>213.67987227463303</c:v>
                </c:pt>
                <c:pt idx="33">
                  <c:v>215.4911681875495</c:v>
                </c:pt>
                <c:pt idx="34">
                  <c:v>217.31781787641702</c:v>
                </c:pt>
                <c:pt idx="35">
                  <c:v>219.15995149028203</c:v>
                </c:pt>
                <c:pt idx="36">
                  <c:v>221.01770028142283</c:v>
                </c:pt>
                <c:pt idx="37">
                  <c:v>222.89119661470133</c:v>
                </c:pt>
                <c:pt idx="38">
                  <c:v>224.78057397699396</c:v>
                </c:pt>
                <c:pt idx="39">
                  <c:v>226.68596698670274</c:v>
                </c:pt>
                <c:pt idx="40">
                  <c:v>228.60751140334679</c:v>
                </c:pt>
                <c:pt idx="41">
                  <c:v>230.54534413723525</c:v>
                </c:pt>
                <c:pt idx="42">
                  <c:v>232.49960325922214</c:v>
                </c:pt>
                <c:pt idx="43">
                  <c:v>234.47042801054397</c:v>
                </c:pt>
                <c:pt idx="44">
                  <c:v>236.4579588127406</c:v>
                </c:pt>
                <c:pt idx="45">
                  <c:v>238.46233727766042</c:v>
                </c:pt>
                <c:pt idx="46">
                  <c:v>240.48370621755012</c:v>
                </c:pt>
                <c:pt idx="47">
                  <c:v>242.52220965523009</c:v>
                </c:pt>
                <c:pt idx="48">
                  <c:v>244.57799283435614</c:v>
                </c:pt>
                <c:pt idx="49">
                  <c:v>246.65120222976805</c:v>
                </c:pt>
                <c:pt idx="50">
                  <c:v>248.74198555792597</c:v>
                </c:pt>
                <c:pt idx="51">
                  <c:v>250.8504917874352</c:v>
                </c:pt>
                <c:pt idx="52">
                  <c:v>252.9768711496603</c:v>
                </c:pt>
                <c:pt idx="53">
                  <c:v>255.12127514942895</c:v>
                </c:pt>
                <c:pt idx="54">
                  <c:v>257.28385657582686</c:v>
                </c:pt>
                <c:pt idx="55">
                  <c:v>259.46476951308392</c:v>
                </c:pt>
                <c:pt idx="56">
                  <c:v>261.66416935155274</c:v>
                </c:pt>
                <c:pt idx="57">
                  <c:v>263.88221279878024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120-49F0-B732-E3C55DD1DAB3}"/>
            </c:ext>
          </c:extLst>
        </c:ser>
        <c:ser>
          <c:idx val="1"/>
          <c:order val="1"/>
          <c:tx>
            <c:strRef>
              <c:f>P.Com!$C$143</c:f>
              <c:strCache>
                <c:ptCount val="1"/>
                <c:pt idx="0">
                  <c:v>Proyección por sector (13-19)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P.Com!$D$141:$BI$141</c:f>
              <c:numCache>
                <c:formatCode>General</c:formatCode>
                <c:ptCount val="58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  <c:pt idx="13">
                  <c:v>2026</c:v>
                </c:pt>
                <c:pt idx="14">
                  <c:v>2027</c:v>
                </c:pt>
                <c:pt idx="15">
                  <c:v>2028</c:v>
                </c:pt>
                <c:pt idx="16">
                  <c:v>2029</c:v>
                </c:pt>
                <c:pt idx="17">
                  <c:v>2030</c:v>
                </c:pt>
                <c:pt idx="18">
                  <c:v>2031</c:v>
                </c:pt>
                <c:pt idx="19">
                  <c:v>2032</c:v>
                </c:pt>
                <c:pt idx="20">
                  <c:v>2033</c:v>
                </c:pt>
                <c:pt idx="21">
                  <c:v>2034</c:v>
                </c:pt>
                <c:pt idx="22">
                  <c:v>2035</c:v>
                </c:pt>
                <c:pt idx="23">
                  <c:v>2036</c:v>
                </c:pt>
                <c:pt idx="24">
                  <c:v>2037</c:v>
                </c:pt>
                <c:pt idx="25">
                  <c:v>2038</c:v>
                </c:pt>
                <c:pt idx="26">
                  <c:v>2039</c:v>
                </c:pt>
                <c:pt idx="27">
                  <c:v>2040</c:v>
                </c:pt>
                <c:pt idx="28">
                  <c:v>2041</c:v>
                </c:pt>
                <c:pt idx="29">
                  <c:v>2042</c:v>
                </c:pt>
                <c:pt idx="30">
                  <c:v>2043</c:v>
                </c:pt>
                <c:pt idx="31">
                  <c:v>2044</c:v>
                </c:pt>
                <c:pt idx="32">
                  <c:v>2045</c:v>
                </c:pt>
                <c:pt idx="33">
                  <c:v>2046</c:v>
                </c:pt>
                <c:pt idx="34">
                  <c:v>2047</c:v>
                </c:pt>
                <c:pt idx="35">
                  <c:v>2048</c:v>
                </c:pt>
                <c:pt idx="36">
                  <c:v>2049</c:v>
                </c:pt>
                <c:pt idx="37">
                  <c:v>2050</c:v>
                </c:pt>
                <c:pt idx="38">
                  <c:v>2051</c:v>
                </c:pt>
                <c:pt idx="39">
                  <c:v>2052</c:v>
                </c:pt>
                <c:pt idx="40">
                  <c:v>2053</c:v>
                </c:pt>
                <c:pt idx="41">
                  <c:v>2054</c:v>
                </c:pt>
                <c:pt idx="42">
                  <c:v>2055</c:v>
                </c:pt>
                <c:pt idx="43">
                  <c:v>2056</c:v>
                </c:pt>
                <c:pt idx="44">
                  <c:v>2057</c:v>
                </c:pt>
                <c:pt idx="45">
                  <c:v>2058</c:v>
                </c:pt>
                <c:pt idx="46">
                  <c:v>2059</c:v>
                </c:pt>
                <c:pt idx="47">
                  <c:v>2060</c:v>
                </c:pt>
                <c:pt idx="48">
                  <c:v>2061</c:v>
                </c:pt>
                <c:pt idx="49">
                  <c:v>2062</c:v>
                </c:pt>
                <c:pt idx="50">
                  <c:v>2063</c:v>
                </c:pt>
                <c:pt idx="51">
                  <c:v>2064</c:v>
                </c:pt>
                <c:pt idx="52">
                  <c:v>2065</c:v>
                </c:pt>
                <c:pt idx="53">
                  <c:v>2066</c:v>
                </c:pt>
                <c:pt idx="54">
                  <c:v>2067</c:v>
                </c:pt>
                <c:pt idx="55">
                  <c:v>2068</c:v>
                </c:pt>
                <c:pt idx="56">
                  <c:v>2069</c:v>
                </c:pt>
                <c:pt idx="57">
                  <c:v>2070</c:v>
                </c:pt>
              </c:numCache>
            </c:numRef>
          </c:cat>
          <c:val>
            <c:numRef>
              <c:f>P.Com!$D$143:$BI$143</c:f>
              <c:numCache>
                <c:formatCode>#,##0.00</c:formatCode>
                <c:ptCount val="58"/>
                <c:pt idx="0">
                  <c:v>163.95999999999998</c:v>
                </c:pt>
                <c:pt idx="1">
                  <c:v>167.03</c:v>
                </c:pt>
                <c:pt idx="2">
                  <c:v>169.87</c:v>
                </c:pt>
                <c:pt idx="3">
                  <c:v>171.42999999999998</c:v>
                </c:pt>
                <c:pt idx="4">
                  <c:v>169.47</c:v>
                </c:pt>
                <c:pt idx="5">
                  <c:v>165.70999999999998</c:v>
                </c:pt>
                <c:pt idx="6">
                  <c:v>165.41</c:v>
                </c:pt>
                <c:pt idx="7">
                  <c:v>176.76</c:v>
                </c:pt>
                <c:pt idx="8">
                  <c:v>170.83</c:v>
                </c:pt>
                <c:pt idx="9">
                  <c:v>181.46751098535287</c:v>
                </c:pt>
                <c:pt idx="10">
                  <c:v>177.46580925432758</c:v>
                </c:pt>
                <c:pt idx="11">
                  <c:v>177.74620696258154</c:v>
                </c:pt>
                <c:pt idx="12">
                  <c:v>178.02704770194737</c:v>
                </c:pt>
                <c:pt idx="13">
                  <c:v>178.30833217241855</c:v>
                </c:pt>
                <c:pt idx="14">
                  <c:v>178.59006107509455</c:v>
                </c:pt>
                <c:pt idx="15">
                  <c:v>178.87223511218261</c:v>
                </c:pt>
                <c:pt idx="16">
                  <c:v>179.1548549869994</c:v>
                </c:pt>
                <c:pt idx="17">
                  <c:v>179.43792140397289</c:v>
                </c:pt>
                <c:pt idx="18">
                  <c:v>179.72143506864407</c:v>
                </c:pt>
                <c:pt idx="19">
                  <c:v>180.00539668766862</c:v>
                </c:pt>
                <c:pt idx="20">
                  <c:v>180.28980696881879</c:v>
                </c:pt>
                <c:pt idx="21">
                  <c:v>180.57466662098514</c:v>
                </c:pt>
                <c:pt idx="22">
                  <c:v>180.85997635417823</c:v>
                </c:pt>
                <c:pt idx="23">
                  <c:v>181.14573687953046</c:v>
                </c:pt>
                <c:pt idx="24">
                  <c:v>181.43194890929786</c:v>
                </c:pt>
                <c:pt idx="25">
                  <c:v>181.71861315686181</c:v>
                </c:pt>
                <c:pt idx="26">
                  <c:v>182.00573033673081</c:v>
                </c:pt>
                <c:pt idx="27">
                  <c:v>182.29330116454233</c:v>
                </c:pt>
                <c:pt idx="28">
                  <c:v>182.58132635706454</c:v>
                </c:pt>
                <c:pt idx="29">
                  <c:v>182.86980663219811</c:v>
                </c:pt>
                <c:pt idx="30">
                  <c:v>183.158742708978</c:v>
                </c:pt>
                <c:pt idx="31">
                  <c:v>183.44813530757526</c:v>
                </c:pt>
                <c:pt idx="32">
                  <c:v>183.73798514929879</c:v>
                </c:pt>
                <c:pt idx="33">
                  <c:v>184.02829295659723</c:v>
                </c:pt>
                <c:pt idx="34">
                  <c:v>184.31905945306059</c:v>
                </c:pt>
                <c:pt idx="35">
                  <c:v>184.61028536342226</c:v>
                </c:pt>
                <c:pt idx="36">
                  <c:v>184.90197141356069</c:v>
                </c:pt>
                <c:pt idx="37">
                  <c:v>185.19411833050117</c:v>
                </c:pt>
                <c:pt idx="38">
                  <c:v>185.48672684241777</c:v>
                </c:pt>
                <c:pt idx="39">
                  <c:v>185.77979767863505</c:v>
                </c:pt>
                <c:pt idx="40">
                  <c:v>186.07333156962991</c:v>
                </c:pt>
                <c:pt idx="41">
                  <c:v>186.36732924703341</c:v>
                </c:pt>
                <c:pt idx="42">
                  <c:v>186.66179144363258</c:v>
                </c:pt>
                <c:pt idx="43">
                  <c:v>186.95671889337228</c:v>
                </c:pt>
                <c:pt idx="44">
                  <c:v>187.25211233135704</c:v>
                </c:pt>
                <c:pt idx="45">
                  <c:v>187.5479724938528</c:v>
                </c:pt>
                <c:pt idx="46">
                  <c:v>187.84430011828883</c:v>
                </c:pt>
                <c:pt idx="47">
                  <c:v>188.14109594325956</c:v>
                </c:pt>
                <c:pt idx="48">
                  <c:v>188.4383607085264</c:v>
                </c:pt>
                <c:pt idx="49">
                  <c:v>188.7360951550196</c:v>
                </c:pt>
                <c:pt idx="50">
                  <c:v>189.03430002484006</c:v>
                </c:pt>
                <c:pt idx="51">
                  <c:v>189.33297606126123</c:v>
                </c:pt>
                <c:pt idx="52">
                  <c:v>189.63212400873093</c:v>
                </c:pt>
                <c:pt idx="53">
                  <c:v>189.93174461287319</c:v>
                </c:pt>
                <c:pt idx="54">
                  <c:v>190.23183862049018</c:v>
                </c:pt>
                <c:pt idx="55">
                  <c:v>190.53240677956401</c:v>
                </c:pt>
                <c:pt idx="56">
                  <c:v>190.83344983925861</c:v>
                </c:pt>
                <c:pt idx="57">
                  <c:v>191.13496854992158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120-49F0-B732-E3C55DD1DAB3}"/>
            </c:ext>
          </c:extLst>
        </c:ser>
        <c:ser>
          <c:idx val="2"/>
          <c:order val="2"/>
          <c:tx>
            <c:strRef>
              <c:f>P.Com!$C$144</c:f>
              <c:strCache>
                <c:ptCount val="1"/>
                <c:pt idx="0">
                  <c:v>Proyección por energético (13-23)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P.Com!$D$141:$BI$141</c:f>
              <c:numCache>
                <c:formatCode>General</c:formatCode>
                <c:ptCount val="58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  <c:pt idx="13">
                  <c:v>2026</c:v>
                </c:pt>
                <c:pt idx="14">
                  <c:v>2027</c:v>
                </c:pt>
                <c:pt idx="15">
                  <c:v>2028</c:v>
                </c:pt>
                <c:pt idx="16">
                  <c:v>2029</c:v>
                </c:pt>
                <c:pt idx="17">
                  <c:v>2030</c:v>
                </c:pt>
                <c:pt idx="18">
                  <c:v>2031</c:v>
                </c:pt>
                <c:pt idx="19">
                  <c:v>2032</c:v>
                </c:pt>
                <c:pt idx="20">
                  <c:v>2033</c:v>
                </c:pt>
                <c:pt idx="21">
                  <c:v>2034</c:v>
                </c:pt>
                <c:pt idx="22">
                  <c:v>2035</c:v>
                </c:pt>
                <c:pt idx="23">
                  <c:v>2036</c:v>
                </c:pt>
                <c:pt idx="24">
                  <c:v>2037</c:v>
                </c:pt>
                <c:pt idx="25">
                  <c:v>2038</c:v>
                </c:pt>
                <c:pt idx="26">
                  <c:v>2039</c:v>
                </c:pt>
                <c:pt idx="27">
                  <c:v>2040</c:v>
                </c:pt>
                <c:pt idx="28">
                  <c:v>2041</c:v>
                </c:pt>
                <c:pt idx="29">
                  <c:v>2042</c:v>
                </c:pt>
                <c:pt idx="30">
                  <c:v>2043</c:v>
                </c:pt>
                <c:pt idx="31">
                  <c:v>2044</c:v>
                </c:pt>
                <c:pt idx="32">
                  <c:v>2045</c:v>
                </c:pt>
                <c:pt idx="33">
                  <c:v>2046</c:v>
                </c:pt>
                <c:pt idx="34">
                  <c:v>2047</c:v>
                </c:pt>
                <c:pt idx="35">
                  <c:v>2048</c:v>
                </c:pt>
                <c:pt idx="36">
                  <c:v>2049</c:v>
                </c:pt>
                <c:pt idx="37">
                  <c:v>2050</c:v>
                </c:pt>
                <c:pt idx="38">
                  <c:v>2051</c:v>
                </c:pt>
                <c:pt idx="39">
                  <c:v>2052</c:v>
                </c:pt>
                <c:pt idx="40">
                  <c:v>2053</c:v>
                </c:pt>
                <c:pt idx="41">
                  <c:v>2054</c:v>
                </c:pt>
                <c:pt idx="42">
                  <c:v>2055</c:v>
                </c:pt>
                <c:pt idx="43">
                  <c:v>2056</c:v>
                </c:pt>
                <c:pt idx="44">
                  <c:v>2057</c:v>
                </c:pt>
                <c:pt idx="45">
                  <c:v>2058</c:v>
                </c:pt>
                <c:pt idx="46">
                  <c:v>2059</c:v>
                </c:pt>
                <c:pt idx="47">
                  <c:v>2060</c:v>
                </c:pt>
                <c:pt idx="48">
                  <c:v>2061</c:v>
                </c:pt>
                <c:pt idx="49">
                  <c:v>2062</c:v>
                </c:pt>
                <c:pt idx="50">
                  <c:v>2063</c:v>
                </c:pt>
                <c:pt idx="51">
                  <c:v>2064</c:v>
                </c:pt>
                <c:pt idx="52">
                  <c:v>2065</c:v>
                </c:pt>
                <c:pt idx="53">
                  <c:v>2066</c:v>
                </c:pt>
                <c:pt idx="54">
                  <c:v>2067</c:v>
                </c:pt>
                <c:pt idx="55">
                  <c:v>2068</c:v>
                </c:pt>
                <c:pt idx="56">
                  <c:v>2069</c:v>
                </c:pt>
                <c:pt idx="57">
                  <c:v>2070</c:v>
                </c:pt>
              </c:numCache>
            </c:numRef>
          </c:cat>
          <c:val>
            <c:numRef>
              <c:f>P.Com!$D$144:$BI$144</c:f>
              <c:numCache>
                <c:formatCode>#,##0.00</c:formatCode>
                <c:ptCount val="58"/>
                <c:pt idx="0">
                  <c:v>163.95999999999998</c:v>
                </c:pt>
                <c:pt idx="1">
                  <c:v>167.03</c:v>
                </c:pt>
                <c:pt idx="2">
                  <c:v>169.87</c:v>
                </c:pt>
                <c:pt idx="3">
                  <c:v>171.42999999999998</c:v>
                </c:pt>
                <c:pt idx="4">
                  <c:v>169.47</c:v>
                </c:pt>
                <c:pt idx="5">
                  <c:v>165.70999999999998</c:v>
                </c:pt>
                <c:pt idx="6">
                  <c:v>165.41</c:v>
                </c:pt>
                <c:pt idx="7">
                  <c:v>176.76</c:v>
                </c:pt>
                <c:pt idx="8">
                  <c:v>170.83</c:v>
                </c:pt>
                <c:pt idx="9">
                  <c:v>181.46751098535287</c:v>
                </c:pt>
                <c:pt idx="10">
                  <c:v>177.46580925432758</c:v>
                </c:pt>
                <c:pt idx="11">
                  <c:v>171.00152915460748</c:v>
                </c:pt>
                <c:pt idx="12">
                  <c:v>173.06870589736073</c:v>
                </c:pt>
                <c:pt idx="13">
                  <c:v>175.19881923617106</c:v>
                </c:pt>
                <c:pt idx="14">
                  <c:v>177.39338657520665</c:v>
                </c:pt>
                <c:pt idx="15">
                  <c:v>179.65396391901493</c:v>
                </c:pt>
                <c:pt idx="16">
                  <c:v>181.98214684636591</c:v>
                </c:pt>
                <c:pt idx="17">
                  <c:v>184.37957150875297</c:v>
                </c:pt>
                <c:pt idx="18">
                  <c:v>186.8479156541751</c:v>
                </c:pt>
                <c:pt idx="19">
                  <c:v>189.38889967684142</c:v>
                </c:pt>
                <c:pt idx="20">
                  <c:v>192.00428769345424</c:v>
                </c:pt>
                <c:pt idx="21">
                  <c:v>194.69588864674395</c:v>
                </c:pt>
                <c:pt idx="22">
                  <c:v>197.4655574369458</c:v>
                </c:pt>
                <c:pt idx="23">
                  <c:v>200.31519608192622</c:v>
                </c:pt>
                <c:pt idx="24">
                  <c:v>203.2467549066848</c:v>
                </c:pt>
                <c:pt idx="25">
                  <c:v>206.26223376297554</c:v>
                </c:pt>
                <c:pt idx="26">
                  <c:v>209.36368327980992</c:v>
                </c:pt>
                <c:pt idx="27">
                  <c:v>212.5532061456253</c:v>
                </c:pt>
                <c:pt idx="28">
                  <c:v>215.83295842291867</c:v>
                </c:pt>
                <c:pt idx="29">
                  <c:v>219.20515089617072</c:v>
                </c:pt>
                <c:pt idx="30">
                  <c:v>222.67205045390051</c:v>
                </c:pt>
                <c:pt idx="31">
                  <c:v>226.23598150571803</c:v>
                </c:pt>
                <c:pt idx="32">
                  <c:v>229.89932743525907</c:v>
                </c:pt>
                <c:pt idx="33">
                  <c:v>233.66453208991302</c:v>
                </c:pt>
                <c:pt idx="34">
                  <c:v>237.53410130827376</c:v>
                </c:pt>
                <c:pt idx="35">
                  <c:v>241.51060448627155</c:v>
                </c:pt>
                <c:pt idx="36">
                  <c:v>245.59667618296336</c:v>
                </c:pt>
                <c:pt idx="37">
                  <c:v>249.79501776698805</c:v>
                </c:pt>
                <c:pt idx="38">
                  <c:v>254.1083991047158</c:v>
                </c:pt>
                <c:pt idx="39">
                  <c:v>258.53966029114821</c:v>
                </c:pt>
                <c:pt idx="40">
                  <c:v>263.0917134246514</c:v>
                </c:pt>
                <c:pt idx="41">
                  <c:v>267.76754442663446</c:v>
                </c:pt>
                <c:pt idx="42">
                  <c:v>272.57021490730926</c:v>
                </c:pt>
                <c:pt idx="43">
                  <c:v>277.50286407870107</c:v>
                </c:pt>
                <c:pt idx="44">
                  <c:v>282.5687107161059</c:v>
                </c:pt>
                <c:pt idx="45">
                  <c:v>287.7710551692233</c:v>
                </c:pt>
                <c:pt idx="46">
                  <c:v>293.11328142422093</c:v>
                </c:pt>
                <c:pt idx="47">
                  <c:v>298.59885921802356</c:v>
                </c:pt>
                <c:pt idx="48">
                  <c:v>304.23134620614769</c:v>
                </c:pt>
                <c:pt idx="49">
                  <c:v>310.01439018544067</c:v>
                </c:pt>
                <c:pt idx="50">
                  <c:v>315.95173137311315</c:v>
                </c:pt>
                <c:pt idx="51">
                  <c:v>322.04720474349074</c:v>
                </c:pt>
                <c:pt idx="52">
                  <c:v>328.30474242395167</c:v>
                </c:pt>
                <c:pt idx="53">
                  <c:v>334.7283761515439</c:v>
                </c:pt>
                <c:pt idx="54">
                  <c:v>341.32223979182311</c:v>
                </c:pt>
                <c:pt idx="55">
                  <c:v>348.09057192148794</c:v>
                </c:pt>
                <c:pt idx="56">
                  <c:v>355.03771847642588</c:v>
                </c:pt>
                <c:pt idx="57">
                  <c:v>362.16813546683238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120-49F0-B732-E3C55DD1DAB3}"/>
            </c:ext>
          </c:extLst>
        </c:ser>
        <c:ser>
          <c:idx val="3"/>
          <c:order val="3"/>
          <c:tx>
            <c:strRef>
              <c:f>P.Com!$C$145</c:f>
              <c:strCache>
                <c:ptCount val="1"/>
                <c:pt idx="0">
                  <c:v>Proyección por energético  (13-19)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P.Com!$D$141:$BI$141</c:f>
              <c:numCache>
                <c:formatCode>General</c:formatCode>
                <c:ptCount val="58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  <c:pt idx="13">
                  <c:v>2026</c:v>
                </c:pt>
                <c:pt idx="14">
                  <c:v>2027</c:v>
                </c:pt>
                <c:pt idx="15">
                  <c:v>2028</c:v>
                </c:pt>
                <c:pt idx="16">
                  <c:v>2029</c:v>
                </c:pt>
                <c:pt idx="17">
                  <c:v>2030</c:v>
                </c:pt>
                <c:pt idx="18">
                  <c:v>2031</c:v>
                </c:pt>
                <c:pt idx="19">
                  <c:v>2032</c:v>
                </c:pt>
                <c:pt idx="20">
                  <c:v>2033</c:v>
                </c:pt>
                <c:pt idx="21">
                  <c:v>2034</c:v>
                </c:pt>
                <c:pt idx="22">
                  <c:v>2035</c:v>
                </c:pt>
                <c:pt idx="23">
                  <c:v>2036</c:v>
                </c:pt>
                <c:pt idx="24">
                  <c:v>2037</c:v>
                </c:pt>
                <c:pt idx="25">
                  <c:v>2038</c:v>
                </c:pt>
                <c:pt idx="26">
                  <c:v>2039</c:v>
                </c:pt>
                <c:pt idx="27">
                  <c:v>2040</c:v>
                </c:pt>
                <c:pt idx="28">
                  <c:v>2041</c:v>
                </c:pt>
                <c:pt idx="29">
                  <c:v>2042</c:v>
                </c:pt>
                <c:pt idx="30">
                  <c:v>2043</c:v>
                </c:pt>
                <c:pt idx="31">
                  <c:v>2044</c:v>
                </c:pt>
                <c:pt idx="32">
                  <c:v>2045</c:v>
                </c:pt>
                <c:pt idx="33">
                  <c:v>2046</c:v>
                </c:pt>
                <c:pt idx="34">
                  <c:v>2047</c:v>
                </c:pt>
                <c:pt idx="35">
                  <c:v>2048</c:v>
                </c:pt>
                <c:pt idx="36">
                  <c:v>2049</c:v>
                </c:pt>
                <c:pt idx="37">
                  <c:v>2050</c:v>
                </c:pt>
                <c:pt idx="38">
                  <c:v>2051</c:v>
                </c:pt>
                <c:pt idx="39">
                  <c:v>2052</c:v>
                </c:pt>
                <c:pt idx="40">
                  <c:v>2053</c:v>
                </c:pt>
                <c:pt idx="41">
                  <c:v>2054</c:v>
                </c:pt>
                <c:pt idx="42">
                  <c:v>2055</c:v>
                </c:pt>
                <c:pt idx="43">
                  <c:v>2056</c:v>
                </c:pt>
                <c:pt idx="44">
                  <c:v>2057</c:v>
                </c:pt>
                <c:pt idx="45">
                  <c:v>2058</c:v>
                </c:pt>
                <c:pt idx="46">
                  <c:v>2059</c:v>
                </c:pt>
                <c:pt idx="47">
                  <c:v>2060</c:v>
                </c:pt>
                <c:pt idx="48">
                  <c:v>2061</c:v>
                </c:pt>
                <c:pt idx="49">
                  <c:v>2062</c:v>
                </c:pt>
                <c:pt idx="50">
                  <c:v>2063</c:v>
                </c:pt>
                <c:pt idx="51">
                  <c:v>2064</c:v>
                </c:pt>
                <c:pt idx="52">
                  <c:v>2065</c:v>
                </c:pt>
                <c:pt idx="53">
                  <c:v>2066</c:v>
                </c:pt>
                <c:pt idx="54">
                  <c:v>2067</c:v>
                </c:pt>
                <c:pt idx="55">
                  <c:v>2068</c:v>
                </c:pt>
                <c:pt idx="56">
                  <c:v>2069</c:v>
                </c:pt>
                <c:pt idx="57">
                  <c:v>2070</c:v>
                </c:pt>
              </c:numCache>
            </c:numRef>
          </c:cat>
          <c:val>
            <c:numRef>
              <c:f>P.Com!$D$145:$BI$145</c:f>
              <c:numCache>
                <c:formatCode>#,##0.00</c:formatCode>
                <c:ptCount val="58"/>
                <c:pt idx="0">
                  <c:v>163.95999999999998</c:v>
                </c:pt>
                <c:pt idx="1">
                  <c:v>167.03</c:v>
                </c:pt>
                <c:pt idx="2">
                  <c:v>169.87</c:v>
                </c:pt>
                <c:pt idx="3">
                  <c:v>171.42999999999998</c:v>
                </c:pt>
                <c:pt idx="4">
                  <c:v>169.47</c:v>
                </c:pt>
                <c:pt idx="5">
                  <c:v>165.70999999999998</c:v>
                </c:pt>
                <c:pt idx="6">
                  <c:v>165.41</c:v>
                </c:pt>
                <c:pt idx="7">
                  <c:v>176.76</c:v>
                </c:pt>
                <c:pt idx="8">
                  <c:v>170.83</c:v>
                </c:pt>
                <c:pt idx="9">
                  <c:v>181.46751098535287</c:v>
                </c:pt>
                <c:pt idx="10">
                  <c:v>177.46580925432758</c:v>
                </c:pt>
                <c:pt idx="11">
                  <c:v>170.00084179439344</c:v>
                </c:pt>
                <c:pt idx="12">
                  <c:v>171.03676886940667</c:v>
                </c:pt>
                <c:pt idx="13">
                  <c:v>172.10403771256324</c:v>
                </c:pt>
                <c:pt idx="14">
                  <c:v>173.20310441938005</c:v>
                </c:pt>
                <c:pt idx="15">
                  <c:v>174.33443410105451</c:v>
                </c:pt>
                <c:pt idx="16">
                  <c:v>175.49850104064672</c:v>
                </c:pt>
                <c:pt idx="17">
                  <c:v>176.69578885213571</c:v>
                </c:pt>
                <c:pt idx="18">
                  <c:v>177.92679064240022</c:v>
                </c:pt>
                <c:pt idx="19">
                  <c:v>179.19200917617786</c:v>
                </c:pt>
                <c:pt idx="20">
                  <c:v>180.49195704405506</c:v>
                </c:pt>
                <c:pt idx="21">
                  <c:v>181.82715683354283</c:v>
                </c:pt>
                <c:pt idx="22">
                  <c:v>183.19814130329368</c:v>
                </c:pt>
                <c:pt idx="23">
                  <c:v>184.6054535605158</c:v>
                </c:pt>
                <c:pt idx="24">
                  <c:v>186.0496472416425</c:v>
                </c:pt>
                <c:pt idx="25">
                  <c:v>187.53128669631536</c:v>
                </c:pt>
                <c:pt idx="26">
                  <c:v>189.05094717473969</c:v>
                </c:pt>
                <c:pt idx="27">
                  <c:v>190.60921501847491</c:v>
                </c:pt>
                <c:pt idx="28">
                  <c:v>192.20668785471941</c:v>
                </c:pt>
                <c:pt idx="29">
                  <c:v>193.84397479415432</c:v>
                </c:pt>
                <c:pt idx="30">
                  <c:v>195.52169663240983</c:v>
                </c:pt>
                <c:pt idx="31">
                  <c:v>197.2404860552187</c:v>
                </c:pt>
                <c:pt idx="32">
                  <c:v>199.00098784732432</c:v>
                </c:pt>
                <c:pt idx="33">
                  <c:v>200.80385910520965</c:v>
                </c:pt>
                <c:pt idx="34">
                  <c:v>202.64976945371717</c:v>
                </c:pt>
                <c:pt idx="35">
                  <c:v>204.539401266629</c:v>
                </c:pt>
                <c:pt idx="36">
                  <c:v>206.47344989127868</c:v>
                </c:pt>
                <c:pt idx="37">
                  <c:v>208.45262387726746</c:v>
                </c:pt>
                <c:pt idx="38">
                  <c:v>210.47764520935891</c:v>
                </c:pt>
                <c:pt idx="39">
                  <c:v>212.54924954462717</c:v>
                </c:pt>
                <c:pt idx="40">
                  <c:v>214.66818645393482</c:v>
                </c:pt>
                <c:pt idx="41">
                  <c:v>216.83521966782038</c:v>
                </c:pt>
                <c:pt idx="42">
                  <c:v>219.05112732687195</c:v>
                </c:pt>
                <c:pt idx="43">
                  <c:v>221.31670223667058</c:v>
                </c:pt>
                <c:pt idx="44">
                  <c:v>223.63275212738415</c:v>
                </c:pt>
                <c:pt idx="45">
                  <c:v>226.0000999180962</c:v>
                </c:pt>
                <c:pt idx="46">
                  <c:v>228.419583985955</c:v>
                </c:pt>
                <c:pt idx="47">
                  <c:v>230.89205844022996</c:v>
                </c:pt>
                <c:pt idx="48">
                  <c:v>233.41839340136295</c:v>
                </c:pt>
                <c:pt idx="49">
                  <c:v>235.99947528510648</c:v>
                </c:pt>
                <c:pt idx="50">
                  <c:v>238.63620709183823</c:v>
                </c:pt>
                <c:pt idx="51">
                  <c:v>241.32950870114803</c:v>
                </c:pt>
                <c:pt idx="52">
                  <c:v>244.08031717178886</c:v>
                </c:pt>
                <c:pt idx="53">
                  <c:v>246.88958704709256</c:v>
                </c:pt>
                <c:pt idx="54">
                  <c:v>249.75829066594588</c:v>
                </c:pt>
                <c:pt idx="55">
                  <c:v>252.68741847942852</c:v>
                </c:pt>
                <c:pt idx="56">
                  <c:v>255.6779793732162</c:v>
                </c:pt>
                <c:pt idx="57">
                  <c:v>258.7310009958502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120-49F0-B732-E3C55DD1DAB3}"/>
            </c:ext>
          </c:extLst>
        </c:ser>
        <c:ser>
          <c:idx val="4"/>
          <c:order val="4"/>
          <c:tx>
            <c:strRef>
              <c:f>P.Com!$C$146</c:f>
              <c:strCache>
                <c:ptCount val="1"/>
                <c:pt idx="0">
                  <c:v>Proyección por uso final (13-23)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P.Com!$D$141:$BI$141</c:f>
              <c:numCache>
                <c:formatCode>General</c:formatCode>
                <c:ptCount val="58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  <c:pt idx="13">
                  <c:v>2026</c:v>
                </c:pt>
                <c:pt idx="14">
                  <c:v>2027</c:v>
                </c:pt>
                <c:pt idx="15">
                  <c:v>2028</c:v>
                </c:pt>
                <c:pt idx="16">
                  <c:v>2029</c:v>
                </c:pt>
                <c:pt idx="17">
                  <c:v>2030</c:v>
                </c:pt>
                <c:pt idx="18">
                  <c:v>2031</c:v>
                </c:pt>
                <c:pt idx="19">
                  <c:v>2032</c:v>
                </c:pt>
                <c:pt idx="20">
                  <c:v>2033</c:v>
                </c:pt>
                <c:pt idx="21">
                  <c:v>2034</c:v>
                </c:pt>
                <c:pt idx="22">
                  <c:v>2035</c:v>
                </c:pt>
                <c:pt idx="23">
                  <c:v>2036</c:v>
                </c:pt>
                <c:pt idx="24">
                  <c:v>2037</c:v>
                </c:pt>
                <c:pt idx="25">
                  <c:v>2038</c:v>
                </c:pt>
                <c:pt idx="26">
                  <c:v>2039</c:v>
                </c:pt>
                <c:pt idx="27">
                  <c:v>2040</c:v>
                </c:pt>
                <c:pt idx="28">
                  <c:v>2041</c:v>
                </c:pt>
                <c:pt idx="29">
                  <c:v>2042</c:v>
                </c:pt>
                <c:pt idx="30">
                  <c:v>2043</c:v>
                </c:pt>
                <c:pt idx="31">
                  <c:v>2044</c:v>
                </c:pt>
                <c:pt idx="32">
                  <c:v>2045</c:v>
                </c:pt>
                <c:pt idx="33">
                  <c:v>2046</c:v>
                </c:pt>
                <c:pt idx="34">
                  <c:v>2047</c:v>
                </c:pt>
                <c:pt idx="35">
                  <c:v>2048</c:v>
                </c:pt>
                <c:pt idx="36">
                  <c:v>2049</c:v>
                </c:pt>
                <c:pt idx="37">
                  <c:v>2050</c:v>
                </c:pt>
                <c:pt idx="38">
                  <c:v>2051</c:v>
                </c:pt>
                <c:pt idx="39">
                  <c:v>2052</c:v>
                </c:pt>
                <c:pt idx="40">
                  <c:v>2053</c:v>
                </c:pt>
                <c:pt idx="41">
                  <c:v>2054</c:v>
                </c:pt>
                <c:pt idx="42">
                  <c:v>2055</c:v>
                </c:pt>
                <c:pt idx="43">
                  <c:v>2056</c:v>
                </c:pt>
                <c:pt idx="44">
                  <c:v>2057</c:v>
                </c:pt>
                <c:pt idx="45">
                  <c:v>2058</c:v>
                </c:pt>
                <c:pt idx="46">
                  <c:v>2059</c:v>
                </c:pt>
                <c:pt idx="47">
                  <c:v>2060</c:v>
                </c:pt>
                <c:pt idx="48">
                  <c:v>2061</c:v>
                </c:pt>
                <c:pt idx="49">
                  <c:v>2062</c:v>
                </c:pt>
                <c:pt idx="50">
                  <c:v>2063</c:v>
                </c:pt>
                <c:pt idx="51">
                  <c:v>2064</c:v>
                </c:pt>
                <c:pt idx="52">
                  <c:v>2065</c:v>
                </c:pt>
                <c:pt idx="53">
                  <c:v>2066</c:v>
                </c:pt>
                <c:pt idx="54">
                  <c:v>2067</c:v>
                </c:pt>
                <c:pt idx="55">
                  <c:v>2068</c:v>
                </c:pt>
                <c:pt idx="56">
                  <c:v>2069</c:v>
                </c:pt>
                <c:pt idx="57">
                  <c:v>2070</c:v>
                </c:pt>
              </c:numCache>
            </c:numRef>
          </c:cat>
          <c:val>
            <c:numRef>
              <c:f>P.Com!$D$146:$BI$146</c:f>
              <c:numCache>
                <c:formatCode>0.00</c:formatCode>
                <c:ptCount val="58"/>
                <c:pt idx="0">
                  <c:v>163.96</c:v>
                </c:pt>
                <c:pt idx="1">
                  <c:v>167.03000000000003</c:v>
                </c:pt>
                <c:pt idx="2">
                  <c:v>169.87</c:v>
                </c:pt>
                <c:pt idx="3">
                  <c:v>171.42999999999995</c:v>
                </c:pt>
                <c:pt idx="4">
                  <c:v>169.46999999999997</c:v>
                </c:pt>
                <c:pt idx="5">
                  <c:v>165.70999999999998</c:v>
                </c:pt>
                <c:pt idx="6">
                  <c:v>165.41</c:v>
                </c:pt>
                <c:pt idx="7">
                  <c:v>176.76</c:v>
                </c:pt>
                <c:pt idx="8">
                  <c:v>170.83</c:v>
                </c:pt>
                <c:pt idx="9">
                  <c:v>181.46751098535285</c:v>
                </c:pt>
                <c:pt idx="10">
                  <c:v>177.46580925432758</c:v>
                </c:pt>
                <c:pt idx="11">
                  <c:v>179.18681203197667</c:v>
                </c:pt>
                <c:pt idx="12">
                  <c:v>180.9480575939582</c:v>
                </c:pt>
                <c:pt idx="13">
                  <c:v>182.75012972066327</c:v>
                </c:pt>
                <c:pt idx="14">
                  <c:v>184.59362801311107</c:v>
                </c:pt>
                <c:pt idx="15">
                  <c:v>186.47916811999488</c:v>
                </c:pt>
                <c:pt idx="16">
                  <c:v>188.4073819713295</c:v>
                </c:pt>
                <c:pt idx="17">
                  <c:v>190.37891801879317</c:v>
                </c:pt>
                <c:pt idx="18">
                  <c:v>192.39444148285875</c:v>
                </c:pt>
                <c:pt idx="19">
                  <c:v>194.45463460681225</c:v>
                </c:pt>
                <c:pt idx="20">
                  <c:v>196.56019691775992</c:v>
                </c:pt>
                <c:pt idx="21">
                  <c:v>198.71184549472764</c:v>
                </c:pt>
                <c:pt idx="22">
                  <c:v>200.91031524395962</c:v>
                </c:pt>
                <c:pt idx="23">
                  <c:v>203.15635918152594</c:v>
                </c:pt>
                <c:pt idx="24">
                  <c:v>205.45074872335277</c:v>
                </c:pt>
                <c:pt idx="25">
                  <c:v>207.79427398279017</c:v>
                </c:pt>
                <c:pt idx="26">
                  <c:v>210.1877440758376</c:v>
                </c:pt>
                <c:pt idx="27">
                  <c:v>212.63198743414955</c:v>
                </c:pt>
                <c:pt idx="28">
                  <c:v>215.12785212594639</c:v>
                </c:pt>
                <c:pt idx="29">
                  <c:v>217.67620618495994</c:v>
                </c:pt>
                <c:pt idx="30">
                  <c:v>220.27793794754621</c:v>
                </c:pt>
                <c:pt idx="31">
                  <c:v>222.93395639810072</c:v>
                </c:pt>
                <c:pt idx="32">
                  <c:v>225.64519152291606</c:v>
                </c:pt>
                <c:pt idx="33">
                  <c:v>228.41259467262392</c:v>
                </c:pt>
                <c:pt idx="34">
                  <c:v>231.2371389333687</c:v>
                </c:pt>
                <c:pt idx="35">
                  <c:v>234.11981950686211</c:v>
                </c:pt>
                <c:pt idx="36">
                  <c:v>237.06165409947278</c:v>
                </c:pt>
                <c:pt idx="37">
                  <c:v>240.06368332050818</c:v>
                </c:pt>
                <c:pt idx="38">
                  <c:v>243.12697108985046</c:v>
                </c:pt>
                <c:pt idx="39">
                  <c:v>246.25260505511096</c:v>
                </c:pt>
                <c:pt idx="40">
                  <c:v>249.44169701847323</c:v>
                </c:pt>
                <c:pt idx="41">
                  <c:v>252.69538337339708</c:v>
                </c:pt>
                <c:pt idx="42">
                  <c:v>256.01482555136158</c:v>
                </c:pt>
                <c:pt idx="43">
                  <c:v>259.40121047882809</c:v>
                </c:pt>
                <c:pt idx="44">
                  <c:v>262.85575104460941</c:v>
                </c:pt>
                <c:pt idx="45">
                  <c:v>266.37968657783483</c:v>
                </c:pt>
                <c:pt idx="46">
                  <c:v>269.97428333670621</c:v>
                </c:pt>
                <c:pt idx="47">
                  <c:v>273.64083500824296</c:v>
                </c:pt>
                <c:pt idx="48">
                  <c:v>277.38066321922082</c:v>
                </c:pt>
                <c:pt idx="49">
                  <c:v>281.19511805851158</c:v>
                </c:pt>
                <c:pt idx="50">
                  <c:v>285.08557861103759</c:v>
                </c:pt>
                <c:pt idx="51">
                  <c:v>289.05345350355776</c:v>
                </c:pt>
                <c:pt idx="52">
                  <c:v>293.10018146250928</c:v>
                </c:pt>
                <c:pt idx="53">
                  <c:v>297.22723188413119</c:v>
                </c:pt>
                <c:pt idx="54">
                  <c:v>301.43610541710382</c:v>
                </c:pt>
                <c:pt idx="55">
                  <c:v>305.72833455794165</c:v>
                </c:pt>
                <c:pt idx="56">
                  <c:v>310.10548425938225</c:v>
                </c:pt>
                <c:pt idx="57">
                  <c:v>314.56915255202239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120-49F0-B732-E3C55DD1DAB3}"/>
            </c:ext>
          </c:extLst>
        </c:ser>
        <c:ser>
          <c:idx val="5"/>
          <c:order val="5"/>
          <c:tx>
            <c:strRef>
              <c:f>P.Com!$C$147</c:f>
              <c:strCache>
                <c:ptCount val="1"/>
                <c:pt idx="0">
                  <c:v>Proyección por uso final (13-19)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P.Com!$D$141:$BI$141</c:f>
              <c:numCache>
                <c:formatCode>General</c:formatCode>
                <c:ptCount val="58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  <c:pt idx="13">
                  <c:v>2026</c:v>
                </c:pt>
                <c:pt idx="14">
                  <c:v>2027</c:v>
                </c:pt>
                <c:pt idx="15">
                  <c:v>2028</c:v>
                </c:pt>
                <c:pt idx="16">
                  <c:v>2029</c:v>
                </c:pt>
                <c:pt idx="17">
                  <c:v>2030</c:v>
                </c:pt>
                <c:pt idx="18">
                  <c:v>2031</c:v>
                </c:pt>
                <c:pt idx="19">
                  <c:v>2032</c:v>
                </c:pt>
                <c:pt idx="20">
                  <c:v>2033</c:v>
                </c:pt>
                <c:pt idx="21">
                  <c:v>2034</c:v>
                </c:pt>
                <c:pt idx="22">
                  <c:v>2035</c:v>
                </c:pt>
                <c:pt idx="23">
                  <c:v>2036</c:v>
                </c:pt>
                <c:pt idx="24">
                  <c:v>2037</c:v>
                </c:pt>
                <c:pt idx="25">
                  <c:v>2038</c:v>
                </c:pt>
                <c:pt idx="26">
                  <c:v>2039</c:v>
                </c:pt>
                <c:pt idx="27">
                  <c:v>2040</c:v>
                </c:pt>
                <c:pt idx="28">
                  <c:v>2041</c:v>
                </c:pt>
                <c:pt idx="29">
                  <c:v>2042</c:v>
                </c:pt>
                <c:pt idx="30">
                  <c:v>2043</c:v>
                </c:pt>
                <c:pt idx="31">
                  <c:v>2044</c:v>
                </c:pt>
                <c:pt idx="32">
                  <c:v>2045</c:v>
                </c:pt>
                <c:pt idx="33">
                  <c:v>2046</c:v>
                </c:pt>
                <c:pt idx="34">
                  <c:v>2047</c:v>
                </c:pt>
                <c:pt idx="35">
                  <c:v>2048</c:v>
                </c:pt>
                <c:pt idx="36">
                  <c:v>2049</c:v>
                </c:pt>
                <c:pt idx="37">
                  <c:v>2050</c:v>
                </c:pt>
                <c:pt idx="38">
                  <c:v>2051</c:v>
                </c:pt>
                <c:pt idx="39">
                  <c:v>2052</c:v>
                </c:pt>
                <c:pt idx="40">
                  <c:v>2053</c:v>
                </c:pt>
                <c:pt idx="41">
                  <c:v>2054</c:v>
                </c:pt>
                <c:pt idx="42">
                  <c:v>2055</c:v>
                </c:pt>
                <c:pt idx="43">
                  <c:v>2056</c:v>
                </c:pt>
                <c:pt idx="44">
                  <c:v>2057</c:v>
                </c:pt>
                <c:pt idx="45">
                  <c:v>2058</c:v>
                </c:pt>
                <c:pt idx="46">
                  <c:v>2059</c:v>
                </c:pt>
                <c:pt idx="47">
                  <c:v>2060</c:v>
                </c:pt>
                <c:pt idx="48">
                  <c:v>2061</c:v>
                </c:pt>
                <c:pt idx="49">
                  <c:v>2062</c:v>
                </c:pt>
                <c:pt idx="50">
                  <c:v>2063</c:v>
                </c:pt>
                <c:pt idx="51">
                  <c:v>2064</c:v>
                </c:pt>
                <c:pt idx="52">
                  <c:v>2065</c:v>
                </c:pt>
                <c:pt idx="53">
                  <c:v>2066</c:v>
                </c:pt>
                <c:pt idx="54">
                  <c:v>2067</c:v>
                </c:pt>
                <c:pt idx="55">
                  <c:v>2068</c:v>
                </c:pt>
                <c:pt idx="56">
                  <c:v>2069</c:v>
                </c:pt>
                <c:pt idx="57">
                  <c:v>2070</c:v>
                </c:pt>
              </c:numCache>
            </c:numRef>
          </c:cat>
          <c:val>
            <c:numRef>
              <c:f>P.Com!$D$147:$BI$147</c:f>
              <c:numCache>
                <c:formatCode>0.00</c:formatCode>
                <c:ptCount val="58"/>
                <c:pt idx="0">
                  <c:v>163.96</c:v>
                </c:pt>
                <c:pt idx="1">
                  <c:v>167.03000000000003</c:v>
                </c:pt>
                <c:pt idx="2">
                  <c:v>169.87</c:v>
                </c:pt>
                <c:pt idx="3">
                  <c:v>171.42999999999995</c:v>
                </c:pt>
                <c:pt idx="4">
                  <c:v>169.46999999999997</c:v>
                </c:pt>
                <c:pt idx="5">
                  <c:v>165.70999999999998</c:v>
                </c:pt>
                <c:pt idx="6">
                  <c:v>165.41</c:v>
                </c:pt>
                <c:pt idx="7">
                  <c:v>176.76</c:v>
                </c:pt>
                <c:pt idx="8">
                  <c:v>170.83</c:v>
                </c:pt>
                <c:pt idx="9">
                  <c:v>181.46751098535285</c:v>
                </c:pt>
                <c:pt idx="10">
                  <c:v>177.46580925432758</c:v>
                </c:pt>
                <c:pt idx="11">
                  <c:v>178.05107871447186</c:v>
                </c:pt>
                <c:pt idx="12">
                  <c:v>178.68130620585279</c:v>
                </c:pt>
                <c:pt idx="13">
                  <c:v>179.35592863625376</c:v>
                </c:pt>
                <c:pt idx="14">
                  <c:v>180.07443007752875</c:v>
                </c:pt>
                <c:pt idx="15">
                  <c:v>180.83634005147795</c:v>
                </c:pt>
                <c:pt idx="16">
                  <c:v>181.64123189876025</c:v>
                </c:pt>
                <c:pt idx="17">
                  <c:v>182.48872122725305</c:v>
                </c:pt>
                <c:pt idx="18">
                  <c:v>183.37846443643363</c:v>
                </c:pt>
                <c:pt idx="19">
                  <c:v>184.31015731450981</c:v>
                </c:pt>
                <c:pt idx="20">
                  <c:v>185.28353370517553</c:v>
                </c:pt>
                <c:pt idx="21">
                  <c:v>186.29836424100961</c:v>
                </c:pt>
                <c:pt idx="22">
                  <c:v>187.35445514066939</c:v>
                </c:pt>
                <c:pt idx="23">
                  <c:v>188.4516470671613</c:v>
                </c:pt>
                <c:pt idx="24">
                  <c:v>189.5898140445932</c:v>
                </c:pt>
                <c:pt idx="25">
                  <c:v>190.76886243093151</c:v>
                </c:pt>
                <c:pt idx="26">
                  <c:v>191.98872994439878</c:v>
                </c:pt>
                <c:pt idx="27">
                  <c:v>193.24938474125517</c:v>
                </c:pt>
                <c:pt idx="28">
                  <c:v>194.55082454280961</c:v>
                </c:pt>
                <c:pt idx="29">
                  <c:v>195.89307580960633</c:v>
                </c:pt>
                <c:pt idx="30">
                  <c:v>197.27619296082472</c:v>
                </c:pt>
                <c:pt idx="31">
                  <c:v>198.70025763702168</c:v>
                </c:pt>
                <c:pt idx="32">
                  <c:v>200.16537800443064</c:v>
                </c:pt>
                <c:pt idx="33">
                  <c:v>201.67168809911476</c:v>
                </c:pt>
                <c:pt idx="34">
                  <c:v>203.219347209349</c:v>
                </c:pt>
                <c:pt idx="35">
                  <c:v>204.80853929468142</c:v>
                </c:pt>
                <c:pt idx="36">
                  <c:v>206.43947244019671</c:v>
                </c:pt>
                <c:pt idx="37">
                  <c:v>208.11237834457131</c:v>
                </c:pt>
                <c:pt idx="38">
                  <c:v>209.82751184057818</c:v>
                </c:pt>
                <c:pt idx="39">
                  <c:v>211.58515044675869</c:v>
                </c:pt>
                <c:pt idx="40">
                  <c:v>213.38559394904217</c:v>
                </c:pt>
                <c:pt idx="41">
                  <c:v>215.22916401114827</c:v>
                </c:pt>
                <c:pt idx="42">
                  <c:v>217.1162038126642</c:v>
                </c:pt>
                <c:pt idx="43">
                  <c:v>219.04707771374078</c:v>
                </c:pt>
                <c:pt idx="44">
                  <c:v>221.02217094540018</c:v>
                </c:pt>
                <c:pt idx="45">
                  <c:v>223.04188932449836</c:v>
                </c:pt>
                <c:pt idx="46">
                  <c:v>225.10665899242892</c:v>
                </c:pt>
                <c:pt idx="47">
                  <c:v>227.21692617670112</c:v>
                </c:pt>
                <c:pt idx="48">
                  <c:v>229.37315697456489</c:v>
                </c:pt>
                <c:pt idx="49">
                  <c:v>231.5758371578969</c:v>
                </c:pt>
                <c:pt idx="50">
                  <c:v>233.82547199860011</c:v>
                </c:pt>
                <c:pt idx="51">
                  <c:v>236.12258611380585</c:v>
                </c:pt>
                <c:pt idx="52">
                  <c:v>238.46772333020274</c:v>
                </c:pt>
                <c:pt idx="53">
                  <c:v>240.86144656685025</c:v>
                </c:pt>
                <c:pt idx="54">
                  <c:v>243.30433773586756</c:v>
                </c:pt>
                <c:pt idx="55">
                  <c:v>245.7969976604183</c:v>
                </c:pt>
                <c:pt idx="56">
                  <c:v>248.34004600944237</c:v>
                </c:pt>
                <c:pt idx="57">
                  <c:v>250.93412124861396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120-49F0-B732-E3C55DD1DAB3}"/>
            </c:ext>
          </c:extLst>
        </c:ser>
        <c:ser>
          <c:idx val="6"/>
          <c:order val="6"/>
          <c:tx>
            <c:strRef>
              <c:f>P.Com!$C$148</c:f>
              <c:strCache>
                <c:ptCount val="1"/>
                <c:pt idx="0">
                  <c:v>Proyección por población (P.Intensidad 13-23)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P.Com!$D$141:$BI$141</c:f>
              <c:numCache>
                <c:formatCode>General</c:formatCode>
                <c:ptCount val="58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  <c:pt idx="13">
                  <c:v>2026</c:v>
                </c:pt>
                <c:pt idx="14">
                  <c:v>2027</c:v>
                </c:pt>
                <c:pt idx="15">
                  <c:v>2028</c:v>
                </c:pt>
                <c:pt idx="16">
                  <c:v>2029</c:v>
                </c:pt>
                <c:pt idx="17">
                  <c:v>2030</c:v>
                </c:pt>
                <c:pt idx="18">
                  <c:v>2031</c:v>
                </c:pt>
                <c:pt idx="19">
                  <c:v>2032</c:v>
                </c:pt>
                <c:pt idx="20">
                  <c:v>2033</c:v>
                </c:pt>
                <c:pt idx="21">
                  <c:v>2034</c:v>
                </c:pt>
                <c:pt idx="22">
                  <c:v>2035</c:v>
                </c:pt>
                <c:pt idx="23">
                  <c:v>2036</c:v>
                </c:pt>
                <c:pt idx="24">
                  <c:v>2037</c:v>
                </c:pt>
                <c:pt idx="25">
                  <c:v>2038</c:v>
                </c:pt>
                <c:pt idx="26">
                  <c:v>2039</c:v>
                </c:pt>
                <c:pt idx="27">
                  <c:v>2040</c:v>
                </c:pt>
                <c:pt idx="28">
                  <c:v>2041</c:v>
                </c:pt>
                <c:pt idx="29">
                  <c:v>2042</c:v>
                </c:pt>
                <c:pt idx="30">
                  <c:v>2043</c:v>
                </c:pt>
                <c:pt idx="31">
                  <c:v>2044</c:v>
                </c:pt>
                <c:pt idx="32">
                  <c:v>2045</c:v>
                </c:pt>
                <c:pt idx="33">
                  <c:v>2046</c:v>
                </c:pt>
                <c:pt idx="34">
                  <c:v>2047</c:v>
                </c:pt>
                <c:pt idx="35">
                  <c:v>2048</c:v>
                </c:pt>
                <c:pt idx="36">
                  <c:v>2049</c:v>
                </c:pt>
                <c:pt idx="37">
                  <c:v>2050</c:v>
                </c:pt>
                <c:pt idx="38">
                  <c:v>2051</c:v>
                </c:pt>
                <c:pt idx="39">
                  <c:v>2052</c:v>
                </c:pt>
                <c:pt idx="40">
                  <c:v>2053</c:v>
                </c:pt>
                <c:pt idx="41">
                  <c:v>2054</c:v>
                </c:pt>
                <c:pt idx="42">
                  <c:v>2055</c:v>
                </c:pt>
                <c:pt idx="43">
                  <c:v>2056</c:v>
                </c:pt>
                <c:pt idx="44">
                  <c:v>2057</c:v>
                </c:pt>
                <c:pt idx="45">
                  <c:v>2058</c:v>
                </c:pt>
                <c:pt idx="46">
                  <c:v>2059</c:v>
                </c:pt>
                <c:pt idx="47">
                  <c:v>2060</c:v>
                </c:pt>
                <c:pt idx="48">
                  <c:v>2061</c:v>
                </c:pt>
                <c:pt idx="49">
                  <c:v>2062</c:v>
                </c:pt>
                <c:pt idx="50">
                  <c:v>2063</c:v>
                </c:pt>
                <c:pt idx="51">
                  <c:v>2064</c:v>
                </c:pt>
                <c:pt idx="52">
                  <c:v>2065</c:v>
                </c:pt>
                <c:pt idx="53">
                  <c:v>2066</c:v>
                </c:pt>
                <c:pt idx="54">
                  <c:v>2067</c:v>
                </c:pt>
                <c:pt idx="55">
                  <c:v>2068</c:v>
                </c:pt>
                <c:pt idx="56">
                  <c:v>2069</c:v>
                </c:pt>
                <c:pt idx="57">
                  <c:v>2070</c:v>
                </c:pt>
              </c:numCache>
            </c:numRef>
          </c:cat>
          <c:val>
            <c:numRef>
              <c:f>P.Com!$D$148:$BI$148</c:f>
              <c:numCache>
                <c:formatCode>#,##0.00</c:formatCode>
                <c:ptCount val="58"/>
                <c:pt idx="0">
                  <c:v>163.95999999999998</c:v>
                </c:pt>
                <c:pt idx="1">
                  <c:v>167.03</c:v>
                </c:pt>
                <c:pt idx="2">
                  <c:v>169.87</c:v>
                </c:pt>
                <c:pt idx="3">
                  <c:v>171.42999999999998</c:v>
                </c:pt>
                <c:pt idx="4">
                  <c:v>169.47</c:v>
                </c:pt>
                <c:pt idx="5">
                  <c:v>165.70999999999998</c:v>
                </c:pt>
                <c:pt idx="6">
                  <c:v>165.41</c:v>
                </c:pt>
                <c:pt idx="7">
                  <c:v>176.76</c:v>
                </c:pt>
                <c:pt idx="8">
                  <c:v>170.83</c:v>
                </c:pt>
                <c:pt idx="9">
                  <c:v>181.46751098535287</c:v>
                </c:pt>
                <c:pt idx="10">
                  <c:v>177.46580925432758</c:v>
                </c:pt>
                <c:pt idx="11">
                  <c:v>181.48528254373994</c:v>
                </c:pt>
                <c:pt idx="12">
                  <c:v>182.98493453724183</c:v>
                </c:pt>
                <c:pt idx="13">
                  <c:v>184.41161890338151</c:v>
                </c:pt>
                <c:pt idx="14">
                  <c:v>185.76225679300327</c:v>
                </c:pt>
                <c:pt idx="15">
                  <c:v>187.03815850064524</c:v>
                </c:pt>
                <c:pt idx="16">
                  <c:v>188.24447053396491</c:v>
                </c:pt>
                <c:pt idx="17">
                  <c:v>189.38762637054296</c:v>
                </c:pt>
                <c:pt idx="18">
                  <c:v>190.47407732443045</c:v>
                </c:pt>
                <c:pt idx="19">
                  <c:v>191.50955987883594</c:v>
                </c:pt>
                <c:pt idx="20">
                  <c:v>192.49939479000986</c:v>
                </c:pt>
                <c:pt idx="21">
                  <c:v>193.4480343153098</c:v>
                </c:pt>
                <c:pt idx="22">
                  <c:v>194.35802906996773</c:v>
                </c:pt>
                <c:pt idx="23">
                  <c:v>195.22908955435267</c:v>
                </c:pt>
                <c:pt idx="24">
                  <c:v>196.05777744583349</c:v>
                </c:pt>
                <c:pt idx="25">
                  <c:v>196.83812164301727</c:v>
                </c:pt>
                <c:pt idx="26">
                  <c:v>197.56325510489478</c:v>
                </c:pt>
                <c:pt idx="27">
                  <c:v>198.22702424926314</c:v>
                </c:pt>
                <c:pt idx="28">
                  <c:v>198.82577945992159</c:v>
                </c:pt>
                <c:pt idx="29">
                  <c:v>199.35870849146011</c:v>
                </c:pt>
                <c:pt idx="30">
                  <c:v>199.82734116420343</c:v>
                </c:pt>
                <c:pt idx="31">
                  <c:v>200.23467949328199</c:v>
                </c:pt>
                <c:pt idx="32">
                  <c:v>200.58467219878054</c:v>
                </c:pt>
                <c:pt idx="33">
                  <c:v>200.88157122077649</c:v>
                </c:pt>
                <c:pt idx="34">
                  <c:v>201.12980686404882</c:v>
                </c:pt>
                <c:pt idx="35">
                  <c:v>201.3330081642556</c:v>
                </c:pt>
                <c:pt idx="36">
                  <c:v>201.49361597373556</c:v>
                </c:pt>
                <c:pt idx="37">
                  <c:v>201.61241098106703</c:v>
                </c:pt>
                <c:pt idx="38">
                  <c:v>201.68883476753052</c:v>
                </c:pt>
                <c:pt idx="39">
                  <c:v>201.72077302539481</c:v>
                </c:pt>
                <c:pt idx="40">
                  <c:v>201.70482859311366</c:v>
                </c:pt>
                <c:pt idx="41">
                  <c:v>201.63700061322803</c:v>
                </c:pt>
                <c:pt idx="42">
                  <c:v>201.5139811065425</c:v>
                </c:pt>
                <c:pt idx="43">
                  <c:v>201.33414695427308</c:v>
                </c:pt>
                <c:pt idx="44">
                  <c:v>201.0978535137867</c:v>
                </c:pt>
                <c:pt idx="45">
                  <c:v>200.80706005272793</c:v>
                </c:pt>
                <c:pt idx="46">
                  <c:v>200.4646492190808</c:v>
                </c:pt>
                <c:pt idx="47">
                  <c:v>200.07401817439154</c:v>
                </c:pt>
                <c:pt idx="48">
                  <c:v>199.63888102056049</c:v>
                </c:pt>
                <c:pt idx="49">
                  <c:v>199.16280642365467</c:v>
                </c:pt>
                <c:pt idx="50">
                  <c:v>198.64897476350598</c:v>
                </c:pt>
                <c:pt idx="51">
                  <c:v>198.09963206331761</c:v>
                </c:pt>
                <c:pt idx="52">
                  <c:v>197.51599531916861</c:v>
                </c:pt>
                <c:pt idx="53">
                  <c:v>196.89812764472245</c:v>
                </c:pt>
                <c:pt idx="54">
                  <c:v>196.24517563348422</c:v>
                </c:pt>
                <c:pt idx="55">
                  <c:v>195.55569590340755</c:v>
                </c:pt>
                <c:pt idx="56">
                  <c:v>194.82813530955298</c:v>
                </c:pt>
                <c:pt idx="57">
                  <c:v>194.06145247647072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120-49F0-B732-E3C55DD1DAB3}"/>
            </c:ext>
          </c:extLst>
        </c:ser>
        <c:ser>
          <c:idx val="7"/>
          <c:order val="7"/>
          <c:tx>
            <c:strRef>
              <c:f>P.Com!$C$149</c:f>
              <c:strCache>
                <c:ptCount val="1"/>
                <c:pt idx="0">
                  <c:v>Proyección por población (Intensidad 13-23)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P.Com!$D$141:$BI$141</c:f>
              <c:numCache>
                <c:formatCode>General</c:formatCode>
                <c:ptCount val="58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  <c:pt idx="13">
                  <c:v>2026</c:v>
                </c:pt>
                <c:pt idx="14">
                  <c:v>2027</c:v>
                </c:pt>
                <c:pt idx="15">
                  <c:v>2028</c:v>
                </c:pt>
                <c:pt idx="16">
                  <c:v>2029</c:v>
                </c:pt>
                <c:pt idx="17">
                  <c:v>2030</c:v>
                </c:pt>
                <c:pt idx="18">
                  <c:v>2031</c:v>
                </c:pt>
                <c:pt idx="19">
                  <c:v>2032</c:v>
                </c:pt>
                <c:pt idx="20">
                  <c:v>2033</c:v>
                </c:pt>
                <c:pt idx="21">
                  <c:v>2034</c:v>
                </c:pt>
                <c:pt idx="22">
                  <c:v>2035</c:v>
                </c:pt>
                <c:pt idx="23">
                  <c:v>2036</c:v>
                </c:pt>
                <c:pt idx="24">
                  <c:v>2037</c:v>
                </c:pt>
                <c:pt idx="25">
                  <c:v>2038</c:v>
                </c:pt>
                <c:pt idx="26">
                  <c:v>2039</c:v>
                </c:pt>
                <c:pt idx="27">
                  <c:v>2040</c:v>
                </c:pt>
                <c:pt idx="28">
                  <c:v>2041</c:v>
                </c:pt>
                <c:pt idx="29">
                  <c:v>2042</c:v>
                </c:pt>
                <c:pt idx="30">
                  <c:v>2043</c:v>
                </c:pt>
                <c:pt idx="31">
                  <c:v>2044</c:v>
                </c:pt>
                <c:pt idx="32">
                  <c:v>2045</c:v>
                </c:pt>
                <c:pt idx="33">
                  <c:v>2046</c:v>
                </c:pt>
                <c:pt idx="34">
                  <c:v>2047</c:v>
                </c:pt>
                <c:pt idx="35">
                  <c:v>2048</c:v>
                </c:pt>
                <c:pt idx="36">
                  <c:v>2049</c:v>
                </c:pt>
                <c:pt idx="37">
                  <c:v>2050</c:v>
                </c:pt>
                <c:pt idx="38">
                  <c:v>2051</c:v>
                </c:pt>
                <c:pt idx="39">
                  <c:v>2052</c:v>
                </c:pt>
                <c:pt idx="40">
                  <c:v>2053</c:v>
                </c:pt>
                <c:pt idx="41">
                  <c:v>2054</c:v>
                </c:pt>
                <c:pt idx="42">
                  <c:v>2055</c:v>
                </c:pt>
                <c:pt idx="43">
                  <c:v>2056</c:v>
                </c:pt>
                <c:pt idx="44">
                  <c:v>2057</c:v>
                </c:pt>
                <c:pt idx="45">
                  <c:v>2058</c:v>
                </c:pt>
                <c:pt idx="46">
                  <c:v>2059</c:v>
                </c:pt>
                <c:pt idx="47">
                  <c:v>2060</c:v>
                </c:pt>
                <c:pt idx="48">
                  <c:v>2061</c:v>
                </c:pt>
                <c:pt idx="49">
                  <c:v>2062</c:v>
                </c:pt>
                <c:pt idx="50">
                  <c:v>2063</c:v>
                </c:pt>
                <c:pt idx="51">
                  <c:v>2064</c:v>
                </c:pt>
                <c:pt idx="52">
                  <c:v>2065</c:v>
                </c:pt>
                <c:pt idx="53">
                  <c:v>2066</c:v>
                </c:pt>
                <c:pt idx="54">
                  <c:v>2067</c:v>
                </c:pt>
                <c:pt idx="55">
                  <c:v>2068</c:v>
                </c:pt>
                <c:pt idx="56">
                  <c:v>2069</c:v>
                </c:pt>
                <c:pt idx="57">
                  <c:v>2070</c:v>
                </c:pt>
              </c:numCache>
            </c:numRef>
          </c:cat>
          <c:val>
            <c:numRef>
              <c:f>P.Com!$D$149:$BI$149</c:f>
              <c:numCache>
                <c:formatCode>#,##0.00</c:formatCode>
                <c:ptCount val="58"/>
                <c:pt idx="0">
                  <c:v>163.95999999999998</c:v>
                </c:pt>
                <c:pt idx="1">
                  <c:v>167.03</c:v>
                </c:pt>
                <c:pt idx="2">
                  <c:v>169.87</c:v>
                </c:pt>
                <c:pt idx="3">
                  <c:v>171.42999999999998</c:v>
                </c:pt>
                <c:pt idx="4">
                  <c:v>169.47</c:v>
                </c:pt>
                <c:pt idx="5">
                  <c:v>165.70999999999998</c:v>
                </c:pt>
                <c:pt idx="6">
                  <c:v>165.41</c:v>
                </c:pt>
                <c:pt idx="7">
                  <c:v>176.76</c:v>
                </c:pt>
                <c:pt idx="8">
                  <c:v>170.83</c:v>
                </c:pt>
                <c:pt idx="9">
                  <c:v>181.46751098535287</c:v>
                </c:pt>
                <c:pt idx="10">
                  <c:v>177.46580925432758</c:v>
                </c:pt>
                <c:pt idx="11">
                  <c:v>178.5792895424272</c:v>
                </c:pt>
                <c:pt idx="12">
                  <c:v>179.62438525994762</c:v>
                </c:pt>
                <c:pt idx="13">
                  <c:v>180.59200559812385</c:v>
                </c:pt>
                <c:pt idx="14">
                  <c:v>181.4796780918806</c:v>
                </c:pt>
                <c:pt idx="15">
                  <c:v>182.28923422220856</c:v>
                </c:pt>
                <c:pt idx="16">
                  <c:v>183.02622050742369</c:v>
                </c:pt>
                <c:pt idx="17">
                  <c:v>183.69738134270258</c:v>
                </c:pt>
                <c:pt idx="18">
                  <c:v>184.30941631361702</c:v>
                </c:pt>
                <c:pt idx="19">
                  <c:v>184.86827309659881</c:v>
                </c:pt>
                <c:pt idx="20">
                  <c:v>185.37944411545084</c:v>
                </c:pt>
                <c:pt idx="21">
                  <c:v>185.84753666948319</c:v>
                </c:pt>
                <c:pt idx="22">
                  <c:v>186.27529303100772</c:v>
                </c:pt>
                <c:pt idx="23">
                  <c:v>186.66271519248846</c:v>
                </c:pt>
                <c:pt idx="24">
                  <c:v>187.00680302134768</c:v>
                </c:pt>
                <c:pt idx="25">
                  <c:v>187.30217635794796</c:v>
                </c:pt>
                <c:pt idx="26">
                  <c:v>187.54265746500229</c:v>
                </c:pt>
                <c:pt idx="27">
                  <c:v>187.72280499182159</c:v>
                </c:pt>
                <c:pt idx="28">
                  <c:v>187.83959710211786</c:v>
                </c:pt>
                <c:pt idx="29">
                  <c:v>187.89271709433783</c:v>
                </c:pt>
                <c:pt idx="30">
                  <c:v>187.88405553869083</c:v>
                </c:pt>
                <c:pt idx="31">
                  <c:v>187.81686798921075</c:v>
                </c:pt>
                <c:pt idx="32">
                  <c:v>187.69526684242385</c:v>
                </c:pt>
                <c:pt idx="33">
                  <c:v>187.52361021997564</c:v>
                </c:pt>
                <c:pt idx="34">
                  <c:v>187.30638252949262</c:v>
                </c:pt>
                <c:pt idx="35">
                  <c:v>187.04728258975734</c:v>
                </c:pt>
                <c:pt idx="36">
                  <c:v>186.74887417267058</c:v>
                </c:pt>
                <c:pt idx="37">
                  <c:v>186.41216297227956</c:v>
                </c:pt>
                <c:pt idx="38">
                  <c:v>186.03691123323995</c:v>
                </c:pt>
                <c:pt idx="39">
                  <c:v>185.62145308487891</c:v>
                </c:pt>
                <c:pt idx="40">
                  <c:v>185.16296227796036</c:v>
                </c:pt>
                <c:pt idx="41">
                  <c:v>184.65808812778326</c:v>
                </c:pt>
                <c:pt idx="42">
                  <c:v>184.10414650784716</c:v>
                </c:pt>
                <c:pt idx="43">
                  <c:v>183.50001619068013</c:v>
                </c:pt>
                <c:pt idx="44">
                  <c:v>182.84638728929158</c:v>
                </c:pt>
                <c:pt idx="45">
                  <c:v>182.14539991563259</c:v>
                </c:pt>
                <c:pt idx="46">
                  <c:v>181.40001100203202</c:v>
                </c:pt>
                <c:pt idx="47">
                  <c:v>180.61361532193237</c:v>
                </c:pt>
                <c:pt idx="48">
                  <c:v>179.78986216303949</c:v>
                </c:pt>
                <c:pt idx="49">
                  <c:v>178.93223668752839</c:v>
                </c:pt>
                <c:pt idx="50">
                  <c:v>178.04384403094971</c:v>
                </c:pt>
                <c:pt idx="51">
                  <c:v>177.1269253935352</c:v>
                </c:pt>
                <c:pt idx="52">
                  <c:v>176.18278375115236</c:v>
                </c:pt>
                <c:pt idx="53">
                  <c:v>175.21168384512353</c:v>
                </c:pt>
                <c:pt idx="54">
                  <c:v>174.21307523878994</c:v>
                </c:pt>
                <c:pt idx="55">
                  <c:v>173.18589124326647</c:v>
                </c:pt>
                <c:pt idx="56">
                  <c:v>172.12897938874289</c:v>
                </c:pt>
                <c:pt idx="57">
                  <c:v>171.04165032043448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B120-49F0-B732-E3C55DD1DAB3}"/>
            </c:ext>
          </c:extLst>
        </c:ser>
        <c:ser>
          <c:idx val="8"/>
          <c:order val="8"/>
          <c:tx>
            <c:strRef>
              <c:f>P.Com!$C$150</c:f>
              <c:strCache>
                <c:ptCount val="1"/>
                <c:pt idx="0">
                  <c:v>Proyección por población (Intensidad 13-19)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P.Com!$D$141:$BI$141</c:f>
              <c:numCache>
                <c:formatCode>General</c:formatCode>
                <c:ptCount val="58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  <c:pt idx="13">
                  <c:v>2026</c:v>
                </c:pt>
                <c:pt idx="14">
                  <c:v>2027</c:v>
                </c:pt>
                <c:pt idx="15">
                  <c:v>2028</c:v>
                </c:pt>
                <c:pt idx="16">
                  <c:v>2029</c:v>
                </c:pt>
                <c:pt idx="17">
                  <c:v>2030</c:v>
                </c:pt>
                <c:pt idx="18">
                  <c:v>2031</c:v>
                </c:pt>
                <c:pt idx="19">
                  <c:v>2032</c:v>
                </c:pt>
                <c:pt idx="20">
                  <c:v>2033</c:v>
                </c:pt>
                <c:pt idx="21">
                  <c:v>2034</c:v>
                </c:pt>
                <c:pt idx="22">
                  <c:v>2035</c:v>
                </c:pt>
                <c:pt idx="23">
                  <c:v>2036</c:v>
                </c:pt>
                <c:pt idx="24">
                  <c:v>2037</c:v>
                </c:pt>
                <c:pt idx="25">
                  <c:v>2038</c:v>
                </c:pt>
                <c:pt idx="26">
                  <c:v>2039</c:v>
                </c:pt>
                <c:pt idx="27">
                  <c:v>2040</c:v>
                </c:pt>
                <c:pt idx="28">
                  <c:v>2041</c:v>
                </c:pt>
                <c:pt idx="29">
                  <c:v>2042</c:v>
                </c:pt>
                <c:pt idx="30">
                  <c:v>2043</c:v>
                </c:pt>
                <c:pt idx="31">
                  <c:v>2044</c:v>
                </c:pt>
                <c:pt idx="32">
                  <c:v>2045</c:v>
                </c:pt>
                <c:pt idx="33">
                  <c:v>2046</c:v>
                </c:pt>
                <c:pt idx="34">
                  <c:v>2047</c:v>
                </c:pt>
                <c:pt idx="35">
                  <c:v>2048</c:v>
                </c:pt>
                <c:pt idx="36">
                  <c:v>2049</c:v>
                </c:pt>
                <c:pt idx="37">
                  <c:v>2050</c:v>
                </c:pt>
                <c:pt idx="38">
                  <c:v>2051</c:v>
                </c:pt>
                <c:pt idx="39">
                  <c:v>2052</c:v>
                </c:pt>
                <c:pt idx="40">
                  <c:v>2053</c:v>
                </c:pt>
                <c:pt idx="41">
                  <c:v>2054</c:v>
                </c:pt>
                <c:pt idx="42">
                  <c:v>2055</c:v>
                </c:pt>
                <c:pt idx="43">
                  <c:v>2056</c:v>
                </c:pt>
                <c:pt idx="44">
                  <c:v>2057</c:v>
                </c:pt>
                <c:pt idx="45">
                  <c:v>2058</c:v>
                </c:pt>
                <c:pt idx="46">
                  <c:v>2059</c:v>
                </c:pt>
                <c:pt idx="47">
                  <c:v>2060</c:v>
                </c:pt>
                <c:pt idx="48">
                  <c:v>2061</c:v>
                </c:pt>
                <c:pt idx="49">
                  <c:v>2062</c:v>
                </c:pt>
                <c:pt idx="50">
                  <c:v>2063</c:v>
                </c:pt>
                <c:pt idx="51">
                  <c:v>2064</c:v>
                </c:pt>
                <c:pt idx="52">
                  <c:v>2065</c:v>
                </c:pt>
                <c:pt idx="53">
                  <c:v>2066</c:v>
                </c:pt>
                <c:pt idx="54">
                  <c:v>2067</c:v>
                </c:pt>
                <c:pt idx="55">
                  <c:v>2068</c:v>
                </c:pt>
                <c:pt idx="56">
                  <c:v>2069</c:v>
                </c:pt>
                <c:pt idx="57">
                  <c:v>2070</c:v>
                </c:pt>
              </c:numCache>
            </c:numRef>
          </c:cat>
          <c:val>
            <c:numRef>
              <c:f>P.Com!$D$150:$BI$150</c:f>
              <c:numCache>
                <c:formatCode>#,##0.00</c:formatCode>
                <c:ptCount val="58"/>
                <c:pt idx="0">
                  <c:v>163.95999999999998</c:v>
                </c:pt>
                <c:pt idx="1">
                  <c:v>167.03</c:v>
                </c:pt>
                <c:pt idx="2">
                  <c:v>169.87</c:v>
                </c:pt>
                <c:pt idx="3">
                  <c:v>171.42999999999998</c:v>
                </c:pt>
                <c:pt idx="4">
                  <c:v>169.47</c:v>
                </c:pt>
                <c:pt idx="5">
                  <c:v>165.70999999999998</c:v>
                </c:pt>
                <c:pt idx="6">
                  <c:v>165.41</c:v>
                </c:pt>
                <c:pt idx="7">
                  <c:v>176.76</c:v>
                </c:pt>
                <c:pt idx="8">
                  <c:v>170.83</c:v>
                </c:pt>
                <c:pt idx="9">
                  <c:v>181.46751098535287</c:v>
                </c:pt>
                <c:pt idx="10">
                  <c:v>177.46580925432758</c:v>
                </c:pt>
                <c:pt idx="11">
                  <c:v>177.26998795199199</c:v>
                </c:pt>
                <c:pt idx="12">
                  <c:v>177.00011295625234</c:v>
                </c:pt>
                <c:pt idx="13">
                  <c:v>176.64888242064848</c:v>
                </c:pt>
                <c:pt idx="14">
                  <c:v>176.21565869208328</c:v>
                </c:pt>
                <c:pt idx="15">
                  <c:v>175.70399743578233</c:v>
                </c:pt>
                <c:pt idx="16">
                  <c:v>175.1209311041691</c:v>
                </c:pt>
                <c:pt idx="17">
                  <c:v>174.47444911417389</c:v>
                </c:pt>
                <c:pt idx="18">
                  <c:v>173.77228765640069</c:v>
                </c:pt>
                <c:pt idx="19">
                  <c:v>173.02127318234713</c:v>
                </c:pt>
                <c:pt idx="20">
                  <c:v>172.2276274605367</c:v>
                </c:pt>
                <c:pt idx="21">
                  <c:v>171.39658985269978</c:v>
                </c:pt>
                <c:pt idx="22">
                  <c:v>170.53155309969645</c:v>
                </c:pt>
                <c:pt idx="23">
                  <c:v>169.6333329723937</c:v>
                </c:pt>
                <c:pt idx="24">
                  <c:v>168.70002485956735</c:v>
                </c:pt>
                <c:pt idx="25">
                  <c:v>167.72766028173248</c:v>
                </c:pt>
                <c:pt idx="26">
                  <c:v>166.71169039526546</c:v>
                </c:pt>
                <c:pt idx="27">
                  <c:v>165.64836313320876</c:v>
                </c:pt>
                <c:pt idx="28">
                  <c:v>164.53617092396874</c:v>
                </c:pt>
                <c:pt idx="29">
                  <c:v>163.37601896188502</c:v>
                </c:pt>
                <c:pt idx="30">
                  <c:v>162.17070803953754</c:v>
                </c:pt>
                <c:pt idx="31">
                  <c:v>160.92414309096978</c:v>
                </c:pt>
                <c:pt idx="32">
                  <c:v>159.64085922063026</c:v>
                </c:pt>
                <c:pt idx="33">
                  <c:v>158.32548073012228</c:v>
                </c:pt>
                <c:pt idx="34">
                  <c:v>156.98261548438049</c:v>
                </c:pt>
                <c:pt idx="35">
                  <c:v>155.61609454318994</c:v>
                </c:pt>
                <c:pt idx="36">
                  <c:v>154.22870969868094</c:v>
                </c:pt>
                <c:pt idx="37">
                  <c:v>152.82190283469996</c:v>
                </c:pt>
                <c:pt idx="38">
                  <c:v>151.39607006476828</c:v>
                </c:pt>
                <c:pt idx="39">
                  <c:v>149.95045021380753</c:v>
                </c:pt>
                <c:pt idx="40">
                  <c:v>148.48338182320035</c:v>
                </c:pt>
                <c:pt idx="41">
                  <c:v>146.99284288328533</c:v>
                </c:pt>
                <c:pt idx="42">
                  <c:v>145.47740615145588</c:v>
                </c:pt>
                <c:pt idx="43">
                  <c:v>143.9369216251807</c:v>
                </c:pt>
                <c:pt idx="44">
                  <c:v>142.3726640456276</c:v>
                </c:pt>
                <c:pt idx="45">
                  <c:v>140.78700157096529</c:v>
                </c:pt>
                <c:pt idx="46">
                  <c:v>139.18286930603287</c:v>
                </c:pt>
                <c:pt idx="47">
                  <c:v>137.56345871094248</c:v>
                </c:pt>
                <c:pt idx="48">
                  <c:v>135.93206812329998</c:v>
                </c:pt>
                <c:pt idx="49">
                  <c:v>134.29178302081382</c:v>
                </c:pt>
                <c:pt idx="50">
                  <c:v>132.64532128234603</c:v>
                </c:pt>
                <c:pt idx="51">
                  <c:v>130.99468719677009</c:v>
                </c:pt>
                <c:pt idx="52">
                  <c:v>129.3411416792174</c:v>
                </c:pt>
                <c:pt idx="53">
                  <c:v>127.68515560783587</c:v>
                </c:pt>
                <c:pt idx="54">
                  <c:v>126.02659950542699</c:v>
                </c:pt>
                <c:pt idx="55">
                  <c:v>124.36497998607882</c:v>
                </c:pt>
                <c:pt idx="56">
                  <c:v>122.69976005147561</c:v>
                </c:pt>
                <c:pt idx="57">
                  <c:v>121.03074939036861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B120-49F0-B732-E3C55DD1DAB3}"/>
            </c:ext>
          </c:extLst>
        </c:ser>
        <c:ser>
          <c:idx val="9"/>
          <c:order val="9"/>
          <c:tx>
            <c:strRef>
              <c:f>P.Com!$C$151</c:f>
              <c:strCache>
                <c:ptCount val="1"/>
                <c:pt idx="0">
                  <c:v>Usuario</c:v>
                </c:pt>
              </c:strCache>
            </c:strRef>
          </c:tx>
          <c:spPr>
            <a:ln w="5080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P.Com!$D$141:$BI$141</c:f>
              <c:numCache>
                <c:formatCode>General</c:formatCode>
                <c:ptCount val="58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  <c:pt idx="13">
                  <c:v>2026</c:v>
                </c:pt>
                <c:pt idx="14">
                  <c:v>2027</c:v>
                </c:pt>
                <c:pt idx="15">
                  <c:v>2028</c:v>
                </c:pt>
                <c:pt idx="16">
                  <c:v>2029</c:v>
                </c:pt>
                <c:pt idx="17">
                  <c:v>2030</c:v>
                </c:pt>
                <c:pt idx="18">
                  <c:v>2031</c:v>
                </c:pt>
                <c:pt idx="19">
                  <c:v>2032</c:v>
                </c:pt>
                <c:pt idx="20">
                  <c:v>2033</c:v>
                </c:pt>
                <c:pt idx="21">
                  <c:v>2034</c:v>
                </c:pt>
                <c:pt idx="22">
                  <c:v>2035</c:v>
                </c:pt>
                <c:pt idx="23">
                  <c:v>2036</c:v>
                </c:pt>
                <c:pt idx="24">
                  <c:v>2037</c:v>
                </c:pt>
                <c:pt idx="25">
                  <c:v>2038</c:v>
                </c:pt>
                <c:pt idx="26">
                  <c:v>2039</c:v>
                </c:pt>
                <c:pt idx="27">
                  <c:v>2040</c:v>
                </c:pt>
                <c:pt idx="28">
                  <c:v>2041</c:v>
                </c:pt>
                <c:pt idx="29">
                  <c:v>2042</c:v>
                </c:pt>
                <c:pt idx="30">
                  <c:v>2043</c:v>
                </c:pt>
                <c:pt idx="31">
                  <c:v>2044</c:v>
                </c:pt>
                <c:pt idx="32">
                  <c:v>2045</c:v>
                </c:pt>
                <c:pt idx="33">
                  <c:v>2046</c:v>
                </c:pt>
                <c:pt idx="34">
                  <c:v>2047</c:v>
                </c:pt>
                <c:pt idx="35">
                  <c:v>2048</c:v>
                </c:pt>
                <c:pt idx="36">
                  <c:v>2049</c:v>
                </c:pt>
                <c:pt idx="37">
                  <c:v>2050</c:v>
                </c:pt>
                <c:pt idx="38">
                  <c:v>2051</c:v>
                </c:pt>
                <c:pt idx="39">
                  <c:v>2052</c:v>
                </c:pt>
                <c:pt idx="40">
                  <c:v>2053</c:v>
                </c:pt>
                <c:pt idx="41">
                  <c:v>2054</c:v>
                </c:pt>
                <c:pt idx="42">
                  <c:v>2055</c:v>
                </c:pt>
                <c:pt idx="43">
                  <c:v>2056</c:v>
                </c:pt>
                <c:pt idx="44">
                  <c:v>2057</c:v>
                </c:pt>
                <c:pt idx="45">
                  <c:v>2058</c:v>
                </c:pt>
                <c:pt idx="46">
                  <c:v>2059</c:v>
                </c:pt>
                <c:pt idx="47">
                  <c:v>2060</c:v>
                </c:pt>
                <c:pt idx="48">
                  <c:v>2061</c:v>
                </c:pt>
                <c:pt idx="49">
                  <c:v>2062</c:v>
                </c:pt>
                <c:pt idx="50">
                  <c:v>2063</c:v>
                </c:pt>
                <c:pt idx="51">
                  <c:v>2064</c:v>
                </c:pt>
                <c:pt idx="52">
                  <c:v>2065</c:v>
                </c:pt>
                <c:pt idx="53">
                  <c:v>2066</c:v>
                </c:pt>
                <c:pt idx="54">
                  <c:v>2067</c:v>
                </c:pt>
                <c:pt idx="55">
                  <c:v>2068</c:v>
                </c:pt>
                <c:pt idx="56">
                  <c:v>2069</c:v>
                </c:pt>
                <c:pt idx="57">
                  <c:v>2070</c:v>
                </c:pt>
              </c:numCache>
            </c:numRef>
          </c:cat>
          <c:val>
            <c:numRef>
              <c:f>P.Com!$D$151:$BI$151</c:f>
              <c:numCache>
                <c:formatCode>#,##0.00</c:formatCode>
                <c:ptCount val="58"/>
                <c:pt idx="0">
                  <c:v>163.95999999999998</c:v>
                </c:pt>
                <c:pt idx="1">
                  <c:v>167.03</c:v>
                </c:pt>
                <c:pt idx="2">
                  <c:v>169.87</c:v>
                </c:pt>
                <c:pt idx="3">
                  <c:v>171.42999999999998</c:v>
                </c:pt>
                <c:pt idx="4">
                  <c:v>169.47</c:v>
                </c:pt>
                <c:pt idx="5">
                  <c:v>165.70999999999998</c:v>
                </c:pt>
                <c:pt idx="6">
                  <c:v>165.41</c:v>
                </c:pt>
                <c:pt idx="7">
                  <c:v>176.76</c:v>
                </c:pt>
                <c:pt idx="8">
                  <c:v>170.83</c:v>
                </c:pt>
                <c:pt idx="9">
                  <c:v>181.46751098535287</c:v>
                </c:pt>
                <c:pt idx="10">
                  <c:v>177.46580925432758</c:v>
                </c:pt>
                <c:pt idx="11">
                  <c:v>175.76702885585971</c:v>
                </c:pt>
                <c:pt idx="12">
                  <c:v>176.18630893336478</c:v>
                </c:pt>
                <c:pt idx="13">
                  <c:v>176.604295235471</c:v>
                </c:pt>
                <c:pt idx="14">
                  <c:v>177.02081356602164</c:v>
                </c:pt>
                <c:pt idx="15">
                  <c:v>177.43675167512433</c:v>
                </c:pt>
                <c:pt idx="16">
                  <c:v>177.85387975764388</c:v>
                </c:pt>
                <c:pt idx="17">
                  <c:v>178.27422014938389</c:v>
                </c:pt>
                <c:pt idx="18">
                  <c:v>178.69974445096966</c:v>
                </c:pt>
                <c:pt idx="19">
                  <c:v>179.13220909017588</c:v>
                </c:pt>
                <c:pt idx="20">
                  <c:v>179.57323129464652</c:v>
                </c:pt>
                <c:pt idx="21">
                  <c:v>180.02419438705934</c:v>
                </c:pt>
                <c:pt idx="22">
                  <c:v>180.48603147445945</c:v>
                </c:pt>
                <c:pt idx="23">
                  <c:v>180.95904261990029</c:v>
                </c:pt>
                <c:pt idx="24">
                  <c:v>181.44285876377523</c:v>
                </c:pt>
                <c:pt idx="25">
                  <c:v>181.93660564146029</c:v>
                </c:pt>
                <c:pt idx="26">
                  <c:v>182.43927446278369</c:v>
                </c:pt>
                <c:pt idx="27">
                  <c:v>182.95006601437029</c:v>
                </c:pt>
                <c:pt idx="28">
                  <c:v>183.46875241964057</c:v>
                </c:pt>
                <c:pt idx="29">
                  <c:v>183.99571904946094</c:v>
                </c:pt>
                <c:pt idx="30">
                  <c:v>184.53183508543751</c:v>
                </c:pt>
                <c:pt idx="31">
                  <c:v>185.07825552269634</c:v>
                </c:pt>
                <c:pt idx="32">
                  <c:v>185.63630255542103</c:v>
                </c:pt>
                <c:pt idx="33">
                  <c:v>186.20733022276099</c:v>
                </c:pt>
                <c:pt idx="34">
                  <c:v>186.7926979001268</c:v>
                </c:pt>
                <c:pt idx="35">
                  <c:v>187.39358011698067</c:v>
                </c:pt>
                <c:pt idx="36">
                  <c:v>188.01090086092927</c:v>
                </c:pt>
                <c:pt idx="37">
                  <c:v>188.64525584675997</c:v>
                </c:pt>
                <c:pt idx="38">
                  <c:v>189.29698848928078</c:v>
                </c:pt>
                <c:pt idx="39">
                  <c:v>189.9661619709571</c:v>
                </c:pt>
                <c:pt idx="40">
                  <c:v>190.6526234489518</c:v>
                </c:pt>
                <c:pt idx="41">
                  <c:v>191.35613895232186</c:v>
                </c:pt>
                <c:pt idx="42">
                  <c:v>192.07663218365616</c:v>
                </c:pt>
                <c:pt idx="43">
                  <c:v>192.81435511724109</c:v>
                </c:pt>
                <c:pt idx="44">
                  <c:v>193.56992486244224</c:v>
                </c:pt>
                <c:pt idx="45">
                  <c:v>194.34424082685314</c:v>
                </c:pt>
                <c:pt idx="46">
                  <c:v>195.13835310067643</c:v>
                </c:pt>
                <c:pt idx="47">
                  <c:v>195.95338481778327</c:v>
                </c:pt>
                <c:pt idx="48">
                  <c:v>196.79049480193856</c:v>
                </c:pt>
                <c:pt idx="49">
                  <c:v>197.65079765470918</c:v>
                </c:pt>
                <c:pt idx="50">
                  <c:v>198.53532509940612</c:v>
                </c:pt>
                <c:pt idx="51">
                  <c:v>199.44493951824629</c:v>
                </c:pt>
                <c:pt idx="52">
                  <c:v>200.38032654748497</c:v>
                </c:pt>
                <c:pt idx="53">
                  <c:v>201.34198345866298</c:v>
                </c:pt>
                <c:pt idx="54">
                  <c:v>202.33026663193266</c:v>
                </c:pt>
                <c:pt idx="55">
                  <c:v>203.34545072637241</c:v>
                </c:pt>
                <c:pt idx="56">
                  <c:v>204.38780881834822</c:v>
                </c:pt>
                <c:pt idx="57">
                  <c:v>205.45771004618859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B120-49F0-B732-E3C55DD1DA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31656128"/>
        <c:axId val="1731657088"/>
      </c:lineChart>
      <c:catAx>
        <c:axId val="1731656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1657088"/>
        <c:crosses val="autoZero"/>
        <c:auto val="1"/>
        <c:lblAlgn val="ctr"/>
        <c:lblOffset val="100"/>
        <c:noMultiLvlLbl val="0"/>
      </c:catAx>
      <c:valAx>
        <c:axId val="1731657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16561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Público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P.Pub!$C$33</c:f>
              <c:strCache>
                <c:ptCount val="1"/>
                <c:pt idx="0">
                  <c:v>Proyección por sector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P.Pub!$D$32:$BI$32</c:f>
              <c:numCache>
                <c:formatCode>General</c:formatCode>
                <c:ptCount val="58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  <c:pt idx="13">
                  <c:v>2026</c:v>
                </c:pt>
                <c:pt idx="14">
                  <c:v>2027</c:v>
                </c:pt>
                <c:pt idx="15">
                  <c:v>2028</c:v>
                </c:pt>
                <c:pt idx="16">
                  <c:v>2029</c:v>
                </c:pt>
                <c:pt idx="17">
                  <c:v>2030</c:v>
                </c:pt>
                <c:pt idx="18">
                  <c:v>2031</c:v>
                </c:pt>
                <c:pt idx="19">
                  <c:v>2032</c:v>
                </c:pt>
                <c:pt idx="20">
                  <c:v>2033</c:v>
                </c:pt>
                <c:pt idx="21">
                  <c:v>2034</c:v>
                </c:pt>
                <c:pt idx="22">
                  <c:v>2035</c:v>
                </c:pt>
                <c:pt idx="23">
                  <c:v>2036</c:v>
                </c:pt>
                <c:pt idx="24">
                  <c:v>2037</c:v>
                </c:pt>
                <c:pt idx="25">
                  <c:v>2038</c:v>
                </c:pt>
                <c:pt idx="26">
                  <c:v>2039</c:v>
                </c:pt>
                <c:pt idx="27">
                  <c:v>2040</c:v>
                </c:pt>
                <c:pt idx="28">
                  <c:v>2041</c:v>
                </c:pt>
                <c:pt idx="29">
                  <c:v>2042</c:v>
                </c:pt>
                <c:pt idx="30">
                  <c:v>2043</c:v>
                </c:pt>
                <c:pt idx="31">
                  <c:v>2044</c:v>
                </c:pt>
                <c:pt idx="32">
                  <c:v>2045</c:v>
                </c:pt>
                <c:pt idx="33">
                  <c:v>2046</c:v>
                </c:pt>
                <c:pt idx="34">
                  <c:v>2047</c:v>
                </c:pt>
                <c:pt idx="35">
                  <c:v>2048</c:v>
                </c:pt>
                <c:pt idx="36">
                  <c:v>2049</c:v>
                </c:pt>
                <c:pt idx="37">
                  <c:v>2050</c:v>
                </c:pt>
                <c:pt idx="38">
                  <c:v>2051</c:v>
                </c:pt>
                <c:pt idx="39">
                  <c:v>2052</c:v>
                </c:pt>
                <c:pt idx="40">
                  <c:v>2053</c:v>
                </c:pt>
                <c:pt idx="41">
                  <c:v>2054</c:v>
                </c:pt>
                <c:pt idx="42">
                  <c:v>2055</c:v>
                </c:pt>
                <c:pt idx="43">
                  <c:v>2056</c:v>
                </c:pt>
                <c:pt idx="44">
                  <c:v>2057</c:v>
                </c:pt>
                <c:pt idx="45">
                  <c:v>2058</c:v>
                </c:pt>
                <c:pt idx="46">
                  <c:v>2059</c:v>
                </c:pt>
                <c:pt idx="47">
                  <c:v>2060</c:v>
                </c:pt>
                <c:pt idx="48">
                  <c:v>2061</c:v>
                </c:pt>
                <c:pt idx="49">
                  <c:v>2062</c:v>
                </c:pt>
                <c:pt idx="50">
                  <c:v>2063</c:v>
                </c:pt>
                <c:pt idx="51">
                  <c:v>2064</c:v>
                </c:pt>
                <c:pt idx="52">
                  <c:v>2065</c:v>
                </c:pt>
                <c:pt idx="53">
                  <c:v>2066</c:v>
                </c:pt>
                <c:pt idx="54">
                  <c:v>2067</c:v>
                </c:pt>
                <c:pt idx="55">
                  <c:v>2068</c:v>
                </c:pt>
                <c:pt idx="56">
                  <c:v>2069</c:v>
                </c:pt>
                <c:pt idx="57">
                  <c:v>2070</c:v>
                </c:pt>
              </c:numCache>
            </c:numRef>
          </c:cat>
          <c:val>
            <c:numRef>
              <c:f>P.Pub!$D$33:$BI$33</c:f>
              <c:numCache>
                <c:formatCode>#,##0.00</c:formatCode>
                <c:ptCount val="58"/>
                <c:pt idx="0">
                  <c:v>26.47</c:v>
                </c:pt>
                <c:pt idx="1">
                  <c:v>25.159999999999997</c:v>
                </c:pt>
                <c:pt idx="2">
                  <c:v>25.68</c:v>
                </c:pt>
                <c:pt idx="3">
                  <c:v>24.85</c:v>
                </c:pt>
                <c:pt idx="4">
                  <c:v>24.18</c:v>
                </c:pt>
                <c:pt idx="5">
                  <c:v>24.83</c:v>
                </c:pt>
                <c:pt idx="6">
                  <c:v>24.76</c:v>
                </c:pt>
                <c:pt idx="7">
                  <c:v>23.72</c:v>
                </c:pt>
                <c:pt idx="8">
                  <c:v>22.619999999999997</c:v>
                </c:pt>
                <c:pt idx="9">
                  <c:v>23.911701065246337</c:v>
                </c:pt>
                <c:pt idx="10">
                  <c:v>21.983645139813582</c:v>
                </c:pt>
                <c:pt idx="11">
                  <c:v>21.596847533852827</c:v>
                </c:pt>
                <c:pt idx="12">
                  <c:v>21.216855550300252</c:v>
                </c:pt>
                <c:pt idx="13">
                  <c:v>20.843549445663008</c:v>
                </c:pt>
                <c:pt idx="14">
                  <c:v>20.476811583309786</c:v>
                </c:pt>
                <c:pt idx="15">
                  <c:v>20.116526396401021</c:v>
                </c:pt>
                <c:pt idx="16">
                  <c:v>19.762580351471357</c:v>
                </c:pt>
                <c:pt idx="17">
                  <c:v>19.414861912652842</c:v>
                </c:pt>
                <c:pt idx="18">
                  <c:v>19.073261506527636</c:v>
                </c:pt>
                <c:pt idx="19">
                  <c:v>18.737671487599098</c:v>
                </c:pt>
                <c:pt idx="20">
                  <c:v>18.407986104370433</c:v>
                </c:pt>
                <c:pt idx="21">
                  <c:v>18.084101466020158</c:v>
                </c:pt>
                <c:pt idx="22">
                  <c:v>17.765915509663909</c:v>
                </c:pt>
                <c:pt idx="23">
                  <c:v>17.45332796819228</c:v>
                </c:pt>
                <c:pt idx="24">
                  <c:v>17.146240338674534</c:v>
                </c:pt>
                <c:pt idx="25">
                  <c:v>16.844555851318255</c:v>
                </c:pt>
                <c:pt idx="26">
                  <c:v>16.54817943897514</c:v>
                </c:pt>
                <c:pt idx="27">
                  <c:v>16.257017707183337</c:v>
                </c:pt>
                <c:pt idx="28">
                  <c:v>15.970978904736882</c:v>
                </c:pt>
                <c:pt idx="29">
                  <c:v>15.689972894772952</c:v>
                </c:pt>
                <c:pt idx="30">
                  <c:v>15.413911126367843</c:v>
                </c:pt>
                <c:pt idx="31">
                  <c:v>15.142706606632702</c:v>
                </c:pt>
                <c:pt idx="32">
                  <c:v>14.87627387330023</c:v>
                </c:pt>
                <c:pt idx="33">
                  <c:v>14.614528967793724</c:v>
                </c:pt>
                <c:pt idx="34">
                  <c:v>14.357389408769954</c:v>
                </c:pt>
                <c:pt idx="35">
                  <c:v>14.10477416612755</c:v>
                </c:pt>
                <c:pt idx="36">
                  <c:v>13.856603635472709</c:v>
                </c:pt>
                <c:pt idx="37">
                  <c:v>13.612799613034172</c:v>
                </c:pt>
                <c:pt idx="38">
                  <c:v>13.373285271019563</c:v>
                </c:pt>
                <c:pt idx="39">
                  <c:v>13.13798513340533</c:v>
                </c:pt>
                <c:pt idx="40">
                  <c:v>12.90682505215266</c:v>
                </c:pt>
                <c:pt idx="41">
                  <c:v>12.679732183841866</c:v>
                </c:pt>
                <c:pt idx="42">
                  <c:v>12.456634966717884</c:v>
                </c:pt>
                <c:pt idx="43">
                  <c:v>12.237463098139662</c:v>
                </c:pt>
                <c:pt idx="44">
                  <c:v>12.022147512426308</c:v>
                </c:pt>
                <c:pt idx="45">
                  <c:v>11.810620359093038</c:v>
                </c:pt>
                <c:pt idx="46">
                  <c:v>11.602814981470059</c:v>
                </c:pt>
                <c:pt idx="47">
                  <c:v>11.398665895697642</c:v>
                </c:pt>
                <c:pt idx="48">
                  <c:v>11.198108770090776</c:v>
                </c:pt>
                <c:pt idx="49">
                  <c:v>11.001080404866903</c:v>
                </c:pt>
                <c:pt idx="50">
                  <c:v>10.807518712230321</c:v>
                </c:pt>
                <c:pt idx="51">
                  <c:v>10.617362696807021</c:v>
                </c:pt>
                <c:pt idx="52">
                  <c:v>10.430552436423751</c:v>
                </c:pt>
                <c:pt idx="53">
                  <c:v>10.247029063225277</c:v>
                </c:pt>
                <c:pt idx="54">
                  <c:v>10.066734745123879</c:v>
                </c:pt>
                <c:pt idx="55">
                  <c:v>9.8896126675752392</c:v>
                </c:pt>
                <c:pt idx="56">
                  <c:v>9.7156070156749781</c:v>
                </c:pt>
                <c:pt idx="57">
                  <c:v>9.5446629565702068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B0B-4B50-AB03-88D04AA35CCB}"/>
            </c:ext>
          </c:extLst>
        </c:ser>
        <c:ser>
          <c:idx val="1"/>
          <c:order val="1"/>
          <c:tx>
            <c:strRef>
              <c:f>P.Pub!$C$34</c:f>
              <c:strCache>
                <c:ptCount val="1"/>
                <c:pt idx="0">
                  <c:v>Proyección por sector (13-19)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P.Pub!$D$32:$BI$32</c:f>
              <c:numCache>
                <c:formatCode>General</c:formatCode>
                <c:ptCount val="58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  <c:pt idx="13">
                  <c:v>2026</c:v>
                </c:pt>
                <c:pt idx="14">
                  <c:v>2027</c:v>
                </c:pt>
                <c:pt idx="15">
                  <c:v>2028</c:v>
                </c:pt>
                <c:pt idx="16">
                  <c:v>2029</c:v>
                </c:pt>
                <c:pt idx="17">
                  <c:v>2030</c:v>
                </c:pt>
                <c:pt idx="18">
                  <c:v>2031</c:v>
                </c:pt>
                <c:pt idx="19">
                  <c:v>2032</c:v>
                </c:pt>
                <c:pt idx="20">
                  <c:v>2033</c:v>
                </c:pt>
                <c:pt idx="21">
                  <c:v>2034</c:v>
                </c:pt>
                <c:pt idx="22">
                  <c:v>2035</c:v>
                </c:pt>
                <c:pt idx="23">
                  <c:v>2036</c:v>
                </c:pt>
                <c:pt idx="24">
                  <c:v>2037</c:v>
                </c:pt>
                <c:pt idx="25">
                  <c:v>2038</c:v>
                </c:pt>
                <c:pt idx="26">
                  <c:v>2039</c:v>
                </c:pt>
                <c:pt idx="27">
                  <c:v>2040</c:v>
                </c:pt>
                <c:pt idx="28">
                  <c:v>2041</c:v>
                </c:pt>
                <c:pt idx="29">
                  <c:v>2042</c:v>
                </c:pt>
                <c:pt idx="30">
                  <c:v>2043</c:v>
                </c:pt>
                <c:pt idx="31">
                  <c:v>2044</c:v>
                </c:pt>
                <c:pt idx="32">
                  <c:v>2045</c:v>
                </c:pt>
                <c:pt idx="33">
                  <c:v>2046</c:v>
                </c:pt>
                <c:pt idx="34">
                  <c:v>2047</c:v>
                </c:pt>
                <c:pt idx="35">
                  <c:v>2048</c:v>
                </c:pt>
                <c:pt idx="36">
                  <c:v>2049</c:v>
                </c:pt>
                <c:pt idx="37">
                  <c:v>2050</c:v>
                </c:pt>
                <c:pt idx="38">
                  <c:v>2051</c:v>
                </c:pt>
                <c:pt idx="39">
                  <c:v>2052</c:v>
                </c:pt>
                <c:pt idx="40">
                  <c:v>2053</c:v>
                </c:pt>
                <c:pt idx="41">
                  <c:v>2054</c:v>
                </c:pt>
                <c:pt idx="42">
                  <c:v>2055</c:v>
                </c:pt>
                <c:pt idx="43">
                  <c:v>2056</c:v>
                </c:pt>
                <c:pt idx="44">
                  <c:v>2057</c:v>
                </c:pt>
                <c:pt idx="45">
                  <c:v>2058</c:v>
                </c:pt>
                <c:pt idx="46">
                  <c:v>2059</c:v>
                </c:pt>
                <c:pt idx="47">
                  <c:v>2060</c:v>
                </c:pt>
                <c:pt idx="48">
                  <c:v>2061</c:v>
                </c:pt>
                <c:pt idx="49">
                  <c:v>2062</c:v>
                </c:pt>
                <c:pt idx="50">
                  <c:v>2063</c:v>
                </c:pt>
                <c:pt idx="51">
                  <c:v>2064</c:v>
                </c:pt>
                <c:pt idx="52">
                  <c:v>2065</c:v>
                </c:pt>
                <c:pt idx="53">
                  <c:v>2066</c:v>
                </c:pt>
                <c:pt idx="54">
                  <c:v>2067</c:v>
                </c:pt>
                <c:pt idx="55">
                  <c:v>2068</c:v>
                </c:pt>
                <c:pt idx="56">
                  <c:v>2069</c:v>
                </c:pt>
                <c:pt idx="57">
                  <c:v>2070</c:v>
                </c:pt>
              </c:numCache>
            </c:numRef>
          </c:cat>
          <c:val>
            <c:numRef>
              <c:f>P.Pub!$D$34:$BI$34</c:f>
              <c:numCache>
                <c:formatCode>#,##0.00</c:formatCode>
                <c:ptCount val="58"/>
                <c:pt idx="0">
                  <c:v>26.47</c:v>
                </c:pt>
                <c:pt idx="1">
                  <c:v>25.159999999999997</c:v>
                </c:pt>
                <c:pt idx="2">
                  <c:v>25.68</c:v>
                </c:pt>
                <c:pt idx="3">
                  <c:v>24.85</c:v>
                </c:pt>
                <c:pt idx="4">
                  <c:v>24.18</c:v>
                </c:pt>
                <c:pt idx="5">
                  <c:v>24.83</c:v>
                </c:pt>
                <c:pt idx="6">
                  <c:v>24.76</c:v>
                </c:pt>
                <c:pt idx="7">
                  <c:v>23.72</c:v>
                </c:pt>
                <c:pt idx="8">
                  <c:v>22.619999999999997</c:v>
                </c:pt>
                <c:pt idx="9">
                  <c:v>23.911701065246337</c:v>
                </c:pt>
                <c:pt idx="10">
                  <c:v>21.983645139813582</c:v>
                </c:pt>
                <c:pt idx="11">
                  <c:v>21.748997738984411</c:v>
                </c:pt>
                <c:pt idx="12">
                  <c:v>21.516854900176948</c:v>
                </c:pt>
                <c:pt idx="13">
                  <c:v>21.287189890382866</c:v>
                </c:pt>
                <c:pt idx="14">
                  <c:v>21.059976261934636</c:v>
                </c:pt>
                <c:pt idx="15">
                  <c:v>20.835187849459885</c:v>
                </c:pt>
                <c:pt idx="16">
                  <c:v>20.612798766868245</c:v>
                </c:pt>
                <c:pt idx="17">
                  <c:v>20.392783404370388</c:v>
                </c:pt>
                <c:pt idx="18">
                  <c:v>20.175116425528845</c:v>
                </c:pt>
                <c:pt idx="19">
                  <c:v>19.959772764340343</c:v>
                </c:pt>
                <c:pt idx="20">
                  <c:v>19.746727622349251</c:v>
                </c:pt>
                <c:pt idx="21">
                  <c:v>19.535956465791859</c:v>
                </c:pt>
                <c:pt idx="22">
                  <c:v>19.327435022771116</c:v>
                </c:pt>
                <c:pt idx="23">
                  <c:v>19.121139280461549</c:v>
                </c:pt>
                <c:pt idx="24">
                  <c:v>18.917045482344005</c:v>
                </c:pt>
                <c:pt idx="25">
                  <c:v>18.715130125469894</c:v>
                </c:pt>
                <c:pt idx="26">
                  <c:v>18.515369957754665</c:v>
                </c:pt>
                <c:pt idx="27">
                  <c:v>18.317741975300137</c:v>
                </c:pt>
                <c:pt idx="28">
                  <c:v>18.122223419745431</c:v>
                </c:pt>
                <c:pt idx="29">
                  <c:v>17.928791775646175</c:v>
                </c:pt>
                <c:pt idx="30">
                  <c:v>17.737424767881674</c:v>
                </c:pt>
                <c:pt idx="31">
                  <c:v>17.548100359089762</c:v>
                </c:pt>
                <c:pt idx="32">
                  <c:v>17.36079674712904</c:v>
                </c:pt>
                <c:pt idx="33">
                  <c:v>17.175492362568185</c:v>
                </c:pt>
                <c:pt idx="34">
                  <c:v>16.992165866202075</c:v>
                </c:pt>
                <c:pt idx="35">
                  <c:v>16.810796146594406</c:v>
                </c:pt>
                <c:pt idx="36">
                  <c:v>16.631362317646563</c:v>
                </c:pt>
                <c:pt idx="37">
                  <c:v>16.453843716192416</c:v>
                </c:pt>
                <c:pt idx="38">
                  <c:v>16.278219899618808</c:v>
                </c:pt>
                <c:pt idx="39">
                  <c:v>16.104470643511426</c:v>
                </c:pt>
                <c:pt idx="40">
                  <c:v>15.932575939325819</c:v>
                </c:pt>
                <c:pt idx="41">
                  <c:v>15.762515992083244</c:v>
                </c:pt>
                <c:pt idx="42">
                  <c:v>15.594271218091139</c:v>
                </c:pt>
                <c:pt idx="43">
                  <c:v>15.427822242687906</c:v>
                </c:pt>
                <c:pt idx="44">
                  <c:v>15.263149898011774</c:v>
                </c:pt>
                <c:pt idx="45">
                  <c:v>15.100235220793468</c:v>
                </c:pt>
                <c:pt idx="46">
                  <c:v>14.939059450172458</c:v>
                </c:pt>
                <c:pt idx="47">
                  <c:v>14.779604025536489</c:v>
                </c:pt>
                <c:pt idx="48">
                  <c:v>14.621850584384196</c:v>
                </c:pt>
                <c:pt idx="49">
                  <c:v>14.465780960210516</c:v>
                </c:pt>
                <c:pt idx="50">
                  <c:v>14.311377180414684</c:v>
                </c:pt>
                <c:pt idx="51">
                  <c:v>14.158621464230544</c:v>
                </c:pt>
                <c:pt idx="52">
                  <c:v>14.007496220678965</c:v>
                </c:pt>
                <c:pt idx="53">
                  <c:v>13.857984046542104</c:v>
                </c:pt>
                <c:pt idx="54">
                  <c:v>13.710067724359295</c:v>
                </c:pt>
                <c:pt idx="55">
                  <c:v>13.563730220444324</c:v>
                </c:pt>
                <c:pt idx="56">
                  <c:v>13.418954682923873</c:v>
                </c:pt>
                <c:pt idx="57">
                  <c:v>13.275724439796903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B0B-4B50-AB03-88D04AA35CCB}"/>
            </c:ext>
          </c:extLst>
        </c:ser>
        <c:ser>
          <c:idx val="2"/>
          <c:order val="2"/>
          <c:tx>
            <c:strRef>
              <c:f>P.Pub!$C$35</c:f>
              <c:strCache>
                <c:ptCount val="1"/>
                <c:pt idx="0">
                  <c:v>Proyección por uso final (13-23)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P.Pub!$D$32:$BI$32</c:f>
              <c:numCache>
                <c:formatCode>General</c:formatCode>
                <c:ptCount val="58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  <c:pt idx="13">
                  <c:v>2026</c:v>
                </c:pt>
                <c:pt idx="14">
                  <c:v>2027</c:v>
                </c:pt>
                <c:pt idx="15">
                  <c:v>2028</c:v>
                </c:pt>
                <c:pt idx="16">
                  <c:v>2029</c:v>
                </c:pt>
                <c:pt idx="17">
                  <c:v>2030</c:v>
                </c:pt>
                <c:pt idx="18">
                  <c:v>2031</c:v>
                </c:pt>
                <c:pt idx="19">
                  <c:v>2032</c:v>
                </c:pt>
                <c:pt idx="20">
                  <c:v>2033</c:v>
                </c:pt>
                <c:pt idx="21">
                  <c:v>2034</c:v>
                </c:pt>
                <c:pt idx="22">
                  <c:v>2035</c:v>
                </c:pt>
                <c:pt idx="23">
                  <c:v>2036</c:v>
                </c:pt>
                <c:pt idx="24">
                  <c:v>2037</c:v>
                </c:pt>
                <c:pt idx="25">
                  <c:v>2038</c:v>
                </c:pt>
                <c:pt idx="26">
                  <c:v>2039</c:v>
                </c:pt>
                <c:pt idx="27">
                  <c:v>2040</c:v>
                </c:pt>
                <c:pt idx="28">
                  <c:v>2041</c:v>
                </c:pt>
                <c:pt idx="29">
                  <c:v>2042</c:v>
                </c:pt>
                <c:pt idx="30">
                  <c:v>2043</c:v>
                </c:pt>
                <c:pt idx="31">
                  <c:v>2044</c:v>
                </c:pt>
                <c:pt idx="32">
                  <c:v>2045</c:v>
                </c:pt>
                <c:pt idx="33">
                  <c:v>2046</c:v>
                </c:pt>
                <c:pt idx="34">
                  <c:v>2047</c:v>
                </c:pt>
                <c:pt idx="35">
                  <c:v>2048</c:v>
                </c:pt>
                <c:pt idx="36">
                  <c:v>2049</c:v>
                </c:pt>
                <c:pt idx="37">
                  <c:v>2050</c:v>
                </c:pt>
                <c:pt idx="38">
                  <c:v>2051</c:v>
                </c:pt>
                <c:pt idx="39">
                  <c:v>2052</c:v>
                </c:pt>
                <c:pt idx="40">
                  <c:v>2053</c:v>
                </c:pt>
                <c:pt idx="41">
                  <c:v>2054</c:v>
                </c:pt>
                <c:pt idx="42">
                  <c:v>2055</c:v>
                </c:pt>
                <c:pt idx="43">
                  <c:v>2056</c:v>
                </c:pt>
                <c:pt idx="44">
                  <c:v>2057</c:v>
                </c:pt>
                <c:pt idx="45">
                  <c:v>2058</c:v>
                </c:pt>
                <c:pt idx="46">
                  <c:v>2059</c:v>
                </c:pt>
                <c:pt idx="47">
                  <c:v>2060</c:v>
                </c:pt>
                <c:pt idx="48">
                  <c:v>2061</c:v>
                </c:pt>
                <c:pt idx="49">
                  <c:v>2062</c:v>
                </c:pt>
                <c:pt idx="50">
                  <c:v>2063</c:v>
                </c:pt>
                <c:pt idx="51">
                  <c:v>2064</c:v>
                </c:pt>
                <c:pt idx="52">
                  <c:v>2065</c:v>
                </c:pt>
                <c:pt idx="53">
                  <c:v>2066</c:v>
                </c:pt>
                <c:pt idx="54">
                  <c:v>2067</c:v>
                </c:pt>
                <c:pt idx="55">
                  <c:v>2068</c:v>
                </c:pt>
                <c:pt idx="56">
                  <c:v>2069</c:v>
                </c:pt>
                <c:pt idx="57">
                  <c:v>2070</c:v>
                </c:pt>
              </c:numCache>
            </c:numRef>
          </c:cat>
          <c:val>
            <c:numRef>
              <c:f>P.Pub!$D$35:$BI$35</c:f>
              <c:numCache>
                <c:formatCode>#,##0.00</c:formatCode>
                <c:ptCount val="58"/>
                <c:pt idx="0">
                  <c:v>26.47</c:v>
                </c:pt>
                <c:pt idx="1">
                  <c:v>25.159999999999997</c:v>
                </c:pt>
                <c:pt idx="2">
                  <c:v>25.68</c:v>
                </c:pt>
                <c:pt idx="3">
                  <c:v>24.85</c:v>
                </c:pt>
                <c:pt idx="4">
                  <c:v>24.18</c:v>
                </c:pt>
                <c:pt idx="5">
                  <c:v>24.83</c:v>
                </c:pt>
                <c:pt idx="6">
                  <c:v>24.76</c:v>
                </c:pt>
                <c:pt idx="7">
                  <c:v>23.72</c:v>
                </c:pt>
                <c:pt idx="8">
                  <c:v>22.619999999999997</c:v>
                </c:pt>
                <c:pt idx="9">
                  <c:v>23.911701065246341</c:v>
                </c:pt>
                <c:pt idx="10">
                  <c:v>21.983645139813586</c:v>
                </c:pt>
                <c:pt idx="11">
                  <c:v>21.607003537170645</c:v>
                </c:pt>
                <c:pt idx="12">
                  <c:v>21.237116509008661</c:v>
                </c:pt>
                <c:pt idx="13">
                  <c:v>20.873856659501246</c:v>
                </c:pt>
                <c:pt idx="14">
                  <c:v>20.517099119758448</c:v>
                </c:pt>
                <c:pt idx="15">
                  <c:v>20.166721495362946</c:v>
                </c:pt>
                <c:pt idx="16">
                  <c:v>19.822603815037461</c:v>
                </c:pt>
                <c:pt idx="17">
                  <c:v>19.484628480418284</c:v>
                </c:pt>
                <c:pt idx="18">
                  <c:v>19.152680216910341</c:v>
                </c:pt>
                <c:pt idx="19">
                  <c:v>18.826646025599906</c:v>
                </c:pt>
                <c:pt idx="20">
                  <c:v>18.50641513620138</c:v>
                </c:pt>
                <c:pt idx="21">
                  <c:v>18.191878961015369</c:v>
                </c:pt>
                <c:pt idx="22">
                  <c:v>17.882931049875559</c:v>
                </c:pt>
                <c:pt idx="23">
                  <c:v>17.579467046062568</c:v>
                </c:pt>
                <c:pt idx="24">
                  <c:v>17.281384643163349</c:v>
                </c:pt>
                <c:pt idx="25">
                  <c:v>16.988583542855274</c:v>
                </c:pt>
                <c:pt idx="26">
                  <c:v>16.700965413594407</c:v>
                </c:pt>
                <c:pt idx="27">
                  <c:v>16.418433850188059</c:v>
                </c:pt>
                <c:pt idx="28">
                  <c:v>16.140894334232065</c:v>
                </c:pt>
                <c:pt idx="29">
                  <c:v>15.868254195393714</c:v>
                </c:pt>
                <c:pt idx="30">
                  <c:v>15.600422573521666</c:v>
                </c:pt>
                <c:pt idx="31">
                  <c:v>15.337310381564679</c:v>
                </c:pt>
                <c:pt idx="32">
                  <c:v>15.078830269281244</c:v>
                </c:pt>
                <c:pt idx="33">
                  <c:v>14.824896587722808</c:v>
                </c:pt>
                <c:pt idx="34">
                  <c:v>14.57542535447347</c:v>
                </c:pt>
                <c:pt idx="35">
                  <c:v>14.330334219629599</c:v>
                </c:pt>
                <c:pt idx="36">
                  <c:v>14.089542432503018</c:v>
                </c:pt>
                <c:pt idx="37">
                  <c:v>13.852970809031952</c:v>
                </c:pt>
                <c:pt idx="38">
                  <c:v>13.620541699884106</c:v>
                </c:pt>
                <c:pt idx="39">
                  <c:v>13.392178959236755</c:v>
                </c:pt>
                <c:pt idx="40">
                  <c:v>13.167807914218949</c:v>
                </c:pt>
                <c:pt idx="41">
                  <c:v>12.947355335001353</c:v>
                </c:pt>
                <c:pt idx="42">
                  <c:v>12.730749405519486</c:v>
                </c:pt>
                <c:pt idx="43">
                  <c:v>12.517919694816554</c:v>
                </c:pt>
                <c:pt idx="44">
                  <c:v>12.308797128992241</c:v>
                </c:pt>
                <c:pt idx="45">
                  <c:v>12.103313963744275</c:v>
                </c:pt>
                <c:pt idx="46">
                  <c:v>11.901403757489755</c:v>
                </c:pt>
                <c:pt idx="47">
                  <c:v>11.7030013450536</c:v>
                </c:pt>
                <c:pt idx="48">
                  <c:v>11.508042811911748</c:v>
                </c:pt>
                <c:pt idx="49">
                  <c:v>11.316465468976947</c:v>
                </c:pt>
                <c:pt idx="50">
                  <c:v>11.128207827915372</c:v>
                </c:pt>
                <c:pt idx="51">
                  <c:v>10.943209576982445</c:v>
                </c:pt>
                <c:pt idx="52">
                  <c:v>10.761411557366579</c:v>
                </c:pt>
                <c:pt idx="53">
                  <c:v>10.582755740029752</c:v>
                </c:pt>
                <c:pt idx="54">
                  <c:v>10.40718520303416</c:v>
                </c:pt>
                <c:pt idx="55">
                  <c:v>10.234644109344307</c:v>
                </c:pt>
                <c:pt idx="56">
                  <c:v>10.065077685094248</c:v>
                </c:pt>
                <c:pt idx="57">
                  <c:v>9.8984321983098837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B0B-4B50-AB03-88D04AA35CCB}"/>
            </c:ext>
          </c:extLst>
        </c:ser>
        <c:ser>
          <c:idx val="3"/>
          <c:order val="3"/>
          <c:tx>
            <c:strRef>
              <c:f>P.Pub!$C$36</c:f>
              <c:strCache>
                <c:ptCount val="1"/>
                <c:pt idx="0">
                  <c:v>Proyección por uso final (13-19)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P.Pub!$D$32:$BI$32</c:f>
              <c:numCache>
                <c:formatCode>General</c:formatCode>
                <c:ptCount val="58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  <c:pt idx="13">
                  <c:v>2026</c:v>
                </c:pt>
                <c:pt idx="14">
                  <c:v>2027</c:v>
                </c:pt>
                <c:pt idx="15">
                  <c:v>2028</c:v>
                </c:pt>
                <c:pt idx="16">
                  <c:v>2029</c:v>
                </c:pt>
                <c:pt idx="17">
                  <c:v>2030</c:v>
                </c:pt>
                <c:pt idx="18">
                  <c:v>2031</c:v>
                </c:pt>
                <c:pt idx="19">
                  <c:v>2032</c:v>
                </c:pt>
                <c:pt idx="20">
                  <c:v>2033</c:v>
                </c:pt>
                <c:pt idx="21">
                  <c:v>2034</c:v>
                </c:pt>
                <c:pt idx="22">
                  <c:v>2035</c:v>
                </c:pt>
                <c:pt idx="23">
                  <c:v>2036</c:v>
                </c:pt>
                <c:pt idx="24">
                  <c:v>2037</c:v>
                </c:pt>
                <c:pt idx="25">
                  <c:v>2038</c:v>
                </c:pt>
                <c:pt idx="26">
                  <c:v>2039</c:v>
                </c:pt>
                <c:pt idx="27">
                  <c:v>2040</c:v>
                </c:pt>
                <c:pt idx="28">
                  <c:v>2041</c:v>
                </c:pt>
                <c:pt idx="29">
                  <c:v>2042</c:v>
                </c:pt>
                <c:pt idx="30">
                  <c:v>2043</c:v>
                </c:pt>
                <c:pt idx="31">
                  <c:v>2044</c:v>
                </c:pt>
                <c:pt idx="32">
                  <c:v>2045</c:v>
                </c:pt>
                <c:pt idx="33">
                  <c:v>2046</c:v>
                </c:pt>
                <c:pt idx="34">
                  <c:v>2047</c:v>
                </c:pt>
                <c:pt idx="35">
                  <c:v>2048</c:v>
                </c:pt>
                <c:pt idx="36">
                  <c:v>2049</c:v>
                </c:pt>
                <c:pt idx="37">
                  <c:v>2050</c:v>
                </c:pt>
                <c:pt idx="38">
                  <c:v>2051</c:v>
                </c:pt>
                <c:pt idx="39">
                  <c:v>2052</c:v>
                </c:pt>
                <c:pt idx="40">
                  <c:v>2053</c:v>
                </c:pt>
                <c:pt idx="41">
                  <c:v>2054</c:v>
                </c:pt>
                <c:pt idx="42">
                  <c:v>2055</c:v>
                </c:pt>
                <c:pt idx="43">
                  <c:v>2056</c:v>
                </c:pt>
                <c:pt idx="44">
                  <c:v>2057</c:v>
                </c:pt>
                <c:pt idx="45">
                  <c:v>2058</c:v>
                </c:pt>
                <c:pt idx="46">
                  <c:v>2059</c:v>
                </c:pt>
                <c:pt idx="47">
                  <c:v>2060</c:v>
                </c:pt>
                <c:pt idx="48">
                  <c:v>2061</c:v>
                </c:pt>
                <c:pt idx="49">
                  <c:v>2062</c:v>
                </c:pt>
                <c:pt idx="50">
                  <c:v>2063</c:v>
                </c:pt>
                <c:pt idx="51">
                  <c:v>2064</c:v>
                </c:pt>
                <c:pt idx="52">
                  <c:v>2065</c:v>
                </c:pt>
                <c:pt idx="53">
                  <c:v>2066</c:v>
                </c:pt>
                <c:pt idx="54">
                  <c:v>2067</c:v>
                </c:pt>
                <c:pt idx="55">
                  <c:v>2068</c:v>
                </c:pt>
                <c:pt idx="56">
                  <c:v>2069</c:v>
                </c:pt>
                <c:pt idx="57">
                  <c:v>2070</c:v>
                </c:pt>
              </c:numCache>
            </c:numRef>
          </c:cat>
          <c:val>
            <c:numRef>
              <c:f>P.Pub!$D$36:$BI$36</c:f>
              <c:numCache>
                <c:formatCode>#,##0.00</c:formatCode>
                <c:ptCount val="58"/>
                <c:pt idx="0">
                  <c:v>26.47</c:v>
                </c:pt>
                <c:pt idx="1">
                  <c:v>25.159999999999997</c:v>
                </c:pt>
                <c:pt idx="2">
                  <c:v>25.68</c:v>
                </c:pt>
                <c:pt idx="3">
                  <c:v>24.85</c:v>
                </c:pt>
                <c:pt idx="4">
                  <c:v>24.18</c:v>
                </c:pt>
                <c:pt idx="5">
                  <c:v>24.83</c:v>
                </c:pt>
                <c:pt idx="6">
                  <c:v>24.76</c:v>
                </c:pt>
                <c:pt idx="7">
                  <c:v>23.72</c:v>
                </c:pt>
                <c:pt idx="8">
                  <c:v>22.619999999999997</c:v>
                </c:pt>
                <c:pt idx="9">
                  <c:v>23.911701065246341</c:v>
                </c:pt>
                <c:pt idx="10">
                  <c:v>21.983645139813586</c:v>
                </c:pt>
                <c:pt idx="11">
                  <c:v>21.764161358626684</c:v>
                </c:pt>
                <c:pt idx="12">
                  <c:v>21.547064045595103</c:v>
                </c:pt>
                <c:pt idx="13">
                  <c:v>21.332324782907566</c:v>
                </c:pt>
                <c:pt idx="14">
                  <c:v>21.119915519843744</c:v>
                </c:pt>
                <c:pt idx="15">
                  <c:v>20.90980856772789</c:v>
                </c:pt>
                <c:pt idx="16">
                  <c:v>20.701976594954779</c:v>
                </c:pt>
                <c:pt idx="17">
                  <c:v>20.496392622086965</c:v>
                </c:pt>
                <c:pt idx="18">
                  <c:v>20.293030017022236</c:v>
                </c:pt>
                <c:pt idx="19">
                  <c:v>20.091862490230334</c:v>
                </c:pt>
                <c:pt idx="20">
                  <c:v>19.892864090057788</c:v>
                </c:pt>
                <c:pt idx="21">
                  <c:v>19.696009198099997</c:v>
                </c:pt>
                <c:pt idx="22">
                  <c:v>19.501272524639472</c:v>
                </c:pt>
                <c:pt idx="23">
                  <c:v>19.308629104149293</c:v>
                </c:pt>
                <c:pt idx="24">
                  <c:v>19.118054290860872</c:v>
                </c:pt>
                <c:pt idx="25">
                  <c:v>18.929523754394996</c:v>
                </c:pt>
                <c:pt idx="26">
                  <c:v>18.743013475455289</c:v>
                </c:pt>
                <c:pt idx="27">
                  <c:v>18.558499741583134</c:v>
                </c:pt>
                <c:pt idx="28">
                  <c:v>18.375959142973176</c:v>
                </c:pt>
                <c:pt idx="29">
                  <c:v>18.195368568348499</c:v>
                </c:pt>
                <c:pt idx="30">
                  <c:v>18.016705200894645</c:v>
                </c:pt>
                <c:pt idx="31">
                  <c:v>17.839946514251519</c:v>
                </c:pt>
                <c:pt idx="32">
                  <c:v>17.665070268562459</c:v>
                </c:pt>
                <c:pt idx="33">
                  <c:v>17.49205450657951</c:v>
                </c:pt>
                <c:pt idx="34">
                  <c:v>17.320877549824178</c:v>
                </c:pt>
                <c:pt idx="35">
                  <c:v>17.151517994802763</c:v>
                </c:pt>
                <c:pt idx="36">
                  <c:v>16.983954709275562</c:v>
                </c:pt>
                <c:pt idx="37">
                  <c:v>16.818166828579063</c:v>
                </c:pt>
                <c:pt idx="38">
                  <c:v>16.65413375200043</c:v>
                </c:pt>
                <c:pt idx="39">
                  <c:v>16.49183513920347</c:v>
                </c:pt>
                <c:pt idx="40">
                  <c:v>16.331250906705332</c:v>
                </c:pt>
                <c:pt idx="41">
                  <c:v>16.172361224403215</c:v>
                </c:pt>
                <c:pt idx="42">
                  <c:v>16.015146512150345</c:v>
                </c:pt>
                <c:pt idx="43">
                  <c:v>15.85958743638049</c:v>
                </c:pt>
                <c:pt idx="44">
                  <c:v>15.705664906780305</c:v>
                </c:pt>
                <c:pt idx="45">
                  <c:v>15.553360073008839</c:v>
                </c:pt>
                <c:pt idx="46">
                  <c:v>15.402654321463476</c:v>
                </c:pt>
                <c:pt idx="47">
                  <c:v>15.253529272091631</c:v>
                </c:pt>
                <c:pt idx="48">
                  <c:v>15.105966775247593</c:v>
                </c:pt>
                <c:pt idx="49">
                  <c:v>14.959948908593757</c:v>
                </c:pt>
                <c:pt idx="50">
                  <c:v>14.815457974045703</c:v>
                </c:pt>
                <c:pt idx="51">
                  <c:v>14.672476494760389</c:v>
                </c:pt>
                <c:pt idx="52">
                  <c:v>14.530987212166909</c:v>
                </c:pt>
                <c:pt idx="53">
                  <c:v>14.390973083039123</c:v>
                </c:pt>
                <c:pt idx="54">
                  <c:v>14.252417276609615</c:v>
                </c:pt>
                <c:pt idx="55">
                  <c:v>14.115303171724321</c:v>
                </c:pt>
                <c:pt idx="56">
                  <c:v>13.979614354037276</c:v>
                </c:pt>
                <c:pt idx="57">
                  <c:v>13.845334613244869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B0B-4B50-AB03-88D04AA35CCB}"/>
            </c:ext>
          </c:extLst>
        </c:ser>
        <c:ser>
          <c:idx val="4"/>
          <c:order val="4"/>
          <c:tx>
            <c:strRef>
              <c:f>P.Pub!$C$37</c:f>
              <c:strCache>
                <c:ptCount val="1"/>
                <c:pt idx="0">
                  <c:v>Proyección por población (P.Intensidad 13-23)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P.Pub!$D$32:$BI$32</c:f>
              <c:numCache>
                <c:formatCode>General</c:formatCode>
                <c:ptCount val="58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  <c:pt idx="13">
                  <c:v>2026</c:v>
                </c:pt>
                <c:pt idx="14">
                  <c:v>2027</c:v>
                </c:pt>
                <c:pt idx="15">
                  <c:v>2028</c:v>
                </c:pt>
                <c:pt idx="16">
                  <c:v>2029</c:v>
                </c:pt>
                <c:pt idx="17">
                  <c:v>2030</c:v>
                </c:pt>
                <c:pt idx="18">
                  <c:v>2031</c:v>
                </c:pt>
                <c:pt idx="19">
                  <c:v>2032</c:v>
                </c:pt>
                <c:pt idx="20">
                  <c:v>2033</c:v>
                </c:pt>
                <c:pt idx="21">
                  <c:v>2034</c:v>
                </c:pt>
                <c:pt idx="22">
                  <c:v>2035</c:v>
                </c:pt>
                <c:pt idx="23">
                  <c:v>2036</c:v>
                </c:pt>
                <c:pt idx="24">
                  <c:v>2037</c:v>
                </c:pt>
                <c:pt idx="25">
                  <c:v>2038</c:v>
                </c:pt>
                <c:pt idx="26">
                  <c:v>2039</c:v>
                </c:pt>
                <c:pt idx="27">
                  <c:v>2040</c:v>
                </c:pt>
                <c:pt idx="28">
                  <c:v>2041</c:v>
                </c:pt>
                <c:pt idx="29">
                  <c:v>2042</c:v>
                </c:pt>
                <c:pt idx="30">
                  <c:v>2043</c:v>
                </c:pt>
                <c:pt idx="31">
                  <c:v>2044</c:v>
                </c:pt>
                <c:pt idx="32">
                  <c:v>2045</c:v>
                </c:pt>
                <c:pt idx="33">
                  <c:v>2046</c:v>
                </c:pt>
                <c:pt idx="34">
                  <c:v>2047</c:v>
                </c:pt>
                <c:pt idx="35">
                  <c:v>2048</c:v>
                </c:pt>
                <c:pt idx="36">
                  <c:v>2049</c:v>
                </c:pt>
                <c:pt idx="37">
                  <c:v>2050</c:v>
                </c:pt>
                <c:pt idx="38">
                  <c:v>2051</c:v>
                </c:pt>
                <c:pt idx="39">
                  <c:v>2052</c:v>
                </c:pt>
                <c:pt idx="40">
                  <c:v>2053</c:v>
                </c:pt>
                <c:pt idx="41">
                  <c:v>2054</c:v>
                </c:pt>
                <c:pt idx="42">
                  <c:v>2055</c:v>
                </c:pt>
                <c:pt idx="43">
                  <c:v>2056</c:v>
                </c:pt>
                <c:pt idx="44">
                  <c:v>2057</c:v>
                </c:pt>
                <c:pt idx="45">
                  <c:v>2058</c:v>
                </c:pt>
                <c:pt idx="46">
                  <c:v>2059</c:v>
                </c:pt>
                <c:pt idx="47">
                  <c:v>2060</c:v>
                </c:pt>
                <c:pt idx="48">
                  <c:v>2061</c:v>
                </c:pt>
                <c:pt idx="49">
                  <c:v>2062</c:v>
                </c:pt>
                <c:pt idx="50">
                  <c:v>2063</c:v>
                </c:pt>
                <c:pt idx="51">
                  <c:v>2064</c:v>
                </c:pt>
                <c:pt idx="52">
                  <c:v>2065</c:v>
                </c:pt>
                <c:pt idx="53">
                  <c:v>2066</c:v>
                </c:pt>
                <c:pt idx="54">
                  <c:v>2067</c:v>
                </c:pt>
                <c:pt idx="55">
                  <c:v>2068</c:v>
                </c:pt>
                <c:pt idx="56">
                  <c:v>2069</c:v>
                </c:pt>
                <c:pt idx="57">
                  <c:v>2070</c:v>
                </c:pt>
              </c:numCache>
            </c:numRef>
          </c:cat>
          <c:val>
            <c:numRef>
              <c:f>P.Pub!$D$37:$BI$37</c:f>
              <c:numCache>
                <c:formatCode>#,##0.00</c:formatCode>
                <c:ptCount val="58"/>
                <c:pt idx="0">
                  <c:v>26.47</c:v>
                </c:pt>
                <c:pt idx="1">
                  <c:v>25.159999999999997</c:v>
                </c:pt>
                <c:pt idx="2">
                  <c:v>25.68</c:v>
                </c:pt>
                <c:pt idx="3">
                  <c:v>24.85</c:v>
                </c:pt>
                <c:pt idx="4">
                  <c:v>24.18</c:v>
                </c:pt>
                <c:pt idx="5">
                  <c:v>24.83</c:v>
                </c:pt>
                <c:pt idx="6">
                  <c:v>24.76</c:v>
                </c:pt>
                <c:pt idx="7">
                  <c:v>23.72</c:v>
                </c:pt>
                <c:pt idx="8">
                  <c:v>22.619999999999997</c:v>
                </c:pt>
                <c:pt idx="9">
                  <c:v>23.911701065246337</c:v>
                </c:pt>
                <c:pt idx="10">
                  <c:v>21.983645139813582</c:v>
                </c:pt>
                <c:pt idx="11">
                  <c:v>21.983645139813582</c:v>
                </c:pt>
                <c:pt idx="12">
                  <c:v>22.198113940803058</c:v>
                </c:pt>
                <c:pt idx="13">
                  <c:v>22.402147467729467</c:v>
                </c:pt>
                <c:pt idx="14">
                  <c:v>22.595305407046915</c:v>
                </c:pt>
                <c:pt idx="15">
                  <c:v>22.777775147096015</c:v>
                </c:pt>
                <c:pt idx="16">
                  <c:v>22.950292702186317</c:v>
                </c:pt>
                <c:pt idx="17">
                  <c:v>23.113778139259296</c:v>
                </c:pt>
                <c:pt idx="18">
                  <c:v>23.269154076092487</c:v>
                </c:pt>
                <c:pt idx="19">
                  <c:v>23.417240900803254</c:v>
                </c:pt>
                <c:pt idx="20">
                  <c:v>23.558799547407173</c:v>
                </c:pt>
                <c:pt idx="21">
                  <c:v>23.694466743825998</c:v>
                </c:pt>
                <c:pt idx="22">
                  <c:v>23.824607259614904</c:v>
                </c:pt>
                <c:pt idx="23">
                  <c:v>23.949179692742614</c:v>
                </c:pt>
                <c:pt idx="24">
                  <c:v>24.06769232050592</c:v>
                </c:pt>
                <c:pt idx="25">
                  <c:v>24.179291201482492</c:v>
                </c:pt>
                <c:pt idx="26">
                  <c:v>24.282994263793015</c:v>
                </c:pt>
                <c:pt idx="27">
                  <c:v>24.377921469000174</c:v>
                </c:pt>
                <c:pt idx="28">
                  <c:v>24.46355087680449</c:v>
                </c:pt>
                <c:pt idx="29">
                  <c:v>24.539766326056583</c:v>
                </c:pt>
                <c:pt idx="30">
                  <c:v>24.606786600002309</c:v>
                </c:pt>
                <c:pt idx="31">
                  <c:v>24.665041023970723</c:v>
                </c:pt>
                <c:pt idx="32">
                  <c:v>24.715094313819694</c:v>
                </c:pt>
                <c:pt idx="33">
                  <c:v>24.757554549619957</c:v>
                </c:pt>
                <c:pt idx="34">
                  <c:v>24.79305531980274</c:v>
                </c:pt>
                <c:pt idx="35">
                  <c:v>24.822115621395167</c:v>
                </c:pt>
                <c:pt idx="36">
                  <c:v>24.8450845264998</c:v>
                </c:pt>
                <c:pt idx="37">
                  <c:v>24.862073683248372</c:v>
                </c:pt>
                <c:pt idx="38">
                  <c:v>24.873003230850699</c:v>
                </c:pt>
                <c:pt idx="39">
                  <c:v>24.877570797125756</c:v>
                </c:pt>
                <c:pt idx="40">
                  <c:v>24.875290545915067</c:v>
                </c:pt>
                <c:pt idx="41">
                  <c:v>24.865590305070761</c:v>
                </c:pt>
                <c:pt idx="42">
                  <c:v>24.847996992614615</c:v>
                </c:pt>
                <c:pt idx="43">
                  <c:v>24.822278482466061</c:v>
                </c:pt>
                <c:pt idx="44">
                  <c:v>24.788485595127945</c:v>
                </c:pt>
                <c:pt idx="45">
                  <c:v>24.746898530129471</c:v>
                </c:pt>
                <c:pt idx="46">
                  <c:v>24.697929541819974</c:v>
                </c:pt>
                <c:pt idx="47">
                  <c:v>24.642064466357937</c:v>
                </c:pt>
                <c:pt idx="48">
                  <c:v>24.579834466296266</c:v>
                </c:pt>
                <c:pt idx="49">
                  <c:v>24.511749905063148</c:v>
                </c:pt>
                <c:pt idx="50">
                  <c:v>24.438265616348147</c:v>
                </c:pt>
                <c:pt idx="51">
                  <c:v>24.359702809275422</c:v>
                </c:pt>
                <c:pt idx="52">
                  <c:v>24.27623552935086</c:v>
                </c:pt>
                <c:pt idx="53">
                  <c:v>24.187872802609718</c:v>
                </c:pt>
                <c:pt idx="54">
                  <c:v>24.094492581357905</c:v>
                </c:pt>
                <c:pt idx="55">
                  <c:v>23.995888444093506</c:v>
                </c:pt>
                <c:pt idx="56">
                  <c:v>23.891838271862003</c:v>
                </c:pt>
                <c:pt idx="57">
                  <c:v>23.782193135081702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B0B-4B50-AB03-88D04AA35CCB}"/>
            </c:ext>
          </c:extLst>
        </c:ser>
        <c:ser>
          <c:idx val="5"/>
          <c:order val="5"/>
          <c:tx>
            <c:strRef>
              <c:f>P.Pub!$C$38</c:f>
              <c:strCache>
                <c:ptCount val="1"/>
                <c:pt idx="0">
                  <c:v>Proyección por población (Intensidad 13-23)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P.Pub!$D$32:$BI$32</c:f>
              <c:numCache>
                <c:formatCode>General</c:formatCode>
                <c:ptCount val="58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  <c:pt idx="13">
                  <c:v>2026</c:v>
                </c:pt>
                <c:pt idx="14">
                  <c:v>2027</c:v>
                </c:pt>
                <c:pt idx="15">
                  <c:v>2028</c:v>
                </c:pt>
                <c:pt idx="16">
                  <c:v>2029</c:v>
                </c:pt>
                <c:pt idx="17">
                  <c:v>2030</c:v>
                </c:pt>
                <c:pt idx="18">
                  <c:v>2031</c:v>
                </c:pt>
                <c:pt idx="19">
                  <c:v>2032</c:v>
                </c:pt>
                <c:pt idx="20">
                  <c:v>2033</c:v>
                </c:pt>
                <c:pt idx="21">
                  <c:v>2034</c:v>
                </c:pt>
                <c:pt idx="22">
                  <c:v>2035</c:v>
                </c:pt>
                <c:pt idx="23">
                  <c:v>2036</c:v>
                </c:pt>
                <c:pt idx="24">
                  <c:v>2037</c:v>
                </c:pt>
                <c:pt idx="25">
                  <c:v>2038</c:v>
                </c:pt>
                <c:pt idx="26">
                  <c:v>2039</c:v>
                </c:pt>
                <c:pt idx="27">
                  <c:v>2040</c:v>
                </c:pt>
                <c:pt idx="28">
                  <c:v>2041</c:v>
                </c:pt>
                <c:pt idx="29">
                  <c:v>2042</c:v>
                </c:pt>
                <c:pt idx="30">
                  <c:v>2043</c:v>
                </c:pt>
                <c:pt idx="31">
                  <c:v>2044</c:v>
                </c:pt>
                <c:pt idx="32">
                  <c:v>2045</c:v>
                </c:pt>
                <c:pt idx="33">
                  <c:v>2046</c:v>
                </c:pt>
                <c:pt idx="34">
                  <c:v>2047</c:v>
                </c:pt>
                <c:pt idx="35">
                  <c:v>2048</c:v>
                </c:pt>
                <c:pt idx="36">
                  <c:v>2049</c:v>
                </c:pt>
                <c:pt idx="37">
                  <c:v>2050</c:v>
                </c:pt>
                <c:pt idx="38">
                  <c:v>2051</c:v>
                </c:pt>
                <c:pt idx="39">
                  <c:v>2052</c:v>
                </c:pt>
                <c:pt idx="40">
                  <c:v>2053</c:v>
                </c:pt>
                <c:pt idx="41">
                  <c:v>2054</c:v>
                </c:pt>
                <c:pt idx="42">
                  <c:v>2055</c:v>
                </c:pt>
                <c:pt idx="43">
                  <c:v>2056</c:v>
                </c:pt>
                <c:pt idx="44">
                  <c:v>2057</c:v>
                </c:pt>
                <c:pt idx="45">
                  <c:v>2058</c:v>
                </c:pt>
                <c:pt idx="46">
                  <c:v>2059</c:v>
                </c:pt>
                <c:pt idx="47">
                  <c:v>2060</c:v>
                </c:pt>
                <c:pt idx="48">
                  <c:v>2061</c:v>
                </c:pt>
                <c:pt idx="49">
                  <c:v>2062</c:v>
                </c:pt>
                <c:pt idx="50">
                  <c:v>2063</c:v>
                </c:pt>
                <c:pt idx="51">
                  <c:v>2064</c:v>
                </c:pt>
                <c:pt idx="52">
                  <c:v>2065</c:v>
                </c:pt>
                <c:pt idx="53">
                  <c:v>2066</c:v>
                </c:pt>
                <c:pt idx="54">
                  <c:v>2067</c:v>
                </c:pt>
                <c:pt idx="55">
                  <c:v>2068</c:v>
                </c:pt>
                <c:pt idx="56">
                  <c:v>2069</c:v>
                </c:pt>
                <c:pt idx="57">
                  <c:v>2070</c:v>
                </c:pt>
              </c:numCache>
            </c:numRef>
          </c:cat>
          <c:val>
            <c:numRef>
              <c:f>P.Pub!$D$38:$BI$38</c:f>
              <c:numCache>
                <c:formatCode>#,##0.00</c:formatCode>
                <c:ptCount val="58"/>
                <c:pt idx="0">
                  <c:v>26.47</c:v>
                </c:pt>
                <c:pt idx="1">
                  <c:v>25.159999999999997</c:v>
                </c:pt>
                <c:pt idx="2">
                  <c:v>25.68</c:v>
                </c:pt>
                <c:pt idx="3">
                  <c:v>24.85</c:v>
                </c:pt>
                <c:pt idx="4">
                  <c:v>24.18</c:v>
                </c:pt>
                <c:pt idx="5">
                  <c:v>24.83</c:v>
                </c:pt>
                <c:pt idx="6">
                  <c:v>24.76</c:v>
                </c:pt>
                <c:pt idx="7">
                  <c:v>23.72</c:v>
                </c:pt>
                <c:pt idx="8">
                  <c:v>22.619999999999997</c:v>
                </c:pt>
                <c:pt idx="9">
                  <c:v>23.911701065246337</c:v>
                </c:pt>
                <c:pt idx="10">
                  <c:v>21.983645139813582</c:v>
                </c:pt>
                <c:pt idx="11">
                  <c:v>21.549544220305254</c:v>
                </c:pt>
                <c:pt idx="12">
                  <c:v>21.115155310437952</c:v>
                </c:pt>
                <c:pt idx="13">
                  <c:v>20.679950437784633</c:v>
                </c:pt>
                <c:pt idx="14">
                  <c:v>20.244215872537627</c:v>
                </c:pt>
                <c:pt idx="15">
                  <c:v>19.808699650929746</c:v>
                </c:pt>
                <c:pt idx="16">
                  <c:v>19.374488481164192</c:v>
                </c:pt>
                <c:pt idx="17">
                  <c:v>18.942700206753859</c:v>
                </c:pt>
                <c:pt idx="18">
                  <c:v>18.514348380724371</c:v>
                </c:pt>
                <c:pt idx="19">
                  <c:v>18.090279595704747</c:v>
                </c:pt>
                <c:pt idx="20">
                  <c:v>17.671216894860297</c:v>
                </c:pt>
                <c:pt idx="21">
                  <c:v>17.257730314461835</c:v>
                </c:pt>
                <c:pt idx="22">
                  <c:v>16.85016318949377</c:v>
                </c:pt>
                <c:pt idx="23">
                  <c:v>16.44858039467875</c:v>
                </c:pt>
                <c:pt idx="24">
                  <c:v>16.052779338292176</c:v>
                </c:pt>
                <c:pt idx="25">
                  <c:v>15.662375826886059</c:v>
                </c:pt>
                <c:pt idx="26">
                  <c:v>15.276957480768287</c:v>
                </c:pt>
                <c:pt idx="27">
                  <c:v>14.896211373902782</c:v>
                </c:pt>
                <c:pt idx="28">
                  <c:v>14.520043800241634</c:v>
                </c:pt>
                <c:pt idx="29">
                  <c:v>14.148575355321203</c:v>
                </c:pt>
                <c:pt idx="30">
                  <c:v>13.782077207477789</c:v>
                </c:pt>
                <c:pt idx="31">
                  <c:v>13.420890518684171</c:v>
                </c:pt>
                <c:pt idx="32">
                  <c:v>13.065380066360932</c:v>
                </c:pt>
                <c:pt idx="33">
                  <c:v>12.715887272402503</c:v>
                </c:pt>
                <c:pt idx="34">
                  <c:v>12.372722631413305</c:v>
                </c:pt>
                <c:pt idx="35">
                  <c:v>12.036108415789865</c:v>
                </c:pt>
                <c:pt idx="36">
                  <c:v>11.706165699741799</c:v>
                </c:pt>
                <c:pt idx="37">
                  <c:v>11.382899661757419</c:v>
                </c:pt>
                <c:pt idx="38">
                  <c:v>11.066231962453154</c:v>
                </c:pt>
                <c:pt idx="39">
                  <c:v>10.756000263523685</c:v>
                </c:pt>
                <c:pt idx="40">
                  <c:v>10.451984169128194</c:v>
                </c:pt>
                <c:pt idx="41">
                  <c:v>10.153948233406908</c:v>
                </c:pt>
                <c:pt idx="42">
                  <c:v>9.8617086402311571</c:v>
                </c:pt>
                <c:pt idx="43">
                  <c:v>9.5751743648242247</c:v>
                </c:pt>
                <c:pt idx="44">
                  <c:v>9.2943485555123395</c:v>
                </c:pt>
                <c:pt idx="45">
                  <c:v>9.0192986170870846</c:v>
                </c:pt>
                <c:pt idx="46">
                  <c:v>8.7501168888922614</c:v>
                </c:pt>
                <c:pt idx="47">
                  <c:v>8.4868987018005679</c:v>
                </c:pt>
                <c:pt idx="48">
                  <c:v>8.2297325007565885</c:v>
                </c:pt>
                <c:pt idx="49">
                  <c:v>7.9786809230424662</c:v>
                </c:pt>
                <c:pt idx="50">
                  <c:v>7.7337736317841221</c:v>
                </c:pt>
                <c:pt idx="51">
                  <c:v>7.4949901250622366</c:v>
                </c:pt>
                <c:pt idx="52">
                  <c:v>7.2622623808861437</c:v>
                </c:pt>
                <c:pt idx="53">
                  <c:v>7.0354765261771162</c:v>
                </c:pt>
                <c:pt idx="54">
                  <c:v>6.8144873412913229</c:v>
                </c:pt>
                <c:pt idx="55">
                  <c:v>6.5991338620298432</c:v>
                </c:pt>
                <c:pt idx="56">
                  <c:v>6.3892577712339707</c:v>
                </c:pt>
                <c:pt idx="57">
                  <c:v>6.1847234012189638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B0B-4B50-AB03-88D04AA35CCB}"/>
            </c:ext>
          </c:extLst>
        </c:ser>
        <c:ser>
          <c:idx val="6"/>
          <c:order val="6"/>
          <c:tx>
            <c:strRef>
              <c:f>P.Pub!$C$39</c:f>
              <c:strCache>
                <c:ptCount val="1"/>
                <c:pt idx="0">
                  <c:v>Proyección por población (Intensidad 13-19)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P.Pub!$D$32:$BI$32</c:f>
              <c:numCache>
                <c:formatCode>General</c:formatCode>
                <c:ptCount val="58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  <c:pt idx="13">
                  <c:v>2026</c:v>
                </c:pt>
                <c:pt idx="14">
                  <c:v>2027</c:v>
                </c:pt>
                <c:pt idx="15">
                  <c:v>2028</c:v>
                </c:pt>
                <c:pt idx="16">
                  <c:v>2029</c:v>
                </c:pt>
                <c:pt idx="17">
                  <c:v>2030</c:v>
                </c:pt>
                <c:pt idx="18">
                  <c:v>2031</c:v>
                </c:pt>
                <c:pt idx="19">
                  <c:v>2032</c:v>
                </c:pt>
                <c:pt idx="20">
                  <c:v>2033</c:v>
                </c:pt>
                <c:pt idx="21">
                  <c:v>2034</c:v>
                </c:pt>
                <c:pt idx="22">
                  <c:v>2035</c:v>
                </c:pt>
                <c:pt idx="23">
                  <c:v>2036</c:v>
                </c:pt>
                <c:pt idx="24">
                  <c:v>2037</c:v>
                </c:pt>
                <c:pt idx="25">
                  <c:v>2038</c:v>
                </c:pt>
                <c:pt idx="26">
                  <c:v>2039</c:v>
                </c:pt>
                <c:pt idx="27">
                  <c:v>2040</c:v>
                </c:pt>
                <c:pt idx="28">
                  <c:v>2041</c:v>
                </c:pt>
                <c:pt idx="29">
                  <c:v>2042</c:v>
                </c:pt>
                <c:pt idx="30">
                  <c:v>2043</c:v>
                </c:pt>
                <c:pt idx="31">
                  <c:v>2044</c:v>
                </c:pt>
                <c:pt idx="32">
                  <c:v>2045</c:v>
                </c:pt>
                <c:pt idx="33">
                  <c:v>2046</c:v>
                </c:pt>
                <c:pt idx="34">
                  <c:v>2047</c:v>
                </c:pt>
                <c:pt idx="35">
                  <c:v>2048</c:v>
                </c:pt>
                <c:pt idx="36">
                  <c:v>2049</c:v>
                </c:pt>
                <c:pt idx="37">
                  <c:v>2050</c:v>
                </c:pt>
                <c:pt idx="38">
                  <c:v>2051</c:v>
                </c:pt>
                <c:pt idx="39">
                  <c:v>2052</c:v>
                </c:pt>
                <c:pt idx="40">
                  <c:v>2053</c:v>
                </c:pt>
                <c:pt idx="41">
                  <c:v>2054</c:v>
                </c:pt>
                <c:pt idx="42">
                  <c:v>2055</c:v>
                </c:pt>
                <c:pt idx="43">
                  <c:v>2056</c:v>
                </c:pt>
                <c:pt idx="44">
                  <c:v>2057</c:v>
                </c:pt>
                <c:pt idx="45">
                  <c:v>2058</c:v>
                </c:pt>
                <c:pt idx="46">
                  <c:v>2059</c:v>
                </c:pt>
                <c:pt idx="47">
                  <c:v>2060</c:v>
                </c:pt>
                <c:pt idx="48">
                  <c:v>2061</c:v>
                </c:pt>
                <c:pt idx="49">
                  <c:v>2062</c:v>
                </c:pt>
                <c:pt idx="50">
                  <c:v>2063</c:v>
                </c:pt>
                <c:pt idx="51">
                  <c:v>2064</c:v>
                </c:pt>
                <c:pt idx="52">
                  <c:v>2065</c:v>
                </c:pt>
                <c:pt idx="53">
                  <c:v>2066</c:v>
                </c:pt>
                <c:pt idx="54">
                  <c:v>2067</c:v>
                </c:pt>
                <c:pt idx="55">
                  <c:v>2068</c:v>
                </c:pt>
                <c:pt idx="56">
                  <c:v>2069</c:v>
                </c:pt>
                <c:pt idx="57">
                  <c:v>2070</c:v>
                </c:pt>
              </c:numCache>
            </c:numRef>
          </c:cat>
          <c:val>
            <c:numRef>
              <c:f>P.Pub!$D$39:$BI$39</c:f>
              <c:numCache>
                <c:formatCode>#,##0.00</c:formatCode>
                <c:ptCount val="58"/>
                <c:pt idx="0">
                  <c:v>26.47</c:v>
                </c:pt>
                <c:pt idx="1">
                  <c:v>25.159999999999997</c:v>
                </c:pt>
                <c:pt idx="2">
                  <c:v>25.68</c:v>
                </c:pt>
                <c:pt idx="3">
                  <c:v>24.85</c:v>
                </c:pt>
                <c:pt idx="4">
                  <c:v>24.18</c:v>
                </c:pt>
                <c:pt idx="5">
                  <c:v>24.83</c:v>
                </c:pt>
                <c:pt idx="6">
                  <c:v>24.76</c:v>
                </c:pt>
                <c:pt idx="7">
                  <c:v>23.72</c:v>
                </c:pt>
                <c:pt idx="8">
                  <c:v>22.619999999999997</c:v>
                </c:pt>
                <c:pt idx="9">
                  <c:v>23.911701065246337</c:v>
                </c:pt>
                <c:pt idx="10">
                  <c:v>21.983645139813582</c:v>
                </c:pt>
                <c:pt idx="11">
                  <c:v>21.691245973339559</c:v>
                </c:pt>
                <c:pt idx="12">
                  <c:v>21.393759053406033</c:v>
                </c:pt>
                <c:pt idx="13">
                  <c:v>21.090589737672151</c:v>
                </c:pt>
                <c:pt idx="14">
                  <c:v>20.781964560911781</c:v>
                </c:pt>
                <c:pt idx="15">
                  <c:v>20.468594260675108</c:v>
                </c:pt>
                <c:pt idx="16">
                  <c:v>20.151561554777711</c:v>
                </c:pt>
                <c:pt idx="17">
                  <c:v>19.832011076873997</c:v>
                </c:pt>
                <c:pt idx="18">
                  <c:v>19.511008217627175</c:v>
                </c:pt>
                <c:pt idx="19">
                  <c:v>19.189469539374894</c:v>
                </c:pt>
                <c:pt idx="20">
                  <c:v>18.868203769764502</c:v>
                </c:pt>
                <c:pt idx="21">
                  <c:v>18.547876199547531</c:v>
                </c:pt>
                <c:pt idx="22">
                  <c:v>18.228923894260483</c:v>
                </c:pt>
                <c:pt idx="23">
                  <c:v>17.911491544625274</c:v>
                </c:pt>
                <c:pt idx="24">
                  <c:v>17.595433721043854</c:v>
                </c:pt>
                <c:pt idx="25">
                  <c:v>17.280400014660113</c:v>
                </c:pt>
                <c:pt idx="26">
                  <c:v>16.965998745741995</c:v>
                </c:pt>
                <c:pt idx="27">
                  <c:v>16.651938449434073</c:v>
                </c:pt>
                <c:pt idx="28">
                  <c:v>16.338166108912208</c:v>
                </c:pt>
                <c:pt idx="29">
                  <c:v>16.024869555443601</c:v>
                </c:pt>
                <c:pt idx="30">
                  <c:v>15.71241275934675</c:v>
                </c:pt>
                <c:pt idx="31">
                  <c:v>15.401249074605065</c:v>
                </c:pt>
                <c:pt idx="32">
                  <c:v>15.091870453125843</c:v>
                </c:pt>
                <c:pt idx="33">
                  <c:v>14.784753910138917</c:v>
                </c:pt>
                <c:pt idx="34">
                  <c:v>14.480351965611964</c:v>
                </c:pt>
                <c:pt idx="35">
                  <c:v>14.179024145075008</c:v>
                </c:pt>
                <c:pt idx="36">
                  <c:v>13.881018349239129</c:v>
                </c:pt>
                <c:pt idx="37">
                  <c:v>13.586449496555598</c:v>
                </c:pt>
                <c:pt idx="38">
                  <c:v>13.29533395539584</c:v>
                </c:pt>
                <c:pt idx="39">
                  <c:v>13.007585684910085</c:v>
                </c:pt>
                <c:pt idx="40">
                  <c:v>12.723044451720622</c:v>
                </c:pt>
                <c:pt idx="41">
                  <c:v>12.441526137214332</c:v>
                </c:pt>
                <c:pt idx="42">
                  <c:v>12.162904273225477</c:v>
                </c:pt>
                <c:pt idx="43">
                  <c:v>11.887163129421799</c:v>
                </c:pt>
                <c:pt idx="44">
                  <c:v>11.614403146919301</c:v>
                </c:pt>
                <c:pt idx="45">
                  <c:v>11.344807145354954</c:v>
                </c:pt>
                <c:pt idx="46">
                  <c:v>11.078593213067274</c:v>
                </c:pt>
                <c:pt idx="47">
                  <c:v>10.815987833895957</c:v>
                </c:pt>
                <c:pt idx="48">
                  <c:v>10.557213409666218</c:v>
                </c:pt>
                <c:pt idx="49">
                  <c:v>10.302463607659549</c:v>
                </c:pt>
                <c:pt idx="50">
                  <c:v>10.051893018022675</c:v>
                </c:pt>
                <c:pt idx="51">
                  <c:v>9.8055933081226136</c:v>
                </c:pt>
                <c:pt idx="52">
                  <c:v>9.5635945840525149</c:v>
                </c:pt>
                <c:pt idx="53">
                  <c:v>9.3258655536879917</c:v>
                </c:pt>
                <c:pt idx="54">
                  <c:v>9.0923308624979597</c:v>
                </c:pt>
                <c:pt idx="55">
                  <c:v>8.8628906271396186</c:v>
                </c:pt>
                <c:pt idx="56">
                  <c:v>8.6374445391438659</c:v>
                </c:pt>
                <c:pt idx="57">
                  <c:v>8.4159191268869531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B0B-4B50-AB03-88D04AA35CCB}"/>
            </c:ext>
          </c:extLst>
        </c:ser>
        <c:ser>
          <c:idx val="7"/>
          <c:order val="7"/>
          <c:tx>
            <c:strRef>
              <c:f>P.Pub!$C$40</c:f>
              <c:strCache>
                <c:ptCount val="1"/>
                <c:pt idx="0">
                  <c:v>Usuario</c:v>
                </c:pt>
              </c:strCache>
            </c:strRef>
          </c:tx>
          <c:spPr>
            <a:ln w="5080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P.Pub!$D$32:$BI$32</c:f>
              <c:numCache>
                <c:formatCode>General</c:formatCode>
                <c:ptCount val="58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  <c:pt idx="13">
                  <c:v>2026</c:v>
                </c:pt>
                <c:pt idx="14">
                  <c:v>2027</c:v>
                </c:pt>
                <c:pt idx="15">
                  <c:v>2028</c:v>
                </c:pt>
                <c:pt idx="16">
                  <c:v>2029</c:v>
                </c:pt>
                <c:pt idx="17">
                  <c:v>2030</c:v>
                </c:pt>
                <c:pt idx="18">
                  <c:v>2031</c:v>
                </c:pt>
                <c:pt idx="19">
                  <c:v>2032</c:v>
                </c:pt>
                <c:pt idx="20">
                  <c:v>2033</c:v>
                </c:pt>
                <c:pt idx="21">
                  <c:v>2034</c:v>
                </c:pt>
                <c:pt idx="22">
                  <c:v>2035</c:v>
                </c:pt>
                <c:pt idx="23">
                  <c:v>2036</c:v>
                </c:pt>
                <c:pt idx="24">
                  <c:v>2037</c:v>
                </c:pt>
                <c:pt idx="25">
                  <c:v>2038</c:v>
                </c:pt>
                <c:pt idx="26">
                  <c:v>2039</c:v>
                </c:pt>
                <c:pt idx="27">
                  <c:v>2040</c:v>
                </c:pt>
                <c:pt idx="28">
                  <c:v>2041</c:v>
                </c:pt>
                <c:pt idx="29">
                  <c:v>2042</c:v>
                </c:pt>
                <c:pt idx="30">
                  <c:v>2043</c:v>
                </c:pt>
                <c:pt idx="31">
                  <c:v>2044</c:v>
                </c:pt>
                <c:pt idx="32">
                  <c:v>2045</c:v>
                </c:pt>
                <c:pt idx="33">
                  <c:v>2046</c:v>
                </c:pt>
                <c:pt idx="34">
                  <c:v>2047</c:v>
                </c:pt>
                <c:pt idx="35">
                  <c:v>2048</c:v>
                </c:pt>
                <c:pt idx="36">
                  <c:v>2049</c:v>
                </c:pt>
                <c:pt idx="37">
                  <c:v>2050</c:v>
                </c:pt>
                <c:pt idx="38">
                  <c:v>2051</c:v>
                </c:pt>
                <c:pt idx="39">
                  <c:v>2052</c:v>
                </c:pt>
                <c:pt idx="40">
                  <c:v>2053</c:v>
                </c:pt>
                <c:pt idx="41">
                  <c:v>2054</c:v>
                </c:pt>
                <c:pt idx="42">
                  <c:v>2055</c:v>
                </c:pt>
                <c:pt idx="43">
                  <c:v>2056</c:v>
                </c:pt>
                <c:pt idx="44">
                  <c:v>2057</c:v>
                </c:pt>
                <c:pt idx="45">
                  <c:v>2058</c:v>
                </c:pt>
                <c:pt idx="46">
                  <c:v>2059</c:v>
                </c:pt>
                <c:pt idx="47">
                  <c:v>2060</c:v>
                </c:pt>
                <c:pt idx="48">
                  <c:v>2061</c:v>
                </c:pt>
                <c:pt idx="49">
                  <c:v>2062</c:v>
                </c:pt>
                <c:pt idx="50">
                  <c:v>2063</c:v>
                </c:pt>
                <c:pt idx="51">
                  <c:v>2064</c:v>
                </c:pt>
                <c:pt idx="52">
                  <c:v>2065</c:v>
                </c:pt>
                <c:pt idx="53">
                  <c:v>2066</c:v>
                </c:pt>
                <c:pt idx="54">
                  <c:v>2067</c:v>
                </c:pt>
                <c:pt idx="55">
                  <c:v>2068</c:v>
                </c:pt>
                <c:pt idx="56">
                  <c:v>2069</c:v>
                </c:pt>
                <c:pt idx="57">
                  <c:v>2070</c:v>
                </c:pt>
              </c:numCache>
            </c:numRef>
          </c:cat>
          <c:val>
            <c:numRef>
              <c:f>P.Pub!$D$40:$BI$40</c:f>
              <c:numCache>
                <c:formatCode>#,##0.00</c:formatCode>
                <c:ptCount val="58"/>
                <c:pt idx="0">
                  <c:v>26.47</c:v>
                </c:pt>
                <c:pt idx="1">
                  <c:v>25.159999999999997</c:v>
                </c:pt>
                <c:pt idx="2">
                  <c:v>25.68</c:v>
                </c:pt>
                <c:pt idx="3">
                  <c:v>24.85</c:v>
                </c:pt>
                <c:pt idx="4">
                  <c:v>24.18</c:v>
                </c:pt>
                <c:pt idx="5">
                  <c:v>24.83</c:v>
                </c:pt>
                <c:pt idx="6">
                  <c:v>24.76</c:v>
                </c:pt>
                <c:pt idx="7">
                  <c:v>23.72</c:v>
                </c:pt>
                <c:pt idx="8">
                  <c:v>22.619999999999997</c:v>
                </c:pt>
                <c:pt idx="9">
                  <c:v>23.911701065246337</c:v>
                </c:pt>
                <c:pt idx="10">
                  <c:v>21.983645139813582</c:v>
                </c:pt>
                <c:pt idx="11">
                  <c:v>21.837445556576569</c:v>
                </c:pt>
                <c:pt idx="12">
                  <c:v>21.795936497104545</c:v>
                </c:pt>
                <c:pt idx="13">
                  <c:v>21.746368602700809</c:v>
                </c:pt>
                <c:pt idx="14">
                  <c:v>21.688634983979348</c:v>
                </c:pt>
                <c:pt idx="15">
                  <c:v>21.623184703885563</c:v>
                </c:pt>
                <c:pt idx="16">
                  <c:v>21.550927128482016</c:v>
                </c:pt>
                <c:pt idx="17">
                  <c:v>21.472894608066646</c:v>
                </c:pt>
                <c:pt idx="18">
                  <c:v>21.390081146859831</c:v>
                </c:pt>
                <c:pt idx="19">
                  <c:v>21.303355220089074</c:v>
                </c:pt>
                <c:pt idx="20">
                  <c:v>21.213501658585837</c:v>
                </c:pt>
                <c:pt idx="21">
                  <c:v>21.121171471686765</c:v>
                </c:pt>
                <c:pt idx="22">
                  <c:v>21.026765576937692</c:v>
                </c:pt>
                <c:pt idx="23">
                  <c:v>20.930335618683944</c:v>
                </c:pt>
                <c:pt idx="24">
                  <c:v>20.831563020774887</c:v>
                </c:pt>
                <c:pt idx="25">
                  <c:v>20.729845608071301</c:v>
                </c:pt>
                <c:pt idx="26">
                  <c:v>20.624496504767507</c:v>
                </c:pt>
                <c:pt idx="27">
                  <c:v>20.514929959217124</c:v>
                </c:pt>
                <c:pt idx="28">
                  <c:v>20.400858492858347</c:v>
                </c:pt>
                <c:pt idx="29">
                  <c:v>20.28231794075009</c:v>
                </c:pt>
                <c:pt idx="30">
                  <c:v>20.159599679674528</c:v>
                </c:pt>
                <c:pt idx="31">
                  <c:v>20.033145049287896</c:v>
                </c:pt>
                <c:pt idx="32">
                  <c:v>19.90348238347277</c:v>
                </c:pt>
                <c:pt idx="33">
                  <c:v>19.771154229879436</c:v>
                </c:pt>
                <c:pt idx="34">
                  <c:v>19.636703642707353</c:v>
                </c:pt>
                <c:pt idx="35">
                  <c:v>19.500569883235087</c:v>
                </c:pt>
                <c:pt idx="36">
                  <c:v>19.363051437869466</c:v>
                </c:pt>
                <c:pt idx="37">
                  <c:v>19.224261589901985</c:v>
                </c:pt>
                <c:pt idx="38">
                  <c:v>19.08416859312327</c:v>
                </c:pt>
                <c:pt idx="39">
                  <c:v>18.94257824101792</c:v>
                </c:pt>
                <c:pt idx="40">
                  <c:v>18.799167498817845</c:v>
                </c:pt>
                <c:pt idx="41">
                  <c:v>18.653558221142546</c:v>
                </c:pt>
                <c:pt idx="42">
                  <c:v>18.505450632920045</c:v>
                </c:pt>
                <c:pt idx="43">
                  <c:v>18.354720805943931</c:v>
                </c:pt>
                <c:pt idx="44">
                  <c:v>18.201444371023623</c:v>
                </c:pt>
                <c:pt idx="45">
                  <c:v>18.045852837742213</c:v>
                </c:pt>
                <c:pt idx="46">
                  <c:v>17.888261377443623</c:v>
                </c:pt>
                <c:pt idx="47">
                  <c:v>17.729026150126948</c:v>
                </c:pt>
                <c:pt idx="48">
                  <c:v>17.56852393798124</c:v>
                </c:pt>
                <c:pt idx="49">
                  <c:v>17.407106756361348</c:v>
                </c:pt>
                <c:pt idx="50">
                  <c:v>17.245079317185411</c:v>
                </c:pt>
                <c:pt idx="51">
                  <c:v>17.082648058699018</c:v>
                </c:pt>
                <c:pt idx="52">
                  <c:v>16.919915056701686</c:v>
                </c:pt>
                <c:pt idx="53">
                  <c:v>16.756869178148854</c:v>
                </c:pt>
                <c:pt idx="54">
                  <c:v>16.593411721927932</c:v>
                </c:pt>
                <c:pt idx="55">
                  <c:v>16.429389535616561</c:v>
                </c:pt>
                <c:pt idx="56">
                  <c:v>16.264641405502935</c:v>
                </c:pt>
                <c:pt idx="57">
                  <c:v>16.099056130984327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DB0B-4B50-AB03-88D04AA35C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31634528"/>
        <c:axId val="1731639808"/>
      </c:lineChart>
      <c:catAx>
        <c:axId val="1731634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1639808"/>
        <c:crosses val="autoZero"/>
        <c:auto val="1"/>
        <c:lblAlgn val="ctr"/>
        <c:lblOffset val="100"/>
        <c:noMultiLvlLbl val="0"/>
      </c:catAx>
      <c:valAx>
        <c:axId val="1731639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16345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</xdr:colOff>
      <xdr:row>0</xdr:row>
      <xdr:rowOff>129540</xdr:rowOff>
    </xdr:from>
    <xdr:to>
      <xdr:col>17</xdr:col>
      <xdr:colOff>624841</xdr:colOff>
      <xdr:row>15</xdr:row>
      <xdr:rowOff>5715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42B8B14-702A-687C-7E51-51B5CB5C70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171450</xdr:colOff>
      <xdr:row>0</xdr:row>
      <xdr:rowOff>28575</xdr:rowOff>
    </xdr:from>
    <xdr:to>
      <xdr:col>18</xdr:col>
      <xdr:colOff>95250</xdr:colOff>
      <xdr:row>122</xdr:row>
      <xdr:rowOff>190499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259A09D-3062-C09E-64BF-D4A2A8BD48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naxolt/Google%20Drive/2021/D.Development/TARGET_eps-us-3.2.1/InputData/bldgs/BCEU/BAU%20Components%20Energy%20Usecheck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jeff-nonadmin\Dropbox%20(Energy%20Innovation)\EI-PlcyMdl\eps-1.5.0-us-wipE\InputData\web-app\BCF\BTU%20Conversion%20Factors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ariana%20Bulos/Google%20Drive/2018.WRI-EPS2/0.Documentos%20trabajo%20modelo/eps-1.1.4-mexico_PHASE%201/InputData_PHASE%201/bldgs_PHASE%201/BASoBC/BAU%20Amt%20Spent%20on%20Bldg%20Components_PHASE%2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out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out"/>
      <sheetName val="AEO Table 73"/>
      <sheetName val="GREET1 Fuel_Specs"/>
      <sheetName val="BCF-BpLFOU"/>
      <sheetName val="BCF-BpSFOU"/>
      <sheetName val="BCF-VFEUCF"/>
      <sheetName val="BCF-BpEIEOU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out"/>
      <sheetName val="Commercial"/>
      <sheetName val="Residential"/>
      <sheetName val="MX urban Rural"/>
      <sheetName val="Calculations"/>
      <sheetName val="Scaling Factors"/>
      <sheetName val="BASoBC-urban-residential"/>
      <sheetName val="BASoBC-rural-residential"/>
      <sheetName val="BASoBC-commercial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gob.mx/conapo/documentos/bases-de-datos-de-la-conciliacion-demografica-1950-a-2019-y-proyecciones-de-la-poblacion-de-mexico-2020-a-2070?idiom=es" TargetMode="External"/><Relationship Id="rId2" Type="http://schemas.openxmlformats.org/officeDocument/2006/relationships/hyperlink" Target="https://conahcyt.mx/wp-content/uploads/pronaces/micrositios/energia_y_cambio_climatico/energia/cuadernos_tematicos/Cuaderno_9.pdf" TargetMode="External"/><Relationship Id="rId1" Type="http://schemas.openxmlformats.org/officeDocument/2006/relationships/hyperlink" Target="https://www.gob.mx/cms/uploads/attachment/file/947752/BALANCE_NACIONAL_DE_ENERG_A_PRELIMINAR_2023.pdf" TargetMode="External"/><Relationship Id="rId4" Type="http://schemas.openxmlformats.org/officeDocument/2006/relationships/hyperlink" Target="https://www.inegi.org.mx/temas/vivienda/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6503B-B2EE-436D-B228-7778FA6405C5}">
  <dimension ref="A1:K75"/>
  <sheetViews>
    <sheetView workbookViewId="0">
      <selection activeCell="C17" sqref="C17"/>
    </sheetView>
  </sheetViews>
  <sheetFormatPr defaultColWidth="11.44140625" defaultRowHeight="14.4" x14ac:dyDescent="0.3"/>
  <cols>
    <col min="2" max="2" width="12" bestFit="1" customWidth="1"/>
    <col min="4" max="4" width="12" bestFit="1" customWidth="1"/>
  </cols>
  <sheetData>
    <row r="1" spans="1:7" x14ac:dyDescent="0.3">
      <c r="A1" s="1" t="s">
        <v>242</v>
      </c>
    </row>
    <row r="3" spans="1:7" x14ac:dyDescent="0.3">
      <c r="A3" s="1" t="s">
        <v>0</v>
      </c>
      <c r="B3" t="s">
        <v>1</v>
      </c>
      <c r="G3" s="5"/>
    </row>
    <row r="4" spans="1:7" x14ac:dyDescent="0.3">
      <c r="A4" s="1"/>
      <c r="B4" t="s">
        <v>2</v>
      </c>
    </row>
    <row r="5" spans="1:7" x14ac:dyDescent="0.3">
      <c r="B5" t="s">
        <v>3</v>
      </c>
    </row>
    <row r="6" spans="1:7" x14ac:dyDescent="0.3">
      <c r="B6" s="2" t="s">
        <v>4</v>
      </c>
    </row>
    <row r="7" spans="1:7" x14ac:dyDescent="0.3">
      <c r="B7" t="s">
        <v>5</v>
      </c>
    </row>
    <row r="8" spans="1:7" x14ac:dyDescent="0.3">
      <c r="B8" t="s">
        <v>6</v>
      </c>
    </row>
    <row r="10" spans="1:7" x14ac:dyDescent="0.3">
      <c r="B10" t="s">
        <v>7</v>
      </c>
    </row>
    <row r="11" spans="1:7" x14ac:dyDescent="0.3">
      <c r="B11" t="s">
        <v>8</v>
      </c>
    </row>
    <row r="12" spans="1:7" x14ac:dyDescent="0.3">
      <c r="B12" t="s">
        <v>9</v>
      </c>
    </row>
    <row r="13" spans="1:7" x14ac:dyDescent="0.3">
      <c r="B13" s="2" t="s">
        <v>10</v>
      </c>
    </row>
    <row r="14" spans="1:7" x14ac:dyDescent="0.3">
      <c r="B14" t="s">
        <v>11</v>
      </c>
      <c r="C14" t="s">
        <v>12</v>
      </c>
      <c r="D14" t="s">
        <v>13</v>
      </c>
    </row>
    <row r="15" spans="1:7" x14ac:dyDescent="0.3">
      <c r="B15" t="s">
        <v>14</v>
      </c>
      <c r="C15" t="s">
        <v>15</v>
      </c>
      <c r="D15" t="s">
        <v>16</v>
      </c>
    </row>
    <row r="16" spans="1:7" x14ac:dyDescent="0.3">
      <c r="B16" t="s">
        <v>17</v>
      </c>
      <c r="C16" t="s">
        <v>18</v>
      </c>
    </row>
    <row r="17" spans="2:3" x14ac:dyDescent="0.3">
      <c r="B17" t="s">
        <v>19</v>
      </c>
      <c r="C17" t="s">
        <v>20</v>
      </c>
    </row>
    <row r="18" spans="2:3" x14ac:dyDescent="0.3">
      <c r="B18" t="s">
        <v>21</v>
      </c>
      <c r="C18" t="s">
        <v>22</v>
      </c>
    </row>
    <row r="19" spans="2:3" x14ac:dyDescent="0.3">
      <c r="B19" t="s">
        <v>23</v>
      </c>
      <c r="C19" t="s">
        <v>24</v>
      </c>
    </row>
    <row r="20" spans="2:3" x14ac:dyDescent="0.3">
      <c r="B20" t="s">
        <v>25</v>
      </c>
      <c r="C20" t="s">
        <v>26</v>
      </c>
    </row>
    <row r="21" spans="2:3" x14ac:dyDescent="0.3">
      <c r="B21" t="s">
        <v>27</v>
      </c>
      <c r="C21" t="s">
        <v>28</v>
      </c>
    </row>
    <row r="22" spans="2:3" x14ac:dyDescent="0.3">
      <c r="C22" t="s">
        <v>29</v>
      </c>
    </row>
    <row r="23" spans="2:3" x14ac:dyDescent="0.3">
      <c r="C23" t="s">
        <v>30</v>
      </c>
    </row>
    <row r="25" spans="2:3" x14ac:dyDescent="0.3">
      <c r="B25" t="s">
        <v>31</v>
      </c>
    </row>
    <row r="26" spans="2:3" x14ac:dyDescent="0.3">
      <c r="B26">
        <v>2023</v>
      </c>
    </row>
    <row r="27" spans="2:3" x14ac:dyDescent="0.3">
      <c r="B27" t="s">
        <v>32</v>
      </c>
    </row>
    <row r="28" spans="2:3" x14ac:dyDescent="0.3">
      <c r="B28" s="2" t="s">
        <v>33</v>
      </c>
    </row>
    <row r="29" spans="2:3" x14ac:dyDescent="0.3">
      <c r="B29" s="10" t="s">
        <v>34</v>
      </c>
    </row>
    <row r="30" spans="2:3" x14ac:dyDescent="0.3">
      <c r="B30" t="s">
        <v>35</v>
      </c>
    </row>
    <row r="32" spans="2:3" x14ac:dyDescent="0.3">
      <c r="B32" t="s">
        <v>36</v>
      </c>
    </row>
    <row r="33" spans="1:5" x14ac:dyDescent="0.3">
      <c r="B33">
        <v>2020</v>
      </c>
    </row>
    <row r="34" spans="1:5" x14ac:dyDescent="0.3">
      <c r="B34" s="10" t="s">
        <v>37</v>
      </c>
    </row>
    <row r="35" spans="1:5" x14ac:dyDescent="0.3">
      <c r="B35" s="2" t="s">
        <v>38</v>
      </c>
    </row>
    <row r="38" spans="1:5" x14ac:dyDescent="0.3">
      <c r="A38" s="1" t="s">
        <v>39</v>
      </c>
    </row>
    <row r="40" spans="1:5" x14ac:dyDescent="0.3">
      <c r="A40" s="1" t="s">
        <v>40</v>
      </c>
    </row>
    <row r="41" spans="1:5" x14ac:dyDescent="0.3">
      <c r="A41" t="s">
        <v>41</v>
      </c>
      <c r="B41">
        <f>5414093.87/0.00000571187</f>
        <v>947867138082.62451</v>
      </c>
    </row>
    <row r="42" spans="1:5" x14ac:dyDescent="0.3">
      <c r="B42">
        <v>1</v>
      </c>
      <c r="C42" t="s">
        <v>42</v>
      </c>
      <c r="D42">
        <v>5414093.8700000001</v>
      </c>
      <c r="E42" t="s">
        <v>43</v>
      </c>
    </row>
    <row r="43" spans="1:5" x14ac:dyDescent="0.3">
      <c r="B43">
        <v>1</v>
      </c>
      <c r="C43" t="s">
        <v>42</v>
      </c>
      <c r="D43">
        <v>5.7118699999999999E-6</v>
      </c>
      <c r="E43" t="s">
        <v>44</v>
      </c>
    </row>
    <row r="44" spans="1:5" x14ac:dyDescent="0.3">
      <c r="A44" t="s">
        <v>45</v>
      </c>
    </row>
    <row r="46" spans="1:5" x14ac:dyDescent="0.3">
      <c r="A46" s="1" t="s">
        <v>46</v>
      </c>
    </row>
    <row r="47" spans="1:5" x14ac:dyDescent="0.3">
      <c r="B47" s="27" t="s">
        <v>47</v>
      </c>
      <c r="C47" s="28"/>
      <c r="D47" s="28" t="s">
        <v>48</v>
      </c>
      <c r="E47" s="29"/>
    </row>
    <row r="48" spans="1:5" x14ac:dyDescent="0.3">
      <c r="B48" s="31" t="s">
        <v>49</v>
      </c>
      <c r="C48" s="32"/>
      <c r="D48" s="32" t="s">
        <v>50</v>
      </c>
      <c r="E48" s="33"/>
    </row>
    <row r="49" spans="1:11" x14ac:dyDescent="0.3">
      <c r="B49" s="21" t="s">
        <v>51</v>
      </c>
      <c r="C49" s="22"/>
      <c r="D49" s="22" t="s">
        <v>52</v>
      </c>
      <c r="E49" s="23"/>
    </row>
    <row r="50" spans="1:11" x14ac:dyDescent="0.3">
      <c r="B50" s="24" t="s">
        <v>53</v>
      </c>
      <c r="C50" s="25"/>
      <c r="D50" s="25" t="s">
        <v>54</v>
      </c>
      <c r="E50" s="26"/>
    </row>
    <row r="52" spans="1:11" x14ac:dyDescent="0.3">
      <c r="A52" s="1" t="s">
        <v>55</v>
      </c>
    </row>
    <row r="53" spans="1:11" ht="30" customHeight="1" x14ac:dyDescent="0.3">
      <c r="B53" s="34" t="s">
        <v>56</v>
      </c>
      <c r="C53" s="35"/>
      <c r="D53" s="35" t="s">
        <v>57</v>
      </c>
      <c r="E53" s="35"/>
      <c r="F53" s="35" t="s">
        <v>58</v>
      </c>
      <c r="G53" s="35"/>
      <c r="H53" s="35" t="s">
        <v>59</v>
      </c>
      <c r="I53" s="36"/>
      <c r="K53" s="1" t="s">
        <v>60</v>
      </c>
    </row>
    <row r="54" spans="1:11" x14ac:dyDescent="0.3">
      <c r="B54" s="21" t="s">
        <v>61</v>
      </c>
      <c r="C54" s="22"/>
      <c r="D54" s="22" t="s">
        <v>62</v>
      </c>
      <c r="E54" s="22"/>
      <c r="F54" s="22" t="s">
        <v>62</v>
      </c>
      <c r="G54" s="22"/>
      <c r="H54" s="22"/>
      <c r="I54" s="23"/>
      <c r="K54" t="s">
        <v>63</v>
      </c>
    </row>
    <row r="55" spans="1:11" x14ac:dyDescent="0.3">
      <c r="B55" s="21" t="s">
        <v>64</v>
      </c>
      <c r="C55" s="22"/>
      <c r="D55" s="22" t="s">
        <v>65</v>
      </c>
      <c r="E55" s="22"/>
      <c r="F55" s="22" t="s">
        <v>65</v>
      </c>
      <c r="G55" s="22"/>
      <c r="H55" s="22"/>
      <c r="I55" s="23"/>
      <c r="K55" t="s">
        <v>66</v>
      </c>
    </row>
    <row r="56" spans="1:11" x14ac:dyDescent="0.3">
      <c r="B56" s="21" t="s">
        <v>67</v>
      </c>
      <c r="C56" s="22"/>
      <c r="D56" s="22"/>
      <c r="E56" s="22"/>
      <c r="F56" s="22"/>
      <c r="G56" s="22"/>
      <c r="H56" s="22"/>
      <c r="I56" s="23"/>
    </row>
    <row r="57" spans="1:11" x14ac:dyDescent="0.3">
      <c r="B57" s="21" t="s">
        <v>68</v>
      </c>
      <c r="C57" s="22"/>
      <c r="D57" s="22" t="s">
        <v>69</v>
      </c>
      <c r="E57" s="22"/>
      <c r="F57" s="22" t="s">
        <v>69</v>
      </c>
      <c r="G57" s="22"/>
      <c r="H57" s="22" t="s">
        <v>70</v>
      </c>
      <c r="I57" s="23"/>
    </row>
    <row r="58" spans="1:11" ht="92.25" customHeight="1" x14ac:dyDescent="0.3">
      <c r="B58" s="21" t="s">
        <v>71</v>
      </c>
      <c r="C58" s="22"/>
      <c r="D58" s="30" t="s">
        <v>72</v>
      </c>
      <c r="E58" s="30"/>
      <c r="F58" s="30" t="s">
        <v>73</v>
      </c>
      <c r="G58" s="30"/>
      <c r="H58" s="22"/>
      <c r="I58" s="23"/>
    </row>
    <row r="59" spans="1:11" x14ac:dyDescent="0.3">
      <c r="B59" s="24" t="s">
        <v>74</v>
      </c>
      <c r="C59" s="25"/>
      <c r="D59" s="25" t="s">
        <v>75</v>
      </c>
      <c r="E59" s="25"/>
      <c r="F59" s="25" t="s">
        <v>75</v>
      </c>
      <c r="G59" s="25"/>
      <c r="H59" s="25" t="s">
        <v>76</v>
      </c>
      <c r="I59" s="26"/>
    </row>
    <row r="61" spans="1:11" x14ac:dyDescent="0.3">
      <c r="A61" s="1" t="s">
        <v>77</v>
      </c>
    </row>
    <row r="62" spans="1:11" x14ac:dyDescent="0.3">
      <c r="B62" s="27" t="s">
        <v>78</v>
      </c>
      <c r="C62" s="28"/>
      <c r="D62" s="28" t="s">
        <v>79</v>
      </c>
      <c r="E62" s="29"/>
    </row>
    <row r="63" spans="1:11" x14ac:dyDescent="0.3">
      <c r="B63" s="21" t="s">
        <v>80</v>
      </c>
      <c r="C63" s="22"/>
      <c r="D63" s="22" t="s">
        <v>81</v>
      </c>
      <c r="E63" s="23"/>
    </row>
    <row r="64" spans="1:11" x14ac:dyDescent="0.3">
      <c r="B64" s="21" t="s">
        <v>82</v>
      </c>
      <c r="C64" s="22"/>
      <c r="D64" s="22" t="s">
        <v>83</v>
      </c>
      <c r="E64" s="23"/>
    </row>
    <row r="65" spans="1:5" x14ac:dyDescent="0.3">
      <c r="B65" s="21" t="s">
        <v>82</v>
      </c>
      <c r="C65" s="22"/>
      <c r="D65" s="22" t="s">
        <v>84</v>
      </c>
      <c r="E65" s="23"/>
    </row>
    <row r="66" spans="1:5" x14ac:dyDescent="0.3">
      <c r="B66" s="21" t="s">
        <v>82</v>
      </c>
      <c r="C66" s="22"/>
      <c r="D66" s="22" t="s">
        <v>85</v>
      </c>
      <c r="E66" s="23"/>
    </row>
    <row r="67" spans="1:5" x14ac:dyDescent="0.3">
      <c r="B67" s="21" t="s">
        <v>86</v>
      </c>
      <c r="C67" s="22"/>
      <c r="D67" s="22" t="s">
        <v>87</v>
      </c>
      <c r="E67" s="23"/>
    </row>
    <row r="68" spans="1:5" x14ac:dyDescent="0.3">
      <c r="B68" s="21" t="s">
        <v>88</v>
      </c>
      <c r="C68" s="22"/>
      <c r="D68" s="22" t="s">
        <v>89</v>
      </c>
      <c r="E68" s="23"/>
    </row>
    <row r="69" spans="1:5" x14ac:dyDescent="0.3">
      <c r="B69" s="24" t="s">
        <v>90</v>
      </c>
      <c r="C69" s="25"/>
      <c r="D69" s="25" t="s">
        <v>91</v>
      </c>
      <c r="E69" s="26"/>
    </row>
    <row r="71" spans="1:5" x14ac:dyDescent="0.3">
      <c r="A71" t="s">
        <v>92</v>
      </c>
    </row>
    <row r="72" spans="1:5" x14ac:dyDescent="0.3">
      <c r="A72" t="s">
        <v>93</v>
      </c>
    </row>
    <row r="73" spans="1:5" x14ac:dyDescent="0.3">
      <c r="A73" t="s">
        <v>94</v>
      </c>
    </row>
    <row r="74" spans="1:5" x14ac:dyDescent="0.3">
      <c r="A74" t="s">
        <v>95</v>
      </c>
    </row>
    <row r="75" spans="1:5" x14ac:dyDescent="0.3">
      <c r="A75" t="s">
        <v>96</v>
      </c>
    </row>
  </sheetData>
  <mergeCells count="52">
    <mergeCell ref="F58:G58"/>
    <mergeCell ref="H58:I58"/>
    <mergeCell ref="B57:C57"/>
    <mergeCell ref="D57:E57"/>
    <mergeCell ref="F57:G57"/>
    <mergeCell ref="H57:I57"/>
    <mergeCell ref="F56:G56"/>
    <mergeCell ref="H56:I56"/>
    <mergeCell ref="B55:C55"/>
    <mergeCell ref="D55:E55"/>
    <mergeCell ref="F55:G55"/>
    <mergeCell ref="H55:I55"/>
    <mergeCell ref="F59:G59"/>
    <mergeCell ref="H59:I59"/>
    <mergeCell ref="B47:C47"/>
    <mergeCell ref="D47:E47"/>
    <mergeCell ref="B48:C48"/>
    <mergeCell ref="D48:E48"/>
    <mergeCell ref="B49:C49"/>
    <mergeCell ref="D49:E49"/>
    <mergeCell ref="B54:C54"/>
    <mergeCell ref="D54:E54"/>
    <mergeCell ref="F54:G54"/>
    <mergeCell ref="H54:I54"/>
    <mergeCell ref="B53:C53"/>
    <mergeCell ref="D53:E53"/>
    <mergeCell ref="F53:G53"/>
    <mergeCell ref="H53:I53"/>
    <mergeCell ref="B50:C50"/>
    <mergeCell ref="D50:E50"/>
    <mergeCell ref="B62:C62"/>
    <mergeCell ref="D62:E62"/>
    <mergeCell ref="B63:C63"/>
    <mergeCell ref="D63:E63"/>
    <mergeCell ref="B59:C59"/>
    <mergeCell ref="D59:E59"/>
    <mergeCell ref="B56:C56"/>
    <mergeCell ref="D56:E56"/>
    <mergeCell ref="D58:E58"/>
    <mergeCell ref="B58:C58"/>
    <mergeCell ref="B64:C64"/>
    <mergeCell ref="D64:E64"/>
    <mergeCell ref="B65:C65"/>
    <mergeCell ref="D65:E65"/>
    <mergeCell ref="B66:C66"/>
    <mergeCell ref="D66:E66"/>
    <mergeCell ref="B67:C67"/>
    <mergeCell ref="D67:E67"/>
    <mergeCell ref="B68:C68"/>
    <mergeCell ref="D68:E68"/>
    <mergeCell ref="B69:C69"/>
    <mergeCell ref="D69:E69"/>
  </mergeCells>
  <phoneticPr fontId="12" type="noConversion"/>
  <hyperlinks>
    <hyperlink ref="B6" r:id="rId1" xr:uid="{425FCE77-7212-41D6-8099-688EFBF4EF57}"/>
    <hyperlink ref="B13" r:id="rId2" xr:uid="{AAA3BF19-B7C7-4A35-86E8-D9C48D292533}"/>
    <hyperlink ref="B28" r:id="rId3" xr:uid="{2A659C3D-A7D6-4537-9C6B-2DE5F48EE776}"/>
    <hyperlink ref="B35" r:id="rId4" location="tabulados" xr:uid="{C3D77449-65BE-4CAB-8257-B62C941F9B84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27A1E-88D2-4DEE-95E9-622666AE5B2C}">
  <dimension ref="A1:L13"/>
  <sheetViews>
    <sheetView workbookViewId="0">
      <selection activeCell="C3" sqref="C3"/>
    </sheetView>
  </sheetViews>
  <sheetFormatPr defaultColWidth="11.44140625" defaultRowHeight="14.4" x14ac:dyDescent="0.3"/>
  <sheetData>
    <row r="1" spans="1:12" x14ac:dyDescent="0.3">
      <c r="A1" t="s">
        <v>97</v>
      </c>
      <c r="B1" t="s">
        <v>5</v>
      </c>
    </row>
    <row r="2" spans="1:12" x14ac:dyDescent="0.3">
      <c r="B2">
        <v>2013</v>
      </c>
      <c r="C2">
        <v>2014</v>
      </c>
      <c r="D2">
        <v>2015</v>
      </c>
      <c r="E2">
        <v>2016</v>
      </c>
      <c r="F2">
        <v>2017</v>
      </c>
      <c r="G2">
        <v>2018</v>
      </c>
      <c r="H2">
        <v>2019</v>
      </c>
      <c r="I2">
        <v>2020</v>
      </c>
      <c r="J2">
        <v>2021</v>
      </c>
      <c r="K2">
        <v>2022</v>
      </c>
      <c r="L2">
        <v>2023</v>
      </c>
    </row>
    <row r="3" spans="1:12" x14ac:dyDescent="0.3">
      <c r="A3" t="s">
        <v>98</v>
      </c>
      <c r="B3" s="3">
        <v>5115.46</v>
      </c>
      <c r="C3" s="3">
        <v>5125.5</v>
      </c>
      <c r="D3" s="3">
        <v>5278.13</v>
      </c>
      <c r="E3" s="3">
        <v>5479.55</v>
      </c>
      <c r="F3" s="3">
        <v>5498.89</v>
      </c>
      <c r="G3" s="3">
        <v>5393.45</v>
      </c>
      <c r="H3" s="3">
        <v>4851.57</v>
      </c>
      <c r="I3" s="3">
        <v>4432.6000000000004</v>
      </c>
      <c r="J3" s="3">
        <v>5402.34</v>
      </c>
      <c r="K3" s="3">
        <v>5682.55</v>
      </c>
      <c r="L3" s="3">
        <v>5313.42</v>
      </c>
    </row>
    <row r="4" spans="1:12" x14ac:dyDescent="0.3">
      <c r="A4" t="s">
        <v>99</v>
      </c>
      <c r="B4">
        <v>190.85</v>
      </c>
      <c r="C4">
        <v>232.22</v>
      </c>
      <c r="D4">
        <v>188.39</v>
      </c>
      <c r="E4">
        <v>173.69</v>
      </c>
      <c r="F4">
        <v>136.07</v>
      </c>
      <c r="G4">
        <v>109.74</v>
      </c>
      <c r="H4">
        <v>90.59</v>
      </c>
      <c r="I4">
        <v>49.23</v>
      </c>
      <c r="J4">
        <v>44.97</v>
      </c>
      <c r="K4">
        <v>60.32</v>
      </c>
      <c r="L4">
        <v>51.46</v>
      </c>
    </row>
    <row r="5" spans="1:12" x14ac:dyDescent="0.3">
      <c r="A5" t="s">
        <v>100</v>
      </c>
      <c r="B5">
        <v>136.53</v>
      </c>
      <c r="C5">
        <v>139.16999999999999</v>
      </c>
      <c r="D5">
        <v>113.22</v>
      </c>
      <c r="E5">
        <v>99.21</v>
      </c>
      <c r="F5">
        <v>70.53</v>
      </c>
      <c r="G5">
        <v>56.53</v>
      </c>
      <c r="H5">
        <v>47.93</v>
      </c>
      <c r="I5">
        <v>12.05</v>
      </c>
      <c r="J5">
        <v>7.81</v>
      </c>
      <c r="K5">
        <v>15.99</v>
      </c>
      <c r="L5">
        <v>16.22</v>
      </c>
    </row>
    <row r="6" spans="1:12" x14ac:dyDescent="0.3">
      <c r="A6" t="s">
        <v>101</v>
      </c>
      <c r="B6">
        <v>54.32</v>
      </c>
      <c r="C6">
        <v>93.05</v>
      </c>
      <c r="D6">
        <v>75.17</v>
      </c>
      <c r="E6">
        <v>74.48</v>
      </c>
      <c r="F6">
        <v>65.540000000000006</v>
      </c>
      <c r="G6">
        <v>53.22</v>
      </c>
      <c r="H6">
        <v>42.66</v>
      </c>
      <c r="I6">
        <v>37.17</v>
      </c>
      <c r="J6">
        <v>37.159999999999997</v>
      </c>
      <c r="K6">
        <v>44.33</v>
      </c>
      <c r="L6">
        <v>35.24</v>
      </c>
    </row>
    <row r="7" spans="1:12" x14ac:dyDescent="0.3">
      <c r="A7" t="s">
        <v>102</v>
      </c>
      <c r="B7" s="3">
        <v>4924.62</v>
      </c>
      <c r="C7" s="3">
        <v>4893.28</v>
      </c>
      <c r="D7" s="3">
        <v>5089.75</v>
      </c>
      <c r="E7" s="3">
        <v>5305.86</v>
      </c>
      <c r="F7" s="3">
        <v>5362.82</v>
      </c>
      <c r="G7" s="3">
        <v>5283.71</v>
      </c>
      <c r="H7" s="3">
        <v>4760.9799999999996</v>
      </c>
      <c r="I7" s="3">
        <v>4383.37</v>
      </c>
      <c r="J7" s="3">
        <v>5357.36</v>
      </c>
      <c r="K7" s="3">
        <v>5622.24</v>
      </c>
      <c r="L7" s="3">
        <v>5261.96</v>
      </c>
    </row>
    <row r="8" spans="1:12" x14ac:dyDescent="0.3">
      <c r="A8" t="s">
        <v>103</v>
      </c>
      <c r="B8" s="3">
        <v>2261.27</v>
      </c>
      <c r="C8" s="3">
        <v>2246.4</v>
      </c>
      <c r="D8" s="3">
        <v>2361.75</v>
      </c>
      <c r="E8" s="3">
        <v>2484.9499999999998</v>
      </c>
      <c r="F8" s="3">
        <v>2360.16</v>
      </c>
      <c r="G8" s="3">
        <v>2454.6999999999998</v>
      </c>
      <c r="H8" s="3">
        <v>2027.05</v>
      </c>
      <c r="I8" s="3">
        <v>1703.68</v>
      </c>
      <c r="J8" s="3">
        <v>2784.64</v>
      </c>
      <c r="K8" s="3">
        <v>2670.78</v>
      </c>
      <c r="L8" s="3">
        <v>2567.7199999999998</v>
      </c>
    </row>
    <row r="9" spans="1:12" x14ac:dyDescent="0.3">
      <c r="A9" t="s">
        <v>104</v>
      </c>
      <c r="B9" s="3">
        <v>1599.05</v>
      </c>
      <c r="C9" s="3">
        <v>1553.22</v>
      </c>
      <c r="D9" s="3">
        <v>1601.89</v>
      </c>
      <c r="E9" s="3">
        <v>1680.74</v>
      </c>
      <c r="F9" s="3">
        <v>1876.65</v>
      </c>
      <c r="G9" s="3">
        <v>1680.77</v>
      </c>
      <c r="H9" s="3">
        <v>1589.45</v>
      </c>
      <c r="I9" s="3">
        <v>1418.05</v>
      </c>
      <c r="J9" s="3">
        <v>1152.67</v>
      </c>
      <c r="K9" s="3">
        <v>1476.99</v>
      </c>
      <c r="L9" s="3">
        <v>1238.96</v>
      </c>
    </row>
    <row r="10" spans="1:12" x14ac:dyDescent="0.3">
      <c r="A10" t="s">
        <v>105</v>
      </c>
      <c r="B10">
        <v>905.68</v>
      </c>
      <c r="C10">
        <v>934.18</v>
      </c>
      <c r="D10">
        <v>947.02</v>
      </c>
      <c r="E10">
        <v>959.92</v>
      </c>
      <c r="F10">
        <v>944.09</v>
      </c>
      <c r="G10">
        <v>958.97</v>
      </c>
      <c r="H10">
        <v>952.59</v>
      </c>
      <c r="I10" s="3">
        <v>1075.6400000000001</v>
      </c>
      <c r="J10">
        <v>940.95</v>
      </c>
      <c r="K10">
        <v>990.36</v>
      </c>
      <c r="L10">
        <v>972.58</v>
      </c>
    </row>
    <row r="11" spans="1:12" x14ac:dyDescent="0.3">
      <c r="A11" t="s">
        <v>106</v>
      </c>
      <c r="B11">
        <v>158.62</v>
      </c>
      <c r="C11">
        <v>159.47999999999999</v>
      </c>
      <c r="D11">
        <v>179.09</v>
      </c>
      <c r="E11">
        <v>180.26</v>
      </c>
      <c r="F11">
        <v>181.91</v>
      </c>
      <c r="G11">
        <v>189.27</v>
      </c>
      <c r="H11">
        <v>191.89</v>
      </c>
      <c r="I11">
        <v>186.01</v>
      </c>
      <c r="J11">
        <v>178.71</v>
      </c>
      <c r="K11">
        <v>188.14</v>
      </c>
      <c r="L11">
        <v>183.22</v>
      </c>
    </row>
    <row r="12" spans="1:12" x14ac:dyDescent="0.3">
      <c r="A12" t="s">
        <v>107</v>
      </c>
      <c r="B12" t="s">
        <v>108</v>
      </c>
      <c r="C12" t="s">
        <v>108</v>
      </c>
      <c r="D12" t="s">
        <v>108</v>
      </c>
      <c r="E12" t="s">
        <v>108</v>
      </c>
      <c r="F12" t="s">
        <v>108</v>
      </c>
      <c r="G12" t="s">
        <v>108</v>
      </c>
      <c r="H12" t="s">
        <v>108</v>
      </c>
      <c r="I12" t="s">
        <v>108</v>
      </c>
      <c r="J12">
        <v>300.39999999999998</v>
      </c>
      <c r="K12">
        <v>295.97000000000003</v>
      </c>
      <c r="L12">
        <v>299.49</v>
      </c>
    </row>
    <row r="13" spans="1:12" ht="90" customHeight="1" x14ac:dyDescent="0.3">
      <c r="A13" s="30" t="s">
        <v>109</v>
      </c>
      <c r="B13" s="30"/>
      <c r="C13" s="30"/>
      <c r="D13" s="30"/>
      <c r="E13" s="30"/>
      <c r="F13" s="30"/>
      <c r="G13" s="30"/>
      <c r="H13" s="30"/>
      <c r="I13" s="30"/>
      <c r="J13" s="30"/>
      <c r="K13" s="30"/>
      <c r="L13" s="30"/>
    </row>
  </sheetData>
  <mergeCells count="1">
    <mergeCell ref="A13:L1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D2743-434F-4179-AEED-CAEBB45D083C}">
  <dimension ref="A1:L31"/>
  <sheetViews>
    <sheetView workbookViewId="0"/>
  </sheetViews>
  <sheetFormatPr defaultColWidth="11.44140625" defaultRowHeight="14.4" x14ac:dyDescent="0.3"/>
  <cols>
    <col min="1" max="1" width="23.44140625" customWidth="1"/>
  </cols>
  <sheetData>
    <row r="1" spans="1:12" x14ac:dyDescent="0.3">
      <c r="A1" t="s">
        <v>6</v>
      </c>
    </row>
    <row r="3" spans="1:12" x14ac:dyDescent="0.3">
      <c r="B3">
        <v>2013</v>
      </c>
      <c r="C3">
        <v>2014</v>
      </c>
      <c r="D3">
        <v>2015</v>
      </c>
      <c r="E3">
        <v>2016</v>
      </c>
      <c r="F3">
        <v>2017</v>
      </c>
      <c r="G3">
        <v>2018</v>
      </c>
      <c r="H3">
        <v>2019</v>
      </c>
      <c r="I3">
        <v>2020</v>
      </c>
      <c r="J3">
        <v>2021</v>
      </c>
      <c r="K3">
        <v>2022</v>
      </c>
      <c r="L3">
        <v>2023</v>
      </c>
    </row>
    <row r="4" spans="1:12" x14ac:dyDescent="0.3">
      <c r="A4" t="s">
        <v>110</v>
      </c>
      <c r="B4">
        <v>920.57</v>
      </c>
      <c r="C4">
        <v>938.89</v>
      </c>
      <c r="D4">
        <v>952.23</v>
      </c>
      <c r="E4">
        <v>959.92</v>
      </c>
      <c r="F4">
        <v>944.09</v>
      </c>
      <c r="G4">
        <v>958.97</v>
      </c>
      <c r="H4">
        <v>952.59</v>
      </c>
      <c r="I4" s="3">
        <v>1075.6400000000001</v>
      </c>
      <c r="J4">
        <v>940.95</v>
      </c>
      <c r="K4">
        <v>990.36</v>
      </c>
      <c r="L4">
        <v>972.58</v>
      </c>
    </row>
    <row r="5" spans="1:12" x14ac:dyDescent="0.3">
      <c r="A5" t="s">
        <v>111</v>
      </c>
      <c r="B5">
        <v>7.14</v>
      </c>
      <c r="C5">
        <v>8.02</v>
      </c>
      <c r="D5">
        <v>9.1</v>
      </c>
      <c r="E5">
        <v>10.01</v>
      </c>
      <c r="F5">
        <v>10.29</v>
      </c>
      <c r="G5">
        <v>11.86</v>
      </c>
      <c r="H5">
        <v>13.06</v>
      </c>
      <c r="I5">
        <v>14.98</v>
      </c>
      <c r="J5">
        <v>40.81</v>
      </c>
      <c r="K5">
        <v>58.93</v>
      </c>
      <c r="L5">
        <v>65.27</v>
      </c>
    </row>
    <row r="6" spans="1:12" x14ac:dyDescent="0.3">
      <c r="A6" t="s">
        <v>83</v>
      </c>
      <c r="B6">
        <v>255.42</v>
      </c>
      <c r="C6">
        <v>254.12</v>
      </c>
      <c r="D6">
        <v>252.84</v>
      </c>
      <c r="E6">
        <v>251.56</v>
      </c>
      <c r="F6">
        <v>250.31</v>
      </c>
      <c r="G6">
        <v>249.08</v>
      </c>
      <c r="H6">
        <v>247.92</v>
      </c>
      <c r="I6">
        <v>330.28</v>
      </c>
      <c r="J6">
        <v>245.59</v>
      </c>
      <c r="K6">
        <v>244.47</v>
      </c>
      <c r="L6">
        <v>243.31</v>
      </c>
    </row>
    <row r="7" spans="1:12" x14ac:dyDescent="0.3">
      <c r="A7" t="s">
        <v>112</v>
      </c>
      <c r="B7">
        <v>327.74</v>
      </c>
      <c r="C7">
        <v>326.8</v>
      </c>
      <c r="D7">
        <v>324.35000000000002</v>
      </c>
      <c r="E7">
        <v>316.64999999999998</v>
      </c>
      <c r="F7">
        <v>310.88</v>
      </c>
      <c r="G7">
        <v>309.74</v>
      </c>
      <c r="H7">
        <v>292.93</v>
      </c>
      <c r="I7">
        <v>365.74</v>
      </c>
      <c r="J7">
        <v>300.27999999999997</v>
      </c>
      <c r="K7">
        <v>310.2</v>
      </c>
      <c r="L7">
        <v>283.08</v>
      </c>
    </row>
    <row r="8" spans="1:12" x14ac:dyDescent="0.3">
      <c r="A8" t="s">
        <v>113</v>
      </c>
      <c r="B8">
        <v>321.99</v>
      </c>
      <c r="C8">
        <v>320.42</v>
      </c>
      <c r="D8">
        <v>316.56</v>
      </c>
      <c r="E8">
        <v>312.76</v>
      </c>
      <c r="F8">
        <v>310.88</v>
      </c>
      <c r="G8">
        <v>309.74</v>
      </c>
      <c r="H8">
        <v>292.93</v>
      </c>
      <c r="I8">
        <v>365.74</v>
      </c>
      <c r="J8">
        <v>300.27999999999997</v>
      </c>
      <c r="K8">
        <v>310.2</v>
      </c>
      <c r="L8">
        <v>283.08</v>
      </c>
    </row>
    <row r="9" spans="1:12" x14ac:dyDescent="0.3">
      <c r="A9" t="s">
        <v>114</v>
      </c>
      <c r="B9">
        <v>1.35</v>
      </c>
      <c r="C9">
        <v>1.91</v>
      </c>
      <c r="D9">
        <v>2.57</v>
      </c>
      <c r="E9">
        <v>1.92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</row>
    <row r="10" spans="1:12" x14ac:dyDescent="0.3">
      <c r="A10" t="s">
        <v>115</v>
      </c>
      <c r="B10">
        <v>4.4000000000000004</v>
      </c>
      <c r="C10">
        <v>4.46</v>
      </c>
      <c r="D10">
        <v>5.22</v>
      </c>
      <c r="E10">
        <v>1.97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</row>
    <row r="11" spans="1:12" x14ac:dyDescent="0.3">
      <c r="A11" t="s">
        <v>89</v>
      </c>
      <c r="B11">
        <v>44.9</v>
      </c>
      <c r="C11">
        <v>52.99</v>
      </c>
      <c r="D11">
        <v>50.77</v>
      </c>
      <c r="E11">
        <v>51.83</v>
      </c>
      <c r="F11">
        <v>49.25</v>
      </c>
      <c r="G11">
        <v>42.38</v>
      </c>
      <c r="H11">
        <v>40.9</v>
      </c>
      <c r="I11">
        <v>35.450000000000003</v>
      </c>
      <c r="J11">
        <v>39.49</v>
      </c>
      <c r="K11">
        <v>37.200000000000003</v>
      </c>
      <c r="L11">
        <v>39.18</v>
      </c>
    </row>
    <row r="12" spans="1:12" x14ac:dyDescent="0.3">
      <c r="A12" t="s">
        <v>116</v>
      </c>
      <c r="B12">
        <v>285.37</v>
      </c>
      <c r="C12">
        <v>296.97000000000003</v>
      </c>
      <c r="D12">
        <v>315.16000000000003</v>
      </c>
      <c r="E12">
        <v>329.88</v>
      </c>
      <c r="F12">
        <v>323.36</v>
      </c>
      <c r="G12">
        <v>345.91</v>
      </c>
      <c r="H12">
        <v>357.77</v>
      </c>
      <c r="I12">
        <v>329.2</v>
      </c>
      <c r="J12">
        <v>314.77999999999997</v>
      </c>
      <c r="K12">
        <v>339.56</v>
      </c>
      <c r="L12">
        <v>341.74</v>
      </c>
    </row>
    <row r="13" spans="1:12" x14ac:dyDescent="0.3">
      <c r="A13" t="s">
        <v>50</v>
      </c>
      <c r="B13">
        <v>742.84</v>
      </c>
      <c r="C13">
        <v>754.33</v>
      </c>
      <c r="D13">
        <v>755.41</v>
      </c>
      <c r="E13">
        <v>756.85</v>
      </c>
      <c r="F13">
        <v>751.61</v>
      </c>
      <c r="G13">
        <v>760.6</v>
      </c>
      <c r="H13">
        <v>748.94</v>
      </c>
      <c r="I13">
        <v>914.88</v>
      </c>
      <c r="J13">
        <v>796.59</v>
      </c>
      <c r="K13">
        <v>833.62</v>
      </c>
      <c r="L13">
        <v>822.15</v>
      </c>
    </row>
    <row r="14" spans="1:12" x14ac:dyDescent="0.3">
      <c r="A14" t="s">
        <v>111</v>
      </c>
      <c r="B14">
        <v>4.17</v>
      </c>
      <c r="C14">
        <v>4.71</v>
      </c>
      <c r="D14">
        <v>5.42</v>
      </c>
      <c r="E14">
        <v>6.1</v>
      </c>
      <c r="F14">
        <v>6.42</v>
      </c>
      <c r="G14">
        <v>7.11</v>
      </c>
      <c r="H14">
        <v>7.88</v>
      </c>
      <c r="I14">
        <v>9.01</v>
      </c>
      <c r="J14">
        <v>34.17</v>
      </c>
      <c r="K14">
        <v>52.06</v>
      </c>
      <c r="L14">
        <v>56.64</v>
      </c>
    </row>
    <row r="15" spans="1:12" x14ac:dyDescent="0.3">
      <c r="A15" t="s">
        <v>83</v>
      </c>
      <c r="B15">
        <v>255.42</v>
      </c>
      <c r="C15">
        <v>254.12</v>
      </c>
      <c r="D15">
        <v>252.84</v>
      </c>
      <c r="E15">
        <v>251.56</v>
      </c>
      <c r="F15">
        <v>250.31</v>
      </c>
      <c r="G15">
        <v>249.08</v>
      </c>
      <c r="H15">
        <v>247.92</v>
      </c>
      <c r="I15">
        <v>330.28</v>
      </c>
      <c r="J15">
        <v>245.59</v>
      </c>
      <c r="K15">
        <v>244.47</v>
      </c>
      <c r="L15">
        <v>243.31</v>
      </c>
    </row>
    <row r="16" spans="1:12" x14ac:dyDescent="0.3">
      <c r="A16" t="s">
        <v>112</v>
      </c>
      <c r="B16">
        <v>258.31</v>
      </c>
      <c r="C16">
        <v>259.02</v>
      </c>
      <c r="D16">
        <v>255.96</v>
      </c>
      <c r="E16">
        <v>249.47</v>
      </c>
      <c r="F16">
        <v>246.45</v>
      </c>
      <c r="G16">
        <v>246.45</v>
      </c>
      <c r="H16">
        <v>231.04</v>
      </c>
      <c r="I16">
        <v>289.54000000000002</v>
      </c>
      <c r="J16">
        <v>239.1</v>
      </c>
      <c r="K16">
        <v>246.98</v>
      </c>
      <c r="L16">
        <v>224.57</v>
      </c>
    </row>
    <row r="17" spans="1:12" x14ac:dyDescent="0.3">
      <c r="A17" t="s">
        <v>113</v>
      </c>
      <c r="B17">
        <v>256.95999999999998</v>
      </c>
      <c r="C17">
        <v>257.11</v>
      </c>
      <c r="D17">
        <v>253.39</v>
      </c>
      <c r="E17">
        <v>247.54</v>
      </c>
      <c r="F17">
        <v>246.45</v>
      </c>
      <c r="G17">
        <v>246.45</v>
      </c>
      <c r="H17">
        <v>231.04</v>
      </c>
      <c r="I17">
        <v>289.54000000000002</v>
      </c>
      <c r="J17">
        <v>239.1</v>
      </c>
      <c r="K17">
        <v>246.98</v>
      </c>
      <c r="L17">
        <v>224.57</v>
      </c>
    </row>
    <row r="18" spans="1:12" x14ac:dyDescent="0.3">
      <c r="A18" t="s">
        <v>114</v>
      </c>
      <c r="B18">
        <v>1.35</v>
      </c>
      <c r="C18">
        <v>1.91</v>
      </c>
      <c r="D18">
        <v>2.57</v>
      </c>
      <c r="E18">
        <v>1.92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</row>
    <row r="19" spans="1:12" x14ac:dyDescent="0.3">
      <c r="A19" t="s">
        <v>89</v>
      </c>
      <c r="B19">
        <v>33.799999999999997</v>
      </c>
      <c r="C19">
        <v>39.86</v>
      </c>
      <c r="D19">
        <v>37.43</v>
      </c>
      <c r="E19">
        <v>37.450000000000003</v>
      </c>
      <c r="F19">
        <v>35.479999999999997</v>
      </c>
      <c r="G19">
        <v>30.16</v>
      </c>
      <c r="H19">
        <v>29.94</v>
      </c>
      <c r="I19">
        <v>25.95</v>
      </c>
      <c r="J19">
        <v>27.66</v>
      </c>
      <c r="K19">
        <v>25.2</v>
      </c>
      <c r="L19">
        <v>26</v>
      </c>
    </row>
    <row r="20" spans="1:12" x14ac:dyDescent="0.3">
      <c r="A20" t="s">
        <v>116</v>
      </c>
      <c r="B20">
        <v>191.14</v>
      </c>
      <c r="C20">
        <v>196.62</v>
      </c>
      <c r="D20">
        <v>203.75</v>
      </c>
      <c r="E20">
        <v>212.28</v>
      </c>
      <c r="F20">
        <v>212.95</v>
      </c>
      <c r="G20">
        <v>227.8</v>
      </c>
      <c r="H20">
        <v>232.15</v>
      </c>
      <c r="I20">
        <v>260.10000000000002</v>
      </c>
      <c r="J20">
        <v>250.06</v>
      </c>
      <c r="K20">
        <v>264.91000000000003</v>
      </c>
      <c r="L20">
        <v>271.63</v>
      </c>
    </row>
    <row r="21" spans="1:12" x14ac:dyDescent="0.3">
      <c r="A21" t="s">
        <v>117</v>
      </c>
      <c r="B21">
        <v>144.30000000000001</v>
      </c>
      <c r="C21">
        <v>152.16999999999999</v>
      </c>
      <c r="D21">
        <v>164.46</v>
      </c>
      <c r="E21">
        <v>171.85</v>
      </c>
      <c r="F21">
        <v>163.57</v>
      </c>
      <c r="G21">
        <v>167.44</v>
      </c>
      <c r="H21">
        <v>170.7</v>
      </c>
      <c r="I21">
        <v>145.41</v>
      </c>
      <c r="J21">
        <v>130.31</v>
      </c>
      <c r="K21">
        <v>141.24</v>
      </c>
      <c r="L21">
        <v>136.94999999999999</v>
      </c>
    </row>
    <row r="22" spans="1:12" x14ac:dyDescent="0.3">
      <c r="A22" t="s">
        <v>111</v>
      </c>
      <c r="B22">
        <v>2.98</v>
      </c>
      <c r="C22">
        <v>3.3</v>
      </c>
      <c r="D22">
        <v>3.68</v>
      </c>
      <c r="E22">
        <v>3.91</v>
      </c>
      <c r="F22">
        <v>3.87</v>
      </c>
      <c r="G22">
        <v>4.75</v>
      </c>
      <c r="H22">
        <v>5.17</v>
      </c>
      <c r="I22">
        <v>5.96</v>
      </c>
      <c r="J22">
        <v>6.51</v>
      </c>
      <c r="K22">
        <v>6.72</v>
      </c>
      <c r="L22">
        <v>8.4700000000000006</v>
      </c>
    </row>
    <row r="23" spans="1:12" x14ac:dyDescent="0.3">
      <c r="A23" t="s">
        <v>112</v>
      </c>
      <c r="B23">
        <v>69.430000000000007</v>
      </c>
      <c r="C23">
        <v>67.78</v>
      </c>
      <c r="D23">
        <v>68.39</v>
      </c>
      <c r="E23">
        <v>67.180000000000007</v>
      </c>
      <c r="F23">
        <v>64.430000000000007</v>
      </c>
      <c r="G23">
        <v>63.29</v>
      </c>
      <c r="H23">
        <v>61.89</v>
      </c>
      <c r="I23">
        <v>76.2</v>
      </c>
      <c r="J23">
        <v>61.17</v>
      </c>
      <c r="K23">
        <v>63.22</v>
      </c>
      <c r="L23">
        <v>58.51</v>
      </c>
    </row>
    <row r="24" spans="1:12" x14ac:dyDescent="0.3">
      <c r="A24" t="s">
        <v>113</v>
      </c>
      <c r="B24">
        <v>65.03</v>
      </c>
      <c r="C24">
        <v>63.32</v>
      </c>
      <c r="D24">
        <v>63.17</v>
      </c>
      <c r="E24">
        <v>65.209999999999994</v>
      </c>
      <c r="F24">
        <v>64.430000000000007</v>
      </c>
      <c r="G24">
        <v>63.29</v>
      </c>
      <c r="H24">
        <v>61.89</v>
      </c>
      <c r="I24">
        <v>76.2</v>
      </c>
      <c r="J24">
        <v>61.17</v>
      </c>
      <c r="K24">
        <v>63.22</v>
      </c>
      <c r="L24">
        <v>58.51</v>
      </c>
    </row>
    <row r="25" spans="1:12" x14ac:dyDescent="0.3">
      <c r="A25" t="s">
        <v>115</v>
      </c>
      <c r="B25">
        <v>4.4000000000000004</v>
      </c>
      <c r="C25">
        <v>4.46</v>
      </c>
      <c r="D25">
        <v>5.22</v>
      </c>
      <c r="E25">
        <v>1.97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</row>
    <row r="26" spans="1:12" x14ac:dyDescent="0.3">
      <c r="A26" t="s">
        <v>89</v>
      </c>
      <c r="B26">
        <v>11.1</v>
      </c>
      <c r="C26">
        <v>13.13</v>
      </c>
      <c r="D26">
        <v>13.34</v>
      </c>
      <c r="E26">
        <v>14.38</v>
      </c>
      <c r="F26">
        <v>13.77</v>
      </c>
      <c r="G26">
        <v>12.22</v>
      </c>
      <c r="H26">
        <v>10.96</v>
      </c>
      <c r="I26">
        <v>9.5</v>
      </c>
      <c r="J26">
        <v>11.83</v>
      </c>
      <c r="K26">
        <v>11.99</v>
      </c>
      <c r="L26">
        <v>13.18</v>
      </c>
    </row>
    <row r="27" spans="1:12" x14ac:dyDescent="0.3">
      <c r="A27" t="s">
        <v>116</v>
      </c>
      <c r="B27">
        <v>60.8</v>
      </c>
      <c r="C27">
        <v>67.95</v>
      </c>
      <c r="D27">
        <v>79.05</v>
      </c>
      <c r="E27">
        <v>86.38</v>
      </c>
      <c r="F27">
        <v>81.489999999999995</v>
      </c>
      <c r="G27">
        <v>87.17</v>
      </c>
      <c r="H27">
        <v>92.67</v>
      </c>
      <c r="I27">
        <v>53.75</v>
      </c>
      <c r="J27">
        <v>50.8</v>
      </c>
      <c r="K27">
        <v>59.3</v>
      </c>
      <c r="L27">
        <v>56.79</v>
      </c>
    </row>
    <row r="28" spans="1:12" x14ac:dyDescent="0.3">
      <c r="A28" t="s">
        <v>52</v>
      </c>
      <c r="B28">
        <v>33.43</v>
      </c>
      <c r="C28">
        <v>32.39</v>
      </c>
      <c r="D28">
        <v>32.369999999999997</v>
      </c>
      <c r="E28">
        <v>31.22</v>
      </c>
      <c r="F28">
        <v>28.92</v>
      </c>
      <c r="G28">
        <v>30.93</v>
      </c>
      <c r="H28">
        <v>32.950000000000003</v>
      </c>
      <c r="I28">
        <v>15.36</v>
      </c>
      <c r="J28">
        <v>14.05</v>
      </c>
      <c r="K28">
        <v>15.49</v>
      </c>
      <c r="L28">
        <v>13.47</v>
      </c>
    </row>
    <row r="29" spans="1:12" x14ac:dyDescent="0.3">
      <c r="A29" t="s">
        <v>111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0.13</v>
      </c>
      <c r="K29">
        <v>0.15</v>
      </c>
      <c r="L29">
        <v>0.16</v>
      </c>
    </row>
    <row r="30" spans="1:12" x14ac:dyDescent="0.3">
      <c r="A30" t="s">
        <v>116</v>
      </c>
      <c r="B30">
        <v>33.43</v>
      </c>
      <c r="C30">
        <v>32.39</v>
      </c>
      <c r="D30">
        <v>32.369999999999997</v>
      </c>
      <c r="E30">
        <v>31.22</v>
      </c>
      <c r="F30">
        <v>28.92</v>
      </c>
      <c r="G30">
        <v>30.93</v>
      </c>
      <c r="H30">
        <v>32.950000000000003</v>
      </c>
      <c r="I30">
        <v>15.36</v>
      </c>
      <c r="J30">
        <v>13.92</v>
      </c>
      <c r="K30">
        <v>15.34</v>
      </c>
      <c r="L30">
        <v>13.31</v>
      </c>
    </row>
    <row r="31" spans="1:12" ht="126" customHeight="1" x14ac:dyDescent="0.3">
      <c r="A31" s="30" t="s">
        <v>118</v>
      </c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</row>
  </sheetData>
  <mergeCells count="1">
    <mergeCell ref="A31:L3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3B0115-AB0A-4A08-9203-93102E40F883}">
  <dimension ref="A1:K253"/>
  <sheetViews>
    <sheetView workbookViewId="0"/>
  </sheetViews>
  <sheetFormatPr defaultColWidth="11.44140625" defaultRowHeight="14.4" x14ac:dyDescent="0.3"/>
  <sheetData>
    <row r="1" spans="1:11" x14ac:dyDescent="0.3">
      <c r="A1" t="s">
        <v>11</v>
      </c>
      <c r="B1" t="s">
        <v>119</v>
      </c>
    </row>
    <row r="2" spans="1:11" x14ac:dyDescent="0.3">
      <c r="B2">
        <v>2012</v>
      </c>
      <c r="C2">
        <v>2013</v>
      </c>
      <c r="D2">
        <v>2014</v>
      </c>
      <c r="E2">
        <v>2015</v>
      </c>
      <c r="F2">
        <v>2016</v>
      </c>
      <c r="G2">
        <v>2017</v>
      </c>
      <c r="H2">
        <v>2018</v>
      </c>
      <c r="I2">
        <v>2019</v>
      </c>
      <c r="J2">
        <v>2020</v>
      </c>
      <c r="K2">
        <v>2021</v>
      </c>
    </row>
    <row r="3" spans="1:11" x14ac:dyDescent="0.3">
      <c r="A3" t="s">
        <v>120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 spans="1:11" x14ac:dyDescent="0.3">
      <c r="A4" t="s">
        <v>121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 spans="1:11" x14ac:dyDescent="0.3">
      <c r="A5" t="s">
        <v>122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 x14ac:dyDescent="0.3">
      <c r="A6" t="s">
        <v>123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 spans="1:11" x14ac:dyDescent="0.3">
      <c r="A7" t="s">
        <v>124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 x14ac:dyDescent="0.3">
      <c r="A8" t="s">
        <v>125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 spans="1:11" x14ac:dyDescent="0.3">
      <c r="A9" t="s">
        <v>81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</row>
    <row r="10" spans="1:11" x14ac:dyDescent="0.3">
      <c r="A10" t="s">
        <v>126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 x14ac:dyDescent="0.3">
      <c r="A11" t="s">
        <v>127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 x14ac:dyDescent="0.3">
      <c r="A12" t="s">
        <v>128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1" x14ac:dyDescent="0.3">
      <c r="A13" t="s">
        <v>83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</row>
    <row r="14" spans="1:11" x14ac:dyDescent="0.3">
      <c r="A14" t="s">
        <v>129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</row>
    <row r="15" spans="1:11" x14ac:dyDescent="0.3">
      <c r="A15" t="s">
        <v>130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</row>
    <row r="16" spans="1:11" x14ac:dyDescent="0.3">
      <c r="A16" t="s">
        <v>131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</row>
    <row r="17" spans="1:11" x14ac:dyDescent="0.3">
      <c r="A17" t="s">
        <v>84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  <row r="18" spans="1:11" x14ac:dyDescent="0.3">
      <c r="A18" t="s">
        <v>85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</row>
    <row r="19" spans="1:11" x14ac:dyDescent="0.3">
      <c r="A19" t="s">
        <v>132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</row>
    <row r="20" spans="1:11" x14ac:dyDescent="0.3">
      <c r="A20" t="s">
        <v>133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</row>
    <row r="21" spans="1:11" x14ac:dyDescent="0.3">
      <c r="A21" t="s">
        <v>87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</row>
    <row r="22" spans="1:11" x14ac:dyDescent="0.3">
      <c r="A22" t="s">
        <v>134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</row>
    <row r="23" spans="1:11" x14ac:dyDescent="0.3">
      <c r="A23" t="s">
        <v>135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</row>
    <row r="24" spans="1:11" x14ac:dyDescent="0.3">
      <c r="A24" t="s">
        <v>115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</row>
    <row r="25" spans="1:11" x14ac:dyDescent="0.3">
      <c r="A25" t="s">
        <v>136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</row>
    <row r="26" spans="1:11" x14ac:dyDescent="0.3">
      <c r="A26" t="s">
        <v>137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</row>
    <row r="27" spans="1:11" x14ac:dyDescent="0.3">
      <c r="A27" t="s">
        <v>89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</row>
    <row r="28" spans="1:11" x14ac:dyDescent="0.3">
      <c r="A28" t="s">
        <v>91</v>
      </c>
      <c r="B28">
        <v>17.79</v>
      </c>
      <c r="C28">
        <v>18.04</v>
      </c>
      <c r="D28">
        <v>18.73</v>
      </c>
      <c r="E28">
        <v>19.21</v>
      </c>
      <c r="F28">
        <v>19.649999999999999</v>
      </c>
      <c r="G28">
        <v>20.07</v>
      </c>
      <c r="H28">
        <v>19.489999999999998</v>
      </c>
      <c r="I28">
        <v>20.059999999999999</v>
      </c>
      <c r="J28">
        <v>19.38</v>
      </c>
      <c r="K28">
        <v>21.21</v>
      </c>
    </row>
    <row r="29" spans="1:11" x14ac:dyDescent="0.3">
      <c r="A29" t="s">
        <v>138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</row>
    <row r="33" spans="1:11" x14ac:dyDescent="0.3">
      <c r="A33" t="s">
        <v>14</v>
      </c>
      <c r="B33" t="s">
        <v>139</v>
      </c>
    </row>
    <row r="34" spans="1:11" x14ac:dyDescent="0.3">
      <c r="B34">
        <v>2012</v>
      </c>
      <c r="C34">
        <v>2013</v>
      </c>
      <c r="D34">
        <v>2014</v>
      </c>
      <c r="E34">
        <v>2015</v>
      </c>
      <c r="F34">
        <v>2016</v>
      </c>
      <c r="G34">
        <v>2017</v>
      </c>
      <c r="H34">
        <v>2018</v>
      </c>
      <c r="I34">
        <v>2019</v>
      </c>
      <c r="J34">
        <v>2020</v>
      </c>
      <c r="K34">
        <v>2021</v>
      </c>
    </row>
    <row r="35" spans="1:11" x14ac:dyDescent="0.3">
      <c r="A35" t="s">
        <v>120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</row>
    <row r="36" spans="1:11" x14ac:dyDescent="0.3">
      <c r="A36" t="s">
        <v>121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</row>
    <row r="37" spans="1:11" x14ac:dyDescent="0.3">
      <c r="A37" t="s">
        <v>122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</row>
    <row r="38" spans="1:11" x14ac:dyDescent="0.3">
      <c r="A38" t="s">
        <v>123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</row>
    <row r="39" spans="1:11" x14ac:dyDescent="0.3">
      <c r="A39" t="s">
        <v>124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</row>
    <row r="40" spans="1:11" x14ac:dyDescent="0.3">
      <c r="A40" t="s">
        <v>125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</row>
    <row r="41" spans="1:11" x14ac:dyDescent="0.3">
      <c r="A41" t="s">
        <v>81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</row>
    <row r="42" spans="1:11" x14ac:dyDescent="0.3">
      <c r="A42" t="s">
        <v>126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</row>
    <row r="43" spans="1:11" x14ac:dyDescent="0.3">
      <c r="A43" t="s">
        <v>127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</row>
    <row r="44" spans="1:11" x14ac:dyDescent="0.3">
      <c r="A44" t="s">
        <v>128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</row>
    <row r="45" spans="1:11" x14ac:dyDescent="0.3">
      <c r="A45" t="s">
        <v>83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</row>
    <row r="46" spans="1:11" x14ac:dyDescent="0.3">
      <c r="A46" t="s">
        <v>129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</row>
    <row r="47" spans="1:11" x14ac:dyDescent="0.3">
      <c r="A47" t="s">
        <v>130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</row>
    <row r="48" spans="1:11" x14ac:dyDescent="0.3">
      <c r="A48" t="s">
        <v>131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</row>
    <row r="49" spans="1:11" x14ac:dyDescent="0.3">
      <c r="A49" t="s">
        <v>84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</row>
    <row r="50" spans="1:11" x14ac:dyDescent="0.3">
      <c r="A50" t="s">
        <v>85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</row>
    <row r="51" spans="1:11" x14ac:dyDescent="0.3">
      <c r="A51" t="s">
        <v>132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</row>
    <row r="52" spans="1:11" x14ac:dyDescent="0.3">
      <c r="A52" t="s">
        <v>133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</row>
    <row r="53" spans="1:11" x14ac:dyDescent="0.3">
      <c r="A53" t="s">
        <v>87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</row>
    <row r="54" spans="1:11" x14ac:dyDescent="0.3">
      <c r="A54" t="s">
        <v>134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</row>
    <row r="55" spans="1:11" x14ac:dyDescent="0.3">
      <c r="A55" t="s">
        <v>135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</row>
    <row r="56" spans="1:11" x14ac:dyDescent="0.3">
      <c r="A56" t="s">
        <v>115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</row>
    <row r="57" spans="1:11" x14ac:dyDescent="0.3">
      <c r="A57" t="s">
        <v>136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</row>
    <row r="58" spans="1:11" x14ac:dyDescent="0.3">
      <c r="A58" t="s">
        <v>137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</row>
    <row r="59" spans="1:11" x14ac:dyDescent="0.3">
      <c r="A59" t="s">
        <v>89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</row>
    <row r="60" spans="1:11" x14ac:dyDescent="0.3">
      <c r="A60" t="s">
        <v>91</v>
      </c>
      <c r="B60">
        <v>29.29</v>
      </c>
      <c r="C60">
        <v>29.7</v>
      </c>
      <c r="D60">
        <v>30.86</v>
      </c>
      <c r="E60">
        <v>31.65</v>
      </c>
      <c r="F60">
        <v>32.35</v>
      </c>
      <c r="G60">
        <v>33.06</v>
      </c>
      <c r="H60">
        <v>32.11</v>
      </c>
      <c r="I60">
        <v>33.049999999999997</v>
      </c>
      <c r="J60">
        <v>31.93</v>
      </c>
      <c r="K60">
        <v>34.94</v>
      </c>
    </row>
    <row r="61" spans="1:11" x14ac:dyDescent="0.3">
      <c r="A61" t="s">
        <v>138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</row>
    <row r="65" spans="1:11" x14ac:dyDescent="0.3">
      <c r="A65" t="s">
        <v>17</v>
      </c>
      <c r="B65" t="s">
        <v>140</v>
      </c>
    </row>
    <row r="66" spans="1:11" x14ac:dyDescent="0.3">
      <c r="B66">
        <v>2012</v>
      </c>
      <c r="C66">
        <v>2013</v>
      </c>
      <c r="D66">
        <v>2014</v>
      </c>
      <c r="E66">
        <v>2015</v>
      </c>
      <c r="F66">
        <v>2016</v>
      </c>
      <c r="G66">
        <v>2017</v>
      </c>
      <c r="H66">
        <v>2018</v>
      </c>
      <c r="I66">
        <v>2019</v>
      </c>
      <c r="J66">
        <v>2020</v>
      </c>
      <c r="K66">
        <v>2021</v>
      </c>
    </row>
    <row r="67" spans="1:11" x14ac:dyDescent="0.3">
      <c r="A67" t="s">
        <v>120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</row>
    <row r="68" spans="1:11" x14ac:dyDescent="0.3">
      <c r="A68" t="s">
        <v>121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</row>
    <row r="69" spans="1:11" x14ac:dyDescent="0.3">
      <c r="A69" t="s">
        <v>122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</row>
    <row r="70" spans="1:11" x14ac:dyDescent="0.3">
      <c r="A70" t="s">
        <v>123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</row>
    <row r="71" spans="1:11" x14ac:dyDescent="0.3">
      <c r="A71" t="s">
        <v>124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</row>
    <row r="72" spans="1:11" x14ac:dyDescent="0.3">
      <c r="A72" t="s">
        <v>125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</row>
    <row r="73" spans="1:11" x14ac:dyDescent="0.3">
      <c r="A73" t="s">
        <v>81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</row>
    <row r="74" spans="1:11" x14ac:dyDescent="0.3">
      <c r="A74" t="s">
        <v>126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</row>
    <row r="75" spans="1:11" x14ac:dyDescent="0.3">
      <c r="A75" t="s">
        <v>127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</row>
    <row r="76" spans="1:11" x14ac:dyDescent="0.3">
      <c r="A76" t="s">
        <v>128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</row>
    <row r="77" spans="1:11" x14ac:dyDescent="0.3">
      <c r="A77" t="s">
        <v>83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</row>
    <row r="78" spans="1:11" x14ac:dyDescent="0.3">
      <c r="A78" t="s">
        <v>129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</row>
    <row r="79" spans="1:11" x14ac:dyDescent="0.3">
      <c r="A79" t="s">
        <v>130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</row>
    <row r="80" spans="1:11" x14ac:dyDescent="0.3">
      <c r="A80" t="s">
        <v>131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</row>
    <row r="81" spans="1:11" x14ac:dyDescent="0.3">
      <c r="A81" t="s">
        <v>84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</row>
    <row r="82" spans="1:11" x14ac:dyDescent="0.3">
      <c r="A82" t="s">
        <v>85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</row>
    <row r="83" spans="1:11" x14ac:dyDescent="0.3">
      <c r="A83" t="s">
        <v>132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</row>
    <row r="84" spans="1:11" x14ac:dyDescent="0.3">
      <c r="A84" t="s">
        <v>133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</row>
    <row r="85" spans="1:11" x14ac:dyDescent="0.3">
      <c r="A85" t="s">
        <v>87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</row>
    <row r="86" spans="1:11" x14ac:dyDescent="0.3">
      <c r="A86" t="s">
        <v>134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</row>
    <row r="87" spans="1:11" x14ac:dyDescent="0.3">
      <c r="A87" t="s">
        <v>135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</row>
    <row r="88" spans="1:11" x14ac:dyDescent="0.3">
      <c r="A88" t="s">
        <v>115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</row>
    <row r="89" spans="1:11" x14ac:dyDescent="0.3">
      <c r="A89" t="s">
        <v>136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</row>
    <row r="90" spans="1:11" x14ac:dyDescent="0.3">
      <c r="A90" t="s">
        <v>137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</row>
    <row r="91" spans="1:11" x14ac:dyDescent="0.3">
      <c r="A91" t="s">
        <v>89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</row>
    <row r="92" spans="1:11" x14ac:dyDescent="0.3">
      <c r="A92" t="s">
        <v>91</v>
      </c>
      <c r="B92">
        <v>5.45</v>
      </c>
      <c r="C92">
        <v>5.52</v>
      </c>
      <c r="D92">
        <v>5.73</v>
      </c>
      <c r="E92">
        <v>5.88</v>
      </c>
      <c r="F92">
        <v>6.02</v>
      </c>
      <c r="G92">
        <v>6.15</v>
      </c>
      <c r="H92">
        <v>5.97</v>
      </c>
      <c r="I92">
        <v>6.14</v>
      </c>
      <c r="J92">
        <v>5.94</v>
      </c>
      <c r="K92">
        <v>6.49</v>
      </c>
    </row>
    <row r="93" spans="1:11" x14ac:dyDescent="0.3">
      <c r="A93" t="s">
        <v>138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</row>
    <row r="97" spans="1:11" x14ac:dyDescent="0.3">
      <c r="A97" t="s">
        <v>19</v>
      </c>
      <c r="B97" t="s">
        <v>141</v>
      </c>
    </row>
    <row r="98" spans="1:11" x14ac:dyDescent="0.3">
      <c r="B98">
        <v>2012</v>
      </c>
      <c r="C98">
        <v>2013</v>
      </c>
      <c r="D98">
        <v>2014</v>
      </c>
      <c r="E98">
        <v>2015</v>
      </c>
      <c r="F98">
        <v>2016</v>
      </c>
      <c r="G98">
        <v>2017</v>
      </c>
      <c r="H98">
        <v>2018</v>
      </c>
      <c r="I98">
        <v>2019</v>
      </c>
      <c r="J98">
        <v>2020</v>
      </c>
      <c r="K98">
        <v>2021</v>
      </c>
    </row>
    <row r="99" spans="1:11" x14ac:dyDescent="0.3">
      <c r="A99" t="s">
        <v>120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</row>
    <row r="100" spans="1:11" x14ac:dyDescent="0.3">
      <c r="A100" t="s">
        <v>121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</row>
    <row r="101" spans="1:11" x14ac:dyDescent="0.3">
      <c r="A101" t="s">
        <v>122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</row>
    <row r="102" spans="1:11" x14ac:dyDescent="0.3">
      <c r="A102" t="s">
        <v>123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</row>
    <row r="103" spans="1:11" x14ac:dyDescent="0.3">
      <c r="A103" t="s">
        <v>124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</row>
    <row r="104" spans="1:11" x14ac:dyDescent="0.3">
      <c r="A104" t="s">
        <v>125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</row>
    <row r="105" spans="1:11" x14ac:dyDescent="0.3">
      <c r="A105" t="s">
        <v>81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</row>
    <row r="106" spans="1:11" x14ac:dyDescent="0.3">
      <c r="A106" t="s">
        <v>126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</row>
    <row r="107" spans="1:11" x14ac:dyDescent="0.3">
      <c r="A107" t="s">
        <v>127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</row>
    <row r="108" spans="1:11" x14ac:dyDescent="0.3">
      <c r="A108" t="s">
        <v>128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</row>
    <row r="109" spans="1:11" x14ac:dyDescent="0.3">
      <c r="A109" t="s">
        <v>83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</row>
    <row r="110" spans="1:11" x14ac:dyDescent="0.3">
      <c r="A110" t="s">
        <v>129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</row>
    <row r="111" spans="1:11" x14ac:dyDescent="0.3">
      <c r="A111" t="s">
        <v>130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</row>
    <row r="112" spans="1:11" x14ac:dyDescent="0.3">
      <c r="A112" t="s">
        <v>131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</row>
    <row r="113" spans="1:11" x14ac:dyDescent="0.3">
      <c r="A113" t="s">
        <v>84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</row>
    <row r="114" spans="1:11" x14ac:dyDescent="0.3">
      <c r="A114" t="s">
        <v>85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</row>
    <row r="115" spans="1:11" x14ac:dyDescent="0.3">
      <c r="A115" t="s">
        <v>132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</row>
    <row r="116" spans="1:11" x14ac:dyDescent="0.3">
      <c r="A116" t="s">
        <v>133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</row>
    <row r="117" spans="1:11" x14ac:dyDescent="0.3">
      <c r="A117" t="s">
        <v>87</v>
      </c>
      <c r="B117">
        <v>4.21</v>
      </c>
      <c r="C117">
        <v>4.5999999999999996</v>
      </c>
      <c r="D117">
        <v>5.58</v>
      </c>
      <c r="E117">
        <v>5.66</v>
      </c>
      <c r="F117">
        <v>6.15</v>
      </c>
      <c r="G117">
        <v>5.83</v>
      </c>
      <c r="H117">
        <v>5.08</v>
      </c>
      <c r="I117">
        <v>4.42</v>
      </c>
      <c r="J117">
        <v>3.73</v>
      </c>
      <c r="K117">
        <v>4.8</v>
      </c>
    </row>
    <row r="118" spans="1:11" x14ac:dyDescent="0.3">
      <c r="A118" t="s">
        <v>134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</row>
    <row r="119" spans="1:11" x14ac:dyDescent="0.3">
      <c r="A119" t="s">
        <v>135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</row>
    <row r="120" spans="1:11" x14ac:dyDescent="0.3">
      <c r="A120" t="s">
        <v>115</v>
      </c>
      <c r="B120">
        <v>4.24</v>
      </c>
      <c r="C120">
        <v>4.4000000000000004</v>
      </c>
      <c r="D120">
        <v>4.46</v>
      </c>
      <c r="E120">
        <v>5.22</v>
      </c>
      <c r="F120">
        <v>1.97</v>
      </c>
      <c r="G120">
        <v>2.15</v>
      </c>
      <c r="H120">
        <v>1.1499999999999999</v>
      </c>
      <c r="I120">
        <v>0.63</v>
      </c>
      <c r="J120">
        <v>0</v>
      </c>
      <c r="K120">
        <v>0</v>
      </c>
    </row>
    <row r="121" spans="1:11" x14ac:dyDescent="0.3">
      <c r="A121" t="s">
        <v>136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</row>
    <row r="122" spans="1:11" x14ac:dyDescent="0.3">
      <c r="A122" t="s">
        <v>137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</row>
    <row r="123" spans="1:11" x14ac:dyDescent="0.3">
      <c r="A123" t="s">
        <v>89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</row>
    <row r="124" spans="1:11" x14ac:dyDescent="0.3">
      <c r="A124" t="s">
        <v>91</v>
      </c>
      <c r="B124">
        <v>4.3099999999999996</v>
      </c>
      <c r="C124">
        <v>4.37</v>
      </c>
      <c r="D124">
        <v>4.54</v>
      </c>
      <c r="E124">
        <v>4.66</v>
      </c>
      <c r="F124">
        <v>4.76</v>
      </c>
      <c r="G124">
        <v>4.87</v>
      </c>
      <c r="H124">
        <v>4.7300000000000004</v>
      </c>
      <c r="I124">
        <v>4.87</v>
      </c>
      <c r="J124">
        <v>4.7</v>
      </c>
      <c r="K124">
        <v>5.14</v>
      </c>
    </row>
    <row r="125" spans="1:11" x14ac:dyDescent="0.3">
      <c r="A125" t="s">
        <v>138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</row>
    <row r="129" spans="1:11" x14ac:dyDescent="0.3">
      <c r="A129" t="s">
        <v>21</v>
      </c>
      <c r="B129" t="s">
        <v>142</v>
      </c>
    </row>
    <row r="130" spans="1:11" x14ac:dyDescent="0.3">
      <c r="B130">
        <v>2012</v>
      </c>
      <c r="C130">
        <v>2013</v>
      </c>
      <c r="D130">
        <v>2014</v>
      </c>
      <c r="E130">
        <v>2015</v>
      </c>
      <c r="F130">
        <v>2016</v>
      </c>
      <c r="G130">
        <v>2017</v>
      </c>
      <c r="H130">
        <v>2018</v>
      </c>
      <c r="I130">
        <v>2019</v>
      </c>
      <c r="J130">
        <v>2020</v>
      </c>
      <c r="K130">
        <v>2021</v>
      </c>
    </row>
    <row r="131" spans="1:11" x14ac:dyDescent="0.3">
      <c r="A131" t="s">
        <v>120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</row>
    <row r="132" spans="1:11" x14ac:dyDescent="0.3">
      <c r="A132" t="s">
        <v>121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</row>
    <row r="133" spans="1:11" x14ac:dyDescent="0.3">
      <c r="A133" t="s">
        <v>122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</row>
    <row r="134" spans="1:11" x14ac:dyDescent="0.3">
      <c r="A134" t="s">
        <v>123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</row>
    <row r="135" spans="1:11" x14ac:dyDescent="0.3">
      <c r="A135" t="s">
        <v>124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</row>
    <row r="136" spans="1:11" x14ac:dyDescent="0.3">
      <c r="A136" t="s">
        <v>125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</row>
    <row r="137" spans="1:11" x14ac:dyDescent="0.3">
      <c r="A137" t="s">
        <v>81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</row>
    <row r="138" spans="1:11" x14ac:dyDescent="0.3">
      <c r="A138" t="s">
        <v>126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</row>
    <row r="139" spans="1:11" x14ac:dyDescent="0.3">
      <c r="A139" t="s">
        <v>127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</row>
    <row r="140" spans="1:11" x14ac:dyDescent="0.3">
      <c r="A140" t="s">
        <v>128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</row>
    <row r="141" spans="1:11" x14ac:dyDescent="0.3">
      <c r="A141" t="s">
        <v>83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</row>
    <row r="142" spans="1:11" x14ac:dyDescent="0.3">
      <c r="A142" t="s">
        <v>129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</row>
    <row r="143" spans="1:11" x14ac:dyDescent="0.3">
      <c r="A143" t="s">
        <v>130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</row>
    <row r="144" spans="1:11" x14ac:dyDescent="0.3">
      <c r="A144" t="s">
        <v>131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</row>
    <row r="145" spans="1:11" x14ac:dyDescent="0.3">
      <c r="A145" t="s">
        <v>84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</row>
    <row r="146" spans="1:11" x14ac:dyDescent="0.3">
      <c r="A146" t="s">
        <v>85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</row>
    <row r="147" spans="1:11" x14ac:dyDescent="0.3">
      <c r="A147" t="s">
        <v>132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</row>
    <row r="148" spans="1:11" x14ac:dyDescent="0.3">
      <c r="A148" t="s">
        <v>133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</row>
    <row r="149" spans="1:11" x14ac:dyDescent="0.3">
      <c r="A149" t="s">
        <v>87</v>
      </c>
      <c r="B149">
        <v>0.94</v>
      </c>
      <c r="C149">
        <v>0.96</v>
      </c>
      <c r="D149">
        <v>0.99</v>
      </c>
      <c r="E149">
        <v>1.02</v>
      </c>
      <c r="F149">
        <v>1.04</v>
      </c>
      <c r="G149">
        <v>1.06</v>
      </c>
      <c r="H149">
        <v>1.03</v>
      </c>
      <c r="I149">
        <v>1.06</v>
      </c>
      <c r="J149">
        <v>1.03</v>
      </c>
      <c r="K149">
        <v>1.1200000000000001</v>
      </c>
    </row>
    <row r="150" spans="1:11" x14ac:dyDescent="0.3">
      <c r="A150" t="s">
        <v>134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</row>
    <row r="151" spans="1:11" x14ac:dyDescent="0.3">
      <c r="A151" t="s">
        <v>135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</row>
    <row r="152" spans="1:11" x14ac:dyDescent="0.3">
      <c r="A152" t="s">
        <v>115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</row>
    <row r="153" spans="1:11" x14ac:dyDescent="0.3">
      <c r="A153" t="s">
        <v>136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</row>
    <row r="154" spans="1:11" x14ac:dyDescent="0.3">
      <c r="A154" t="s">
        <v>137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</row>
    <row r="155" spans="1:11" x14ac:dyDescent="0.3">
      <c r="A155" t="s">
        <v>89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</row>
    <row r="156" spans="1:11" x14ac:dyDescent="0.3">
      <c r="A156" t="s">
        <v>91</v>
      </c>
      <c r="B156">
        <v>0.78</v>
      </c>
      <c r="C156">
        <v>0.8</v>
      </c>
      <c r="D156">
        <v>0.83</v>
      </c>
      <c r="E156">
        <v>0.85</v>
      </c>
      <c r="F156">
        <v>0.87</v>
      </c>
      <c r="G156">
        <v>0.88</v>
      </c>
      <c r="H156">
        <v>0.86</v>
      </c>
      <c r="I156">
        <v>0.88</v>
      </c>
      <c r="J156">
        <v>0.85</v>
      </c>
      <c r="K156">
        <v>0.94</v>
      </c>
    </row>
    <row r="157" spans="1:11" x14ac:dyDescent="0.3">
      <c r="A157" t="s">
        <v>138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</row>
    <row r="161" spans="1:11" x14ac:dyDescent="0.3">
      <c r="A161" t="s">
        <v>23</v>
      </c>
      <c r="B161" t="s">
        <v>143</v>
      </c>
    </row>
    <row r="162" spans="1:11" x14ac:dyDescent="0.3">
      <c r="B162">
        <v>2012</v>
      </c>
      <c r="C162">
        <v>2013</v>
      </c>
      <c r="D162">
        <v>2014</v>
      </c>
      <c r="E162">
        <v>2015</v>
      </c>
      <c r="F162">
        <v>2016</v>
      </c>
      <c r="G162">
        <v>2017</v>
      </c>
      <c r="H162">
        <v>2018</v>
      </c>
      <c r="I162">
        <v>2019</v>
      </c>
      <c r="J162">
        <v>2020</v>
      </c>
      <c r="K162">
        <v>2021</v>
      </c>
    </row>
    <row r="163" spans="1:11" x14ac:dyDescent="0.3">
      <c r="A163" t="s">
        <v>120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</row>
    <row r="164" spans="1:11" x14ac:dyDescent="0.3">
      <c r="A164" t="s">
        <v>121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</row>
    <row r="165" spans="1:11" x14ac:dyDescent="0.3">
      <c r="A165" t="s">
        <v>122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</row>
    <row r="166" spans="1:11" x14ac:dyDescent="0.3">
      <c r="A166" t="s">
        <v>123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</row>
    <row r="167" spans="1:11" x14ac:dyDescent="0.3">
      <c r="A167" t="s">
        <v>124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</row>
    <row r="168" spans="1:11" x14ac:dyDescent="0.3">
      <c r="A168" t="s">
        <v>125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</row>
    <row r="169" spans="1:11" x14ac:dyDescent="0.3">
      <c r="A169" t="s">
        <v>81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</row>
    <row r="170" spans="1:11" x14ac:dyDescent="0.3">
      <c r="A170" t="s">
        <v>126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</row>
    <row r="171" spans="1:11" x14ac:dyDescent="0.3">
      <c r="A171" t="s">
        <v>127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</row>
    <row r="172" spans="1:11" x14ac:dyDescent="0.3">
      <c r="A172" t="s">
        <v>128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</row>
    <row r="173" spans="1:11" x14ac:dyDescent="0.3">
      <c r="A173" t="s">
        <v>83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</row>
    <row r="174" spans="1:11" x14ac:dyDescent="0.3">
      <c r="A174" t="s">
        <v>129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</row>
    <row r="175" spans="1:11" x14ac:dyDescent="0.3">
      <c r="A175" t="s">
        <v>130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</row>
    <row r="176" spans="1:11" x14ac:dyDescent="0.3">
      <c r="A176" t="s">
        <v>131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</row>
    <row r="177" spans="1:11" x14ac:dyDescent="0.3">
      <c r="A177" t="s">
        <v>84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</row>
    <row r="178" spans="1:11" x14ac:dyDescent="0.3">
      <c r="A178" t="s">
        <v>85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</row>
    <row r="179" spans="1:11" x14ac:dyDescent="0.3">
      <c r="A179" t="s">
        <v>132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</row>
    <row r="180" spans="1:11" x14ac:dyDescent="0.3">
      <c r="A180" t="s">
        <v>133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</row>
    <row r="181" spans="1:11" x14ac:dyDescent="0.3">
      <c r="A181" t="s">
        <v>87</v>
      </c>
      <c r="B181">
        <v>0.78</v>
      </c>
      <c r="C181">
        <v>0.79</v>
      </c>
      <c r="D181">
        <v>0.82</v>
      </c>
      <c r="E181">
        <v>0.84</v>
      </c>
      <c r="F181">
        <v>0.86</v>
      </c>
      <c r="G181">
        <v>0.88</v>
      </c>
      <c r="H181">
        <v>0.86</v>
      </c>
      <c r="I181">
        <v>0.88</v>
      </c>
      <c r="J181">
        <v>0.85</v>
      </c>
      <c r="K181">
        <v>0.93</v>
      </c>
    </row>
    <row r="182" spans="1:11" x14ac:dyDescent="0.3">
      <c r="A182" t="s">
        <v>134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</row>
    <row r="183" spans="1:11" x14ac:dyDescent="0.3">
      <c r="A183" t="s">
        <v>135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</row>
    <row r="184" spans="1:11" x14ac:dyDescent="0.3">
      <c r="A184" t="s">
        <v>115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</row>
    <row r="185" spans="1:11" x14ac:dyDescent="0.3">
      <c r="A185" t="s">
        <v>136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</row>
    <row r="186" spans="1:11" x14ac:dyDescent="0.3">
      <c r="A186" t="s">
        <v>137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</row>
    <row r="187" spans="1:11" x14ac:dyDescent="0.3">
      <c r="A187" t="s">
        <v>89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</row>
    <row r="188" spans="1:11" x14ac:dyDescent="0.3">
      <c r="A188" t="s">
        <v>91</v>
      </c>
      <c r="B188">
        <v>1.96</v>
      </c>
      <c r="C188">
        <v>1.99</v>
      </c>
      <c r="D188">
        <v>2.06</v>
      </c>
      <c r="E188">
        <v>2.12</v>
      </c>
      <c r="F188">
        <v>2.17</v>
      </c>
      <c r="G188">
        <v>2.21</v>
      </c>
      <c r="H188">
        <v>2.15</v>
      </c>
      <c r="I188">
        <v>2.21</v>
      </c>
      <c r="J188">
        <v>2.14</v>
      </c>
      <c r="K188">
        <v>2.34</v>
      </c>
    </row>
    <row r="189" spans="1:11" x14ac:dyDescent="0.3">
      <c r="A189" t="s">
        <v>138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</row>
    <row r="193" spans="1:11" x14ac:dyDescent="0.3">
      <c r="A193" t="s">
        <v>25</v>
      </c>
      <c r="B193" t="s">
        <v>144</v>
      </c>
    </row>
    <row r="194" spans="1:11" x14ac:dyDescent="0.3">
      <c r="B194">
        <v>2012</v>
      </c>
      <c r="C194">
        <v>2013</v>
      </c>
      <c r="D194">
        <v>2014</v>
      </c>
      <c r="E194">
        <v>2015</v>
      </c>
      <c r="F194">
        <v>2016</v>
      </c>
      <c r="G194">
        <v>2017</v>
      </c>
      <c r="H194">
        <v>2018</v>
      </c>
      <c r="I194">
        <v>2019</v>
      </c>
      <c r="J194">
        <v>2020</v>
      </c>
      <c r="K194">
        <v>2021</v>
      </c>
    </row>
    <row r="195" spans="1:11" x14ac:dyDescent="0.3">
      <c r="A195" t="s">
        <v>120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</row>
    <row r="196" spans="1:11" x14ac:dyDescent="0.3">
      <c r="A196" t="s">
        <v>121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</row>
    <row r="197" spans="1:11" x14ac:dyDescent="0.3">
      <c r="A197" t="s">
        <v>122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</row>
    <row r="198" spans="1:11" x14ac:dyDescent="0.3">
      <c r="A198" t="s">
        <v>123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</row>
    <row r="199" spans="1:11" x14ac:dyDescent="0.3">
      <c r="A199" t="s">
        <v>124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</row>
    <row r="200" spans="1:11" x14ac:dyDescent="0.3">
      <c r="A200" t="s">
        <v>125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</row>
    <row r="201" spans="1:11" x14ac:dyDescent="0.3">
      <c r="A201" t="s">
        <v>81</v>
      </c>
      <c r="B201">
        <v>2.56</v>
      </c>
      <c r="C201">
        <v>2.82</v>
      </c>
      <c r="D201">
        <v>3.12</v>
      </c>
      <c r="E201">
        <v>3.64</v>
      </c>
      <c r="F201">
        <v>3.91</v>
      </c>
      <c r="G201">
        <v>3.87</v>
      </c>
      <c r="H201">
        <v>4.75</v>
      </c>
      <c r="I201">
        <v>5.18</v>
      </c>
      <c r="J201">
        <v>5.96</v>
      </c>
      <c r="K201">
        <v>6.51</v>
      </c>
    </row>
    <row r="202" spans="1:11" x14ac:dyDescent="0.3">
      <c r="A202" t="s">
        <v>126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</row>
    <row r="203" spans="1:11" x14ac:dyDescent="0.3">
      <c r="A203" t="s">
        <v>127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</row>
    <row r="204" spans="1:11" x14ac:dyDescent="0.3">
      <c r="A204" t="s">
        <v>128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</row>
    <row r="205" spans="1:11" x14ac:dyDescent="0.3">
      <c r="A205" t="s">
        <v>83</v>
      </c>
      <c r="B205">
        <v>4.87</v>
      </c>
      <c r="C205">
        <v>4.8499999999999996</v>
      </c>
      <c r="D205">
        <v>4.82</v>
      </c>
      <c r="E205">
        <v>4.8</v>
      </c>
      <c r="F205">
        <v>4.78</v>
      </c>
      <c r="G205">
        <v>4.75</v>
      </c>
      <c r="H205">
        <v>4.7300000000000004</v>
      </c>
      <c r="I205">
        <v>4.7</v>
      </c>
      <c r="J205">
        <v>4.68</v>
      </c>
      <c r="K205">
        <v>4.66</v>
      </c>
    </row>
    <row r="206" spans="1:11" x14ac:dyDescent="0.3">
      <c r="A206" t="s">
        <v>129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</row>
    <row r="207" spans="1:11" x14ac:dyDescent="0.3">
      <c r="A207" t="s">
        <v>130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</row>
    <row r="208" spans="1:11" x14ac:dyDescent="0.3">
      <c r="A208" t="s">
        <v>131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</row>
    <row r="209" spans="1:11" x14ac:dyDescent="0.3">
      <c r="A209" t="s">
        <v>84</v>
      </c>
      <c r="B209">
        <v>2.0499999999999998</v>
      </c>
      <c r="C209">
        <v>2.08</v>
      </c>
      <c r="D209">
        <v>2.1</v>
      </c>
      <c r="E209">
        <v>2.13</v>
      </c>
      <c r="F209">
        <v>2.16</v>
      </c>
      <c r="G209">
        <v>2.19</v>
      </c>
      <c r="H209">
        <v>2.21</v>
      </c>
      <c r="I209">
        <v>2.2400000000000002</v>
      </c>
      <c r="J209">
        <v>2.27</v>
      </c>
      <c r="K209">
        <v>2.2999999999999998</v>
      </c>
    </row>
    <row r="210" spans="1:11" x14ac:dyDescent="0.3">
      <c r="A210" t="s">
        <v>85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</row>
    <row r="211" spans="1:11" x14ac:dyDescent="0.3">
      <c r="A211" t="s">
        <v>132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</row>
    <row r="212" spans="1:11" x14ac:dyDescent="0.3">
      <c r="A212" t="s">
        <v>133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</row>
    <row r="213" spans="1:11" x14ac:dyDescent="0.3">
      <c r="A213" t="s">
        <v>87</v>
      </c>
      <c r="B213">
        <v>18.510000000000002</v>
      </c>
      <c r="C213">
        <v>18.38</v>
      </c>
      <c r="D213">
        <v>17.559999999999999</v>
      </c>
      <c r="E213">
        <v>17.2</v>
      </c>
      <c r="F213">
        <v>16.350000000000001</v>
      </c>
      <c r="G213">
        <v>17</v>
      </c>
      <c r="H213">
        <v>17.45</v>
      </c>
      <c r="I213">
        <v>17.36</v>
      </c>
      <c r="J213">
        <v>17.149999999999999</v>
      </c>
      <c r="K213">
        <v>16.920000000000002</v>
      </c>
    </row>
    <row r="214" spans="1:11" x14ac:dyDescent="0.3">
      <c r="A214" t="s">
        <v>134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</row>
    <row r="215" spans="1:11" x14ac:dyDescent="0.3">
      <c r="A215" t="s">
        <v>135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</row>
    <row r="216" spans="1:11" x14ac:dyDescent="0.3">
      <c r="A216" t="s">
        <v>115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</row>
    <row r="217" spans="1:11" x14ac:dyDescent="0.3">
      <c r="A217" t="s">
        <v>136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</row>
    <row r="218" spans="1:11" x14ac:dyDescent="0.3">
      <c r="A218" t="s">
        <v>137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</row>
    <row r="219" spans="1:11" x14ac:dyDescent="0.3">
      <c r="A219" t="s">
        <v>89</v>
      </c>
      <c r="B219">
        <v>3.7</v>
      </c>
      <c r="C219">
        <v>4</v>
      </c>
      <c r="D219">
        <v>4.7300000000000004</v>
      </c>
      <c r="E219">
        <v>4.8</v>
      </c>
      <c r="F219">
        <v>5.18</v>
      </c>
      <c r="G219">
        <v>4.96</v>
      </c>
      <c r="H219">
        <v>4.4000000000000004</v>
      </c>
      <c r="I219">
        <v>3.95</v>
      </c>
      <c r="J219">
        <v>3.42</v>
      </c>
      <c r="K219">
        <v>4.26</v>
      </c>
    </row>
    <row r="220" spans="1:11" x14ac:dyDescent="0.3">
      <c r="A220" t="s">
        <v>91</v>
      </c>
      <c r="B220">
        <v>0.08</v>
      </c>
      <c r="C220">
        <v>0.08</v>
      </c>
      <c r="D220">
        <v>0.08</v>
      </c>
      <c r="E220">
        <v>0.08</v>
      </c>
      <c r="F220">
        <v>0.09</v>
      </c>
      <c r="G220">
        <v>0.09</v>
      </c>
      <c r="H220">
        <v>0.09</v>
      </c>
      <c r="I220">
        <v>0.09</v>
      </c>
      <c r="J220">
        <v>0.09</v>
      </c>
      <c r="K220">
        <v>0.09</v>
      </c>
    </row>
    <row r="221" spans="1:11" x14ac:dyDescent="0.3">
      <c r="A221" t="s">
        <v>138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</row>
    <row r="225" spans="1:11" x14ac:dyDescent="0.3">
      <c r="A225" t="s">
        <v>27</v>
      </c>
      <c r="B225" t="s">
        <v>145</v>
      </c>
    </row>
    <row r="226" spans="1:11" x14ac:dyDescent="0.3">
      <c r="B226">
        <v>2012</v>
      </c>
      <c r="C226">
        <v>2013</v>
      </c>
      <c r="D226">
        <v>2014</v>
      </c>
      <c r="E226">
        <v>2015</v>
      </c>
      <c r="F226">
        <v>2016</v>
      </c>
      <c r="G226">
        <v>2017</v>
      </c>
      <c r="H226">
        <v>2018</v>
      </c>
      <c r="I226">
        <v>2019</v>
      </c>
      <c r="J226">
        <v>2020</v>
      </c>
      <c r="K226">
        <v>2021</v>
      </c>
    </row>
    <row r="227" spans="1:11" x14ac:dyDescent="0.3">
      <c r="A227" t="s">
        <v>120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</row>
    <row r="228" spans="1:11" x14ac:dyDescent="0.3">
      <c r="A228" t="s">
        <v>121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</row>
    <row r="229" spans="1:11" x14ac:dyDescent="0.3">
      <c r="A229" t="s">
        <v>122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</row>
    <row r="230" spans="1:11" x14ac:dyDescent="0.3">
      <c r="A230" t="s">
        <v>123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</row>
    <row r="231" spans="1:11" x14ac:dyDescent="0.3">
      <c r="A231" t="s">
        <v>124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</row>
    <row r="232" spans="1:11" x14ac:dyDescent="0.3">
      <c r="A232" t="s">
        <v>125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</row>
    <row r="233" spans="1:11" x14ac:dyDescent="0.3">
      <c r="A233" t="s">
        <v>81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</row>
    <row r="234" spans="1:11" x14ac:dyDescent="0.3">
      <c r="A234" t="s">
        <v>126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</row>
    <row r="235" spans="1:11" x14ac:dyDescent="0.3">
      <c r="A235" t="s">
        <v>127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</row>
    <row r="236" spans="1:11" x14ac:dyDescent="0.3">
      <c r="A236" t="s">
        <v>128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</row>
    <row r="237" spans="1:11" x14ac:dyDescent="0.3">
      <c r="A237" t="s">
        <v>83</v>
      </c>
      <c r="B237">
        <v>8.66</v>
      </c>
      <c r="C237">
        <v>8.61</v>
      </c>
      <c r="D237">
        <v>8.58</v>
      </c>
      <c r="E237">
        <v>8.5299999999999994</v>
      </c>
      <c r="F237">
        <v>8.49</v>
      </c>
      <c r="G237">
        <v>8.4499999999999993</v>
      </c>
      <c r="H237">
        <v>8.4</v>
      </c>
      <c r="I237">
        <v>8.3699999999999992</v>
      </c>
      <c r="J237">
        <v>8.32</v>
      </c>
      <c r="K237">
        <v>8.2899999999999991</v>
      </c>
    </row>
    <row r="238" spans="1:11" x14ac:dyDescent="0.3">
      <c r="A238" t="s">
        <v>129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</row>
    <row r="239" spans="1:11" x14ac:dyDescent="0.3">
      <c r="A239" t="s">
        <v>130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</row>
    <row r="240" spans="1:11" x14ac:dyDescent="0.3">
      <c r="A240" t="s">
        <v>131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</row>
    <row r="241" spans="1:11" x14ac:dyDescent="0.3">
      <c r="A241" t="s">
        <v>84</v>
      </c>
      <c r="B241">
        <v>3.65</v>
      </c>
      <c r="C241">
        <v>3.69</v>
      </c>
      <c r="D241">
        <v>3.75</v>
      </c>
      <c r="E241">
        <v>3.79</v>
      </c>
      <c r="F241">
        <v>3.84</v>
      </c>
      <c r="G241">
        <v>3.88</v>
      </c>
      <c r="H241">
        <v>3.94</v>
      </c>
      <c r="I241">
        <v>3.98</v>
      </c>
      <c r="J241">
        <v>4.03</v>
      </c>
      <c r="K241">
        <v>4.08</v>
      </c>
    </row>
    <row r="242" spans="1:11" x14ac:dyDescent="0.3">
      <c r="A242" t="s">
        <v>85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</row>
    <row r="243" spans="1:11" x14ac:dyDescent="0.3">
      <c r="A243" t="s">
        <v>132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</row>
    <row r="244" spans="1:11" x14ac:dyDescent="0.3">
      <c r="A244" t="s">
        <v>133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</row>
    <row r="245" spans="1:11" x14ac:dyDescent="0.3">
      <c r="A245" t="s">
        <v>87</v>
      </c>
      <c r="B245">
        <v>40.68</v>
      </c>
      <c r="C245">
        <v>40.299999999999997</v>
      </c>
      <c r="D245">
        <v>38.369999999999997</v>
      </c>
      <c r="E245">
        <v>37.65</v>
      </c>
      <c r="F245">
        <v>35.9</v>
      </c>
      <c r="G245">
        <v>37.200000000000003</v>
      </c>
      <c r="H245">
        <v>38.340000000000003</v>
      </c>
      <c r="I245">
        <v>38.4</v>
      </c>
      <c r="J245">
        <v>38.28</v>
      </c>
      <c r="K245">
        <v>37.4</v>
      </c>
    </row>
    <row r="246" spans="1:11" x14ac:dyDescent="0.3">
      <c r="A246" t="s">
        <v>134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</row>
    <row r="247" spans="1:11" x14ac:dyDescent="0.3">
      <c r="A247" t="s">
        <v>135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</row>
    <row r="248" spans="1:11" x14ac:dyDescent="0.3">
      <c r="A248" t="s">
        <v>115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</row>
    <row r="249" spans="1:11" x14ac:dyDescent="0.3">
      <c r="A249" t="s">
        <v>136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</row>
    <row r="250" spans="1:11" x14ac:dyDescent="0.3">
      <c r="A250" t="s">
        <v>137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</row>
    <row r="251" spans="1:11" x14ac:dyDescent="0.3">
      <c r="A251" t="s">
        <v>89</v>
      </c>
      <c r="B251">
        <v>6.59</v>
      </c>
      <c r="C251">
        <v>7.1</v>
      </c>
      <c r="D251">
        <v>8.4</v>
      </c>
      <c r="E251">
        <v>8.5399999999999991</v>
      </c>
      <c r="F251">
        <v>9.1999999999999993</v>
      </c>
      <c r="G251">
        <v>8.81</v>
      </c>
      <c r="H251">
        <v>7.82</v>
      </c>
      <c r="I251">
        <v>7.01</v>
      </c>
      <c r="J251">
        <v>6.08</v>
      </c>
      <c r="K251">
        <v>7.57</v>
      </c>
    </row>
    <row r="252" spans="1:11" x14ac:dyDescent="0.3">
      <c r="A252" t="s">
        <v>91</v>
      </c>
      <c r="B252">
        <v>0.71</v>
      </c>
      <c r="C252">
        <v>0.72</v>
      </c>
      <c r="D252">
        <v>0.74</v>
      </c>
      <c r="E252">
        <v>0.76</v>
      </c>
      <c r="F252">
        <v>0.78</v>
      </c>
      <c r="G252">
        <v>0.8</v>
      </c>
      <c r="H252">
        <v>0.77</v>
      </c>
      <c r="I252">
        <v>0.8</v>
      </c>
      <c r="J252">
        <v>0.77</v>
      </c>
      <c r="K252">
        <v>0.84</v>
      </c>
    </row>
    <row r="253" spans="1:11" x14ac:dyDescent="0.3">
      <c r="A253" t="s">
        <v>138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56F4BC-C302-4D09-A7CC-6B08ED05ECA3}">
  <dimension ref="A1:L317"/>
  <sheetViews>
    <sheetView topLeftCell="A294" workbookViewId="0">
      <selection activeCell="L317" sqref="L317"/>
    </sheetView>
  </sheetViews>
  <sheetFormatPr defaultColWidth="11.44140625" defaultRowHeight="14.4" x14ac:dyDescent="0.3"/>
  <sheetData>
    <row r="1" spans="1:11" x14ac:dyDescent="0.3">
      <c r="A1" t="s">
        <v>12</v>
      </c>
      <c r="B1" t="s">
        <v>146</v>
      </c>
    </row>
    <row r="2" spans="1:11" x14ac:dyDescent="0.3">
      <c r="B2">
        <v>2012</v>
      </c>
      <c r="C2">
        <v>2013</v>
      </c>
      <c r="D2">
        <v>2014</v>
      </c>
      <c r="E2">
        <v>2015</v>
      </c>
      <c r="F2">
        <v>2016</v>
      </c>
      <c r="G2">
        <v>2017</v>
      </c>
      <c r="H2">
        <v>2018</v>
      </c>
      <c r="I2">
        <v>2019</v>
      </c>
      <c r="J2">
        <v>2020</v>
      </c>
      <c r="K2">
        <v>2021</v>
      </c>
    </row>
    <row r="3" spans="1:11" x14ac:dyDescent="0.3">
      <c r="A3" t="s">
        <v>120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 spans="1:11" x14ac:dyDescent="0.3">
      <c r="A4" t="s">
        <v>121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 spans="1:11" x14ac:dyDescent="0.3">
      <c r="A5" t="s">
        <v>122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 x14ac:dyDescent="0.3">
      <c r="A6" t="s">
        <v>123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 spans="1:11" x14ac:dyDescent="0.3">
      <c r="A7" t="s">
        <v>124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 x14ac:dyDescent="0.3">
      <c r="A8" t="s">
        <v>125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 spans="1:11" x14ac:dyDescent="0.3">
      <c r="A9" t="s">
        <v>81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</row>
    <row r="10" spans="1:11" x14ac:dyDescent="0.3">
      <c r="A10" t="s">
        <v>126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 x14ac:dyDescent="0.3">
      <c r="A11" t="s">
        <v>127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 x14ac:dyDescent="0.3">
      <c r="A12" t="s">
        <v>128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1" x14ac:dyDescent="0.3">
      <c r="A13" t="s">
        <v>83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</row>
    <row r="14" spans="1:11" x14ac:dyDescent="0.3">
      <c r="A14" t="s">
        <v>129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</row>
    <row r="15" spans="1:11" x14ac:dyDescent="0.3">
      <c r="A15" t="s">
        <v>130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</row>
    <row r="16" spans="1:11" x14ac:dyDescent="0.3">
      <c r="A16" t="s">
        <v>131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</row>
    <row r="17" spans="1:11" x14ac:dyDescent="0.3">
      <c r="A17" t="s">
        <v>84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  <row r="18" spans="1:11" x14ac:dyDescent="0.3">
      <c r="A18" t="s">
        <v>85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</row>
    <row r="19" spans="1:11" x14ac:dyDescent="0.3">
      <c r="A19" t="s">
        <v>132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</row>
    <row r="20" spans="1:11" x14ac:dyDescent="0.3">
      <c r="A20" t="s">
        <v>133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</row>
    <row r="21" spans="1:11" x14ac:dyDescent="0.3">
      <c r="A21" t="s">
        <v>87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</row>
    <row r="22" spans="1:11" x14ac:dyDescent="0.3">
      <c r="A22" t="s">
        <v>134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</row>
    <row r="23" spans="1:11" x14ac:dyDescent="0.3">
      <c r="A23" t="s">
        <v>135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</row>
    <row r="24" spans="1:11" x14ac:dyDescent="0.3">
      <c r="A24" t="s">
        <v>115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</row>
    <row r="25" spans="1:11" x14ac:dyDescent="0.3">
      <c r="A25" t="s">
        <v>136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</row>
    <row r="26" spans="1:11" x14ac:dyDescent="0.3">
      <c r="A26" t="s">
        <v>137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</row>
    <row r="27" spans="1:11" x14ac:dyDescent="0.3">
      <c r="A27" t="s">
        <v>89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</row>
    <row r="28" spans="1:11" x14ac:dyDescent="0.3">
      <c r="A28" t="s">
        <v>91</v>
      </c>
      <c r="B28">
        <v>16.34</v>
      </c>
      <c r="C28">
        <v>16.440000000000001</v>
      </c>
      <c r="D28">
        <v>16.91</v>
      </c>
      <c r="E28">
        <v>17.329999999999998</v>
      </c>
      <c r="F28">
        <v>18.07</v>
      </c>
      <c r="G28">
        <v>18.309999999999999</v>
      </c>
      <c r="H28">
        <v>19.190000000000001</v>
      </c>
      <c r="I28">
        <v>20.63</v>
      </c>
      <c r="J28">
        <v>21.87</v>
      </c>
      <c r="K28">
        <v>21.5</v>
      </c>
    </row>
    <row r="29" spans="1:11" x14ac:dyDescent="0.3">
      <c r="A29" t="s">
        <v>138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</row>
    <row r="33" spans="1:11" x14ac:dyDescent="0.3">
      <c r="A33" t="s">
        <v>15</v>
      </c>
      <c r="B33" t="s">
        <v>147</v>
      </c>
    </row>
    <row r="34" spans="1:11" x14ac:dyDescent="0.3">
      <c r="B34">
        <v>2012</v>
      </c>
      <c r="C34">
        <v>2013</v>
      </c>
      <c r="D34">
        <v>2014</v>
      </c>
      <c r="E34">
        <v>2015</v>
      </c>
      <c r="F34">
        <v>2016</v>
      </c>
      <c r="G34">
        <v>2017</v>
      </c>
      <c r="H34">
        <v>2018</v>
      </c>
      <c r="I34">
        <v>2019</v>
      </c>
      <c r="J34">
        <v>2020</v>
      </c>
      <c r="K34">
        <v>2021</v>
      </c>
    </row>
    <row r="35" spans="1:11" x14ac:dyDescent="0.3">
      <c r="A35" t="s">
        <v>120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</row>
    <row r="36" spans="1:11" x14ac:dyDescent="0.3">
      <c r="A36" t="s">
        <v>121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</row>
    <row r="37" spans="1:11" x14ac:dyDescent="0.3">
      <c r="A37" t="s">
        <v>122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</row>
    <row r="38" spans="1:11" x14ac:dyDescent="0.3">
      <c r="A38" t="s">
        <v>123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</row>
    <row r="39" spans="1:11" x14ac:dyDescent="0.3">
      <c r="A39" t="s">
        <v>124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</row>
    <row r="40" spans="1:11" x14ac:dyDescent="0.3">
      <c r="A40" t="s">
        <v>125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</row>
    <row r="41" spans="1:11" x14ac:dyDescent="0.3">
      <c r="A41" t="s">
        <v>81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</row>
    <row r="42" spans="1:11" x14ac:dyDescent="0.3">
      <c r="A42" t="s">
        <v>126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</row>
    <row r="43" spans="1:11" x14ac:dyDescent="0.3">
      <c r="A43" t="s">
        <v>127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</row>
    <row r="44" spans="1:11" x14ac:dyDescent="0.3">
      <c r="A44" t="s">
        <v>128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</row>
    <row r="45" spans="1:11" x14ac:dyDescent="0.3">
      <c r="A45" t="s">
        <v>83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</row>
    <row r="46" spans="1:11" x14ac:dyDescent="0.3">
      <c r="A46" t="s">
        <v>129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</row>
    <row r="47" spans="1:11" x14ac:dyDescent="0.3">
      <c r="A47" t="s">
        <v>130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</row>
    <row r="48" spans="1:11" x14ac:dyDescent="0.3">
      <c r="A48" t="s">
        <v>131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</row>
    <row r="49" spans="1:11" x14ac:dyDescent="0.3">
      <c r="A49" t="s">
        <v>84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</row>
    <row r="50" spans="1:11" x14ac:dyDescent="0.3">
      <c r="A50" t="s">
        <v>85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</row>
    <row r="51" spans="1:11" x14ac:dyDescent="0.3">
      <c r="A51" t="s">
        <v>132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</row>
    <row r="52" spans="1:11" x14ac:dyDescent="0.3">
      <c r="A52" t="s">
        <v>133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</row>
    <row r="53" spans="1:11" x14ac:dyDescent="0.3">
      <c r="A53" t="s">
        <v>87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</row>
    <row r="54" spans="1:11" x14ac:dyDescent="0.3">
      <c r="A54" t="s">
        <v>134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</row>
    <row r="55" spans="1:11" x14ac:dyDescent="0.3">
      <c r="A55" t="s">
        <v>135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</row>
    <row r="56" spans="1:11" x14ac:dyDescent="0.3">
      <c r="A56" t="s">
        <v>115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</row>
    <row r="57" spans="1:11" x14ac:dyDescent="0.3">
      <c r="A57" t="s">
        <v>136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</row>
    <row r="58" spans="1:11" x14ac:dyDescent="0.3">
      <c r="A58" t="s">
        <v>137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</row>
    <row r="59" spans="1:11" x14ac:dyDescent="0.3">
      <c r="A59" t="s">
        <v>89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</row>
    <row r="60" spans="1:11" x14ac:dyDescent="0.3">
      <c r="A60" t="s">
        <v>91</v>
      </c>
      <c r="B60">
        <v>40.28</v>
      </c>
      <c r="C60">
        <v>40.520000000000003</v>
      </c>
      <c r="D60">
        <v>41.68</v>
      </c>
      <c r="E60">
        <v>42.73</v>
      </c>
      <c r="F60">
        <v>44.55</v>
      </c>
      <c r="G60">
        <v>45.15</v>
      </c>
      <c r="H60">
        <v>47.31</v>
      </c>
      <c r="I60">
        <v>50.86</v>
      </c>
      <c r="J60">
        <v>53.92</v>
      </c>
      <c r="K60">
        <v>53</v>
      </c>
    </row>
    <row r="61" spans="1:11" x14ac:dyDescent="0.3">
      <c r="A61" t="s">
        <v>138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</row>
    <row r="65" spans="1:11" x14ac:dyDescent="0.3">
      <c r="A65" t="s">
        <v>18</v>
      </c>
      <c r="B65" t="s">
        <v>148</v>
      </c>
    </row>
    <row r="66" spans="1:11" x14ac:dyDescent="0.3">
      <c r="B66">
        <v>2012</v>
      </c>
      <c r="C66">
        <v>2013</v>
      </c>
      <c r="D66">
        <v>2014</v>
      </c>
      <c r="E66">
        <v>2015</v>
      </c>
      <c r="F66">
        <v>2016</v>
      </c>
      <c r="G66">
        <v>2017</v>
      </c>
      <c r="H66">
        <v>2018</v>
      </c>
      <c r="I66">
        <v>2019</v>
      </c>
      <c r="J66">
        <v>2020</v>
      </c>
      <c r="K66">
        <v>2021</v>
      </c>
    </row>
    <row r="67" spans="1:11" x14ac:dyDescent="0.3">
      <c r="A67" t="s">
        <v>120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</row>
    <row r="68" spans="1:11" x14ac:dyDescent="0.3">
      <c r="A68" t="s">
        <v>121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</row>
    <row r="69" spans="1:11" x14ac:dyDescent="0.3">
      <c r="A69" t="s">
        <v>122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</row>
    <row r="70" spans="1:11" x14ac:dyDescent="0.3">
      <c r="A70" t="s">
        <v>123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</row>
    <row r="71" spans="1:11" x14ac:dyDescent="0.3">
      <c r="A71" t="s">
        <v>124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</row>
    <row r="72" spans="1:11" x14ac:dyDescent="0.3">
      <c r="A72" t="s">
        <v>125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</row>
    <row r="73" spans="1:11" x14ac:dyDescent="0.3">
      <c r="A73" t="s">
        <v>81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</row>
    <row r="74" spans="1:11" x14ac:dyDescent="0.3">
      <c r="A74" t="s">
        <v>126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</row>
    <row r="75" spans="1:11" x14ac:dyDescent="0.3">
      <c r="A75" t="s">
        <v>127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</row>
    <row r="76" spans="1:11" x14ac:dyDescent="0.3">
      <c r="A76" t="s">
        <v>128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</row>
    <row r="77" spans="1:11" x14ac:dyDescent="0.3">
      <c r="A77" t="s">
        <v>83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</row>
    <row r="78" spans="1:11" x14ac:dyDescent="0.3">
      <c r="A78" t="s">
        <v>129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</row>
    <row r="79" spans="1:11" x14ac:dyDescent="0.3">
      <c r="A79" t="s">
        <v>130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</row>
    <row r="80" spans="1:11" x14ac:dyDescent="0.3">
      <c r="A80" t="s">
        <v>131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</row>
    <row r="81" spans="1:12" x14ac:dyDescent="0.3">
      <c r="A81" t="s">
        <v>84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</row>
    <row r="82" spans="1:12" x14ac:dyDescent="0.3">
      <c r="A82" t="s">
        <v>85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</row>
    <row r="83" spans="1:12" x14ac:dyDescent="0.3">
      <c r="A83" t="s">
        <v>132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</row>
    <row r="84" spans="1:12" x14ac:dyDescent="0.3">
      <c r="A84" t="s">
        <v>133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</row>
    <row r="85" spans="1:12" x14ac:dyDescent="0.3">
      <c r="A85" t="s">
        <v>87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</row>
    <row r="86" spans="1:12" x14ac:dyDescent="0.3">
      <c r="A86" t="s">
        <v>134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</row>
    <row r="87" spans="1:12" x14ac:dyDescent="0.3">
      <c r="A87" t="s">
        <v>135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</row>
    <row r="88" spans="1:12" x14ac:dyDescent="0.3">
      <c r="A88" t="s">
        <v>115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</row>
    <row r="89" spans="1:12" x14ac:dyDescent="0.3">
      <c r="A89" t="s">
        <v>136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</row>
    <row r="90" spans="1:12" x14ac:dyDescent="0.3">
      <c r="A90" t="s">
        <v>137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</row>
    <row r="91" spans="1:12" x14ac:dyDescent="0.3">
      <c r="A91" t="s">
        <v>89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</row>
    <row r="92" spans="1:12" x14ac:dyDescent="0.3">
      <c r="A92" t="s">
        <v>91</v>
      </c>
      <c r="B92" s="7">
        <v>32.68</v>
      </c>
      <c r="C92" s="7">
        <v>32.880000000000003</v>
      </c>
      <c r="D92" s="7">
        <v>33.82</v>
      </c>
      <c r="E92" s="7">
        <v>34.67</v>
      </c>
      <c r="F92" s="7">
        <v>36.14</v>
      </c>
      <c r="G92" s="7">
        <v>36.630000000000003</v>
      </c>
      <c r="H92" s="7">
        <v>38.39</v>
      </c>
      <c r="I92" s="7">
        <v>41.27</v>
      </c>
      <c r="J92" s="7">
        <v>43.74</v>
      </c>
      <c r="K92" s="7">
        <v>43</v>
      </c>
      <c r="L92" s="18" t="s">
        <v>149</v>
      </c>
    </row>
    <row r="93" spans="1:12" x14ac:dyDescent="0.3">
      <c r="A93" t="s">
        <v>138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 t="s">
        <v>150</v>
      </c>
    </row>
    <row r="97" spans="1:11" x14ac:dyDescent="0.3">
      <c r="A97" t="s">
        <v>20</v>
      </c>
      <c r="B97" t="s">
        <v>151</v>
      </c>
    </row>
    <row r="98" spans="1:11" x14ac:dyDescent="0.3">
      <c r="B98">
        <v>2012</v>
      </c>
      <c r="C98">
        <v>2013</v>
      </c>
      <c r="D98">
        <v>2014</v>
      </c>
      <c r="E98">
        <v>2015</v>
      </c>
      <c r="F98">
        <v>2016</v>
      </c>
      <c r="G98">
        <v>2017</v>
      </c>
      <c r="H98">
        <v>2018</v>
      </c>
      <c r="I98">
        <v>2019</v>
      </c>
      <c r="J98">
        <v>2020</v>
      </c>
      <c r="K98">
        <v>2021</v>
      </c>
    </row>
    <row r="99" spans="1:11" x14ac:dyDescent="0.3">
      <c r="A99" t="s">
        <v>120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</row>
    <row r="100" spans="1:11" x14ac:dyDescent="0.3">
      <c r="A100" t="s">
        <v>121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</row>
    <row r="101" spans="1:11" x14ac:dyDescent="0.3">
      <c r="A101" t="s">
        <v>122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</row>
    <row r="102" spans="1:11" x14ac:dyDescent="0.3">
      <c r="A102" t="s">
        <v>123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</row>
    <row r="103" spans="1:11" x14ac:dyDescent="0.3">
      <c r="A103" t="s">
        <v>124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</row>
    <row r="104" spans="1:11" x14ac:dyDescent="0.3">
      <c r="A104" t="s">
        <v>125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</row>
    <row r="105" spans="1:11" x14ac:dyDescent="0.3">
      <c r="A105" t="s">
        <v>81</v>
      </c>
      <c r="B105">
        <v>3.53</v>
      </c>
      <c r="C105">
        <v>4.04</v>
      </c>
      <c r="D105">
        <v>4.53</v>
      </c>
      <c r="E105">
        <v>5.29</v>
      </c>
      <c r="F105">
        <v>6.1</v>
      </c>
      <c r="G105">
        <v>6.42</v>
      </c>
      <c r="H105">
        <v>7.11</v>
      </c>
      <c r="I105">
        <v>7.89</v>
      </c>
      <c r="J105">
        <v>9.01</v>
      </c>
      <c r="K105">
        <v>10.69</v>
      </c>
    </row>
    <row r="106" spans="1:11" x14ac:dyDescent="0.3">
      <c r="A106" t="s">
        <v>126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</row>
    <row r="107" spans="1:11" x14ac:dyDescent="0.3">
      <c r="A107" t="s">
        <v>127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</row>
    <row r="108" spans="1:11" x14ac:dyDescent="0.3">
      <c r="A108" t="s">
        <v>128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</row>
    <row r="109" spans="1:11" x14ac:dyDescent="0.3">
      <c r="A109" t="s">
        <v>83</v>
      </c>
      <c r="B109">
        <v>83.37</v>
      </c>
      <c r="C109">
        <v>82.96</v>
      </c>
      <c r="D109">
        <v>82.55</v>
      </c>
      <c r="E109">
        <v>82.14</v>
      </c>
      <c r="F109">
        <v>81.73</v>
      </c>
      <c r="G109">
        <v>81.319999999999993</v>
      </c>
      <c r="H109">
        <v>80.92</v>
      </c>
      <c r="I109">
        <v>80.510000000000005</v>
      </c>
      <c r="J109">
        <v>80.099999999999994</v>
      </c>
      <c r="K109">
        <v>79.77</v>
      </c>
    </row>
    <row r="110" spans="1:11" x14ac:dyDescent="0.3">
      <c r="A110" t="s">
        <v>129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</row>
    <row r="111" spans="1:11" x14ac:dyDescent="0.3">
      <c r="A111" t="s">
        <v>130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</row>
    <row r="112" spans="1:11" x14ac:dyDescent="0.3">
      <c r="A112" t="s">
        <v>131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</row>
    <row r="113" spans="1:11" x14ac:dyDescent="0.3">
      <c r="A113" t="s">
        <v>84</v>
      </c>
      <c r="B113">
        <v>17.61</v>
      </c>
      <c r="C113">
        <v>17.79</v>
      </c>
      <c r="D113">
        <v>17.97</v>
      </c>
      <c r="E113">
        <v>18.16</v>
      </c>
      <c r="F113">
        <v>18.34</v>
      </c>
      <c r="G113">
        <v>18.52</v>
      </c>
      <c r="H113">
        <v>18.71</v>
      </c>
      <c r="I113">
        <v>18.89</v>
      </c>
      <c r="J113">
        <v>19.079999999999998</v>
      </c>
      <c r="K113">
        <v>19.260000000000002</v>
      </c>
    </row>
    <row r="114" spans="1:11" x14ac:dyDescent="0.3">
      <c r="A114" t="s">
        <v>85</v>
      </c>
      <c r="B114">
        <v>5.15</v>
      </c>
      <c r="C114">
        <v>5.13</v>
      </c>
      <c r="D114">
        <v>5.0999999999999996</v>
      </c>
      <c r="E114">
        <v>5.08</v>
      </c>
      <c r="F114">
        <v>5.05</v>
      </c>
      <c r="G114">
        <v>5.03</v>
      </c>
      <c r="H114">
        <v>5</v>
      </c>
      <c r="I114">
        <v>4.9800000000000004</v>
      </c>
      <c r="J114">
        <v>4.95</v>
      </c>
      <c r="K114">
        <v>4.93</v>
      </c>
    </row>
    <row r="115" spans="1:11" x14ac:dyDescent="0.3">
      <c r="A115" t="s">
        <v>132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</row>
    <row r="116" spans="1:11" x14ac:dyDescent="0.3">
      <c r="A116" t="s">
        <v>133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</row>
    <row r="117" spans="1:11" x14ac:dyDescent="0.3">
      <c r="A117" t="s">
        <v>87</v>
      </c>
      <c r="B117">
        <v>68.59</v>
      </c>
      <c r="C117">
        <v>64.239999999999995</v>
      </c>
      <c r="D117">
        <v>64.28</v>
      </c>
      <c r="E117">
        <v>60.32</v>
      </c>
      <c r="F117">
        <v>61.5</v>
      </c>
      <c r="G117">
        <v>61.18</v>
      </c>
      <c r="H117">
        <v>61.59</v>
      </c>
      <c r="I117">
        <v>61.68</v>
      </c>
      <c r="J117">
        <v>60.04</v>
      </c>
      <c r="K117">
        <v>59.78</v>
      </c>
    </row>
    <row r="118" spans="1:11" x14ac:dyDescent="0.3">
      <c r="A118" t="s">
        <v>134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</row>
    <row r="119" spans="1:11" x14ac:dyDescent="0.3">
      <c r="A119" t="s">
        <v>135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</row>
    <row r="120" spans="1:11" x14ac:dyDescent="0.3">
      <c r="A120" t="s">
        <v>115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</row>
    <row r="121" spans="1:11" x14ac:dyDescent="0.3">
      <c r="A121" t="s">
        <v>136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</row>
    <row r="122" spans="1:11" x14ac:dyDescent="0.3">
      <c r="A122" t="s">
        <v>137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</row>
    <row r="123" spans="1:11" x14ac:dyDescent="0.3">
      <c r="A123" t="s">
        <v>89</v>
      </c>
      <c r="B123">
        <v>8.02</v>
      </c>
      <c r="C123">
        <v>8.4499999999999993</v>
      </c>
      <c r="D123">
        <v>9.9700000000000006</v>
      </c>
      <c r="E123">
        <v>9.36</v>
      </c>
      <c r="F123">
        <v>9.36</v>
      </c>
      <c r="G123">
        <v>8.8699999999999992</v>
      </c>
      <c r="H123">
        <v>7.54</v>
      </c>
      <c r="I123">
        <v>7.49</v>
      </c>
      <c r="J123">
        <v>6.49</v>
      </c>
      <c r="K123">
        <v>6.92</v>
      </c>
    </row>
    <row r="124" spans="1:11" x14ac:dyDescent="0.3">
      <c r="A124" t="s">
        <v>91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</row>
    <row r="125" spans="1:11" x14ac:dyDescent="0.3">
      <c r="A125" t="s">
        <v>138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</row>
    <row r="129" spans="1:11" x14ac:dyDescent="0.3">
      <c r="A129" t="s">
        <v>22</v>
      </c>
      <c r="B129" t="s">
        <v>152</v>
      </c>
    </row>
    <row r="130" spans="1:11" x14ac:dyDescent="0.3">
      <c r="B130">
        <v>2012</v>
      </c>
      <c r="C130">
        <v>2013</v>
      </c>
      <c r="D130">
        <v>2014</v>
      </c>
      <c r="E130">
        <v>2015</v>
      </c>
      <c r="F130">
        <v>2016</v>
      </c>
      <c r="G130">
        <v>2017</v>
      </c>
      <c r="H130">
        <v>2018</v>
      </c>
      <c r="I130">
        <v>2019</v>
      </c>
      <c r="J130">
        <v>2020</v>
      </c>
      <c r="K130">
        <v>2021</v>
      </c>
    </row>
    <row r="131" spans="1:11" x14ac:dyDescent="0.3">
      <c r="A131" t="s">
        <v>120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</row>
    <row r="132" spans="1:11" x14ac:dyDescent="0.3">
      <c r="A132" t="s">
        <v>121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</row>
    <row r="133" spans="1:11" x14ac:dyDescent="0.3">
      <c r="A133" t="s">
        <v>122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</row>
    <row r="134" spans="1:11" x14ac:dyDescent="0.3">
      <c r="A134" t="s">
        <v>123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</row>
    <row r="135" spans="1:11" x14ac:dyDescent="0.3">
      <c r="A135" t="s">
        <v>124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</row>
    <row r="136" spans="1:11" x14ac:dyDescent="0.3">
      <c r="A136" t="s">
        <v>125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</row>
    <row r="137" spans="1:11" x14ac:dyDescent="0.3">
      <c r="A137" t="s">
        <v>81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</row>
    <row r="138" spans="1:11" x14ac:dyDescent="0.3">
      <c r="A138" t="s">
        <v>126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</row>
    <row r="139" spans="1:11" x14ac:dyDescent="0.3">
      <c r="A139" t="s">
        <v>127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</row>
    <row r="140" spans="1:11" x14ac:dyDescent="0.3">
      <c r="A140" t="s">
        <v>128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</row>
    <row r="141" spans="1:11" x14ac:dyDescent="0.3">
      <c r="A141" t="s">
        <v>83</v>
      </c>
      <c r="B141">
        <v>250.1</v>
      </c>
      <c r="C141">
        <v>248.88</v>
      </c>
      <c r="D141">
        <v>247.66</v>
      </c>
      <c r="E141">
        <v>246.43</v>
      </c>
      <c r="F141">
        <v>245.2</v>
      </c>
      <c r="G141">
        <v>243.97</v>
      </c>
      <c r="H141">
        <v>242.76</v>
      </c>
      <c r="I141">
        <v>241.53</v>
      </c>
      <c r="J141">
        <v>240.3</v>
      </c>
      <c r="K141">
        <v>239.3</v>
      </c>
    </row>
    <row r="142" spans="1:11" x14ac:dyDescent="0.3">
      <c r="A142" t="s">
        <v>129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</row>
    <row r="143" spans="1:11" x14ac:dyDescent="0.3">
      <c r="A143" t="s">
        <v>130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</row>
    <row r="144" spans="1:11" x14ac:dyDescent="0.3">
      <c r="A144" t="s">
        <v>131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</row>
    <row r="145" spans="1:11" x14ac:dyDescent="0.3">
      <c r="A145" t="s">
        <v>84</v>
      </c>
      <c r="B145">
        <v>52.82</v>
      </c>
      <c r="C145">
        <v>53.37</v>
      </c>
      <c r="D145">
        <v>53.92</v>
      </c>
      <c r="E145">
        <v>54.47</v>
      </c>
      <c r="F145">
        <v>55.02</v>
      </c>
      <c r="G145">
        <v>55.57</v>
      </c>
      <c r="H145">
        <v>56.12</v>
      </c>
      <c r="I145">
        <v>56.67</v>
      </c>
      <c r="J145">
        <v>57.23</v>
      </c>
      <c r="K145">
        <v>57.78</v>
      </c>
    </row>
    <row r="146" spans="1:11" x14ac:dyDescent="0.3">
      <c r="A146" t="s">
        <v>85</v>
      </c>
      <c r="B146">
        <v>15.46</v>
      </c>
      <c r="C146">
        <v>15.38</v>
      </c>
      <c r="D146">
        <v>15.3</v>
      </c>
      <c r="E146">
        <v>15.23</v>
      </c>
      <c r="F146">
        <v>15.15</v>
      </c>
      <c r="G146">
        <v>15.08</v>
      </c>
      <c r="H146">
        <v>15</v>
      </c>
      <c r="I146">
        <v>14.93</v>
      </c>
      <c r="J146">
        <v>14.85</v>
      </c>
      <c r="K146">
        <v>14.79</v>
      </c>
    </row>
    <row r="147" spans="1:11" x14ac:dyDescent="0.3">
      <c r="A147" t="s">
        <v>132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</row>
    <row r="148" spans="1:11" x14ac:dyDescent="0.3">
      <c r="A148" t="s">
        <v>133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</row>
    <row r="149" spans="1:11" x14ac:dyDescent="0.3">
      <c r="A149" t="s">
        <v>87</v>
      </c>
      <c r="B149">
        <v>205.78</v>
      </c>
      <c r="C149">
        <v>192.72</v>
      </c>
      <c r="D149">
        <v>192.83</v>
      </c>
      <c r="E149">
        <v>180.95</v>
      </c>
      <c r="F149">
        <v>184.51</v>
      </c>
      <c r="G149">
        <v>183.55</v>
      </c>
      <c r="H149">
        <v>184.77</v>
      </c>
      <c r="I149">
        <v>185.06</v>
      </c>
      <c r="J149">
        <v>180.11</v>
      </c>
      <c r="K149">
        <v>179.33</v>
      </c>
    </row>
    <row r="150" spans="1:11" x14ac:dyDescent="0.3">
      <c r="A150" t="s">
        <v>134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</row>
    <row r="151" spans="1:11" x14ac:dyDescent="0.3">
      <c r="A151" t="s">
        <v>135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</row>
    <row r="152" spans="1:11" x14ac:dyDescent="0.3">
      <c r="A152" t="s">
        <v>115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</row>
    <row r="153" spans="1:11" x14ac:dyDescent="0.3">
      <c r="A153" t="s">
        <v>136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</row>
    <row r="154" spans="1:11" x14ac:dyDescent="0.3">
      <c r="A154" t="s">
        <v>137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</row>
    <row r="155" spans="1:11" x14ac:dyDescent="0.3">
      <c r="A155" t="s">
        <v>89</v>
      </c>
      <c r="B155">
        <v>24.05</v>
      </c>
      <c r="C155">
        <v>25.35</v>
      </c>
      <c r="D155">
        <v>29.9</v>
      </c>
      <c r="E155">
        <v>28.07</v>
      </c>
      <c r="F155">
        <v>28.09</v>
      </c>
      <c r="G155">
        <v>26.61</v>
      </c>
      <c r="H155">
        <v>22.62</v>
      </c>
      <c r="I155">
        <v>22.46</v>
      </c>
      <c r="J155">
        <v>19.46</v>
      </c>
      <c r="K155">
        <v>20.75</v>
      </c>
    </row>
    <row r="156" spans="1:11" x14ac:dyDescent="0.3">
      <c r="A156" t="s">
        <v>91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</row>
    <row r="157" spans="1:11" x14ac:dyDescent="0.3">
      <c r="A157" t="s">
        <v>138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</row>
    <row r="161" spans="1:11" x14ac:dyDescent="0.3">
      <c r="A161" t="s">
        <v>24</v>
      </c>
      <c r="B161" t="s">
        <v>153</v>
      </c>
    </row>
    <row r="162" spans="1:11" x14ac:dyDescent="0.3">
      <c r="B162">
        <v>2012</v>
      </c>
      <c r="C162">
        <v>2013</v>
      </c>
      <c r="D162">
        <v>2014</v>
      </c>
      <c r="E162">
        <v>2015</v>
      </c>
      <c r="F162">
        <v>2016</v>
      </c>
      <c r="G162">
        <v>2017</v>
      </c>
      <c r="H162">
        <v>2018</v>
      </c>
      <c r="I162">
        <v>2019</v>
      </c>
      <c r="J162">
        <v>2020</v>
      </c>
      <c r="K162">
        <v>2021</v>
      </c>
    </row>
    <row r="163" spans="1:11" x14ac:dyDescent="0.3">
      <c r="A163" t="s">
        <v>120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</row>
    <row r="164" spans="1:11" x14ac:dyDescent="0.3">
      <c r="A164" t="s">
        <v>121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</row>
    <row r="165" spans="1:11" x14ac:dyDescent="0.3">
      <c r="A165" t="s">
        <v>122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</row>
    <row r="166" spans="1:11" x14ac:dyDescent="0.3">
      <c r="A166" t="s">
        <v>123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</row>
    <row r="167" spans="1:11" x14ac:dyDescent="0.3">
      <c r="A167" t="s">
        <v>124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</row>
    <row r="168" spans="1:11" x14ac:dyDescent="0.3">
      <c r="A168" t="s">
        <v>125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</row>
    <row r="169" spans="1:11" x14ac:dyDescent="0.3">
      <c r="A169" t="s">
        <v>81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</row>
    <row r="170" spans="1:11" x14ac:dyDescent="0.3">
      <c r="A170" t="s">
        <v>126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</row>
    <row r="171" spans="1:11" x14ac:dyDescent="0.3">
      <c r="A171" t="s">
        <v>127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</row>
    <row r="172" spans="1:11" x14ac:dyDescent="0.3">
      <c r="A172" t="s">
        <v>128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</row>
    <row r="173" spans="1:11" x14ac:dyDescent="0.3">
      <c r="A173" t="s">
        <v>83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</row>
    <row r="174" spans="1:11" x14ac:dyDescent="0.3">
      <c r="A174" t="s">
        <v>129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</row>
    <row r="175" spans="1:11" x14ac:dyDescent="0.3">
      <c r="A175" t="s">
        <v>130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</row>
    <row r="176" spans="1:11" x14ac:dyDescent="0.3">
      <c r="A176" t="s">
        <v>131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</row>
    <row r="177" spans="1:11" x14ac:dyDescent="0.3">
      <c r="A177" t="s">
        <v>84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</row>
    <row r="178" spans="1:11" x14ac:dyDescent="0.3">
      <c r="A178" t="s">
        <v>85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</row>
    <row r="179" spans="1:11" x14ac:dyDescent="0.3">
      <c r="A179" t="s">
        <v>132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</row>
    <row r="180" spans="1:11" x14ac:dyDescent="0.3">
      <c r="A180" t="s">
        <v>133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</row>
    <row r="181" spans="1:11" x14ac:dyDescent="0.3">
      <c r="A181" t="s">
        <v>87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</row>
    <row r="182" spans="1:11" x14ac:dyDescent="0.3">
      <c r="A182" t="s">
        <v>134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</row>
    <row r="183" spans="1:11" x14ac:dyDescent="0.3">
      <c r="A183" t="s">
        <v>135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</row>
    <row r="184" spans="1:11" x14ac:dyDescent="0.3">
      <c r="A184" t="s">
        <v>115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</row>
    <row r="185" spans="1:11" x14ac:dyDescent="0.3">
      <c r="A185" t="s">
        <v>136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</row>
    <row r="186" spans="1:11" x14ac:dyDescent="0.3">
      <c r="A186" t="s">
        <v>137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</row>
    <row r="187" spans="1:11" x14ac:dyDescent="0.3">
      <c r="A187" t="s">
        <v>89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</row>
    <row r="188" spans="1:11" x14ac:dyDescent="0.3">
      <c r="A188" t="s">
        <v>91</v>
      </c>
      <c r="B188">
        <v>10.64</v>
      </c>
      <c r="C188">
        <v>10.7</v>
      </c>
      <c r="D188">
        <v>11.01</v>
      </c>
      <c r="E188">
        <v>11.29</v>
      </c>
      <c r="F188">
        <v>11.77</v>
      </c>
      <c r="G188">
        <v>11.93</v>
      </c>
      <c r="H188">
        <v>12.5</v>
      </c>
      <c r="I188">
        <v>13.44</v>
      </c>
      <c r="J188">
        <v>14.24</v>
      </c>
      <c r="K188">
        <v>14</v>
      </c>
    </row>
    <row r="189" spans="1:11" x14ac:dyDescent="0.3">
      <c r="A189" t="s">
        <v>138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</row>
    <row r="193" spans="1:11" x14ac:dyDescent="0.3">
      <c r="A193" t="s">
        <v>26</v>
      </c>
      <c r="B193" t="s">
        <v>154</v>
      </c>
    </row>
    <row r="194" spans="1:11" x14ac:dyDescent="0.3">
      <c r="B194">
        <v>2012</v>
      </c>
      <c r="C194">
        <v>2013</v>
      </c>
      <c r="D194">
        <v>2014</v>
      </c>
      <c r="E194">
        <v>2015</v>
      </c>
      <c r="F194">
        <v>2016</v>
      </c>
      <c r="G194">
        <v>2017</v>
      </c>
      <c r="H194">
        <v>2018</v>
      </c>
      <c r="I194">
        <v>2019</v>
      </c>
      <c r="J194">
        <v>2020</v>
      </c>
      <c r="K194">
        <v>2021</v>
      </c>
    </row>
    <row r="195" spans="1:11" x14ac:dyDescent="0.3">
      <c r="A195" t="s">
        <v>120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</row>
    <row r="196" spans="1:11" x14ac:dyDescent="0.3">
      <c r="A196" t="s">
        <v>121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</row>
    <row r="197" spans="1:11" x14ac:dyDescent="0.3">
      <c r="A197" t="s">
        <v>122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</row>
    <row r="198" spans="1:11" x14ac:dyDescent="0.3">
      <c r="A198" t="s">
        <v>123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</row>
    <row r="199" spans="1:11" x14ac:dyDescent="0.3">
      <c r="A199" t="s">
        <v>124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</row>
    <row r="200" spans="1:11" x14ac:dyDescent="0.3">
      <c r="A200" t="s">
        <v>125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</row>
    <row r="201" spans="1:11" x14ac:dyDescent="0.3">
      <c r="A201" t="s">
        <v>81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</row>
    <row r="202" spans="1:11" x14ac:dyDescent="0.3">
      <c r="A202" t="s">
        <v>126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</row>
    <row r="203" spans="1:11" x14ac:dyDescent="0.3">
      <c r="A203" t="s">
        <v>127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</row>
    <row r="204" spans="1:11" x14ac:dyDescent="0.3">
      <c r="A204" t="s">
        <v>128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</row>
    <row r="205" spans="1:11" x14ac:dyDescent="0.3">
      <c r="A205" t="s">
        <v>83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</row>
    <row r="206" spans="1:11" x14ac:dyDescent="0.3">
      <c r="A206" t="s">
        <v>129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</row>
    <row r="207" spans="1:11" x14ac:dyDescent="0.3">
      <c r="A207" t="s">
        <v>130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</row>
    <row r="208" spans="1:11" x14ac:dyDescent="0.3">
      <c r="A208" t="s">
        <v>131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</row>
    <row r="209" spans="1:11" x14ac:dyDescent="0.3">
      <c r="A209" t="s">
        <v>84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</row>
    <row r="210" spans="1:11" x14ac:dyDescent="0.3">
      <c r="A210" t="s">
        <v>85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</row>
    <row r="211" spans="1:11" x14ac:dyDescent="0.3">
      <c r="A211" t="s">
        <v>132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</row>
    <row r="212" spans="1:11" x14ac:dyDescent="0.3">
      <c r="A212" t="s">
        <v>133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</row>
    <row r="213" spans="1:11" x14ac:dyDescent="0.3">
      <c r="A213" t="s">
        <v>87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</row>
    <row r="214" spans="1:11" x14ac:dyDescent="0.3">
      <c r="A214" t="s">
        <v>134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</row>
    <row r="215" spans="1:11" x14ac:dyDescent="0.3">
      <c r="A215" t="s">
        <v>135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</row>
    <row r="216" spans="1:11" x14ac:dyDescent="0.3">
      <c r="A216" t="s">
        <v>115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</row>
    <row r="217" spans="1:11" x14ac:dyDescent="0.3">
      <c r="A217" t="s">
        <v>136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</row>
    <row r="218" spans="1:11" x14ac:dyDescent="0.3">
      <c r="A218" t="s">
        <v>137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</row>
    <row r="219" spans="1:11" x14ac:dyDescent="0.3">
      <c r="A219" t="s">
        <v>89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</row>
    <row r="220" spans="1:11" x14ac:dyDescent="0.3">
      <c r="A220" t="s">
        <v>91</v>
      </c>
      <c r="B220">
        <v>11.59</v>
      </c>
      <c r="C220">
        <v>11.66</v>
      </c>
      <c r="D220">
        <v>11.99</v>
      </c>
      <c r="E220">
        <v>12.29</v>
      </c>
      <c r="F220">
        <v>12.82</v>
      </c>
      <c r="G220">
        <v>12.99</v>
      </c>
      <c r="H220">
        <v>13.61</v>
      </c>
      <c r="I220">
        <v>14.64</v>
      </c>
      <c r="J220">
        <v>15.51</v>
      </c>
      <c r="K220">
        <v>15.25</v>
      </c>
    </row>
    <row r="221" spans="1:11" x14ac:dyDescent="0.3">
      <c r="A221" t="s">
        <v>138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</row>
    <row r="225" spans="1:11" x14ac:dyDescent="0.3">
      <c r="A225" t="s">
        <v>28</v>
      </c>
      <c r="B225" t="s">
        <v>155</v>
      </c>
    </row>
    <row r="226" spans="1:11" x14ac:dyDescent="0.3">
      <c r="B226">
        <v>2012</v>
      </c>
      <c r="C226">
        <v>2013</v>
      </c>
      <c r="D226">
        <v>2014</v>
      </c>
      <c r="E226">
        <v>2015</v>
      </c>
      <c r="F226">
        <v>2016</v>
      </c>
      <c r="G226">
        <v>2017</v>
      </c>
      <c r="H226">
        <v>2018</v>
      </c>
      <c r="I226">
        <v>2019</v>
      </c>
      <c r="J226">
        <v>2020</v>
      </c>
      <c r="K226">
        <v>2021</v>
      </c>
    </row>
    <row r="227" spans="1:11" x14ac:dyDescent="0.3">
      <c r="A227" t="s">
        <v>120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</row>
    <row r="228" spans="1:11" x14ac:dyDescent="0.3">
      <c r="A228" t="s">
        <v>121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</row>
    <row r="229" spans="1:11" x14ac:dyDescent="0.3">
      <c r="A229" t="s">
        <v>122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</row>
    <row r="230" spans="1:11" x14ac:dyDescent="0.3">
      <c r="A230" t="s">
        <v>123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</row>
    <row r="231" spans="1:11" x14ac:dyDescent="0.3">
      <c r="A231" t="s">
        <v>124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</row>
    <row r="232" spans="1:11" x14ac:dyDescent="0.3">
      <c r="A232" t="s">
        <v>125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</row>
    <row r="233" spans="1:11" x14ac:dyDescent="0.3">
      <c r="A233" t="s">
        <v>81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</row>
    <row r="234" spans="1:11" x14ac:dyDescent="0.3">
      <c r="A234" t="s">
        <v>126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</row>
    <row r="235" spans="1:11" x14ac:dyDescent="0.3">
      <c r="A235" t="s">
        <v>127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</row>
    <row r="236" spans="1:11" x14ac:dyDescent="0.3">
      <c r="A236" t="s">
        <v>128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</row>
    <row r="237" spans="1:11" x14ac:dyDescent="0.3">
      <c r="A237" t="s">
        <v>83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</row>
    <row r="238" spans="1:11" x14ac:dyDescent="0.3">
      <c r="A238" t="s">
        <v>129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</row>
    <row r="239" spans="1:11" x14ac:dyDescent="0.3">
      <c r="A239" t="s">
        <v>130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</row>
    <row r="240" spans="1:11" x14ac:dyDescent="0.3">
      <c r="A240" t="s">
        <v>131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</row>
    <row r="241" spans="1:11" x14ac:dyDescent="0.3">
      <c r="A241" t="s">
        <v>84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</row>
    <row r="242" spans="1:11" x14ac:dyDescent="0.3">
      <c r="A242" t="s">
        <v>85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</row>
    <row r="243" spans="1:11" x14ac:dyDescent="0.3">
      <c r="A243" t="s">
        <v>132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</row>
    <row r="244" spans="1:11" x14ac:dyDescent="0.3">
      <c r="A244" t="s">
        <v>133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</row>
    <row r="245" spans="1:11" x14ac:dyDescent="0.3">
      <c r="A245" t="s">
        <v>87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</row>
    <row r="246" spans="1:11" x14ac:dyDescent="0.3">
      <c r="A246" t="s">
        <v>134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</row>
    <row r="247" spans="1:11" x14ac:dyDescent="0.3">
      <c r="A247" t="s">
        <v>135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</row>
    <row r="248" spans="1:11" x14ac:dyDescent="0.3">
      <c r="A248" t="s">
        <v>115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</row>
    <row r="249" spans="1:11" x14ac:dyDescent="0.3">
      <c r="A249" t="s">
        <v>136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</row>
    <row r="250" spans="1:11" x14ac:dyDescent="0.3">
      <c r="A250" t="s">
        <v>137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</row>
    <row r="251" spans="1:11" x14ac:dyDescent="0.3">
      <c r="A251" t="s">
        <v>89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</row>
    <row r="252" spans="1:11" x14ac:dyDescent="0.3">
      <c r="A252" t="s">
        <v>91</v>
      </c>
      <c r="B252">
        <v>3.42</v>
      </c>
      <c r="C252">
        <v>3.44</v>
      </c>
      <c r="D252">
        <v>3.54</v>
      </c>
      <c r="E252">
        <v>3.63</v>
      </c>
      <c r="F252">
        <v>3.78</v>
      </c>
      <c r="G252">
        <v>3.83</v>
      </c>
      <c r="H252">
        <v>4.0199999999999996</v>
      </c>
      <c r="I252">
        <v>4.32</v>
      </c>
      <c r="J252">
        <v>4.58</v>
      </c>
      <c r="K252">
        <v>4.5</v>
      </c>
    </row>
    <row r="253" spans="1:11" x14ac:dyDescent="0.3">
      <c r="A253" t="s">
        <v>138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</row>
    <row r="257" spans="1:11" x14ac:dyDescent="0.3">
      <c r="A257" t="s">
        <v>29</v>
      </c>
      <c r="B257" t="s">
        <v>156</v>
      </c>
    </row>
    <row r="258" spans="1:11" x14ac:dyDescent="0.3">
      <c r="B258">
        <v>2012</v>
      </c>
      <c r="C258">
        <v>2013</v>
      </c>
      <c r="D258">
        <v>2014</v>
      </c>
      <c r="E258">
        <v>2015</v>
      </c>
      <c r="F258">
        <v>2016</v>
      </c>
      <c r="G258">
        <v>2017</v>
      </c>
      <c r="H258">
        <v>2018</v>
      </c>
      <c r="I258">
        <v>2019</v>
      </c>
      <c r="J258">
        <v>2020</v>
      </c>
      <c r="K258">
        <v>2021</v>
      </c>
    </row>
    <row r="259" spans="1:11" x14ac:dyDescent="0.3">
      <c r="A259" t="s">
        <v>120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</row>
    <row r="260" spans="1:11" x14ac:dyDescent="0.3">
      <c r="A260" t="s">
        <v>121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</row>
    <row r="261" spans="1:11" x14ac:dyDescent="0.3">
      <c r="A261" t="s">
        <v>122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</row>
    <row r="262" spans="1:11" x14ac:dyDescent="0.3">
      <c r="A262" t="s">
        <v>123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</row>
    <row r="263" spans="1:11" x14ac:dyDescent="0.3">
      <c r="A263" t="s">
        <v>124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</row>
    <row r="264" spans="1:11" x14ac:dyDescent="0.3">
      <c r="A264" t="s">
        <v>125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</row>
    <row r="265" spans="1:11" x14ac:dyDescent="0.3">
      <c r="A265" t="s">
        <v>81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</row>
    <row r="266" spans="1:11" x14ac:dyDescent="0.3">
      <c r="A266" t="s">
        <v>126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</row>
    <row r="267" spans="1:11" x14ac:dyDescent="0.3">
      <c r="A267" t="s">
        <v>127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</row>
    <row r="268" spans="1:11" x14ac:dyDescent="0.3">
      <c r="A268" t="s">
        <v>128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</row>
    <row r="269" spans="1:11" x14ac:dyDescent="0.3">
      <c r="A269" t="s">
        <v>83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</row>
    <row r="270" spans="1:11" x14ac:dyDescent="0.3">
      <c r="A270" t="s">
        <v>129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</row>
    <row r="271" spans="1:11" x14ac:dyDescent="0.3">
      <c r="A271" t="s">
        <v>130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</row>
    <row r="272" spans="1:11" x14ac:dyDescent="0.3">
      <c r="A272" t="s">
        <v>131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</row>
    <row r="273" spans="1:11" x14ac:dyDescent="0.3">
      <c r="A273" t="s">
        <v>84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</row>
    <row r="274" spans="1:11" x14ac:dyDescent="0.3">
      <c r="A274" t="s">
        <v>85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</row>
    <row r="275" spans="1:11" x14ac:dyDescent="0.3">
      <c r="A275" t="s">
        <v>132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</row>
    <row r="276" spans="1:11" x14ac:dyDescent="0.3">
      <c r="A276" t="s">
        <v>133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</row>
    <row r="277" spans="1:11" x14ac:dyDescent="0.3">
      <c r="A277" t="s">
        <v>87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</row>
    <row r="278" spans="1:11" x14ac:dyDescent="0.3">
      <c r="A278" t="s">
        <v>134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</row>
    <row r="279" spans="1:11" x14ac:dyDescent="0.3">
      <c r="A279" t="s">
        <v>135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</row>
    <row r="280" spans="1:11" x14ac:dyDescent="0.3">
      <c r="A280" t="s">
        <v>115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</row>
    <row r="281" spans="1:11" x14ac:dyDescent="0.3">
      <c r="A281" t="s">
        <v>136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</row>
    <row r="282" spans="1:11" x14ac:dyDescent="0.3">
      <c r="A282" t="s">
        <v>137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</row>
    <row r="283" spans="1:11" x14ac:dyDescent="0.3">
      <c r="A283" t="s">
        <v>89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</row>
    <row r="284" spans="1:11" x14ac:dyDescent="0.3">
      <c r="A284" t="s">
        <v>91</v>
      </c>
      <c r="B284">
        <v>34.770000000000003</v>
      </c>
      <c r="C284">
        <v>34.979999999999997</v>
      </c>
      <c r="D284">
        <v>35.979999999999997</v>
      </c>
      <c r="E284">
        <v>36.880000000000003</v>
      </c>
      <c r="F284">
        <v>38.450000000000003</v>
      </c>
      <c r="G284">
        <v>38.97</v>
      </c>
      <c r="H284">
        <v>40.840000000000003</v>
      </c>
      <c r="I284">
        <v>43.91</v>
      </c>
      <c r="J284">
        <v>46.54</v>
      </c>
      <c r="K284">
        <v>45.75</v>
      </c>
    </row>
    <row r="285" spans="1:11" x14ac:dyDescent="0.3">
      <c r="A285" t="s">
        <v>138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</row>
    <row r="289" spans="1:11" x14ac:dyDescent="0.3">
      <c r="A289" t="s">
        <v>30</v>
      </c>
      <c r="B289" t="s">
        <v>157</v>
      </c>
    </row>
    <row r="290" spans="1:11" x14ac:dyDescent="0.3">
      <c r="B290">
        <v>2012</v>
      </c>
      <c r="C290">
        <v>2013</v>
      </c>
      <c r="D290">
        <v>2014</v>
      </c>
      <c r="E290">
        <v>2015</v>
      </c>
      <c r="F290">
        <v>2016</v>
      </c>
      <c r="G290">
        <v>2017</v>
      </c>
      <c r="H290">
        <v>2018</v>
      </c>
      <c r="I290">
        <v>2019</v>
      </c>
      <c r="J290">
        <v>2020</v>
      </c>
      <c r="K290">
        <v>2021</v>
      </c>
    </row>
    <row r="291" spans="1:11" x14ac:dyDescent="0.3">
      <c r="A291" t="s">
        <v>120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</row>
    <row r="292" spans="1:11" x14ac:dyDescent="0.3">
      <c r="A292" t="s">
        <v>121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</row>
    <row r="293" spans="1:11" x14ac:dyDescent="0.3">
      <c r="A293" t="s">
        <v>122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</row>
    <row r="294" spans="1:11" x14ac:dyDescent="0.3">
      <c r="A294" t="s">
        <v>123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</row>
    <row r="295" spans="1:11" x14ac:dyDescent="0.3">
      <c r="A295" t="s">
        <v>124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</row>
    <row r="296" spans="1:11" x14ac:dyDescent="0.3">
      <c r="A296" t="s">
        <v>125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</row>
    <row r="297" spans="1:11" x14ac:dyDescent="0.3">
      <c r="A297" t="s">
        <v>81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</row>
    <row r="298" spans="1:11" x14ac:dyDescent="0.3">
      <c r="A298" t="s">
        <v>126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</row>
    <row r="299" spans="1:11" x14ac:dyDescent="0.3">
      <c r="A299" t="s">
        <v>127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</row>
    <row r="300" spans="1:11" x14ac:dyDescent="0.3">
      <c r="A300" t="s">
        <v>128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</row>
    <row r="301" spans="1:11" x14ac:dyDescent="0.3">
      <c r="A301" t="s">
        <v>83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</row>
    <row r="302" spans="1:11" x14ac:dyDescent="0.3">
      <c r="A302" t="s">
        <v>129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</row>
    <row r="303" spans="1:11" x14ac:dyDescent="0.3">
      <c r="A303" t="s">
        <v>130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</row>
    <row r="304" spans="1:11" x14ac:dyDescent="0.3">
      <c r="A304" t="s">
        <v>131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</row>
    <row r="305" spans="1:12" x14ac:dyDescent="0.3">
      <c r="A305" t="s">
        <v>84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</row>
    <row r="306" spans="1:12" x14ac:dyDescent="0.3">
      <c r="A306" t="s">
        <v>85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</row>
    <row r="307" spans="1:12" x14ac:dyDescent="0.3">
      <c r="A307" t="s">
        <v>132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</row>
    <row r="308" spans="1:12" x14ac:dyDescent="0.3">
      <c r="A308" t="s">
        <v>133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</row>
    <row r="309" spans="1:12" x14ac:dyDescent="0.3">
      <c r="A309" t="s">
        <v>87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</row>
    <row r="310" spans="1:12" x14ac:dyDescent="0.3">
      <c r="A310" t="s">
        <v>134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</row>
    <row r="311" spans="1:12" x14ac:dyDescent="0.3">
      <c r="A311" t="s">
        <v>135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</row>
    <row r="312" spans="1:12" x14ac:dyDescent="0.3">
      <c r="A312" t="s">
        <v>115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</row>
    <row r="313" spans="1:12" x14ac:dyDescent="0.3">
      <c r="A313" t="s">
        <v>136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</row>
    <row r="314" spans="1:12" x14ac:dyDescent="0.3">
      <c r="A314" t="s">
        <v>137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</row>
    <row r="315" spans="1:12" x14ac:dyDescent="0.3">
      <c r="A315" t="s">
        <v>89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</row>
    <row r="316" spans="1:12" x14ac:dyDescent="0.3">
      <c r="A316" t="s">
        <v>91</v>
      </c>
      <c r="B316" s="7">
        <v>0</v>
      </c>
      <c r="C316" s="7">
        <v>0</v>
      </c>
      <c r="D316" s="7">
        <v>0</v>
      </c>
      <c r="E316" s="7">
        <v>0</v>
      </c>
      <c r="F316" s="7">
        <v>0</v>
      </c>
      <c r="G316" s="7">
        <v>0</v>
      </c>
      <c r="H316" s="7">
        <v>0</v>
      </c>
      <c r="I316" s="7">
        <v>0</v>
      </c>
      <c r="J316" s="7">
        <v>0</v>
      </c>
      <c r="K316" s="7">
        <v>0</v>
      </c>
      <c r="L316" t="s">
        <v>158</v>
      </c>
    </row>
    <row r="317" spans="1:12" x14ac:dyDescent="0.3">
      <c r="A317" t="s">
        <v>138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9C4EA-0E47-4051-AB31-EDECA902CB44}">
  <dimension ref="A1:K61"/>
  <sheetViews>
    <sheetView topLeftCell="A55" workbookViewId="0"/>
  </sheetViews>
  <sheetFormatPr defaultColWidth="11.44140625" defaultRowHeight="14.4" x14ac:dyDescent="0.3"/>
  <sheetData>
    <row r="1" spans="1:11" x14ac:dyDescent="0.3">
      <c r="A1" t="s">
        <v>13</v>
      </c>
      <c r="B1" t="s">
        <v>159</v>
      </c>
    </row>
    <row r="2" spans="1:11" x14ac:dyDescent="0.3">
      <c r="B2">
        <v>2012</v>
      </c>
      <c r="C2">
        <v>2013</v>
      </c>
      <c r="D2">
        <v>2014</v>
      </c>
      <c r="E2">
        <v>2015</v>
      </c>
      <c r="F2">
        <v>2016</v>
      </c>
      <c r="G2">
        <v>2017</v>
      </c>
      <c r="H2">
        <v>2018</v>
      </c>
      <c r="I2">
        <v>2019</v>
      </c>
      <c r="J2">
        <v>2020</v>
      </c>
      <c r="K2">
        <v>2021</v>
      </c>
    </row>
    <row r="3" spans="1:11" x14ac:dyDescent="0.3">
      <c r="A3" t="s">
        <v>120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 spans="1:11" x14ac:dyDescent="0.3">
      <c r="A4" t="s">
        <v>121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 spans="1:11" x14ac:dyDescent="0.3">
      <c r="A5" t="s">
        <v>122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 x14ac:dyDescent="0.3">
      <c r="A6" t="s">
        <v>123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 spans="1:11" x14ac:dyDescent="0.3">
      <c r="A7" t="s">
        <v>124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 x14ac:dyDescent="0.3">
      <c r="A8" t="s">
        <v>125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 spans="1:11" x14ac:dyDescent="0.3">
      <c r="A9" t="s">
        <v>81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</row>
    <row r="10" spans="1:11" x14ac:dyDescent="0.3">
      <c r="A10" t="s">
        <v>126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 x14ac:dyDescent="0.3">
      <c r="A11" t="s">
        <v>127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 x14ac:dyDescent="0.3">
      <c r="A12" t="s">
        <v>128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1" x14ac:dyDescent="0.3">
      <c r="A13" t="s">
        <v>83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</row>
    <row r="14" spans="1:11" x14ac:dyDescent="0.3">
      <c r="A14" t="s">
        <v>129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</row>
    <row r="15" spans="1:11" x14ac:dyDescent="0.3">
      <c r="A15" t="s">
        <v>130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</row>
    <row r="16" spans="1:11" x14ac:dyDescent="0.3">
      <c r="A16" t="s">
        <v>131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</row>
    <row r="17" spans="1:11" x14ac:dyDescent="0.3">
      <c r="A17" t="s">
        <v>84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  <row r="18" spans="1:11" x14ac:dyDescent="0.3">
      <c r="A18" t="s">
        <v>85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</row>
    <row r="19" spans="1:11" x14ac:dyDescent="0.3">
      <c r="A19" t="s">
        <v>132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</row>
    <row r="20" spans="1:11" x14ac:dyDescent="0.3">
      <c r="A20" t="s">
        <v>133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</row>
    <row r="21" spans="1:11" x14ac:dyDescent="0.3">
      <c r="A21" t="s">
        <v>87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</row>
    <row r="22" spans="1:11" x14ac:dyDescent="0.3">
      <c r="A22" t="s">
        <v>134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</row>
    <row r="23" spans="1:11" x14ac:dyDescent="0.3">
      <c r="A23" t="s">
        <v>135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</row>
    <row r="24" spans="1:11" x14ac:dyDescent="0.3">
      <c r="A24" t="s">
        <v>115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</row>
    <row r="25" spans="1:11" x14ac:dyDescent="0.3">
      <c r="A25" t="s">
        <v>136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</row>
    <row r="26" spans="1:11" x14ac:dyDescent="0.3">
      <c r="A26" t="s">
        <v>137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</row>
    <row r="27" spans="1:11" x14ac:dyDescent="0.3">
      <c r="A27" t="s">
        <v>89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</row>
    <row r="28" spans="1:11" x14ac:dyDescent="0.3">
      <c r="A28" t="s">
        <v>91</v>
      </c>
      <c r="B28">
        <v>6.57</v>
      </c>
      <c r="C28">
        <v>6.97</v>
      </c>
      <c r="D28">
        <v>5.85</v>
      </c>
      <c r="E28">
        <v>6.12</v>
      </c>
      <c r="F28">
        <v>5.85</v>
      </c>
      <c r="G28">
        <v>6.04</v>
      </c>
      <c r="H28">
        <v>6.04</v>
      </c>
      <c r="I28">
        <v>6.25</v>
      </c>
      <c r="J28">
        <v>5.74</v>
      </c>
      <c r="K28">
        <v>5.51</v>
      </c>
    </row>
    <row r="29" spans="1:11" x14ac:dyDescent="0.3">
      <c r="A29" t="s">
        <v>138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</row>
    <row r="33" spans="1:11" x14ac:dyDescent="0.3">
      <c r="A33" t="s">
        <v>16</v>
      </c>
      <c r="B33" t="s">
        <v>160</v>
      </c>
    </row>
    <row r="34" spans="1:11" x14ac:dyDescent="0.3">
      <c r="B34">
        <v>2012</v>
      </c>
      <c r="C34">
        <v>2013</v>
      </c>
      <c r="D34">
        <v>2014</v>
      </c>
      <c r="E34">
        <v>2015</v>
      </c>
      <c r="F34">
        <v>2016</v>
      </c>
      <c r="G34">
        <v>2017</v>
      </c>
      <c r="H34">
        <v>2018</v>
      </c>
      <c r="I34">
        <v>2019</v>
      </c>
      <c r="J34">
        <v>2020</v>
      </c>
      <c r="K34">
        <v>2021</v>
      </c>
    </row>
    <row r="35" spans="1:11" x14ac:dyDescent="0.3">
      <c r="A35" t="s">
        <v>120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</row>
    <row r="36" spans="1:11" x14ac:dyDescent="0.3">
      <c r="A36" t="s">
        <v>121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</row>
    <row r="37" spans="1:11" x14ac:dyDescent="0.3">
      <c r="A37" t="s">
        <v>122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</row>
    <row r="38" spans="1:11" x14ac:dyDescent="0.3">
      <c r="A38" t="s">
        <v>123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</row>
    <row r="39" spans="1:11" x14ac:dyDescent="0.3">
      <c r="A39" t="s">
        <v>124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</row>
    <row r="40" spans="1:11" x14ac:dyDescent="0.3">
      <c r="A40" t="s">
        <v>125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</row>
    <row r="41" spans="1:11" x14ac:dyDescent="0.3">
      <c r="A41" t="s">
        <v>81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</row>
    <row r="42" spans="1:11" x14ac:dyDescent="0.3">
      <c r="A42" t="s">
        <v>126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</row>
    <row r="43" spans="1:11" x14ac:dyDescent="0.3">
      <c r="A43" t="s">
        <v>127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</row>
    <row r="44" spans="1:11" x14ac:dyDescent="0.3">
      <c r="A44" t="s">
        <v>128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</row>
    <row r="45" spans="1:11" x14ac:dyDescent="0.3">
      <c r="A45" t="s">
        <v>83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</row>
    <row r="46" spans="1:11" x14ac:dyDescent="0.3">
      <c r="A46" t="s">
        <v>129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</row>
    <row r="47" spans="1:11" x14ac:dyDescent="0.3">
      <c r="A47" t="s">
        <v>130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</row>
    <row r="48" spans="1:11" x14ac:dyDescent="0.3">
      <c r="A48" t="s">
        <v>131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</row>
    <row r="49" spans="1:11" x14ac:dyDescent="0.3">
      <c r="A49" t="s">
        <v>84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</row>
    <row r="50" spans="1:11" x14ac:dyDescent="0.3">
      <c r="A50" t="s">
        <v>85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</row>
    <row r="51" spans="1:11" x14ac:dyDescent="0.3">
      <c r="A51" t="s">
        <v>132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</row>
    <row r="52" spans="1:11" x14ac:dyDescent="0.3">
      <c r="A52" t="s">
        <v>133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</row>
    <row r="53" spans="1:11" x14ac:dyDescent="0.3">
      <c r="A53" t="s">
        <v>87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</row>
    <row r="54" spans="1:11" x14ac:dyDescent="0.3">
      <c r="A54" t="s">
        <v>134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</row>
    <row r="55" spans="1:11" x14ac:dyDescent="0.3">
      <c r="A55" t="s">
        <v>135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</row>
    <row r="56" spans="1:11" x14ac:dyDescent="0.3">
      <c r="A56" t="s">
        <v>115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</row>
    <row r="57" spans="1:11" x14ac:dyDescent="0.3">
      <c r="A57" t="s">
        <v>136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</row>
    <row r="58" spans="1:11" x14ac:dyDescent="0.3">
      <c r="A58" t="s">
        <v>137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</row>
    <row r="59" spans="1:11" x14ac:dyDescent="0.3">
      <c r="A59" t="s">
        <v>89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</row>
    <row r="60" spans="1:11" x14ac:dyDescent="0.3">
      <c r="A60" t="s">
        <v>91</v>
      </c>
      <c r="B60">
        <v>17.8</v>
      </c>
      <c r="C60">
        <v>19.5</v>
      </c>
      <c r="D60">
        <v>19.309999999999999</v>
      </c>
      <c r="E60">
        <v>19.559999999999999</v>
      </c>
      <c r="F60">
        <v>19</v>
      </c>
      <c r="G60">
        <v>18.14</v>
      </c>
      <c r="H60">
        <v>18.79</v>
      </c>
      <c r="I60">
        <v>18.510000000000002</v>
      </c>
      <c r="J60">
        <v>17.98</v>
      </c>
      <c r="K60">
        <v>17.11</v>
      </c>
    </row>
    <row r="61" spans="1:11" x14ac:dyDescent="0.3">
      <c r="A61" t="s">
        <v>138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DC287-5923-47CB-839B-8DFA9B323AE8}">
  <dimension ref="A1:B122"/>
  <sheetViews>
    <sheetView workbookViewId="0"/>
  </sheetViews>
  <sheetFormatPr defaultColWidth="11.44140625" defaultRowHeight="14.4" x14ac:dyDescent="0.3"/>
  <sheetData>
    <row r="1" spans="1:2" x14ac:dyDescent="0.3">
      <c r="B1" t="s">
        <v>161</v>
      </c>
    </row>
    <row r="2" spans="1:2" x14ac:dyDescent="0.3">
      <c r="A2">
        <v>1950</v>
      </c>
      <c r="B2" s="11">
        <v>26655054</v>
      </c>
    </row>
    <row r="3" spans="1:2" x14ac:dyDescent="0.3">
      <c r="A3">
        <v>1951</v>
      </c>
      <c r="B3" s="11">
        <v>27397996</v>
      </c>
    </row>
    <row r="4" spans="1:2" x14ac:dyDescent="0.3">
      <c r="A4">
        <v>1952</v>
      </c>
      <c r="B4" s="11">
        <v>28162168</v>
      </c>
    </row>
    <row r="5" spans="1:2" x14ac:dyDescent="0.3">
      <c r="A5">
        <v>1953</v>
      </c>
      <c r="B5" s="11">
        <v>28995019</v>
      </c>
    </row>
    <row r="6" spans="1:2" x14ac:dyDescent="0.3">
      <c r="A6">
        <v>1954</v>
      </c>
      <c r="B6" s="11">
        <v>29842856</v>
      </c>
    </row>
    <row r="7" spans="1:2" x14ac:dyDescent="0.3">
      <c r="A7">
        <v>1955</v>
      </c>
      <c r="B7" s="11">
        <v>30780789</v>
      </c>
    </row>
    <row r="8" spans="1:2" x14ac:dyDescent="0.3">
      <c r="A8">
        <v>1956</v>
      </c>
      <c r="B8" s="11">
        <v>31764383</v>
      </c>
    </row>
    <row r="9" spans="1:2" x14ac:dyDescent="0.3">
      <c r="A9">
        <v>1957</v>
      </c>
      <c r="B9" s="11">
        <v>32798480</v>
      </c>
    </row>
    <row r="10" spans="1:2" x14ac:dyDescent="0.3">
      <c r="A10">
        <v>1958</v>
      </c>
      <c r="B10" s="11">
        <v>33875705</v>
      </c>
    </row>
    <row r="11" spans="1:2" x14ac:dyDescent="0.3">
      <c r="A11">
        <v>1959</v>
      </c>
      <c r="B11" s="11">
        <v>35003402</v>
      </c>
    </row>
    <row r="12" spans="1:2" x14ac:dyDescent="0.3">
      <c r="A12">
        <v>1960</v>
      </c>
      <c r="B12" s="11">
        <v>36178954</v>
      </c>
    </row>
    <row r="13" spans="1:2" x14ac:dyDescent="0.3">
      <c r="A13">
        <v>1961</v>
      </c>
      <c r="B13" s="11">
        <v>37394012</v>
      </c>
    </row>
    <row r="14" spans="1:2" x14ac:dyDescent="0.3">
      <c r="A14">
        <v>1962</v>
      </c>
      <c r="B14" s="11">
        <v>38657609</v>
      </c>
    </row>
    <row r="15" spans="1:2" x14ac:dyDescent="0.3">
      <c r="A15">
        <v>1963</v>
      </c>
      <c r="B15" s="11">
        <v>39955036</v>
      </c>
    </row>
    <row r="16" spans="1:2" x14ac:dyDescent="0.3">
      <c r="A16">
        <v>1964</v>
      </c>
      <c r="B16" s="11">
        <v>41283549</v>
      </c>
    </row>
    <row r="17" spans="1:2" x14ac:dyDescent="0.3">
      <c r="A17">
        <v>1965</v>
      </c>
      <c r="B17" s="11">
        <v>42657099</v>
      </c>
    </row>
    <row r="18" spans="1:2" x14ac:dyDescent="0.3">
      <c r="A18">
        <v>1966</v>
      </c>
      <c r="B18" s="11">
        <v>44061261</v>
      </c>
    </row>
    <row r="19" spans="1:2" x14ac:dyDescent="0.3">
      <c r="A19">
        <v>1967</v>
      </c>
      <c r="B19" s="11">
        <v>45496783</v>
      </c>
    </row>
    <row r="20" spans="1:2" x14ac:dyDescent="0.3">
      <c r="A20">
        <v>1968</v>
      </c>
      <c r="B20" s="11">
        <v>46972051</v>
      </c>
    </row>
    <row r="21" spans="1:2" x14ac:dyDescent="0.3">
      <c r="A21">
        <v>1969</v>
      </c>
      <c r="B21" s="11">
        <v>48468253</v>
      </c>
    </row>
    <row r="22" spans="1:2" x14ac:dyDescent="0.3">
      <c r="A22">
        <v>1970</v>
      </c>
      <c r="B22" s="11">
        <v>50004364</v>
      </c>
    </row>
    <row r="23" spans="1:2" x14ac:dyDescent="0.3">
      <c r="A23">
        <v>1971</v>
      </c>
      <c r="B23" s="11">
        <v>51549944</v>
      </c>
    </row>
    <row r="24" spans="1:2" x14ac:dyDescent="0.3">
      <c r="A24">
        <v>1972</v>
      </c>
      <c r="B24" s="11">
        <v>53155294</v>
      </c>
    </row>
    <row r="25" spans="1:2" x14ac:dyDescent="0.3">
      <c r="A25">
        <v>1973</v>
      </c>
      <c r="B25" s="11">
        <v>54789308</v>
      </c>
    </row>
    <row r="26" spans="1:2" x14ac:dyDescent="0.3">
      <c r="A26">
        <v>1974</v>
      </c>
      <c r="B26" s="11">
        <v>56447379</v>
      </c>
    </row>
    <row r="27" spans="1:2" x14ac:dyDescent="0.3">
      <c r="A27">
        <v>1975</v>
      </c>
      <c r="B27" s="11">
        <v>58137006</v>
      </c>
    </row>
    <row r="28" spans="1:2" x14ac:dyDescent="0.3">
      <c r="A28">
        <v>1976</v>
      </c>
      <c r="B28" s="11">
        <v>59846217</v>
      </c>
    </row>
    <row r="29" spans="1:2" x14ac:dyDescent="0.3">
      <c r="A29">
        <v>1977</v>
      </c>
      <c r="B29" s="11">
        <v>61556144</v>
      </c>
    </row>
    <row r="30" spans="1:2" x14ac:dyDescent="0.3">
      <c r="A30">
        <v>1978</v>
      </c>
      <c r="B30" s="11">
        <v>63269599</v>
      </c>
    </row>
    <row r="31" spans="1:2" x14ac:dyDescent="0.3">
      <c r="A31">
        <v>1979</v>
      </c>
      <c r="B31" s="11">
        <v>64989707</v>
      </c>
    </row>
    <row r="32" spans="1:2" x14ac:dyDescent="0.3">
      <c r="A32">
        <v>1980</v>
      </c>
      <c r="B32" s="11">
        <v>66706088</v>
      </c>
    </row>
    <row r="33" spans="1:2" x14ac:dyDescent="0.3">
      <c r="A33">
        <v>1981</v>
      </c>
      <c r="B33" s="11">
        <v>68413080</v>
      </c>
    </row>
    <row r="34" spans="1:2" x14ac:dyDescent="0.3">
      <c r="A34">
        <v>1982</v>
      </c>
      <c r="B34" s="11">
        <v>70119229</v>
      </c>
    </row>
    <row r="35" spans="1:2" x14ac:dyDescent="0.3">
      <c r="A35">
        <v>1983</v>
      </c>
      <c r="B35" s="11">
        <v>71823529</v>
      </c>
    </row>
    <row r="36" spans="1:2" x14ac:dyDescent="0.3">
      <c r="A36">
        <v>1984</v>
      </c>
      <c r="B36" s="11">
        <v>73516564</v>
      </c>
    </row>
    <row r="37" spans="1:2" x14ac:dyDescent="0.3">
      <c r="A37">
        <v>1985</v>
      </c>
      <c r="B37" s="11">
        <v>75198137</v>
      </c>
    </row>
    <row r="38" spans="1:2" x14ac:dyDescent="0.3">
      <c r="A38">
        <v>1986</v>
      </c>
      <c r="B38" s="11">
        <v>76859641</v>
      </c>
    </row>
    <row r="39" spans="1:2" x14ac:dyDescent="0.3">
      <c r="A39">
        <v>1987</v>
      </c>
      <c r="B39" s="11">
        <v>78516570</v>
      </c>
    </row>
    <row r="40" spans="1:2" x14ac:dyDescent="0.3">
      <c r="A40">
        <v>1988</v>
      </c>
      <c r="B40" s="11">
        <v>80159102</v>
      </c>
    </row>
    <row r="41" spans="1:2" x14ac:dyDescent="0.3">
      <c r="A41">
        <v>1989</v>
      </c>
      <c r="B41" s="11">
        <v>81778775</v>
      </c>
    </row>
    <row r="42" spans="1:2" x14ac:dyDescent="0.3">
      <c r="A42">
        <v>1990</v>
      </c>
      <c r="B42" s="11">
        <v>83375978</v>
      </c>
    </row>
    <row r="43" spans="1:2" x14ac:dyDescent="0.3">
      <c r="A43">
        <v>1991</v>
      </c>
      <c r="B43" s="11">
        <v>84959845</v>
      </c>
    </row>
    <row r="44" spans="1:2" x14ac:dyDescent="0.3">
      <c r="A44">
        <v>1992</v>
      </c>
      <c r="B44" s="11">
        <v>86534334</v>
      </c>
    </row>
    <row r="45" spans="1:2" x14ac:dyDescent="0.3">
      <c r="A45">
        <v>1993</v>
      </c>
      <c r="B45" s="11">
        <v>88086961</v>
      </c>
    </row>
    <row r="46" spans="1:2" x14ac:dyDescent="0.3">
      <c r="A46">
        <v>1994</v>
      </c>
      <c r="B46" s="11">
        <v>89611444</v>
      </c>
    </row>
    <row r="47" spans="1:2" x14ac:dyDescent="0.3">
      <c r="A47">
        <v>1995</v>
      </c>
      <c r="B47" s="11">
        <v>91110592</v>
      </c>
    </row>
    <row r="48" spans="1:2" x14ac:dyDescent="0.3">
      <c r="A48">
        <v>1996</v>
      </c>
      <c r="B48" s="11">
        <v>92573819</v>
      </c>
    </row>
    <row r="49" spans="1:2" x14ac:dyDescent="0.3">
      <c r="A49">
        <v>1997</v>
      </c>
      <c r="B49" s="11">
        <v>94012406</v>
      </c>
    </row>
    <row r="50" spans="1:2" x14ac:dyDescent="0.3">
      <c r="A50">
        <v>1998</v>
      </c>
      <c r="B50" s="11">
        <v>95425199</v>
      </c>
    </row>
    <row r="51" spans="1:2" x14ac:dyDescent="0.3">
      <c r="A51">
        <v>1999</v>
      </c>
      <c r="B51" s="11">
        <v>96805382</v>
      </c>
    </row>
    <row r="52" spans="1:2" x14ac:dyDescent="0.3">
      <c r="A52">
        <v>2000</v>
      </c>
      <c r="B52" s="11">
        <v>98156442</v>
      </c>
    </row>
    <row r="53" spans="1:2" x14ac:dyDescent="0.3">
      <c r="A53">
        <v>2001</v>
      </c>
      <c r="B53" s="11">
        <v>99410672</v>
      </c>
    </row>
    <row r="54" spans="1:2" x14ac:dyDescent="0.3">
      <c r="A54">
        <v>2002</v>
      </c>
      <c r="B54" s="11">
        <v>100796507</v>
      </c>
    </row>
    <row r="55" spans="1:2" x14ac:dyDescent="0.3">
      <c r="A55">
        <v>2003</v>
      </c>
      <c r="B55" s="11">
        <v>102188066</v>
      </c>
    </row>
    <row r="56" spans="1:2" x14ac:dyDescent="0.3">
      <c r="A56">
        <v>2004</v>
      </c>
      <c r="B56" s="11">
        <v>103589484</v>
      </c>
    </row>
    <row r="57" spans="1:2" x14ac:dyDescent="0.3">
      <c r="A57">
        <v>2005</v>
      </c>
      <c r="B57" s="11">
        <v>104951968</v>
      </c>
    </row>
    <row r="58" spans="1:2" x14ac:dyDescent="0.3">
      <c r="A58">
        <v>2006</v>
      </c>
      <c r="B58" s="11">
        <v>106383395</v>
      </c>
    </row>
    <row r="59" spans="1:2" x14ac:dyDescent="0.3">
      <c r="A59">
        <v>2007</v>
      </c>
      <c r="B59" s="11">
        <v>107923967</v>
      </c>
    </row>
    <row r="60" spans="1:2" x14ac:dyDescent="0.3">
      <c r="A60">
        <v>2008</v>
      </c>
      <c r="B60" s="11">
        <v>109562333</v>
      </c>
    </row>
    <row r="61" spans="1:2" x14ac:dyDescent="0.3">
      <c r="A61">
        <v>2009</v>
      </c>
      <c r="B61" s="11">
        <v>111245216</v>
      </c>
    </row>
    <row r="62" spans="1:2" x14ac:dyDescent="0.3">
      <c r="A62">
        <v>2010</v>
      </c>
      <c r="B62" s="11">
        <v>112942136</v>
      </c>
    </row>
    <row r="63" spans="1:2" x14ac:dyDescent="0.3">
      <c r="A63">
        <v>2011</v>
      </c>
      <c r="B63" s="11">
        <v>114551762</v>
      </c>
    </row>
    <row r="64" spans="1:2" x14ac:dyDescent="0.3">
      <c r="A64">
        <v>2012</v>
      </c>
      <c r="B64" s="11">
        <v>116179714</v>
      </c>
    </row>
    <row r="65" spans="1:2" x14ac:dyDescent="0.3">
      <c r="A65">
        <v>2013</v>
      </c>
      <c r="B65" s="11">
        <v>117688241</v>
      </c>
    </row>
    <row r="66" spans="1:2" x14ac:dyDescent="0.3">
      <c r="A66">
        <v>2014</v>
      </c>
      <c r="B66" s="11">
        <v>119216240</v>
      </c>
    </row>
    <row r="67" spans="1:2" x14ac:dyDescent="0.3">
      <c r="A67">
        <v>2015</v>
      </c>
      <c r="B67" s="11">
        <v>120653293</v>
      </c>
    </row>
    <row r="68" spans="1:2" x14ac:dyDescent="0.3">
      <c r="A68">
        <v>2016</v>
      </c>
      <c r="B68" s="11">
        <v>122038924</v>
      </c>
    </row>
    <row r="69" spans="1:2" x14ac:dyDescent="0.3">
      <c r="A69">
        <v>2017</v>
      </c>
      <c r="B69" s="11">
        <v>123388002</v>
      </c>
    </row>
    <row r="70" spans="1:2" x14ac:dyDescent="0.3">
      <c r="A70">
        <v>2018</v>
      </c>
      <c r="B70" s="11">
        <v>124692044</v>
      </c>
    </row>
    <row r="71" spans="1:2" x14ac:dyDescent="0.3">
      <c r="A71">
        <v>2019</v>
      </c>
      <c r="B71" s="11">
        <v>125960168</v>
      </c>
    </row>
    <row r="72" spans="1:2" x14ac:dyDescent="0.3">
      <c r="A72">
        <v>2020</v>
      </c>
      <c r="B72" s="11">
        <v>127191826</v>
      </c>
    </row>
    <row r="73" spans="1:2" x14ac:dyDescent="0.3">
      <c r="A73">
        <v>2021</v>
      </c>
      <c r="B73" s="11">
        <v>128389290</v>
      </c>
    </row>
    <row r="74" spans="1:2" x14ac:dyDescent="0.3">
      <c r="A74">
        <v>2022</v>
      </c>
      <c r="B74" s="11">
        <v>129960600</v>
      </c>
    </row>
    <row r="75" spans="1:2" x14ac:dyDescent="0.3">
      <c r="A75">
        <v>2023</v>
      </c>
      <c r="B75" s="11">
        <v>131135337</v>
      </c>
    </row>
    <row r="76" spans="1:2" x14ac:dyDescent="0.3">
      <c r="A76">
        <v>2024</v>
      </c>
      <c r="B76" s="11">
        <v>132274416</v>
      </c>
    </row>
    <row r="77" spans="1:2" x14ac:dyDescent="0.3">
      <c r="A77">
        <v>2025</v>
      </c>
      <c r="B77" s="11">
        <v>133367428</v>
      </c>
    </row>
    <row r="78" spans="1:2" x14ac:dyDescent="0.3">
      <c r="A78">
        <v>2026</v>
      </c>
      <c r="B78" s="11">
        <v>134407258</v>
      </c>
    </row>
    <row r="79" spans="1:2" x14ac:dyDescent="0.3">
      <c r="A79">
        <v>2027</v>
      </c>
      <c r="B79" s="11">
        <v>135391662</v>
      </c>
    </row>
    <row r="80" spans="1:2" x14ac:dyDescent="0.3">
      <c r="A80">
        <v>2028</v>
      </c>
      <c r="B80" s="11">
        <v>136321595</v>
      </c>
    </row>
    <row r="81" spans="1:2" x14ac:dyDescent="0.3">
      <c r="A81">
        <v>2029</v>
      </c>
      <c r="B81" s="11">
        <v>137200808</v>
      </c>
    </row>
    <row r="82" spans="1:2" x14ac:dyDescent="0.3">
      <c r="A82">
        <v>2030</v>
      </c>
      <c r="B82" s="11">
        <v>138033990</v>
      </c>
    </row>
    <row r="83" spans="1:2" x14ac:dyDescent="0.3">
      <c r="A83">
        <v>2031</v>
      </c>
      <c r="B83" s="11">
        <v>138825843</v>
      </c>
    </row>
    <row r="84" spans="1:2" x14ac:dyDescent="0.3">
      <c r="A84">
        <v>2032</v>
      </c>
      <c r="B84" s="11">
        <v>139580548</v>
      </c>
    </row>
    <row r="85" spans="1:2" x14ac:dyDescent="0.3">
      <c r="A85">
        <v>2033</v>
      </c>
      <c r="B85" s="11">
        <v>140301983</v>
      </c>
    </row>
    <row r="86" spans="1:2" x14ac:dyDescent="0.3">
      <c r="A86">
        <v>2034</v>
      </c>
      <c r="B86" s="11">
        <v>140993393</v>
      </c>
    </row>
    <row r="87" spans="1:2" x14ac:dyDescent="0.3">
      <c r="A87">
        <v>2035</v>
      </c>
      <c r="B87" s="11">
        <v>141656637</v>
      </c>
    </row>
    <row r="88" spans="1:2" x14ac:dyDescent="0.3">
      <c r="A88">
        <v>2036</v>
      </c>
      <c r="B88" s="11">
        <v>142291504</v>
      </c>
    </row>
    <row r="89" spans="1:2" x14ac:dyDescent="0.3">
      <c r="A89">
        <v>2037</v>
      </c>
      <c r="B89" s="11">
        <v>142895488</v>
      </c>
    </row>
    <row r="90" spans="1:2" x14ac:dyDescent="0.3">
      <c r="A90">
        <v>2038</v>
      </c>
      <c r="B90" s="11">
        <v>143464237</v>
      </c>
    </row>
    <row r="91" spans="1:2" x14ac:dyDescent="0.3">
      <c r="A91">
        <v>2039</v>
      </c>
      <c r="B91" s="11">
        <v>143992746</v>
      </c>
    </row>
    <row r="92" spans="1:2" x14ac:dyDescent="0.3">
      <c r="A92">
        <v>2040</v>
      </c>
      <c r="B92" s="11">
        <v>144476530</v>
      </c>
    </row>
    <row r="93" spans="1:2" x14ac:dyDescent="0.3">
      <c r="A93">
        <v>2041</v>
      </c>
      <c r="B93" s="11">
        <v>144912929</v>
      </c>
    </row>
    <row r="94" spans="1:2" x14ac:dyDescent="0.3">
      <c r="A94">
        <v>2042</v>
      </c>
      <c r="B94" s="11">
        <v>145301351</v>
      </c>
    </row>
    <row r="95" spans="1:2" x14ac:dyDescent="0.3">
      <c r="A95">
        <v>2043</v>
      </c>
      <c r="B95" s="11">
        <v>145642911</v>
      </c>
    </row>
    <row r="96" spans="1:2" x14ac:dyDescent="0.3">
      <c r="A96">
        <v>2044</v>
      </c>
      <c r="B96" s="11">
        <v>145939797</v>
      </c>
    </row>
    <row r="97" spans="1:2" x14ac:dyDescent="0.3">
      <c r="A97">
        <v>2045</v>
      </c>
      <c r="B97" s="11">
        <v>146194887</v>
      </c>
    </row>
    <row r="98" spans="1:2" x14ac:dyDescent="0.3">
      <c r="A98">
        <v>2046</v>
      </c>
      <c r="B98" s="11">
        <v>146411280</v>
      </c>
    </row>
    <row r="99" spans="1:2" x14ac:dyDescent="0.3">
      <c r="A99">
        <v>2047</v>
      </c>
      <c r="B99" s="11">
        <v>146592205</v>
      </c>
    </row>
    <row r="100" spans="1:2" x14ac:dyDescent="0.3">
      <c r="A100">
        <v>2048</v>
      </c>
      <c r="B100" s="11">
        <v>146740307</v>
      </c>
    </row>
    <row r="101" spans="1:2" x14ac:dyDescent="0.3">
      <c r="A101">
        <v>2049</v>
      </c>
      <c r="B101" s="11">
        <v>146857365</v>
      </c>
    </row>
    <row r="102" spans="1:2" x14ac:dyDescent="0.3">
      <c r="A102">
        <v>2050</v>
      </c>
      <c r="B102" s="11">
        <v>146943948</v>
      </c>
    </row>
    <row r="103" spans="1:2" x14ac:dyDescent="0.3">
      <c r="A103">
        <v>2051</v>
      </c>
      <c r="B103" s="11">
        <v>146999649</v>
      </c>
    </row>
    <row r="104" spans="1:2" x14ac:dyDescent="0.3">
      <c r="A104">
        <v>2052</v>
      </c>
      <c r="B104" s="11">
        <v>147022927</v>
      </c>
    </row>
    <row r="105" spans="1:2" x14ac:dyDescent="0.3">
      <c r="A105">
        <v>2053</v>
      </c>
      <c r="B105" s="11">
        <v>147011306</v>
      </c>
    </row>
    <row r="106" spans="1:2" x14ac:dyDescent="0.3">
      <c r="A106">
        <v>2054</v>
      </c>
      <c r="B106" s="11">
        <v>146961870</v>
      </c>
    </row>
    <row r="107" spans="1:2" x14ac:dyDescent="0.3">
      <c r="A107">
        <v>2055</v>
      </c>
      <c r="B107" s="11">
        <v>146872208</v>
      </c>
    </row>
    <row r="108" spans="1:2" x14ac:dyDescent="0.3">
      <c r="A108">
        <v>2056</v>
      </c>
      <c r="B108" s="11">
        <v>146741137</v>
      </c>
    </row>
    <row r="109" spans="1:2" x14ac:dyDescent="0.3">
      <c r="A109">
        <v>2057</v>
      </c>
      <c r="B109" s="11">
        <v>146568916</v>
      </c>
    </row>
    <row r="110" spans="1:2" x14ac:dyDescent="0.3">
      <c r="A110">
        <v>2058</v>
      </c>
      <c r="B110" s="11">
        <v>146356973</v>
      </c>
    </row>
    <row r="111" spans="1:2" x14ac:dyDescent="0.3">
      <c r="A111">
        <v>2059</v>
      </c>
      <c r="B111" s="11">
        <v>146107409</v>
      </c>
    </row>
    <row r="112" spans="1:2" x14ac:dyDescent="0.3">
      <c r="A112">
        <v>2060</v>
      </c>
      <c r="B112" s="11">
        <v>145822700</v>
      </c>
    </row>
    <row r="113" spans="1:2" x14ac:dyDescent="0.3">
      <c r="A113">
        <v>2061</v>
      </c>
      <c r="B113" s="11">
        <v>145505553</v>
      </c>
    </row>
    <row r="114" spans="1:2" x14ac:dyDescent="0.3">
      <c r="A114">
        <v>2062</v>
      </c>
      <c r="B114" s="11">
        <v>145158569</v>
      </c>
    </row>
    <row r="115" spans="1:2" x14ac:dyDescent="0.3">
      <c r="A115">
        <v>2063</v>
      </c>
      <c r="B115" s="11">
        <v>144784066</v>
      </c>
    </row>
    <row r="116" spans="1:2" x14ac:dyDescent="0.3">
      <c r="A116">
        <v>2064</v>
      </c>
      <c r="B116" s="11">
        <v>144383681</v>
      </c>
    </row>
    <row r="117" spans="1:2" x14ac:dyDescent="0.3">
      <c r="A117">
        <v>2065</v>
      </c>
      <c r="B117" s="11">
        <v>143958301</v>
      </c>
    </row>
    <row r="118" spans="1:2" x14ac:dyDescent="0.3">
      <c r="A118">
        <v>2066</v>
      </c>
      <c r="B118" s="11">
        <v>143507972</v>
      </c>
    </row>
    <row r="119" spans="1:2" x14ac:dyDescent="0.3">
      <c r="A119">
        <v>2067</v>
      </c>
      <c r="B119" s="11">
        <v>143032072</v>
      </c>
    </row>
    <row r="120" spans="1:2" x14ac:dyDescent="0.3">
      <c r="A120">
        <v>2068</v>
      </c>
      <c r="B120" s="11">
        <v>142529549</v>
      </c>
    </row>
    <row r="121" spans="1:2" x14ac:dyDescent="0.3">
      <c r="A121">
        <v>2069</v>
      </c>
      <c r="B121" s="11">
        <v>141999271</v>
      </c>
    </row>
    <row r="122" spans="1:2" x14ac:dyDescent="0.3">
      <c r="A122">
        <v>2070</v>
      </c>
      <c r="B122" s="11">
        <v>141440479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D65CB-58D0-4AC7-9E39-D4996CEA86AF}">
  <dimension ref="A1:B72"/>
  <sheetViews>
    <sheetView workbookViewId="0"/>
  </sheetViews>
  <sheetFormatPr defaultColWidth="11.44140625" defaultRowHeight="14.4" x14ac:dyDescent="0.3"/>
  <sheetData>
    <row r="1" spans="1:2" x14ac:dyDescent="0.3">
      <c r="B1" t="s">
        <v>162</v>
      </c>
    </row>
    <row r="2" spans="1:2" x14ac:dyDescent="0.3">
      <c r="A2">
        <v>1950</v>
      </c>
      <c r="B2" s="11">
        <v>5259208</v>
      </c>
    </row>
    <row r="3" spans="1:2" x14ac:dyDescent="0.3">
      <c r="A3">
        <v>1951</v>
      </c>
      <c r="B3" s="11">
        <v>5374197</v>
      </c>
    </row>
    <row r="4" spans="1:2" x14ac:dyDescent="0.3">
      <c r="A4">
        <v>1952</v>
      </c>
      <c r="B4" s="11">
        <v>5489186</v>
      </c>
    </row>
    <row r="5" spans="1:2" x14ac:dyDescent="0.3">
      <c r="A5">
        <v>1953</v>
      </c>
      <c r="B5" s="11">
        <v>5604174</v>
      </c>
    </row>
    <row r="6" spans="1:2" x14ac:dyDescent="0.3">
      <c r="A6">
        <v>1954</v>
      </c>
      <c r="B6" s="11">
        <v>5719163</v>
      </c>
    </row>
    <row r="7" spans="1:2" x14ac:dyDescent="0.3">
      <c r="A7">
        <v>1955</v>
      </c>
      <c r="B7" s="11">
        <v>5834152</v>
      </c>
    </row>
    <row r="8" spans="1:2" x14ac:dyDescent="0.3">
      <c r="A8">
        <v>1956</v>
      </c>
      <c r="B8" s="11">
        <v>5949141</v>
      </c>
    </row>
    <row r="9" spans="1:2" x14ac:dyDescent="0.3">
      <c r="A9">
        <v>1957</v>
      </c>
      <c r="B9" s="11">
        <v>6064130</v>
      </c>
    </row>
    <row r="10" spans="1:2" x14ac:dyDescent="0.3">
      <c r="A10">
        <v>1958</v>
      </c>
      <c r="B10" s="11">
        <v>6179118</v>
      </c>
    </row>
    <row r="11" spans="1:2" x14ac:dyDescent="0.3">
      <c r="A11">
        <v>1959</v>
      </c>
      <c r="B11" s="11">
        <v>6294107</v>
      </c>
    </row>
    <row r="12" spans="1:2" x14ac:dyDescent="0.3">
      <c r="A12">
        <v>1960</v>
      </c>
      <c r="B12" s="11">
        <v>6409096</v>
      </c>
    </row>
    <row r="13" spans="1:2" x14ac:dyDescent="0.3">
      <c r="A13">
        <v>1961</v>
      </c>
      <c r="B13" s="11">
        <v>6596823</v>
      </c>
    </row>
    <row r="14" spans="1:2" x14ac:dyDescent="0.3">
      <c r="A14">
        <v>1962</v>
      </c>
      <c r="B14" s="11">
        <v>6784551</v>
      </c>
    </row>
    <row r="15" spans="1:2" x14ac:dyDescent="0.3">
      <c r="A15">
        <v>1963</v>
      </c>
      <c r="B15" s="11">
        <v>6972278</v>
      </c>
    </row>
    <row r="16" spans="1:2" x14ac:dyDescent="0.3">
      <c r="A16">
        <v>1964</v>
      </c>
      <c r="B16" s="11">
        <v>7160005</v>
      </c>
    </row>
    <row r="17" spans="1:2" x14ac:dyDescent="0.3">
      <c r="A17">
        <v>1965</v>
      </c>
      <c r="B17" s="11">
        <v>7347733</v>
      </c>
    </row>
    <row r="18" spans="1:2" x14ac:dyDescent="0.3">
      <c r="A18">
        <v>1966</v>
      </c>
      <c r="B18" s="11">
        <v>7535460</v>
      </c>
    </row>
    <row r="19" spans="1:2" x14ac:dyDescent="0.3">
      <c r="A19">
        <v>1967</v>
      </c>
      <c r="B19" s="11">
        <v>7723187</v>
      </c>
    </row>
    <row r="20" spans="1:2" x14ac:dyDescent="0.3">
      <c r="A20">
        <v>1968</v>
      </c>
      <c r="B20" s="11">
        <v>7910914</v>
      </c>
    </row>
    <row r="21" spans="1:2" x14ac:dyDescent="0.3">
      <c r="A21">
        <v>1969</v>
      </c>
      <c r="B21" s="11">
        <v>8098642</v>
      </c>
    </row>
    <row r="22" spans="1:2" x14ac:dyDescent="0.3">
      <c r="A22">
        <v>1970</v>
      </c>
      <c r="B22" s="11">
        <v>8286369</v>
      </c>
    </row>
    <row r="23" spans="1:2" x14ac:dyDescent="0.3">
      <c r="A23">
        <v>1971</v>
      </c>
      <c r="B23" s="11">
        <v>8671988</v>
      </c>
    </row>
    <row r="24" spans="1:2" x14ac:dyDescent="0.3">
      <c r="A24">
        <v>1972</v>
      </c>
      <c r="B24" s="11">
        <v>9057606</v>
      </c>
    </row>
    <row r="25" spans="1:2" x14ac:dyDescent="0.3">
      <c r="A25">
        <v>1973</v>
      </c>
      <c r="B25" s="11">
        <v>9443225</v>
      </c>
    </row>
    <row r="26" spans="1:2" x14ac:dyDescent="0.3">
      <c r="A26">
        <v>1974</v>
      </c>
      <c r="B26" s="11">
        <v>9828843</v>
      </c>
    </row>
    <row r="27" spans="1:2" x14ac:dyDescent="0.3">
      <c r="A27">
        <v>1975</v>
      </c>
      <c r="B27" s="11">
        <v>10214462</v>
      </c>
    </row>
    <row r="28" spans="1:2" x14ac:dyDescent="0.3">
      <c r="A28">
        <v>1976</v>
      </c>
      <c r="B28" s="11">
        <v>10600081</v>
      </c>
    </row>
    <row r="29" spans="1:2" x14ac:dyDescent="0.3">
      <c r="A29">
        <v>1977</v>
      </c>
      <c r="B29" s="11">
        <v>10985699</v>
      </c>
    </row>
    <row r="30" spans="1:2" x14ac:dyDescent="0.3">
      <c r="A30">
        <v>1978</v>
      </c>
      <c r="B30" s="11">
        <v>11371318</v>
      </c>
    </row>
    <row r="31" spans="1:2" x14ac:dyDescent="0.3">
      <c r="A31">
        <v>1979</v>
      </c>
      <c r="B31" s="11">
        <v>11756936</v>
      </c>
    </row>
    <row r="32" spans="1:2" x14ac:dyDescent="0.3">
      <c r="A32">
        <v>1980</v>
      </c>
      <c r="B32" s="11">
        <v>12142555</v>
      </c>
    </row>
    <row r="33" spans="1:2" x14ac:dyDescent="0.3">
      <c r="A33">
        <v>1981</v>
      </c>
      <c r="B33" s="11">
        <v>12548080</v>
      </c>
    </row>
    <row r="34" spans="1:2" x14ac:dyDescent="0.3">
      <c r="A34">
        <v>1982</v>
      </c>
      <c r="B34" s="11">
        <v>12953604</v>
      </c>
    </row>
    <row r="35" spans="1:2" x14ac:dyDescent="0.3">
      <c r="A35">
        <v>1983</v>
      </c>
      <c r="B35" s="11">
        <v>13359129</v>
      </c>
    </row>
    <row r="36" spans="1:2" x14ac:dyDescent="0.3">
      <c r="A36">
        <v>1984</v>
      </c>
      <c r="B36" s="11">
        <v>13764654</v>
      </c>
    </row>
    <row r="37" spans="1:2" x14ac:dyDescent="0.3">
      <c r="A37">
        <v>1985</v>
      </c>
      <c r="B37" s="11">
        <v>14170179</v>
      </c>
    </row>
    <row r="38" spans="1:2" x14ac:dyDescent="0.3">
      <c r="A38">
        <v>1986</v>
      </c>
      <c r="B38" s="11">
        <v>14575703</v>
      </c>
    </row>
    <row r="39" spans="1:2" x14ac:dyDescent="0.3">
      <c r="A39">
        <v>1987</v>
      </c>
      <c r="B39" s="11">
        <v>14981228</v>
      </c>
    </row>
    <row r="40" spans="1:2" x14ac:dyDescent="0.3">
      <c r="A40">
        <v>1988</v>
      </c>
      <c r="B40" s="11">
        <v>15386753</v>
      </c>
    </row>
    <row r="41" spans="1:2" x14ac:dyDescent="0.3">
      <c r="A41">
        <v>1989</v>
      </c>
      <c r="B41" s="11">
        <v>15792277</v>
      </c>
    </row>
    <row r="42" spans="1:2" x14ac:dyDescent="0.3">
      <c r="A42">
        <v>1990</v>
      </c>
      <c r="B42" s="11">
        <v>16197802</v>
      </c>
    </row>
    <row r="43" spans="1:2" x14ac:dyDescent="0.3">
      <c r="A43">
        <v>1991</v>
      </c>
      <c r="B43" s="11">
        <v>16840666</v>
      </c>
    </row>
    <row r="44" spans="1:2" x14ac:dyDescent="0.3">
      <c r="A44">
        <v>1992</v>
      </c>
      <c r="B44" s="11">
        <v>17483530</v>
      </c>
    </row>
    <row r="45" spans="1:2" x14ac:dyDescent="0.3">
      <c r="A45">
        <v>1993</v>
      </c>
      <c r="B45" s="11">
        <v>18126395</v>
      </c>
    </row>
    <row r="46" spans="1:2" x14ac:dyDescent="0.3">
      <c r="A46">
        <v>1994</v>
      </c>
      <c r="B46" s="11">
        <v>18769259</v>
      </c>
    </row>
    <row r="47" spans="1:2" x14ac:dyDescent="0.3">
      <c r="A47">
        <v>1995</v>
      </c>
      <c r="B47" s="11">
        <v>19412123</v>
      </c>
    </row>
    <row r="48" spans="1:2" x14ac:dyDescent="0.3">
      <c r="A48">
        <v>1996</v>
      </c>
      <c r="B48" s="11">
        <v>19920645</v>
      </c>
    </row>
    <row r="49" spans="1:2" x14ac:dyDescent="0.3">
      <c r="A49">
        <v>1997</v>
      </c>
      <c r="B49" s="11">
        <v>20429167</v>
      </c>
    </row>
    <row r="50" spans="1:2" x14ac:dyDescent="0.3">
      <c r="A50">
        <v>1998</v>
      </c>
      <c r="B50" s="11">
        <v>20937689</v>
      </c>
    </row>
    <row r="51" spans="1:2" x14ac:dyDescent="0.3">
      <c r="A51">
        <v>1999</v>
      </c>
      <c r="B51" s="11">
        <v>21446211</v>
      </c>
    </row>
    <row r="52" spans="1:2" x14ac:dyDescent="0.3">
      <c r="A52">
        <v>2000</v>
      </c>
      <c r="B52" s="11">
        <v>21954733</v>
      </c>
    </row>
    <row r="53" spans="1:2" x14ac:dyDescent="0.3">
      <c r="A53">
        <v>2001</v>
      </c>
      <c r="B53" s="11">
        <v>22505178</v>
      </c>
    </row>
    <row r="54" spans="1:2" x14ac:dyDescent="0.3">
      <c r="A54">
        <v>2002</v>
      </c>
      <c r="B54" s="11">
        <v>23055622</v>
      </c>
    </row>
    <row r="55" spans="1:2" x14ac:dyDescent="0.3">
      <c r="A55">
        <v>2003</v>
      </c>
      <c r="B55" s="11">
        <v>23606067</v>
      </c>
    </row>
    <row r="56" spans="1:2" x14ac:dyDescent="0.3">
      <c r="A56">
        <v>2004</v>
      </c>
      <c r="B56" s="11">
        <v>24156511</v>
      </c>
    </row>
    <row r="57" spans="1:2" x14ac:dyDescent="0.3">
      <c r="A57">
        <v>2005</v>
      </c>
      <c r="B57" s="11">
        <v>24706956</v>
      </c>
    </row>
    <row r="58" spans="1:2" x14ac:dyDescent="0.3">
      <c r="A58">
        <v>2006</v>
      </c>
      <c r="B58" s="11">
        <v>25488563</v>
      </c>
    </row>
    <row r="59" spans="1:2" x14ac:dyDescent="0.3">
      <c r="A59">
        <v>2007</v>
      </c>
      <c r="B59" s="11">
        <v>26270170</v>
      </c>
    </row>
    <row r="60" spans="1:2" x14ac:dyDescent="0.3">
      <c r="A60">
        <v>2008</v>
      </c>
      <c r="B60" s="11">
        <v>27051777</v>
      </c>
    </row>
    <row r="61" spans="1:2" x14ac:dyDescent="0.3">
      <c r="A61">
        <v>2009</v>
      </c>
      <c r="B61" s="11">
        <v>27833384</v>
      </c>
    </row>
    <row r="62" spans="1:2" x14ac:dyDescent="0.3">
      <c r="A62">
        <v>2010</v>
      </c>
      <c r="B62" s="11">
        <v>28614991</v>
      </c>
    </row>
    <row r="63" spans="1:2" x14ac:dyDescent="0.3">
      <c r="A63">
        <v>2011</v>
      </c>
      <c r="B63" s="11">
        <v>29276838</v>
      </c>
    </row>
    <row r="64" spans="1:2" x14ac:dyDescent="0.3">
      <c r="A64">
        <v>2012</v>
      </c>
      <c r="B64" s="11">
        <v>29938685</v>
      </c>
    </row>
    <row r="65" spans="1:2" x14ac:dyDescent="0.3">
      <c r="A65">
        <v>2013</v>
      </c>
      <c r="B65" s="11">
        <v>30600532</v>
      </c>
    </row>
    <row r="66" spans="1:2" x14ac:dyDescent="0.3">
      <c r="A66">
        <v>2014</v>
      </c>
      <c r="B66" s="11">
        <v>31262379</v>
      </c>
    </row>
    <row r="67" spans="1:2" x14ac:dyDescent="0.3">
      <c r="A67">
        <v>2015</v>
      </c>
      <c r="B67" s="11">
        <v>31924227</v>
      </c>
    </row>
    <row r="68" spans="1:2" x14ac:dyDescent="0.3">
      <c r="A68">
        <v>2016</v>
      </c>
      <c r="B68" s="11">
        <v>32586074</v>
      </c>
    </row>
    <row r="69" spans="1:2" x14ac:dyDescent="0.3">
      <c r="A69">
        <v>2017</v>
      </c>
      <c r="B69" s="11">
        <v>33247921</v>
      </c>
    </row>
    <row r="70" spans="1:2" x14ac:dyDescent="0.3">
      <c r="A70">
        <v>2018</v>
      </c>
      <c r="B70" s="11">
        <v>33909768</v>
      </c>
    </row>
    <row r="71" spans="1:2" x14ac:dyDescent="0.3">
      <c r="A71">
        <v>2019</v>
      </c>
      <c r="B71" s="11">
        <v>34571615</v>
      </c>
    </row>
    <row r="72" spans="1:2" x14ac:dyDescent="0.3">
      <c r="A72">
        <v>2020</v>
      </c>
      <c r="B72" s="11">
        <v>35233462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9DA45-A357-4FD8-8AA7-8CA08F64EC13}">
  <dimension ref="A1:E123"/>
  <sheetViews>
    <sheetView workbookViewId="0"/>
  </sheetViews>
  <sheetFormatPr defaultColWidth="11.44140625" defaultRowHeight="14.4" x14ac:dyDescent="0.3"/>
  <sheetData>
    <row r="1" spans="1:5" x14ac:dyDescent="0.3">
      <c r="B1" t="s">
        <v>161</v>
      </c>
      <c r="C1" t="s">
        <v>162</v>
      </c>
      <c r="D1" t="s">
        <v>163</v>
      </c>
    </row>
    <row r="2" spans="1:5" x14ac:dyDescent="0.3">
      <c r="A2">
        <v>1950</v>
      </c>
      <c r="B2" s="9">
        <f>Pob!B2</f>
        <v>26655054</v>
      </c>
      <c r="C2" s="9">
        <f>Viv!B2</f>
        <v>5259208</v>
      </c>
      <c r="D2" s="8">
        <f>B2/C2</f>
        <v>5.0682638906846806</v>
      </c>
      <c r="E2" s="12"/>
    </row>
    <row r="3" spans="1:5" x14ac:dyDescent="0.3">
      <c r="A3">
        <v>1951</v>
      </c>
      <c r="B3" s="9">
        <f>Pob!B3</f>
        <v>27397996</v>
      </c>
      <c r="C3" s="9">
        <f>Viv!B3</f>
        <v>5374197</v>
      </c>
      <c r="D3" s="8">
        <f t="shared" ref="D3:D66" si="0">B3/C3</f>
        <v>5.0980632083267512</v>
      </c>
      <c r="E3" s="13"/>
    </row>
    <row r="4" spans="1:5" x14ac:dyDescent="0.3">
      <c r="A4">
        <v>1952</v>
      </c>
      <c r="B4" s="9">
        <f>Pob!B4</f>
        <v>28162168</v>
      </c>
      <c r="C4" s="9">
        <f>Viv!B4</f>
        <v>5489186</v>
      </c>
      <c r="D4" s="8">
        <f t="shared" si="0"/>
        <v>5.1304816415402943</v>
      </c>
      <c r="E4" s="13"/>
    </row>
    <row r="5" spans="1:5" x14ac:dyDescent="0.3">
      <c r="A5">
        <v>1953</v>
      </c>
      <c r="B5" s="9">
        <f>Pob!B5</f>
        <v>28995019</v>
      </c>
      <c r="C5" s="9">
        <f>Viv!B5</f>
        <v>5604174</v>
      </c>
      <c r="D5" s="8">
        <f t="shared" si="0"/>
        <v>5.1738256164066287</v>
      </c>
      <c r="E5" s="13"/>
    </row>
    <row r="6" spans="1:5" x14ac:dyDescent="0.3">
      <c r="A6">
        <v>1954</v>
      </c>
      <c r="B6" s="9">
        <f>Pob!B6</f>
        <v>29842856</v>
      </c>
      <c r="C6" s="9">
        <f>Viv!B6</f>
        <v>5719163</v>
      </c>
      <c r="D6" s="8">
        <f t="shared" si="0"/>
        <v>5.2180460672304667</v>
      </c>
      <c r="E6" s="13"/>
    </row>
    <row r="7" spans="1:5" x14ac:dyDescent="0.3">
      <c r="A7">
        <v>1955</v>
      </c>
      <c r="B7" s="9">
        <f>Pob!B7</f>
        <v>30780789</v>
      </c>
      <c r="C7" s="9">
        <f>Viv!B7</f>
        <v>5834152</v>
      </c>
      <c r="D7" s="8">
        <f t="shared" si="0"/>
        <v>5.2759662415377591</v>
      </c>
      <c r="E7" s="13"/>
    </row>
    <row r="8" spans="1:5" x14ac:dyDescent="0.3">
      <c r="A8">
        <v>1956</v>
      </c>
      <c r="B8" s="9">
        <f>Pob!B8</f>
        <v>31764383</v>
      </c>
      <c r="C8" s="9">
        <f>Viv!B8</f>
        <v>5949141</v>
      </c>
      <c r="D8" s="8">
        <f t="shared" si="0"/>
        <v>5.3393226013637936</v>
      </c>
      <c r="E8" s="13"/>
    </row>
    <row r="9" spans="1:5" x14ac:dyDescent="0.3">
      <c r="A9">
        <v>1957</v>
      </c>
      <c r="B9" s="9">
        <f>Pob!B9</f>
        <v>32798480</v>
      </c>
      <c r="C9" s="9">
        <f>Viv!B9</f>
        <v>6064130</v>
      </c>
      <c r="D9" s="8">
        <f t="shared" si="0"/>
        <v>5.4086043669908133</v>
      </c>
      <c r="E9" s="13"/>
    </row>
    <row r="10" spans="1:5" x14ac:dyDescent="0.3">
      <c r="A10">
        <v>1958</v>
      </c>
      <c r="B10" s="9">
        <f>Pob!B10</f>
        <v>33875705</v>
      </c>
      <c r="C10" s="9">
        <f>Viv!B10</f>
        <v>6179118</v>
      </c>
      <c r="D10" s="8">
        <f t="shared" si="0"/>
        <v>5.4822880870700317</v>
      </c>
      <c r="E10" s="13"/>
    </row>
    <row r="11" spans="1:5" x14ac:dyDescent="0.3">
      <c r="A11">
        <v>1959</v>
      </c>
      <c r="B11" s="9">
        <f>Pob!B11</f>
        <v>35003402</v>
      </c>
      <c r="C11" s="9">
        <f>Viv!B11</f>
        <v>6294107</v>
      </c>
      <c r="D11" s="8">
        <f t="shared" si="0"/>
        <v>5.5612975756529082</v>
      </c>
      <c r="E11" s="13"/>
    </row>
    <row r="12" spans="1:5" x14ac:dyDescent="0.3">
      <c r="A12">
        <v>1960</v>
      </c>
      <c r="B12" s="9">
        <f>Pob!B12</f>
        <v>36178954</v>
      </c>
      <c r="C12" s="9">
        <f>Viv!B12</f>
        <v>6409096</v>
      </c>
      <c r="D12" s="8">
        <f t="shared" si="0"/>
        <v>5.6449386933820307</v>
      </c>
      <c r="E12" s="13"/>
    </row>
    <row r="13" spans="1:5" x14ac:dyDescent="0.3">
      <c r="A13">
        <v>1961</v>
      </c>
      <c r="B13" s="9">
        <f>Pob!B13</f>
        <v>37394012</v>
      </c>
      <c r="C13" s="9">
        <f>Viv!B13</f>
        <v>6596823</v>
      </c>
      <c r="D13" s="8">
        <f t="shared" si="0"/>
        <v>5.6684879979347631</v>
      </c>
      <c r="E13" s="13"/>
    </row>
    <row r="14" spans="1:5" x14ac:dyDescent="0.3">
      <c r="A14">
        <v>1962</v>
      </c>
      <c r="B14" s="9">
        <f>Pob!B14</f>
        <v>38657609</v>
      </c>
      <c r="C14" s="9">
        <f>Viv!B14</f>
        <v>6784551</v>
      </c>
      <c r="D14" s="8">
        <f t="shared" si="0"/>
        <v>5.6978875978675667</v>
      </c>
      <c r="E14" s="13"/>
    </row>
    <row r="15" spans="1:5" x14ac:dyDescent="0.3">
      <c r="A15">
        <v>1963</v>
      </c>
      <c r="B15" s="9">
        <f>Pob!B15</f>
        <v>39955036</v>
      </c>
      <c r="C15" s="9">
        <f>Viv!B15</f>
        <v>6972278</v>
      </c>
      <c r="D15" s="8">
        <f t="shared" si="0"/>
        <v>5.7305569284529385</v>
      </c>
      <c r="E15" s="13"/>
    </row>
    <row r="16" spans="1:5" x14ac:dyDescent="0.3">
      <c r="A16">
        <v>1964</v>
      </c>
      <c r="B16" s="9">
        <f>Pob!B16</f>
        <v>41283549</v>
      </c>
      <c r="C16" s="9">
        <f>Viv!B16</f>
        <v>7160005</v>
      </c>
      <c r="D16" s="8">
        <f t="shared" si="0"/>
        <v>5.7658547724477849</v>
      </c>
      <c r="E16" s="13"/>
    </row>
    <row r="17" spans="1:5" x14ac:dyDescent="0.3">
      <c r="A17">
        <v>1965</v>
      </c>
      <c r="B17" s="9">
        <f>Pob!B17</f>
        <v>42657099</v>
      </c>
      <c r="C17" s="9">
        <f>Viv!B17</f>
        <v>7347733</v>
      </c>
      <c r="D17" s="8">
        <f t="shared" si="0"/>
        <v>5.8054775534168161</v>
      </c>
      <c r="E17" s="13"/>
    </row>
    <row r="18" spans="1:5" x14ac:dyDescent="0.3">
      <c r="A18">
        <v>1966</v>
      </c>
      <c r="B18" s="9">
        <f>Pob!B18</f>
        <v>44061261</v>
      </c>
      <c r="C18" s="9">
        <f>Viv!B18</f>
        <v>7535460</v>
      </c>
      <c r="D18" s="8">
        <f t="shared" si="0"/>
        <v>5.8471892890414123</v>
      </c>
      <c r="E18" s="13"/>
    </row>
    <row r="19" spans="1:5" x14ac:dyDescent="0.3">
      <c r="A19">
        <v>1967</v>
      </c>
      <c r="B19" s="9">
        <f>Pob!B19</f>
        <v>45496783</v>
      </c>
      <c r="C19" s="9">
        <f>Viv!B19</f>
        <v>7723187</v>
      </c>
      <c r="D19" s="8">
        <f t="shared" si="0"/>
        <v>5.8909337557150954</v>
      </c>
      <c r="E19" s="13"/>
    </row>
    <row r="20" spans="1:5" x14ac:dyDescent="0.3">
      <c r="A20">
        <v>1968</v>
      </c>
      <c r="B20" s="9">
        <f>Pob!B20</f>
        <v>46972051</v>
      </c>
      <c r="C20" s="9">
        <f>Viv!B20</f>
        <v>7910914</v>
      </c>
      <c r="D20" s="8">
        <f t="shared" si="0"/>
        <v>5.937626297037232</v>
      </c>
      <c r="E20" s="13"/>
    </row>
    <row r="21" spans="1:5" x14ac:dyDescent="0.3">
      <c r="A21">
        <v>1969</v>
      </c>
      <c r="B21" s="9">
        <f>Pob!B21</f>
        <v>48468253</v>
      </c>
      <c r="C21" s="9">
        <f>Viv!B21</f>
        <v>8098642</v>
      </c>
      <c r="D21" s="8">
        <f t="shared" si="0"/>
        <v>5.9847383055085039</v>
      </c>
      <c r="E21" s="13"/>
    </row>
    <row r="22" spans="1:5" x14ac:dyDescent="0.3">
      <c r="A22">
        <v>1970</v>
      </c>
      <c r="B22" s="9">
        <f>Pob!B22</f>
        <v>50004364</v>
      </c>
      <c r="C22" s="9">
        <f>Viv!B22</f>
        <v>8286369</v>
      </c>
      <c r="D22" s="8">
        <f t="shared" si="0"/>
        <v>6.0345326161555199</v>
      </c>
      <c r="E22" s="13"/>
    </row>
    <row r="23" spans="1:5" x14ac:dyDescent="0.3">
      <c r="A23">
        <v>1971</v>
      </c>
      <c r="B23" s="9">
        <f>Pob!B23</f>
        <v>51549944</v>
      </c>
      <c r="C23" s="9">
        <f>Viv!B23</f>
        <v>8671988</v>
      </c>
      <c r="D23" s="8">
        <f t="shared" si="0"/>
        <v>5.944420587297861</v>
      </c>
      <c r="E23" s="13"/>
    </row>
    <row r="24" spans="1:5" x14ac:dyDescent="0.3">
      <c r="A24">
        <v>1972</v>
      </c>
      <c r="B24" s="9">
        <f>Pob!B24</f>
        <v>53155294</v>
      </c>
      <c r="C24" s="9">
        <f>Viv!B24</f>
        <v>9057606</v>
      </c>
      <c r="D24" s="8">
        <f t="shared" si="0"/>
        <v>5.8685809473275832</v>
      </c>
      <c r="E24" s="13"/>
    </row>
    <row r="25" spans="1:5" x14ac:dyDescent="0.3">
      <c r="A25">
        <v>1973</v>
      </c>
      <c r="B25" s="9">
        <f>Pob!B25</f>
        <v>54789308</v>
      </c>
      <c r="C25" s="9">
        <f>Viv!B25</f>
        <v>9443225</v>
      </c>
      <c r="D25" s="8">
        <f t="shared" si="0"/>
        <v>5.8019699837714338</v>
      </c>
      <c r="E25" s="13"/>
    </row>
    <row r="26" spans="1:5" x14ac:dyDescent="0.3">
      <c r="A26">
        <v>1974</v>
      </c>
      <c r="B26" s="9">
        <f>Pob!B26</f>
        <v>56447379</v>
      </c>
      <c r="C26" s="9">
        <f>Viv!B26</f>
        <v>9828843</v>
      </c>
      <c r="D26" s="8">
        <f t="shared" si="0"/>
        <v>5.7430339461114599</v>
      </c>
      <c r="E26" s="13"/>
    </row>
    <row r="27" spans="1:5" x14ac:dyDescent="0.3">
      <c r="A27">
        <v>1975</v>
      </c>
      <c r="B27" s="9">
        <f>Pob!B27</f>
        <v>58137006</v>
      </c>
      <c r="C27" s="9">
        <f>Viv!B27</f>
        <v>10214462</v>
      </c>
      <c r="D27" s="8">
        <f t="shared" si="0"/>
        <v>5.6916366226630437</v>
      </c>
      <c r="E27" s="13"/>
    </row>
    <row r="28" spans="1:5" x14ac:dyDescent="0.3">
      <c r="A28">
        <v>1976</v>
      </c>
      <c r="B28" s="9">
        <f>Pob!B28</f>
        <v>59846217</v>
      </c>
      <c r="C28" s="9">
        <f>Viv!B28</f>
        <v>10600081</v>
      </c>
      <c r="D28" s="8">
        <f t="shared" si="0"/>
        <v>5.6458263856662985</v>
      </c>
      <c r="E28" s="13"/>
    </row>
    <row r="29" spans="1:5" x14ac:dyDescent="0.3">
      <c r="A29">
        <v>1977</v>
      </c>
      <c r="B29" s="9">
        <f>Pob!B29</f>
        <v>61556144</v>
      </c>
      <c r="C29" s="9">
        <f>Viv!B29</f>
        <v>10985699</v>
      </c>
      <c r="D29" s="8">
        <f t="shared" si="0"/>
        <v>5.6032978875536275</v>
      </c>
      <c r="E29" s="13"/>
    </row>
    <row r="30" spans="1:5" x14ac:dyDescent="0.3">
      <c r="A30">
        <v>1978</v>
      </c>
      <c r="B30" s="9">
        <f>Pob!B30</f>
        <v>63269599</v>
      </c>
      <c r="C30" s="9">
        <f>Viv!B30</f>
        <v>11371318</v>
      </c>
      <c r="D30" s="8">
        <f t="shared" si="0"/>
        <v>5.5639635616557381</v>
      </c>
      <c r="E30" s="13"/>
    </row>
    <row r="31" spans="1:5" x14ac:dyDescent="0.3">
      <c r="A31">
        <v>1979</v>
      </c>
      <c r="B31" s="9">
        <f>Pob!B31</f>
        <v>64989707</v>
      </c>
      <c r="C31" s="9">
        <f>Viv!B31</f>
        <v>11756936</v>
      </c>
      <c r="D31" s="8">
        <f t="shared" si="0"/>
        <v>5.5277758592885089</v>
      </c>
      <c r="E31" s="13"/>
    </row>
    <row r="32" spans="1:5" x14ac:dyDescent="0.3">
      <c r="A32">
        <v>1980</v>
      </c>
      <c r="B32" s="9">
        <f>Pob!B32</f>
        <v>66706088</v>
      </c>
      <c r="C32" s="9">
        <f>Viv!B32</f>
        <v>12142555</v>
      </c>
      <c r="D32" s="8">
        <f t="shared" si="0"/>
        <v>5.4935792343538905</v>
      </c>
      <c r="E32" s="13"/>
    </row>
    <row r="33" spans="1:5" x14ac:dyDescent="0.3">
      <c r="A33">
        <v>1981</v>
      </c>
      <c r="B33" s="9">
        <f>Pob!B33</f>
        <v>68413080</v>
      </c>
      <c r="C33" s="9">
        <f>Viv!B33</f>
        <v>12548080</v>
      </c>
      <c r="D33" s="8">
        <f t="shared" si="0"/>
        <v>5.4520755366558067</v>
      </c>
      <c r="E33" s="13"/>
    </row>
    <row r="34" spans="1:5" x14ac:dyDescent="0.3">
      <c r="A34">
        <v>1982</v>
      </c>
      <c r="B34" s="9">
        <f>Pob!B34</f>
        <v>70119229</v>
      </c>
      <c r="C34" s="9">
        <f>Viv!B34</f>
        <v>12953604</v>
      </c>
      <c r="D34" s="8">
        <f t="shared" si="0"/>
        <v>5.4131058043769134</v>
      </c>
      <c r="E34" s="13"/>
    </row>
    <row r="35" spans="1:5" x14ac:dyDescent="0.3">
      <c r="A35">
        <v>1983</v>
      </c>
      <c r="B35" s="9">
        <f>Pob!B35</f>
        <v>71823529</v>
      </c>
      <c r="C35" s="9">
        <f>Viv!B35</f>
        <v>13359129</v>
      </c>
      <c r="D35" s="8">
        <f t="shared" si="0"/>
        <v>5.3763631596041925</v>
      </c>
      <c r="E35" s="13"/>
    </row>
    <row r="36" spans="1:5" x14ac:dyDescent="0.3">
      <c r="A36">
        <v>1984</v>
      </c>
      <c r="B36" s="9">
        <f>Pob!B36</f>
        <v>73516564</v>
      </c>
      <c r="C36" s="9">
        <f>Viv!B36</f>
        <v>13764654</v>
      </c>
      <c r="D36" s="8">
        <f t="shared" si="0"/>
        <v>5.3409670886024454</v>
      </c>
      <c r="E36" s="13"/>
    </row>
    <row r="37" spans="1:5" x14ac:dyDescent="0.3">
      <c r="A37">
        <v>1985</v>
      </c>
      <c r="B37" s="9">
        <f>Pob!B37</f>
        <v>75198137</v>
      </c>
      <c r="C37" s="9">
        <f>Viv!B37</f>
        <v>14170179</v>
      </c>
      <c r="D37" s="8">
        <f t="shared" si="0"/>
        <v>5.3067880793884115</v>
      </c>
      <c r="E37" s="13"/>
    </row>
    <row r="38" spans="1:5" x14ac:dyDescent="0.3">
      <c r="A38">
        <v>1986</v>
      </c>
      <c r="B38" s="9">
        <f>Pob!B38</f>
        <v>76859641</v>
      </c>
      <c r="C38" s="9">
        <f>Viv!B38</f>
        <v>14575703</v>
      </c>
      <c r="D38" s="8">
        <f t="shared" si="0"/>
        <v>5.2731344073078326</v>
      </c>
      <c r="E38" s="13"/>
    </row>
    <row r="39" spans="1:5" x14ac:dyDescent="0.3">
      <c r="A39">
        <v>1987</v>
      </c>
      <c r="B39" s="9">
        <f>Pob!B39</f>
        <v>78516570</v>
      </c>
      <c r="C39" s="9">
        <f>Viv!B39</f>
        <v>14981228</v>
      </c>
      <c r="D39" s="8">
        <f t="shared" si="0"/>
        <v>5.2409969329617034</v>
      </c>
      <c r="E39" s="13"/>
    </row>
    <row r="40" spans="1:5" x14ac:dyDescent="0.3">
      <c r="A40">
        <v>1988</v>
      </c>
      <c r="B40" s="9">
        <f>Pob!B40</f>
        <v>80159102</v>
      </c>
      <c r="C40" s="9">
        <f>Viv!B40</f>
        <v>15386753</v>
      </c>
      <c r="D40" s="8">
        <f t="shared" si="0"/>
        <v>5.2096177796576058</v>
      </c>
      <c r="E40" s="13"/>
    </row>
    <row r="41" spans="1:5" x14ac:dyDescent="0.3">
      <c r="A41">
        <v>1989</v>
      </c>
      <c r="B41" s="9">
        <f>Pob!B41</f>
        <v>81778775</v>
      </c>
      <c r="C41" s="9">
        <f>Viv!B41</f>
        <v>15792277</v>
      </c>
      <c r="D41" s="8">
        <f t="shared" si="0"/>
        <v>5.178403025732135</v>
      </c>
      <c r="E41" s="13"/>
    </row>
    <row r="42" spans="1:5" x14ac:dyDescent="0.3">
      <c r="A42">
        <v>1990</v>
      </c>
      <c r="B42" s="9">
        <f>Pob!B42</f>
        <v>83375978</v>
      </c>
      <c r="C42" s="9">
        <f>Viv!B42</f>
        <v>16197802</v>
      </c>
      <c r="D42" s="8">
        <f t="shared" si="0"/>
        <v>5.1473636978646855</v>
      </c>
      <c r="E42" s="13"/>
    </row>
    <row r="43" spans="1:5" x14ac:dyDescent="0.3">
      <c r="A43">
        <v>1991</v>
      </c>
      <c r="B43" s="9">
        <f>Pob!B43</f>
        <v>84959845</v>
      </c>
      <c r="C43" s="9">
        <f>Viv!B43</f>
        <v>16840666</v>
      </c>
      <c r="D43" s="8">
        <f t="shared" si="0"/>
        <v>5.0449219169835686</v>
      </c>
      <c r="E43" s="13"/>
    </row>
    <row r="44" spans="1:5" x14ac:dyDescent="0.3">
      <c r="A44">
        <v>1992</v>
      </c>
      <c r="B44" s="9">
        <f>Pob!B44</f>
        <v>86534334</v>
      </c>
      <c r="C44" s="9">
        <f>Viv!B44</f>
        <v>17483530</v>
      </c>
      <c r="D44" s="8">
        <f t="shared" si="0"/>
        <v>4.949477250875538</v>
      </c>
      <c r="E44" s="13"/>
    </row>
    <row r="45" spans="1:5" x14ac:dyDescent="0.3">
      <c r="A45">
        <v>1993</v>
      </c>
      <c r="B45" s="9">
        <f>Pob!B45</f>
        <v>88086961</v>
      </c>
      <c r="C45" s="9">
        <f>Viv!B45</f>
        <v>18126395</v>
      </c>
      <c r="D45" s="8">
        <f t="shared" si="0"/>
        <v>4.8595962407307134</v>
      </c>
      <c r="E45" s="13"/>
    </row>
    <row r="46" spans="1:5" x14ac:dyDescent="0.3">
      <c r="A46">
        <v>1994</v>
      </c>
      <c r="B46" s="9">
        <f>Pob!B46</f>
        <v>89611444</v>
      </c>
      <c r="C46" s="9">
        <f>Viv!B46</f>
        <v>18769259</v>
      </c>
      <c r="D46" s="8">
        <f t="shared" si="0"/>
        <v>4.7743730319881035</v>
      </c>
      <c r="E46" s="13"/>
    </row>
    <row r="47" spans="1:5" x14ac:dyDescent="0.3">
      <c r="A47">
        <v>1995</v>
      </c>
      <c r="B47" s="9">
        <f>Pob!B47</f>
        <v>91110592</v>
      </c>
      <c r="C47" s="9">
        <f>Viv!B47</f>
        <v>19412123</v>
      </c>
      <c r="D47" s="8">
        <f t="shared" si="0"/>
        <v>4.69348932108044</v>
      </c>
      <c r="E47" s="13"/>
    </row>
    <row r="48" spans="1:5" x14ac:dyDescent="0.3">
      <c r="A48">
        <v>1996</v>
      </c>
      <c r="B48" s="9">
        <f>Pob!B48</f>
        <v>92573819</v>
      </c>
      <c r="C48" s="9">
        <f>Viv!B48</f>
        <v>19920645</v>
      </c>
      <c r="D48" s="8">
        <f t="shared" si="0"/>
        <v>4.6471295984643071</v>
      </c>
      <c r="E48" s="13"/>
    </row>
    <row r="49" spans="1:5" x14ac:dyDescent="0.3">
      <c r="A49">
        <v>1997</v>
      </c>
      <c r="B49" s="9">
        <f>Pob!B49</f>
        <v>94012406</v>
      </c>
      <c r="C49" s="9">
        <f>Viv!B49</f>
        <v>20429167</v>
      </c>
      <c r="D49" s="8">
        <f t="shared" si="0"/>
        <v>4.6018717258515727</v>
      </c>
      <c r="E49" s="13"/>
    </row>
    <row r="50" spans="1:5" x14ac:dyDescent="0.3">
      <c r="A50">
        <v>1998</v>
      </c>
      <c r="B50" s="9">
        <f>Pob!B50</f>
        <v>95425199</v>
      </c>
      <c r="C50" s="9">
        <f>Viv!B50</f>
        <v>20937689</v>
      </c>
      <c r="D50" s="8">
        <f t="shared" si="0"/>
        <v>4.5575803041109264</v>
      </c>
      <c r="E50" s="13"/>
    </row>
    <row r="51" spans="1:5" x14ac:dyDescent="0.3">
      <c r="A51">
        <v>1999</v>
      </c>
      <c r="B51" s="9">
        <f>Pob!B51</f>
        <v>96805382</v>
      </c>
      <c r="C51" s="9">
        <f>Viv!B51</f>
        <v>21446211</v>
      </c>
      <c r="D51" s="8">
        <f t="shared" si="0"/>
        <v>4.5138687668418447</v>
      </c>
      <c r="E51" s="13"/>
    </row>
    <row r="52" spans="1:5" x14ac:dyDescent="0.3">
      <c r="A52">
        <v>2000</v>
      </c>
      <c r="B52" s="9">
        <f>Pob!B52</f>
        <v>98156442</v>
      </c>
      <c r="C52" s="9">
        <f>Viv!B52</f>
        <v>21954733</v>
      </c>
      <c r="D52" s="8">
        <f t="shared" si="0"/>
        <v>4.4708556464795084</v>
      </c>
      <c r="E52" s="13"/>
    </row>
    <row r="53" spans="1:5" x14ac:dyDescent="0.3">
      <c r="A53">
        <v>2001</v>
      </c>
      <c r="B53" s="9">
        <f>Pob!B53</f>
        <v>99410672</v>
      </c>
      <c r="C53" s="9">
        <f>Viv!B53</f>
        <v>22505178</v>
      </c>
      <c r="D53" s="8">
        <f t="shared" si="0"/>
        <v>4.4172355357509279</v>
      </c>
      <c r="E53" s="13"/>
    </row>
    <row r="54" spans="1:5" x14ac:dyDescent="0.3">
      <c r="A54">
        <v>2002</v>
      </c>
      <c r="B54" s="9">
        <f>Pob!B54</f>
        <v>100796507</v>
      </c>
      <c r="C54" s="9">
        <f>Viv!B54</f>
        <v>23055622</v>
      </c>
      <c r="D54" s="8">
        <f t="shared" si="0"/>
        <v>4.3718840897027196</v>
      </c>
      <c r="E54" s="13"/>
    </row>
    <row r="55" spans="1:5" x14ac:dyDescent="0.3">
      <c r="A55">
        <v>2003</v>
      </c>
      <c r="B55" s="9">
        <f>Pob!B55</f>
        <v>102188066</v>
      </c>
      <c r="C55" s="9">
        <f>Viv!B55</f>
        <v>23606067</v>
      </c>
      <c r="D55" s="8">
        <f t="shared" si="0"/>
        <v>4.3288899417255742</v>
      </c>
      <c r="E55" s="13"/>
    </row>
    <row r="56" spans="1:5" x14ac:dyDescent="0.3">
      <c r="A56">
        <v>2004</v>
      </c>
      <c r="B56" s="9">
        <f>Pob!B56</f>
        <v>103589484</v>
      </c>
      <c r="C56" s="9">
        <f>Viv!B56</f>
        <v>24156511</v>
      </c>
      <c r="D56" s="8">
        <f t="shared" si="0"/>
        <v>4.2882634830832975</v>
      </c>
      <c r="E56" s="13"/>
    </row>
    <row r="57" spans="1:5" x14ac:dyDescent="0.3">
      <c r="A57">
        <v>2005</v>
      </c>
      <c r="B57" s="9">
        <f>Pob!B57</f>
        <v>104951968</v>
      </c>
      <c r="C57" s="9">
        <f>Viv!B57</f>
        <v>24706956</v>
      </c>
      <c r="D57" s="8">
        <f t="shared" si="0"/>
        <v>4.2478712472714166</v>
      </c>
      <c r="E57" s="13"/>
    </row>
    <row r="58" spans="1:5" x14ac:dyDescent="0.3">
      <c r="A58">
        <v>2006</v>
      </c>
      <c r="B58" s="9">
        <f>Pob!B58</f>
        <v>106383395</v>
      </c>
      <c r="C58" s="9">
        <f>Viv!B58</f>
        <v>25488563</v>
      </c>
      <c r="D58" s="8">
        <f t="shared" si="0"/>
        <v>4.1737698198207562</v>
      </c>
      <c r="E58" s="13"/>
    </row>
    <row r="59" spans="1:5" x14ac:dyDescent="0.3">
      <c r="A59">
        <v>2007</v>
      </c>
      <c r="B59" s="9">
        <f>Pob!B59</f>
        <v>107923967</v>
      </c>
      <c r="C59" s="9">
        <f>Viv!B59</f>
        <v>26270170</v>
      </c>
      <c r="D59" s="8">
        <f t="shared" si="0"/>
        <v>4.1082325314225221</v>
      </c>
      <c r="E59" s="13"/>
    </row>
    <row r="60" spans="1:5" x14ac:dyDescent="0.3">
      <c r="A60">
        <v>2008</v>
      </c>
      <c r="B60" s="9">
        <f>Pob!B60</f>
        <v>109562333</v>
      </c>
      <c r="C60" s="9">
        <f>Viv!B60</f>
        <v>27051777</v>
      </c>
      <c r="D60" s="8">
        <f t="shared" si="0"/>
        <v>4.0500974483118055</v>
      </c>
      <c r="E60" s="13"/>
    </row>
    <row r="61" spans="1:5" x14ac:dyDescent="0.3">
      <c r="A61">
        <v>2009</v>
      </c>
      <c r="B61" s="9">
        <f>Pob!B61</f>
        <v>111245216</v>
      </c>
      <c r="C61" s="9">
        <f>Viv!B61</f>
        <v>27833384</v>
      </c>
      <c r="D61" s="8">
        <f t="shared" si="0"/>
        <v>3.9968268321236109</v>
      </c>
      <c r="E61" s="13"/>
    </row>
    <row r="62" spans="1:5" x14ac:dyDescent="0.3">
      <c r="A62">
        <v>2010</v>
      </c>
      <c r="B62" s="9">
        <f>Pob!B62</f>
        <v>112942136</v>
      </c>
      <c r="C62" s="9">
        <f>Viv!B62</f>
        <v>28614991</v>
      </c>
      <c r="D62" s="8">
        <f t="shared" si="0"/>
        <v>3.9469568940280291</v>
      </c>
      <c r="E62" s="13"/>
    </row>
    <row r="63" spans="1:5" x14ac:dyDescent="0.3">
      <c r="A63">
        <v>2011</v>
      </c>
      <c r="B63" s="9">
        <f>Pob!B63</f>
        <v>114551762</v>
      </c>
      <c r="C63" s="9">
        <f>Viv!B63</f>
        <v>29276838</v>
      </c>
      <c r="D63" s="8">
        <f t="shared" si="0"/>
        <v>3.9127094941058869</v>
      </c>
      <c r="E63" s="13"/>
    </row>
    <row r="64" spans="1:5" x14ac:dyDescent="0.3">
      <c r="A64">
        <v>2012</v>
      </c>
      <c r="B64" s="9">
        <f>Pob!B64</f>
        <v>116179714</v>
      </c>
      <c r="C64" s="9">
        <f>Viv!B64</f>
        <v>29938685</v>
      </c>
      <c r="D64" s="8">
        <f t="shared" si="0"/>
        <v>3.880588409277161</v>
      </c>
      <c r="E64" s="13"/>
    </row>
    <row r="65" spans="1:5" x14ac:dyDescent="0.3">
      <c r="A65">
        <v>2013</v>
      </c>
      <c r="B65" s="9">
        <f>Pob!B65</f>
        <v>117688241</v>
      </c>
      <c r="C65" s="9">
        <f>Viv!B65</f>
        <v>30600532</v>
      </c>
      <c r="D65" s="8">
        <f t="shared" si="0"/>
        <v>3.8459540834126673</v>
      </c>
      <c r="E65" s="13"/>
    </row>
    <row r="66" spans="1:5" x14ac:dyDescent="0.3">
      <c r="A66">
        <v>2014</v>
      </c>
      <c r="B66" s="9">
        <f>Pob!B66</f>
        <v>119216240</v>
      </c>
      <c r="C66" s="9">
        <f>Viv!B66</f>
        <v>31262379</v>
      </c>
      <c r="D66" s="8">
        <f t="shared" si="0"/>
        <v>3.8134090818872104</v>
      </c>
      <c r="E66" s="13"/>
    </row>
    <row r="67" spans="1:5" x14ac:dyDescent="0.3">
      <c r="A67">
        <v>2015</v>
      </c>
      <c r="B67" s="9">
        <f>Pob!B67</f>
        <v>120653293</v>
      </c>
      <c r="C67" s="9">
        <f>Viv!B67</f>
        <v>31924227</v>
      </c>
      <c r="D67" s="8">
        <f t="shared" ref="D67:D72" si="1">B67/C67</f>
        <v>3.7793645872772426</v>
      </c>
      <c r="E67" s="13"/>
    </row>
    <row r="68" spans="1:5" x14ac:dyDescent="0.3">
      <c r="A68">
        <v>2016</v>
      </c>
      <c r="B68" s="9">
        <f>Pob!B68</f>
        <v>122038924</v>
      </c>
      <c r="C68" s="9">
        <f>Viv!B68</f>
        <v>32586074</v>
      </c>
      <c r="D68" s="8">
        <f t="shared" si="1"/>
        <v>3.7451251108065367</v>
      </c>
      <c r="E68" s="13"/>
    </row>
    <row r="69" spans="1:5" x14ac:dyDescent="0.3">
      <c r="A69">
        <v>2017</v>
      </c>
      <c r="B69" s="9">
        <f>Pob!B69</f>
        <v>123388002</v>
      </c>
      <c r="C69" s="9">
        <f>Viv!B69</f>
        <v>33247921</v>
      </c>
      <c r="D69" s="8">
        <f t="shared" si="1"/>
        <v>3.7111493978826524</v>
      </c>
      <c r="E69" s="13"/>
    </row>
    <row r="70" spans="1:5" x14ac:dyDescent="0.3">
      <c r="A70">
        <v>2018</v>
      </c>
      <c r="B70" s="9">
        <f>Pob!B70</f>
        <v>124692044</v>
      </c>
      <c r="C70" s="9">
        <f>Viv!B70</f>
        <v>33909768</v>
      </c>
      <c r="D70" s="8">
        <f t="shared" si="1"/>
        <v>3.6771718402791786</v>
      </c>
      <c r="E70" s="13"/>
    </row>
    <row r="71" spans="1:5" x14ac:dyDescent="0.3">
      <c r="A71">
        <v>2019</v>
      </c>
      <c r="B71" s="9">
        <f>Pob!B71</f>
        <v>125960168</v>
      </c>
      <c r="C71" s="9">
        <f>Viv!B71</f>
        <v>34571615</v>
      </c>
      <c r="D71" s="8">
        <f t="shared" si="1"/>
        <v>3.6434562863204394</v>
      </c>
      <c r="E71" s="13"/>
    </row>
    <row r="72" spans="1:5" x14ac:dyDescent="0.3">
      <c r="A72">
        <v>2020</v>
      </c>
      <c r="B72" s="9">
        <f>Pob!B72</f>
        <v>127191826</v>
      </c>
      <c r="C72" s="9">
        <f>Viv!B72</f>
        <v>35233462</v>
      </c>
      <c r="D72" s="8">
        <f t="shared" si="1"/>
        <v>3.6099724176976991</v>
      </c>
      <c r="E72" s="13"/>
    </row>
    <row r="73" spans="1:5" x14ac:dyDescent="0.3">
      <c r="A73">
        <v>2021</v>
      </c>
      <c r="B73" s="9">
        <f>Pob!B73</f>
        <v>128389290</v>
      </c>
      <c r="C73" s="9">
        <f>B73/D73</f>
        <v>36065403.481504887</v>
      </c>
      <c r="D73" s="8">
        <f>((103.75-0.049575*A73)-(103.75-0.049575*A72))*(1-((A73-A$74)/100))+D72</f>
        <v>3.5599016676977091</v>
      </c>
      <c r="E73" s="13"/>
    </row>
    <row r="74" spans="1:5" x14ac:dyDescent="0.3">
      <c r="A74">
        <v>2022</v>
      </c>
      <c r="B74" s="9">
        <f>Pob!B74</f>
        <v>129960600</v>
      </c>
      <c r="C74" s="9">
        <f t="shared" ref="C74:C122" si="2">B74/D74</f>
        <v>37022366.378578782</v>
      </c>
      <c r="D74" s="8">
        <f t="shared" ref="D74:D122" si="3">((103.75-0.049575*A74)-(103.75-0.049575*A73))*(1-((A74-A$74)/100))+D73</f>
        <v>3.5103266676977047</v>
      </c>
      <c r="E74" s="13"/>
    </row>
    <row r="75" spans="1:5" x14ac:dyDescent="0.3">
      <c r="A75">
        <v>2023</v>
      </c>
      <c r="B75" s="9">
        <f>Pob!B75</f>
        <v>131135337</v>
      </c>
      <c r="C75" s="9">
        <f t="shared" si="2"/>
        <v>37886727.290713757</v>
      </c>
      <c r="D75" s="8">
        <f t="shared" si="3"/>
        <v>3.4612474176977006</v>
      </c>
      <c r="E75" s="13"/>
    </row>
    <row r="76" spans="1:5" x14ac:dyDescent="0.3">
      <c r="A76">
        <v>2024</v>
      </c>
      <c r="B76" s="9">
        <f>Pob!B76</f>
        <v>132274416</v>
      </c>
      <c r="C76" s="9">
        <f t="shared" si="2"/>
        <v>38759871.815691851</v>
      </c>
      <c r="D76" s="8">
        <f t="shared" si="3"/>
        <v>3.41266391769771</v>
      </c>
      <c r="E76" s="13"/>
    </row>
    <row r="77" spans="1:5" x14ac:dyDescent="0.3">
      <c r="A77">
        <v>2025</v>
      </c>
      <c r="B77" s="9">
        <f>Pob!B77</f>
        <v>133367428</v>
      </c>
      <c r="C77" s="9">
        <f t="shared" si="2"/>
        <v>39638700.791030079</v>
      </c>
      <c r="D77" s="8">
        <f t="shared" si="3"/>
        <v>3.364576167697706</v>
      </c>
      <c r="E77" s="13"/>
    </row>
    <row r="78" spans="1:5" x14ac:dyDescent="0.3">
      <c r="A78">
        <v>2026</v>
      </c>
      <c r="B78" s="9">
        <f>Pob!B78</f>
        <v>134407258</v>
      </c>
      <c r="C78" s="9">
        <f t="shared" si="2"/>
        <v>40520922.381517202</v>
      </c>
      <c r="D78" s="8">
        <f t="shared" si="3"/>
        <v>3.3169841676977017</v>
      </c>
      <c r="E78" s="13"/>
    </row>
    <row r="79" spans="1:5" x14ac:dyDescent="0.3">
      <c r="A79">
        <v>2027</v>
      </c>
      <c r="B79" s="9">
        <f>Pob!B79</f>
        <v>135391662</v>
      </c>
      <c r="C79" s="9">
        <f t="shared" si="2"/>
        <v>41405597.197144195</v>
      </c>
      <c r="D79" s="8">
        <f t="shared" si="3"/>
        <v>3.2698879176977109</v>
      </c>
      <c r="E79" s="13"/>
    </row>
    <row r="80" spans="1:5" x14ac:dyDescent="0.3">
      <c r="A80">
        <v>2028</v>
      </c>
      <c r="B80" s="9">
        <f>Pob!B80</f>
        <v>136321595</v>
      </c>
      <c r="C80" s="9">
        <f t="shared" si="2"/>
        <v>42292720.85744381</v>
      </c>
      <c r="D80" s="8">
        <f t="shared" si="3"/>
        <v>3.2232874176977067</v>
      </c>
      <c r="E80" s="13"/>
    </row>
    <row r="81" spans="1:5" x14ac:dyDescent="0.3">
      <c r="A81">
        <v>2029</v>
      </c>
      <c r="B81" s="9">
        <f>Pob!B81</f>
        <v>137200808</v>
      </c>
      <c r="C81" s="9">
        <f t="shared" si="2"/>
        <v>43183166.455903053</v>
      </c>
      <c r="D81" s="8">
        <f t="shared" si="3"/>
        <v>3.1771826676977026</v>
      </c>
      <c r="E81" s="13"/>
    </row>
    <row r="82" spans="1:5" x14ac:dyDescent="0.3">
      <c r="A82">
        <v>2030</v>
      </c>
      <c r="B82" s="9">
        <f>Pob!B82</f>
        <v>138033990</v>
      </c>
      <c r="C82" s="9">
        <f t="shared" si="2"/>
        <v>44078155.153693445</v>
      </c>
      <c r="D82" s="8">
        <f t="shared" si="3"/>
        <v>3.1315736676976984</v>
      </c>
      <c r="E82" s="13"/>
    </row>
    <row r="83" spans="1:5" x14ac:dyDescent="0.3">
      <c r="A83">
        <v>2031</v>
      </c>
      <c r="B83" s="9">
        <f>Pob!B83</f>
        <v>138825843</v>
      </c>
      <c r="C83" s="9">
        <f t="shared" si="2"/>
        <v>44978980.518906116</v>
      </c>
      <c r="D83" s="8">
        <f t="shared" si="3"/>
        <v>3.0864604176977073</v>
      </c>
      <c r="E83" s="13"/>
    </row>
    <row r="84" spans="1:5" x14ac:dyDescent="0.3">
      <c r="A84">
        <v>2032</v>
      </c>
      <c r="B84" s="9">
        <f>Pob!B84</f>
        <v>139580548</v>
      </c>
      <c r="C84" s="9">
        <f t="shared" si="2"/>
        <v>45886836.295164481</v>
      </c>
      <c r="D84" s="8">
        <f t="shared" si="3"/>
        <v>3.0418429176977035</v>
      </c>
      <c r="E84" s="13"/>
    </row>
    <row r="85" spans="1:5" x14ac:dyDescent="0.3">
      <c r="A85">
        <v>2033</v>
      </c>
      <c r="B85" s="9">
        <f>Pob!B85</f>
        <v>140301983</v>
      </c>
      <c r="C85" s="9">
        <f t="shared" si="2"/>
        <v>46802879.637986571</v>
      </c>
      <c r="D85" s="8">
        <f t="shared" si="3"/>
        <v>2.9977211676976996</v>
      </c>
      <c r="E85" s="13"/>
    </row>
    <row r="86" spans="1:5" x14ac:dyDescent="0.3">
      <c r="A86">
        <v>2034</v>
      </c>
      <c r="B86" s="9">
        <f>Pob!B86</f>
        <v>140993393</v>
      </c>
      <c r="C86" s="9">
        <f t="shared" si="2"/>
        <v>47728114.700476639</v>
      </c>
      <c r="D86" s="8">
        <f t="shared" si="3"/>
        <v>2.9540951676977083</v>
      </c>
      <c r="E86" s="13"/>
    </row>
    <row r="87" spans="1:5" x14ac:dyDescent="0.3">
      <c r="A87">
        <v>2035</v>
      </c>
      <c r="B87" s="9">
        <f>Pob!B87</f>
        <v>141656637</v>
      </c>
      <c r="C87" s="9">
        <f t="shared" si="2"/>
        <v>48663120.650741778</v>
      </c>
      <c r="D87" s="8">
        <f t="shared" si="3"/>
        <v>2.9109649176977044</v>
      </c>
      <c r="E87" s="13"/>
    </row>
    <row r="88" spans="1:5" x14ac:dyDescent="0.3">
      <c r="A88">
        <v>2036</v>
      </c>
      <c r="B88" s="9">
        <f>Pob!B88</f>
        <v>142291504</v>
      </c>
      <c r="C88" s="9">
        <f t="shared" si="2"/>
        <v>49607779.885488912</v>
      </c>
      <c r="D88" s="8">
        <f t="shared" si="3"/>
        <v>2.8683304176977007</v>
      </c>
      <c r="E88" s="13"/>
    </row>
    <row r="89" spans="1:5" x14ac:dyDescent="0.3">
      <c r="A89">
        <v>2037</v>
      </c>
      <c r="B89" s="9">
        <f>Pob!B89</f>
        <v>142895488</v>
      </c>
      <c r="C89" s="9">
        <f t="shared" si="2"/>
        <v>50561145.45706182</v>
      </c>
      <c r="D89" s="8">
        <f t="shared" si="3"/>
        <v>2.8261916676977092</v>
      </c>
      <c r="E89" s="13"/>
    </row>
    <row r="90" spans="1:5" x14ac:dyDescent="0.3">
      <c r="A90">
        <v>2038</v>
      </c>
      <c r="B90" s="9">
        <f>Pob!B90</f>
        <v>143464237</v>
      </c>
      <c r="C90" s="9">
        <f t="shared" si="2"/>
        <v>51521540.515439346</v>
      </c>
      <c r="D90" s="8">
        <f t="shared" si="3"/>
        <v>2.7845486676977056</v>
      </c>
      <c r="E90" s="13"/>
    </row>
    <row r="91" spans="1:5" x14ac:dyDescent="0.3">
      <c r="A91">
        <v>2039</v>
      </c>
      <c r="B91" s="9">
        <f>Pob!B91</f>
        <v>143992746</v>
      </c>
      <c r="C91" s="9">
        <f t="shared" si="2"/>
        <v>52486940.143393442</v>
      </c>
      <c r="D91" s="8">
        <f t="shared" si="3"/>
        <v>2.7434014176977022</v>
      </c>
      <c r="E91" s="13"/>
    </row>
    <row r="92" spans="1:5" x14ac:dyDescent="0.3">
      <c r="A92">
        <v>2040</v>
      </c>
      <c r="B92" s="9">
        <f>Pob!B92</f>
        <v>144476530</v>
      </c>
      <c r="C92" s="9">
        <f t="shared" si="2"/>
        <v>53455382.258625612</v>
      </c>
      <c r="D92" s="8">
        <f t="shared" si="3"/>
        <v>2.7027499176977101</v>
      </c>
      <c r="E92" s="13"/>
    </row>
    <row r="93" spans="1:5" x14ac:dyDescent="0.3">
      <c r="A93">
        <v>2041</v>
      </c>
      <c r="B93" s="9">
        <f>Pob!B93</f>
        <v>144912929</v>
      </c>
      <c r="C93" s="9">
        <f t="shared" si="2"/>
        <v>54425466.245689027</v>
      </c>
      <c r="D93" s="8">
        <f t="shared" si="3"/>
        <v>2.6625941676977067</v>
      </c>
      <c r="E93" s="13"/>
    </row>
    <row r="94" spans="1:5" x14ac:dyDescent="0.3">
      <c r="A94">
        <v>2042</v>
      </c>
      <c r="B94" s="9">
        <f>Pob!B94</f>
        <v>145301351</v>
      </c>
      <c r="C94" s="9">
        <f t="shared" si="2"/>
        <v>55396491.756992579</v>
      </c>
      <c r="D94" s="8">
        <f t="shared" si="3"/>
        <v>2.6229341676977032</v>
      </c>
      <c r="E94" s="13"/>
    </row>
    <row r="95" spans="1:5" x14ac:dyDescent="0.3">
      <c r="A95">
        <v>2043</v>
      </c>
      <c r="B95" s="9">
        <f>Pob!B95</f>
        <v>145642911</v>
      </c>
      <c r="C95" s="9">
        <f t="shared" si="2"/>
        <v>56368374.754427403</v>
      </c>
      <c r="D95" s="8">
        <f t="shared" si="3"/>
        <v>2.5837699176976998</v>
      </c>
      <c r="E95" s="13"/>
    </row>
    <row r="96" spans="1:5" x14ac:dyDescent="0.3">
      <c r="A96">
        <v>2044</v>
      </c>
      <c r="B96" s="9">
        <f>Pob!B96</f>
        <v>145939797</v>
      </c>
      <c r="C96" s="9">
        <f t="shared" si="2"/>
        <v>57341446.586445577</v>
      </c>
      <c r="D96" s="8">
        <f t="shared" si="3"/>
        <v>2.5451014176977074</v>
      </c>
      <c r="E96" s="13"/>
    </row>
    <row r="97" spans="1:5" x14ac:dyDescent="0.3">
      <c r="A97">
        <v>2045</v>
      </c>
      <c r="B97" s="9">
        <f>Pob!B97</f>
        <v>146194887</v>
      </c>
      <c r="C97" s="9">
        <f t="shared" si="2"/>
        <v>58316333.002909675</v>
      </c>
      <c r="D97" s="8">
        <f t="shared" si="3"/>
        <v>2.5069286676977041</v>
      </c>
      <c r="E97" s="13"/>
    </row>
    <row r="98" spans="1:5" x14ac:dyDescent="0.3">
      <c r="A98">
        <v>2046</v>
      </c>
      <c r="B98" s="9">
        <f>Pob!B98</f>
        <v>146411280</v>
      </c>
      <c r="C98" s="9">
        <f t="shared" si="2"/>
        <v>59293786.014332049</v>
      </c>
      <c r="D98" s="8">
        <f t="shared" si="3"/>
        <v>2.4692516676977005</v>
      </c>
      <c r="E98" s="13"/>
    </row>
    <row r="99" spans="1:5" x14ac:dyDescent="0.3">
      <c r="A99">
        <v>2047</v>
      </c>
      <c r="B99" s="9">
        <f>Pob!B99</f>
        <v>146592205</v>
      </c>
      <c r="C99" s="9">
        <f t="shared" si="2"/>
        <v>60274654.850976668</v>
      </c>
      <c r="D99" s="8">
        <f t="shared" si="3"/>
        <v>2.4320704176977079</v>
      </c>
      <c r="E99" s="13"/>
    </row>
    <row r="100" spans="1:5" x14ac:dyDescent="0.3">
      <c r="A100">
        <v>2048</v>
      </c>
      <c r="B100" s="9">
        <f>Pob!B100</f>
        <v>146740307</v>
      </c>
      <c r="C100" s="9">
        <f t="shared" si="2"/>
        <v>61259593.77795434</v>
      </c>
      <c r="D100" s="8">
        <f t="shared" si="3"/>
        <v>2.3953849176977049</v>
      </c>
      <c r="E100" s="13"/>
    </row>
    <row r="101" spans="1:5" x14ac:dyDescent="0.3">
      <c r="A101">
        <v>2049</v>
      </c>
      <c r="B101" s="9">
        <f>Pob!B101</f>
        <v>146857365</v>
      </c>
      <c r="C101" s="9">
        <f t="shared" si="2"/>
        <v>62248925.824697919</v>
      </c>
      <c r="D101" s="8">
        <f t="shared" si="3"/>
        <v>2.3591951676977017</v>
      </c>
      <c r="E101" s="13"/>
    </row>
    <row r="102" spans="1:5" x14ac:dyDescent="0.3">
      <c r="A102">
        <v>2050</v>
      </c>
      <c r="B102" s="9">
        <f>Pob!B102</f>
        <v>146943948</v>
      </c>
      <c r="C102" s="9">
        <f t="shared" si="2"/>
        <v>63242467.894088715</v>
      </c>
      <c r="D102" s="8">
        <f t="shared" si="3"/>
        <v>2.3235011676977089</v>
      </c>
      <c r="E102" s="13"/>
    </row>
    <row r="103" spans="1:5" x14ac:dyDescent="0.3">
      <c r="A103">
        <v>2051</v>
      </c>
      <c r="B103" s="9">
        <f>Pob!B103</f>
        <v>146999649</v>
      </c>
      <c r="C103" s="9">
        <f t="shared" si="2"/>
        <v>64239593.396095678</v>
      </c>
      <c r="D103" s="8">
        <f t="shared" si="3"/>
        <v>2.2883029176977057</v>
      </c>
      <c r="E103" s="13"/>
    </row>
    <row r="104" spans="1:5" x14ac:dyDescent="0.3">
      <c r="A104">
        <v>2052</v>
      </c>
      <c r="B104" s="9">
        <f>Pob!B104</f>
        <v>147022927</v>
      </c>
      <c r="C104" s="9">
        <f t="shared" si="2"/>
        <v>65239128.394464828</v>
      </c>
      <c r="D104" s="8">
        <f t="shared" si="3"/>
        <v>2.2536004176977027</v>
      </c>
      <c r="E104" s="13"/>
    </row>
    <row r="105" spans="1:5" x14ac:dyDescent="0.3">
      <c r="A105">
        <v>2053</v>
      </c>
      <c r="B105" s="9">
        <f>Pob!B105</f>
        <v>147011306</v>
      </c>
      <c r="C105" s="9">
        <f t="shared" si="2"/>
        <v>66239400.490180887</v>
      </c>
      <c r="D105" s="8">
        <f t="shared" si="3"/>
        <v>2.2193936676977093</v>
      </c>
      <c r="E105" s="13"/>
    </row>
    <row r="106" spans="1:5" x14ac:dyDescent="0.3">
      <c r="A106">
        <v>2054</v>
      </c>
      <c r="B106" s="9">
        <f>Pob!B106</f>
        <v>146961870</v>
      </c>
      <c r="C106" s="9">
        <f t="shared" si="2"/>
        <v>67238429.517676786</v>
      </c>
      <c r="D106" s="8">
        <f t="shared" si="3"/>
        <v>2.1856826676977064</v>
      </c>
      <c r="E106" s="13"/>
    </row>
    <row r="107" spans="1:5" x14ac:dyDescent="0.3">
      <c r="A107">
        <v>2055</v>
      </c>
      <c r="B107" s="9">
        <f>Pob!B107</f>
        <v>146872208</v>
      </c>
      <c r="C107" s="9">
        <f t="shared" si="2"/>
        <v>68234346.681584477</v>
      </c>
      <c r="D107" s="8">
        <f t="shared" si="3"/>
        <v>2.1524674176977032</v>
      </c>
      <c r="E107" s="13"/>
    </row>
    <row r="108" spans="1:5" x14ac:dyDescent="0.3">
      <c r="A108">
        <v>2056</v>
      </c>
      <c r="B108" s="9">
        <f>Pob!B108</f>
        <v>146741137</v>
      </c>
      <c r="C108" s="9">
        <f t="shared" si="2"/>
        <v>69225748.86139217</v>
      </c>
      <c r="D108" s="8">
        <f t="shared" si="3"/>
        <v>2.1197479176977003</v>
      </c>
      <c r="E108" s="13"/>
    </row>
    <row r="109" spans="1:5" x14ac:dyDescent="0.3">
      <c r="A109">
        <v>2057</v>
      </c>
      <c r="B109" s="9">
        <f>Pob!B109</f>
        <v>146568916</v>
      </c>
      <c r="C109" s="9">
        <f t="shared" si="2"/>
        <v>70211841.504880995</v>
      </c>
      <c r="D109" s="8">
        <f t="shared" si="3"/>
        <v>2.0875241676977065</v>
      </c>
      <c r="E109" s="13"/>
    </row>
    <row r="110" spans="1:5" x14ac:dyDescent="0.3">
      <c r="A110">
        <v>2058</v>
      </c>
      <c r="B110" s="9">
        <f>Pob!B110</f>
        <v>146356973</v>
      </c>
      <c r="C110" s="9">
        <f t="shared" si="2"/>
        <v>71192356.177950218</v>
      </c>
      <c r="D110" s="8">
        <f t="shared" si="3"/>
        <v>2.0557961676977037</v>
      </c>
      <c r="E110" s="13"/>
    </row>
    <row r="111" spans="1:5" x14ac:dyDescent="0.3">
      <c r="A111">
        <v>2059</v>
      </c>
      <c r="B111" s="9">
        <f>Pob!B111</f>
        <v>146107409</v>
      </c>
      <c r="C111" s="9">
        <f t="shared" si="2"/>
        <v>72167348.100400209</v>
      </c>
      <c r="D111" s="8">
        <f t="shared" si="3"/>
        <v>2.0245639176977011</v>
      </c>
      <c r="E111" s="13"/>
    </row>
    <row r="112" spans="1:5" x14ac:dyDescent="0.3">
      <c r="A112">
        <v>2060</v>
      </c>
      <c r="B112" s="9">
        <f>Pob!B112</f>
        <v>145822700</v>
      </c>
      <c r="C112" s="9">
        <f t="shared" si="2"/>
        <v>73137072.299057335</v>
      </c>
      <c r="D112" s="8">
        <f t="shared" si="3"/>
        <v>1.9938274176977071</v>
      </c>
      <c r="E112" s="13"/>
    </row>
    <row r="113" spans="1:5" x14ac:dyDescent="0.3">
      <c r="A113">
        <v>2061</v>
      </c>
      <c r="B113" s="9">
        <f>Pob!B113</f>
        <v>145505553</v>
      </c>
      <c r="C113" s="9">
        <f t="shared" si="2"/>
        <v>74101925.519083157</v>
      </c>
      <c r="D113" s="8">
        <f t="shared" si="3"/>
        <v>1.9635866676977045</v>
      </c>
      <c r="E113" s="13"/>
    </row>
    <row r="114" spans="1:5" x14ac:dyDescent="0.3">
      <c r="A114">
        <v>2062</v>
      </c>
      <c r="B114" s="9">
        <f>Pob!B114</f>
        <v>145158569</v>
      </c>
      <c r="C114" s="9">
        <f t="shared" si="2"/>
        <v>75062282.204734862</v>
      </c>
      <c r="D114" s="8">
        <f t="shared" si="3"/>
        <v>1.9338416676977019</v>
      </c>
      <c r="E114" s="13"/>
    </row>
    <row r="115" spans="1:5" x14ac:dyDescent="0.3">
      <c r="A115">
        <v>2063</v>
      </c>
      <c r="B115" s="9">
        <f>Pob!B115</f>
        <v>144784066</v>
      </c>
      <c r="C115" s="9">
        <f t="shared" si="2"/>
        <v>76018398.821001589</v>
      </c>
      <c r="D115" s="8">
        <f t="shared" si="3"/>
        <v>1.9045924176977078</v>
      </c>
      <c r="E115" s="13"/>
    </row>
    <row r="116" spans="1:5" x14ac:dyDescent="0.3">
      <c r="A116">
        <v>2064</v>
      </c>
      <c r="B116" s="9">
        <f>Pob!B116</f>
        <v>144383681</v>
      </c>
      <c r="C116" s="9">
        <f t="shared" si="2"/>
        <v>76970191.650148764</v>
      </c>
      <c r="D116" s="8">
        <f t="shared" si="3"/>
        <v>1.8758389176977053</v>
      </c>
      <c r="E116" s="13"/>
    </row>
    <row r="117" spans="1:5" x14ac:dyDescent="0.3">
      <c r="A117">
        <v>2065</v>
      </c>
      <c r="B117" s="9">
        <f>Pob!B117</f>
        <v>143958301</v>
      </c>
      <c r="C117" s="9">
        <f t="shared" si="2"/>
        <v>77917172.742883325</v>
      </c>
      <c r="D117" s="8">
        <f t="shared" si="3"/>
        <v>1.8475811676977028</v>
      </c>
      <c r="E117" s="13"/>
    </row>
    <row r="118" spans="1:5" x14ac:dyDescent="0.3">
      <c r="A118">
        <v>2066</v>
      </c>
      <c r="B118" s="9">
        <f>Pob!B118</f>
        <v>143507972</v>
      </c>
      <c r="C118" s="9">
        <f t="shared" si="2"/>
        <v>78858369.307954356</v>
      </c>
      <c r="D118" s="8">
        <f t="shared" si="3"/>
        <v>1.8198191676977082</v>
      </c>
      <c r="E118" s="13"/>
    </row>
    <row r="119" spans="1:5" x14ac:dyDescent="0.3">
      <c r="A119">
        <v>2067</v>
      </c>
      <c r="B119" s="9">
        <f>Pob!B119</f>
        <v>143032072</v>
      </c>
      <c r="C119" s="9">
        <f t="shared" si="2"/>
        <v>79792384.697744682</v>
      </c>
      <c r="D119" s="8">
        <f t="shared" si="3"/>
        <v>1.7925529176977057</v>
      </c>
      <c r="E119" s="13"/>
    </row>
    <row r="120" spans="1:5" x14ac:dyDescent="0.3">
      <c r="A120">
        <v>2068</v>
      </c>
      <c r="B120" s="9">
        <f>Pob!B120</f>
        <v>142529549</v>
      </c>
      <c r="C120" s="9">
        <f t="shared" si="2"/>
        <v>80717503.794060662</v>
      </c>
      <c r="D120" s="8">
        <f t="shared" si="3"/>
        <v>1.7657824176977035</v>
      </c>
      <c r="E120" s="13"/>
    </row>
    <row r="121" spans="1:5" x14ac:dyDescent="0.3">
      <c r="A121">
        <v>2069</v>
      </c>
      <c r="B121" s="9">
        <f>Pob!B121</f>
        <v>141999271</v>
      </c>
      <c r="C121" s="9">
        <f t="shared" si="2"/>
        <v>81631874.142837763</v>
      </c>
      <c r="D121" s="8">
        <f t="shared" si="3"/>
        <v>1.7395076676977013</v>
      </c>
      <c r="E121" s="13"/>
    </row>
    <row r="122" spans="1:5" x14ac:dyDescent="0.3">
      <c r="A122">
        <v>2070</v>
      </c>
      <c r="B122" s="9">
        <f>Pob!B122</f>
        <v>141440479</v>
      </c>
      <c r="C122" s="9">
        <f t="shared" si="2"/>
        <v>82533764.922084749</v>
      </c>
      <c r="D122" s="8">
        <f t="shared" si="3"/>
        <v>1.7137286676977064</v>
      </c>
      <c r="E122" s="13"/>
    </row>
    <row r="123" spans="1:5" x14ac:dyDescent="0.3">
      <c r="B123" s="11"/>
      <c r="C123" s="11"/>
      <c r="D123" s="11"/>
      <c r="E123" s="13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E5788-EDD6-4436-8618-E97E6FFED33B}">
  <sheetPr>
    <outlinePr summaryBelow="0"/>
  </sheetPr>
  <dimension ref="A2:BI297"/>
  <sheetViews>
    <sheetView topLeftCell="A229" workbookViewId="0">
      <selection activeCell="K233" sqref="K233"/>
    </sheetView>
  </sheetViews>
  <sheetFormatPr defaultColWidth="11.44140625" defaultRowHeight="14.4" outlineLevelRow="2" x14ac:dyDescent="0.3"/>
  <cols>
    <col min="3" max="3" width="12" customWidth="1"/>
    <col min="4" max="11" width="11.109375" customWidth="1"/>
    <col min="12" max="61" width="11.109375" bestFit="1" customWidth="1"/>
  </cols>
  <sheetData>
    <row r="2" spans="1:61" x14ac:dyDescent="0.3">
      <c r="A2" t="s">
        <v>50</v>
      </c>
    </row>
    <row r="3" spans="1:61" outlineLevel="1" x14ac:dyDescent="0.3">
      <c r="A3" t="s">
        <v>164</v>
      </c>
      <c r="D3">
        <v>2013</v>
      </c>
      <c r="E3">
        <v>2014</v>
      </c>
      <c r="F3">
        <v>2015</v>
      </c>
      <c r="G3">
        <v>2016</v>
      </c>
      <c r="H3">
        <v>2017</v>
      </c>
      <c r="I3">
        <v>2018</v>
      </c>
      <c r="J3">
        <v>2019</v>
      </c>
      <c r="K3">
        <v>2020</v>
      </c>
      <c r="L3">
        <v>2021</v>
      </c>
      <c r="M3">
        <v>2022</v>
      </c>
      <c r="N3">
        <v>2023</v>
      </c>
      <c r="O3">
        <v>2024</v>
      </c>
      <c r="P3">
        <v>2025</v>
      </c>
      <c r="Q3">
        <v>2026</v>
      </c>
      <c r="R3">
        <v>2027</v>
      </c>
      <c r="S3">
        <v>2028</v>
      </c>
      <c r="T3">
        <v>2029</v>
      </c>
      <c r="U3">
        <v>2030</v>
      </c>
      <c r="V3">
        <v>2031</v>
      </c>
      <c r="W3">
        <v>2032</v>
      </c>
      <c r="X3">
        <v>2033</v>
      </c>
      <c r="Y3">
        <v>2034</v>
      </c>
      <c r="Z3">
        <v>2035</v>
      </c>
      <c r="AA3">
        <v>2036</v>
      </c>
      <c r="AB3">
        <v>2037</v>
      </c>
      <c r="AC3">
        <v>2038</v>
      </c>
      <c r="AD3">
        <v>2039</v>
      </c>
      <c r="AE3">
        <v>2040</v>
      </c>
      <c r="AF3">
        <v>2041</v>
      </c>
      <c r="AG3">
        <v>2042</v>
      </c>
      <c r="AH3">
        <v>2043</v>
      </c>
      <c r="AI3">
        <v>2044</v>
      </c>
      <c r="AJ3">
        <v>2045</v>
      </c>
      <c r="AK3">
        <v>2046</v>
      </c>
      <c r="AL3">
        <v>2047</v>
      </c>
      <c r="AM3">
        <v>2048</v>
      </c>
      <c r="AN3">
        <v>2049</v>
      </c>
      <c r="AO3">
        <v>2050</v>
      </c>
      <c r="AP3">
        <v>2051</v>
      </c>
      <c r="AQ3">
        <v>2052</v>
      </c>
      <c r="AR3">
        <v>2053</v>
      </c>
      <c r="AS3">
        <v>2054</v>
      </c>
      <c r="AT3">
        <v>2055</v>
      </c>
      <c r="AU3">
        <v>2056</v>
      </c>
      <c r="AV3">
        <v>2057</v>
      </c>
      <c r="AW3">
        <v>2058</v>
      </c>
      <c r="AX3">
        <v>2059</v>
      </c>
      <c r="AY3">
        <v>2060</v>
      </c>
      <c r="AZ3">
        <v>2061</v>
      </c>
      <c r="BA3">
        <v>2062</v>
      </c>
      <c r="BB3">
        <v>2063</v>
      </c>
      <c r="BC3">
        <v>2064</v>
      </c>
      <c r="BD3">
        <v>2065</v>
      </c>
      <c r="BE3">
        <v>2066</v>
      </c>
      <c r="BF3">
        <v>2067</v>
      </c>
      <c r="BG3">
        <v>2068</v>
      </c>
      <c r="BH3">
        <v>2069</v>
      </c>
      <c r="BI3">
        <v>2070</v>
      </c>
    </row>
    <row r="4" spans="1:61" outlineLevel="2" x14ac:dyDescent="0.3">
      <c r="C4" t="s">
        <v>81</v>
      </c>
      <c r="D4" s="3">
        <f>Res!C9+Res!C41+Res!C73+Res!C105+Res!C137+Res!C169+Res!C201+Res!C233+Res!C265+Res!C297</f>
        <v>4.04</v>
      </c>
      <c r="E4" s="3">
        <f>Res!D9+Res!D41+Res!D73+Res!D105+Res!D137+Res!D169+Res!D201+Res!D233+Res!D265+Res!D297</f>
        <v>4.53</v>
      </c>
      <c r="F4" s="3">
        <f>Res!E9+Res!E41+Res!E73+Res!E105+Res!E137+Res!E169+Res!E201+Res!E233+Res!E265+Res!E297</f>
        <v>5.29</v>
      </c>
      <c r="G4" s="3">
        <f>Res!F9+Res!F41+Res!F73+Res!F105+Res!F137+Res!F169+Res!F201+Res!F233+Res!F265+Res!F297</f>
        <v>6.1</v>
      </c>
      <c r="H4" s="3">
        <f>Res!G9+Res!G41+Res!G73+Res!G105+Res!G137+Res!G169+Res!G201+Res!G233+Res!G265+Res!G297</f>
        <v>6.42</v>
      </c>
      <c r="I4" s="3">
        <f>Res!H9+Res!H41+Res!H73+Res!H105+Res!H137+Res!H169+Res!H201+Res!H233+Res!H265+Res!H297</f>
        <v>7.11</v>
      </c>
      <c r="J4" s="3">
        <f>Res!I9+Res!I41+Res!I73+Res!I105+Res!I137+Res!I169+Res!I201+Res!I233+Res!I265+Res!I297</f>
        <v>7.89</v>
      </c>
      <c r="K4" s="3">
        <f>Res!J9+Res!J41+Res!J73+Res!J105+Res!J137+Res!J169+Res!J201+Res!J233+Res!J265+Res!J297</f>
        <v>9.01</v>
      </c>
      <c r="L4" s="3">
        <f>Res!K9+Res!K41+Res!K73+Res!K105+Res!K137+Res!K169+Res!K201+Res!K233+Res!K265+Res!K297</f>
        <v>10.69</v>
      </c>
      <c r="M4" s="3">
        <f>L4+L4-K4</f>
        <v>12.37</v>
      </c>
      <c r="N4" s="3">
        <f>M4+M4-L4</f>
        <v>14.049999999999999</v>
      </c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</row>
    <row r="5" spans="1:61" outlineLevel="2" x14ac:dyDescent="0.3">
      <c r="C5" t="s">
        <v>83</v>
      </c>
      <c r="D5" s="3">
        <f>Res!C13+Res!C45+Res!C77+Res!C109+Res!C141+Res!C173+Res!C205+Res!C237+Res!C269+Res!C301</f>
        <v>331.84</v>
      </c>
      <c r="E5" s="3">
        <f>Res!D13+Res!D45+Res!D77+Res!D109+Res!D141+Res!D173+Res!D205+Res!D237+Res!D269+Res!D301</f>
        <v>330.21</v>
      </c>
      <c r="F5" s="3">
        <f>Res!E13+Res!E45+Res!E77+Res!E109+Res!E141+Res!E173+Res!E205+Res!E237+Res!E269+Res!E301</f>
        <v>328.57</v>
      </c>
      <c r="G5" s="3">
        <f>Res!F13+Res!F45+Res!F77+Res!F109+Res!F141+Res!F173+Res!F205+Res!F237+Res!F269+Res!F301</f>
        <v>326.93</v>
      </c>
      <c r="H5" s="3">
        <f>Res!G13+Res!G45+Res!G77+Res!G109+Res!G141+Res!G173+Res!G205+Res!G237+Res!G269+Res!G301</f>
        <v>325.28999999999996</v>
      </c>
      <c r="I5" s="3">
        <f>Res!H13+Res!H45+Res!H77+Res!H109+Res!H141+Res!H173+Res!H205+Res!H237+Res!H269+Res!H301</f>
        <v>323.68</v>
      </c>
      <c r="J5" s="3">
        <f>Res!I13+Res!I45+Res!I77+Res!I109+Res!I141+Res!I173+Res!I205+Res!I237+Res!I269+Res!I301</f>
        <v>322.04000000000002</v>
      </c>
      <c r="K5" s="3">
        <f>Res!J13+Res!J45+Res!J77+Res!J109+Res!J141+Res!J173+Res!J205+Res!J237+Res!J269+Res!J301</f>
        <v>320.39999999999998</v>
      </c>
      <c r="L5" s="3">
        <f>Res!K13+Res!K45+Res!K77+Res!K109+Res!K141+Res!K173+Res!K205+Res!K237+Res!K269+Res!K301</f>
        <v>319.07</v>
      </c>
      <c r="M5" s="3">
        <f t="shared" ref="M5:N7" si="0">L5+L5-K5</f>
        <v>317.74</v>
      </c>
      <c r="N5" s="3">
        <f t="shared" si="0"/>
        <v>316.41000000000003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</row>
    <row r="6" spans="1:61" outlineLevel="2" x14ac:dyDescent="0.3">
      <c r="C6" t="s">
        <v>84</v>
      </c>
      <c r="D6" s="3">
        <f>Res!C17+Res!C49+Res!C81+Res!C113+Res!C145+Res!C177+Res!C209+Res!C241+Res!C273+Res!C305</f>
        <v>71.16</v>
      </c>
      <c r="E6" s="3">
        <f>Res!D17+Res!D49+Res!D81+Res!D113+Res!D145+Res!D177+Res!D209+Res!D241+Res!D273+Res!D305</f>
        <v>71.89</v>
      </c>
      <c r="F6" s="3">
        <f>Res!E17+Res!E49+Res!E81+Res!E113+Res!E145+Res!E177+Res!E209+Res!E241+Res!E273+Res!E305</f>
        <v>72.63</v>
      </c>
      <c r="G6" s="3">
        <f>Res!F17+Res!F49+Res!F81+Res!F113+Res!F145+Res!F177+Res!F209+Res!F241+Res!F273+Res!F305</f>
        <v>73.36</v>
      </c>
      <c r="H6" s="3">
        <f>Res!G17+Res!G49+Res!G81+Res!G113+Res!G145+Res!G177+Res!G209+Res!G241+Res!G273+Res!G305</f>
        <v>74.09</v>
      </c>
      <c r="I6" s="3">
        <f>Res!H17+Res!H49+Res!H81+Res!H113+Res!H145+Res!H177+Res!H209+Res!H241+Res!H273+Res!H305</f>
        <v>74.83</v>
      </c>
      <c r="J6" s="3">
        <f>Res!I17+Res!I49+Res!I81+Res!I113+Res!I145+Res!I177+Res!I209+Res!I241+Res!I273+Res!I305</f>
        <v>75.56</v>
      </c>
      <c r="K6" s="3">
        <f>Res!J17+Res!J49+Res!J81+Res!J113+Res!J145+Res!J177+Res!J209+Res!J241+Res!J273+Res!J305</f>
        <v>76.31</v>
      </c>
      <c r="L6" s="3">
        <f>Res!K17+Res!K49+Res!K81+Res!K113+Res!K145+Res!K177+Res!K209+Res!K241+Res!K273+Res!K305</f>
        <v>77.040000000000006</v>
      </c>
      <c r="M6" s="3">
        <f t="shared" si="0"/>
        <v>77.77000000000001</v>
      </c>
      <c r="N6" s="3">
        <f t="shared" si="0"/>
        <v>78.500000000000014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</row>
    <row r="7" spans="1:61" outlineLevel="2" x14ac:dyDescent="0.3">
      <c r="C7" t="s">
        <v>85</v>
      </c>
      <c r="D7" s="3">
        <f>Res!C18+Res!C50+Res!C82+Res!C114+Res!C146+Res!C178+Res!C210+Res!C242+Res!C274+Res!C306</f>
        <v>20.51</v>
      </c>
      <c r="E7" s="3">
        <f>Res!D18+Res!D50+Res!D82+Res!D114+Res!D146+Res!D178+Res!D210+Res!D242+Res!D274+Res!D306</f>
        <v>20.399999999999999</v>
      </c>
      <c r="F7" s="3">
        <f>Res!E18+Res!E50+Res!E82+Res!E114+Res!E146+Res!E178+Res!E210+Res!E242+Res!E274+Res!E306</f>
        <v>20.310000000000002</v>
      </c>
      <c r="G7" s="3">
        <f>Res!F18+Res!F50+Res!F82+Res!F114+Res!F146+Res!F178+Res!F210+Res!F242+Res!F274+Res!F306</f>
        <v>20.2</v>
      </c>
      <c r="H7" s="3">
        <f>Res!G18+Res!G50+Res!G82+Res!G114+Res!G146+Res!G178+Res!G210+Res!G242+Res!G274+Res!G306</f>
        <v>20.11</v>
      </c>
      <c r="I7" s="3">
        <f>Res!H18+Res!H50+Res!H82+Res!H114+Res!H146+Res!H178+Res!H210+Res!H242+Res!H274+Res!H306</f>
        <v>20</v>
      </c>
      <c r="J7" s="3">
        <f>Res!I18+Res!I50+Res!I82+Res!I114+Res!I146+Res!I178+Res!I210+Res!I242+Res!I274+Res!I306</f>
        <v>19.91</v>
      </c>
      <c r="K7" s="3">
        <f>Res!J18+Res!J50+Res!J82+Res!J114+Res!J146+Res!J178+Res!J210+Res!J242+Res!J274+Res!J306</f>
        <v>19.8</v>
      </c>
      <c r="L7" s="3">
        <f>Res!K18+Res!K50+Res!K82+Res!K114+Res!K146+Res!K178+Res!K210+Res!K242+Res!K274+Res!K306</f>
        <v>19.72</v>
      </c>
      <c r="M7" s="3">
        <f t="shared" si="0"/>
        <v>19.639999999999997</v>
      </c>
      <c r="N7" s="3">
        <f t="shared" si="0"/>
        <v>19.559999999999995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</row>
    <row r="8" spans="1:61" outlineLevel="2" x14ac:dyDescent="0.3">
      <c r="C8" t="s">
        <v>87</v>
      </c>
      <c r="D8" s="3">
        <f>'Cuadro A.15'!B17</f>
        <v>256.95999999999998</v>
      </c>
      <c r="E8" s="3">
        <f>'Cuadro A.15'!C17</f>
        <v>257.11</v>
      </c>
      <c r="F8" s="3">
        <f>'Cuadro A.15'!D17</f>
        <v>253.39</v>
      </c>
      <c r="G8" s="3">
        <f>'Cuadro A.15'!E17</f>
        <v>247.54</v>
      </c>
      <c r="H8" s="3">
        <f>'Cuadro A.15'!F17</f>
        <v>246.45</v>
      </c>
      <c r="I8" s="3">
        <f>'Cuadro A.15'!G17</f>
        <v>246.45</v>
      </c>
      <c r="J8" s="3">
        <f>'Cuadro A.15'!H17</f>
        <v>231.04</v>
      </c>
      <c r="K8" s="3">
        <f>'Cuadro A.15'!I17</f>
        <v>289.54000000000002</v>
      </c>
      <c r="L8" s="3">
        <f>'Cuadro A.15'!J17</f>
        <v>239.1</v>
      </c>
      <c r="M8" s="3">
        <f>'Cuadro A.15'!K17</f>
        <v>246.98</v>
      </c>
      <c r="N8" s="3">
        <f>'Cuadro A.15'!L17</f>
        <v>224.57</v>
      </c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</row>
    <row r="9" spans="1:61" outlineLevel="2" x14ac:dyDescent="0.3">
      <c r="C9" t="s">
        <v>89</v>
      </c>
      <c r="D9" s="3">
        <f>'Cuadro A.15'!B19</f>
        <v>33.799999999999997</v>
      </c>
      <c r="E9" s="3">
        <f>'Cuadro A.15'!C19</f>
        <v>39.86</v>
      </c>
      <c r="F9" s="3">
        <f>'Cuadro A.15'!D19</f>
        <v>37.43</v>
      </c>
      <c r="G9" s="3">
        <f>'Cuadro A.15'!E19</f>
        <v>37.450000000000003</v>
      </c>
      <c r="H9" s="3">
        <f>'Cuadro A.15'!F19</f>
        <v>35.479999999999997</v>
      </c>
      <c r="I9" s="3">
        <f>'Cuadro A.15'!G19</f>
        <v>30.16</v>
      </c>
      <c r="J9" s="3">
        <f>'Cuadro A.15'!H19</f>
        <v>29.94</v>
      </c>
      <c r="K9" s="3">
        <f>'Cuadro A.15'!I19</f>
        <v>25.95</v>
      </c>
      <c r="L9" s="3">
        <f>'Cuadro A.15'!J19</f>
        <v>27.66</v>
      </c>
      <c r="M9" s="3">
        <f>'Cuadro A.15'!K19</f>
        <v>25.2</v>
      </c>
      <c r="N9" s="3">
        <f>'Cuadro A.15'!L19</f>
        <v>26</v>
      </c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</row>
    <row r="10" spans="1:61" outlineLevel="2" x14ac:dyDescent="0.3">
      <c r="C10" t="s">
        <v>91</v>
      </c>
      <c r="D10" s="3">
        <f>'Cuadro A.15'!B20</f>
        <v>191.14</v>
      </c>
      <c r="E10" s="3">
        <f>'Cuadro A.15'!C20</f>
        <v>196.62</v>
      </c>
      <c r="F10" s="3">
        <f>'Cuadro A.15'!D20</f>
        <v>203.75</v>
      </c>
      <c r="G10" s="3">
        <f>'Cuadro A.15'!E20</f>
        <v>212.28</v>
      </c>
      <c r="H10" s="3">
        <f>'Cuadro A.15'!F20</f>
        <v>212.95</v>
      </c>
      <c r="I10" s="3">
        <f>'Cuadro A.15'!G20</f>
        <v>227.8</v>
      </c>
      <c r="J10" s="3">
        <f>'Cuadro A.15'!H20</f>
        <v>232.15</v>
      </c>
      <c r="K10" s="3">
        <f>'Cuadro A.15'!I20</f>
        <v>260.10000000000002</v>
      </c>
      <c r="L10" s="3">
        <f>'Cuadro A.15'!J20</f>
        <v>250.06</v>
      </c>
      <c r="M10" s="3">
        <f>'Cuadro A.15'!K20</f>
        <v>264.91000000000003</v>
      </c>
      <c r="N10" s="3">
        <f>'Cuadro A.15'!L20</f>
        <v>271.63</v>
      </c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</row>
    <row r="11" spans="1:61" outlineLevel="2" x14ac:dyDescent="0.3">
      <c r="D11" s="3">
        <f t="shared" ref="D11:N11" si="1">SUM(D4:D10)</f>
        <v>909.44999999999993</v>
      </c>
      <c r="E11" s="3">
        <f t="shared" si="1"/>
        <v>920.61999999999989</v>
      </c>
      <c r="F11" s="3">
        <f t="shared" si="1"/>
        <v>921.37</v>
      </c>
      <c r="G11" s="3">
        <f t="shared" si="1"/>
        <v>923.86</v>
      </c>
      <c r="H11" s="3">
        <f t="shared" si="1"/>
        <v>920.79</v>
      </c>
      <c r="I11" s="3">
        <f t="shared" si="1"/>
        <v>930.03</v>
      </c>
      <c r="J11" s="3">
        <f t="shared" si="1"/>
        <v>918.53000000000009</v>
      </c>
      <c r="K11" s="3">
        <f t="shared" si="1"/>
        <v>1001.11</v>
      </c>
      <c r="L11" s="3">
        <f t="shared" si="1"/>
        <v>943.33999999999992</v>
      </c>
      <c r="M11" s="3">
        <f t="shared" si="1"/>
        <v>964.61000000000013</v>
      </c>
      <c r="N11" s="3">
        <f t="shared" si="1"/>
        <v>950.72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</row>
    <row r="12" spans="1:61" outlineLevel="2" x14ac:dyDescent="0.3"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</row>
    <row r="13" spans="1:61" outlineLevel="1" x14ac:dyDescent="0.3">
      <c r="A13" t="s">
        <v>165</v>
      </c>
      <c r="D13">
        <v>2013</v>
      </c>
      <c r="E13">
        <v>2014</v>
      </c>
      <c r="F13">
        <v>2015</v>
      </c>
      <c r="G13">
        <v>2016</v>
      </c>
      <c r="H13">
        <v>2017</v>
      </c>
      <c r="I13">
        <v>2018</v>
      </c>
      <c r="J13">
        <v>2019</v>
      </c>
      <c r="K13">
        <v>2020</v>
      </c>
      <c r="L13">
        <v>2021</v>
      </c>
      <c r="M13">
        <v>2022</v>
      </c>
      <c r="N13">
        <v>2023</v>
      </c>
    </row>
    <row r="14" spans="1:61" outlineLevel="2" x14ac:dyDescent="0.3">
      <c r="C14" t="s">
        <v>69</v>
      </c>
      <c r="D14" s="3">
        <f>D28</f>
        <v>20.862711459301554</v>
      </c>
      <c r="E14" s="3">
        <f t="shared" ref="E14:N14" si="2">E28</f>
        <v>21.4602994900923</v>
      </c>
      <c r="F14" s="3">
        <f t="shared" si="2"/>
        <v>22.232637577131346</v>
      </c>
      <c r="G14" s="3">
        <f t="shared" si="2"/>
        <v>23.16644280710231</v>
      </c>
      <c r="H14" s="3">
        <f t="shared" si="2"/>
        <v>23.235292890769319</v>
      </c>
      <c r="I14" s="3">
        <f t="shared" si="2"/>
        <v>24.857739110656208</v>
      </c>
      <c r="J14" s="3">
        <f t="shared" si="2"/>
        <v>25.330589199767285</v>
      </c>
      <c r="K14" s="3">
        <f t="shared" si="2"/>
        <v>28.385164670658686</v>
      </c>
      <c r="L14" s="3">
        <f t="shared" si="2"/>
        <v>27.290812182741117</v>
      </c>
      <c r="M14" s="3">
        <f t="shared" si="2"/>
        <v>28.911497461928935</v>
      </c>
      <c r="N14" s="3">
        <f t="shared" si="2"/>
        <v>29.644898477157358</v>
      </c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</row>
    <row r="15" spans="1:61" outlineLevel="2" x14ac:dyDescent="0.3">
      <c r="C15" t="s">
        <v>166</v>
      </c>
      <c r="D15" s="3">
        <f>D30</f>
        <v>0</v>
      </c>
      <c r="E15" s="3">
        <f t="shared" ref="E15:N15" si="3">E30</f>
        <v>0</v>
      </c>
      <c r="F15" s="3">
        <f t="shared" si="3"/>
        <v>0</v>
      </c>
      <c r="G15" s="3">
        <f t="shared" si="3"/>
        <v>0</v>
      </c>
      <c r="H15" s="3">
        <f t="shared" si="3"/>
        <v>0</v>
      </c>
      <c r="I15" s="3">
        <f t="shared" si="3"/>
        <v>0</v>
      </c>
      <c r="J15" s="3">
        <f t="shared" si="3"/>
        <v>0</v>
      </c>
      <c r="K15" s="3">
        <f t="shared" si="3"/>
        <v>0</v>
      </c>
      <c r="L15" s="3">
        <f t="shared" si="3"/>
        <v>0</v>
      </c>
      <c r="M15" s="3">
        <f t="shared" si="3"/>
        <v>0</v>
      </c>
      <c r="N15" s="3">
        <f t="shared" si="3"/>
        <v>0</v>
      </c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</row>
    <row r="16" spans="1:61" outlineLevel="2" x14ac:dyDescent="0.3">
      <c r="C16" t="s">
        <v>167</v>
      </c>
      <c r="D16" s="3">
        <f>D32</f>
        <v>13.578528747842249</v>
      </c>
      <c r="E16" s="3">
        <f t="shared" ref="E16:N16" si="4">E32</f>
        <v>13.972672819983218</v>
      </c>
      <c r="F16" s="3">
        <f t="shared" si="4"/>
        <v>14.483928346555849</v>
      </c>
      <c r="G16" s="3">
        <f t="shared" si="4"/>
        <v>15.089597777509361</v>
      </c>
      <c r="H16" s="3">
        <f t="shared" si="4"/>
        <v>15.139106727846967</v>
      </c>
      <c r="I16" s="3">
        <f t="shared" si="4"/>
        <v>16.191857159103833</v>
      </c>
      <c r="J16" s="3">
        <f t="shared" si="4"/>
        <v>16.502332469455759</v>
      </c>
      <c r="K16" s="3">
        <f t="shared" si="4"/>
        <v>18.482155688622758</v>
      </c>
      <c r="L16" s="3">
        <f t="shared" si="4"/>
        <v>17.770761421319797</v>
      </c>
      <c r="M16" s="3">
        <f t="shared" si="4"/>
        <v>18.82609137055838</v>
      </c>
      <c r="N16" s="3">
        <f t="shared" si="4"/>
        <v>19.303654822335027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</row>
    <row r="17" spans="1:61" outlineLevel="2" x14ac:dyDescent="0.3">
      <c r="C17" t="s">
        <v>65</v>
      </c>
      <c r="D17" s="3">
        <f>D34</f>
        <v>51.420746248838135</v>
      </c>
      <c r="E17" s="3">
        <f t="shared" ref="E17:N17" si="5">E34</f>
        <v>52.895640611889242</v>
      </c>
      <c r="F17" s="3">
        <f t="shared" si="5"/>
        <v>54.818269109683925</v>
      </c>
      <c r="G17" s="3">
        <f t="shared" si="5"/>
        <v>57.114832709264398</v>
      </c>
      <c r="H17" s="3">
        <f t="shared" si="5"/>
        <v>57.295110541684039</v>
      </c>
      <c r="I17" s="3">
        <f t="shared" si="5"/>
        <v>61.282940975776185</v>
      </c>
      <c r="J17" s="3">
        <f t="shared" si="5"/>
        <v>62.448558734860114</v>
      </c>
      <c r="K17" s="3">
        <f t="shared" si="5"/>
        <v>69.982994011976061</v>
      </c>
      <c r="L17" s="3">
        <f t="shared" si="5"/>
        <v>67.275025380710659</v>
      </c>
      <c r="M17" s="3">
        <f t="shared" si="5"/>
        <v>71.270203045685278</v>
      </c>
      <c r="N17" s="3">
        <f t="shared" si="5"/>
        <v>73.078121827411152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</row>
    <row r="18" spans="1:61" outlineLevel="2" x14ac:dyDescent="0.3">
      <c r="C18" t="s">
        <v>168</v>
      </c>
      <c r="D18" s="3">
        <f>D36</f>
        <v>14.796789271013145</v>
      </c>
      <c r="E18" s="3">
        <f t="shared" ref="E18:N18" si="6">E36</f>
        <v>15.216380300780999</v>
      </c>
      <c r="F18" s="3">
        <f t="shared" si="6"/>
        <v>15.766827225790204</v>
      </c>
      <c r="G18" s="3">
        <f t="shared" si="6"/>
        <v>16.435738615774852</v>
      </c>
      <c r="H18" s="3">
        <f t="shared" si="6"/>
        <v>16.484241106012753</v>
      </c>
      <c r="I18" s="3">
        <f t="shared" si="6"/>
        <v>17.629694074832251</v>
      </c>
      <c r="J18" s="3">
        <f t="shared" si="6"/>
        <v>17.975755011371454</v>
      </c>
      <c r="K18" s="3">
        <f t="shared" si="6"/>
        <v>20.130494011976047</v>
      </c>
      <c r="L18" s="3">
        <f t="shared" si="6"/>
        <v>19.357436548223351</v>
      </c>
      <c r="M18" s="3">
        <f t="shared" si="6"/>
        <v>20.506992385786802</v>
      </c>
      <c r="N18" s="3">
        <f t="shared" si="6"/>
        <v>21.02719543147208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</row>
    <row r="19" spans="1:61" outlineLevel="2" x14ac:dyDescent="0.3">
      <c r="C19" t="s">
        <v>169</v>
      </c>
      <c r="D19" s="3">
        <f>D38</f>
        <v>4.3654335413623686</v>
      </c>
      <c r="E19" s="3">
        <f t="shared" ref="E19:N19" si="7">E38</f>
        <v>4.4925760020654488</v>
      </c>
      <c r="F19" s="3">
        <f t="shared" si="7"/>
        <v>4.656922931620703</v>
      </c>
      <c r="G19" s="3">
        <f t="shared" si="7"/>
        <v>4.8461070177557684</v>
      </c>
      <c r="H19" s="3">
        <f t="shared" si="7"/>
        <v>4.8602496871461769</v>
      </c>
      <c r="I19" s="3">
        <f t="shared" si="7"/>
        <v>5.2073012623677917</v>
      </c>
      <c r="J19" s="3">
        <f t="shared" si="7"/>
        <v>5.3043211508964951</v>
      </c>
      <c r="K19" s="3">
        <f t="shared" si="7"/>
        <v>5.9444011976047904</v>
      </c>
      <c r="L19" s="3">
        <f t="shared" si="7"/>
        <v>5.7120304568527915</v>
      </c>
      <c r="M19" s="3">
        <f t="shared" si="7"/>
        <v>6.0512436548223354</v>
      </c>
      <c r="N19" s="3">
        <f t="shared" si="7"/>
        <v>6.2047461928934009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</row>
    <row r="20" spans="1:61" outlineLevel="2" x14ac:dyDescent="0.3">
      <c r="C20" t="s">
        <v>170</v>
      </c>
      <c r="D20" s="3">
        <f>D40</f>
        <v>44.390367813039425</v>
      </c>
      <c r="E20" s="3">
        <f t="shared" ref="E20:N20" si="8">E40</f>
        <v>45.66183179500419</v>
      </c>
      <c r="F20" s="3">
        <f t="shared" si="8"/>
        <v>47.313310666162963</v>
      </c>
      <c r="G20" s="3">
        <f t="shared" si="8"/>
        <v>49.294395458388706</v>
      </c>
      <c r="H20" s="3">
        <f t="shared" si="8"/>
        <v>49.452723318038259</v>
      </c>
      <c r="I20" s="3">
        <f t="shared" si="8"/>
        <v>52.902035710224041</v>
      </c>
      <c r="J20" s="3">
        <f t="shared" si="8"/>
        <v>53.914986512931726</v>
      </c>
      <c r="K20" s="3">
        <f t="shared" si="8"/>
        <v>60.40446107784431</v>
      </c>
      <c r="L20" s="3">
        <f t="shared" si="8"/>
        <v>58.072309644670057</v>
      </c>
      <c r="M20" s="3">
        <f t="shared" si="8"/>
        <v>61.52097715736042</v>
      </c>
      <c r="N20" s="3">
        <f t="shared" si="8"/>
        <v>63.081586294416248</v>
      </c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</row>
    <row r="21" spans="1:61" outlineLevel="2" x14ac:dyDescent="0.3">
      <c r="C21" t="s">
        <v>171</v>
      </c>
      <c r="D21" s="3">
        <f>D42</f>
        <v>41.725422918603108</v>
      </c>
      <c r="E21" s="3">
        <f t="shared" ref="E21:N21" si="9">E42</f>
        <v>42.9205989801846</v>
      </c>
      <c r="F21" s="3">
        <f t="shared" si="9"/>
        <v>44.478104143055049</v>
      </c>
      <c r="G21" s="3">
        <f t="shared" si="9"/>
        <v>46.332885614204621</v>
      </c>
      <c r="H21" s="3">
        <f t="shared" si="9"/>
        <v>46.483275728502477</v>
      </c>
      <c r="I21" s="3">
        <f t="shared" si="9"/>
        <v>49.72843170703969</v>
      </c>
      <c r="J21" s="3">
        <f t="shared" si="9"/>
        <v>50.673456920717214</v>
      </c>
      <c r="K21" s="3">
        <f t="shared" si="9"/>
        <v>56.770329341317371</v>
      </c>
      <c r="L21" s="3">
        <f t="shared" si="9"/>
        <v>54.581624365482234</v>
      </c>
      <c r="M21" s="3">
        <f t="shared" si="9"/>
        <v>57.82299492385787</v>
      </c>
      <c r="N21" s="3">
        <f t="shared" si="9"/>
        <v>59.289796954314717</v>
      </c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</row>
    <row r="22" spans="1:61" outlineLevel="2" x14ac:dyDescent="0.3">
      <c r="C22" t="s">
        <v>75</v>
      </c>
      <c r="D22" s="4">
        <f>SUM(D44:D49)</f>
        <v>182.60999999999999</v>
      </c>
      <c r="E22" s="4">
        <f t="shared" ref="E22:N22" si="10">SUM(E44:E49)</f>
        <v>184.3974530738526</v>
      </c>
      <c r="F22" s="4">
        <f t="shared" si="10"/>
        <v>183.44828773919207</v>
      </c>
      <c r="G22" s="4">
        <f t="shared" si="10"/>
        <v>182.47234194775015</v>
      </c>
      <c r="H22" s="4">
        <f t="shared" si="10"/>
        <v>181.78171642213786</v>
      </c>
      <c r="I22" s="4">
        <f t="shared" si="10"/>
        <v>180.89318383798098</v>
      </c>
      <c r="J22" s="4">
        <f t="shared" si="10"/>
        <v>177.38008973208568</v>
      </c>
      <c r="K22" s="4">
        <f t="shared" si="10"/>
        <v>192.50060249848184</v>
      </c>
      <c r="L22" s="4">
        <f t="shared" si="10"/>
        <v>181.34476849848551</v>
      </c>
      <c r="M22" s="4">
        <f t="shared" si="10"/>
        <v>183.02408048463869</v>
      </c>
      <c r="N22" s="4">
        <f t="shared" si="10"/>
        <v>177.63301817395063</v>
      </c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</row>
    <row r="23" spans="1:61" outlineLevel="2" x14ac:dyDescent="0.3">
      <c r="C23" t="s">
        <v>62</v>
      </c>
      <c r="D23" s="4">
        <f>SUM(D52:D56)</f>
        <v>535.70000000000005</v>
      </c>
      <c r="E23" s="4">
        <f t="shared" ref="E23:N23" si="11">SUM(E52:E56)</f>
        <v>539.60254692614751</v>
      </c>
      <c r="F23" s="4">
        <f t="shared" si="11"/>
        <v>534.17171226080779</v>
      </c>
      <c r="G23" s="4">
        <f t="shared" si="11"/>
        <v>529.1076580522498</v>
      </c>
      <c r="H23" s="4">
        <f t="shared" si="11"/>
        <v>526.05828357786208</v>
      </c>
      <c r="I23" s="4">
        <f t="shared" si="11"/>
        <v>521.33681616201886</v>
      </c>
      <c r="J23" s="4">
        <f t="shared" si="11"/>
        <v>508.99991026791434</v>
      </c>
      <c r="K23" s="4">
        <f t="shared" si="11"/>
        <v>548.50939750151804</v>
      </c>
      <c r="L23" s="4">
        <f t="shared" si="11"/>
        <v>511.93523150151452</v>
      </c>
      <c r="M23" s="4">
        <f t="shared" si="11"/>
        <v>516.67591951536133</v>
      </c>
      <c r="N23" s="4">
        <f t="shared" si="11"/>
        <v>501.4569818260494</v>
      </c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</row>
    <row r="24" spans="1:61" outlineLevel="2" x14ac:dyDescent="0.3">
      <c r="D24" s="3">
        <f>SUM(D14:D23)</f>
        <v>909.45</v>
      </c>
      <c r="E24" s="3">
        <f t="shared" ref="E24:N24" si="12">SUM(E14:E23)</f>
        <v>920.62000000000012</v>
      </c>
      <c r="F24" s="3">
        <f t="shared" si="12"/>
        <v>921.36999999999989</v>
      </c>
      <c r="G24" s="3">
        <f t="shared" si="12"/>
        <v>923.8599999999999</v>
      </c>
      <c r="H24" s="3">
        <f t="shared" si="12"/>
        <v>920.79</v>
      </c>
      <c r="I24" s="3">
        <f t="shared" si="12"/>
        <v>930.02999999999986</v>
      </c>
      <c r="J24" s="3">
        <f t="shared" si="12"/>
        <v>918.53</v>
      </c>
      <c r="K24" s="3">
        <f t="shared" si="12"/>
        <v>1001.1099999999999</v>
      </c>
      <c r="L24" s="3">
        <f t="shared" si="12"/>
        <v>943.34</v>
      </c>
      <c r="M24" s="3">
        <f t="shared" si="12"/>
        <v>964.61</v>
      </c>
      <c r="N24" s="3">
        <f t="shared" si="12"/>
        <v>950.72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</row>
    <row r="25" spans="1:61" outlineLevel="2" x14ac:dyDescent="0.3"/>
    <row r="26" spans="1:61" outlineLevel="1" x14ac:dyDescent="0.3">
      <c r="A26" t="s">
        <v>172</v>
      </c>
      <c r="D26">
        <v>2013</v>
      </c>
      <c r="E26">
        <v>2014</v>
      </c>
      <c r="F26">
        <v>2015</v>
      </c>
      <c r="G26">
        <v>2016</v>
      </c>
      <c r="H26">
        <v>2017</v>
      </c>
      <c r="I26">
        <v>2018</v>
      </c>
      <c r="J26">
        <v>2019</v>
      </c>
      <c r="K26">
        <v>2020</v>
      </c>
      <c r="L26">
        <v>2021</v>
      </c>
      <c r="M26">
        <v>2022</v>
      </c>
      <c r="N26">
        <v>2023</v>
      </c>
    </row>
    <row r="27" spans="1:61" outlineLevel="2" x14ac:dyDescent="0.3">
      <c r="B27" t="s">
        <v>69</v>
      </c>
    </row>
    <row r="28" spans="1:61" outlineLevel="2" x14ac:dyDescent="0.3">
      <c r="C28" t="s">
        <v>91</v>
      </c>
      <c r="D28" s="3">
        <f>D$10*Res!C28/(Res!C$28+Res!C$60+Res!C$92+Res!C$124+Res!C$156+Res!C$188+Res!C$220+Res!C$252+Res!C$284+Res!C$316)</f>
        <v>20.862711459301554</v>
      </c>
      <c r="E28" s="3">
        <f>E$10*Res!D28/(Res!D$28+Res!D$60+Res!D$92+Res!D$124+Res!D$156+Res!D$188+Res!D$220+Res!D$252+Res!D$284+Res!D$316)</f>
        <v>21.4602994900923</v>
      </c>
      <c r="F28" s="3">
        <f>F$10*Res!E28/(Res!E$28+Res!E$60+Res!E$92+Res!E$124+Res!E$156+Res!E$188+Res!E$220+Res!E$252+Res!E$284+Res!E$316)</f>
        <v>22.232637577131346</v>
      </c>
      <c r="G28" s="3">
        <f>G$10*Res!F28/(Res!F$28+Res!F$60+Res!F$92+Res!F$124+Res!F$156+Res!F$188+Res!F$220+Res!F$252+Res!F$284+Res!F$316)</f>
        <v>23.16644280710231</v>
      </c>
      <c r="H28" s="3">
        <f>H$10*Res!G28/(Res!G$28+Res!G$60+Res!G$92+Res!G$124+Res!G$156+Res!G$188+Res!G$220+Res!G$252+Res!G$284+Res!G$316)</f>
        <v>23.235292890769319</v>
      </c>
      <c r="I28" s="3">
        <f>I$10*Res!H28/(Res!H$28+Res!H$60+Res!H$92+Res!H$124+Res!H$156+Res!H$188+Res!H$220+Res!H$252+Res!H$284+Res!H$316)</f>
        <v>24.857739110656208</v>
      </c>
      <c r="J28" s="3">
        <f>J$10*Res!I28/(Res!I$28+Res!I$60+Res!I$92+Res!I$124+Res!I$156+Res!I$188+Res!I$220+Res!I$252+Res!I$284+Res!I$316)</f>
        <v>25.330589199767285</v>
      </c>
      <c r="K28" s="3">
        <f>K$10*Res!J28/(Res!J$28+Res!J$60+Res!J$92+Res!J$124+Res!J$156+Res!J$188+Res!J$220+Res!J$252+Res!J$284+Res!J$316)</f>
        <v>28.385164670658686</v>
      </c>
      <c r="L28" s="3">
        <f>L$10*Res!K28/(Res!K$28+Res!K$60+Res!K$92+Res!K$124+Res!K$156+Res!K$188+Res!K$220+Res!K$252+Res!K$284+Res!K$316)</f>
        <v>27.290812182741117</v>
      </c>
      <c r="M28" s="3">
        <f>L28/L$10*M$10</f>
        <v>28.911497461928935</v>
      </c>
      <c r="N28" s="3">
        <f>M28/M$10*N$10</f>
        <v>29.644898477157358</v>
      </c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</row>
    <row r="29" spans="1:61" outlineLevel="2" x14ac:dyDescent="0.3">
      <c r="B29" t="s">
        <v>166</v>
      </c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</row>
    <row r="30" spans="1:61" outlineLevel="2" x14ac:dyDescent="0.3">
      <c r="C30" t="s">
        <v>91</v>
      </c>
      <c r="D30" s="3">
        <f>D$10*Res!C316/(Res!C$28+Res!C$60+Res!C$92+Res!C$124+Res!C$156+Res!C$188+Res!C$220+Res!C$252+Res!C$284+Res!C$316)</f>
        <v>0</v>
      </c>
      <c r="E30" s="3">
        <f>E$10*Res!D316/(Res!D$28+Res!D$60+Res!D$92+Res!D$124+Res!D$156+Res!D$188+Res!D$220+Res!D$252+Res!D$284+Res!D$316)</f>
        <v>0</v>
      </c>
      <c r="F30" s="3">
        <f>F$10*Res!E316/(Res!E$28+Res!E$60+Res!E$92+Res!E$124+Res!E$156+Res!E$188+Res!E$220+Res!E$252+Res!E$284+Res!E$316)</f>
        <v>0</v>
      </c>
      <c r="G30" s="3">
        <f>G$10*Res!F316/(Res!F$28+Res!F$60+Res!F$92+Res!F$124+Res!F$156+Res!F$188+Res!F$220+Res!F$252+Res!F$284+Res!F$316)</f>
        <v>0</v>
      </c>
      <c r="H30" s="3">
        <f>H$10*Res!G316/(Res!G$28+Res!G$60+Res!G$92+Res!G$124+Res!G$156+Res!G$188+Res!G$220+Res!G$252+Res!G$284+Res!G$316)</f>
        <v>0</v>
      </c>
      <c r="I30" s="3">
        <f>I$10*Res!H316/(Res!H$28+Res!H$60+Res!H$92+Res!H$124+Res!H$156+Res!H$188+Res!H$220+Res!H$252+Res!H$284+Res!H$316)</f>
        <v>0</v>
      </c>
      <c r="J30" s="3">
        <f>J$10*Res!I316/(Res!I$28+Res!I$60+Res!I$92+Res!I$124+Res!I$156+Res!I$188+Res!I$220+Res!I$252+Res!I$284+Res!I$316)</f>
        <v>0</v>
      </c>
      <c r="K30" s="3">
        <f>K$10*Res!J316/(Res!J$28+Res!J$60+Res!J$92+Res!J$124+Res!J$156+Res!J$188+Res!J$220+Res!J$252+Res!J$284+Res!J$316)</f>
        <v>0</v>
      </c>
      <c r="L30" s="3">
        <f>L$10*Res!K316/(Res!K$28+Res!K$60+Res!K$92+Res!K$124+Res!K$156+Res!K$188+Res!K$220+Res!K$252+Res!K$284+Res!K$316)</f>
        <v>0</v>
      </c>
      <c r="M30" s="3">
        <f>L30/L$10*M$10</f>
        <v>0</v>
      </c>
      <c r="N30" s="3">
        <f>M30/M$10*N$10</f>
        <v>0</v>
      </c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</row>
    <row r="31" spans="1:61" outlineLevel="2" x14ac:dyDescent="0.3">
      <c r="B31" t="s">
        <v>167</v>
      </c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</row>
    <row r="32" spans="1:61" outlineLevel="2" x14ac:dyDescent="0.3">
      <c r="C32" t="s">
        <v>91</v>
      </c>
      <c r="D32" s="3">
        <f>D$10*Res!C188/(Res!C$28+Res!C$60+Res!C$92+Res!C$124+Res!C$156+Res!C$188+Res!C$220+Res!C$252+Res!C$284+Res!C$316)</f>
        <v>13.578528747842249</v>
      </c>
      <c r="E32" s="3">
        <f>E$10*Res!D188/(Res!D$28+Res!D$60+Res!D$92+Res!D$124+Res!D$156+Res!D$188+Res!D$220+Res!D$252+Res!D$284+Res!D$316)</f>
        <v>13.972672819983218</v>
      </c>
      <c r="F32" s="3">
        <f>F$10*Res!E188/(Res!E$28+Res!E$60+Res!E$92+Res!E$124+Res!E$156+Res!E$188+Res!E$220+Res!E$252+Res!E$284+Res!E$316)</f>
        <v>14.483928346555849</v>
      </c>
      <c r="G32" s="3">
        <f>G$10*Res!F188/(Res!F$28+Res!F$60+Res!F$92+Res!F$124+Res!F$156+Res!F$188+Res!F$220+Res!F$252+Res!F$284+Res!F$316)</f>
        <v>15.089597777509361</v>
      </c>
      <c r="H32" s="3">
        <f>H$10*Res!G188/(Res!G$28+Res!G$60+Res!G$92+Res!G$124+Res!G$156+Res!G$188+Res!G$220+Res!G$252+Res!G$284+Res!G$316)</f>
        <v>15.139106727846967</v>
      </c>
      <c r="I32" s="3">
        <f>I$10*Res!H188/(Res!H$28+Res!H$60+Res!H$92+Res!H$124+Res!H$156+Res!H$188+Res!H$220+Res!H$252+Res!H$284+Res!H$316)</f>
        <v>16.191857159103833</v>
      </c>
      <c r="J32" s="3">
        <f>J$10*Res!I188/(Res!I$28+Res!I$60+Res!I$92+Res!I$124+Res!I$156+Res!I$188+Res!I$220+Res!I$252+Res!I$284+Res!I$316)</f>
        <v>16.502332469455759</v>
      </c>
      <c r="K32" s="3">
        <f>K$10*Res!J188/(Res!J$28+Res!J$60+Res!J$92+Res!J$124+Res!J$156+Res!J$188+Res!J$220+Res!J$252+Res!J$284+Res!J$316)</f>
        <v>18.482155688622758</v>
      </c>
      <c r="L32" s="3">
        <f>L$10*Res!K188/(Res!K$28+Res!K$60+Res!K$92+Res!K$124+Res!K$156+Res!K$188+Res!K$220+Res!K$252+Res!K$284+Res!K$316)</f>
        <v>17.770761421319797</v>
      </c>
      <c r="M32" s="3">
        <f>L32/L$10*M$10</f>
        <v>18.82609137055838</v>
      </c>
      <c r="N32" s="3">
        <f>M32/M$10*N$10</f>
        <v>19.303654822335027</v>
      </c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</row>
    <row r="33" spans="2:61" outlineLevel="2" x14ac:dyDescent="0.3">
      <c r="B33" t="s">
        <v>65</v>
      </c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</row>
    <row r="34" spans="2:61" outlineLevel="2" x14ac:dyDescent="0.3">
      <c r="C34" t="s">
        <v>91</v>
      </c>
      <c r="D34" s="3">
        <f>D$10*Res!C60/(Res!C$28+Res!C$60+Res!C$92+Res!C$124+Res!C$156+Res!C$188+Res!C$220+Res!C$252+Res!C$284+Res!C$316)</f>
        <v>51.420746248838135</v>
      </c>
      <c r="E34" s="3">
        <f>E$10*Res!D60/(Res!D$28+Res!D$60+Res!D$92+Res!D$124+Res!D$156+Res!D$188+Res!D$220+Res!D$252+Res!D$284+Res!D$316)</f>
        <v>52.895640611889242</v>
      </c>
      <c r="F34" s="3">
        <f>F$10*Res!E60/(Res!E$28+Res!E$60+Res!E$92+Res!E$124+Res!E$156+Res!E$188+Res!E$220+Res!E$252+Res!E$284+Res!E$316)</f>
        <v>54.818269109683925</v>
      </c>
      <c r="G34" s="3">
        <f>G$10*Res!F60/(Res!F$28+Res!F$60+Res!F$92+Res!F$124+Res!F$156+Res!F$188+Res!F$220+Res!F$252+Res!F$284+Res!F$316)</f>
        <v>57.114832709264398</v>
      </c>
      <c r="H34" s="3">
        <f>H$10*Res!G60/(Res!G$28+Res!G$60+Res!G$92+Res!G$124+Res!G$156+Res!G$188+Res!G$220+Res!G$252+Res!G$284+Res!G$316)</f>
        <v>57.295110541684039</v>
      </c>
      <c r="I34" s="3">
        <f>I$10*Res!H60/(Res!H$28+Res!H$60+Res!H$92+Res!H$124+Res!H$156+Res!H$188+Res!H$220+Res!H$252+Res!H$284+Res!H$316)</f>
        <v>61.282940975776185</v>
      </c>
      <c r="J34" s="3">
        <f>J$10*Res!I60/(Res!I$28+Res!I$60+Res!I$92+Res!I$124+Res!I$156+Res!I$188+Res!I$220+Res!I$252+Res!I$284+Res!I$316)</f>
        <v>62.448558734860114</v>
      </c>
      <c r="K34" s="3">
        <f>K$10*Res!J60/(Res!J$28+Res!J$60+Res!J$92+Res!J$124+Res!J$156+Res!J$188+Res!J$220+Res!J$252+Res!J$284+Res!J$316)</f>
        <v>69.982994011976061</v>
      </c>
      <c r="L34" s="3">
        <f>L$10*Res!K60/(Res!K$28+Res!K$60+Res!K$92+Res!K$124+Res!K$156+Res!K$188+Res!K$220+Res!K$252+Res!K$284+Res!K$316)</f>
        <v>67.275025380710659</v>
      </c>
      <c r="M34" s="3">
        <f>L34/L$10*M$10</f>
        <v>71.270203045685278</v>
      </c>
      <c r="N34" s="3">
        <f>M34/M$10*N$10</f>
        <v>73.078121827411152</v>
      </c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</row>
    <row r="35" spans="2:61" outlineLevel="2" x14ac:dyDescent="0.3">
      <c r="B35" t="s">
        <v>168</v>
      </c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</row>
    <row r="36" spans="2:61" outlineLevel="2" x14ac:dyDescent="0.3">
      <c r="C36" t="s">
        <v>91</v>
      </c>
      <c r="D36" s="3">
        <f>D$10*Res!C220/(Res!C$28+Res!C$60+Res!C$92+Res!C$124+Res!C$156+Res!C$188+Res!C$220+Res!C$252+Res!C$284+Res!C$316)</f>
        <v>14.796789271013145</v>
      </c>
      <c r="E36" s="3">
        <f>E$10*Res!D220/(Res!D$28+Res!D$60+Res!D$92+Res!D$124+Res!D$156+Res!D$188+Res!D$220+Res!D$252+Res!D$284+Res!D$316)</f>
        <v>15.216380300780999</v>
      </c>
      <c r="F36" s="3">
        <f>F$10*Res!E220/(Res!E$28+Res!E$60+Res!E$92+Res!E$124+Res!E$156+Res!E$188+Res!E$220+Res!E$252+Res!E$284+Res!E$316)</f>
        <v>15.766827225790204</v>
      </c>
      <c r="G36" s="3">
        <f>G$10*Res!F220/(Res!F$28+Res!F$60+Res!F$92+Res!F$124+Res!F$156+Res!F$188+Res!F$220+Res!F$252+Res!F$284+Res!F$316)</f>
        <v>16.435738615774852</v>
      </c>
      <c r="H36" s="3">
        <f>H$10*Res!G220/(Res!G$28+Res!G$60+Res!G$92+Res!G$124+Res!G$156+Res!G$188+Res!G$220+Res!G$252+Res!G$284+Res!G$316)</f>
        <v>16.484241106012753</v>
      </c>
      <c r="I36" s="3">
        <f>I$10*Res!H220/(Res!H$28+Res!H$60+Res!H$92+Res!H$124+Res!H$156+Res!H$188+Res!H$220+Res!H$252+Res!H$284+Res!H$316)</f>
        <v>17.629694074832251</v>
      </c>
      <c r="J36" s="3">
        <f>J$10*Res!I220/(Res!I$28+Res!I$60+Res!I$92+Res!I$124+Res!I$156+Res!I$188+Res!I$220+Res!I$252+Res!I$284+Res!I$316)</f>
        <v>17.975755011371454</v>
      </c>
      <c r="K36" s="3">
        <f>K$10*Res!J220/(Res!J$28+Res!J$60+Res!J$92+Res!J$124+Res!J$156+Res!J$188+Res!J$220+Res!J$252+Res!J$284+Res!J$316)</f>
        <v>20.130494011976047</v>
      </c>
      <c r="L36" s="3">
        <f>L$10*Res!K220/(Res!K$28+Res!K$60+Res!K$92+Res!K$124+Res!K$156+Res!K$188+Res!K$220+Res!K$252+Res!K$284+Res!K$316)</f>
        <v>19.357436548223351</v>
      </c>
      <c r="M36" s="3">
        <f>L36/L$10*M$10</f>
        <v>20.506992385786802</v>
      </c>
      <c r="N36" s="3">
        <f>M36/M$10*N$10</f>
        <v>21.02719543147208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</row>
    <row r="37" spans="2:61" outlineLevel="2" x14ac:dyDescent="0.3">
      <c r="B37" t="s">
        <v>169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</row>
    <row r="38" spans="2:61" outlineLevel="2" x14ac:dyDescent="0.3">
      <c r="C38" t="s">
        <v>91</v>
      </c>
      <c r="D38" s="3">
        <f>D$10*Res!C252/(Res!C$28+Res!C$60+Res!C$92+Res!C$124+Res!C$156+Res!C$188+Res!C$220+Res!C$252+Res!C$284+Res!C$316)</f>
        <v>4.3654335413623686</v>
      </c>
      <c r="E38" s="3">
        <f>E$10*Res!D252/(Res!D$28+Res!D$60+Res!D$92+Res!D$124+Res!D$156+Res!D$188+Res!D$220+Res!D$252+Res!D$284+Res!D$316)</f>
        <v>4.4925760020654488</v>
      </c>
      <c r="F38" s="3">
        <f>F$10*Res!E252/(Res!E$28+Res!E$60+Res!E$92+Res!E$124+Res!E$156+Res!E$188+Res!E$220+Res!E$252+Res!E$284+Res!E$316)</f>
        <v>4.656922931620703</v>
      </c>
      <c r="G38" s="3">
        <f>G$10*Res!F252/(Res!F$28+Res!F$60+Res!F$92+Res!F$124+Res!F$156+Res!F$188+Res!F$220+Res!F$252+Res!F$284+Res!F$316)</f>
        <v>4.8461070177557684</v>
      </c>
      <c r="H38" s="3">
        <f>H$10*Res!G252/(Res!G$28+Res!G$60+Res!G$92+Res!G$124+Res!G$156+Res!G$188+Res!G$220+Res!G$252+Res!G$284+Res!G$316)</f>
        <v>4.8602496871461769</v>
      </c>
      <c r="I38" s="3">
        <f>I$10*Res!H252/(Res!H$28+Res!H$60+Res!H$92+Res!H$124+Res!H$156+Res!H$188+Res!H$220+Res!H$252+Res!H$284+Res!H$316)</f>
        <v>5.2073012623677917</v>
      </c>
      <c r="J38" s="3">
        <f>J$10*Res!I252/(Res!I$28+Res!I$60+Res!I$92+Res!I$124+Res!I$156+Res!I$188+Res!I$220+Res!I$252+Res!I$284+Res!I$316)</f>
        <v>5.3043211508964951</v>
      </c>
      <c r="K38" s="3">
        <f>K$10*Res!J252/(Res!J$28+Res!J$60+Res!J$92+Res!J$124+Res!J$156+Res!J$188+Res!J$220+Res!J$252+Res!J$284+Res!J$316)</f>
        <v>5.9444011976047904</v>
      </c>
      <c r="L38" s="3">
        <f>L$10*Res!K252/(Res!K$28+Res!K$60+Res!K$92+Res!K$124+Res!K$156+Res!K$188+Res!K$220+Res!K$252+Res!K$284+Res!K$316)</f>
        <v>5.7120304568527915</v>
      </c>
      <c r="M38" s="3">
        <f>L38/L$10*M$10</f>
        <v>6.0512436548223354</v>
      </c>
      <c r="N38" s="3">
        <f>M38/M$10*N$10</f>
        <v>6.2047461928934009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</row>
    <row r="39" spans="2:61" outlineLevel="2" x14ac:dyDescent="0.3">
      <c r="B39" t="s">
        <v>170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</row>
    <row r="40" spans="2:61" outlineLevel="2" x14ac:dyDescent="0.3">
      <c r="C40" t="s">
        <v>91</v>
      </c>
      <c r="D40" s="3">
        <f>D$10*Res!C284/(Res!C$28+Res!C$60+Res!C$92+Res!C$124+Res!C$156+Res!C$188+Res!C$220+Res!C$252+Res!C$284+Res!C$316)</f>
        <v>44.390367813039425</v>
      </c>
      <c r="E40" s="3">
        <f>E$10*Res!D284/(Res!D$28+Res!D$60+Res!D$92+Res!D$124+Res!D$156+Res!D$188+Res!D$220+Res!D$252+Res!D$284+Res!D$316)</f>
        <v>45.66183179500419</v>
      </c>
      <c r="F40" s="3">
        <f>F$10*Res!E284/(Res!E$28+Res!E$60+Res!E$92+Res!E$124+Res!E$156+Res!E$188+Res!E$220+Res!E$252+Res!E$284+Res!E$316)</f>
        <v>47.313310666162963</v>
      </c>
      <c r="G40" s="3">
        <f>G$10*Res!F284/(Res!F$28+Res!F$60+Res!F$92+Res!F$124+Res!F$156+Res!F$188+Res!F$220+Res!F$252+Res!F$284+Res!F$316)</f>
        <v>49.294395458388706</v>
      </c>
      <c r="H40" s="3">
        <f>H$10*Res!G284/(Res!G$28+Res!G$60+Res!G$92+Res!G$124+Res!G$156+Res!G$188+Res!G$220+Res!G$252+Res!G$284+Res!G$316)</f>
        <v>49.452723318038259</v>
      </c>
      <c r="I40" s="3">
        <f>I$10*Res!H284/(Res!H$28+Res!H$60+Res!H$92+Res!H$124+Res!H$156+Res!H$188+Res!H$220+Res!H$252+Res!H$284+Res!H$316)</f>
        <v>52.902035710224041</v>
      </c>
      <c r="J40" s="3">
        <f>J$10*Res!I284/(Res!I$28+Res!I$60+Res!I$92+Res!I$124+Res!I$156+Res!I$188+Res!I$220+Res!I$252+Res!I$284+Res!I$316)</f>
        <v>53.914986512931726</v>
      </c>
      <c r="K40" s="3">
        <f>K$10*Res!J284/(Res!J$28+Res!J$60+Res!J$92+Res!J$124+Res!J$156+Res!J$188+Res!J$220+Res!J$252+Res!J$284+Res!J$316)</f>
        <v>60.40446107784431</v>
      </c>
      <c r="L40" s="3">
        <f>L$10*Res!K284/(Res!K$28+Res!K$60+Res!K$92+Res!K$124+Res!K$156+Res!K$188+Res!K$220+Res!K$252+Res!K$284+Res!K$316)</f>
        <v>58.072309644670057</v>
      </c>
      <c r="M40" s="3">
        <f>L40/L$10*M$10</f>
        <v>61.52097715736042</v>
      </c>
      <c r="N40" s="3">
        <f>M40/M$10*N$10</f>
        <v>63.081586294416248</v>
      </c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</row>
    <row r="41" spans="2:61" outlineLevel="2" x14ac:dyDescent="0.3">
      <c r="B41" t="s">
        <v>171</v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</row>
    <row r="42" spans="2:61" outlineLevel="2" x14ac:dyDescent="0.3">
      <c r="C42" t="s">
        <v>91</v>
      </c>
      <c r="D42" s="3">
        <f>D$10*Res!C92/(Res!C$28+Res!C$60+Res!C$92+Res!C$124+Res!C$156+Res!C$188+Res!C$220+Res!C$252+Res!C$284+Res!C$316)</f>
        <v>41.725422918603108</v>
      </c>
      <c r="E42" s="3">
        <f>E$10*Res!D92/(Res!D$28+Res!D$60+Res!D$92+Res!D$124+Res!D$156+Res!D$188+Res!D$220+Res!D$252+Res!D$284+Res!D$316)</f>
        <v>42.9205989801846</v>
      </c>
      <c r="F42" s="3">
        <f>F$10*Res!E92/(Res!E$28+Res!E$60+Res!E$92+Res!E$124+Res!E$156+Res!E$188+Res!E$220+Res!E$252+Res!E$284+Res!E$316)</f>
        <v>44.478104143055049</v>
      </c>
      <c r="G42" s="3">
        <f>G$10*Res!F92/(Res!F$28+Res!F$60+Res!F$92+Res!F$124+Res!F$156+Res!F$188+Res!F$220+Res!F$252+Res!F$284+Res!F$316)</f>
        <v>46.332885614204621</v>
      </c>
      <c r="H42" s="3">
        <f>H$10*Res!G92/(Res!G$28+Res!G$60+Res!G$92+Res!G$124+Res!G$156+Res!G$188+Res!G$220+Res!G$252+Res!G$284+Res!G$316)</f>
        <v>46.483275728502477</v>
      </c>
      <c r="I42" s="3">
        <f>I$10*Res!H92/(Res!H$28+Res!H$60+Res!H$92+Res!H$124+Res!H$156+Res!H$188+Res!H$220+Res!H$252+Res!H$284+Res!H$316)</f>
        <v>49.72843170703969</v>
      </c>
      <c r="J42" s="3">
        <f>J$10*Res!I92/(Res!I$28+Res!I$60+Res!I$92+Res!I$124+Res!I$156+Res!I$188+Res!I$220+Res!I$252+Res!I$284+Res!I$316)</f>
        <v>50.673456920717214</v>
      </c>
      <c r="K42" s="3">
        <f>K$10*Res!J92/(Res!J$28+Res!J$60+Res!J$92+Res!J$124+Res!J$156+Res!J$188+Res!J$220+Res!J$252+Res!J$284+Res!J$316)</f>
        <v>56.770329341317371</v>
      </c>
      <c r="L42" s="3">
        <f>L$10*Res!K92/(Res!K$28+Res!K$60+Res!K$92+Res!K$124+Res!K$156+Res!K$188+Res!K$220+Res!K$252+Res!K$284+Res!K$316)</f>
        <v>54.581624365482234</v>
      </c>
      <c r="M42" s="3">
        <f>L42/L$10*M$10</f>
        <v>57.82299492385787</v>
      </c>
      <c r="N42" s="3">
        <f>M42/M$10*N$10</f>
        <v>59.289796954314717</v>
      </c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</row>
    <row r="43" spans="2:61" outlineLevel="2" x14ac:dyDescent="0.3">
      <c r="B43" t="s">
        <v>75</v>
      </c>
    </row>
    <row r="44" spans="2:61" outlineLevel="2" x14ac:dyDescent="0.3">
      <c r="C44" t="s">
        <v>81</v>
      </c>
      <c r="D44" s="4">
        <f t="shared" ref="D44:N44" si="13">D4</f>
        <v>4.04</v>
      </c>
      <c r="E44" s="4">
        <f t="shared" si="13"/>
        <v>4.53</v>
      </c>
      <c r="F44" s="4">
        <f t="shared" si="13"/>
        <v>5.29</v>
      </c>
      <c r="G44" s="4">
        <f t="shared" si="13"/>
        <v>6.1</v>
      </c>
      <c r="H44" s="4">
        <f t="shared" si="13"/>
        <v>6.42</v>
      </c>
      <c r="I44" s="4">
        <f t="shared" si="13"/>
        <v>7.11</v>
      </c>
      <c r="J44" s="4">
        <f t="shared" si="13"/>
        <v>7.89</v>
      </c>
      <c r="K44" s="4">
        <f t="shared" si="13"/>
        <v>9.01</v>
      </c>
      <c r="L44" s="4">
        <f t="shared" si="13"/>
        <v>10.69</v>
      </c>
      <c r="M44" s="4">
        <f t="shared" si="13"/>
        <v>12.37</v>
      </c>
      <c r="N44" s="4">
        <f t="shared" si="13"/>
        <v>14.049999999999999</v>
      </c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</row>
    <row r="45" spans="2:61" outlineLevel="2" x14ac:dyDescent="0.3">
      <c r="C45" t="s">
        <v>83</v>
      </c>
      <c r="D45" s="4">
        <f t="shared" ref="D45:K49" si="14">(D$66/(D$66+D$65))*D5</f>
        <v>82.961161465552223</v>
      </c>
      <c r="E45" s="4">
        <f t="shared" si="14"/>
        <v>82.552478462641744</v>
      </c>
      <c r="F45" s="4">
        <f t="shared" si="14"/>
        <v>82.17745792324672</v>
      </c>
      <c r="G45" s="4">
        <f t="shared" si="14"/>
        <v>81.733585293669492</v>
      </c>
      <c r="H45" s="4">
        <f t="shared" si="14"/>
        <v>81.325614802767575</v>
      </c>
      <c r="I45" s="4">
        <f t="shared" si="14"/>
        <v>80.921482542118909</v>
      </c>
      <c r="J45" s="4">
        <f t="shared" si="14"/>
        <v>80.447152496456653</v>
      </c>
      <c r="K45" s="4">
        <f t="shared" si="14"/>
        <v>80.314739126384666</v>
      </c>
      <c r="L45" s="4">
        <f>($L$66/($L$66+$L$65))*L5</f>
        <v>79.770897588320622</v>
      </c>
      <c r="M45" s="4">
        <f t="shared" ref="M45:N49" si="15">M5*M$66/(M$66+M$65)</f>
        <v>78.890238361760865</v>
      </c>
      <c r="N45" s="4">
        <f t="shared" si="15"/>
        <v>77.828856580686463</v>
      </c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</row>
    <row r="46" spans="2:61" outlineLevel="2" x14ac:dyDescent="0.3">
      <c r="C46" t="s">
        <v>84</v>
      </c>
      <c r="D46" s="4">
        <f t="shared" si="14"/>
        <v>17.79024906547944</v>
      </c>
      <c r="E46" s="4">
        <f t="shared" si="14"/>
        <v>17.972495311102982</v>
      </c>
      <c r="F46" s="4">
        <f t="shared" si="14"/>
        <v>18.165227406535621</v>
      </c>
      <c r="G46" s="4">
        <f t="shared" si="14"/>
        <v>18.340243529635071</v>
      </c>
      <c r="H46" s="4">
        <f t="shared" si="14"/>
        <v>18.523209446146669</v>
      </c>
      <c r="I46" s="4">
        <f t="shared" si="14"/>
        <v>18.707842741679304</v>
      </c>
      <c r="J46" s="4">
        <f t="shared" si="14"/>
        <v>18.875254138095467</v>
      </c>
      <c r="K46" s="4">
        <f t="shared" si="14"/>
        <v>19.12864464024474</v>
      </c>
      <c r="L46" s="4">
        <f>($L$66/($L$66+$L$65))*L6</f>
        <v>19.260820353540669</v>
      </c>
      <c r="M46" s="4">
        <f t="shared" si="15"/>
        <v>19.309164214118912</v>
      </c>
      <c r="N46" s="4">
        <f t="shared" si="15"/>
        <v>19.309014385082293</v>
      </c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</row>
    <row r="47" spans="2:61" outlineLevel="2" x14ac:dyDescent="0.3">
      <c r="C47" t="s">
        <v>85</v>
      </c>
      <c r="D47" s="4">
        <f t="shared" si="14"/>
        <v>5.1275717865793045</v>
      </c>
      <c r="E47" s="4">
        <f t="shared" si="14"/>
        <v>5.0999986694463875</v>
      </c>
      <c r="F47" s="4">
        <f t="shared" si="14"/>
        <v>5.0796608650246258</v>
      </c>
      <c r="G47" s="4">
        <f t="shared" si="14"/>
        <v>5.0500670569605841</v>
      </c>
      <c r="H47" s="4">
        <f t="shared" si="14"/>
        <v>5.0276925625861724</v>
      </c>
      <c r="I47" s="4">
        <f t="shared" si="14"/>
        <v>5.000091605420101</v>
      </c>
      <c r="J47" s="4">
        <f t="shared" si="14"/>
        <v>4.9736144770974162</v>
      </c>
      <c r="K47" s="4">
        <f t="shared" si="14"/>
        <v>4.9632703954507384</v>
      </c>
      <c r="L47" s="4">
        <f>($L$66/($L$66+$L$65))*L7</f>
        <v>4.9302099866539706</v>
      </c>
      <c r="M47" s="4">
        <f t="shared" si="15"/>
        <v>4.8763274420122835</v>
      </c>
      <c r="N47" s="4">
        <f t="shared" si="15"/>
        <v>4.8112652404103127</v>
      </c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</row>
    <row r="48" spans="2:61" outlineLevel="2" x14ac:dyDescent="0.3">
      <c r="C48" t="s">
        <v>87</v>
      </c>
      <c r="D48" s="4">
        <f t="shared" si="14"/>
        <v>64.240899379786342</v>
      </c>
      <c r="E48" s="4">
        <f t="shared" si="14"/>
        <v>64.277483230458856</v>
      </c>
      <c r="F48" s="4">
        <f t="shared" si="14"/>
        <v>63.374459211648926</v>
      </c>
      <c r="G48" s="4">
        <f t="shared" si="14"/>
        <v>61.88582174653579</v>
      </c>
      <c r="H48" s="4">
        <f t="shared" si="14"/>
        <v>61.614859873165699</v>
      </c>
      <c r="I48" s="4">
        <f t="shared" si="14"/>
        <v>61.613628807789183</v>
      </c>
      <c r="J48" s="4">
        <f t="shared" si="14"/>
        <v>57.714911541365488</v>
      </c>
      <c r="K48" s="4">
        <f t="shared" si="14"/>
        <v>72.579056075697309</v>
      </c>
      <c r="L48" s="4">
        <f>($L$66/($L$66+$L$65))*L8</f>
        <v>59.777546034937345</v>
      </c>
      <c r="M48" s="4">
        <f t="shared" si="15"/>
        <v>61.321555581883601</v>
      </c>
      <c r="N48" s="4">
        <f t="shared" si="15"/>
        <v>55.238539623667897</v>
      </c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</row>
    <row r="49" spans="1:61" outlineLevel="2" x14ac:dyDescent="0.3">
      <c r="C49" t="s">
        <v>89</v>
      </c>
      <c r="D49" s="4">
        <f t="shared" si="14"/>
        <v>8.4501183026026556</v>
      </c>
      <c r="E49" s="4">
        <f t="shared" si="14"/>
        <v>9.9649974002025985</v>
      </c>
      <c r="F49" s="4">
        <f t="shared" si="14"/>
        <v>9.3614823327361751</v>
      </c>
      <c r="G49" s="4">
        <f t="shared" si="14"/>
        <v>9.3626243209492017</v>
      </c>
      <c r="H49" s="4">
        <f t="shared" si="14"/>
        <v>8.8703397374717756</v>
      </c>
      <c r="I49" s="4">
        <f t="shared" si="14"/>
        <v>7.5401381409735118</v>
      </c>
      <c r="J49" s="4">
        <f t="shared" si="14"/>
        <v>7.4791570790706494</v>
      </c>
      <c r="K49" s="4">
        <f t="shared" si="14"/>
        <v>6.5048922607043762</v>
      </c>
      <c r="L49" s="4">
        <f>($L$66/($L$66+$L$65))*L9</f>
        <v>6.9152945350329027</v>
      </c>
      <c r="M49" s="4">
        <f t="shared" si="15"/>
        <v>6.2567948848630124</v>
      </c>
      <c r="N49" s="4">
        <f t="shared" si="15"/>
        <v>6.3953423441036881</v>
      </c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</row>
    <row r="50" spans="1:61" outlineLevel="2" x14ac:dyDescent="0.3">
      <c r="C50" t="s">
        <v>82</v>
      </c>
      <c r="D50" s="4">
        <f>SUM(D45:D47)</f>
        <v>105.87898231761098</v>
      </c>
      <c r="E50" s="4">
        <f t="shared" ref="E50:N50" si="16">SUM(E45:E47)</f>
        <v>105.62497244319113</v>
      </c>
      <c r="F50" s="4">
        <f t="shared" si="16"/>
        <v>105.42234619480696</v>
      </c>
      <c r="G50" s="4">
        <f t="shared" si="16"/>
        <v>105.12389588026515</v>
      </c>
      <c r="H50" s="4">
        <f t="shared" si="16"/>
        <v>104.87651681150041</v>
      </c>
      <c r="I50" s="4">
        <f t="shared" si="16"/>
        <v>104.62941688921831</v>
      </c>
      <c r="J50" s="4">
        <f t="shared" si="16"/>
        <v>104.29602111164954</v>
      </c>
      <c r="K50" s="4">
        <f t="shared" si="16"/>
        <v>104.40665416208014</v>
      </c>
      <c r="L50" s="4">
        <f t="shared" si="16"/>
        <v>103.96192792851525</v>
      </c>
      <c r="M50" s="4">
        <f t="shared" si="16"/>
        <v>103.07573001789206</v>
      </c>
      <c r="N50" s="4">
        <f t="shared" si="16"/>
        <v>101.94913620617906</v>
      </c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</row>
    <row r="51" spans="1:61" outlineLevel="2" x14ac:dyDescent="0.3">
      <c r="B51" t="s">
        <v>62</v>
      </c>
    </row>
    <row r="52" spans="1:61" outlineLevel="2" x14ac:dyDescent="0.3">
      <c r="C52" t="s">
        <v>83</v>
      </c>
      <c r="D52" s="4">
        <f t="shared" ref="D52:L52" si="17">(D$65/(D$66+D$65))*D5</f>
        <v>248.87883853444779</v>
      </c>
      <c r="E52" s="4">
        <f t="shared" si="17"/>
        <v>247.65752153735826</v>
      </c>
      <c r="F52" s="4">
        <f t="shared" si="17"/>
        <v>246.39254207675324</v>
      </c>
      <c r="G52" s="4">
        <f t="shared" si="17"/>
        <v>245.1964147063305</v>
      </c>
      <c r="H52" s="4">
        <f t="shared" si="17"/>
        <v>243.96438519723242</v>
      </c>
      <c r="I52" s="4">
        <f t="shared" si="17"/>
        <v>242.75851745788106</v>
      </c>
      <c r="J52" s="4">
        <f t="shared" si="17"/>
        <v>241.59284750354337</v>
      </c>
      <c r="K52" s="4">
        <f t="shared" si="17"/>
        <v>240.08526087361528</v>
      </c>
      <c r="L52" s="4">
        <f t="shared" si="17"/>
        <v>239.2991024116794</v>
      </c>
      <c r="M52" s="4">
        <f t="shared" ref="M52:N56" si="18">M5*M$65/(M$66+M$65)</f>
        <v>238.84976163823916</v>
      </c>
      <c r="N52" s="4">
        <f t="shared" si="18"/>
        <v>238.58114341931358</v>
      </c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</row>
    <row r="53" spans="1:61" outlineLevel="2" x14ac:dyDescent="0.3">
      <c r="C53" t="s">
        <v>84</v>
      </c>
      <c r="D53" s="4">
        <f t="shared" ref="D53:L53" si="19">(D$65/(D$66+D$65))*D6</f>
        <v>53.369750934520567</v>
      </c>
      <c r="E53" s="4">
        <f t="shared" si="19"/>
        <v>53.917504688897026</v>
      </c>
      <c r="F53" s="4">
        <f t="shared" si="19"/>
        <v>54.464772593464367</v>
      </c>
      <c r="G53" s="4">
        <f t="shared" si="19"/>
        <v>55.019756470364925</v>
      </c>
      <c r="H53" s="4">
        <f t="shared" si="19"/>
        <v>55.566790553853338</v>
      </c>
      <c r="I53" s="4">
        <f t="shared" si="19"/>
        <v>56.122157258320684</v>
      </c>
      <c r="J53" s="4">
        <f t="shared" si="19"/>
        <v>56.684745861904538</v>
      </c>
      <c r="K53" s="4">
        <f t="shared" si="19"/>
        <v>57.181355359755258</v>
      </c>
      <c r="L53" s="4">
        <f t="shared" si="19"/>
        <v>57.77917964645934</v>
      </c>
      <c r="M53" s="4">
        <f t="shared" si="18"/>
        <v>58.460835785881088</v>
      </c>
      <c r="N53" s="4">
        <f t="shared" si="18"/>
        <v>59.190985614917729</v>
      </c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</row>
    <row r="54" spans="1:61" outlineLevel="2" x14ac:dyDescent="0.3">
      <c r="C54" t="s">
        <v>85</v>
      </c>
      <c r="D54" s="4">
        <f t="shared" ref="D54:L54" si="20">(D$65/(D$66+D$65))*D7</f>
        <v>15.382428213420699</v>
      </c>
      <c r="E54" s="4">
        <f t="shared" si="20"/>
        <v>15.300001330553613</v>
      </c>
      <c r="F54" s="4">
        <f t="shared" si="20"/>
        <v>15.230339134975376</v>
      </c>
      <c r="G54" s="4">
        <f t="shared" si="20"/>
        <v>15.149932943039413</v>
      </c>
      <c r="H54" s="4">
        <f t="shared" si="20"/>
        <v>15.082307437413828</v>
      </c>
      <c r="I54" s="4">
        <f t="shared" si="20"/>
        <v>14.999908394579897</v>
      </c>
      <c r="J54" s="4">
        <f t="shared" si="20"/>
        <v>14.936385522902585</v>
      </c>
      <c r="K54" s="4">
        <f t="shared" si="20"/>
        <v>14.83672960454926</v>
      </c>
      <c r="L54" s="4">
        <f t="shared" si="20"/>
        <v>14.789790013346028</v>
      </c>
      <c r="M54" s="4">
        <f t="shared" si="18"/>
        <v>14.763672557987713</v>
      </c>
      <c r="N54" s="4">
        <f t="shared" si="18"/>
        <v>14.748734759589682</v>
      </c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</row>
    <row r="55" spans="1:61" outlineLevel="2" x14ac:dyDescent="0.3">
      <c r="C55" t="s">
        <v>87</v>
      </c>
      <c r="D55" s="4">
        <f t="shared" ref="D55:L55" si="21">(D$65/(D$66+D$65))*D8</f>
        <v>192.71910062021365</v>
      </c>
      <c r="E55" s="4">
        <f t="shared" si="21"/>
        <v>192.83251676954117</v>
      </c>
      <c r="F55" s="4">
        <f t="shared" si="21"/>
        <v>190.01554078835105</v>
      </c>
      <c r="G55" s="4">
        <f t="shared" si="21"/>
        <v>185.65417825346418</v>
      </c>
      <c r="H55" s="4">
        <f t="shared" si="21"/>
        <v>184.83514012683429</v>
      </c>
      <c r="I55" s="4">
        <f t="shared" si="21"/>
        <v>184.83637119221078</v>
      </c>
      <c r="J55" s="4">
        <f t="shared" si="21"/>
        <v>173.3250884586345</v>
      </c>
      <c r="K55" s="4">
        <f t="shared" si="21"/>
        <v>216.96094392430268</v>
      </c>
      <c r="L55" s="4">
        <f t="shared" si="21"/>
        <v>179.32245396506266</v>
      </c>
      <c r="M55" s="4">
        <f t="shared" si="18"/>
        <v>185.65844441811637</v>
      </c>
      <c r="N55" s="4">
        <f t="shared" si="18"/>
        <v>169.3314603763321</v>
      </c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</row>
    <row r="56" spans="1:61" outlineLevel="2" x14ac:dyDescent="0.3">
      <c r="C56" t="s">
        <v>89</v>
      </c>
      <c r="D56" s="4">
        <f t="shared" ref="D56:L56" si="22">(D$65/(D$66+D$65))*D9</f>
        <v>25.349881697397343</v>
      </c>
      <c r="E56" s="4">
        <f t="shared" si="22"/>
        <v>29.895002599797404</v>
      </c>
      <c r="F56" s="4">
        <f t="shared" si="22"/>
        <v>28.068517667263823</v>
      </c>
      <c r="G56" s="4">
        <f t="shared" si="22"/>
        <v>28.087375679050798</v>
      </c>
      <c r="H56" s="4">
        <f t="shared" si="22"/>
        <v>26.609660262528223</v>
      </c>
      <c r="I56" s="4">
        <f t="shared" si="22"/>
        <v>22.619861859026486</v>
      </c>
      <c r="J56" s="4">
        <f t="shared" si="22"/>
        <v>22.460842920929352</v>
      </c>
      <c r="K56" s="4">
        <f t="shared" si="22"/>
        <v>19.445107739295622</v>
      </c>
      <c r="L56" s="4">
        <f t="shared" si="22"/>
        <v>20.744705464967097</v>
      </c>
      <c r="M56" s="4">
        <f t="shared" si="18"/>
        <v>18.943205115136987</v>
      </c>
      <c r="N56" s="4">
        <f t="shared" si="18"/>
        <v>19.604657655896311</v>
      </c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</row>
    <row r="57" spans="1:61" outlineLevel="2" x14ac:dyDescent="0.3">
      <c r="C57" t="s">
        <v>82</v>
      </c>
      <c r="D57" s="4">
        <f>SUM(D52:D54)</f>
        <v>317.63101768238909</v>
      </c>
      <c r="E57" s="4">
        <f t="shared" ref="E57:N57" si="23">SUM(E52:E54)</f>
        <v>316.87502755680896</v>
      </c>
      <c r="F57" s="4">
        <f t="shared" si="23"/>
        <v>316.08765380519299</v>
      </c>
      <c r="G57" s="4">
        <f t="shared" si="23"/>
        <v>315.36610411973481</v>
      </c>
      <c r="H57" s="4">
        <f t="shared" si="23"/>
        <v>314.61348318849957</v>
      </c>
      <c r="I57" s="4">
        <f t="shared" si="23"/>
        <v>313.88058311078163</v>
      </c>
      <c r="J57" s="4">
        <f t="shared" si="23"/>
        <v>313.21397888835048</v>
      </c>
      <c r="K57" s="4">
        <f t="shared" si="23"/>
        <v>312.10334583791979</v>
      </c>
      <c r="L57" s="4">
        <f t="shared" si="23"/>
        <v>311.86807207148473</v>
      </c>
      <c r="M57" s="4">
        <f t="shared" si="23"/>
        <v>312.07426998210798</v>
      </c>
      <c r="N57" s="4">
        <f t="shared" si="23"/>
        <v>312.52086379382098</v>
      </c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</row>
    <row r="58" spans="1:61" outlineLevel="2" x14ac:dyDescent="0.3">
      <c r="B58" t="s">
        <v>173</v>
      </c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</row>
    <row r="59" spans="1:61" outlineLevel="2" x14ac:dyDescent="0.3">
      <c r="A59" s="5"/>
      <c r="C59" t="s">
        <v>91</v>
      </c>
      <c r="D59" s="4">
        <f>D42+D40+D38+D36+D32+D30</f>
        <v>118.85654229186028</v>
      </c>
      <c r="E59" s="4">
        <f t="shared" ref="E59:N59" si="24">E42+E40+E38+E36+E32+E30</f>
        <v>122.26405989801844</v>
      </c>
      <c r="F59" s="4">
        <f t="shared" si="24"/>
        <v>126.69909331318476</v>
      </c>
      <c r="G59" s="4">
        <f t="shared" si="24"/>
        <v>131.99872448363331</v>
      </c>
      <c r="H59" s="4">
        <f t="shared" si="24"/>
        <v>132.41959656754665</v>
      </c>
      <c r="I59" s="4">
        <f t="shared" si="24"/>
        <v>141.65931991356763</v>
      </c>
      <c r="J59" s="4">
        <f t="shared" si="24"/>
        <v>144.37085206537265</v>
      </c>
      <c r="K59" s="4">
        <f t="shared" si="24"/>
        <v>161.73184131736528</v>
      </c>
      <c r="L59" s="4">
        <f t="shared" si="24"/>
        <v>155.49416243654824</v>
      </c>
      <c r="M59" s="4">
        <f t="shared" si="24"/>
        <v>164.72829949238579</v>
      </c>
      <c r="N59" s="4">
        <f t="shared" si="24"/>
        <v>168.90697969543149</v>
      </c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</row>
    <row r="60" spans="1:61" outlineLevel="2" x14ac:dyDescent="0.3">
      <c r="A60" s="5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</row>
    <row r="61" spans="1:61" outlineLevel="2" x14ac:dyDescent="0.3">
      <c r="A61" s="5"/>
      <c r="B61" t="s">
        <v>75</v>
      </c>
      <c r="D61">
        <f>SUM(Res!C99:C125)</f>
        <v>182.60999999999996</v>
      </c>
      <c r="E61">
        <f>SUM(Res!D99:D125)</f>
        <v>184.4</v>
      </c>
      <c r="F61">
        <f>SUM(Res!E99:E125)</f>
        <v>180.35000000000002</v>
      </c>
      <c r="G61">
        <f>SUM(Res!F99:F125)</f>
        <v>182.07999999999998</v>
      </c>
      <c r="H61">
        <f>SUM(Res!G99:G125)</f>
        <v>181.34</v>
      </c>
      <c r="I61">
        <f>SUM(Res!H99:H125)</f>
        <v>180.87</v>
      </c>
      <c r="J61">
        <f>SUM(Res!I99:I125)</f>
        <v>181.44000000000003</v>
      </c>
      <c r="K61">
        <f>SUM(Res!J99:J125)</f>
        <v>179.67000000000002</v>
      </c>
      <c r="L61">
        <f>SUM(Res!K99:K125)</f>
        <v>181.35</v>
      </c>
    </row>
    <row r="62" spans="1:61" outlineLevel="2" x14ac:dyDescent="0.3">
      <c r="A62" s="5"/>
      <c r="B62" t="s">
        <v>62</v>
      </c>
      <c r="D62">
        <f>SUM(Res!C131:C157)</f>
        <v>535.70000000000005</v>
      </c>
      <c r="E62">
        <f>SUM(Res!D131:D157)</f>
        <v>539.61</v>
      </c>
      <c r="F62">
        <f>SUM(Res!E131:E157)</f>
        <v>525.15</v>
      </c>
      <c r="G62">
        <f>SUM(Res!F131:F157)</f>
        <v>527.96999999999991</v>
      </c>
      <c r="H62">
        <f>SUM(Res!G131:G157)</f>
        <v>524.78</v>
      </c>
      <c r="I62">
        <f>SUM(Res!H131:H157)</f>
        <v>521.27</v>
      </c>
      <c r="J62">
        <f>SUM(Res!I131:I157)</f>
        <v>520.65</v>
      </c>
      <c r="K62">
        <f>SUM(Res!J131:J157)</f>
        <v>511.95000000000005</v>
      </c>
      <c r="L62">
        <f>SUM(Res!K131:K157)</f>
        <v>511.95000000000005</v>
      </c>
    </row>
    <row r="63" spans="1:61" outlineLevel="2" x14ac:dyDescent="0.3">
      <c r="A63" s="5"/>
      <c r="D63" s="3">
        <f t="shared" ref="D63:N63" si="25">D4+D5+D6+D7+D8+D9</f>
        <v>718.31</v>
      </c>
      <c r="E63" s="3">
        <f t="shared" si="25"/>
        <v>723.99999999999989</v>
      </c>
      <c r="F63" s="3">
        <f t="shared" si="25"/>
        <v>717.62</v>
      </c>
      <c r="G63" s="3">
        <f t="shared" si="25"/>
        <v>711.58</v>
      </c>
      <c r="H63" s="3">
        <f t="shared" si="25"/>
        <v>707.83999999999992</v>
      </c>
      <c r="I63" s="3">
        <f t="shared" si="25"/>
        <v>702.2299999999999</v>
      </c>
      <c r="J63" s="3">
        <f t="shared" si="25"/>
        <v>686.38000000000011</v>
      </c>
      <c r="K63" s="3">
        <f t="shared" si="25"/>
        <v>741.01</v>
      </c>
      <c r="L63" s="3">
        <f t="shared" si="25"/>
        <v>693.28</v>
      </c>
      <c r="M63" s="3">
        <f t="shared" si="25"/>
        <v>699.7</v>
      </c>
      <c r="N63" s="3">
        <f t="shared" si="25"/>
        <v>679.09</v>
      </c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</row>
    <row r="64" spans="1:61" outlineLevel="2" x14ac:dyDescent="0.3">
      <c r="A64" s="5"/>
      <c r="B64" t="s">
        <v>75</v>
      </c>
      <c r="D64" s="3">
        <f t="shared" ref="D64:K65" si="26">D61/(D$61+D$62)*D$63</f>
        <v>182.60999999999999</v>
      </c>
      <c r="E64" s="3">
        <f t="shared" si="26"/>
        <v>184.39745307385255</v>
      </c>
      <c r="F64" s="3">
        <f t="shared" si="26"/>
        <v>183.4482877391921</v>
      </c>
      <c r="G64" s="3">
        <f t="shared" si="26"/>
        <v>182.47234194775015</v>
      </c>
      <c r="H64" s="3">
        <f t="shared" si="26"/>
        <v>181.78171642213786</v>
      </c>
      <c r="I64" s="3">
        <f t="shared" si="26"/>
        <v>180.89318383798101</v>
      </c>
      <c r="J64" s="3">
        <f t="shared" si="26"/>
        <v>177.38008973208568</v>
      </c>
      <c r="K64" s="3">
        <f t="shared" si="26"/>
        <v>192.50060249848181</v>
      </c>
      <c r="L64" s="3">
        <f>$L61/($L$61+$L$62)*L$63</f>
        <v>181.34476849848548</v>
      </c>
      <c r="M64" s="3">
        <f t="shared" ref="M64:N65" si="27">$L61/($L$61+$L$62)*M$63</f>
        <v>183.02408048463869</v>
      </c>
      <c r="N64" s="3">
        <f t="shared" si="27"/>
        <v>177.63301817395066</v>
      </c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</row>
    <row r="65" spans="1:61" outlineLevel="2" x14ac:dyDescent="0.3">
      <c r="B65" t="s">
        <v>62</v>
      </c>
      <c r="D65" s="3">
        <f t="shared" si="26"/>
        <v>535.70000000000005</v>
      </c>
      <c r="E65" s="3">
        <f t="shared" si="26"/>
        <v>539.6025469261474</v>
      </c>
      <c r="F65" s="3">
        <f t="shared" si="26"/>
        <v>534.17171226080791</v>
      </c>
      <c r="G65" s="3">
        <f t="shared" si="26"/>
        <v>529.1076580522498</v>
      </c>
      <c r="H65" s="3">
        <f t="shared" si="26"/>
        <v>526.05828357786208</v>
      </c>
      <c r="I65" s="3">
        <f t="shared" si="26"/>
        <v>521.33681616201886</v>
      </c>
      <c r="J65" s="3">
        <f t="shared" si="26"/>
        <v>508.9999102679144</v>
      </c>
      <c r="K65" s="3">
        <f t="shared" si="26"/>
        <v>548.50939750151815</v>
      </c>
      <c r="L65" s="3">
        <f>$L62/($L$61+$L$62)*L$63</f>
        <v>511.93523150151447</v>
      </c>
      <c r="M65" s="3">
        <f t="shared" si="27"/>
        <v>516.67591951536133</v>
      </c>
      <c r="N65" s="3">
        <f t="shared" si="27"/>
        <v>501.45698182604934</v>
      </c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</row>
    <row r="66" spans="1:61" outlineLevel="2" x14ac:dyDescent="0.3">
      <c r="B66" t="s">
        <v>174</v>
      </c>
      <c r="D66" s="3">
        <f t="shared" ref="D66:N66" si="28">D64-D4</f>
        <v>178.57</v>
      </c>
      <c r="E66" s="3">
        <f t="shared" si="28"/>
        <v>179.86745307385254</v>
      </c>
      <c r="F66" s="3">
        <f t="shared" si="28"/>
        <v>178.1582877391921</v>
      </c>
      <c r="G66" s="3">
        <f t="shared" si="28"/>
        <v>176.37234194775016</v>
      </c>
      <c r="H66" s="3">
        <f t="shared" si="28"/>
        <v>175.36171642213787</v>
      </c>
      <c r="I66" s="3">
        <f t="shared" si="28"/>
        <v>173.783183837981</v>
      </c>
      <c r="J66" s="3">
        <f t="shared" si="28"/>
        <v>169.49008973208569</v>
      </c>
      <c r="K66" s="3">
        <f t="shared" si="28"/>
        <v>183.49060249848182</v>
      </c>
      <c r="L66" s="3">
        <f t="shared" si="28"/>
        <v>170.65476849848548</v>
      </c>
      <c r="M66" s="3">
        <f t="shared" si="28"/>
        <v>170.65408048463868</v>
      </c>
      <c r="N66" s="3">
        <f t="shared" si="28"/>
        <v>163.58301817395065</v>
      </c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</row>
    <row r="67" spans="1:61" outlineLevel="2" x14ac:dyDescent="0.3"/>
    <row r="68" spans="1:61" x14ac:dyDescent="0.3">
      <c r="A68" t="s">
        <v>175</v>
      </c>
    </row>
    <row r="69" spans="1:61" outlineLevel="1" collapsed="1" x14ac:dyDescent="0.3">
      <c r="A69" t="s">
        <v>176</v>
      </c>
      <c r="D69">
        <v>2013</v>
      </c>
      <c r="E69">
        <v>2014</v>
      </c>
      <c r="F69">
        <v>2015</v>
      </c>
      <c r="G69">
        <v>2016</v>
      </c>
      <c r="H69">
        <v>2017</v>
      </c>
      <c r="I69">
        <v>2018</v>
      </c>
      <c r="J69">
        <v>2019</v>
      </c>
      <c r="K69">
        <v>2020</v>
      </c>
      <c r="L69">
        <v>2021</v>
      </c>
      <c r="M69">
        <v>2022</v>
      </c>
      <c r="N69">
        <v>2023</v>
      </c>
      <c r="O69">
        <v>2024</v>
      </c>
      <c r="P69">
        <v>2025</v>
      </c>
      <c r="Q69">
        <v>2026</v>
      </c>
      <c r="R69">
        <v>2027</v>
      </c>
      <c r="S69">
        <v>2028</v>
      </c>
      <c r="T69">
        <v>2029</v>
      </c>
      <c r="U69">
        <v>2030</v>
      </c>
      <c r="V69">
        <v>2031</v>
      </c>
      <c r="W69">
        <v>2032</v>
      </c>
      <c r="X69">
        <v>2033</v>
      </c>
      <c r="Y69">
        <v>2034</v>
      </c>
      <c r="Z69">
        <v>2035</v>
      </c>
      <c r="AA69">
        <v>2036</v>
      </c>
      <c r="AB69">
        <v>2037</v>
      </c>
      <c r="AC69">
        <v>2038</v>
      </c>
      <c r="AD69">
        <v>2039</v>
      </c>
      <c r="AE69">
        <v>2040</v>
      </c>
      <c r="AF69">
        <v>2041</v>
      </c>
      <c r="AG69">
        <v>2042</v>
      </c>
      <c r="AH69">
        <v>2043</v>
      </c>
      <c r="AI69">
        <v>2044</v>
      </c>
      <c r="AJ69">
        <v>2045</v>
      </c>
      <c r="AK69">
        <v>2046</v>
      </c>
      <c r="AL69">
        <v>2047</v>
      </c>
      <c r="AM69">
        <v>2048</v>
      </c>
      <c r="AN69">
        <v>2049</v>
      </c>
      <c r="AO69">
        <v>2050</v>
      </c>
      <c r="AP69">
        <v>2051</v>
      </c>
      <c r="AQ69">
        <v>2052</v>
      </c>
      <c r="AR69">
        <v>2053</v>
      </c>
      <c r="AS69">
        <v>2054</v>
      </c>
      <c r="AT69">
        <v>2055</v>
      </c>
      <c r="AU69">
        <v>2056</v>
      </c>
      <c r="AV69">
        <v>2057</v>
      </c>
      <c r="AW69">
        <v>2058</v>
      </c>
      <c r="AX69">
        <v>2059</v>
      </c>
      <c r="AY69">
        <v>2060</v>
      </c>
      <c r="AZ69">
        <v>2061</v>
      </c>
      <c r="BA69">
        <v>2062</v>
      </c>
      <c r="BB69">
        <v>2063</v>
      </c>
      <c r="BC69">
        <v>2064</v>
      </c>
      <c r="BD69">
        <v>2065</v>
      </c>
      <c r="BE69">
        <v>2066</v>
      </c>
      <c r="BF69">
        <v>2067</v>
      </c>
      <c r="BG69">
        <v>2068</v>
      </c>
      <c r="BH69">
        <v>2069</v>
      </c>
      <c r="BI69">
        <v>2070</v>
      </c>
    </row>
    <row r="70" spans="1:61" hidden="1" outlineLevel="2" x14ac:dyDescent="0.3">
      <c r="C70" t="s">
        <v>177</v>
      </c>
      <c r="D70" s="3">
        <f>D11</f>
        <v>909.44999999999993</v>
      </c>
      <c r="E70" s="3">
        <f t="shared" ref="E70:N70" si="29">E11</f>
        <v>920.61999999999989</v>
      </c>
      <c r="F70" s="3">
        <f t="shared" si="29"/>
        <v>921.37</v>
      </c>
      <c r="G70" s="3">
        <f t="shared" si="29"/>
        <v>923.86</v>
      </c>
      <c r="H70" s="3">
        <f t="shared" si="29"/>
        <v>920.79</v>
      </c>
      <c r="I70" s="3">
        <f t="shared" si="29"/>
        <v>930.03</v>
      </c>
      <c r="J70" s="3">
        <f t="shared" si="29"/>
        <v>918.53000000000009</v>
      </c>
      <c r="K70" s="3">
        <f t="shared" si="29"/>
        <v>1001.11</v>
      </c>
      <c r="L70" s="3">
        <f t="shared" si="29"/>
        <v>943.33999999999992</v>
      </c>
      <c r="M70" s="3">
        <f t="shared" si="29"/>
        <v>964.61000000000013</v>
      </c>
      <c r="N70" s="3">
        <f t="shared" si="29"/>
        <v>950.72</v>
      </c>
      <c r="O70" s="3">
        <f>N70*(1+AVERAGE($E72:$N72))</f>
        <v>955.52042160152678</v>
      </c>
      <c r="P70" s="3">
        <f t="shared" ref="P70:BI70" si="30">O70*(1+AVERAGE($E72:$N72))</f>
        <v>960.34508172496578</v>
      </c>
      <c r="Q70" s="3">
        <f t="shared" si="30"/>
        <v>965.19410275663915</v>
      </c>
      <c r="R70" s="3">
        <f t="shared" si="30"/>
        <v>970.06760770082803</v>
      </c>
      <c r="S70" s="3">
        <f t="shared" si="30"/>
        <v>974.9657201828926</v>
      </c>
      <c r="T70" s="3">
        <f t="shared" si="30"/>
        <v>979.88856445240833</v>
      </c>
      <c r="U70" s="3">
        <f t="shared" si="30"/>
        <v>984.83626538631779</v>
      </c>
      <c r="V70" s="3">
        <f t="shared" si="30"/>
        <v>989.80894849209801</v>
      </c>
      <c r="W70" s="3">
        <f t="shared" si="30"/>
        <v>994.80673991094477</v>
      </c>
      <c r="X70" s="3">
        <f t="shared" si="30"/>
        <v>999.82976642097185</v>
      </c>
      <c r="Y70" s="3">
        <f t="shared" si="30"/>
        <v>1004.8781554404273</v>
      </c>
      <c r="Z70" s="3">
        <f t="shared" si="30"/>
        <v>1009.9520350309257</v>
      </c>
      <c r="AA70" s="3">
        <f t="shared" si="30"/>
        <v>1015.0515339006963</v>
      </c>
      <c r="AB70" s="3">
        <f t="shared" si="30"/>
        <v>1020.1767814078486</v>
      </c>
      <c r="AC70" s="3">
        <f t="shared" si="30"/>
        <v>1025.3279075636528</v>
      </c>
      <c r="AD70" s="3">
        <f t="shared" si="30"/>
        <v>1030.505043035839</v>
      </c>
      <c r="AE70" s="3">
        <f t="shared" si="30"/>
        <v>1035.7083191519105</v>
      </c>
      <c r="AF70" s="3">
        <f t="shared" si="30"/>
        <v>1040.9378679024762</v>
      </c>
      <c r="AG70" s="3">
        <f t="shared" si="30"/>
        <v>1046.1938219445983</v>
      </c>
      <c r="AH70" s="3">
        <f t="shared" si="30"/>
        <v>1051.4763146051573</v>
      </c>
      <c r="AI70" s="3">
        <f t="shared" si="30"/>
        <v>1056.7854798842345</v>
      </c>
      <c r="AJ70" s="3">
        <f t="shared" si="30"/>
        <v>1062.1214524585109</v>
      </c>
      <c r="AK70" s="3">
        <f t="shared" si="30"/>
        <v>1067.4843676846835</v>
      </c>
      <c r="AL70" s="3">
        <f t="shared" si="30"/>
        <v>1072.8743616028989</v>
      </c>
      <c r="AM70" s="3">
        <f t="shared" si="30"/>
        <v>1078.2915709402041</v>
      </c>
      <c r="AN70" s="3">
        <f t="shared" si="30"/>
        <v>1083.736133114015</v>
      </c>
      <c r="AO70" s="3">
        <f t="shared" si="30"/>
        <v>1089.2081862356024</v>
      </c>
      <c r="AP70" s="3">
        <f t="shared" si="30"/>
        <v>1094.7078691135951</v>
      </c>
      <c r="AQ70" s="3">
        <f t="shared" si="30"/>
        <v>1100.235321257501</v>
      </c>
      <c r="AR70" s="3">
        <f t="shared" si="30"/>
        <v>1105.7906828812465</v>
      </c>
      <c r="AS70" s="3">
        <f t="shared" si="30"/>
        <v>1111.3740949067326</v>
      </c>
      <c r="AT70" s="3">
        <f t="shared" si="30"/>
        <v>1116.9856989674104</v>
      </c>
      <c r="AU70" s="3">
        <f t="shared" si="30"/>
        <v>1122.6256374118732</v>
      </c>
      <c r="AV70" s="3">
        <f t="shared" si="30"/>
        <v>1128.2940533074677</v>
      </c>
      <c r="AW70" s="3">
        <f t="shared" si="30"/>
        <v>1133.9910904439237</v>
      </c>
      <c r="AX70" s="3">
        <f t="shared" si="30"/>
        <v>1139.7168933370003</v>
      </c>
      <c r="AY70" s="3">
        <f t="shared" si="30"/>
        <v>1145.4716072321535</v>
      </c>
      <c r="AZ70" s="3">
        <f t="shared" si="30"/>
        <v>1151.2553781082188</v>
      </c>
      <c r="BA70" s="3">
        <f t="shared" si="30"/>
        <v>1157.0683526811156</v>
      </c>
      <c r="BB70" s="3">
        <f t="shared" si="30"/>
        <v>1162.9106784075686</v>
      </c>
      <c r="BC70" s="3">
        <f t="shared" si="30"/>
        <v>1168.7825034888479</v>
      </c>
      <c r="BD70" s="3">
        <f t="shared" si="30"/>
        <v>1174.6839768745285</v>
      </c>
      <c r="BE70" s="3">
        <f t="shared" si="30"/>
        <v>1180.6152482662694</v>
      </c>
      <c r="BF70" s="3">
        <f t="shared" si="30"/>
        <v>1186.5764681216099</v>
      </c>
      <c r="BG70" s="3">
        <f t="shared" si="30"/>
        <v>1192.567787657787</v>
      </c>
      <c r="BH70" s="3">
        <f t="shared" si="30"/>
        <v>1198.5893588555712</v>
      </c>
      <c r="BI70" s="3">
        <f t="shared" si="30"/>
        <v>1204.6413344631217</v>
      </c>
    </row>
    <row r="71" spans="1:61" hidden="1" outlineLevel="2" x14ac:dyDescent="0.3">
      <c r="C71" t="s">
        <v>177</v>
      </c>
      <c r="D71" s="3">
        <f>D11</f>
        <v>909.44999999999993</v>
      </c>
      <c r="E71" s="3">
        <f t="shared" ref="E71:N71" si="31">E11</f>
        <v>920.61999999999989</v>
      </c>
      <c r="F71" s="3">
        <f t="shared" si="31"/>
        <v>921.37</v>
      </c>
      <c r="G71" s="3">
        <f t="shared" si="31"/>
        <v>923.86</v>
      </c>
      <c r="H71" s="3">
        <f t="shared" si="31"/>
        <v>920.79</v>
      </c>
      <c r="I71" s="3">
        <f t="shared" si="31"/>
        <v>930.03</v>
      </c>
      <c r="J71" s="3">
        <f t="shared" si="31"/>
        <v>918.53000000000009</v>
      </c>
      <c r="K71" s="3">
        <f t="shared" si="31"/>
        <v>1001.11</v>
      </c>
      <c r="L71" s="3">
        <f t="shared" si="31"/>
        <v>943.33999999999992</v>
      </c>
      <c r="M71" s="3">
        <f t="shared" si="31"/>
        <v>964.61000000000013</v>
      </c>
      <c r="N71" s="3">
        <f t="shared" si="31"/>
        <v>950.72</v>
      </c>
      <c r="O71" s="3">
        <f>N71*(1+AVERAGE($E72:$J72))</f>
        <v>952.3276625816236</v>
      </c>
      <c r="P71" s="3">
        <f t="shared" ref="P71:BI71" si="32">O71*(1+AVERAGE($E72:$J72))</f>
        <v>953.93804371232193</v>
      </c>
      <c r="Q71" s="3">
        <f t="shared" si="32"/>
        <v>955.55114798914735</v>
      </c>
      <c r="R71" s="3">
        <f t="shared" si="32"/>
        <v>957.16698001692589</v>
      </c>
      <c r="S71" s="3">
        <f t="shared" si="32"/>
        <v>958.7855444082702</v>
      </c>
      <c r="T71" s="3">
        <f t="shared" si="32"/>
        <v>960.40684578359287</v>
      </c>
      <c r="U71" s="3">
        <f t="shared" si="32"/>
        <v>962.03088877111963</v>
      </c>
      <c r="V71" s="3">
        <f t="shared" si="32"/>
        <v>963.65767800690242</v>
      </c>
      <c r="W71" s="3">
        <f t="shared" si="32"/>
        <v>965.28721813483276</v>
      </c>
      <c r="X71" s="3">
        <f t="shared" si="32"/>
        <v>966.91951380665512</v>
      </c>
      <c r="Y71" s="3">
        <f t="shared" si="32"/>
        <v>968.55456968197973</v>
      </c>
      <c r="Z71" s="3">
        <f t="shared" si="32"/>
        <v>970.19239042829645</v>
      </c>
      <c r="AA71" s="3">
        <f t="shared" si="32"/>
        <v>971.83298072098785</v>
      </c>
      <c r="AB71" s="3">
        <f t="shared" si="32"/>
        <v>973.47634524334239</v>
      </c>
      <c r="AC71" s="3">
        <f t="shared" si="32"/>
        <v>975.12248868656798</v>
      </c>
      <c r="AD71" s="3">
        <f t="shared" si="32"/>
        <v>976.77141574980544</v>
      </c>
      <c r="AE71" s="3">
        <f t="shared" si="32"/>
        <v>978.42313114014166</v>
      </c>
      <c r="AF71" s="3">
        <f t="shared" si="32"/>
        <v>980.07763957262341</v>
      </c>
      <c r="AG71" s="3">
        <f t="shared" si="32"/>
        <v>981.73494577027031</v>
      </c>
      <c r="AH71" s="3">
        <f t="shared" si="32"/>
        <v>983.39505446408884</v>
      </c>
      <c r="AI71" s="3">
        <f t="shared" si="32"/>
        <v>985.05797039308538</v>
      </c>
      <c r="AJ71" s="3">
        <f t="shared" si="32"/>
        <v>986.72369830428011</v>
      </c>
      <c r="AK71" s="3">
        <f t="shared" si="32"/>
        <v>988.39224295272027</v>
      </c>
      <c r="AL71" s="3">
        <f t="shared" si="32"/>
        <v>990.06360910149397</v>
      </c>
      <c r="AM71" s="3">
        <f t="shared" si="32"/>
        <v>991.73780152174356</v>
      </c>
      <c r="AN71" s="3">
        <f t="shared" si="32"/>
        <v>993.41482499267943</v>
      </c>
      <c r="AO71" s="3">
        <f t="shared" si="32"/>
        <v>995.09468430159359</v>
      </c>
      <c r="AP71" s="3">
        <f t="shared" si="32"/>
        <v>996.77738424387337</v>
      </c>
      <c r="AQ71" s="3">
        <f t="shared" si="32"/>
        <v>998.46292962301504</v>
      </c>
      <c r="AR71" s="3">
        <f t="shared" si="32"/>
        <v>1000.1513252506375</v>
      </c>
      <c r="AS71" s="3">
        <f t="shared" si="32"/>
        <v>1001.842575946496</v>
      </c>
      <c r="AT71" s="3">
        <f t="shared" si="32"/>
        <v>1003.5366865384964</v>
      </c>
      <c r="AU71" s="3">
        <f t="shared" si="32"/>
        <v>1005.233661862708</v>
      </c>
      <c r="AV71" s="3">
        <f t="shared" si="32"/>
        <v>1006.9335067633782</v>
      </c>
      <c r="AW71" s="3">
        <f t="shared" si="32"/>
        <v>1008.6362260929458</v>
      </c>
      <c r="AX71" s="3">
        <f t="shared" si="32"/>
        <v>1010.3418247120552</v>
      </c>
      <c r="AY71" s="3">
        <f t="shared" si="32"/>
        <v>1012.0503074895701</v>
      </c>
      <c r="AZ71" s="3">
        <f t="shared" si="32"/>
        <v>1013.7616793025871</v>
      </c>
      <c r="BA71" s="3">
        <f t="shared" si="32"/>
        <v>1015.4759450364506</v>
      </c>
      <c r="BB71" s="3">
        <f t="shared" si="32"/>
        <v>1017.1931095847656</v>
      </c>
      <c r="BC71" s="3">
        <f t="shared" si="32"/>
        <v>1018.9131778494121</v>
      </c>
      <c r="BD71" s="3">
        <f t="shared" si="32"/>
        <v>1020.6361547405596</v>
      </c>
      <c r="BE71" s="3">
        <f t="shared" si="32"/>
        <v>1022.3620451766802</v>
      </c>
      <c r="BF71" s="3">
        <f t="shared" si="32"/>
        <v>1024.0908540845635</v>
      </c>
      <c r="BG71" s="3">
        <f t="shared" si="32"/>
        <v>1025.8225863993298</v>
      </c>
      <c r="BH71" s="3">
        <f t="shared" si="32"/>
        <v>1027.5572470644452</v>
      </c>
      <c r="BI71" s="3">
        <f t="shared" si="32"/>
        <v>1029.2948410317349</v>
      </c>
    </row>
    <row r="72" spans="1:61" hidden="1" outlineLevel="2" x14ac:dyDescent="0.3">
      <c r="D72" s="3"/>
      <c r="E72" s="6">
        <f>(E70-D70)/D70</f>
        <v>1.2282148551322184E-2</v>
      </c>
      <c r="F72" s="6">
        <f t="shared" ref="F72:N72" si="33">(F70-E70)/E70</f>
        <v>8.14668375660005E-4</v>
      </c>
      <c r="G72" s="6">
        <f t="shared" si="33"/>
        <v>2.702497368049762E-3</v>
      </c>
      <c r="H72" s="6">
        <f t="shared" si="33"/>
        <v>-3.3230143095274718E-3</v>
      </c>
      <c r="I72" s="6">
        <f t="shared" si="33"/>
        <v>1.0034861369041812E-2</v>
      </c>
      <c r="J72" s="6">
        <f t="shared" si="33"/>
        <v>-1.2365192520671255E-2</v>
      </c>
      <c r="K72" s="6">
        <f t="shared" si="33"/>
        <v>8.9904521354773295E-2</v>
      </c>
      <c r="L72" s="6">
        <f t="shared" si="33"/>
        <v>-5.7705946399496652E-2</v>
      </c>
      <c r="M72" s="6">
        <f t="shared" si="33"/>
        <v>2.2547543833612706E-2</v>
      </c>
      <c r="N72" s="6">
        <f t="shared" si="33"/>
        <v>-1.4399601911653516E-2</v>
      </c>
    </row>
    <row r="73" spans="1:61" outlineLevel="1" collapsed="1" x14ac:dyDescent="0.3">
      <c r="A73" t="s">
        <v>178</v>
      </c>
      <c r="D73">
        <v>2013</v>
      </c>
      <c r="E73">
        <v>2014</v>
      </c>
      <c r="F73">
        <v>2015</v>
      </c>
      <c r="G73">
        <v>2016</v>
      </c>
      <c r="H73">
        <v>2017</v>
      </c>
      <c r="I73">
        <v>2018</v>
      </c>
      <c r="J73">
        <v>2019</v>
      </c>
      <c r="K73">
        <v>2020</v>
      </c>
      <c r="L73">
        <v>2021</v>
      </c>
      <c r="M73">
        <v>2022</v>
      </c>
      <c r="N73">
        <v>2023</v>
      </c>
      <c r="O73">
        <v>2024</v>
      </c>
      <c r="P73">
        <v>2025</v>
      </c>
      <c r="Q73">
        <v>2026</v>
      </c>
      <c r="R73">
        <v>2027</v>
      </c>
      <c r="S73">
        <v>2028</v>
      </c>
      <c r="T73">
        <v>2029</v>
      </c>
      <c r="U73">
        <v>2030</v>
      </c>
      <c r="V73">
        <v>2031</v>
      </c>
      <c r="W73">
        <v>2032</v>
      </c>
      <c r="X73">
        <v>2033</v>
      </c>
      <c r="Y73">
        <v>2034</v>
      </c>
      <c r="Z73">
        <v>2035</v>
      </c>
      <c r="AA73">
        <v>2036</v>
      </c>
      <c r="AB73">
        <v>2037</v>
      </c>
      <c r="AC73">
        <v>2038</v>
      </c>
      <c r="AD73">
        <v>2039</v>
      </c>
      <c r="AE73">
        <v>2040</v>
      </c>
      <c r="AF73">
        <v>2041</v>
      </c>
      <c r="AG73">
        <v>2042</v>
      </c>
      <c r="AH73">
        <v>2043</v>
      </c>
      <c r="AI73">
        <v>2044</v>
      </c>
      <c r="AJ73">
        <v>2045</v>
      </c>
      <c r="AK73">
        <v>2046</v>
      </c>
      <c r="AL73">
        <v>2047</v>
      </c>
      <c r="AM73">
        <v>2048</v>
      </c>
      <c r="AN73">
        <v>2049</v>
      </c>
      <c r="AO73">
        <v>2050</v>
      </c>
      <c r="AP73">
        <v>2051</v>
      </c>
      <c r="AQ73">
        <v>2052</v>
      </c>
      <c r="AR73">
        <v>2053</v>
      </c>
      <c r="AS73">
        <v>2054</v>
      </c>
      <c r="AT73">
        <v>2055</v>
      </c>
      <c r="AU73">
        <v>2056</v>
      </c>
      <c r="AV73">
        <v>2057</v>
      </c>
      <c r="AW73">
        <v>2058</v>
      </c>
      <c r="AX73">
        <v>2059</v>
      </c>
      <c r="AY73">
        <v>2060</v>
      </c>
      <c r="AZ73">
        <v>2061</v>
      </c>
      <c r="BA73">
        <v>2062</v>
      </c>
      <c r="BB73">
        <v>2063</v>
      </c>
      <c r="BC73">
        <v>2064</v>
      </c>
      <c r="BD73">
        <v>2065</v>
      </c>
      <c r="BE73">
        <v>2066</v>
      </c>
      <c r="BF73">
        <v>2067</v>
      </c>
      <c r="BG73">
        <v>2068</v>
      </c>
      <c r="BH73">
        <v>2069</v>
      </c>
      <c r="BI73">
        <v>2070</v>
      </c>
    </row>
    <row r="74" spans="1:61" hidden="1" outlineLevel="2" x14ac:dyDescent="0.3">
      <c r="C74" t="s">
        <v>81</v>
      </c>
      <c r="D74" s="3">
        <f t="shared" ref="D74:D80" si="34">D4</f>
        <v>4.04</v>
      </c>
      <c r="E74" s="3">
        <f t="shared" ref="E74:N74" si="35">E4</f>
        <v>4.53</v>
      </c>
      <c r="F74" s="3">
        <f t="shared" si="35"/>
        <v>5.29</v>
      </c>
      <c r="G74" s="3">
        <f t="shared" si="35"/>
        <v>6.1</v>
      </c>
      <c r="H74" s="3">
        <f t="shared" si="35"/>
        <v>6.42</v>
      </c>
      <c r="I74" s="3">
        <f t="shared" si="35"/>
        <v>7.11</v>
      </c>
      <c r="J74" s="3">
        <f t="shared" si="35"/>
        <v>7.89</v>
      </c>
      <c r="K74" s="3">
        <f t="shared" si="35"/>
        <v>9.01</v>
      </c>
      <c r="L74" s="3">
        <f t="shared" si="35"/>
        <v>10.69</v>
      </c>
      <c r="M74" s="3">
        <f t="shared" si="35"/>
        <v>12.37</v>
      </c>
      <c r="N74" s="3">
        <f t="shared" si="35"/>
        <v>14.049999999999999</v>
      </c>
      <c r="O74" s="3">
        <f t="shared" ref="O74:O80" si="36">N74*(1+AVERAGE($E93:$N93))</f>
        <v>15.923141688745257</v>
      </c>
      <c r="P74" s="3">
        <f t="shared" ref="P74:BI74" si="37">O74*(1+AVERAGE($E93:$N93))</f>
        <v>18.046010052658875</v>
      </c>
      <c r="Q74" s="3">
        <f t="shared" si="37"/>
        <v>20.451898575445448</v>
      </c>
      <c r="R74" s="3">
        <f t="shared" si="37"/>
        <v>23.178539417840938</v>
      </c>
      <c r="S74" s="3">
        <f t="shared" si="37"/>
        <v>26.268695180672477</v>
      </c>
      <c r="T74" s="3">
        <f t="shared" si="37"/>
        <v>29.770829561587728</v>
      </c>
      <c r="U74" s="3">
        <f t="shared" si="37"/>
        <v>33.739867423533617</v>
      </c>
      <c r="V74" s="3">
        <f t="shared" si="37"/>
        <v>38.238056195331403</v>
      </c>
      <c r="W74" s="3">
        <f t="shared" si="37"/>
        <v>43.335942113912125</v>
      </c>
      <c r="X74" s="3">
        <f t="shared" si="37"/>
        <v>49.113476618867296</v>
      </c>
      <c r="Y74" s="3">
        <f t="shared" si="37"/>
        <v>55.661270251181591</v>
      </c>
      <c r="Z74" s="3">
        <f t="shared" si="37"/>
        <v>63.08201372135985</v>
      </c>
      <c r="AA74" s="3">
        <f t="shared" si="37"/>
        <v>71.492088433920671</v>
      </c>
      <c r="AB74" s="3">
        <f t="shared" si="37"/>
        <v>81.023391726521353</v>
      </c>
      <c r="AC74" s="3">
        <f t="shared" si="37"/>
        <v>91.825405449402837</v>
      </c>
      <c r="AD74" s="3">
        <f t="shared" si="37"/>
        <v>104.06754032721156</v>
      </c>
      <c r="AE74" s="3">
        <f t="shared" si="37"/>
        <v>117.94179287041999</v>
      </c>
      <c r="AF74" s="3">
        <f t="shared" si="37"/>
        <v>133.66575650536248</v>
      </c>
      <c r="AG74" s="3">
        <f t="shared" si="37"/>
        <v>151.48603414720355</v>
      </c>
      <c r="AH74" s="3">
        <f t="shared" si="37"/>
        <v>171.68210573608718</v>
      </c>
      <c r="AI74" s="3">
        <f t="shared" si="37"/>
        <v>194.57071139201861</v>
      </c>
      <c r="AJ74" s="3">
        <f t="shared" si="37"/>
        <v>220.51081893061021</v>
      </c>
      <c r="AK74" s="3">
        <f t="shared" si="37"/>
        <v>249.90925364650226</v>
      </c>
      <c r="AL74" s="3">
        <f t="shared" si="37"/>
        <v>283.2270786577817</v>
      </c>
      <c r="AM74" s="3">
        <f t="shared" si="37"/>
        <v>320.9868258759613</v>
      </c>
      <c r="AN74" s="3">
        <f t="shared" si="37"/>
        <v>363.78069100665726</v>
      </c>
      <c r="AO74" s="3">
        <f t="shared" si="37"/>
        <v>412.27982110524283</v>
      </c>
      <c r="AP74" s="3">
        <f t="shared" si="37"/>
        <v>467.24484034657149</v>
      </c>
      <c r="AQ74" s="3">
        <f t="shared" si="37"/>
        <v>529.53777908709003</v>
      </c>
      <c r="AR74" s="3">
        <f t="shared" si="37"/>
        <v>600.13559330585201</v>
      </c>
      <c r="AS74" s="3">
        <f t="shared" si="37"/>
        <v>680.14548645325851</v>
      </c>
      <c r="AT74" s="3">
        <f t="shared" si="37"/>
        <v>770.82227400397187</v>
      </c>
      <c r="AU74" s="3">
        <f t="shared" si="37"/>
        <v>873.58806304669497</v>
      </c>
      <c r="AV74" s="3">
        <f t="shared" si="37"/>
        <v>990.0545555508221</v>
      </c>
      <c r="AW74" s="3">
        <f t="shared" si="37"/>
        <v>1122.0483250977547</v>
      </c>
      <c r="AX74" s="3">
        <f t="shared" si="37"/>
        <v>1271.6394634982812</v>
      </c>
      <c r="AY74" s="3">
        <f t="shared" si="37"/>
        <v>1441.1740465681946</v>
      </c>
      <c r="AZ74" s="3">
        <f t="shared" si="37"/>
        <v>1633.3109282311545</v>
      </c>
      <c r="BA74" s="3">
        <f t="shared" si="37"/>
        <v>1851.0634400000506</v>
      </c>
      <c r="BB74" s="3">
        <f t="shared" si="37"/>
        <v>2097.846649820428</v>
      </c>
      <c r="BC74" s="3">
        <f t="shared" si="37"/>
        <v>2377.530921448415</v>
      </c>
      <c r="BD74" s="3">
        <f t="shared" si="37"/>
        <v>2694.5026143484829</v>
      </c>
      <c r="BE74" s="3">
        <f t="shared" si="37"/>
        <v>3053.7328760829478</v>
      </c>
      <c r="BF74" s="3">
        <f t="shared" si="37"/>
        <v>3460.8556060817327</v>
      </c>
      <c r="BG74" s="3">
        <f t="shared" si="37"/>
        <v>3922.2558135179911</v>
      </c>
      <c r="BH74" s="3">
        <f t="shared" si="37"/>
        <v>4445.1697550285962</v>
      </c>
      <c r="BI74" s="3">
        <f t="shared" si="37"/>
        <v>5037.7984227647967</v>
      </c>
    </row>
    <row r="75" spans="1:61" hidden="1" outlineLevel="2" x14ac:dyDescent="0.3">
      <c r="C75" t="s">
        <v>83</v>
      </c>
      <c r="D75" s="3">
        <f t="shared" si="34"/>
        <v>331.84</v>
      </c>
      <c r="E75" s="3">
        <f t="shared" ref="E75:N75" si="38">E5</f>
        <v>330.21</v>
      </c>
      <c r="F75" s="3">
        <f t="shared" si="38"/>
        <v>328.57</v>
      </c>
      <c r="G75" s="3">
        <f t="shared" si="38"/>
        <v>326.93</v>
      </c>
      <c r="H75" s="3">
        <f t="shared" si="38"/>
        <v>325.28999999999996</v>
      </c>
      <c r="I75" s="3">
        <f t="shared" si="38"/>
        <v>323.68</v>
      </c>
      <c r="J75" s="3">
        <f t="shared" si="38"/>
        <v>322.04000000000002</v>
      </c>
      <c r="K75" s="3">
        <f t="shared" si="38"/>
        <v>320.39999999999998</v>
      </c>
      <c r="L75" s="3">
        <f t="shared" si="38"/>
        <v>319.07</v>
      </c>
      <c r="M75" s="3">
        <f t="shared" si="38"/>
        <v>317.74</v>
      </c>
      <c r="N75" s="3">
        <f t="shared" si="38"/>
        <v>316.41000000000003</v>
      </c>
      <c r="O75" s="3">
        <f t="shared" si="36"/>
        <v>314.90704718980209</v>
      </c>
      <c r="P75" s="3">
        <f t="shared" ref="P75:BI75" si="39">O75*(1+AVERAGE($E94:$N94))</f>
        <v>313.41123343067608</v>
      </c>
      <c r="Q75" s="3">
        <f t="shared" si="39"/>
        <v>311.92252481200967</v>
      </c>
      <c r="R75" s="3">
        <f t="shared" si="39"/>
        <v>310.44088758426636</v>
      </c>
      <c r="S75" s="3">
        <f t="shared" si="39"/>
        <v>308.96628815822066</v>
      </c>
      <c r="T75" s="3">
        <f t="shared" si="39"/>
        <v>307.49869310419638</v>
      </c>
      <c r="U75" s="3">
        <f t="shared" si="39"/>
        <v>306.03806915130883</v>
      </c>
      <c r="V75" s="3">
        <f t="shared" si="39"/>
        <v>304.58438318671062</v>
      </c>
      <c r="W75" s="3">
        <f t="shared" si="39"/>
        <v>303.13760225484094</v>
      </c>
      <c r="X75" s="3">
        <f t="shared" si="39"/>
        <v>301.69769355667847</v>
      </c>
      <c r="Y75" s="3">
        <f t="shared" si="39"/>
        <v>300.26462444899778</v>
      </c>
      <c r="Z75" s="3">
        <f t="shared" si="39"/>
        <v>298.83836244362925</v>
      </c>
      <c r="AA75" s="3">
        <f t="shared" si="39"/>
        <v>297.4188752067227</v>
      </c>
      <c r="AB75" s="3">
        <f t="shared" si="39"/>
        <v>296.00613055801421</v>
      </c>
      <c r="AC75" s="3">
        <f t="shared" si="39"/>
        <v>294.60009647009667</v>
      </c>
      <c r="AD75" s="3">
        <f t="shared" si="39"/>
        <v>293.20074106769368</v>
      </c>
      <c r="AE75" s="3">
        <f t="shared" si="39"/>
        <v>291.80803262693701</v>
      </c>
      <c r="AF75" s="3">
        <f t="shared" si="39"/>
        <v>290.4219395746473</v>
      </c>
      <c r="AG75" s="3">
        <f t="shared" si="39"/>
        <v>289.04243048761828</v>
      </c>
      <c r="AH75" s="3">
        <f t="shared" si="39"/>
        <v>287.66947409190442</v>
      </c>
      <c r="AI75" s="3">
        <f t="shared" si="39"/>
        <v>286.30303926211207</v>
      </c>
      <c r="AJ75" s="3">
        <f t="shared" si="39"/>
        <v>284.94309502069365</v>
      </c>
      <c r="AK75" s="3">
        <f t="shared" si="39"/>
        <v>283.58961053724539</v>
      </c>
      <c r="AL75" s="3">
        <f t="shared" si="39"/>
        <v>282.2425551278086</v>
      </c>
      <c r="AM75" s="3">
        <f t="shared" si="39"/>
        <v>280.90189825417377</v>
      </c>
      <c r="AN75" s="3">
        <f t="shared" si="39"/>
        <v>279.56760952318848</v>
      </c>
      <c r="AO75" s="3">
        <f t="shared" si="39"/>
        <v>278.23965868606825</v>
      </c>
      <c r="AP75" s="3">
        <f t="shared" si="39"/>
        <v>276.91801563771088</v>
      </c>
      <c r="AQ75" s="3">
        <f t="shared" si="39"/>
        <v>275.60265041601389</v>
      </c>
      <c r="AR75" s="3">
        <f t="shared" si="39"/>
        <v>274.29353320119526</v>
      </c>
      <c r="AS75" s="3">
        <f t="shared" si="39"/>
        <v>272.99063431511752</v>
      </c>
      <c r="AT75" s="3">
        <f t="shared" si="39"/>
        <v>271.69392422061475</v>
      </c>
      <c r="AU75" s="3">
        <f t="shared" si="39"/>
        <v>270.4033735208231</v>
      </c>
      <c r="AV75" s="3">
        <f t="shared" si="39"/>
        <v>269.11895295851429</v>
      </c>
      <c r="AW75" s="3">
        <f t="shared" si="39"/>
        <v>267.84063341543242</v>
      </c>
      <c r="AX75" s="3">
        <f t="shared" si="39"/>
        <v>266.56838591163381</v>
      </c>
      <c r="AY75" s="3">
        <f t="shared" si="39"/>
        <v>265.30218160482991</v>
      </c>
      <c r="AZ75" s="3">
        <f t="shared" si="39"/>
        <v>264.04199178973357</v>
      </c>
      <c r="BA75" s="3">
        <f t="shared" si="39"/>
        <v>262.78778789740829</v>
      </c>
      <c r="BB75" s="3">
        <f t="shared" si="39"/>
        <v>261.53954149462038</v>
      </c>
      <c r="BC75" s="3">
        <f t="shared" si="39"/>
        <v>260.29722428319462</v>
      </c>
      <c r="BD75" s="3">
        <f t="shared" si="39"/>
        <v>259.06080809937248</v>
      </c>
      <c r="BE75" s="3">
        <f t="shared" si="39"/>
        <v>257.83026491317383</v>
      </c>
      <c r="BF75" s="3">
        <f t="shared" si="39"/>
        <v>256.60556682776144</v>
      </c>
      <c r="BG75" s="3">
        <f t="shared" si="39"/>
        <v>255.38668607880842</v>
      </c>
      <c r="BH75" s="3">
        <f t="shared" si="39"/>
        <v>254.17359503386899</v>
      </c>
      <c r="BI75" s="3">
        <f t="shared" si="39"/>
        <v>252.96626619175188</v>
      </c>
    </row>
    <row r="76" spans="1:61" hidden="1" outlineLevel="2" x14ac:dyDescent="0.3">
      <c r="C76" t="s">
        <v>84</v>
      </c>
      <c r="D76" s="3">
        <f t="shared" si="34"/>
        <v>71.16</v>
      </c>
      <c r="E76" s="3">
        <f t="shared" ref="E76:N76" si="40">E6</f>
        <v>71.89</v>
      </c>
      <c r="F76" s="3">
        <f t="shared" si="40"/>
        <v>72.63</v>
      </c>
      <c r="G76" s="3">
        <f t="shared" si="40"/>
        <v>73.36</v>
      </c>
      <c r="H76" s="3">
        <f t="shared" si="40"/>
        <v>74.09</v>
      </c>
      <c r="I76" s="3">
        <f t="shared" si="40"/>
        <v>74.83</v>
      </c>
      <c r="J76" s="3">
        <f t="shared" si="40"/>
        <v>75.56</v>
      </c>
      <c r="K76" s="3">
        <f t="shared" si="40"/>
        <v>76.31</v>
      </c>
      <c r="L76" s="3">
        <f t="shared" si="40"/>
        <v>77.040000000000006</v>
      </c>
      <c r="M76" s="3">
        <f t="shared" si="40"/>
        <v>77.77000000000001</v>
      </c>
      <c r="N76" s="3">
        <f t="shared" si="40"/>
        <v>78.500000000000014</v>
      </c>
      <c r="O76" s="3">
        <f t="shared" si="36"/>
        <v>79.27441525051151</v>
      </c>
      <c r="P76" s="3">
        <f t="shared" ref="P76:BI76" si="41">O76*(1+AVERAGE($E95:$N95))</f>
        <v>80.056470233255155</v>
      </c>
      <c r="Q76" s="3">
        <f t="shared" si="41"/>
        <v>80.846240315430336</v>
      </c>
      <c r="R76" s="3">
        <f t="shared" si="41"/>
        <v>81.643801607746084</v>
      </c>
      <c r="S76" s="3">
        <f t="shared" si="41"/>
        <v>82.449230971755938</v>
      </c>
      <c r="T76" s="3">
        <f t="shared" si="41"/>
        <v>83.262606027265136</v>
      </c>
      <c r="U76" s="3">
        <f t="shared" si="41"/>
        <v>84.084005159810914</v>
      </c>
      <c r="V76" s="3">
        <f t="shared" si="41"/>
        <v>84.91350752821657</v>
      </c>
      <c r="W76" s="3">
        <f t="shared" si="41"/>
        <v>85.751193072220047</v>
      </c>
      <c r="X76" s="3">
        <f t="shared" si="41"/>
        <v>86.597142520177783</v>
      </c>
      <c r="Y76" s="3">
        <f t="shared" si="41"/>
        <v>87.451437396844568</v>
      </c>
      <c r="Z76" s="3">
        <f t="shared" si="41"/>
        <v>88.314160031230131</v>
      </c>
      <c r="AA76" s="3">
        <f t="shared" si="41"/>
        <v>89.185393564533271</v>
      </c>
      <c r="AB76" s="3">
        <f t="shared" si="41"/>
        <v>90.065221958154211</v>
      </c>
      <c r="AC76" s="3">
        <f t="shared" si="41"/>
        <v>90.953730001786013</v>
      </c>
      <c r="AD76" s="3">
        <f t="shared" si="41"/>
        <v>91.85100332158585</v>
      </c>
      <c r="AE76" s="3">
        <f t="shared" si="41"/>
        <v>92.757128388426835</v>
      </c>
      <c r="AF76" s="3">
        <f t="shared" si="41"/>
        <v>93.672192526231299</v>
      </c>
      <c r="AG76" s="3">
        <f t="shared" si="41"/>
        <v>94.596283920386227</v>
      </c>
      <c r="AH76" s="3">
        <f t="shared" si="41"/>
        <v>95.529491626241793</v>
      </c>
      <c r="AI76" s="3">
        <f t="shared" si="41"/>
        <v>96.471905577693661</v>
      </c>
      <c r="AJ76" s="3">
        <f t="shared" si="41"/>
        <v>97.423616595849964</v>
      </c>
      <c r="AK76" s="3">
        <f t="shared" si="41"/>
        <v>98.384716397783848</v>
      </c>
      <c r="AL76" s="3">
        <f t="shared" si="41"/>
        <v>99.355297605372272</v>
      </c>
      <c r="AM76" s="3">
        <f t="shared" si="41"/>
        <v>100.33545375422206</v>
      </c>
      <c r="AN76" s="3">
        <f t="shared" si="41"/>
        <v>101.32527930268397</v>
      </c>
      <c r="AO76" s="3">
        <f t="shared" si="41"/>
        <v>102.32486964095574</v>
      </c>
      <c r="AP76" s="3">
        <f t="shared" si="41"/>
        <v>103.33432110027492</v>
      </c>
      <c r="AQ76" s="3">
        <f t="shared" si="41"/>
        <v>104.35373096220236</v>
      </c>
      <c r="AR76" s="3">
        <f t="shared" si="41"/>
        <v>105.38319746799729</v>
      </c>
      <c r="AS76" s="3">
        <f t="shared" si="41"/>
        <v>106.42281982808494</v>
      </c>
      <c r="AT76" s="3">
        <f t="shared" si="41"/>
        <v>107.4726982316175</v>
      </c>
      <c r="AU76" s="3">
        <f t="shared" si="41"/>
        <v>108.53293385612939</v>
      </c>
      <c r="AV76" s="3">
        <f t="shared" si="41"/>
        <v>109.60362887728787</v>
      </c>
      <c r="AW76" s="3">
        <f t="shared" si="41"/>
        <v>110.68488647873976</v>
      </c>
      <c r="AX76" s="3">
        <f t="shared" si="41"/>
        <v>111.77681086205529</v>
      </c>
      <c r="AY76" s="3">
        <f t="shared" si="41"/>
        <v>112.87950725677011</v>
      </c>
      <c r="AZ76" s="3">
        <f t="shared" si="41"/>
        <v>113.99308193052636</v>
      </c>
      <c r="BA76" s="3">
        <f t="shared" si="41"/>
        <v>115.11764219931369</v>
      </c>
      <c r="BB76" s="3">
        <f t="shared" si="41"/>
        <v>116.25329643781144</v>
      </c>
      <c r="BC76" s="3">
        <f t="shared" si="41"/>
        <v>117.40015408983277</v>
      </c>
      <c r="BD76" s="3">
        <f t="shared" si="41"/>
        <v>118.55832567887181</v>
      </c>
      <c r="BE76" s="3">
        <f t="shared" si="41"/>
        <v>119.72792281875495</v>
      </c>
      <c r="BF76" s="3">
        <f t="shared" si="41"/>
        <v>120.90905822439707</v>
      </c>
      <c r="BG76" s="3">
        <f t="shared" si="41"/>
        <v>122.10184572266401</v>
      </c>
      <c r="BH76" s="3">
        <f t="shared" si="41"/>
        <v>123.30640026334213</v>
      </c>
      <c r="BI76" s="3">
        <f t="shared" si="41"/>
        <v>124.52283793021608</v>
      </c>
    </row>
    <row r="77" spans="1:61" hidden="1" outlineLevel="2" x14ac:dyDescent="0.3">
      <c r="C77" t="s">
        <v>85</v>
      </c>
      <c r="D77" s="3">
        <f t="shared" si="34"/>
        <v>20.51</v>
      </c>
      <c r="E77" s="3">
        <f t="shared" ref="E77:N77" si="42">E7</f>
        <v>20.399999999999999</v>
      </c>
      <c r="F77" s="3">
        <f t="shared" si="42"/>
        <v>20.310000000000002</v>
      </c>
      <c r="G77" s="3">
        <f t="shared" si="42"/>
        <v>20.2</v>
      </c>
      <c r="H77" s="3">
        <f t="shared" si="42"/>
        <v>20.11</v>
      </c>
      <c r="I77" s="3">
        <f t="shared" si="42"/>
        <v>20</v>
      </c>
      <c r="J77" s="3">
        <f t="shared" si="42"/>
        <v>19.91</v>
      </c>
      <c r="K77" s="3">
        <f t="shared" si="42"/>
        <v>19.8</v>
      </c>
      <c r="L77" s="3">
        <f t="shared" si="42"/>
        <v>19.72</v>
      </c>
      <c r="M77" s="3">
        <f t="shared" si="42"/>
        <v>19.639999999999997</v>
      </c>
      <c r="N77" s="3">
        <f t="shared" si="42"/>
        <v>19.559999999999995</v>
      </c>
      <c r="O77" s="3">
        <f t="shared" si="36"/>
        <v>19.467458128641344</v>
      </c>
      <c r="P77" s="3">
        <f t="shared" ref="P77:BI77" si="43">O77*(1+AVERAGE($E96:$N96))</f>
        <v>19.375354089488958</v>
      </c>
      <c r="Q77" s="3">
        <f t="shared" si="43"/>
        <v>19.283685811080073</v>
      </c>
      <c r="R77" s="3">
        <f t="shared" si="43"/>
        <v>19.192451231752383</v>
      </c>
      <c r="S77" s="3">
        <f t="shared" si="43"/>
        <v>19.101648299597677</v>
      </c>
      <c r="T77" s="3">
        <f t="shared" si="43"/>
        <v>19.011274972415695</v>
      </c>
      <c r="U77" s="3">
        <f t="shared" si="43"/>
        <v>18.921329217668188</v>
      </c>
      <c r="V77" s="3">
        <f t="shared" si="43"/>
        <v>18.831809012433212</v>
      </c>
      <c r="W77" s="3">
        <f t="shared" si="43"/>
        <v>18.742712343359628</v>
      </c>
      <c r="X77" s="3">
        <f t="shared" si="43"/>
        <v>18.654037206621826</v>
      </c>
      <c r="Y77" s="3">
        <f t="shared" si="43"/>
        <v>18.565781607874651</v>
      </c>
      <c r="Z77" s="3">
        <f t="shared" si="43"/>
        <v>18.477943562208559</v>
      </c>
      <c r="AA77" s="3">
        <f t="shared" si="43"/>
        <v>18.390521094104962</v>
      </c>
      <c r="AB77" s="3">
        <f t="shared" si="43"/>
        <v>18.303512237391811</v>
      </c>
      <c r="AC77" s="3">
        <f t="shared" si="43"/>
        <v>18.216915035199367</v>
      </c>
      <c r="AD77" s="3">
        <f t="shared" si="43"/>
        <v>18.13072753991619</v>
      </c>
      <c r="AE77" s="3">
        <f t="shared" si="43"/>
        <v>18.044947813145345</v>
      </c>
      <c r="AF77" s="3">
        <f t="shared" si="43"/>
        <v>17.959573925660802</v>
      </c>
      <c r="AG77" s="3">
        <f t="shared" si="43"/>
        <v>17.874603957364037</v>
      </c>
      <c r="AH77" s="3">
        <f t="shared" si="43"/>
        <v>17.790035997240867</v>
      </c>
      <c r="AI77" s="3">
        <f t="shared" si="43"/>
        <v>17.705868143318451</v>
      </c>
      <c r="AJ77" s="3">
        <f t="shared" si="43"/>
        <v>17.622098502622528</v>
      </c>
      <c r="AK77" s="3">
        <f t="shared" si="43"/>
        <v>17.538725191134841</v>
      </c>
      <c r="AL77" s="3">
        <f t="shared" si="43"/>
        <v>17.455746333750753</v>
      </c>
      <c r="AM77" s="3">
        <f t="shared" si="43"/>
        <v>17.373160064237091</v>
      </c>
      <c r="AN77" s="3">
        <f t="shared" si="43"/>
        <v>17.290964525190162</v>
      </c>
      <c r="AO77" s="3">
        <f t="shared" si="43"/>
        <v>17.209157867993987</v>
      </c>
      <c r="AP77" s="3">
        <f t="shared" si="43"/>
        <v>17.12773825277872</v>
      </c>
      <c r="AQ77" s="3">
        <f t="shared" si="43"/>
        <v>17.046703848379266</v>
      </c>
      <c r="AR77" s="3">
        <f t="shared" si="43"/>
        <v>16.966052832294107</v>
      </c>
      <c r="AS77" s="3">
        <f t="shared" si="43"/>
        <v>16.885783390644299</v>
      </c>
      <c r="AT77" s="3">
        <f t="shared" si="43"/>
        <v>16.80589371813269</v>
      </c>
      <c r="AU77" s="3">
        <f t="shared" si="43"/>
        <v>16.726382018003314</v>
      </c>
      <c r="AV77" s="3">
        <f t="shared" si="43"/>
        <v>16.647246502000975</v>
      </c>
      <c r="AW77" s="3">
        <f t="shared" si="43"/>
        <v>16.568485390331038</v>
      </c>
      <c r="AX77" s="3">
        <f t="shared" si="43"/>
        <v>16.490096911619396</v>
      </c>
      <c r="AY77" s="3">
        <f t="shared" si="43"/>
        <v>16.412079302872627</v>
      </c>
      <c r="AZ77" s="3">
        <f t="shared" si="43"/>
        <v>16.334430809438352</v>
      </c>
      <c r="BA77" s="3">
        <f t="shared" si="43"/>
        <v>16.257149684965764</v>
      </c>
      <c r="BB77" s="3">
        <f t="shared" si="43"/>
        <v>16.180234191366356</v>
      </c>
      <c r="BC77" s="3">
        <f t="shared" si="43"/>
        <v>16.103682598774828</v>
      </c>
      <c r="BD77" s="3">
        <f t="shared" si="43"/>
        <v>16.027493185510188</v>
      </c>
      <c r="BE77" s="3">
        <f t="shared" si="43"/>
        <v>15.95166423803702</v>
      </c>
      <c r="BF77" s="3">
        <f t="shared" si="43"/>
        <v>15.876194050926957</v>
      </c>
      <c r="BG77" s="3">
        <f t="shared" si="43"/>
        <v>15.801080926820317</v>
      </c>
      <c r="BH77" s="3">
        <f t="shared" si="43"/>
        <v>15.726323176387933</v>
      </c>
      <c r="BI77" s="3">
        <f t="shared" si="43"/>
        <v>15.651919118293153</v>
      </c>
    </row>
    <row r="78" spans="1:61" hidden="1" outlineLevel="2" x14ac:dyDescent="0.3">
      <c r="C78" t="s">
        <v>87</v>
      </c>
      <c r="D78" s="3">
        <f t="shared" si="34"/>
        <v>256.95999999999998</v>
      </c>
      <c r="E78" s="3">
        <f t="shared" ref="E78:N78" si="44">E8</f>
        <v>257.11</v>
      </c>
      <c r="F78" s="3">
        <f t="shared" si="44"/>
        <v>253.39</v>
      </c>
      <c r="G78" s="3">
        <f t="shared" si="44"/>
        <v>247.54</v>
      </c>
      <c r="H78" s="3">
        <f t="shared" si="44"/>
        <v>246.45</v>
      </c>
      <c r="I78" s="3">
        <f t="shared" si="44"/>
        <v>246.45</v>
      </c>
      <c r="J78" s="3">
        <f t="shared" si="44"/>
        <v>231.04</v>
      </c>
      <c r="K78" s="3">
        <f t="shared" si="44"/>
        <v>289.54000000000002</v>
      </c>
      <c r="L78" s="3">
        <f t="shared" si="44"/>
        <v>239.1</v>
      </c>
      <c r="M78" s="3">
        <f t="shared" si="44"/>
        <v>246.98</v>
      </c>
      <c r="N78" s="3">
        <f t="shared" si="44"/>
        <v>224.57</v>
      </c>
      <c r="O78" s="3">
        <f t="shared" si="36"/>
        <v>222.71310796800589</v>
      </c>
      <c r="P78" s="3">
        <f t="shared" ref="P78:BI78" si="45">O78*(1+AVERAGE($E97:$N97))</f>
        <v>220.87156993707373</v>
      </c>
      <c r="Q78" s="3">
        <f t="shared" si="45"/>
        <v>219.04525895025367</v>
      </c>
      <c r="R78" s="3">
        <f t="shared" si="45"/>
        <v>217.23404910035916</v>
      </c>
      <c r="S78" s="3">
        <f t="shared" si="45"/>
        <v>215.43781552128684</v>
      </c>
      <c r="T78" s="3">
        <f t="shared" si="45"/>
        <v>213.65643437940815</v>
      </c>
      <c r="U78" s="3">
        <f t="shared" si="45"/>
        <v>211.88978286503226</v>
      </c>
      <c r="V78" s="3">
        <f t="shared" si="45"/>
        <v>210.13773918393932</v>
      </c>
      <c r="W78" s="3">
        <f t="shared" si="45"/>
        <v>208.40018254898402</v>
      </c>
      <c r="X78" s="3">
        <f t="shared" si="45"/>
        <v>206.67699317176834</v>
      </c>
      <c r="Y78" s="3">
        <f t="shared" si="45"/>
        <v>204.96805225438331</v>
      </c>
      <c r="Z78" s="3">
        <f t="shared" si="45"/>
        <v>203.27324198121897</v>
      </c>
      <c r="AA78" s="3">
        <f t="shared" si="45"/>
        <v>201.59244551084211</v>
      </c>
      <c r="AB78" s="3">
        <f t="shared" si="45"/>
        <v>199.92554696794107</v>
      </c>
      <c r="AC78" s="3">
        <f t="shared" si="45"/>
        <v>198.2724314353373</v>
      </c>
      <c r="AD78" s="3">
        <f t="shared" si="45"/>
        <v>196.63298494606281</v>
      </c>
      <c r="AE78" s="3">
        <f t="shared" si="45"/>
        <v>195.00709447550324</v>
      </c>
      <c r="AF78" s="3">
        <f t="shared" si="45"/>
        <v>193.39464793360591</v>
      </c>
      <c r="AG78" s="3">
        <f t="shared" si="45"/>
        <v>191.79553415715216</v>
      </c>
      <c r="AH78" s="3">
        <f t="shared" si="45"/>
        <v>190.20964290209375</v>
      </c>
      <c r="AI78" s="3">
        <f t="shared" si="45"/>
        <v>188.63686483595248</v>
      </c>
      <c r="AJ78" s="3">
        <f t="shared" si="45"/>
        <v>187.07709153028284</v>
      </c>
      <c r="AK78" s="3">
        <f t="shared" si="45"/>
        <v>185.5302154531968</v>
      </c>
      <c r="AL78" s="3">
        <f t="shared" si="45"/>
        <v>183.99612996195046</v>
      </c>
      <c r="AM78" s="3">
        <f t="shared" si="45"/>
        <v>182.47472929559208</v>
      </c>
      <c r="AN78" s="3">
        <f t="shared" si="45"/>
        <v>180.96590856767088</v>
      </c>
      <c r="AO78" s="3">
        <f t="shared" si="45"/>
        <v>179.46956375900595</v>
      </c>
      <c r="AP78" s="3">
        <f t="shared" si="45"/>
        <v>177.98559171051525</v>
      </c>
      <c r="AQ78" s="3">
        <f t="shared" si="45"/>
        <v>176.51389011610365</v>
      </c>
      <c r="AR78" s="3">
        <f t="shared" si="45"/>
        <v>175.05435751560992</v>
      </c>
      <c r="AS78" s="3">
        <f t="shared" si="45"/>
        <v>173.60689328781197</v>
      </c>
      <c r="AT78" s="3">
        <f t="shared" si="45"/>
        <v>172.17139764349</v>
      </c>
      <c r="AU78" s="3">
        <f t="shared" si="45"/>
        <v>170.74777161854684</v>
      </c>
      <c r="AV78" s="3">
        <f t="shared" si="45"/>
        <v>169.33591706718545</v>
      </c>
      <c r="AW78" s="3">
        <f t="shared" si="45"/>
        <v>167.93573665514256</v>
      </c>
      <c r="AX78" s="3">
        <f t="shared" si="45"/>
        <v>166.54713385297845</v>
      </c>
      <c r="AY78" s="3">
        <f t="shared" si="45"/>
        <v>165.17001292942209</v>
      </c>
      <c r="AZ78" s="3">
        <f t="shared" si="45"/>
        <v>163.8042789447714</v>
      </c>
      <c r="BA78" s="3">
        <f t="shared" si="45"/>
        <v>162.44983774434797</v>
      </c>
      <c r="BB78" s="3">
        <f t="shared" si="45"/>
        <v>161.1065959520061</v>
      </c>
      <c r="BC78" s="3">
        <f t="shared" si="45"/>
        <v>159.77446096369522</v>
      </c>
      <c r="BD78" s="3">
        <f t="shared" si="45"/>
        <v>158.45334094107582</v>
      </c>
      <c r="BE78" s="3">
        <f t="shared" si="45"/>
        <v>157.143144805188</v>
      </c>
      <c r="BF78" s="3">
        <f t="shared" si="45"/>
        <v>155.84378223017242</v>
      </c>
      <c r="BG78" s="3">
        <f t="shared" si="45"/>
        <v>154.55516363704319</v>
      </c>
      <c r="BH78" s="3">
        <f t="shared" si="45"/>
        <v>153.27720018751222</v>
      </c>
      <c r="BI78" s="3">
        <f t="shared" si="45"/>
        <v>152.00980377786465</v>
      </c>
    </row>
    <row r="79" spans="1:61" hidden="1" outlineLevel="2" x14ac:dyDescent="0.3">
      <c r="C79" t="s">
        <v>89</v>
      </c>
      <c r="D79" s="3">
        <f t="shared" si="34"/>
        <v>33.799999999999997</v>
      </c>
      <c r="E79" s="3">
        <f t="shared" ref="E79:N79" si="46">E9</f>
        <v>39.86</v>
      </c>
      <c r="F79" s="3">
        <f t="shared" si="46"/>
        <v>37.43</v>
      </c>
      <c r="G79" s="3">
        <f t="shared" si="46"/>
        <v>37.450000000000003</v>
      </c>
      <c r="H79" s="3">
        <f t="shared" si="46"/>
        <v>35.479999999999997</v>
      </c>
      <c r="I79" s="3">
        <f t="shared" si="46"/>
        <v>30.16</v>
      </c>
      <c r="J79" s="3">
        <f t="shared" si="46"/>
        <v>29.94</v>
      </c>
      <c r="K79" s="3">
        <f t="shared" si="46"/>
        <v>25.95</v>
      </c>
      <c r="L79" s="3">
        <f t="shared" si="46"/>
        <v>27.66</v>
      </c>
      <c r="M79" s="3">
        <f t="shared" si="46"/>
        <v>25.2</v>
      </c>
      <c r="N79" s="3">
        <f t="shared" si="46"/>
        <v>26</v>
      </c>
      <c r="O79" s="3">
        <f t="shared" si="36"/>
        <v>25.43959009207715</v>
      </c>
      <c r="P79" s="3">
        <f t="shared" ref="P79:BI79" si="47">O79*(1+AVERAGE($E98:$N98))</f>
        <v>24.891259386650383</v>
      </c>
      <c r="Q79" s="3">
        <f t="shared" si="47"/>
        <v>24.354747525844363</v>
      </c>
      <c r="R79" s="3">
        <f t="shared" si="47"/>
        <v>23.829799763596569</v>
      </c>
      <c r="S79" s="3">
        <f t="shared" si="47"/>
        <v>23.316166844698987</v>
      </c>
      <c r="T79" s="3">
        <f t="shared" si="47"/>
        <v>22.813604886447006</v>
      </c>
      <c r="U79" s="3">
        <f t="shared" si="47"/>
        <v>22.321875262839235</v>
      </c>
      <c r="V79" s="3">
        <f t="shared" si="47"/>
        <v>21.840744491273348</v>
      </c>
      <c r="W79" s="3">
        <f t="shared" si="47"/>
        <v>21.36998412168408</v>
      </c>
      <c r="X79" s="3">
        <f t="shared" si="47"/>
        <v>20.909370628070782</v>
      </c>
      <c r="Y79" s="3">
        <f t="shared" si="47"/>
        <v>20.458685302363019</v>
      </c>
      <c r="Z79" s="3">
        <f t="shared" si="47"/>
        <v>20.017714150573795</v>
      </c>
      <c r="AA79" s="3">
        <f t="shared" si="47"/>
        <v>19.586247791191141</v>
      </c>
      <c r="AB79" s="3">
        <f t="shared" si="47"/>
        <v>19.164081355759777</v>
      </c>
      <c r="AC79" s="3">
        <f t="shared" si="47"/>
        <v>18.751014391605651</v>
      </c>
      <c r="AD79" s="3">
        <f t="shared" si="47"/>
        <v>18.346850766657198</v>
      </c>
      <c r="AE79" s="3">
        <f t="shared" si="47"/>
        <v>17.951398576318098</v>
      </c>
      <c r="AF79" s="3">
        <f t="shared" si="47"/>
        <v>17.5644700523473</v>
      </c>
      <c r="AG79" s="3">
        <f t="shared" si="47"/>
        <v>17.185881473703084</v>
      </c>
      <c r="AH79" s="3">
        <f t="shared" si="47"/>
        <v>16.815453079308817</v>
      </c>
      <c r="AI79" s="3">
        <f t="shared" si="47"/>
        <v>16.453008982698954</v>
      </c>
      <c r="AJ79" s="3">
        <f t="shared" si="47"/>
        <v>16.098377088504794</v>
      </c>
      <c r="AK79" s="3">
        <f t="shared" si="47"/>
        <v>15.751389010740322</v>
      </c>
      <c r="AL79" s="3">
        <f t="shared" si="47"/>
        <v>15.411879992849324</v>
      </c>
      <c r="AM79" s="3">
        <f t="shared" si="47"/>
        <v>15.079688829475836</v>
      </c>
      <c r="AN79" s="3">
        <f t="shared" si="47"/>
        <v>14.754657789920769</v>
      </c>
      <c r="AO79" s="3">
        <f t="shared" si="47"/>
        <v>14.43663254324836</v>
      </c>
      <c r="AP79" s="3">
        <f t="shared" si="47"/>
        <v>14.125462085006905</v>
      </c>
      <c r="AQ79" s="3">
        <f t="shared" si="47"/>
        <v>13.820998665528966</v>
      </c>
      <c r="AR79" s="3">
        <f t="shared" si="47"/>
        <v>13.523097719777009</v>
      </c>
      <c r="AS79" s="3">
        <f t="shared" si="47"/>
        <v>13.231617798701166</v>
      </c>
      <c r="AT79" s="3">
        <f t="shared" si="47"/>
        <v>12.946420502076533</v>
      </c>
      <c r="AU79" s="3">
        <f t="shared" si="47"/>
        <v>12.667370412788102</v>
      </c>
      <c r="AV79" s="3">
        <f t="shared" si="47"/>
        <v>12.394335032532133</v>
      </c>
      <c r="AW79" s="3">
        <f t="shared" si="47"/>
        <v>12.127184718903431</v>
      </c>
      <c r="AX79" s="3">
        <f t="shared" si="47"/>
        <v>11.86579262383866</v>
      </c>
      <c r="AY79" s="3">
        <f t="shared" si="47"/>
        <v>11.610034633386466</v>
      </c>
      <c r="AZ79" s="3">
        <f t="shared" si="47"/>
        <v>11.359789308775804</v>
      </c>
      <c r="BA79" s="3">
        <f t="shared" si="47"/>
        <v>11.114937828754496</v>
      </c>
      <c r="BB79" s="3">
        <f t="shared" si="47"/>
        <v>10.875363933170631</v>
      </c>
      <c r="BC79" s="3">
        <f t="shared" si="47"/>
        <v>10.64095386777003</v>
      </c>
      <c r="BD79" s="3">
        <f t="shared" si="47"/>
        <v>10.411596330183558</v>
      </c>
      <c r="BE79" s="3">
        <f t="shared" si="47"/>
        <v>10.187182417078633</v>
      </c>
      <c r="BF79" s="3">
        <f t="shared" si="47"/>
        <v>9.9676055724498518</v>
      </c>
      <c r="BG79" s="3">
        <f t="shared" si="47"/>
        <v>9.7527615370241634</v>
      </c>
      <c r="BH79" s="3">
        <f t="shared" si="47"/>
        <v>9.5425482987565786</v>
      </c>
      <c r="BI79" s="3">
        <f t="shared" si="47"/>
        <v>9.3368660443929059</v>
      </c>
    </row>
    <row r="80" spans="1:61" hidden="1" outlineLevel="2" x14ac:dyDescent="0.3">
      <c r="C80" t="s">
        <v>91</v>
      </c>
      <c r="D80" s="3">
        <f t="shared" si="34"/>
        <v>191.14</v>
      </c>
      <c r="E80" s="3">
        <f t="shared" ref="E80:N80" si="48">E10</f>
        <v>196.62</v>
      </c>
      <c r="F80" s="3">
        <f t="shared" si="48"/>
        <v>203.75</v>
      </c>
      <c r="G80" s="3">
        <f t="shared" si="48"/>
        <v>212.28</v>
      </c>
      <c r="H80" s="3">
        <f t="shared" si="48"/>
        <v>212.95</v>
      </c>
      <c r="I80" s="3">
        <f t="shared" si="48"/>
        <v>227.8</v>
      </c>
      <c r="J80" s="3">
        <f t="shared" si="48"/>
        <v>232.15</v>
      </c>
      <c r="K80" s="3">
        <f t="shared" si="48"/>
        <v>260.10000000000002</v>
      </c>
      <c r="L80" s="3">
        <f t="shared" si="48"/>
        <v>250.06</v>
      </c>
      <c r="M80" s="3">
        <f t="shared" si="48"/>
        <v>264.91000000000003</v>
      </c>
      <c r="N80" s="3">
        <f t="shared" si="48"/>
        <v>271.63</v>
      </c>
      <c r="O80" s="3">
        <f t="shared" si="36"/>
        <v>281.55354446747435</v>
      </c>
      <c r="P80" s="3">
        <f t="shared" ref="P80:BI80" si="49">O80*(1+AVERAGE($E99:$N99))</f>
        <v>291.83962891506116</v>
      </c>
      <c r="Q80" s="3">
        <f t="shared" si="49"/>
        <v>302.50149813020613</v>
      </c>
      <c r="R80" s="3">
        <f t="shared" si="49"/>
        <v>313.55288077635242</v>
      </c>
      <c r="S80" s="3">
        <f t="shared" si="49"/>
        <v>325.00800707053503</v>
      </c>
      <c r="T80" s="3">
        <f t="shared" si="49"/>
        <v>336.88162710679637</v>
      </c>
      <c r="U80" s="3">
        <f t="shared" si="49"/>
        <v>349.18902984901706</v>
      </c>
      <c r="V80" s="3">
        <f t="shared" si="49"/>
        <v>361.94606281761753</v>
      </c>
      <c r="W80" s="3">
        <f t="shared" si="49"/>
        <v>375.16915249548043</v>
      </c>
      <c r="X80" s="3">
        <f t="shared" si="49"/>
        <v>388.87532547936871</v>
      </c>
      <c r="Y80" s="3">
        <f t="shared" si="49"/>
        <v>403.0822304040754</v>
      </c>
      <c r="Z80" s="3">
        <f t="shared" si="49"/>
        <v>417.80816066753522</v>
      </c>
      <c r="AA80" s="3">
        <f t="shared" si="49"/>
        <v>433.07207798615968</v>
      </c>
      <c r="AB80" s="3">
        <f t="shared" si="49"/>
        <v>448.89363681072683</v>
      </c>
      <c r="AC80" s="3">
        <f t="shared" si="49"/>
        <v>465.29320963426449</v>
      </c>
      <c r="AD80" s="3">
        <f t="shared" si="49"/>
        <v>482.29191322451408</v>
      </c>
      <c r="AE80" s="3">
        <f t="shared" si="49"/>
        <v>499.91163581475354</v>
      </c>
      <c r="AF80" s="3">
        <f t="shared" si="49"/>
        <v>518.17506528799117</v>
      </c>
      <c r="AG80" s="3">
        <f t="shared" si="49"/>
        <v>537.10571839082149</v>
      </c>
      <c r="AH80" s="3">
        <f t="shared" si="49"/>
        <v>556.7279710145599</v>
      </c>
      <c r="AI80" s="3">
        <f t="shared" si="49"/>
        <v>577.06708958264801</v>
      </c>
      <c r="AJ80" s="3">
        <f t="shared" si="49"/>
        <v>598.14926358474429</v>
      </c>
      <c r="AK80" s="3">
        <f t="shared" si="49"/>
        <v>620.00163929939379</v>
      </c>
      <c r="AL80" s="3">
        <f t="shared" si="49"/>
        <v>642.65235474869814</v>
      </c>
      <c r="AM80" s="3">
        <f t="shared" si="49"/>
        <v>666.13057592999553</v>
      </c>
      <c r="AN80" s="3">
        <f t="shared" si="49"/>
        <v>690.4665343712046</v>
      </c>
      <c r="AO80" s="3">
        <f t="shared" si="49"/>
        <v>715.69156605818898</v>
      </c>
      <c r="AP80" s="3">
        <f t="shared" si="49"/>
        <v>741.83815178426789</v>
      </c>
      <c r="AQ80" s="3">
        <f t="shared" si="49"/>
        <v>768.93995897382786</v>
      </c>
      <c r="AR80" s="3">
        <f t="shared" si="49"/>
        <v>797.03188503389003</v>
      </c>
      <c r="AS80" s="3">
        <f t="shared" si="49"/>
        <v>826.15010228945357</v>
      </c>
      <c r="AT80" s="3">
        <f t="shared" si="49"/>
        <v>856.33210456047618</v>
      </c>
      <c r="AU80" s="3">
        <f t="shared" si="49"/>
        <v>887.61675544046659</v>
      </c>
      <c r="AV80" s="3">
        <f t="shared" si="49"/>
        <v>920.04433833885332</v>
      </c>
      <c r="AW80" s="3">
        <f t="shared" si="49"/>
        <v>953.6566083515678</v>
      </c>
      <c r="AX80" s="3">
        <f t="shared" si="49"/>
        <v>988.49684602663149</v>
      </c>
      <c r="AY80" s="3">
        <f t="shared" si="49"/>
        <v>1024.6099130939783</v>
      </c>
      <c r="AZ80" s="3">
        <f t="shared" si="49"/>
        <v>1062.0423102312723</v>
      </c>
      <c r="BA80" s="3">
        <f t="shared" si="49"/>
        <v>1100.8422369401012</v>
      </c>
      <c r="BB80" s="3">
        <f t="shared" si="49"/>
        <v>1141.0596536096482</v>
      </c>
      <c r="BC80" s="3">
        <f t="shared" si="49"/>
        <v>1182.7463458477523</v>
      </c>
      <c r="BD80" s="3">
        <f t="shared" si="49"/>
        <v>1225.9559911621984</v>
      </c>
      <c r="BE80" s="3">
        <f t="shared" si="49"/>
        <v>1270.7442280780938</v>
      </c>
      <c r="BF80" s="3">
        <f t="shared" si="49"/>
        <v>1317.1687277803335</v>
      </c>
      <c r="BG80" s="3">
        <f t="shared" si="49"/>
        <v>1365.2892683734003</v>
      </c>
      <c r="BH80" s="3">
        <f t="shared" si="49"/>
        <v>1415.167811854124</v>
      </c>
      <c r="BI80" s="3">
        <f t="shared" si="49"/>
        <v>1466.8685838965082</v>
      </c>
    </row>
    <row r="81" spans="3:61" hidden="1" outlineLevel="2" x14ac:dyDescent="0.3">
      <c r="C81" t="s">
        <v>179</v>
      </c>
      <c r="D81" s="3">
        <f>SUM(D74:D80)</f>
        <v>909.44999999999993</v>
      </c>
      <c r="E81" s="3">
        <f t="shared" ref="E81:O81" si="50">SUM(E74:E80)</f>
        <v>920.61999999999989</v>
      </c>
      <c r="F81" s="3">
        <f t="shared" si="50"/>
        <v>921.37</v>
      </c>
      <c r="G81" s="3">
        <f t="shared" si="50"/>
        <v>923.86</v>
      </c>
      <c r="H81" s="3">
        <f t="shared" si="50"/>
        <v>920.79</v>
      </c>
      <c r="I81" s="3">
        <f t="shared" si="50"/>
        <v>930.03</v>
      </c>
      <c r="J81" s="3">
        <f t="shared" si="50"/>
        <v>918.53000000000009</v>
      </c>
      <c r="K81" s="3">
        <f t="shared" si="50"/>
        <v>1001.11</v>
      </c>
      <c r="L81" s="3">
        <f t="shared" si="50"/>
        <v>943.33999999999992</v>
      </c>
      <c r="M81" s="3">
        <f t="shared" si="50"/>
        <v>964.61000000000013</v>
      </c>
      <c r="N81" s="3">
        <f t="shared" si="50"/>
        <v>950.72</v>
      </c>
      <c r="O81" s="3">
        <f t="shared" si="50"/>
        <v>959.27830478525766</v>
      </c>
      <c r="P81" s="3">
        <f t="shared" ref="P81" si="51">SUM(P74:P80)</f>
        <v>968.49152604486426</v>
      </c>
      <c r="Q81" s="3">
        <f t="shared" ref="Q81" si="52">SUM(Q74:Q80)</f>
        <v>978.40585412026962</v>
      </c>
      <c r="R81" s="3">
        <f t="shared" ref="R81" si="53">SUM(R74:R80)</f>
        <v>989.07240948191384</v>
      </c>
      <c r="S81" s="3">
        <f t="shared" ref="S81" si="54">SUM(S74:S80)</f>
        <v>1000.5478520467675</v>
      </c>
      <c r="T81" s="3">
        <f t="shared" ref="T81" si="55">SUM(T74:T80)</f>
        <v>1012.8950700381165</v>
      </c>
      <c r="U81" s="3">
        <f t="shared" ref="U81" si="56">SUM(U74:U80)</f>
        <v>1026.1839589292101</v>
      </c>
      <c r="V81" s="3">
        <f t="shared" ref="V81" si="57">SUM(V74:V80)</f>
        <v>1040.4923024155219</v>
      </c>
      <c r="W81" s="3">
        <f t="shared" ref="W81" si="58">SUM(W74:W80)</f>
        <v>1055.9067689504814</v>
      </c>
      <c r="X81" s="3">
        <f t="shared" ref="X81" si="59">SUM(X74:X80)</f>
        <v>1072.5240391815532</v>
      </c>
      <c r="Y81" s="3">
        <f t="shared" ref="Y81" si="60">SUM(Y74:Y80)</f>
        <v>1090.4520816657205</v>
      </c>
      <c r="Z81" s="3">
        <f t="shared" ref="Z81" si="61">SUM(Z74:Z80)</f>
        <v>1109.8115965577558</v>
      </c>
      <c r="AA81" s="3">
        <f t="shared" ref="AA81" si="62">SUM(AA74:AA80)</f>
        <v>1130.7376495874746</v>
      </c>
      <c r="AB81" s="3">
        <f t="shared" ref="AB81" si="63">SUM(AB74:AB80)</f>
        <v>1153.3815216145092</v>
      </c>
      <c r="AC81" s="3">
        <f t="shared" ref="AC81" si="64">SUM(AC74:AC80)</f>
        <v>1177.9128024176923</v>
      </c>
      <c r="AD81" s="3">
        <f t="shared" ref="AD81" si="65">SUM(AD74:AD80)</f>
        <v>1204.5217611936414</v>
      </c>
      <c r="AE81" s="3">
        <f t="shared" ref="AE81" si="66">SUM(AE74:AE80)</f>
        <v>1233.422030565504</v>
      </c>
      <c r="AF81" s="3">
        <f t="shared" ref="AF81" si="67">SUM(AF74:AF80)</f>
        <v>1264.8536458058461</v>
      </c>
      <c r="AG81" s="3">
        <f t="shared" ref="AG81" si="68">SUM(AG74:AG80)</f>
        <v>1299.0864865342487</v>
      </c>
      <c r="AH81" s="3">
        <f t="shared" ref="AH81" si="69">SUM(AH74:AH80)</f>
        <v>1336.4241744474366</v>
      </c>
      <c r="AI81" s="3">
        <f t="shared" ref="AI81" si="70">SUM(AI74:AI80)</f>
        <v>1377.2084877764423</v>
      </c>
      <c r="AJ81" s="3">
        <f t="shared" ref="AJ81" si="71">SUM(AJ74:AJ80)</f>
        <v>1421.8243612533083</v>
      </c>
      <c r="AK81" s="3">
        <f t="shared" ref="AK81" si="72">SUM(AK74:AK80)</f>
        <v>1470.7055495359973</v>
      </c>
      <c r="AL81" s="3">
        <f t="shared" ref="AL81" si="73">SUM(AL74:AL80)</f>
        <v>1524.3410424282113</v>
      </c>
      <c r="AM81" s="3">
        <f t="shared" ref="AM81" si="74">SUM(AM74:AM80)</f>
        <v>1583.2823320036578</v>
      </c>
      <c r="AN81" s="3">
        <f t="shared" ref="AN81" si="75">SUM(AN74:AN80)</f>
        <v>1648.1516450865161</v>
      </c>
      <c r="AO81" s="3">
        <f t="shared" ref="AO81" si="76">SUM(AO74:AO80)</f>
        <v>1719.6512696607042</v>
      </c>
      <c r="AP81" s="3">
        <f t="shared" ref="AP81" si="77">SUM(AP74:AP80)</f>
        <v>1798.574120917126</v>
      </c>
      <c r="AQ81" s="3">
        <f t="shared" ref="AQ81" si="78">SUM(AQ74:AQ80)</f>
        <v>1885.8157120691462</v>
      </c>
      <c r="AR81" s="3">
        <f t="shared" ref="AR81" si="79">SUM(AR74:AR80)</f>
        <v>1982.3877170766154</v>
      </c>
      <c r="AS81" s="3">
        <f t="shared" ref="AS81" si="80">SUM(AS74:AS80)</f>
        <v>2089.433337363072</v>
      </c>
      <c r="AT81" s="3">
        <f t="shared" ref="AT81" si="81">SUM(AT74:AT80)</f>
        <v>2208.2447128803797</v>
      </c>
      <c r="AU81" s="3">
        <f t="shared" ref="AU81" si="82">SUM(AU74:AU80)</f>
        <v>2340.2826499134526</v>
      </c>
      <c r="AV81" s="3">
        <f t="shared" ref="AV81" si="83">SUM(AV74:AV80)</f>
        <v>2487.1989743271961</v>
      </c>
      <c r="AW81" s="3">
        <f t="shared" ref="AW81" si="84">SUM(AW74:AW80)</f>
        <v>2650.861860107872</v>
      </c>
      <c r="AX81" s="3">
        <f t="shared" ref="AX81" si="85">SUM(AX74:AX80)</f>
        <v>2833.3845296870386</v>
      </c>
      <c r="AY81" s="3">
        <f t="shared" ref="AY81" si="86">SUM(AY74:AY80)</f>
        <v>3037.1577753894539</v>
      </c>
      <c r="AZ81" s="3">
        <f t="shared" ref="AZ81" si="87">SUM(AZ74:AZ80)</f>
        <v>3264.8868112456721</v>
      </c>
      <c r="BA81" s="3">
        <f t="shared" ref="BA81" si="88">SUM(BA74:BA80)</f>
        <v>3519.6330322949425</v>
      </c>
      <c r="BB81" s="3">
        <f t="shared" ref="BB81" si="89">SUM(BB74:BB80)</f>
        <v>3804.8613354390513</v>
      </c>
      <c r="BC81" s="3">
        <f t="shared" ref="BC81" si="90">SUM(BC74:BC80)</f>
        <v>4124.4937430994341</v>
      </c>
      <c r="BD81" s="3">
        <f t="shared" ref="BD81" si="91">SUM(BD74:BD80)</f>
        <v>4482.9701697456958</v>
      </c>
      <c r="BE81" s="3">
        <f t="shared" ref="BE81" si="92">SUM(BE74:BE80)</f>
        <v>4885.3172833532735</v>
      </c>
      <c r="BF81" s="3">
        <f t="shared" ref="BF81" si="93">SUM(BF74:BF80)</f>
        <v>5337.2265407677742</v>
      </c>
      <c r="BG81" s="3">
        <f t="shared" ref="BG81" si="94">SUM(BG74:BG80)</f>
        <v>5845.1426197937508</v>
      </c>
      <c r="BH81" s="3">
        <f t="shared" ref="BH81" si="95">SUM(BH74:BH80)</f>
        <v>6416.3636338425877</v>
      </c>
      <c r="BI81" s="3">
        <f t="shared" ref="BI81" si="96">SUM(BI74:BI80)</f>
        <v>7059.1546997238238</v>
      </c>
    </row>
    <row r="82" spans="3:61" hidden="1" outlineLevel="2" x14ac:dyDescent="0.3"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</row>
    <row r="83" spans="3:61" hidden="1" outlineLevel="2" x14ac:dyDescent="0.3">
      <c r="C83" t="s">
        <v>81</v>
      </c>
      <c r="D83" s="3">
        <f>D4</f>
        <v>4.04</v>
      </c>
      <c r="E83" s="3">
        <f t="shared" ref="E83:N83" si="97">E4</f>
        <v>4.53</v>
      </c>
      <c r="F83" s="3">
        <f t="shared" si="97"/>
        <v>5.29</v>
      </c>
      <c r="G83" s="3">
        <f t="shared" si="97"/>
        <v>6.1</v>
      </c>
      <c r="H83" s="3">
        <f t="shared" si="97"/>
        <v>6.42</v>
      </c>
      <c r="I83" s="3">
        <f t="shared" si="97"/>
        <v>7.11</v>
      </c>
      <c r="J83" s="3">
        <f t="shared" si="97"/>
        <v>7.89</v>
      </c>
      <c r="K83" s="3">
        <f t="shared" si="97"/>
        <v>9.01</v>
      </c>
      <c r="L83" s="3">
        <f t="shared" si="97"/>
        <v>10.69</v>
      </c>
      <c r="M83" s="3">
        <f t="shared" si="97"/>
        <v>12.37</v>
      </c>
      <c r="N83" s="3">
        <f t="shared" si="97"/>
        <v>14.049999999999999</v>
      </c>
      <c r="O83" s="3">
        <f>N83*(1+AVERAGE($E93:$J93))</f>
        <v>15.716837987173314</v>
      </c>
      <c r="P83" s="3">
        <f t="shared" ref="P83:BI88" si="98">O83*(1+AVERAGE($E93:$J93))</f>
        <v>17.581423225270754</v>
      </c>
      <c r="Q83" s="3">
        <f t="shared" si="98"/>
        <v>19.667215687936409</v>
      </c>
      <c r="R83" s="3">
        <f t="shared" si="98"/>
        <v>22.000458549899637</v>
      </c>
      <c r="S83" s="3">
        <f t="shared" si="98"/>
        <v>24.61050837525228</v>
      </c>
      <c r="T83" s="3">
        <f t="shared" si="98"/>
        <v>27.530204477993738</v>
      </c>
      <c r="U83" s="3">
        <f t="shared" si="98"/>
        <v>30.796282102091165</v>
      </c>
      <c r="V83" s="3">
        <f t="shared" si="98"/>
        <v>34.449834619633599</v>
      </c>
      <c r="W83" s="3">
        <f t="shared" si="98"/>
        <v>38.536830562398272</v>
      </c>
      <c r="X83" s="3">
        <f t="shared" si="98"/>
        <v>43.108691992054283</v>
      </c>
      <c r="Y83" s="3">
        <f t="shared" si="98"/>
        <v>48.222941485983831</v>
      </c>
      <c r="Z83" s="3">
        <f t="shared" si="98"/>
        <v>53.943925879013996</v>
      </c>
      <c r="AA83" s="3">
        <f t="shared" si="98"/>
        <v>60.343625867085322</v>
      </c>
      <c r="AB83" s="3">
        <f t="shared" si="98"/>
        <v>67.502561659187251</v>
      </c>
      <c r="AC83" s="3">
        <f t="shared" si="98"/>
        <v>75.510806072357511</v>
      </c>
      <c r="AD83" s="3">
        <f t="shared" si="98"/>
        <v>84.469117816377647</v>
      </c>
      <c r="AE83" s="3">
        <f t="shared" si="98"/>
        <v>94.490209227007995</v>
      </c>
      <c r="AF83" s="3">
        <f t="shared" si="98"/>
        <v>105.7001643982202</v>
      </c>
      <c r="AG83" s="3">
        <f t="shared" si="98"/>
        <v>118.24002555618587</v>
      </c>
      <c r="AH83" s="3">
        <f t="shared" si="98"/>
        <v>132.26756763457692</v>
      </c>
      <c r="AI83" s="3">
        <f t="shared" si="98"/>
        <v>147.95928337865723</v>
      </c>
      <c r="AJ83" s="3">
        <f t="shared" si="98"/>
        <v>165.51260395449262</v>
      </c>
      <c r="AK83" s="3">
        <f t="shared" si="98"/>
        <v>185.14838300270048</v>
      </c>
      <c r="AL83" s="3">
        <f t="shared" si="98"/>
        <v>207.11367539078697</v>
      </c>
      <c r="AM83" s="3">
        <f t="shared" si="98"/>
        <v>231.68484562597888</v>
      </c>
      <c r="AN83" s="3">
        <f t="shared" si="98"/>
        <v>259.17104503820428</v>
      </c>
      <c r="AO83" s="3">
        <f t="shared" si="98"/>
        <v>289.91810148269428</v>
      </c>
      <c r="AP83" s="3">
        <f t="shared" si="98"/>
        <v>324.31287050194857</v>
      </c>
      <c r="AQ83" s="3">
        <f t="shared" si="98"/>
        <v>362.78810269282883</v>
      </c>
      <c r="AR83" s="3">
        <f t="shared" si="98"/>
        <v>405.82788851937261</v>
      </c>
      <c r="AS83" s="3">
        <f t="shared" si="98"/>
        <v>453.97374907726777</v>
      </c>
      <c r="AT83" s="3">
        <f t="shared" si="98"/>
        <v>507.83144944320912</v>
      </c>
      <c r="AU83" s="3">
        <f t="shared" si="98"/>
        <v>568.07862033383014</v>
      </c>
      <c r="AV83" s="3">
        <f t="shared" si="98"/>
        <v>635.47328396895011</v>
      </c>
      <c r="AW83" s="3">
        <f t="shared" si="98"/>
        <v>710.86339141046051</v>
      </c>
      <c r="AX83" s="3">
        <f t="shared" si="98"/>
        <v>795.19749137443262</v>
      </c>
      <c r="AY83" s="3">
        <f t="shared" si="98"/>
        <v>889.53666475007878</v>
      </c>
      <c r="AZ83" s="3">
        <f t="shared" si="98"/>
        <v>995.06787498416304</v>
      </c>
      <c r="BA83" s="3">
        <f t="shared" si="98"/>
        <v>1113.1189023036954</v>
      </c>
      <c r="BB83" s="3">
        <f t="shared" si="98"/>
        <v>1245.1750496773936</v>
      </c>
      <c r="BC83" s="3">
        <f t="shared" si="98"/>
        <v>1392.8978307081907</v>
      </c>
      <c r="BD83" s="3">
        <f t="shared" si="98"/>
        <v>1558.1458745854659</v>
      </c>
      <c r="BE83" s="3">
        <f t="shared" si="98"/>
        <v>1742.998311120444</v>
      </c>
      <c r="BF83" s="3">
        <f t="shared" si="98"/>
        <v>1949.7809300922936</v>
      </c>
      <c r="BG83" s="3">
        <f t="shared" si="98"/>
        <v>2181.0954440384821</v>
      </c>
      <c r="BH83" s="3">
        <f t="shared" si="98"/>
        <v>2439.8522226700829</v>
      </c>
      <c r="BI83" s="3">
        <f t="shared" si="98"/>
        <v>2729.3069107722708</v>
      </c>
    </row>
    <row r="84" spans="3:61" hidden="1" outlineLevel="2" x14ac:dyDescent="0.3">
      <c r="C84" t="s">
        <v>83</v>
      </c>
      <c r="D84" s="3">
        <f t="shared" ref="D84:N89" si="99">D5</f>
        <v>331.84</v>
      </c>
      <c r="E84" s="3">
        <f t="shared" si="99"/>
        <v>330.21</v>
      </c>
      <c r="F84" s="3">
        <f t="shared" si="99"/>
        <v>328.57</v>
      </c>
      <c r="G84" s="3">
        <f t="shared" si="99"/>
        <v>326.93</v>
      </c>
      <c r="H84" s="3">
        <f t="shared" si="99"/>
        <v>325.28999999999996</v>
      </c>
      <c r="I84" s="3">
        <f t="shared" si="99"/>
        <v>323.68</v>
      </c>
      <c r="J84" s="3">
        <f t="shared" si="99"/>
        <v>322.04000000000002</v>
      </c>
      <c r="K84" s="3">
        <f t="shared" si="99"/>
        <v>320.39999999999998</v>
      </c>
      <c r="L84" s="3">
        <f t="shared" si="99"/>
        <v>319.07</v>
      </c>
      <c r="M84" s="3">
        <f t="shared" si="99"/>
        <v>317.74</v>
      </c>
      <c r="N84" s="3">
        <f t="shared" si="99"/>
        <v>316.41000000000003</v>
      </c>
      <c r="O84" s="3">
        <f t="shared" ref="O84:AD89" si="100">N84*(1+AVERAGE($E94:$J94))</f>
        <v>314.83309720199475</v>
      </c>
      <c r="P84" s="3">
        <f t="shared" si="100"/>
        <v>313.2640532657017</v>
      </c>
      <c r="Q84" s="3">
        <f t="shared" si="100"/>
        <v>311.70282902465635</v>
      </c>
      <c r="R84" s="3">
        <f t="shared" si="100"/>
        <v>310.14938550758944</v>
      </c>
      <c r="S84" s="3">
        <f t="shared" si="100"/>
        <v>308.60368393745409</v>
      </c>
      <c r="T84" s="3">
        <f t="shared" si="100"/>
        <v>307.0656857304578</v>
      </c>
      <c r="U84" s="3">
        <f t="shared" si="100"/>
        <v>305.53535249509935</v>
      </c>
      <c r="V84" s="3">
        <f t="shared" si="100"/>
        <v>304.01264603121058</v>
      </c>
      <c r="W84" s="3">
        <f t="shared" si="100"/>
        <v>302.49752832900271</v>
      </c>
      <c r="X84" s="3">
        <f t="shared" si="100"/>
        <v>300.98996156811751</v>
      </c>
      <c r="Y84" s="3">
        <f t="shared" si="100"/>
        <v>299.48990811668341</v>
      </c>
      <c r="Z84" s="3">
        <f t="shared" si="100"/>
        <v>297.99733053037596</v>
      </c>
      <c r="AA84" s="3">
        <f t="shared" si="100"/>
        <v>296.51219155148323</v>
      </c>
      <c r="AB84" s="3">
        <f t="shared" si="100"/>
        <v>295.03445410797571</v>
      </c>
      <c r="AC84" s="3">
        <f t="shared" si="100"/>
        <v>293.56408131258104</v>
      </c>
      <c r="AD84" s="3">
        <f t="shared" si="100"/>
        <v>292.10103646186315</v>
      </c>
      <c r="AE84" s="3">
        <f t="shared" si="98"/>
        <v>290.64528303530597</v>
      </c>
      <c r="AF84" s="3">
        <f t="shared" si="98"/>
        <v>289.19678469440203</v>
      </c>
      <c r="AG84" s="3">
        <f t="shared" si="98"/>
        <v>287.75550528174523</v>
      </c>
      <c r="AH84" s="3">
        <f t="shared" si="98"/>
        <v>286.32140882012834</v>
      </c>
      <c r="AI84" s="3">
        <f t="shared" si="98"/>
        <v>284.89445951164481</v>
      </c>
      <c r="AJ84" s="3">
        <f t="shared" si="98"/>
        <v>283.47462173679537</v>
      </c>
      <c r="AK84" s="3">
        <f t="shared" si="98"/>
        <v>282.06186005359876</v>
      </c>
      <c r="AL84" s="3">
        <f t="shared" si="98"/>
        <v>280.6561391967071</v>
      </c>
      <c r="AM84" s="3">
        <f t="shared" si="98"/>
        <v>279.25742407652558</v>
      </c>
      <c r="AN84" s="3">
        <f t="shared" si="98"/>
        <v>277.86567977833647</v>
      </c>
      <c r="AO84" s="3">
        <f t="shared" si="98"/>
        <v>276.4808715614277</v>
      </c>
      <c r="AP84" s="3">
        <f t="shared" si="98"/>
        <v>275.10296485822568</v>
      </c>
      <c r="AQ84" s="3">
        <f t="shared" si="98"/>
        <v>273.7319252734323</v>
      </c>
      <c r="AR84" s="3">
        <f t="shared" si="98"/>
        <v>272.36771858316638</v>
      </c>
      <c r="AS84" s="3">
        <f t="shared" si="98"/>
        <v>271.01031073410945</v>
      </c>
      <c r="AT84" s="3">
        <f t="shared" si="98"/>
        <v>269.65966784265567</v>
      </c>
      <c r="AU84" s="3">
        <f t="shared" si="98"/>
        <v>268.31575619406601</v>
      </c>
      <c r="AV84" s="3">
        <f t="shared" si="98"/>
        <v>266.97854224162671</v>
      </c>
      <c r="AW84" s="3">
        <f t="shared" si="98"/>
        <v>265.64799260581185</v>
      </c>
      <c r="AX84" s="3">
        <f t="shared" si="98"/>
        <v>264.32407407345011</v>
      </c>
      <c r="AY84" s="3">
        <f t="shared" si="98"/>
        <v>263.00675359689569</v>
      </c>
      <c r="AZ84" s="3">
        <f t="shared" si="98"/>
        <v>261.69599829320356</v>
      </c>
      <c r="BA84" s="3">
        <f t="shared" si="98"/>
        <v>260.3917754433084</v>
      </c>
      <c r="BB84" s="3">
        <f t="shared" si="98"/>
        <v>259.09405249120795</v>
      </c>
      <c r="BC84" s="3">
        <f t="shared" si="98"/>
        <v>257.80279704315035</v>
      </c>
      <c r="BD84" s="3">
        <f t="shared" si="98"/>
        <v>256.51797686682556</v>
      </c>
      <c r="BE84" s="3">
        <f t="shared" si="98"/>
        <v>255.23955989056074</v>
      </c>
      <c r="BF84" s="3">
        <f t="shared" si="98"/>
        <v>253.96751420251971</v>
      </c>
      <c r="BG84" s="3">
        <f t="shared" si="98"/>
        <v>252.70180804990633</v>
      </c>
      <c r="BH84" s="3">
        <f t="shared" si="98"/>
        <v>251.44240983817193</v>
      </c>
      <c r="BI84" s="3">
        <f t="shared" si="98"/>
        <v>250.18928813022654</v>
      </c>
    </row>
    <row r="85" spans="3:61" hidden="1" outlineLevel="2" x14ac:dyDescent="0.3">
      <c r="C85" t="s">
        <v>84</v>
      </c>
      <c r="D85" s="3">
        <f t="shared" si="99"/>
        <v>71.16</v>
      </c>
      <c r="E85" s="3">
        <f t="shared" si="99"/>
        <v>71.89</v>
      </c>
      <c r="F85" s="3">
        <f t="shared" si="99"/>
        <v>72.63</v>
      </c>
      <c r="G85" s="3">
        <f t="shared" si="99"/>
        <v>73.36</v>
      </c>
      <c r="H85" s="3">
        <f t="shared" si="99"/>
        <v>74.09</v>
      </c>
      <c r="I85" s="3">
        <f t="shared" si="99"/>
        <v>74.83</v>
      </c>
      <c r="J85" s="3">
        <f t="shared" si="99"/>
        <v>75.56</v>
      </c>
      <c r="K85" s="3">
        <f t="shared" si="99"/>
        <v>76.31</v>
      </c>
      <c r="L85" s="3">
        <f t="shared" si="99"/>
        <v>77.040000000000006</v>
      </c>
      <c r="M85" s="3">
        <f t="shared" si="99"/>
        <v>77.77000000000001</v>
      </c>
      <c r="N85" s="3">
        <f t="shared" si="99"/>
        <v>78.500000000000014</v>
      </c>
      <c r="O85" s="3">
        <f t="shared" si="100"/>
        <v>79.28888894961608</v>
      </c>
      <c r="P85" s="3">
        <f t="shared" si="98"/>
        <v>80.085705870885988</v>
      </c>
      <c r="Q85" s="3">
        <f t="shared" si="98"/>
        <v>80.89053043628401</v>
      </c>
      <c r="R85" s="3">
        <f t="shared" si="98"/>
        <v>81.703443118956187</v>
      </c>
      <c r="S85" s="3">
        <f t="shared" si="98"/>
        <v>82.524525200766746</v>
      </c>
      <c r="T85" s="3">
        <f t="shared" si="98"/>
        <v>83.353858780425313</v>
      </c>
      <c r="U85" s="3">
        <f t="shared" si="98"/>
        <v>84.191526781695828</v>
      </c>
      <c r="V85" s="3">
        <f t="shared" si="98"/>
        <v>85.037612961687984</v>
      </c>
      <c r="W85" s="3">
        <f t="shared" si="98"/>
        <v>85.892201919231979</v>
      </c>
      <c r="X85" s="3">
        <f t="shared" si="98"/>
        <v>86.755379103337376</v>
      </c>
      <c r="Y85" s="3">
        <f t="shared" si="98"/>
        <v>87.627230821737058</v>
      </c>
      <c r="Z85" s="3">
        <f t="shared" si="98"/>
        <v>88.507844249516992</v>
      </c>
      <c r="AA85" s="3">
        <f t="shared" si="98"/>
        <v>89.397307437832708</v>
      </c>
      <c r="AB85" s="3">
        <f t="shared" si="98"/>
        <v>90.295709322713421</v>
      </c>
      <c r="AC85" s="3">
        <f t="shared" si="98"/>
        <v>91.2031397339546</v>
      </c>
      <c r="AD85" s="3">
        <f t="shared" si="98"/>
        <v>92.119689404099901</v>
      </c>
      <c r="AE85" s="3">
        <f t="shared" si="98"/>
        <v>93.045449977513385</v>
      </c>
      <c r="AF85" s="3">
        <f t="shared" si="98"/>
        <v>93.980514019542866</v>
      </c>
      <c r="AG85" s="3">
        <f t="shared" si="98"/>
        <v>94.92497502577541</v>
      </c>
      <c r="AH85" s="3">
        <f t="shared" si="98"/>
        <v>95.87892743138579</v>
      </c>
      <c r="AI85" s="3">
        <f t="shared" si="98"/>
        <v>96.842466620578918</v>
      </c>
      <c r="AJ85" s="3">
        <f t="shared" si="98"/>
        <v>97.81568893612716</v>
      </c>
      <c r="AK85" s="3">
        <f t="shared" si="98"/>
        <v>98.798691689003505</v>
      </c>
      <c r="AL85" s="3">
        <f t="shared" si="98"/>
        <v>99.791573168111526</v>
      </c>
      <c r="AM85" s="3">
        <f t="shared" si="98"/>
        <v>100.79443265011314</v>
      </c>
      <c r="AN85" s="3">
        <f t="shared" si="98"/>
        <v>101.80737040935512</v>
      </c>
      <c r="AO85" s="3">
        <f t="shared" si="98"/>
        <v>102.83048772789537</v>
      </c>
      <c r="AP85" s="3">
        <f t="shared" si="98"/>
        <v>103.86388690562998</v>
      </c>
      <c r="AQ85" s="3">
        <f t="shared" si="98"/>
        <v>104.90767127052202</v>
      </c>
      <c r="AR85" s="3">
        <f t="shared" si="98"/>
        <v>105.96194518893309</v>
      </c>
      <c r="AS85" s="3">
        <f t="shared" si="98"/>
        <v>107.02681407605886</v>
      </c>
      <c r="AT85" s="3">
        <f t="shared" si="98"/>
        <v>108.10238440646926</v>
      </c>
      <c r="AU85" s="3">
        <f t="shared" si="98"/>
        <v>109.18876372475475</v>
      </c>
      <c r="AV85" s="3">
        <f t="shared" si="98"/>
        <v>110.28606065627957</v>
      </c>
      <c r="AW85" s="3">
        <f t="shared" si="98"/>
        <v>111.39438491804296</v>
      </c>
      <c r="AX85" s="3">
        <f t="shared" si="98"/>
        <v>112.51384732964962</v>
      </c>
      <c r="AY85" s="3">
        <f t="shared" si="98"/>
        <v>113.64455982439038</v>
      </c>
      <c r="AZ85" s="3">
        <f t="shared" si="98"/>
        <v>114.78663546043425</v>
      </c>
      <c r="BA85" s="3">
        <f t="shared" si="98"/>
        <v>115.9401884321329</v>
      </c>
      <c r="BB85" s="3">
        <f t="shared" si="98"/>
        <v>117.10533408143881</v>
      </c>
      <c r="BC85" s="3">
        <f t="shared" si="98"/>
        <v>118.2821889094381</v>
      </c>
      <c r="BD85" s="3">
        <f t="shared" si="98"/>
        <v>119.47087058799933</v>
      </c>
      <c r="BE85" s="3">
        <f t="shared" si="98"/>
        <v>120.67149797153925</v>
      </c>
      <c r="BF85" s="3">
        <f t="shared" si="98"/>
        <v>121.88419110890696</v>
      </c>
      <c r="BG85" s="3">
        <f t="shared" si="98"/>
        <v>123.10907125538733</v>
      </c>
      <c r="BH85" s="3">
        <f t="shared" si="98"/>
        <v>124.34626088482518</v>
      </c>
      <c r="BI85" s="3">
        <f t="shared" si="98"/>
        <v>125.59588370187123</v>
      </c>
    </row>
    <row r="86" spans="3:61" hidden="1" outlineLevel="2" x14ac:dyDescent="0.3">
      <c r="C86" t="s">
        <v>85</v>
      </c>
      <c r="D86" s="3">
        <f t="shared" si="99"/>
        <v>20.51</v>
      </c>
      <c r="E86" s="3">
        <f t="shared" si="99"/>
        <v>20.399999999999999</v>
      </c>
      <c r="F86" s="3">
        <f t="shared" si="99"/>
        <v>20.310000000000002</v>
      </c>
      <c r="G86" s="3">
        <f t="shared" si="99"/>
        <v>20.2</v>
      </c>
      <c r="H86" s="3">
        <f t="shared" si="99"/>
        <v>20.11</v>
      </c>
      <c r="I86" s="3">
        <f t="shared" si="99"/>
        <v>20</v>
      </c>
      <c r="J86" s="3">
        <f t="shared" si="99"/>
        <v>19.91</v>
      </c>
      <c r="K86" s="3">
        <f t="shared" si="99"/>
        <v>19.8</v>
      </c>
      <c r="L86" s="3">
        <f t="shared" si="99"/>
        <v>19.72</v>
      </c>
      <c r="M86" s="3">
        <f t="shared" si="99"/>
        <v>19.639999999999997</v>
      </c>
      <c r="N86" s="3">
        <f t="shared" si="99"/>
        <v>19.559999999999995</v>
      </c>
      <c r="O86" s="3">
        <f t="shared" si="100"/>
        <v>19.463450489164128</v>
      </c>
      <c r="P86" s="3">
        <f t="shared" si="98"/>
        <v>19.367377553381566</v>
      </c>
      <c r="Q86" s="3">
        <f t="shared" si="98"/>
        <v>19.271778840244931</v>
      </c>
      <c r="R86" s="3">
        <f t="shared" si="98"/>
        <v>19.176652008958495</v>
      </c>
      <c r="S86" s="3">
        <f t="shared" si="98"/>
        <v>19.081994730280858</v>
      </c>
      <c r="T86" s="3">
        <f t="shared" si="98"/>
        <v>18.987804686467911</v>
      </c>
      <c r="U86" s="3">
        <f t="shared" si="98"/>
        <v>18.894079571216096</v>
      </c>
      <c r="V86" s="3">
        <f t="shared" si="98"/>
        <v>18.800817089605928</v>
      </c>
      <c r="W86" s="3">
        <f t="shared" si="98"/>
        <v>18.708014958045801</v>
      </c>
      <c r="X86" s="3">
        <f t="shared" si="98"/>
        <v>18.615670904216078</v>
      </c>
      <c r="Y86" s="3">
        <f t="shared" si="98"/>
        <v>18.523782667013442</v>
      </c>
      <c r="Z86" s="3">
        <f t="shared" si="98"/>
        <v>18.432347996495544</v>
      </c>
      <c r="AA86" s="3">
        <f t="shared" si="98"/>
        <v>18.341364653825906</v>
      </c>
      <c r="AB86" s="3">
        <f t="shared" si="98"/>
        <v>18.250830411219098</v>
      </c>
      <c r="AC86" s="3">
        <f t="shared" si="98"/>
        <v>18.160743051886197</v>
      </c>
      <c r="AD86" s="3">
        <f t="shared" si="98"/>
        <v>18.071100369980496</v>
      </c>
      <c r="AE86" s="3">
        <f t="shared" si="98"/>
        <v>17.981900170543508</v>
      </c>
      <c r="AF86" s="3">
        <f t="shared" si="98"/>
        <v>17.893140269451209</v>
      </c>
      <c r="AG86" s="3">
        <f t="shared" si="98"/>
        <v>17.80481849336056</v>
      </c>
      <c r="AH86" s="3">
        <f t="shared" si="98"/>
        <v>17.716932679656299</v>
      </c>
      <c r="AI86" s="3">
        <f t="shared" si="98"/>
        <v>17.629480676397975</v>
      </c>
      <c r="AJ86" s="3">
        <f t="shared" si="98"/>
        <v>17.542460342267269</v>
      </c>
      <c r="AK86" s="3">
        <f t="shared" si="98"/>
        <v>17.455869546515554</v>
      </c>
      <c r="AL86" s="3">
        <f t="shared" si="98"/>
        <v>17.36970616891173</v>
      </c>
      <c r="AM86" s="3">
        <f t="shared" si="98"/>
        <v>17.283968099690298</v>
      </c>
      <c r="AN86" s="3">
        <f t="shared" si="98"/>
        <v>17.198653239499713</v>
      </c>
      <c r="AO86" s="3">
        <f t="shared" si="98"/>
        <v>17.113759499350969</v>
      </c>
      <c r="AP86" s="3">
        <f t="shared" si="98"/>
        <v>17.029284800566458</v>
      </c>
      <c r="AQ86" s="3">
        <f t="shared" si="98"/>
        <v>16.945227074729068</v>
      </c>
      <c r="AR86" s="3">
        <f t="shared" si="98"/>
        <v>16.861584263631531</v>
      </c>
      <c r="AS86" s="3">
        <f t="shared" si="98"/>
        <v>16.778354319226043</v>
      </c>
      <c r="AT86" s="3">
        <f t="shared" si="98"/>
        <v>16.695535203574092</v>
      </c>
      <c r="AU86" s="3">
        <f t="shared" si="98"/>
        <v>16.613124888796584</v>
      </c>
      <c r="AV86" s="3">
        <f t="shared" si="98"/>
        <v>16.531121357024166</v>
      </c>
      <c r="AW86" s="3">
        <f t="shared" si="98"/>
        <v>16.449522600347834</v>
      </c>
      <c r="AX86" s="3">
        <f t="shared" si="98"/>
        <v>16.368326620769761</v>
      </c>
      <c r="AY86" s="3">
        <f t="shared" si="98"/>
        <v>16.28753143015437</v>
      </c>
      <c r="AZ86" s="3">
        <f t="shared" si="98"/>
        <v>16.207135050179666</v>
      </c>
      <c r="BA86" s="3">
        <f t="shared" si="98"/>
        <v>16.127135512288781</v>
      </c>
      <c r="BB86" s="3">
        <f t="shared" si="98"/>
        <v>16.047530857641785</v>
      </c>
      <c r="BC86" s="3">
        <f t="shared" si="98"/>
        <v>15.968319137067716</v>
      </c>
      <c r="BD86" s="3">
        <f t="shared" si="98"/>
        <v>15.889498411016852</v>
      </c>
      <c r="BE86" s="3">
        <f t="shared" si="98"/>
        <v>15.811066749513223</v>
      </c>
      <c r="BF86" s="3">
        <f t="shared" si="98"/>
        <v>15.733022232107357</v>
      </c>
      <c r="BG86" s="3">
        <f t="shared" si="98"/>
        <v>15.65536294782925</v>
      </c>
      <c r="BH86" s="3">
        <f t="shared" si="98"/>
        <v>15.578086995141577</v>
      </c>
      <c r="BI86" s="3">
        <f t="shared" si="98"/>
        <v>15.501192481893137</v>
      </c>
    </row>
    <row r="87" spans="3:61" hidden="1" outlineLevel="2" x14ac:dyDescent="0.3">
      <c r="C87" t="s">
        <v>87</v>
      </c>
      <c r="D87" s="3">
        <f t="shared" si="99"/>
        <v>256.95999999999998</v>
      </c>
      <c r="E87" s="3">
        <f t="shared" si="99"/>
        <v>257.11</v>
      </c>
      <c r="F87" s="3">
        <f t="shared" si="99"/>
        <v>253.39</v>
      </c>
      <c r="G87" s="3">
        <f t="shared" si="99"/>
        <v>247.54</v>
      </c>
      <c r="H87" s="3">
        <f t="shared" si="99"/>
        <v>246.45</v>
      </c>
      <c r="I87" s="3">
        <f t="shared" si="99"/>
        <v>246.45</v>
      </c>
      <c r="J87" s="3">
        <f t="shared" si="99"/>
        <v>231.04</v>
      </c>
      <c r="K87" s="3">
        <f t="shared" si="99"/>
        <v>289.54000000000002</v>
      </c>
      <c r="L87" s="3">
        <f t="shared" si="99"/>
        <v>239.1</v>
      </c>
      <c r="M87" s="3">
        <f t="shared" si="99"/>
        <v>246.98</v>
      </c>
      <c r="N87" s="3">
        <f t="shared" si="99"/>
        <v>224.57</v>
      </c>
      <c r="O87" s="3">
        <f t="shared" si="100"/>
        <v>220.68108639172411</v>
      </c>
      <c r="P87" s="3">
        <f t="shared" si="98"/>
        <v>216.85951770508794</v>
      </c>
      <c r="Q87" s="3">
        <f t="shared" si="98"/>
        <v>213.10412771761204</v>
      </c>
      <c r="R87" s="3">
        <f t="shared" si="98"/>
        <v>209.41377040247295</v>
      </c>
      <c r="S87" s="3">
        <f t="shared" si="98"/>
        <v>205.78731957877193</v>
      </c>
      <c r="T87" s="3">
        <f t="shared" si="98"/>
        <v>202.22366856785993</v>
      </c>
      <c r="U87" s="3">
        <f t="shared" si="98"/>
        <v>198.7217298556142</v>
      </c>
      <c r="V87" s="3">
        <f t="shared" si="98"/>
        <v>195.28043476056311</v>
      </c>
      <c r="W87" s="3">
        <f t="shared" si="98"/>
        <v>191.89873310775826</v>
      </c>
      <c r="X87" s="3">
        <f t="shared" si="98"/>
        <v>188.57559290829411</v>
      </c>
      <c r="Y87" s="3">
        <f t="shared" si="98"/>
        <v>185.31000004437749</v>
      </c>
      <c r="Z87" s="3">
        <f t="shared" si="98"/>
        <v>182.10095795985069</v>
      </c>
      <c r="AA87" s="3">
        <f t="shared" si="98"/>
        <v>178.94748735607396</v>
      </c>
      <c r="AB87" s="3">
        <f t="shared" si="98"/>
        <v>175.8486258930744</v>
      </c>
      <c r="AC87" s="3">
        <f t="shared" si="98"/>
        <v>172.80342789586999</v>
      </c>
      <c r="AD87" s="3">
        <f t="shared" si="98"/>
        <v>169.81096406587946</v>
      </c>
      <c r="AE87" s="3">
        <f t="shared" si="98"/>
        <v>166.87032119732959</v>
      </c>
      <c r="AF87" s="3">
        <f t="shared" si="98"/>
        <v>163.98060189857347</v>
      </c>
      <c r="AG87" s="3">
        <f t="shared" si="98"/>
        <v>161.14092431823491</v>
      </c>
      <c r="AH87" s="3">
        <f t="shared" si="98"/>
        <v>158.35042187609508</v>
      </c>
      <c r="AI87" s="3">
        <f t="shared" si="98"/>
        <v>155.60824299863961</v>
      </c>
      <c r="AJ87" s="3">
        <f t="shared" si="98"/>
        <v>152.91355085918505</v>
      </c>
      <c r="AK87" s="3">
        <f t="shared" si="98"/>
        <v>150.26552312250575</v>
      </c>
      <c r="AL87" s="3">
        <f t="shared" si="98"/>
        <v>147.66335169388302</v>
      </c>
      <c r="AM87" s="3">
        <f t="shared" si="98"/>
        <v>145.10624247250007</v>
      </c>
      <c r="AN87" s="3">
        <f t="shared" si="98"/>
        <v>142.59341510910744</v>
      </c>
      <c r="AO87" s="3">
        <f t="shared" si="98"/>
        <v>140.12410276788492</v>
      </c>
      <c r="AP87" s="3">
        <f t="shared" si="98"/>
        <v>137.6975518924275</v>
      </c>
      <c r="AQ87" s="3">
        <f t="shared" si="98"/>
        <v>135.31302197578353</v>
      </c>
      <c r="AR87" s="3">
        <f t="shared" si="98"/>
        <v>132.96978533447543</v>
      </c>
      <c r="AS87" s="3">
        <f t="shared" si="98"/>
        <v>130.66712688643355</v>
      </c>
      <c r="AT87" s="3">
        <f t="shared" si="98"/>
        <v>128.40434393277562</v>
      </c>
      <c r="AU87" s="3">
        <f t="shared" si="98"/>
        <v>126.18074594336515</v>
      </c>
      <c r="AV87" s="3">
        <f t="shared" si="98"/>
        <v>123.99565434608344</v>
      </c>
      <c r="AW87" s="3">
        <f t="shared" si="98"/>
        <v>121.84840231975065</v>
      </c>
      <c r="AX87" s="3">
        <f t="shared" si="98"/>
        <v>119.73833459063299</v>
      </c>
      <c r="AY87" s="3">
        <f t="shared" si="98"/>
        <v>117.66480723247382</v>
      </c>
      <c r="AZ87" s="3">
        <f t="shared" si="98"/>
        <v>115.62718746998762</v>
      </c>
      <c r="BA87" s="3">
        <f t="shared" si="98"/>
        <v>113.62485348575686</v>
      </c>
      <c r="BB87" s="3">
        <f t="shared" si="98"/>
        <v>111.65719423047292</v>
      </c>
      <c r="BC87" s="3">
        <f t="shared" si="98"/>
        <v>109.72360923646309</v>
      </c>
      <c r="BD87" s="3">
        <f t="shared" si="98"/>
        <v>107.82350843444667</v>
      </c>
      <c r="BE87" s="3">
        <f t="shared" si="98"/>
        <v>105.95631197346448</v>
      </c>
      <c r="BF87" s="3">
        <f t="shared" si="98"/>
        <v>104.12145004392656</v>
      </c>
      <c r="BG87" s="3">
        <f t="shared" si="98"/>
        <v>102.3183627037242</v>
      </c>
      <c r="BH87" s="3">
        <f t="shared" si="98"/>
        <v>100.54649970735326</v>
      </c>
      <c r="BI87" s="3">
        <f t="shared" si="98"/>
        <v>98.805320337996562</v>
      </c>
    </row>
    <row r="88" spans="3:61" hidden="1" outlineLevel="2" x14ac:dyDescent="0.3">
      <c r="C88" t="s">
        <v>89</v>
      </c>
      <c r="D88" s="3">
        <f t="shared" si="99"/>
        <v>33.799999999999997</v>
      </c>
      <c r="E88" s="3">
        <f t="shared" si="99"/>
        <v>39.86</v>
      </c>
      <c r="F88" s="3">
        <f t="shared" si="99"/>
        <v>37.43</v>
      </c>
      <c r="G88" s="3">
        <f t="shared" si="99"/>
        <v>37.450000000000003</v>
      </c>
      <c r="H88" s="3">
        <f t="shared" si="99"/>
        <v>35.479999999999997</v>
      </c>
      <c r="I88" s="3">
        <f t="shared" si="99"/>
        <v>30.16</v>
      </c>
      <c r="J88" s="3">
        <f t="shared" si="99"/>
        <v>29.94</v>
      </c>
      <c r="K88" s="3">
        <f t="shared" si="99"/>
        <v>25.95</v>
      </c>
      <c r="L88" s="3">
        <f t="shared" si="99"/>
        <v>27.66</v>
      </c>
      <c r="M88" s="3">
        <f t="shared" si="99"/>
        <v>25.2</v>
      </c>
      <c r="N88" s="3">
        <f t="shared" si="99"/>
        <v>26</v>
      </c>
      <c r="O88" s="3">
        <f t="shared" si="100"/>
        <v>25.605750597094826</v>
      </c>
      <c r="P88" s="3">
        <f t="shared" si="98"/>
        <v>25.217479370793153</v>
      </c>
      <c r="Q88" s="3">
        <f t="shared" si="98"/>
        <v>24.835095671381278</v>
      </c>
      <c r="R88" s="3">
        <f t="shared" si="98"/>
        <v>24.458510223706856</v>
      </c>
      <c r="S88" s="3">
        <f t="shared" si="98"/>
        <v>24.087635106335835</v>
      </c>
      <c r="T88" s="3">
        <f t="shared" si="98"/>
        <v>23.722383731025428</v>
      </c>
      <c r="U88" s="3">
        <f t="shared" si="98"/>
        <v>23.362670822508342</v>
      </c>
      <c r="V88" s="3">
        <f t="shared" si="98"/>
        <v>23.00841239858357</v>
      </c>
      <c r="W88" s="3">
        <f t="shared" si="98"/>
        <v>22.659525750509047</v>
      </c>
      <c r="X88" s="3">
        <f t="shared" si="98"/>
        <v>22.315929423691639</v>
      </c>
      <c r="Y88" s="3">
        <f t="shared" si="98"/>
        <v>21.977543198669927</v>
      </c>
      <c r="Z88" s="3">
        <f t="shared" si="98"/>
        <v>21.644288072385379</v>
      </c>
      <c r="AA88" s="3">
        <f t="shared" si="98"/>
        <v>21.316086239737473</v>
      </c>
      <c r="AB88" s="3">
        <f t="shared" si="98"/>
        <v>20.99286107541856</v>
      </c>
      <c r="AC88" s="3">
        <f t="shared" si="98"/>
        <v>20.674537116024133</v>
      </c>
      <c r="AD88" s="3">
        <f t="shared" si="98"/>
        <v>20.361040042434386</v>
      </c>
      <c r="AE88" s="3">
        <f t="shared" si="98"/>
        <v>20.052296662462918</v>
      </c>
      <c r="AF88" s="3">
        <f t="shared" si="98"/>
        <v>19.748234893768554</v>
      </c>
      <c r="AG88" s="3">
        <f t="shared" si="98"/>
        <v>19.448783747026269</v>
      </c>
      <c r="AH88" s="3">
        <f t="shared" si="98"/>
        <v>19.153873309353308</v>
      </c>
      <c r="AI88" s="3">
        <f t="shared" si="98"/>
        <v>18.863434727986618</v>
      </c>
      <c r="AJ88" s="3">
        <f t="shared" si="98"/>
        <v>18.577400194207794</v>
      </c>
      <c r="AK88" s="3">
        <f t="shared" si="98"/>
        <v>18.295702927511758</v>
      </c>
      <c r="AL88" s="3">
        <f t="shared" si="98"/>
        <v>18.018277160015529</v>
      </c>
      <c r="AM88" s="3">
        <f t="shared" si="98"/>
        <v>17.745058121103373</v>
      </c>
      <c r="AN88" s="3">
        <f t="shared" si="98"/>
        <v>17.475982022304809</v>
      </c>
      <c r="AO88" s="3">
        <f t="shared" si="98"/>
        <v>17.210986042401913</v>
      </c>
      <c r="AP88" s="3">
        <f t="shared" si="98"/>
        <v>16.950008312762442</v>
      </c>
      <c r="AQ88" s="3">
        <f t="shared" si="98"/>
        <v>16.692987902895354</v>
      </c>
      <c r="AR88" s="3">
        <f t="shared" si="98"/>
        <v>16.439864806225362</v>
      </c>
      <c r="AS88" s="3">
        <f t="shared" si="98"/>
        <v>16.190579926083203</v>
      </c>
      <c r="AT88" s="3">
        <f t="shared" si="98"/>
        <v>15.945075061908325</v>
      </c>
      <c r="AU88" s="3">
        <f t="shared" si="98"/>
        <v>15.703292895660804</v>
      </c>
      <c r="AV88" s="3">
        <f t="shared" si="98"/>
        <v>15.46517697843929</v>
      </c>
      <c r="AW88" s="3">
        <f t="shared" si="98"/>
        <v>15.230671717301885</v>
      </c>
      <c r="AX88" s="3">
        <f t="shared" si="98"/>
        <v>14.999722362286846</v>
      </c>
      <c r="AY88" s="3">
        <f t="shared" si="98"/>
        <v>14.772274993630116</v>
      </c>
      <c r="AZ88" s="3">
        <f t="shared" si="98"/>
        <v>14.548276509176665</v>
      </c>
      <c r="BA88" s="3">
        <f t="shared" si="98"/>
        <v>14.327674611982731</v>
      </c>
      <c r="BB88" s="3">
        <f t="shared" si="98"/>
        <v>14.110417798106045</v>
      </c>
      <c r="BC88" s="3">
        <f t="shared" si="98"/>
        <v>13.896455344581204</v>
      </c>
      <c r="BD88" s="3">
        <f t="shared" ref="P88:BI89" si="101">BC88*(1+AVERAGE($E98:$J98))</f>
        <v>13.685737297577374</v>
      </c>
      <c r="BE88" s="3">
        <f t="shared" si="101"/>
        <v>13.478214460735568</v>
      </c>
      <c r="BF88" s="3">
        <f t="shared" si="101"/>
        <v>13.273838383682765</v>
      </c>
      <c r="BG88" s="3">
        <f t="shared" si="101"/>
        <v>13.072561350720198</v>
      </c>
      <c r="BH88" s="3">
        <f t="shared" si="101"/>
        <v>12.874336369683171</v>
      </c>
      <c r="BI88" s="3">
        <f t="shared" si="101"/>
        <v>12.679117160969787</v>
      </c>
    </row>
    <row r="89" spans="3:61" hidden="1" outlineLevel="2" x14ac:dyDescent="0.3">
      <c r="C89" t="s">
        <v>91</v>
      </c>
      <c r="D89" s="3">
        <f t="shared" si="99"/>
        <v>191.14</v>
      </c>
      <c r="E89" s="3">
        <f t="shared" si="99"/>
        <v>196.62</v>
      </c>
      <c r="F89" s="3">
        <f t="shared" si="99"/>
        <v>203.75</v>
      </c>
      <c r="G89" s="3">
        <f t="shared" si="99"/>
        <v>212.28</v>
      </c>
      <c r="H89" s="3">
        <f t="shared" si="99"/>
        <v>212.95</v>
      </c>
      <c r="I89" s="3">
        <f t="shared" si="99"/>
        <v>227.8</v>
      </c>
      <c r="J89" s="3">
        <f t="shared" si="99"/>
        <v>232.15</v>
      </c>
      <c r="K89" s="3">
        <f t="shared" si="99"/>
        <v>260.10000000000002</v>
      </c>
      <c r="L89" s="3">
        <f t="shared" si="99"/>
        <v>250.06</v>
      </c>
      <c r="M89" s="3">
        <f t="shared" si="99"/>
        <v>264.91000000000003</v>
      </c>
      <c r="N89" s="3">
        <f t="shared" si="99"/>
        <v>271.63</v>
      </c>
      <c r="O89" s="3">
        <f t="shared" si="100"/>
        <v>280.62930760193842</v>
      </c>
      <c r="P89" s="3">
        <f t="shared" si="101"/>
        <v>289.92676907979006</v>
      </c>
      <c r="Q89" s="3">
        <f t="shared" si="101"/>
        <v>299.53226249725202</v>
      </c>
      <c r="R89" s="3">
        <f t="shared" si="101"/>
        <v>309.45599318575228</v>
      </c>
      <c r="S89" s="3">
        <f t="shared" si="101"/>
        <v>319.70850458707741</v>
      </c>
      <c r="T89" s="3">
        <f t="shared" si="101"/>
        <v>330.3006894552247</v>
      </c>
      <c r="U89" s="3">
        <f t="shared" si="101"/>
        <v>341.24380142938037</v>
      </c>
      <c r="V89" s="3">
        <f t="shared" si="101"/>
        <v>352.5494669903191</v>
      </c>
      <c r="W89" s="3">
        <f t="shared" si="101"/>
        <v>364.22969781292824</v>
      </c>
      <c r="X89" s="3">
        <f t="shared" si="101"/>
        <v>376.29690352798036</v>
      </c>
      <c r="Y89" s="3">
        <f t="shared" si="101"/>
        <v>388.76390490671332</v>
      </c>
      <c r="Z89" s="3">
        <f t="shared" si="101"/>
        <v>401.64394748222503</v>
      </c>
      <c r="AA89" s="3">
        <f t="shared" si="101"/>
        <v>414.9507156221556</v>
      </c>
      <c r="AB89" s="3">
        <f t="shared" si="101"/>
        <v>428.69834706760804</v>
      </c>
      <c r="AC89" s="3">
        <f t="shared" si="101"/>
        <v>442.90144795375448</v>
      </c>
      <c r="AD89" s="3">
        <f t="shared" si="101"/>
        <v>457.57510832808629</v>
      </c>
      <c r="AE89" s="3">
        <f t="shared" si="101"/>
        <v>472.73491818279575</v>
      </c>
      <c r="AF89" s="3">
        <f t="shared" si="101"/>
        <v>488.3969840183226</v>
      </c>
      <c r="AG89" s="3">
        <f t="shared" si="101"/>
        <v>504.57794595566338</v>
      </c>
      <c r="AH89" s="3">
        <f t="shared" si="101"/>
        <v>521.29499541562461</v>
      </c>
      <c r="AI89" s="3">
        <f t="shared" si="101"/>
        <v>538.56589338380297</v>
      </c>
      <c r="AJ89" s="3">
        <f t="shared" si="101"/>
        <v>556.40898928069805</v>
      </c>
      <c r="AK89" s="3">
        <f t="shared" si="101"/>
        <v>574.84324045700646</v>
      </c>
      <c r="AL89" s="3">
        <f t="shared" si="101"/>
        <v>593.88823233480957</v>
      </c>
      <c r="AM89" s="3">
        <f t="shared" si="101"/>
        <v>613.56419921605391</v>
      </c>
      <c r="AN89" s="3">
        <f t="shared" si="101"/>
        <v>633.89204578043302</v>
      </c>
      <c r="AO89" s="3">
        <f t="shared" si="101"/>
        <v>654.89336929550916</v>
      </c>
      <c r="AP89" s="3">
        <f t="shared" si="101"/>
        <v>676.59048256267454</v>
      </c>
      <c r="AQ89" s="3">
        <f t="shared" si="101"/>
        <v>699.00643762332857</v>
      </c>
      <c r="AR89" s="3">
        <f t="shared" si="101"/>
        <v>722.16505025045922</v>
      </c>
      <c r="AS89" s="3">
        <f t="shared" si="101"/>
        <v>746.09092525164897</v>
      </c>
      <c r="AT89" s="3">
        <f t="shared" si="101"/>
        <v>770.8094826103885</v>
      </c>
      <c r="AU89" s="3">
        <f t="shared" si="101"/>
        <v>796.34698449347161</v>
      </c>
      <c r="AV89" s="3">
        <f t="shared" si="101"/>
        <v>822.73056315316614</v>
      </c>
      <c r="AW89" s="3">
        <f t="shared" si="101"/>
        <v>849.98824975380433</v>
      </c>
      <c r="AX89" s="3">
        <f t="shared" si="101"/>
        <v>878.14900415342049</v>
      </c>
      <c r="AY89" s="3">
        <f t="shared" si="101"/>
        <v>907.24274567207647</v>
      </c>
      <c r="AZ89" s="3">
        <f t="shared" si="101"/>
        <v>937.30038487956529</v>
      </c>
      <c r="BA89" s="3">
        <f t="shared" si="101"/>
        <v>968.35385643626546</v>
      </c>
      <c r="BB89" s="3">
        <f t="shared" si="101"/>
        <v>1000.4361530220375</v>
      </c>
      <c r="BC89" s="3">
        <f t="shared" si="101"/>
        <v>1033.5813603892107</v>
      </c>
      <c r="BD89" s="3">
        <f t="shared" si="101"/>
        <v>1067.8246935769014</v>
      </c>
      <c r="BE89" s="3">
        <f t="shared" si="101"/>
        <v>1103.2025343251403</v>
      </c>
      <c r="BF89" s="3">
        <f t="shared" si="101"/>
        <v>1139.7524697285564</v>
      </c>
      <c r="BG89" s="3">
        <f t="shared" si="101"/>
        <v>1177.5133321706883</v>
      </c>
      <c r="BH89" s="3">
        <f t="shared" si="101"/>
        <v>1216.525240581348</v>
      </c>
      <c r="BI89" s="3">
        <f t="shared" si="101"/>
        <v>1256.8296430608741</v>
      </c>
    </row>
    <row r="90" spans="3:61" hidden="1" outlineLevel="2" x14ac:dyDescent="0.3">
      <c r="C90" t="s">
        <v>179</v>
      </c>
      <c r="D90" s="3">
        <f>SUM(D83:D89)</f>
        <v>909.44999999999993</v>
      </c>
      <c r="E90" s="3">
        <f t="shared" ref="E90:O90" si="102">SUM(E83:E89)</f>
        <v>920.61999999999989</v>
      </c>
      <c r="F90" s="3">
        <f t="shared" si="102"/>
        <v>921.37</v>
      </c>
      <c r="G90" s="3">
        <f t="shared" si="102"/>
        <v>923.86</v>
      </c>
      <c r="H90" s="3">
        <f t="shared" si="102"/>
        <v>920.79</v>
      </c>
      <c r="I90" s="3">
        <f t="shared" si="102"/>
        <v>930.03</v>
      </c>
      <c r="J90" s="3">
        <f t="shared" si="102"/>
        <v>918.53000000000009</v>
      </c>
      <c r="K90" s="3">
        <f t="shared" si="102"/>
        <v>1001.11</v>
      </c>
      <c r="L90" s="3">
        <f t="shared" si="102"/>
        <v>943.33999999999992</v>
      </c>
      <c r="M90" s="3">
        <f t="shared" si="102"/>
        <v>964.61000000000013</v>
      </c>
      <c r="N90" s="3">
        <f t="shared" si="102"/>
        <v>950.72</v>
      </c>
      <c r="O90" s="3">
        <f t="shared" si="102"/>
        <v>956.21841921870566</v>
      </c>
      <c r="P90" s="3">
        <f t="shared" ref="P90" si="103">SUM(P83:P89)</f>
        <v>962.30232607091125</v>
      </c>
      <c r="Q90" s="3">
        <f t="shared" ref="Q90" si="104">SUM(Q83:Q89)</f>
        <v>969.00383987536702</v>
      </c>
      <c r="R90" s="3">
        <f t="shared" ref="R90" si="105">SUM(R83:R89)</f>
        <v>976.35821299733595</v>
      </c>
      <c r="S90" s="3">
        <f t="shared" ref="S90" si="106">SUM(S83:S89)</f>
        <v>984.40417151593908</v>
      </c>
      <c r="T90" s="3">
        <f t="shared" ref="T90" si="107">SUM(T83:T89)</f>
        <v>993.18429542945478</v>
      </c>
      <c r="U90" s="3">
        <f t="shared" ref="U90" si="108">SUM(U83:U89)</f>
        <v>1002.7454430576053</v>
      </c>
      <c r="V90" s="3">
        <f t="shared" ref="V90" si="109">SUM(V83:V89)</f>
        <v>1013.1392248516038</v>
      </c>
      <c r="W90" s="3">
        <f t="shared" ref="W90" si="110">SUM(W83:W89)</f>
        <v>1024.4225324398742</v>
      </c>
      <c r="X90" s="3">
        <f t="shared" ref="X90" si="111">SUM(X83:X89)</f>
        <v>1036.6581294276912</v>
      </c>
      <c r="Y90" s="3">
        <f t="shared" ref="Y90" si="112">SUM(Y83:Y89)</f>
        <v>1049.9153112411784</v>
      </c>
      <c r="Z90" s="3">
        <f t="shared" ref="Z90" si="113">SUM(Z83:Z89)</f>
        <v>1064.2706421698635</v>
      </c>
      <c r="AA90" s="3">
        <f t="shared" ref="AA90" si="114">SUM(AA83:AA89)</f>
        <v>1079.8087787281943</v>
      </c>
      <c r="AB90" s="3">
        <f t="shared" ref="AB90" si="115">SUM(AB83:AB89)</f>
        <v>1096.6233895371965</v>
      </c>
      <c r="AC90" s="3">
        <f t="shared" ref="AC90" si="116">SUM(AC83:AC89)</f>
        <v>1114.8181831364279</v>
      </c>
      <c r="AD90" s="3">
        <f t="shared" ref="AD90" si="117">SUM(AD83:AD89)</f>
        <v>1134.5080564887214</v>
      </c>
      <c r="AE90" s="3">
        <f t="shared" ref="AE90" si="118">SUM(AE83:AE89)</f>
        <v>1155.8203784529592</v>
      </c>
      <c r="AF90" s="3">
        <f t="shared" ref="AF90" si="119">SUM(AF83:AF89)</f>
        <v>1178.8964241922808</v>
      </c>
      <c r="AG90" s="3">
        <f t="shared" ref="AG90" si="120">SUM(AG83:AG89)</f>
        <v>1203.8929783779915</v>
      </c>
      <c r="AH90" s="3">
        <f t="shared" ref="AH90" si="121">SUM(AH83:AH89)</f>
        <v>1230.9841271668206</v>
      </c>
      <c r="AI90" s="3">
        <f t="shared" ref="AI90" si="122">SUM(AI83:AI89)</f>
        <v>1260.363261297708</v>
      </c>
      <c r="AJ90" s="3">
        <f t="shared" ref="AJ90" si="123">SUM(AJ83:AJ89)</f>
        <v>1292.2453153037734</v>
      </c>
      <c r="AK90" s="3">
        <f t="shared" ref="AK90" si="124">SUM(AK83:AK89)</f>
        <v>1326.8692707988425</v>
      </c>
      <c r="AL90" s="3">
        <f t="shared" ref="AL90" si="125">SUM(AL83:AL89)</f>
        <v>1364.5009551132252</v>
      </c>
      <c r="AM90" s="3">
        <f t="shared" ref="AM90" si="126">SUM(AM83:AM89)</f>
        <v>1405.4361702619653</v>
      </c>
      <c r="AN90" s="3">
        <f t="shared" ref="AN90" si="127">SUM(AN83:AN89)</f>
        <v>1450.0041913772409</v>
      </c>
      <c r="AO90" s="3">
        <f t="shared" ref="AO90" si="128">SUM(AO83:AO89)</f>
        <v>1498.5716783771643</v>
      </c>
      <c r="AP90" s="3">
        <f t="shared" ref="AP90" si="129">SUM(AP83:AP89)</f>
        <v>1551.5470498342352</v>
      </c>
      <c r="AQ90" s="3">
        <f t="shared" ref="AQ90" si="130">SUM(AQ83:AQ89)</f>
        <v>1609.3853738135194</v>
      </c>
      <c r="AR90" s="3">
        <f t="shared" ref="AR90" si="131">SUM(AR83:AR89)</f>
        <v>1672.5938369462638</v>
      </c>
      <c r="AS90" s="3">
        <f t="shared" ref="AS90" si="132">SUM(AS83:AS89)</f>
        <v>1741.7378602708277</v>
      </c>
      <c r="AT90" s="3">
        <f t="shared" ref="AT90" si="133">SUM(AT83:AT89)</f>
        <v>1817.4479385009804</v>
      </c>
      <c r="AU90" s="3">
        <f t="shared" ref="AU90" si="134">SUM(AU83:AU89)</f>
        <v>1900.4272884739451</v>
      </c>
      <c r="AV90" s="3">
        <f t="shared" ref="AV90" si="135">SUM(AV83:AV89)</f>
        <v>1991.4604027015694</v>
      </c>
      <c r="AW90" s="3">
        <f t="shared" ref="AW90" si="136">SUM(AW83:AW89)</f>
        <v>2091.4226153255199</v>
      </c>
      <c r="AX90" s="3">
        <f t="shared" ref="AX90" si="137">SUM(AX83:AX89)</f>
        <v>2201.2908005046424</v>
      </c>
      <c r="AY90" s="3">
        <f t="shared" ref="AY90" si="138">SUM(AY83:AY89)</f>
        <v>2322.1553374996997</v>
      </c>
      <c r="AZ90" s="3">
        <f t="shared" ref="AZ90" si="139">SUM(AZ83:AZ89)</f>
        <v>2455.2334926467101</v>
      </c>
      <c r="BA90" s="3">
        <f t="shared" ref="BA90" si="140">SUM(BA83:BA89)</f>
        <v>2601.8843862254307</v>
      </c>
      <c r="BB90" s="3">
        <f t="shared" ref="BB90" si="141">SUM(BB83:BB89)</f>
        <v>2763.6257321582984</v>
      </c>
      <c r="BC90" s="3">
        <f t="shared" ref="BC90" si="142">SUM(BC83:BC89)</f>
        <v>2942.1525607681015</v>
      </c>
      <c r="BD90" s="3">
        <f t="shared" ref="BD90" si="143">SUM(BD83:BD89)</f>
        <v>3139.3581597602333</v>
      </c>
      <c r="BE90" s="3">
        <f t="shared" ref="BE90" si="144">SUM(BE83:BE89)</f>
        <v>3357.3574964913978</v>
      </c>
      <c r="BF90" s="3">
        <f t="shared" ref="BF90" si="145">SUM(BF83:BF89)</f>
        <v>3598.5134157919938</v>
      </c>
      <c r="BG90" s="3">
        <f t="shared" ref="BG90" si="146">SUM(BG83:BG89)</f>
        <v>3865.4659425167383</v>
      </c>
      <c r="BH90" s="3">
        <f t="shared" ref="BH90" si="147">SUM(BH83:BH89)</f>
        <v>4161.1650570466063</v>
      </c>
      <c r="BI90" s="3">
        <f t="shared" ref="BI90" si="148">SUM(BI83:BI89)</f>
        <v>4488.9073556461017</v>
      </c>
    </row>
    <row r="91" spans="3:61" hidden="1" outlineLevel="2" x14ac:dyDescent="0.3"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</row>
    <row r="92" spans="3:61" hidden="1" outlineLevel="2" x14ac:dyDescent="0.3"/>
    <row r="93" spans="3:61" hidden="1" outlineLevel="2" x14ac:dyDescent="0.3">
      <c r="C93" t="s">
        <v>81</v>
      </c>
      <c r="E93" s="6">
        <f>(E74-D74)/D74</f>
        <v>0.12128712871287134</v>
      </c>
      <c r="F93" s="6">
        <f t="shared" ref="F93:N93" si="149">(F74-E74)/E74</f>
        <v>0.16777041942604851</v>
      </c>
      <c r="G93" s="6">
        <f t="shared" si="149"/>
        <v>0.15311909262759918</v>
      </c>
      <c r="H93" s="6">
        <f t="shared" si="149"/>
        <v>5.2459016393442671E-2</v>
      </c>
      <c r="I93" s="6">
        <f t="shared" si="149"/>
        <v>0.10747663551401876</v>
      </c>
      <c r="J93" s="6">
        <f t="shared" si="149"/>
        <v>0.10970464135021088</v>
      </c>
      <c r="K93" s="6">
        <f t="shared" si="149"/>
        <v>0.14195183776932829</v>
      </c>
      <c r="L93" s="6">
        <f t="shared" si="149"/>
        <v>0.18645948945615978</v>
      </c>
      <c r="M93" s="6">
        <f t="shared" si="149"/>
        <v>0.157156220767072</v>
      </c>
      <c r="N93" s="6">
        <f t="shared" si="149"/>
        <v>0.13581244947453516</v>
      </c>
    </row>
    <row r="94" spans="3:61" hidden="1" outlineLevel="2" x14ac:dyDescent="0.3">
      <c r="C94" t="s">
        <v>83</v>
      </c>
      <c r="E94" s="6">
        <f t="shared" ref="E94:N94" si="150">(E75-D75)/D75</f>
        <v>-4.9120057859209122E-3</v>
      </c>
      <c r="F94" s="6">
        <f t="shared" si="150"/>
        <v>-4.9665364465036992E-3</v>
      </c>
      <c r="G94" s="6">
        <f t="shared" si="150"/>
        <v>-4.9913260492436507E-3</v>
      </c>
      <c r="H94" s="6">
        <f t="shared" si="150"/>
        <v>-5.0163643593431105E-3</v>
      </c>
      <c r="I94" s="6">
        <f t="shared" si="150"/>
        <v>-4.9494297396168252E-3</v>
      </c>
      <c r="J94" s="6">
        <f t="shared" si="150"/>
        <v>-5.066732575383052E-3</v>
      </c>
      <c r="K94" s="6">
        <f t="shared" si="150"/>
        <v>-5.0925350888089771E-3</v>
      </c>
      <c r="L94" s="6">
        <f t="shared" si="150"/>
        <v>-4.1510611735330345E-3</v>
      </c>
      <c r="M94" s="6">
        <f t="shared" si="150"/>
        <v>-4.1683643087723201E-3</v>
      </c>
      <c r="N94" s="6">
        <f t="shared" si="150"/>
        <v>-4.1858122993642102E-3</v>
      </c>
    </row>
    <row r="95" spans="3:61" hidden="1" outlineLevel="2" x14ac:dyDescent="0.3">
      <c r="C95" t="s">
        <v>84</v>
      </c>
      <c r="E95" s="6">
        <f t="shared" ref="E95:N95" si="151">(E76-D76)/D76</f>
        <v>1.0258572231590837E-2</v>
      </c>
      <c r="F95" s="6">
        <f t="shared" si="151"/>
        <v>1.029350396438997E-2</v>
      </c>
      <c r="G95" s="6">
        <f t="shared" si="151"/>
        <v>1.0050943136445051E-2</v>
      </c>
      <c r="H95" s="6">
        <f t="shared" si="151"/>
        <v>9.9509269356598141E-3</v>
      </c>
      <c r="I95" s="6">
        <f t="shared" si="151"/>
        <v>9.9878526116884171E-3</v>
      </c>
      <c r="J95" s="6">
        <f t="shared" si="151"/>
        <v>9.7554456768676207E-3</v>
      </c>
      <c r="K95" s="6">
        <f t="shared" si="151"/>
        <v>9.9258867125463206E-3</v>
      </c>
      <c r="L95" s="6">
        <f t="shared" si="151"/>
        <v>9.5662429563622593E-3</v>
      </c>
      <c r="M95" s="6">
        <f t="shared" si="151"/>
        <v>9.4755970924195725E-3</v>
      </c>
      <c r="N95" s="6">
        <f t="shared" si="151"/>
        <v>9.3866529510094367E-3</v>
      </c>
    </row>
    <row r="96" spans="3:61" hidden="1" outlineLevel="2" x14ac:dyDescent="0.3">
      <c r="C96" t="s">
        <v>85</v>
      </c>
      <c r="E96" s="6">
        <f t="shared" ref="E96:N96" si="152">(E77-D77)/D77</f>
        <v>-5.3632374451488534E-3</v>
      </c>
      <c r="F96" s="6">
        <f t="shared" si="152"/>
        <v>-4.4117647058821725E-3</v>
      </c>
      <c r="G96" s="6">
        <f t="shared" si="152"/>
        <v>-5.4160512063024602E-3</v>
      </c>
      <c r="H96" s="6">
        <f t="shared" si="152"/>
        <v>-4.455445544554449E-3</v>
      </c>
      <c r="I96" s="6">
        <f t="shared" si="152"/>
        <v>-5.4699154649427862E-3</v>
      </c>
      <c r="J96" s="6">
        <f t="shared" si="152"/>
        <v>-4.4999999999999927E-3</v>
      </c>
      <c r="K96" s="6">
        <f t="shared" si="152"/>
        <v>-5.5248618784530098E-3</v>
      </c>
      <c r="L96" s="6">
        <f t="shared" si="152"/>
        <v>-4.0404040404041332E-3</v>
      </c>
      <c r="M96" s="6">
        <f t="shared" si="152"/>
        <v>-4.0567951318459354E-3</v>
      </c>
      <c r="N96" s="6">
        <f t="shared" si="152"/>
        <v>-4.0733197556009097E-3</v>
      </c>
    </row>
    <row r="97" spans="1:61" hidden="1" outlineLevel="2" x14ac:dyDescent="0.3">
      <c r="C97" t="s">
        <v>87</v>
      </c>
      <c r="E97" s="6">
        <f t="shared" ref="E97:N97" si="153">(E78-D78)/D78</f>
        <v>5.837484433376172E-4</v>
      </c>
      <c r="F97" s="6">
        <f t="shared" si="153"/>
        <v>-1.4468515421415064E-2</v>
      </c>
      <c r="G97" s="6">
        <f t="shared" si="153"/>
        <v>-2.3086941078969157E-2</v>
      </c>
      <c r="H97" s="6">
        <f t="shared" si="153"/>
        <v>-4.4033287549487092E-3</v>
      </c>
      <c r="I97" s="6">
        <f t="shared" si="153"/>
        <v>0</v>
      </c>
      <c r="J97" s="6">
        <f t="shared" si="153"/>
        <v>-6.2527896124974627E-2</v>
      </c>
      <c r="K97" s="6">
        <f t="shared" si="153"/>
        <v>0.25320290858725775</v>
      </c>
      <c r="L97" s="6">
        <f t="shared" si="153"/>
        <v>-0.17420736340402024</v>
      </c>
      <c r="M97" s="6">
        <f t="shared" si="153"/>
        <v>3.2956921790045987E-2</v>
      </c>
      <c r="N97" s="6">
        <f t="shared" si="153"/>
        <v>-9.0736091991254347E-2</v>
      </c>
    </row>
    <row r="98" spans="1:61" hidden="1" outlineLevel="2" x14ac:dyDescent="0.3">
      <c r="C98" t="s">
        <v>89</v>
      </c>
      <c r="E98" s="6">
        <f t="shared" ref="E98:N98" si="154">(E79-D79)/D79</f>
        <v>0.17928994082840244</v>
      </c>
      <c r="F98" s="6">
        <f t="shared" si="154"/>
        <v>-6.096337180130456E-2</v>
      </c>
      <c r="G98" s="6">
        <f t="shared" si="154"/>
        <v>5.3433075073478832E-4</v>
      </c>
      <c r="H98" s="6">
        <f t="shared" si="154"/>
        <v>-5.2603471295060232E-2</v>
      </c>
      <c r="I98" s="6">
        <f t="shared" si="154"/>
        <v>-0.14994363021420512</v>
      </c>
      <c r="J98" s="6">
        <f t="shared" si="154"/>
        <v>-7.2944297082227737E-3</v>
      </c>
      <c r="K98" s="6">
        <f t="shared" si="154"/>
        <v>-0.13326653306613231</v>
      </c>
      <c r="L98" s="6">
        <f t="shared" si="154"/>
        <v>6.589595375722547E-2</v>
      </c>
      <c r="M98" s="6">
        <f t="shared" si="154"/>
        <v>-8.8937093275488099E-2</v>
      </c>
      <c r="N98" s="6">
        <f t="shared" si="154"/>
        <v>3.1746031746031772E-2</v>
      </c>
    </row>
    <row r="99" spans="1:61" hidden="1" outlineLevel="2" x14ac:dyDescent="0.3">
      <c r="C99" t="s">
        <v>91</v>
      </c>
      <c r="E99" s="6">
        <f t="shared" ref="E99:N99" si="155">(E80-D80)/D80</f>
        <v>2.8670084754630211E-2</v>
      </c>
      <c r="F99" s="6">
        <f t="shared" si="155"/>
        <v>3.6262842030312256E-2</v>
      </c>
      <c r="G99" s="6">
        <f t="shared" si="155"/>
        <v>4.1865030674846634E-2</v>
      </c>
      <c r="H99" s="6">
        <f t="shared" si="155"/>
        <v>3.1562087808554148E-3</v>
      </c>
      <c r="I99" s="6">
        <f t="shared" si="155"/>
        <v>6.9734679502230681E-2</v>
      </c>
      <c r="J99" s="6">
        <f t="shared" si="155"/>
        <v>1.9095697980684785E-2</v>
      </c>
      <c r="K99" s="6">
        <f t="shared" si="155"/>
        <v>0.12039629549860012</v>
      </c>
      <c r="L99" s="6">
        <f t="shared" si="155"/>
        <v>-3.860053825451757E-2</v>
      </c>
      <c r="M99" s="6">
        <f t="shared" si="155"/>
        <v>5.9385747420619139E-2</v>
      </c>
      <c r="N99" s="6">
        <f t="shared" si="155"/>
        <v>2.5367105809520101E-2</v>
      </c>
    </row>
    <row r="100" spans="1:61" hidden="1" outlineLevel="2" x14ac:dyDescent="0.3"/>
    <row r="101" spans="1:61" outlineLevel="1" x14ac:dyDescent="0.3">
      <c r="A101" t="s">
        <v>180</v>
      </c>
      <c r="D101">
        <v>2013</v>
      </c>
      <c r="E101">
        <v>2014</v>
      </c>
      <c r="F101">
        <v>2015</v>
      </c>
      <c r="G101">
        <v>2016</v>
      </c>
      <c r="H101">
        <v>2017</v>
      </c>
      <c r="I101">
        <v>2018</v>
      </c>
      <c r="J101">
        <v>2019</v>
      </c>
      <c r="K101">
        <v>2020</v>
      </c>
      <c r="L101">
        <v>2021</v>
      </c>
      <c r="M101">
        <v>2022</v>
      </c>
      <c r="N101">
        <v>2023</v>
      </c>
      <c r="O101">
        <v>2024</v>
      </c>
      <c r="P101">
        <v>2025</v>
      </c>
      <c r="Q101">
        <v>2026</v>
      </c>
      <c r="R101">
        <v>2027</v>
      </c>
      <c r="S101">
        <v>2028</v>
      </c>
      <c r="T101">
        <v>2029</v>
      </c>
      <c r="U101">
        <v>2030</v>
      </c>
      <c r="V101">
        <v>2031</v>
      </c>
      <c r="W101">
        <v>2032</v>
      </c>
      <c r="X101">
        <v>2033</v>
      </c>
      <c r="Y101">
        <v>2034</v>
      </c>
      <c r="Z101">
        <v>2035</v>
      </c>
      <c r="AA101">
        <v>2036</v>
      </c>
      <c r="AB101">
        <v>2037</v>
      </c>
      <c r="AC101">
        <v>2038</v>
      </c>
      <c r="AD101">
        <v>2039</v>
      </c>
      <c r="AE101">
        <v>2040</v>
      </c>
      <c r="AF101">
        <v>2041</v>
      </c>
      <c r="AG101">
        <v>2042</v>
      </c>
      <c r="AH101">
        <v>2043</v>
      </c>
      <c r="AI101">
        <v>2044</v>
      </c>
      <c r="AJ101">
        <v>2045</v>
      </c>
      <c r="AK101">
        <v>2046</v>
      </c>
      <c r="AL101">
        <v>2047</v>
      </c>
      <c r="AM101">
        <v>2048</v>
      </c>
      <c r="AN101">
        <v>2049</v>
      </c>
      <c r="AO101">
        <v>2050</v>
      </c>
      <c r="AP101">
        <v>2051</v>
      </c>
      <c r="AQ101">
        <v>2052</v>
      </c>
      <c r="AR101">
        <v>2053</v>
      </c>
      <c r="AS101">
        <v>2054</v>
      </c>
      <c r="AT101">
        <v>2055</v>
      </c>
      <c r="AU101">
        <v>2056</v>
      </c>
      <c r="AV101">
        <v>2057</v>
      </c>
      <c r="AW101">
        <v>2058</v>
      </c>
      <c r="AX101">
        <v>2059</v>
      </c>
      <c r="AY101">
        <v>2060</v>
      </c>
      <c r="AZ101">
        <v>2061</v>
      </c>
      <c r="BA101">
        <v>2062</v>
      </c>
      <c r="BB101">
        <v>2063</v>
      </c>
      <c r="BC101">
        <v>2064</v>
      </c>
      <c r="BD101">
        <v>2065</v>
      </c>
      <c r="BE101">
        <v>2066</v>
      </c>
      <c r="BF101">
        <v>2067</v>
      </c>
      <c r="BG101">
        <v>2068</v>
      </c>
      <c r="BH101">
        <v>2069</v>
      </c>
      <c r="BI101">
        <v>2070</v>
      </c>
    </row>
    <row r="102" spans="1:61" outlineLevel="2" x14ac:dyDescent="0.3">
      <c r="C102" t="s">
        <v>69</v>
      </c>
      <c r="D102" s="3">
        <f>D14</f>
        <v>20.862711459301554</v>
      </c>
      <c r="E102" s="3">
        <f t="shared" ref="E102:N102" si="156">E14</f>
        <v>21.4602994900923</v>
      </c>
      <c r="F102" s="3">
        <f t="shared" si="156"/>
        <v>22.232637577131346</v>
      </c>
      <c r="G102" s="3">
        <f t="shared" si="156"/>
        <v>23.16644280710231</v>
      </c>
      <c r="H102" s="3">
        <f t="shared" si="156"/>
        <v>23.235292890769319</v>
      </c>
      <c r="I102" s="3">
        <f t="shared" si="156"/>
        <v>24.857739110656208</v>
      </c>
      <c r="J102" s="3">
        <f t="shared" si="156"/>
        <v>25.330589199767285</v>
      </c>
      <c r="K102" s="3">
        <f t="shared" si="156"/>
        <v>28.385164670658686</v>
      </c>
      <c r="L102" s="3">
        <f t="shared" si="156"/>
        <v>27.290812182741117</v>
      </c>
      <c r="M102" s="3">
        <f t="shared" si="156"/>
        <v>28.911497461928935</v>
      </c>
      <c r="N102" s="3">
        <f t="shared" si="156"/>
        <v>29.644898477157358</v>
      </c>
      <c r="O102" s="3">
        <f t="shared" ref="O102:BI102" si="157">N102*(1+AVERAGE($E126:$N126))</f>
        <v>30.727658092030733</v>
      </c>
      <c r="P102" s="3">
        <f t="shared" si="157"/>
        <v>31.849964760320535</v>
      </c>
      <c r="Q102" s="3">
        <f t="shared" si="157"/>
        <v>33.013262911069404</v>
      </c>
      <c r="R102" s="3">
        <f t="shared" si="157"/>
        <v>34.219049730101567</v>
      </c>
      <c r="S102" s="3">
        <f t="shared" si="157"/>
        <v>35.468877086928138</v>
      </c>
      <c r="T102" s="3">
        <f t="shared" si="157"/>
        <v>36.76435353203135</v>
      </c>
      <c r="U102" s="3">
        <f t="shared" si="157"/>
        <v>38.107146367098188</v>
      </c>
      <c r="V102" s="3">
        <f t="shared" si="157"/>
        <v>39.498983790867939</v>
      </c>
      <c r="W102" s="3">
        <f t="shared" si="157"/>
        <v>40.941657123355292</v>
      </c>
      <c r="X102" s="3">
        <f t="shared" si="157"/>
        <v>42.437023111311703</v>
      </c>
      <c r="Y102" s="3">
        <f t="shared" si="157"/>
        <v>43.987006317892153</v>
      </c>
      <c r="Z102" s="3">
        <f t="shared" si="157"/>
        <v>45.593601599602849</v>
      </c>
      <c r="AA102" s="3">
        <f t="shared" si="157"/>
        <v>47.258876673717715</v>
      </c>
      <c r="AB102" s="3">
        <f t="shared" si="157"/>
        <v>48.984974779468068</v>
      </c>
      <c r="AC102" s="3">
        <f t="shared" si="157"/>
        <v>50.774117436430359</v>
      </c>
      <c r="AD102" s="3">
        <f t="shared" si="157"/>
        <v>52.628607303662193</v>
      </c>
      <c r="AE102" s="3">
        <f t="shared" si="157"/>
        <v>54.550831143266301</v>
      </c>
      <c r="AF102" s="3">
        <f t="shared" si="157"/>
        <v>56.543262892196658</v>
      </c>
      <c r="AG102" s="3">
        <f t="shared" si="157"/>
        <v>58.608466846260235</v>
      </c>
      <c r="AH102" s="3">
        <f t="shared" si="157"/>
        <v>60.749100960412228</v>
      </c>
      <c r="AI102" s="3">
        <f t="shared" si="157"/>
        <v>62.967920269592298</v>
      </c>
      <c r="AJ102" s="3">
        <f t="shared" si="157"/>
        <v>65.267780434504516</v>
      </c>
      <c r="AK102" s="3">
        <f t="shared" si="157"/>
        <v>67.651641416904496</v>
      </c>
      <c r="AL102" s="3">
        <f t="shared" si="157"/>
        <v>70.122571289123883</v>
      </c>
      <c r="AM102" s="3">
        <f t="shared" si="157"/>
        <v>72.683750182735096</v>
      </c>
      <c r="AN102" s="3">
        <f t="shared" si="157"/>
        <v>75.338474381438346</v>
      </c>
      <c r="AO102" s="3">
        <f t="shared" si="157"/>
        <v>78.090160563438573</v>
      </c>
      <c r="AP102" s="3">
        <f t="shared" si="157"/>
        <v>80.942350198772289</v>
      </c>
      <c r="AQ102" s="3">
        <f t="shared" si="157"/>
        <v>83.898714107243748</v>
      </c>
      <c r="AR102" s="3">
        <f t="shared" si="157"/>
        <v>86.963057182836607</v>
      </c>
      <c r="AS102" s="3">
        <f t="shared" si="157"/>
        <v>90.13932329068156</v>
      </c>
      <c r="AT102" s="3">
        <f t="shared" si="157"/>
        <v>93.431600342882263</v>
      </c>
      <c r="AU102" s="3">
        <f t="shared" si="157"/>
        <v>96.844125559732419</v>
      </c>
      <c r="AV102" s="3">
        <f t="shared" si="157"/>
        <v>100.38129092309511</v>
      </c>
      <c r="AW102" s="3">
        <f t="shared" si="157"/>
        <v>104.04764882896319</v>
      </c>
      <c r="AX102" s="3">
        <f t="shared" si="157"/>
        <v>107.84791794647548</v>
      </c>
      <c r="AY102" s="3">
        <f t="shared" si="157"/>
        <v>111.78698929092955</v>
      </c>
      <c r="AZ102" s="3">
        <f t="shared" si="157"/>
        <v>115.8699325186072</v>
      </c>
      <c r="BA102" s="3">
        <f t="shared" si="157"/>
        <v>120.10200245151395</v>
      </c>
      <c r="BB102" s="3">
        <f t="shared" si="157"/>
        <v>124.48864584043042</v>
      </c>
      <c r="BC102" s="3">
        <f t="shared" si="157"/>
        <v>129.03550837497932</v>
      </c>
      <c r="BD102" s="3">
        <f t="shared" si="157"/>
        <v>133.74844194973042</v>
      </c>
      <c r="BE102" s="3">
        <f t="shared" si="157"/>
        <v>138.63351219569506</v>
      </c>
      <c r="BF102" s="3">
        <f t="shared" si="157"/>
        <v>143.69700628690327</v>
      </c>
      <c r="BG102" s="3">
        <f t="shared" si="157"/>
        <v>148.94544103211086</v>
      </c>
      <c r="BH102" s="3">
        <f t="shared" si="157"/>
        <v>154.38557126205043</v>
      </c>
      <c r="BI102" s="3">
        <f t="shared" si="157"/>
        <v>160.02439852302112</v>
      </c>
    </row>
    <row r="103" spans="1:61" outlineLevel="2" x14ac:dyDescent="0.3">
      <c r="C103" t="s">
        <v>166</v>
      </c>
      <c r="D103" s="3">
        <f t="shared" ref="D103:N103" si="158">D15</f>
        <v>0</v>
      </c>
      <c r="E103" s="3">
        <f t="shared" si="158"/>
        <v>0</v>
      </c>
      <c r="F103" s="3">
        <f t="shared" si="158"/>
        <v>0</v>
      </c>
      <c r="G103" s="3">
        <f t="shared" si="158"/>
        <v>0</v>
      </c>
      <c r="H103" s="3">
        <f t="shared" si="158"/>
        <v>0</v>
      </c>
      <c r="I103" s="3">
        <f t="shared" si="158"/>
        <v>0</v>
      </c>
      <c r="J103" s="3">
        <f t="shared" si="158"/>
        <v>0</v>
      </c>
      <c r="K103" s="3">
        <f t="shared" si="158"/>
        <v>0</v>
      </c>
      <c r="L103" s="3">
        <f t="shared" si="158"/>
        <v>0</v>
      </c>
      <c r="M103" s="3">
        <f t="shared" si="158"/>
        <v>0</v>
      </c>
      <c r="N103" s="3">
        <f t="shared" si="158"/>
        <v>0</v>
      </c>
      <c r="O103" s="3">
        <f t="shared" ref="O103:BI103" si="159">N103*(1+AVERAGE($E127:$N127))</f>
        <v>0</v>
      </c>
      <c r="P103" s="3">
        <f t="shared" si="159"/>
        <v>0</v>
      </c>
      <c r="Q103" s="3">
        <f t="shared" si="159"/>
        <v>0</v>
      </c>
      <c r="R103" s="3">
        <f t="shared" si="159"/>
        <v>0</v>
      </c>
      <c r="S103" s="3">
        <f t="shared" si="159"/>
        <v>0</v>
      </c>
      <c r="T103" s="3">
        <f t="shared" si="159"/>
        <v>0</v>
      </c>
      <c r="U103" s="3">
        <f t="shared" si="159"/>
        <v>0</v>
      </c>
      <c r="V103" s="3">
        <f t="shared" si="159"/>
        <v>0</v>
      </c>
      <c r="W103" s="3">
        <f t="shared" si="159"/>
        <v>0</v>
      </c>
      <c r="X103" s="3">
        <f t="shared" si="159"/>
        <v>0</v>
      </c>
      <c r="Y103" s="3">
        <f t="shared" si="159"/>
        <v>0</v>
      </c>
      <c r="Z103" s="3">
        <f t="shared" si="159"/>
        <v>0</v>
      </c>
      <c r="AA103" s="3">
        <f t="shared" si="159"/>
        <v>0</v>
      </c>
      <c r="AB103" s="3">
        <f t="shared" si="159"/>
        <v>0</v>
      </c>
      <c r="AC103" s="3">
        <f t="shared" si="159"/>
        <v>0</v>
      </c>
      <c r="AD103" s="3">
        <f t="shared" si="159"/>
        <v>0</v>
      </c>
      <c r="AE103" s="3">
        <f t="shared" si="159"/>
        <v>0</v>
      </c>
      <c r="AF103" s="3">
        <f t="shared" si="159"/>
        <v>0</v>
      </c>
      <c r="AG103" s="3">
        <f t="shared" si="159"/>
        <v>0</v>
      </c>
      <c r="AH103" s="3">
        <f t="shared" si="159"/>
        <v>0</v>
      </c>
      <c r="AI103" s="3">
        <f t="shared" si="159"/>
        <v>0</v>
      </c>
      <c r="AJ103" s="3">
        <f t="shared" si="159"/>
        <v>0</v>
      </c>
      <c r="AK103" s="3">
        <f t="shared" si="159"/>
        <v>0</v>
      </c>
      <c r="AL103" s="3">
        <f t="shared" si="159"/>
        <v>0</v>
      </c>
      <c r="AM103" s="3">
        <f t="shared" si="159"/>
        <v>0</v>
      </c>
      <c r="AN103" s="3">
        <f t="shared" si="159"/>
        <v>0</v>
      </c>
      <c r="AO103" s="3">
        <f t="shared" si="159"/>
        <v>0</v>
      </c>
      <c r="AP103" s="3">
        <f t="shared" si="159"/>
        <v>0</v>
      </c>
      <c r="AQ103" s="3">
        <f t="shared" si="159"/>
        <v>0</v>
      </c>
      <c r="AR103" s="3">
        <f t="shared" si="159"/>
        <v>0</v>
      </c>
      <c r="AS103" s="3">
        <f t="shared" si="159"/>
        <v>0</v>
      </c>
      <c r="AT103" s="3">
        <f t="shared" si="159"/>
        <v>0</v>
      </c>
      <c r="AU103" s="3">
        <f t="shared" si="159"/>
        <v>0</v>
      </c>
      <c r="AV103" s="3">
        <f t="shared" si="159"/>
        <v>0</v>
      </c>
      <c r="AW103" s="3">
        <f t="shared" si="159"/>
        <v>0</v>
      </c>
      <c r="AX103" s="3">
        <f t="shared" si="159"/>
        <v>0</v>
      </c>
      <c r="AY103" s="3">
        <f t="shared" si="159"/>
        <v>0</v>
      </c>
      <c r="AZ103" s="3">
        <f t="shared" si="159"/>
        <v>0</v>
      </c>
      <c r="BA103" s="3">
        <f t="shared" si="159"/>
        <v>0</v>
      </c>
      <c r="BB103" s="3">
        <f t="shared" si="159"/>
        <v>0</v>
      </c>
      <c r="BC103" s="3">
        <f t="shared" si="159"/>
        <v>0</v>
      </c>
      <c r="BD103" s="3">
        <f t="shared" si="159"/>
        <v>0</v>
      </c>
      <c r="BE103" s="3">
        <f t="shared" si="159"/>
        <v>0</v>
      </c>
      <c r="BF103" s="3">
        <f t="shared" si="159"/>
        <v>0</v>
      </c>
      <c r="BG103" s="3">
        <f t="shared" si="159"/>
        <v>0</v>
      </c>
      <c r="BH103" s="3">
        <f t="shared" si="159"/>
        <v>0</v>
      </c>
      <c r="BI103" s="3">
        <f t="shared" si="159"/>
        <v>0</v>
      </c>
    </row>
    <row r="104" spans="1:61" outlineLevel="2" x14ac:dyDescent="0.3">
      <c r="C104" t="s">
        <v>167</v>
      </c>
      <c r="D104" s="3">
        <f t="shared" ref="D104:N104" si="160">D16</f>
        <v>13.578528747842249</v>
      </c>
      <c r="E104" s="3">
        <f t="shared" si="160"/>
        <v>13.972672819983218</v>
      </c>
      <c r="F104" s="3">
        <f t="shared" si="160"/>
        <v>14.483928346555849</v>
      </c>
      <c r="G104" s="3">
        <f t="shared" si="160"/>
        <v>15.089597777509361</v>
      </c>
      <c r="H104" s="3">
        <f t="shared" si="160"/>
        <v>15.139106727846967</v>
      </c>
      <c r="I104" s="3">
        <f t="shared" si="160"/>
        <v>16.191857159103833</v>
      </c>
      <c r="J104" s="3">
        <f t="shared" si="160"/>
        <v>16.502332469455759</v>
      </c>
      <c r="K104" s="3">
        <f t="shared" si="160"/>
        <v>18.482155688622758</v>
      </c>
      <c r="L104" s="3">
        <f t="shared" si="160"/>
        <v>17.770761421319797</v>
      </c>
      <c r="M104" s="3">
        <f t="shared" si="160"/>
        <v>18.82609137055838</v>
      </c>
      <c r="N104" s="3">
        <f t="shared" si="160"/>
        <v>19.303654822335027</v>
      </c>
      <c r="O104" s="3">
        <f t="shared" ref="O104:BI104" si="161">N104*(1+AVERAGE($E128:$N128))</f>
        <v>20.009515936024854</v>
      </c>
      <c r="P104" s="3">
        <f t="shared" si="161"/>
        <v>20.741187701449032</v>
      </c>
      <c r="Q104" s="3">
        <f t="shared" si="161"/>
        <v>21.499613915807934</v>
      </c>
      <c r="R104" s="3">
        <f t="shared" si="161"/>
        <v>22.28577288736987</v>
      </c>
      <c r="S104" s="3">
        <f t="shared" si="161"/>
        <v>23.10067869740935</v>
      </c>
      <c r="T104" s="3">
        <f t="shared" si="161"/>
        <v>23.945382508289647</v>
      </c>
      <c r="U104" s="3">
        <f t="shared" si="161"/>
        <v>24.820973919376932</v>
      </c>
      <c r="V104" s="3">
        <f t="shared" si="161"/>
        <v>25.72858237253504</v>
      </c>
      <c r="W104" s="3">
        <f t="shared" si="161"/>
        <v>26.669378609013808</v>
      </c>
      <c r="X104" s="3">
        <f t="shared" si="161"/>
        <v>27.644576179610286</v>
      </c>
      <c r="Y104" s="3">
        <f t="shared" si="161"/>
        <v>28.655433010050782</v>
      </c>
      <c r="Z104" s="3">
        <f t="shared" si="161"/>
        <v>29.703253023612959</v>
      </c>
      <c r="AA104" s="3">
        <f t="shared" si="161"/>
        <v>30.789387823081054</v>
      </c>
      <c r="AB104" s="3">
        <f t="shared" si="161"/>
        <v>31.915238434203776</v>
      </c>
      <c r="AC104" s="3">
        <f t="shared" si="161"/>
        <v>33.082257112903832</v>
      </c>
      <c r="AD104" s="3">
        <f t="shared" si="161"/>
        <v>34.291949218570217</v>
      </c>
      <c r="AE104" s="3">
        <f t="shared" si="161"/>
        <v>35.545875155849643</v>
      </c>
      <c r="AF104" s="3">
        <f t="shared" si="161"/>
        <v>36.845652387441923</v>
      </c>
      <c r="AG104" s="3">
        <f t="shared" si="161"/>
        <v>38.192957520495582</v>
      </c>
      <c r="AH104" s="3">
        <f t="shared" si="161"/>
        <v>39.589528469295018</v>
      </c>
      <c r="AI104" s="3">
        <f t="shared" si="161"/>
        <v>41.037166697028901</v>
      </c>
      <c r="AJ104" s="3">
        <f t="shared" si="161"/>
        <v>42.537739539531479</v>
      </c>
      <c r="AK104" s="3">
        <f t="shared" si="161"/>
        <v>44.09318261399428</v>
      </c>
      <c r="AL104" s="3">
        <f t="shared" si="161"/>
        <v>45.705502315755197</v>
      </c>
      <c r="AM104" s="3">
        <f t="shared" si="161"/>
        <v>47.376778406385661</v>
      </c>
      <c r="AN104" s="3">
        <f t="shared" si="161"/>
        <v>49.10916669641427</v>
      </c>
      <c r="AO104" s="3">
        <f t="shared" si="161"/>
        <v>50.904901826147452</v>
      </c>
      <c r="AP104" s="3">
        <f t="shared" si="161"/>
        <v>52.766300148174082</v>
      </c>
      <c r="AQ104" s="3">
        <f t="shared" si="161"/>
        <v>54.695762715272373</v>
      </c>
      <c r="AR104" s="3">
        <f t="shared" si="161"/>
        <v>56.695778377573085</v>
      </c>
      <c r="AS104" s="3">
        <f t="shared" si="161"/>
        <v>58.768926992974222</v>
      </c>
      <c r="AT104" s="3">
        <f t="shared" si="161"/>
        <v>60.917882754948373</v>
      </c>
      <c r="AU104" s="3">
        <f t="shared" si="161"/>
        <v>63.145417642035255</v>
      </c>
      <c r="AV104" s="3">
        <f t="shared" si="161"/>
        <v>65.454404993469083</v>
      </c>
      <c r="AW104" s="3">
        <f t="shared" si="161"/>
        <v>67.847823215553021</v>
      </c>
      <c r="AX104" s="3">
        <f t="shared" si="161"/>
        <v>70.328759623561567</v>
      </c>
      <c r="AY104" s="3">
        <f t="shared" si="161"/>
        <v>72.900414424126765</v>
      </c>
      <c r="AZ104" s="3">
        <f t="shared" si="161"/>
        <v>75.566104843245</v>
      </c>
      <c r="BA104" s="3">
        <f t="shared" si="161"/>
        <v>78.329269405229383</v>
      </c>
      <c r="BB104" s="3">
        <f t="shared" si="161"/>
        <v>81.193472368127047</v>
      </c>
      <c r="BC104" s="3">
        <f t="shared" si="161"/>
        <v>84.162408321322758</v>
      </c>
      <c r="BD104" s="3">
        <f t="shared" si="161"/>
        <v>87.239906951259442</v>
      </c>
      <c r="BE104" s="3">
        <f t="shared" si="161"/>
        <v>90.429937981422881</v>
      </c>
      <c r="BF104" s="3">
        <f t="shared" si="161"/>
        <v>93.73661629296285</v>
      </c>
      <c r="BG104" s="3">
        <f t="shared" si="161"/>
        <v>97.164207232555881</v>
      </c>
      <c r="BH104" s="3">
        <f t="shared" si="161"/>
        <v>100.71713211435632</v>
      </c>
      <c r="BI104" s="3">
        <f t="shared" si="161"/>
        <v>104.39997392313279</v>
      </c>
    </row>
    <row r="105" spans="1:61" outlineLevel="2" x14ac:dyDescent="0.3">
      <c r="C105" t="s">
        <v>65</v>
      </c>
      <c r="D105" s="3">
        <f t="shared" ref="D105:N105" si="162">D17</f>
        <v>51.420746248838135</v>
      </c>
      <c r="E105" s="3">
        <f t="shared" si="162"/>
        <v>52.895640611889242</v>
      </c>
      <c r="F105" s="3">
        <f t="shared" si="162"/>
        <v>54.818269109683925</v>
      </c>
      <c r="G105" s="3">
        <f t="shared" si="162"/>
        <v>57.114832709264398</v>
      </c>
      <c r="H105" s="3">
        <f t="shared" si="162"/>
        <v>57.295110541684039</v>
      </c>
      <c r="I105" s="3">
        <f t="shared" si="162"/>
        <v>61.282940975776185</v>
      </c>
      <c r="J105" s="3">
        <f t="shared" si="162"/>
        <v>62.448558734860114</v>
      </c>
      <c r="K105" s="3">
        <f t="shared" si="162"/>
        <v>69.982994011976061</v>
      </c>
      <c r="L105" s="3">
        <f t="shared" si="162"/>
        <v>67.275025380710659</v>
      </c>
      <c r="M105" s="3">
        <f t="shared" si="162"/>
        <v>71.270203045685278</v>
      </c>
      <c r="N105" s="3">
        <f t="shared" si="162"/>
        <v>73.078121827411152</v>
      </c>
      <c r="O105" s="3">
        <f t="shared" ref="O105:BI105" si="163">N105*(1+AVERAGE($E129:$N129))</f>
        <v>75.748478870226677</v>
      </c>
      <c r="P105" s="3">
        <f t="shared" si="163"/>
        <v>78.516413772978922</v>
      </c>
      <c r="Q105" s="3">
        <f t="shared" si="163"/>
        <v>81.385492140790049</v>
      </c>
      <c r="R105" s="3">
        <f t="shared" si="163"/>
        <v>84.359409870017288</v>
      </c>
      <c r="S105" s="3">
        <f t="shared" si="163"/>
        <v>87.441997909241692</v>
      </c>
      <c r="T105" s="3">
        <f t="shared" si="163"/>
        <v>90.637227194228856</v>
      </c>
      <c r="U105" s="3">
        <f t="shared" si="163"/>
        <v>93.949213763218566</v>
      </c>
      <c r="V105" s="3">
        <f t="shared" si="163"/>
        <v>97.382224059132994</v>
      </c>
      <c r="W105" s="3">
        <f t="shared" si="163"/>
        <v>100.94068042553353</v>
      </c>
      <c r="X105" s="3">
        <f t="shared" si="163"/>
        <v>104.62916680340605</v>
      </c>
      <c r="Y105" s="3">
        <f t="shared" si="163"/>
        <v>108.4524346361132</v>
      </c>
      <c r="Z105" s="3">
        <f t="shared" si="163"/>
        <v>112.41540899012027</v>
      </c>
      <c r="AA105" s="3">
        <f t="shared" si="163"/>
        <v>116.52319489937931</v>
      </c>
      <c r="AB105" s="3">
        <f t="shared" si="163"/>
        <v>120.78108394154417</v>
      </c>
      <c r="AC105" s="3">
        <f t="shared" si="163"/>
        <v>125.19456105448793</v>
      </c>
      <c r="AD105" s="3">
        <f t="shared" si="163"/>
        <v>129.7693116019035</v>
      </c>
      <c r="AE105" s="3">
        <f t="shared" si="163"/>
        <v>134.51122869708919</v>
      </c>
      <c r="AF105" s="3">
        <f t="shared" si="163"/>
        <v>139.42642079435393</v>
      </c>
      <c r="AG105" s="3">
        <f t="shared" si="163"/>
        <v>144.52121955782064</v>
      </c>
      <c r="AH105" s="3">
        <f t="shared" si="163"/>
        <v>149.80218801776479</v>
      </c>
      <c r="AI105" s="3">
        <f t="shared" si="163"/>
        <v>155.27612902499476</v>
      </c>
      <c r="AJ105" s="3">
        <f t="shared" si="163"/>
        <v>160.9500940141647</v>
      </c>
      <c r="AK105" s="3">
        <f t="shared" si="163"/>
        <v>166.83139208730884</v>
      </c>
      <c r="AL105" s="3">
        <f t="shared" si="163"/>
        <v>172.92759942929828</v>
      </c>
      <c r="AM105" s="3">
        <f t="shared" si="163"/>
        <v>179.24656906734936</v>
      </c>
      <c r="AN105" s="3">
        <f t="shared" si="163"/>
        <v>185.79644098715525</v>
      </c>
      <c r="AO105" s="3">
        <f t="shared" si="163"/>
        <v>192.5856526186727</v>
      </c>
      <c r="AP105" s="3">
        <f t="shared" si="163"/>
        <v>199.62294970507094</v>
      </c>
      <c r="AQ105" s="3">
        <f t="shared" si="163"/>
        <v>206.91739756884451</v>
      </c>
      <c r="AR105" s="3">
        <f t="shared" si="163"/>
        <v>214.47839278960245</v>
      </c>
      <c r="AS105" s="3">
        <f t="shared" si="163"/>
        <v>222.31567530857708</v>
      </c>
      <c r="AT105" s="3">
        <f t="shared" si="163"/>
        <v>230.43934097544522</v>
      </c>
      <c r="AU105" s="3">
        <f t="shared" si="163"/>
        <v>238.85985455362439</v>
      </c>
      <c r="AV105" s="3">
        <f t="shared" si="163"/>
        <v>247.58806320079725</v>
      </c>
      <c r="AW105" s="3">
        <f t="shared" si="163"/>
        <v>256.63521044202957</v>
      </c>
      <c r="AX105" s="3">
        <f t="shared" si="163"/>
        <v>266.01295065348177</v>
      </c>
      <c r="AY105" s="3">
        <f t="shared" si="163"/>
        <v>275.73336407537153</v>
      </c>
      <c r="AZ105" s="3">
        <f t="shared" si="163"/>
        <v>285.80897237352707</v>
      </c>
      <c r="BA105" s="3">
        <f t="shared" si="163"/>
        <v>296.25275476957705</v>
      </c>
      <c r="BB105" s="3">
        <f t="shared" si="163"/>
        <v>307.07816476055609</v>
      </c>
      <c r="BC105" s="3">
        <f t="shared" si="163"/>
        <v>318.29914744946308</v>
      </c>
      <c r="BD105" s="3">
        <f t="shared" si="163"/>
        <v>329.93015750909808</v>
      </c>
      <c r="BE105" s="3">
        <f t="shared" si="163"/>
        <v>341.98617780231785</v>
      </c>
      <c r="BF105" s="3">
        <f t="shared" si="163"/>
        <v>354.48273868269661</v>
      </c>
      <c r="BG105" s="3">
        <f t="shared" si="163"/>
        <v>367.43593800045483</v>
      </c>
      <c r="BH105" s="3">
        <f t="shared" si="163"/>
        <v>380.86246183942689</v>
      </c>
      <c r="BI105" s="3">
        <f t="shared" si="163"/>
        <v>394.77960601178142</v>
      </c>
    </row>
    <row r="106" spans="1:61" outlineLevel="2" x14ac:dyDescent="0.3">
      <c r="C106" t="s">
        <v>168</v>
      </c>
      <c r="D106" s="3">
        <f t="shared" ref="D106:N106" si="164">D18</f>
        <v>14.796789271013145</v>
      </c>
      <c r="E106" s="3">
        <f t="shared" si="164"/>
        <v>15.216380300780999</v>
      </c>
      <c r="F106" s="3">
        <f t="shared" si="164"/>
        <v>15.766827225790204</v>
      </c>
      <c r="G106" s="3">
        <f t="shared" si="164"/>
        <v>16.435738615774852</v>
      </c>
      <c r="H106" s="3">
        <f t="shared" si="164"/>
        <v>16.484241106012753</v>
      </c>
      <c r="I106" s="3">
        <f t="shared" si="164"/>
        <v>17.629694074832251</v>
      </c>
      <c r="J106" s="3">
        <f t="shared" si="164"/>
        <v>17.975755011371454</v>
      </c>
      <c r="K106" s="3">
        <f t="shared" si="164"/>
        <v>20.130494011976047</v>
      </c>
      <c r="L106" s="3">
        <f t="shared" si="164"/>
        <v>19.357436548223351</v>
      </c>
      <c r="M106" s="3">
        <f t="shared" si="164"/>
        <v>20.506992385786802</v>
      </c>
      <c r="N106" s="3">
        <f t="shared" si="164"/>
        <v>21.02719543147208</v>
      </c>
      <c r="O106" s="3">
        <f t="shared" ref="O106:BI106" si="165">N106*(1+AVERAGE($E130:$N130))</f>
        <v>21.795202640694768</v>
      </c>
      <c r="P106" s="3">
        <f t="shared" si="165"/>
        <v>22.591260907669799</v>
      </c>
      <c r="Q106" s="3">
        <f t="shared" si="165"/>
        <v>23.416394782468547</v>
      </c>
      <c r="R106" s="3">
        <f t="shared" si="165"/>
        <v>24.271666236312708</v>
      </c>
      <c r="S106" s="3">
        <f t="shared" si="165"/>
        <v>25.158176028362046</v>
      </c>
      <c r="T106" s="3">
        <f t="shared" si="165"/>
        <v>26.077065122423356</v>
      </c>
      <c r="U106" s="3">
        <f t="shared" si="165"/>
        <v>27.029516155403964</v>
      </c>
      <c r="V106" s="3">
        <f t="shared" si="165"/>
        <v>28.016754959399716</v>
      </c>
      <c r="W106" s="3">
        <f t="shared" si="165"/>
        <v>29.040052139376424</v>
      </c>
      <c r="X106" s="3">
        <f t="shared" si="165"/>
        <v>30.100724708475312</v>
      </c>
      <c r="Y106" s="3">
        <f t="shared" si="165"/>
        <v>31.200137783047101</v>
      </c>
      <c r="Z106" s="3">
        <f t="shared" si="165"/>
        <v>32.33970633959634</v>
      </c>
      <c r="AA106" s="3">
        <f t="shared" si="165"/>
        <v>33.5208970358972</v>
      </c>
      <c r="AB106" s="3">
        <f t="shared" si="165"/>
        <v>34.745230098624539</v>
      </c>
      <c r="AC106" s="3">
        <f t="shared" si="165"/>
        <v>36.014281279929733</v>
      </c>
      <c r="AD106" s="3">
        <f t="shared" si="165"/>
        <v>37.329683885479369</v>
      </c>
      <c r="AE106" s="3">
        <f t="shared" si="165"/>
        <v>38.693130876567004</v>
      </c>
      <c r="AF106" s="3">
        <f t="shared" si="165"/>
        <v>40.106377049003427</v>
      </c>
      <c r="AG106" s="3">
        <f t="shared" si="165"/>
        <v>41.571241291589757</v>
      </c>
      <c r="AH106" s="3">
        <f t="shared" si="165"/>
        <v>43.089608927080064</v>
      </c>
      <c r="AI106" s="3">
        <f t="shared" si="165"/>
        <v>44.66343413864643</v>
      </c>
      <c r="AJ106" s="3">
        <f t="shared" si="165"/>
        <v>46.294742484969333</v>
      </c>
      <c r="AK106" s="3">
        <f t="shared" si="165"/>
        <v>47.985633507190421</v>
      </c>
      <c r="AL106" s="3">
        <f t="shared" si="165"/>
        <v>49.73828343108282</v>
      </c>
      <c r="AM106" s="3">
        <f t="shared" si="165"/>
        <v>51.55494796791681</v>
      </c>
      <c r="AN106" s="3">
        <f t="shared" si="165"/>
        <v>53.437965217625646</v>
      </c>
      <c r="AO106" s="3">
        <f t="shared" si="165"/>
        <v>55.389758678007951</v>
      </c>
      <c r="AP106" s="3">
        <f t="shared" si="165"/>
        <v>57.412840363839649</v>
      </c>
      <c r="AQ106" s="3">
        <f t="shared" si="165"/>
        <v>59.509814039909834</v>
      </c>
      <c r="AR106" s="3">
        <f t="shared" si="165"/>
        <v>61.683378572141542</v>
      </c>
      <c r="AS106" s="3">
        <f t="shared" si="165"/>
        <v>63.936331401110451</v>
      </c>
      <c r="AT106" s="3">
        <f t="shared" si="165"/>
        <v>66.271572142431992</v>
      </c>
      <c r="AU106" s="3">
        <f t="shared" si="165"/>
        <v>68.692106318650758</v>
      </c>
      <c r="AV106" s="3">
        <f t="shared" si="165"/>
        <v>71.201049227435135</v>
      </c>
      <c r="AW106" s="3">
        <f t="shared" si="165"/>
        <v>73.801629951055759</v>
      </c>
      <c r="AX106" s="3">
        <f t="shared" si="165"/>
        <v>76.497195512307968</v>
      </c>
      <c r="AY106" s="3">
        <f t="shared" si="165"/>
        <v>79.291215182227262</v>
      </c>
      <c r="AZ106" s="3">
        <f t="shared" si="165"/>
        <v>82.18728494514167</v>
      </c>
      <c r="BA106" s="3">
        <f t="shared" si="165"/>
        <v>85.189132126807834</v>
      </c>
      <c r="BB106" s="3">
        <f t="shared" si="165"/>
        <v>88.300620191587399</v>
      </c>
      <c r="BC106" s="3">
        <f t="shared" si="165"/>
        <v>91.525753714837577</v>
      </c>
      <c r="BD106" s="3">
        <f t="shared" si="165"/>
        <v>94.868683536915825</v>
      </c>
      <c r="BE106" s="3">
        <f t="shared" si="165"/>
        <v>98.333712105431701</v>
      </c>
      <c r="BF106" s="3">
        <f t="shared" si="165"/>
        <v>101.92529901262168</v>
      </c>
      <c r="BG106" s="3">
        <f t="shared" si="165"/>
        <v>105.64806673497368</v>
      </c>
      <c r="BH106" s="3">
        <f t="shared" si="165"/>
        <v>109.50680658248835</v>
      </c>
      <c r="BI106" s="3">
        <f t="shared" si="165"/>
        <v>113.50648486523392</v>
      </c>
    </row>
    <row r="107" spans="1:61" outlineLevel="2" x14ac:dyDescent="0.3">
      <c r="C107" t="s">
        <v>169</v>
      </c>
      <c r="D107" s="3">
        <f t="shared" ref="D107:N107" si="166">D19</f>
        <v>4.3654335413623686</v>
      </c>
      <c r="E107" s="3">
        <f t="shared" si="166"/>
        <v>4.4925760020654488</v>
      </c>
      <c r="F107" s="3">
        <f t="shared" si="166"/>
        <v>4.656922931620703</v>
      </c>
      <c r="G107" s="3">
        <f t="shared" si="166"/>
        <v>4.8461070177557684</v>
      </c>
      <c r="H107" s="3">
        <f t="shared" si="166"/>
        <v>4.8602496871461769</v>
      </c>
      <c r="I107" s="3">
        <f t="shared" si="166"/>
        <v>5.2073012623677917</v>
      </c>
      <c r="J107" s="3">
        <f t="shared" si="166"/>
        <v>5.3043211508964951</v>
      </c>
      <c r="K107" s="3">
        <f t="shared" si="166"/>
        <v>5.9444011976047904</v>
      </c>
      <c r="L107" s="3">
        <f t="shared" si="166"/>
        <v>5.7120304568527915</v>
      </c>
      <c r="M107" s="3">
        <f t="shared" si="166"/>
        <v>6.0512436548223354</v>
      </c>
      <c r="N107" s="3">
        <f t="shared" si="166"/>
        <v>6.2047461928934009</v>
      </c>
      <c r="O107" s="3">
        <f t="shared" ref="O107:BI107" si="167">N107*(1+AVERAGE($E131:$N131))</f>
        <v>6.4316044743682088</v>
      </c>
      <c r="P107" s="3">
        <f t="shared" si="167"/>
        <v>6.6667571611698042</v>
      </c>
      <c r="Q107" s="3">
        <f t="shared" si="167"/>
        <v>6.910507513815185</v>
      </c>
      <c r="R107" s="3">
        <f t="shared" si="167"/>
        <v>7.1631698806495336</v>
      </c>
      <c r="S107" s="3">
        <f t="shared" si="167"/>
        <v>7.4250701032400199</v>
      </c>
      <c r="T107" s="3">
        <f t="shared" si="167"/>
        <v>7.6965459365916358</v>
      </c>
      <c r="U107" s="3">
        <f t="shared" si="167"/>
        <v>7.9779474847269807</v>
      </c>
      <c r="V107" s="3">
        <f t="shared" si="167"/>
        <v>8.2696376521917436</v>
      </c>
      <c r="W107" s="3">
        <f t="shared" si="167"/>
        <v>8.5719926120681524</v>
      </c>
      <c r="X107" s="3">
        <f t="shared" si="167"/>
        <v>8.8854022910999557</v>
      </c>
      <c r="Y107" s="3">
        <f t="shared" si="167"/>
        <v>9.2102708725545792</v>
      </c>
      <c r="Z107" s="3">
        <f t="shared" si="167"/>
        <v>9.5470173174709458</v>
      </c>
      <c r="AA107" s="3">
        <f t="shared" si="167"/>
        <v>9.8960759049651941</v>
      </c>
      <c r="AB107" s="3">
        <f t="shared" si="167"/>
        <v>10.257896792291088</v>
      </c>
      <c r="AC107" s="3">
        <f t="shared" si="167"/>
        <v>10.632946595377382</v>
      </c>
      <c r="AD107" s="3">
        <f t="shared" si="167"/>
        <v>11.021708990590822</v>
      </c>
      <c r="AE107" s="3">
        <f t="shared" si="167"/>
        <v>11.424685338500856</v>
      </c>
      <c r="AF107" s="3">
        <f t="shared" si="167"/>
        <v>11.842395330450444</v>
      </c>
      <c r="AG107" s="3">
        <f t="shared" si="167"/>
        <v>12.275377658766839</v>
      </c>
      <c r="AH107" s="3">
        <f t="shared" si="167"/>
        <v>12.724190711476654</v>
      </c>
      <c r="AI107" s="3">
        <f t="shared" si="167"/>
        <v>13.189413292421133</v>
      </c>
      <c r="AJ107" s="3">
        <f t="shared" si="167"/>
        <v>13.671645367700323</v>
      </c>
      <c r="AK107" s="3">
        <f t="shared" si="167"/>
        <v>14.171508839408778</v>
      </c>
      <c r="AL107" s="3">
        <f t="shared" si="167"/>
        <v>14.689648347660627</v>
      </c>
      <c r="AM107" s="3">
        <f t="shared" si="167"/>
        <v>15.226732101938341</v>
      </c>
      <c r="AN107" s="3">
        <f t="shared" si="167"/>
        <v>15.783452742837303</v>
      </c>
      <c r="AO107" s="3">
        <f t="shared" si="167"/>
        <v>16.360528235317553</v>
      </c>
      <c r="AP107" s="3">
        <f t="shared" si="167"/>
        <v>16.958702794614627</v>
      </c>
      <c r="AQ107" s="3">
        <f t="shared" si="167"/>
        <v>17.578747846003626</v>
      </c>
      <c r="AR107" s="3">
        <f t="shared" si="167"/>
        <v>18.221463019654223</v>
      </c>
      <c r="AS107" s="3">
        <f t="shared" si="167"/>
        <v>18.887677181859605</v>
      </c>
      <c r="AT107" s="3">
        <f t="shared" si="167"/>
        <v>19.578249503969285</v>
      </c>
      <c r="AU107" s="3">
        <f t="shared" si="167"/>
        <v>20.294070570404287</v>
      </c>
      <c r="AV107" s="3">
        <f t="shared" si="167"/>
        <v>21.036063527183636</v>
      </c>
      <c r="AW107" s="3">
        <f t="shared" si="167"/>
        <v>21.805185272443353</v>
      </c>
      <c r="AX107" s="3">
        <f t="shared" si="167"/>
        <v>22.602427690483267</v>
      </c>
      <c r="AY107" s="3">
        <f t="shared" si="167"/>
        <v>23.428818930933115</v>
      </c>
      <c r="AZ107" s="3">
        <f t="shared" si="167"/>
        <v>24.285424734687584</v>
      </c>
      <c r="BA107" s="3">
        <f t="shared" si="167"/>
        <v>25.173349808320271</v>
      </c>
      <c r="BB107" s="3">
        <f t="shared" si="167"/>
        <v>26.093739248749042</v>
      </c>
      <c r="BC107" s="3">
        <f t="shared" si="167"/>
        <v>27.047780019990086</v>
      </c>
      <c r="BD107" s="3">
        <f t="shared" si="167"/>
        <v>28.036702483905124</v>
      </c>
      <c r="BE107" s="3">
        <f t="shared" si="167"/>
        <v>29.061781986915904</v>
      </c>
      <c r="BF107" s="3">
        <f t="shared" si="167"/>
        <v>30.124340504732224</v>
      </c>
      <c r="BG107" s="3">
        <f t="shared" si="167"/>
        <v>31.225748347214605</v>
      </c>
      <c r="BH107" s="3">
        <f t="shared" si="167"/>
        <v>32.367425925570245</v>
      </c>
      <c r="BI107" s="3">
        <f t="shared" si="167"/>
        <v>33.550845584161294</v>
      </c>
    </row>
    <row r="108" spans="1:61" outlineLevel="2" x14ac:dyDescent="0.3">
      <c r="C108" t="s">
        <v>170</v>
      </c>
      <c r="D108" s="3">
        <f t="shared" ref="D108:N108" si="168">D20</f>
        <v>44.390367813039425</v>
      </c>
      <c r="E108" s="3">
        <f t="shared" si="168"/>
        <v>45.66183179500419</v>
      </c>
      <c r="F108" s="3">
        <f t="shared" si="168"/>
        <v>47.313310666162963</v>
      </c>
      <c r="G108" s="3">
        <f t="shared" si="168"/>
        <v>49.294395458388706</v>
      </c>
      <c r="H108" s="3">
        <f t="shared" si="168"/>
        <v>49.452723318038259</v>
      </c>
      <c r="I108" s="3">
        <f t="shared" si="168"/>
        <v>52.902035710224041</v>
      </c>
      <c r="J108" s="3">
        <f t="shared" si="168"/>
        <v>53.914986512931726</v>
      </c>
      <c r="K108" s="3">
        <f t="shared" si="168"/>
        <v>60.40446107784431</v>
      </c>
      <c r="L108" s="3">
        <f t="shared" si="168"/>
        <v>58.072309644670057</v>
      </c>
      <c r="M108" s="3">
        <f t="shared" si="168"/>
        <v>61.52097715736042</v>
      </c>
      <c r="N108" s="3">
        <f t="shared" si="168"/>
        <v>63.081586294416248</v>
      </c>
      <c r="O108" s="3">
        <f t="shared" ref="O108:BI108" si="169">N108*(1+AVERAGE($E132:$N132))</f>
        <v>65.385957470926328</v>
      </c>
      <c r="P108" s="3">
        <f t="shared" si="169"/>
        <v>67.774507356804094</v>
      </c>
      <c r="Q108" s="3">
        <f t="shared" si="169"/>
        <v>70.25031100140923</v>
      </c>
      <c r="R108" s="3">
        <f t="shared" si="169"/>
        <v>72.816555785694959</v>
      </c>
      <c r="S108" s="3">
        <f t="shared" si="169"/>
        <v>75.476545525682624</v>
      </c>
      <c r="T108" s="3">
        <f t="shared" si="169"/>
        <v>78.233704725836233</v>
      </c>
      <c r="U108" s="3">
        <f t="shared" si="169"/>
        <v>81.091582987812899</v>
      </c>
      <c r="V108" s="3">
        <f t="shared" si="169"/>
        <v>84.053859580264913</v>
      </c>
      <c r="W108" s="3">
        <f t="shared" si="169"/>
        <v>87.124348175576799</v>
      </c>
      <c r="X108" s="3">
        <f t="shared" si="169"/>
        <v>90.307001759635426</v>
      </c>
      <c r="Y108" s="3">
        <f t="shared" si="169"/>
        <v>93.605917720954054</v>
      </c>
      <c r="Z108" s="3">
        <f t="shared" si="169"/>
        <v>97.025343125702207</v>
      </c>
      <c r="AA108" s="3">
        <f t="shared" si="169"/>
        <v>100.5696801854324</v>
      </c>
      <c r="AB108" s="3">
        <f t="shared" si="169"/>
        <v>104.24349192454304</v>
      </c>
      <c r="AC108" s="3">
        <f t="shared" si="169"/>
        <v>108.05150805477375</v>
      </c>
      <c r="AD108" s="3">
        <f t="shared" si="169"/>
        <v>111.99863106429621</v>
      </c>
      <c r="AE108" s="3">
        <f t="shared" si="169"/>
        <v>116.08994252923942</v>
      </c>
      <c r="AF108" s="3">
        <f t="shared" si="169"/>
        <v>120.33070965577521</v>
      </c>
      <c r="AG108" s="3">
        <f t="shared" si="169"/>
        <v>124.72639206118605</v>
      </c>
      <c r="AH108" s="3">
        <f t="shared" si="169"/>
        <v>129.28264880264553</v>
      </c>
      <c r="AI108" s="3">
        <f t="shared" si="169"/>
        <v>134.00534566276016</v>
      </c>
      <c r="AJ108" s="3">
        <f t="shared" si="169"/>
        <v>138.90056270125223</v>
      </c>
      <c r="AK108" s="3">
        <f t="shared" si="169"/>
        <v>143.97460208250553</v>
      </c>
      <c r="AL108" s="3">
        <f t="shared" si="169"/>
        <v>149.23399618905165</v>
      </c>
      <c r="AM108" s="3">
        <f t="shared" si="169"/>
        <v>154.68551603144192</v>
      </c>
      <c r="AN108" s="3">
        <f t="shared" si="169"/>
        <v>160.33617996533215</v>
      </c>
      <c r="AO108" s="3">
        <f t="shared" si="169"/>
        <v>166.19326272700246</v>
      </c>
      <c r="AP108" s="3">
        <f t="shared" si="169"/>
        <v>172.26430479894492</v>
      </c>
      <c r="AQ108" s="3">
        <f t="shared" si="169"/>
        <v>178.55712211757617</v>
      </c>
      <c r="AR108" s="3">
        <f t="shared" si="169"/>
        <v>185.07981613557288</v>
      </c>
      <c r="AS108" s="3">
        <f t="shared" si="169"/>
        <v>191.84078425178447</v>
      </c>
      <c r="AT108" s="3">
        <f t="shared" si="169"/>
        <v>198.84873062215073</v>
      </c>
      <c r="AU108" s="3">
        <f t="shared" si="169"/>
        <v>206.11267736554231</v>
      </c>
      <c r="AV108" s="3">
        <f t="shared" si="169"/>
        <v>213.64197617895084</v>
      </c>
      <c r="AW108" s="3">
        <f t="shared" si="169"/>
        <v>221.44632037698196</v>
      </c>
      <c r="AX108" s="3">
        <f t="shared" si="169"/>
        <v>229.53575737115125</v>
      </c>
      <c r="AY108" s="3">
        <f t="shared" si="169"/>
        <v>237.92070160504903</v>
      </c>
      <c r="AZ108" s="3">
        <f t="shared" si="169"/>
        <v>246.61194796202687</v>
      </c>
      <c r="BA108" s="3">
        <f t="shared" si="169"/>
        <v>255.62068566266709</v>
      </c>
      <c r="BB108" s="3">
        <f t="shared" si="169"/>
        <v>264.9585126699269</v>
      </c>
      <c r="BC108" s="3">
        <f t="shared" si="169"/>
        <v>274.63745062050288</v>
      </c>
      <c r="BD108" s="3">
        <f t="shared" si="169"/>
        <v>284.66996030163807</v>
      </c>
      <c r="BE108" s="3">
        <f t="shared" si="169"/>
        <v>295.06895769329731</v>
      </c>
      <c r="BF108" s="3">
        <f t="shared" si="169"/>
        <v>305.84783059636334</v>
      </c>
      <c r="BG108" s="3">
        <f t="shared" si="169"/>
        <v>317.02045586826114</v>
      </c>
      <c r="BH108" s="3">
        <f t="shared" si="169"/>
        <v>328.60121728819979</v>
      </c>
      <c r="BI108" s="3">
        <f t="shared" si="169"/>
        <v>340.60502407503196</v>
      </c>
    </row>
    <row r="109" spans="1:61" outlineLevel="2" x14ac:dyDescent="0.3">
      <c r="C109" t="s">
        <v>171</v>
      </c>
      <c r="D109" s="3">
        <f t="shared" ref="D109:N109" si="170">D21</f>
        <v>41.725422918603108</v>
      </c>
      <c r="E109" s="3">
        <f t="shared" si="170"/>
        <v>42.9205989801846</v>
      </c>
      <c r="F109" s="3">
        <f t="shared" si="170"/>
        <v>44.478104143055049</v>
      </c>
      <c r="G109" s="3">
        <f t="shared" si="170"/>
        <v>46.332885614204621</v>
      </c>
      <c r="H109" s="3">
        <f t="shared" si="170"/>
        <v>46.483275728502477</v>
      </c>
      <c r="I109" s="3">
        <f t="shared" si="170"/>
        <v>49.72843170703969</v>
      </c>
      <c r="J109" s="3">
        <f t="shared" si="170"/>
        <v>50.673456920717214</v>
      </c>
      <c r="K109" s="3">
        <f t="shared" si="170"/>
        <v>56.770329341317371</v>
      </c>
      <c r="L109" s="3">
        <f t="shared" si="170"/>
        <v>54.581624365482234</v>
      </c>
      <c r="M109" s="3">
        <f t="shared" si="170"/>
        <v>57.82299492385787</v>
      </c>
      <c r="N109" s="3">
        <f t="shared" si="170"/>
        <v>59.289796954314717</v>
      </c>
      <c r="O109" s="3">
        <f t="shared" ref="O109:BI109" si="171">N109*(1+AVERAGE($E133:$N133))</f>
        <v>61.45513114697161</v>
      </c>
      <c r="P109" s="3">
        <f t="shared" si="171"/>
        <v>63.699545930332867</v>
      </c>
      <c r="Q109" s="3">
        <f t="shared" si="171"/>
        <v>66.0259294220144</v>
      </c>
      <c r="R109" s="3">
        <f t="shared" si="171"/>
        <v>68.437275217136644</v>
      </c>
      <c r="S109" s="3">
        <f t="shared" si="171"/>
        <v>70.936686240488982</v>
      </c>
      <c r="T109" s="3">
        <f t="shared" si="171"/>
        <v>73.527378739379827</v>
      </c>
      <c r="U109" s="3">
        <f t="shared" si="171"/>
        <v>76.212686422310355</v>
      </c>
      <c r="V109" s="3">
        <f t="shared" si="171"/>
        <v>78.996064748797551</v>
      </c>
      <c r="W109" s="3">
        <f t="shared" si="171"/>
        <v>81.881095375866707</v>
      </c>
      <c r="X109" s="3">
        <f t="shared" si="171"/>
        <v>84.871490766935111</v>
      </c>
      <c r="Y109" s="3">
        <f t="shared" si="171"/>
        <v>87.971098969017746</v>
      </c>
      <c r="Z109" s="3">
        <f t="shared" si="171"/>
        <v>91.183908564402188</v>
      </c>
      <c r="AA109" s="3">
        <f t="shared" si="171"/>
        <v>94.514053803164572</v>
      </c>
      <c r="AB109" s="3">
        <f t="shared" si="171"/>
        <v>97.965819923131221</v>
      </c>
      <c r="AC109" s="3">
        <f t="shared" si="171"/>
        <v>101.5436486641316</v>
      </c>
      <c r="AD109" s="3">
        <f t="shared" si="171"/>
        <v>105.25214398363836</v>
      </c>
      <c r="AE109" s="3">
        <f t="shared" si="171"/>
        <v>109.09607798114943</v>
      </c>
      <c r="AF109" s="3">
        <f t="shared" si="171"/>
        <v>113.08039703893556</v>
      </c>
      <c r="AG109" s="3">
        <f t="shared" si="171"/>
        <v>117.21022818705531</v>
      </c>
      <c r="AH109" s="3">
        <f t="shared" si="171"/>
        <v>121.49088570082804</v>
      </c>
      <c r="AI109" s="3">
        <f t="shared" si="171"/>
        <v>125.92787793925447</v>
      </c>
      <c r="AJ109" s="3">
        <f t="shared" si="171"/>
        <v>130.52691443318443</v>
      </c>
      <c r="AK109" s="3">
        <f t="shared" si="171"/>
        <v>135.29391323235313</v>
      </c>
      <c r="AL109" s="3">
        <f t="shared" si="171"/>
        <v>140.23500852073985</v>
      </c>
      <c r="AM109" s="3">
        <f t="shared" si="171"/>
        <v>145.35655851004861</v>
      </c>
      <c r="AN109" s="3">
        <f t="shared" si="171"/>
        <v>150.66515362146831</v>
      </c>
      <c r="AO109" s="3">
        <f t="shared" si="171"/>
        <v>156.16762496624034</v>
      </c>
      <c r="AP109" s="3">
        <f t="shared" si="171"/>
        <v>161.87105313594685</v>
      </c>
      <c r="AQ109" s="3">
        <f t="shared" si="171"/>
        <v>167.78277731383071</v>
      </c>
      <c r="AR109" s="3">
        <f t="shared" si="171"/>
        <v>173.91040471887169</v>
      </c>
      <c r="AS109" s="3">
        <f t="shared" si="171"/>
        <v>180.26182039477183</v>
      </c>
      <c r="AT109" s="3">
        <f t="shared" si="171"/>
        <v>186.84519735644599</v>
      </c>
      <c r="AU109" s="3">
        <f t="shared" si="171"/>
        <v>193.66900710707452</v>
      </c>
      <c r="AV109" s="3">
        <f t="shared" si="171"/>
        <v>200.74203053925109</v>
      </c>
      <c r="AW109" s="3">
        <f t="shared" si="171"/>
        <v>208.07336923425368</v>
      </c>
      <c r="AX109" s="3">
        <f t="shared" si="171"/>
        <v>215.67245717397824</v>
      </c>
      <c r="AY109" s="3">
        <f t="shared" si="171"/>
        <v>223.5490728806063</v>
      </c>
      <c r="AZ109" s="3">
        <f t="shared" si="171"/>
        <v>231.7133519996276</v>
      </c>
      <c r="BA109" s="3">
        <f t="shared" si="171"/>
        <v>240.17580034240984</v>
      </c>
      <c r="BB109" s="3">
        <f t="shared" si="171"/>
        <v>248.94730740509863</v>
      </c>
      <c r="BC109" s="3">
        <f t="shared" si="171"/>
        <v>258.03916038124373</v>
      </c>
      <c r="BD109" s="3">
        <f t="shared" si="171"/>
        <v>267.46305868618339</v>
      </c>
      <c r="BE109" s="3">
        <f t="shared" si="171"/>
        <v>277.23112901187613</v>
      </c>
      <c r="BF109" s="3">
        <f t="shared" si="171"/>
        <v>287.35594093155339</v>
      </c>
      <c r="BG109" s="3">
        <f t="shared" si="171"/>
        <v>297.85052307427242</v>
      </c>
      <c r="BH109" s="3">
        <f t="shared" si="171"/>
        <v>308.72837989018325</v>
      </c>
      <c r="BI109" s="3">
        <f t="shared" si="171"/>
        <v>320.00350902808344</v>
      </c>
    </row>
    <row r="110" spans="1:61" outlineLevel="2" x14ac:dyDescent="0.3">
      <c r="C110" t="s">
        <v>75</v>
      </c>
      <c r="D110" s="3">
        <f t="shared" ref="D110:N110" si="172">D22</f>
        <v>182.60999999999999</v>
      </c>
      <c r="E110" s="3">
        <f t="shared" si="172"/>
        <v>184.3974530738526</v>
      </c>
      <c r="F110" s="3">
        <f t="shared" si="172"/>
        <v>183.44828773919207</v>
      </c>
      <c r="G110" s="3">
        <f t="shared" si="172"/>
        <v>182.47234194775015</v>
      </c>
      <c r="H110" s="3">
        <f t="shared" si="172"/>
        <v>181.78171642213786</v>
      </c>
      <c r="I110" s="3">
        <f t="shared" si="172"/>
        <v>180.89318383798098</v>
      </c>
      <c r="J110" s="3">
        <f t="shared" si="172"/>
        <v>177.38008973208568</v>
      </c>
      <c r="K110" s="3">
        <f t="shared" si="172"/>
        <v>192.50060249848184</v>
      </c>
      <c r="L110" s="3">
        <f t="shared" si="172"/>
        <v>181.34476849848551</v>
      </c>
      <c r="M110" s="3">
        <f t="shared" si="172"/>
        <v>183.02408048463869</v>
      </c>
      <c r="N110" s="3">
        <f t="shared" si="172"/>
        <v>177.63301817395063</v>
      </c>
      <c r="O110" s="3">
        <f t="shared" ref="O110:BI110" si="173">N110*(1+AVERAGE($E134:$N134))</f>
        <v>177.24797434803307</v>
      </c>
      <c r="P110" s="3">
        <f t="shared" si="173"/>
        <v>176.86376515719292</v>
      </c>
      <c r="Q110" s="3">
        <f t="shared" si="173"/>
        <v>176.4803887922447</v>
      </c>
      <c r="R110" s="3">
        <f t="shared" si="173"/>
        <v>176.09784344792453</v>
      </c>
      <c r="S110" s="3">
        <f t="shared" si="173"/>
        <v>175.7161273228817</v>
      </c>
      <c r="T110" s="3">
        <f t="shared" si="173"/>
        <v>175.33523861967021</v>
      </c>
      <c r="U110" s="3">
        <f t="shared" si="173"/>
        <v>174.9551755447402</v>
      </c>
      <c r="V110" s="3">
        <f t="shared" si="173"/>
        <v>174.57593630842965</v>
      </c>
      <c r="W110" s="3">
        <f t="shared" si="173"/>
        <v>174.19751912495585</v>
      </c>
      <c r="X110" s="3">
        <f t="shared" si="173"/>
        <v>173.81992221240696</v>
      </c>
      <c r="Y110" s="3">
        <f t="shared" si="173"/>
        <v>173.44314379273379</v>
      </c>
      <c r="Z110" s="3">
        <f t="shared" si="173"/>
        <v>173.06718209174122</v>
      </c>
      <c r="AA110" s="3">
        <f t="shared" si="173"/>
        <v>172.69203533907995</v>
      </c>
      <c r="AB110" s="3">
        <f t="shared" si="173"/>
        <v>172.31770176823821</v>
      </c>
      <c r="AC110" s="3">
        <f t="shared" si="173"/>
        <v>171.94417961653335</v>
      </c>
      <c r="AD110" s="3">
        <f t="shared" si="173"/>
        <v>171.57146712510354</v>
      </c>
      <c r="AE110" s="3">
        <f t="shared" si="173"/>
        <v>171.19956253889958</v>
      </c>
      <c r="AF110" s="3">
        <f t="shared" si="173"/>
        <v>170.82846410667659</v>
      </c>
      <c r="AG110" s="3">
        <f t="shared" si="173"/>
        <v>170.4581700809857</v>
      </c>
      <c r="AH110" s="3">
        <f t="shared" si="173"/>
        <v>170.08867871816588</v>
      </c>
      <c r="AI110" s="3">
        <f t="shared" si="173"/>
        <v>169.71998827833576</v>
      </c>
      <c r="AJ110" s="3">
        <f t="shared" si="173"/>
        <v>169.35209702538538</v>
      </c>
      <c r="AK110" s="3">
        <f t="shared" si="173"/>
        <v>168.98500322696802</v>
      </c>
      <c r="AL110" s="3">
        <f t="shared" si="173"/>
        <v>168.61870515449206</v>
      </c>
      <c r="AM110" s="3">
        <f t="shared" si="173"/>
        <v>168.25320108311288</v>
      </c>
      <c r="AN110" s="3">
        <f t="shared" si="173"/>
        <v>167.88848929172465</v>
      </c>
      <c r="AO110" s="3">
        <f t="shared" si="173"/>
        <v>167.52456806295231</v>
      </c>
      <c r="AP110" s="3">
        <f t="shared" si="173"/>
        <v>167.1614356831434</v>
      </c>
      <c r="AQ110" s="3">
        <f t="shared" si="173"/>
        <v>166.79909044236007</v>
      </c>
      <c r="AR110" s="3">
        <f t="shared" si="173"/>
        <v>166.43753063437097</v>
      </c>
      <c r="AS110" s="3">
        <f t="shared" si="173"/>
        <v>166.07675455664327</v>
      </c>
      <c r="AT110" s="3">
        <f t="shared" si="173"/>
        <v>165.71676051033458</v>
      </c>
      <c r="AU110" s="3">
        <f t="shared" si="173"/>
        <v>165.35754680028504</v>
      </c>
      <c r="AV110" s="3">
        <f t="shared" si="173"/>
        <v>164.99911173500919</v>
      </c>
      <c r="AW110" s="3">
        <f t="shared" si="173"/>
        <v>164.64145362668819</v>
      </c>
      <c r="AX110" s="3">
        <f t="shared" si="173"/>
        <v>164.28457079116168</v>
      </c>
      <c r="AY110" s="3">
        <f t="shared" si="173"/>
        <v>163.92846154792005</v>
      </c>
      <c r="AZ110" s="3">
        <f t="shared" si="173"/>
        <v>163.57312422009633</v>
      </c>
      <c r="BA110" s="3">
        <f t="shared" si="173"/>
        <v>163.21855713445848</v>
      </c>
      <c r="BB110" s="3">
        <f t="shared" si="173"/>
        <v>162.86475862140134</v>
      </c>
      <c r="BC110" s="3">
        <f t="shared" si="173"/>
        <v>162.51172701493888</v>
      </c>
      <c r="BD110" s="3">
        <f t="shared" si="173"/>
        <v>162.15946065269634</v>
      </c>
      <c r="BE110" s="3">
        <f t="shared" si="173"/>
        <v>161.80795787590233</v>
      </c>
      <c r="BF110" s="3">
        <f t="shared" si="173"/>
        <v>161.45721702938113</v>
      </c>
      <c r="BG110" s="3">
        <f t="shared" si="173"/>
        <v>161.10723646154483</v>
      </c>
      <c r="BH110" s="3">
        <f t="shared" si="173"/>
        <v>160.75801452438554</v>
      </c>
      <c r="BI110" s="3">
        <f t="shared" si="173"/>
        <v>160.40954957346767</v>
      </c>
    </row>
    <row r="111" spans="1:61" outlineLevel="2" x14ac:dyDescent="0.3">
      <c r="C111" t="s">
        <v>62</v>
      </c>
      <c r="D111" s="3">
        <f t="shared" ref="D111:N111" si="174">D23</f>
        <v>535.70000000000005</v>
      </c>
      <c r="E111" s="3">
        <f t="shared" si="174"/>
        <v>539.60254692614751</v>
      </c>
      <c r="F111" s="3">
        <f t="shared" si="174"/>
        <v>534.17171226080779</v>
      </c>
      <c r="G111" s="3">
        <f t="shared" si="174"/>
        <v>529.1076580522498</v>
      </c>
      <c r="H111" s="3">
        <f t="shared" si="174"/>
        <v>526.05828357786208</v>
      </c>
      <c r="I111" s="3">
        <f t="shared" si="174"/>
        <v>521.33681616201886</v>
      </c>
      <c r="J111" s="3">
        <f t="shared" si="174"/>
        <v>508.99991026791434</v>
      </c>
      <c r="K111" s="3">
        <f t="shared" si="174"/>
        <v>548.50939750151804</v>
      </c>
      <c r="L111" s="3">
        <f t="shared" si="174"/>
        <v>511.93523150151452</v>
      </c>
      <c r="M111" s="3">
        <f t="shared" si="174"/>
        <v>516.67591951536133</v>
      </c>
      <c r="N111" s="3">
        <f t="shared" si="174"/>
        <v>501.4569818260494</v>
      </c>
      <c r="O111" s="3">
        <f t="shared" ref="O111:BI111" si="175">N111*(1+AVERAGE($E135:$N135))</f>
        <v>498.45251653865932</v>
      </c>
      <c r="P111" s="3">
        <f t="shared" si="175"/>
        <v>495.46605241984457</v>
      </c>
      <c r="Q111" s="3">
        <f t="shared" si="175"/>
        <v>492.4974816161141</v>
      </c>
      <c r="R111" s="3">
        <f t="shared" si="175"/>
        <v>489.54669692017791</v>
      </c>
      <c r="S111" s="3">
        <f t="shared" si="175"/>
        <v>486.61359176707555</v>
      </c>
      <c r="T111" s="3">
        <f t="shared" si="175"/>
        <v>483.69806023032737</v>
      </c>
      <c r="U111" s="3">
        <f t="shared" si="175"/>
        <v>480.79999701810937</v>
      </c>
      <c r="V111" s="3">
        <f t="shared" si="175"/>
        <v>477.91929746945044</v>
      </c>
      <c r="W111" s="3">
        <f t="shared" si="175"/>
        <v>475.05585755045274</v>
      </c>
      <c r="X111" s="3">
        <f t="shared" si="175"/>
        <v>472.20957385053453</v>
      </c>
      <c r="Y111" s="3">
        <f t="shared" si="175"/>
        <v>469.38034357869566</v>
      </c>
      <c r="Z111" s="3">
        <f t="shared" si="175"/>
        <v>466.56806455980541</v>
      </c>
      <c r="AA111" s="3">
        <f t="shared" si="175"/>
        <v>463.77263523091239</v>
      </c>
      <c r="AB111" s="3">
        <f t="shared" si="175"/>
        <v>460.99395463757673</v>
      </c>
      <c r="AC111" s="3">
        <f t="shared" si="175"/>
        <v>458.2319224302243</v>
      </c>
      <c r="AD111" s="3">
        <f t="shared" si="175"/>
        <v>455.48643886052258</v>
      </c>
      <c r="AE111" s="3">
        <f t="shared" si="175"/>
        <v>452.75740477777828</v>
      </c>
      <c r="AF111" s="3">
        <f t="shared" si="175"/>
        <v>450.04472162535677</v>
      </c>
      <c r="AG111" s="3">
        <f t="shared" si="175"/>
        <v>447.34829143712267</v>
      </c>
      <c r="AH111" s="3">
        <f t="shared" si="175"/>
        <v>444.6680168339019</v>
      </c>
      <c r="AI111" s="3">
        <f t="shared" si="175"/>
        <v>442.00380101996495</v>
      </c>
      <c r="AJ111" s="3">
        <f t="shared" si="175"/>
        <v>439.35554777953121</v>
      </c>
      <c r="AK111" s="3">
        <f t="shared" si="175"/>
        <v>436.72316147329411</v>
      </c>
      <c r="AL111" s="3">
        <f t="shared" si="175"/>
        <v>434.10654703496743</v>
      </c>
      <c r="AM111" s="3">
        <f t="shared" si="175"/>
        <v>431.50560996785174</v>
      </c>
      <c r="AN111" s="3">
        <f t="shared" si="175"/>
        <v>428.92025634142198</v>
      </c>
      <c r="AO111" s="3">
        <f t="shared" si="175"/>
        <v>426.35039278793516</v>
      </c>
      <c r="AP111" s="3">
        <f t="shared" si="175"/>
        <v>423.79592649905851</v>
      </c>
      <c r="AQ111" s="3">
        <f t="shared" si="175"/>
        <v>421.25676522251769</v>
      </c>
      <c r="AR111" s="3">
        <f t="shared" si="175"/>
        <v>418.73281725876524</v>
      </c>
      <c r="AS111" s="3">
        <f t="shared" si="175"/>
        <v>416.22399145766906</v>
      </c>
      <c r="AT111" s="3">
        <f t="shared" si="175"/>
        <v>413.73019721522036</v>
      </c>
      <c r="AU111" s="3">
        <f t="shared" si="175"/>
        <v>411.2513444702617</v>
      </c>
      <c r="AV111" s="3">
        <f t="shared" si="175"/>
        <v>408.78734370123459</v>
      </c>
      <c r="AW111" s="3">
        <f t="shared" si="175"/>
        <v>406.33810592294634</v>
      </c>
      <c r="AX111" s="3">
        <f t="shared" si="175"/>
        <v>403.90354268335659</v>
      </c>
      <c r="AY111" s="3">
        <f t="shared" si="175"/>
        <v>401.48356606038283</v>
      </c>
      <c r="AZ111" s="3">
        <f t="shared" si="175"/>
        <v>399.07808865872516</v>
      </c>
      <c r="BA111" s="3">
        <f t="shared" si="175"/>
        <v>396.68702360671028</v>
      </c>
      <c r="BB111" s="3">
        <f t="shared" si="175"/>
        <v>394.31028455315396</v>
      </c>
      <c r="BC111" s="3">
        <f t="shared" si="175"/>
        <v>391.94778566424264</v>
      </c>
      <c r="BD111" s="3">
        <f t="shared" si="175"/>
        <v>389.59944162043365</v>
      </c>
      <c r="BE111" s="3">
        <f t="shared" si="175"/>
        <v>387.26516761337393</v>
      </c>
      <c r="BF111" s="3">
        <f t="shared" si="175"/>
        <v>384.94487934283728</v>
      </c>
      <c r="BG111" s="3">
        <f t="shared" si="175"/>
        <v>382.63849301367992</v>
      </c>
      <c r="BH111" s="3">
        <f t="shared" si="175"/>
        <v>380.3459253328142</v>
      </c>
      <c r="BI111" s="3">
        <f t="shared" si="175"/>
        <v>378.06709350620076</v>
      </c>
    </row>
    <row r="112" spans="1:61" outlineLevel="2" x14ac:dyDescent="0.3">
      <c r="C112" t="s">
        <v>179</v>
      </c>
      <c r="D112" s="3">
        <f>SUM(D102:D111)</f>
        <v>909.45</v>
      </c>
      <c r="E112" s="3">
        <f t="shared" ref="E112:BI112" si="176">SUM(E102:E111)</f>
        <v>920.62000000000012</v>
      </c>
      <c r="F112" s="3">
        <f t="shared" si="176"/>
        <v>921.36999999999989</v>
      </c>
      <c r="G112" s="3">
        <f t="shared" si="176"/>
        <v>923.8599999999999</v>
      </c>
      <c r="H112" s="3">
        <f t="shared" si="176"/>
        <v>920.79</v>
      </c>
      <c r="I112" s="3">
        <f t="shared" si="176"/>
        <v>930.02999999999986</v>
      </c>
      <c r="J112" s="3">
        <f t="shared" si="176"/>
        <v>918.53</v>
      </c>
      <c r="K112" s="3">
        <f t="shared" si="176"/>
        <v>1001.1099999999999</v>
      </c>
      <c r="L112" s="3">
        <f t="shared" si="176"/>
        <v>943.34</v>
      </c>
      <c r="M112" s="3">
        <f t="shared" si="176"/>
        <v>964.61</v>
      </c>
      <c r="N112" s="3">
        <f t="shared" si="176"/>
        <v>950.72</v>
      </c>
      <c r="O112" s="3">
        <f t="shared" si="176"/>
        <v>957.25403951793555</v>
      </c>
      <c r="P112" s="3">
        <f t="shared" si="176"/>
        <v>964.16945516776264</v>
      </c>
      <c r="Q112" s="3">
        <f t="shared" si="176"/>
        <v>971.47938209573363</v>
      </c>
      <c r="R112" s="3">
        <f t="shared" si="176"/>
        <v>979.1974399753849</v>
      </c>
      <c r="S112" s="3">
        <f t="shared" si="176"/>
        <v>987.33775068131013</v>
      </c>
      <c r="T112" s="3">
        <f t="shared" si="176"/>
        <v>995.91495660877854</v>
      </c>
      <c r="U112" s="3">
        <f t="shared" si="176"/>
        <v>1004.9442396627975</v>
      </c>
      <c r="V112" s="3">
        <f t="shared" si="176"/>
        <v>1014.4413409410699</v>
      </c>
      <c r="W112" s="3">
        <f t="shared" si="176"/>
        <v>1024.4225811361994</v>
      </c>
      <c r="X112" s="3">
        <f t="shared" si="176"/>
        <v>1034.9048816834152</v>
      </c>
      <c r="Y112" s="3">
        <f t="shared" si="176"/>
        <v>1045.905786681059</v>
      </c>
      <c r="Z112" s="3">
        <f t="shared" si="176"/>
        <v>1057.4434856120542</v>
      </c>
      <c r="AA112" s="3">
        <f t="shared" si="176"/>
        <v>1069.5368368956297</v>
      </c>
      <c r="AB112" s="3">
        <f t="shared" si="176"/>
        <v>1082.2053922996208</v>
      </c>
      <c r="AC112" s="3">
        <f t="shared" si="176"/>
        <v>1095.4694222447922</v>
      </c>
      <c r="AD112" s="3">
        <f t="shared" si="176"/>
        <v>1109.3499420337669</v>
      </c>
      <c r="AE112" s="3">
        <f t="shared" si="176"/>
        <v>1123.8687390383398</v>
      </c>
      <c r="AF112" s="3">
        <f t="shared" si="176"/>
        <v>1139.0484008801905</v>
      </c>
      <c r="AG112" s="3">
        <f t="shared" si="176"/>
        <v>1154.9123446412827</v>
      </c>
      <c r="AH112" s="3">
        <f t="shared" si="176"/>
        <v>1171.4848471415701</v>
      </c>
      <c r="AI112" s="3">
        <f t="shared" si="176"/>
        <v>1188.7910763229988</v>
      </c>
      <c r="AJ112" s="3">
        <f t="shared" si="176"/>
        <v>1206.8571237802237</v>
      </c>
      <c r="AK112" s="3">
        <f t="shared" si="176"/>
        <v>1225.7100384799278</v>
      </c>
      <c r="AL112" s="3">
        <f t="shared" si="176"/>
        <v>1245.3778617121718</v>
      </c>
      <c r="AM112" s="3">
        <f t="shared" si="176"/>
        <v>1265.8896633187803</v>
      </c>
      <c r="AN112" s="3">
        <f t="shared" si="176"/>
        <v>1287.2755792454179</v>
      </c>
      <c r="AO112" s="3">
        <f t="shared" si="176"/>
        <v>1309.5668504657144</v>
      </c>
      <c r="AP112" s="3">
        <f t="shared" si="176"/>
        <v>1332.7958633275653</v>
      </c>
      <c r="AQ112" s="3">
        <f t="shared" si="176"/>
        <v>1356.9961913735588</v>
      </c>
      <c r="AR112" s="3">
        <f t="shared" si="176"/>
        <v>1382.2026386893888</v>
      </c>
      <c r="AS112" s="3">
        <f t="shared" si="176"/>
        <v>1408.4512848360714</v>
      </c>
      <c r="AT112" s="3">
        <f t="shared" si="176"/>
        <v>1435.7795314238288</v>
      </c>
      <c r="AU112" s="3">
        <f t="shared" si="176"/>
        <v>1464.2261503876107</v>
      </c>
      <c r="AV112" s="3">
        <f t="shared" si="176"/>
        <v>1493.8313340264258</v>
      </c>
      <c r="AW112" s="3">
        <f t="shared" si="176"/>
        <v>1524.6367468709152</v>
      </c>
      <c r="AX112" s="3">
        <f t="shared" si="176"/>
        <v>1556.685579445958</v>
      </c>
      <c r="AY112" s="3">
        <f t="shared" si="176"/>
        <v>1590.0226039975462</v>
      </c>
      <c r="AZ112" s="3">
        <f t="shared" si="176"/>
        <v>1624.6942322556845</v>
      </c>
      <c r="BA112" s="3">
        <f t="shared" si="176"/>
        <v>1660.748575307694</v>
      </c>
      <c r="BB112" s="3">
        <f t="shared" si="176"/>
        <v>1698.2355056590307</v>
      </c>
      <c r="BC112" s="3">
        <f t="shared" si="176"/>
        <v>1737.2067215615209</v>
      </c>
      <c r="BD112" s="3">
        <f t="shared" si="176"/>
        <v>1777.7158136918604</v>
      </c>
      <c r="BE112" s="3">
        <f t="shared" si="176"/>
        <v>1819.818334266233</v>
      </c>
      <c r="BF112" s="3">
        <f t="shared" si="176"/>
        <v>1863.5718686800521</v>
      </c>
      <c r="BG112" s="3">
        <f t="shared" si="176"/>
        <v>1909.036109765068</v>
      </c>
      <c r="BH112" s="3">
        <f t="shared" si="176"/>
        <v>1956.2729347594752</v>
      </c>
      <c r="BI112" s="3">
        <f t="shared" si="176"/>
        <v>2005.3464850901146</v>
      </c>
    </row>
    <row r="113" spans="3:61" outlineLevel="2" x14ac:dyDescent="0.3"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</row>
    <row r="114" spans="3:61" outlineLevel="2" x14ac:dyDescent="0.3">
      <c r="C114" t="s">
        <v>69</v>
      </c>
      <c r="D114" s="3">
        <f>D14</f>
        <v>20.862711459301554</v>
      </c>
      <c r="E114" s="3">
        <f t="shared" ref="E114:N114" si="177">E14</f>
        <v>21.4602994900923</v>
      </c>
      <c r="F114" s="3">
        <f t="shared" si="177"/>
        <v>22.232637577131346</v>
      </c>
      <c r="G114" s="3">
        <f t="shared" si="177"/>
        <v>23.16644280710231</v>
      </c>
      <c r="H114" s="3">
        <f t="shared" si="177"/>
        <v>23.235292890769319</v>
      </c>
      <c r="I114" s="3">
        <f t="shared" si="177"/>
        <v>24.857739110656208</v>
      </c>
      <c r="J114" s="3">
        <f t="shared" si="177"/>
        <v>25.330589199767285</v>
      </c>
      <c r="K114" s="3">
        <f t="shared" si="177"/>
        <v>28.385164670658686</v>
      </c>
      <c r="L114" s="3">
        <f t="shared" si="177"/>
        <v>27.290812182741117</v>
      </c>
      <c r="M114" s="3">
        <f t="shared" si="177"/>
        <v>28.911497461928935</v>
      </c>
      <c r="N114" s="3">
        <f t="shared" si="177"/>
        <v>29.644898477157358</v>
      </c>
      <c r="O114" s="3">
        <f>N114*(1+AVERAGE($E126:$J126))</f>
        <v>30.625430995827614</v>
      </c>
      <c r="P114" s="3">
        <f t="shared" ref="P114:BI119" si="178">O114*(1+AVERAGE($E126:$J126))</f>
        <v>31.63839553719178</v>
      </c>
      <c r="Q114" s="3">
        <f t="shared" si="178"/>
        <v>32.684864820487604</v>
      </c>
      <c r="R114" s="3">
        <f t="shared" si="178"/>
        <v>33.765947046136795</v>
      </c>
      <c r="S114" s="3">
        <f t="shared" si="178"/>
        <v>34.88278706931807</v>
      </c>
      <c r="T114" s="3">
        <f t="shared" si="178"/>
        <v>36.036567612357274</v>
      </c>
      <c r="U114" s="3">
        <f t="shared" si="178"/>
        <v>37.228510517218382</v>
      </c>
      <c r="V114" s="3">
        <f t="shared" si="178"/>
        <v>38.459878039421838</v>
      </c>
      <c r="W114" s="3">
        <f t="shared" si="178"/>
        <v>39.731974184760411</v>
      </c>
      <c r="X114" s="3">
        <f t="shared" si="178"/>
        <v>41.046146090228191</v>
      </c>
      <c r="Y114" s="3">
        <f t="shared" si="178"/>
        <v>42.403785450625087</v>
      </c>
      <c r="Z114" s="3">
        <f t="shared" si="178"/>
        <v>43.806329992347585</v>
      </c>
      <c r="AA114" s="3">
        <f t="shared" si="178"/>
        <v>45.25526499592651</v>
      </c>
      <c r="AB114" s="3">
        <f t="shared" si="178"/>
        <v>46.752124868924149</v>
      </c>
      <c r="AC114" s="3">
        <f t="shared" si="178"/>
        <v>48.298494770856372</v>
      </c>
      <c r="AD114" s="3">
        <f t="shared" si="178"/>
        <v>49.896012291860586</v>
      </c>
      <c r="AE114" s="3">
        <f t="shared" si="178"/>
        <v>51.546369186887183</v>
      </c>
      <c r="AF114" s="3">
        <f t="shared" si="178"/>
        <v>53.251313167250984</v>
      </c>
      <c r="AG114" s="3">
        <f t="shared" si="178"/>
        <v>55.012649751439888</v>
      </c>
      <c r="AH114" s="3">
        <f t="shared" si="178"/>
        <v>56.832244177140765</v>
      </c>
      <c r="AI114" s="3">
        <f t="shared" si="178"/>
        <v>58.712023376507361</v>
      </c>
      <c r="AJ114" s="3">
        <f t="shared" si="178"/>
        <v>60.653978016762011</v>
      </c>
      <c r="AK114" s="3">
        <f t="shared" si="178"/>
        <v>62.66016460829217</v>
      </c>
      <c r="AL114" s="3">
        <f t="shared" si="178"/>
        <v>64.732707682474185</v>
      </c>
      <c r="AM114" s="3">
        <f t="shared" si="178"/>
        <v>66.87380204153061</v>
      </c>
      <c r="AN114" s="3">
        <f t="shared" si="178"/>
        <v>69.085715082803603</v>
      </c>
      <c r="AO114" s="3">
        <f t="shared" si="178"/>
        <v>71.370789199905886</v>
      </c>
      <c r="AP114" s="3">
        <f t="shared" si="178"/>
        <v>73.731444263291962</v>
      </c>
      <c r="AQ114" s="3">
        <f t="shared" si="178"/>
        <v>76.170180182876521</v>
      </c>
      <c r="AR114" s="3">
        <f t="shared" si="178"/>
        <v>78.689579555413857</v>
      </c>
      <c r="AS114" s="3">
        <f t="shared" si="178"/>
        <v>81.29231039944176</v>
      </c>
      <c r="AT114" s="3">
        <f t="shared" si="178"/>
        <v>83.981128980686307</v>
      </c>
      <c r="AU114" s="3">
        <f t="shared" si="178"/>
        <v>86.758882730919424</v>
      </c>
      <c r="AV114" s="3">
        <f t="shared" si="178"/>
        <v>89.628513263360475</v>
      </c>
      <c r="AW114" s="3">
        <f t="shared" si="178"/>
        <v>92.593059487814955</v>
      </c>
      <c r="AX114" s="3">
        <f t="shared" si="178"/>
        <v>95.655660828849392</v>
      </c>
      <c r="AY114" s="3">
        <f t="shared" si="178"/>
        <v>98.819560550410301</v>
      </c>
      <c r="AZ114" s="3">
        <f t="shared" si="178"/>
        <v>102.08810919040798</v>
      </c>
      <c r="BA114" s="3">
        <f t="shared" si="178"/>
        <v>105.46476810890239</v>
      </c>
      <c r="BB114" s="3">
        <f t="shared" si="178"/>
        <v>108.9531131536486</v>
      </c>
      <c r="BC114" s="3">
        <f t="shared" si="178"/>
        <v>112.55683844688349</v>
      </c>
      <c r="BD114" s="3">
        <f t="shared" si="178"/>
        <v>116.27976029736394</v>
      </c>
      <c r="BE114" s="3">
        <f t="shared" si="178"/>
        <v>120.12582124179936</v>
      </c>
      <c r="BF114" s="3">
        <f t="shared" si="178"/>
        <v>124.0990942199583</v>
      </c>
      <c r="BG114" s="3">
        <f t="shared" si="178"/>
        <v>128.20378688787062</v>
      </c>
      <c r="BH114" s="3">
        <f t="shared" si="178"/>
        <v>132.44424607369282</v>
      </c>
      <c r="BI114" s="3">
        <f t="shared" si="178"/>
        <v>136.82496238095521</v>
      </c>
    </row>
    <row r="115" spans="3:61" outlineLevel="2" x14ac:dyDescent="0.3">
      <c r="C115" t="s">
        <v>166</v>
      </c>
      <c r="D115" s="3">
        <f t="shared" ref="D115:N123" si="179">D15</f>
        <v>0</v>
      </c>
      <c r="E115" s="3">
        <f t="shared" si="179"/>
        <v>0</v>
      </c>
      <c r="F115" s="3">
        <f t="shared" si="179"/>
        <v>0</v>
      </c>
      <c r="G115" s="3">
        <f t="shared" si="179"/>
        <v>0</v>
      </c>
      <c r="H115" s="3">
        <f t="shared" si="179"/>
        <v>0</v>
      </c>
      <c r="I115" s="3">
        <f t="shared" si="179"/>
        <v>0</v>
      </c>
      <c r="J115" s="3">
        <f t="shared" si="179"/>
        <v>0</v>
      </c>
      <c r="K115" s="3">
        <f t="shared" si="179"/>
        <v>0</v>
      </c>
      <c r="L115" s="3">
        <f t="shared" si="179"/>
        <v>0</v>
      </c>
      <c r="M115" s="3">
        <f t="shared" si="179"/>
        <v>0</v>
      </c>
      <c r="N115" s="3">
        <f t="shared" si="179"/>
        <v>0</v>
      </c>
      <c r="O115" s="3">
        <f t="shared" ref="O115:AD123" si="180">N115*(1+AVERAGE($E127:$J127))</f>
        <v>0</v>
      </c>
      <c r="P115" s="3">
        <f t="shared" si="180"/>
        <v>0</v>
      </c>
      <c r="Q115" s="3">
        <f t="shared" si="180"/>
        <v>0</v>
      </c>
      <c r="R115" s="3">
        <f t="shared" si="180"/>
        <v>0</v>
      </c>
      <c r="S115" s="3">
        <f t="shared" si="180"/>
        <v>0</v>
      </c>
      <c r="T115" s="3">
        <f t="shared" si="180"/>
        <v>0</v>
      </c>
      <c r="U115" s="3">
        <f t="shared" si="180"/>
        <v>0</v>
      </c>
      <c r="V115" s="3">
        <f t="shared" si="180"/>
        <v>0</v>
      </c>
      <c r="W115" s="3">
        <f t="shared" si="180"/>
        <v>0</v>
      </c>
      <c r="X115" s="3">
        <f t="shared" si="180"/>
        <v>0</v>
      </c>
      <c r="Y115" s="3">
        <f t="shared" si="180"/>
        <v>0</v>
      </c>
      <c r="Z115" s="3">
        <f t="shared" si="180"/>
        <v>0</v>
      </c>
      <c r="AA115" s="3">
        <f t="shared" si="180"/>
        <v>0</v>
      </c>
      <c r="AB115" s="3">
        <f t="shared" si="180"/>
        <v>0</v>
      </c>
      <c r="AC115" s="3">
        <f t="shared" si="180"/>
        <v>0</v>
      </c>
      <c r="AD115" s="3">
        <f t="shared" si="180"/>
        <v>0</v>
      </c>
      <c r="AE115" s="3">
        <f t="shared" si="178"/>
        <v>0</v>
      </c>
      <c r="AF115" s="3">
        <f t="shared" si="178"/>
        <v>0</v>
      </c>
      <c r="AG115" s="3">
        <f t="shared" si="178"/>
        <v>0</v>
      </c>
      <c r="AH115" s="3">
        <f t="shared" si="178"/>
        <v>0</v>
      </c>
      <c r="AI115" s="3">
        <f t="shared" si="178"/>
        <v>0</v>
      </c>
      <c r="AJ115" s="3">
        <f t="shared" si="178"/>
        <v>0</v>
      </c>
      <c r="AK115" s="3">
        <f t="shared" si="178"/>
        <v>0</v>
      </c>
      <c r="AL115" s="3">
        <f t="shared" si="178"/>
        <v>0</v>
      </c>
      <c r="AM115" s="3">
        <f t="shared" si="178"/>
        <v>0</v>
      </c>
      <c r="AN115" s="3">
        <f t="shared" si="178"/>
        <v>0</v>
      </c>
      <c r="AO115" s="3">
        <f t="shared" si="178"/>
        <v>0</v>
      </c>
      <c r="AP115" s="3">
        <f t="shared" si="178"/>
        <v>0</v>
      </c>
      <c r="AQ115" s="3">
        <f t="shared" si="178"/>
        <v>0</v>
      </c>
      <c r="AR115" s="3">
        <f t="shared" si="178"/>
        <v>0</v>
      </c>
      <c r="AS115" s="3">
        <f t="shared" si="178"/>
        <v>0</v>
      </c>
      <c r="AT115" s="3">
        <f t="shared" si="178"/>
        <v>0</v>
      </c>
      <c r="AU115" s="3">
        <f t="shared" si="178"/>
        <v>0</v>
      </c>
      <c r="AV115" s="3">
        <f t="shared" si="178"/>
        <v>0</v>
      </c>
      <c r="AW115" s="3">
        <f t="shared" si="178"/>
        <v>0</v>
      </c>
      <c r="AX115" s="3">
        <f t="shared" si="178"/>
        <v>0</v>
      </c>
      <c r="AY115" s="3">
        <f t="shared" si="178"/>
        <v>0</v>
      </c>
      <c r="AZ115" s="3">
        <f t="shared" si="178"/>
        <v>0</v>
      </c>
      <c r="BA115" s="3">
        <f t="shared" si="178"/>
        <v>0</v>
      </c>
      <c r="BB115" s="3">
        <f t="shared" si="178"/>
        <v>0</v>
      </c>
      <c r="BC115" s="3">
        <f t="shared" si="178"/>
        <v>0</v>
      </c>
      <c r="BD115" s="3">
        <f t="shared" si="178"/>
        <v>0</v>
      </c>
      <c r="BE115" s="3">
        <f t="shared" si="178"/>
        <v>0</v>
      </c>
      <c r="BF115" s="3">
        <f t="shared" si="178"/>
        <v>0</v>
      </c>
      <c r="BG115" s="3">
        <f t="shared" si="178"/>
        <v>0</v>
      </c>
      <c r="BH115" s="3">
        <f t="shared" si="178"/>
        <v>0</v>
      </c>
      <c r="BI115" s="3">
        <f t="shared" si="178"/>
        <v>0</v>
      </c>
    </row>
    <row r="116" spans="3:61" outlineLevel="2" x14ac:dyDescent="0.3">
      <c r="C116" t="s">
        <v>167</v>
      </c>
      <c r="D116" s="3">
        <f t="shared" si="179"/>
        <v>13.578528747842249</v>
      </c>
      <c r="E116" s="3">
        <f t="shared" si="179"/>
        <v>13.972672819983218</v>
      </c>
      <c r="F116" s="3">
        <f t="shared" si="179"/>
        <v>14.483928346555849</v>
      </c>
      <c r="G116" s="3">
        <f t="shared" si="179"/>
        <v>15.089597777509361</v>
      </c>
      <c r="H116" s="3">
        <f t="shared" si="179"/>
        <v>15.139106727846967</v>
      </c>
      <c r="I116" s="3">
        <f t="shared" si="179"/>
        <v>16.191857159103833</v>
      </c>
      <c r="J116" s="3">
        <f t="shared" si="179"/>
        <v>16.502332469455759</v>
      </c>
      <c r="K116" s="3">
        <f t="shared" si="179"/>
        <v>18.482155688622758</v>
      </c>
      <c r="L116" s="3">
        <f t="shared" si="179"/>
        <v>17.770761421319797</v>
      </c>
      <c r="M116" s="3">
        <f t="shared" si="179"/>
        <v>18.82609137055838</v>
      </c>
      <c r="N116" s="3">
        <f t="shared" si="179"/>
        <v>19.303654822335027</v>
      </c>
      <c r="O116" s="3">
        <f t="shared" si="180"/>
        <v>19.945268392025405</v>
      </c>
      <c r="P116" s="3">
        <f t="shared" si="178"/>
        <v>20.608207870026913</v>
      </c>
      <c r="Q116" s="3">
        <f t="shared" si="178"/>
        <v>21.293182085433539</v>
      </c>
      <c r="R116" s="3">
        <f t="shared" si="178"/>
        <v>22.000923427352625</v>
      </c>
      <c r="S116" s="3">
        <f t="shared" si="178"/>
        <v>22.732188627990979</v>
      </c>
      <c r="T116" s="3">
        <f t="shared" si="178"/>
        <v>23.487759571769178</v>
      </c>
      <c r="U116" s="3">
        <f t="shared" si="178"/>
        <v>24.26844413132914</v>
      </c>
      <c r="V116" s="3">
        <f t="shared" si="178"/>
        <v>25.075077031328853</v>
      </c>
      <c r="W116" s="3">
        <f t="shared" si="178"/>
        <v>25.908520740947878</v>
      </c>
      <c r="X116" s="3">
        <f t="shared" si="178"/>
        <v>26.769666396057865</v>
      </c>
      <c r="Y116" s="3">
        <f t="shared" si="178"/>
        <v>27.65943475204412</v>
      </c>
      <c r="Z116" s="3">
        <f t="shared" si="178"/>
        <v>28.578777168297002</v>
      </c>
      <c r="AA116" s="3">
        <f t="shared" si="178"/>
        <v>29.528676625425753</v>
      </c>
      <c r="AB116" s="3">
        <f t="shared" si="178"/>
        <v>30.510148776282438</v>
      </c>
      <c r="AC116" s="3">
        <f t="shared" si="178"/>
        <v>31.524243031919731</v>
      </c>
      <c r="AD116" s="3">
        <f t="shared" si="178"/>
        <v>32.572043683643692</v>
      </c>
      <c r="AE116" s="3">
        <f t="shared" si="178"/>
        <v>33.654671062361267</v>
      </c>
      <c r="AF116" s="3">
        <f t="shared" si="178"/>
        <v>34.773282736462114</v>
      </c>
      <c r="AG116" s="3">
        <f t="shared" si="178"/>
        <v>35.929074749515493</v>
      </c>
      <c r="AH116" s="3">
        <f t="shared" si="178"/>
        <v>37.12328289910571</v>
      </c>
      <c r="AI116" s="3">
        <f t="shared" si="178"/>
        <v>38.357184058173353</v>
      </c>
      <c r="AJ116" s="3">
        <f t="shared" si="178"/>
        <v>39.632097540275204</v>
      </c>
      <c r="AK116" s="3">
        <f t="shared" si="178"/>
        <v>40.949386510222567</v>
      </c>
      <c r="AL116" s="3">
        <f t="shared" si="178"/>
        <v>42.310459441606277</v>
      </c>
      <c r="AM116" s="3">
        <f t="shared" si="178"/>
        <v>43.716771622766856</v>
      </c>
      <c r="AN116" s="3">
        <f t="shared" si="178"/>
        <v>45.169826712819976</v>
      </c>
      <c r="AO116" s="3">
        <f t="shared" si="178"/>
        <v>46.671178349401018</v>
      </c>
      <c r="AP116" s="3">
        <f t="shared" si="178"/>
        <v>48.222431809847699</v>
      </c>
      <c r="AQ116" s="3">
        <f t="shared" si="178"/>
        <v>49.825245727597007</v>
      </c>
      <c r="AR116" s="3">
        <f t="shared" si="178"/>
        <v>51.481333865631619</v>
      </c>
      <c r="AS116" s="3">
        <f t="shared" si="178"/>
        <v>53.192466948871989</v>
      </c>
      <c r="AT116" s="3">
        <f t="shared" si="178"/>
        <v>54.960474557473376</v>
      </c>
      <c r="AU116" s="3">
        <f t="shared" si="178"/>
        <v>56.787247083052137</v>
      </c>
      <c r="AV116" s="3">
        <f t="shared" si="178"/>
        <v>58.674737749932966</v>
      </c>
      <c r="AW116" s="3">
        <f t="shared" si="178"/>
        <v>60.624964703578179</v>
      </c>
      <c r="AX116" s="3">
        <f t="shared" si="178"/>
        <v>62.640013168432084</v>
      </c>
      <c r="AY116" s="3">
        <f t="shared" si="178"/>
        <v>64.722037677487634</v>
      </c>
      <c r="AZ116" s="3">
        <f t="shared" si="178"/>
        <v>66.873264375959266</v>
      </c>
      <c r="BA116" s="3">
        <f t="shared" si="178"/>
        <v>69.095993401525078</v>
      </c>
      <c r="BB116" s="3">
        <f t="shared" si="178"/>
        <v>71.392601343683282</v>
      </c>
      <c r="BC116" s="3">
        <f t="shared" si="178"/>
        <v>73.765543784852653</v>
      </c>
      <c r="BD116" s="3">
        <f t="shared" si="178"/>
        <v>76.21735792593384</v>
      </c>
      <c r="BE116" s="3">
        <f t="shared" si="178"/>
        <v>78.750665299138944</v>
      </c>
      <c r="BF116" s="3">
        <f t="shared" si="178"/>
        <v>81.368174570989908</v>
      </c>
      <c r="BG116" s="3">
        <f t="shared" si="178"/>
        <v>84.072684438482838</v>
      </c>
      <c r="BH116" s="3">
        <f t="shared" si="178"/>
        <v>86.867086621514758</v>
      </c>
      <c r="BI116" s="3">
        <f t="shared" si="178"/>
        <v>89.754368954772488</v>
      </c>
    </row>
    <row r="117" spans="3:61" outlineLevel="2" x14ac:dyDescent="0.3">
      <c r="C117" t="s">
        <v>65</v>
      </c>
      <c r="D117" s="3">
        <f t="shared" si="179"/>
        <v>51.420746248838135</v>
      </c>
      <c r="E117" s="3">
        <f t="shared" si="179"/>
        <v>52.895640611889242</v>
      </c>
      <c r="F117" s="3">
        <f t="shared" si="179"/>
        <v>54.818269109683925</v>
      </c>
      <c r="G117" s="3">
        <f t="shared" si="179"/>
        <v>57.114832709264398</v>
      </c>
      <c r="H117" s="3">
        <f t="shared" si="179"/>
        <v>57.295110541684039</v>
      </c>
      <c r="I117" s="3">
        <f t="shared" si="179"/>
        <v>61.282940975776185</v>
      </c>
      <c r="J117" s="3">
        <f t="shared" si="179"/>
        <v>62.448558734860114</v>
      </c>
      <c r="K117" s="3">
        <f t="shared" si="179"/>
        <v>69.982994011976061</v>
      </c>
      <c r="L117" s="3">
        <f t="shared" si="179"/>
        <v>67.275025380710659</v>
      </c>
      <c r="M117" s="3">
        <f t="shared" si="179"/>
        <v>71.270203045685278</v>
      </c>
      <c r="N117" s="3">
        <f t="shared" si="179"/>
        <v>73.078121827411152</v>
      </c>
      <c r="O117" s="3">
        <f t="shared" si="180"/>
        <v>75.498260121451807</v>
      </c>
      <c r="P117" s="3">
        <f t="shared" si="178"/>
        <v>77.998546470968137</v>
      </c>
      <c r="Q117" s="3">
        <f t="shared" si="178"/>
        <v>80.581635150227186</v>
      </c>
      <c r="R117" s="3">
        <f t="shared" si="178"/>
        <v>83.250268335464938</v>
      </c>
      <c r="S117" s="3">
        <f t="shared" si="178"/>
        <v>86.007279015948058</v>
      </c>
      <c r="T117" s="3">
        <f t="shared" si="178"/>
        <v>88.85559400144156</v>
      </c>
      <c r="U117" s="3">
        <f t="shared" si="178"/>
        <v>91.798237029275327</v>
      </c>
      <c r="V117" s="3">
        <f t="shared" si="178"/>
        <v>94.838331974307664</v>
      </c>
      <c r="W117" s="3">
        <f t="shared" si="178"/>
        <v>97.979106165193755</v>
      </c>
      <c r="X117" s="3">
        <f t="shared" si="178"/>
        <v>101.22389381047937</v>
      </c>
      <c r="Y117" s="3">
        <f t="shared" si="178"/>
        <v>104.57613953815702</v>
      </c>
      <c r="Z117" s="3">
        <f t="shared" si="178"/>
        <v>108.03940205244211</v>
      </c>
      <c r="AA117" s="3">
        <f t="shared" si="178"/>
        <v>111.61735791165104</v>
      </c>
      <c r="AB117" s="3">
        <f t="shared" si="178"/>
        <v>115.31380543119175</v>
      </c>
      <c r="AC117" s="3">
        <f t="shared" si="178"/>
        <v>119.13266871581028</v>
      </c>
      <c r="AD117" s="3">
        <f t="shared" si="178"/>
        <v>123.07800182537366</v>
      </c>
      <c r="AE117" s="3">
        <f t="shared" si="178"/>
        <v>127.15399307861171</v>
      </c>
      <c r="AF117" s="3">
        <f t="shared" si="178"/>
        <v>131.3649694993864</v>
      </c>
      <c r="AG117" s="3">
        <f t="shared" si="178"/>
        <v>135.71540141020895</v>
      </c>
      <c r="AH117" s="3">
        <f t="shared" si="178"/>
        <v>140.20990717788109</v>
      </c>
      <c r="AI117" s="3">
        <f t="shared" si="178"/>
        <v>144.85325811629829</v>
      </c>
      <c r="AJ117" s="3">
        <f t="shared" si="178"/>
        <v>149.65038355161994</v>
      </c>
      <c r="AK117" s="3">
        <f t="shared" si="178"/>
        <v>154.6063760551834</v>
      </c>
      <c r="AL117" s="3">
        <f t="shared" si="178"/>
        <v>159.72649684971717</v>
      </c>
      <c r="AM117" s="3">
        <f t="shared" si="178"/>
        <v>165.01618139459237</v>
      </c>
      <c r="AN117" s="3">
        <f t="shared" si="178"/>
        <v>170.48104515604189</v>
      </c>
      <c r="AO117" s="3">
        <f t="shared" si="178"/>
        <v>176.12688956847248</v>
      </c>
      <c r="AP117" s="3">
        <f t="shared" si="178"/>
        <v>181.95970819319862</v>
      </c>
      <c r="AQ117" s="3">
        <f t="shared" si="178"/>
        <v>187.98569308113596</v>
      </c>
      <c r="AR117" s="3">
        <f t="shared" si="178"/>
        <v>194.21124134620894</v>
      </c>
      <c r="AS117" s="3">
        <f t="shared" si="178"/>
        <v>200.64296195645088</v>
      </c>
      <c r="AT117" s="3">
        <f t="shared" si="178"/>
        <v>207.28768275000593</v>
      </c>
      <c r="AU117" s="3">
        <f t="shared" si="178"/>
        <v>214.15245768348086</v>
      </c>
      <c r="AV117" s="3">
        <f t="shared" si="178"/>
        <v>221.24457432034151</v>
      </c>
      <c r="AW117" s="3">
        <f t="shared" si="178"/>
        <v>228.57156156730358</v>
      </c>
      <c r="AX117" s="3">
        <f t="shared" si="178"/>
        <v>236.14119766693045</v>
      </c>
      <c r="AY117" s="3">
        <f t="shared" si="178"/>
        <v>243.96151845492309</v>
      </c>
      <c r="AZ117" s="3">
        <f t="shared" si="178"/>
        <v>252.04082589086764</v>
      </c>
      <c r="BA117" s="3">
        <f t="shared" si="178"/>
        <v>260.3876968714971</v>
      </c>
      <c r="BB117" s="3">
        <f t="shared" si="178"/>
        <v>269.01099233582283</v>
      </c>
      <c r="BC117" s="3">
        <f t="shared" si="178"/>
        <v>277.91986667180225</v>
      </c>
      <c r="BD117" s="3">
        <f t="shared" si="178"/>
        <v>287.12377743452811</v>
      </c>
      <c r="BE117" s="3">
        <f t="shared" si="178"/>
        <v>296.63249538625661</v>
      </c>
      <c r="BF117" s="3">
        <f t="shared" si="178"/>
        <v>306.4561148689325</v>
      </c>
      <c r="BG117" s="3">
        <f t="shared" si="178"/>
        <v>316.60506452022241</v>
      </c>
      <c r="BH117" s="3">
        <f t="shared" si="178"/>
        <v>327.09011834443271</v>
      </c>
      <c r="BI117" s="3">
        <f t="shared" si="178"/>
        <v>337.92240715006437</v>
      </c>
    </row>
    <row r="118" spans="3:61" outlineLevel="2" x14ac:dyDescent="0.3">
      <c r="C118" t="s">
        <v>168</v>
      </c>
      <c r="D118" s="3">
        <f t="shared" si="179"/>
        <v>14.796789271013145</v>
      </c>
      <c r="E118" s="3">
        <f t="shared" si="179"/>
        <v>15.216380300780999</v>
      </c>
      <c r="F118" s="3">
        <f t="shared" si="179"/>
        <v>15.766827225790204</v>
      </c>
      <c r="G118" s="3">
        <f t="shared" si="179"/>
        <v>16.435738615774852</v>
      </c>
      <c r="H118" s="3">
        <f t="shared" si="179"/>
        <v>16.484241106012753</v>
      </c>
      <c r="I118" s="3">
        <f t="shared" si="179"/>
        <v>17.629694074832251</v>
      </c>
      <c r="J118" s="3">
        <f t="shared" si="179"/>
        <v>17.975755011371454</v>
      </c>
      <c r="K118" s="3">
        <f t="shared" si="179"/>
        <v>20.130494011976047</v>
      </c>
      <c r="L118" s="3">
        <f t="shared" si="179"/>
        <v>19.357436548223351</v>
      </c>
      <c r="M118" s="3">
        <f t="shared" si="179"/>
        <v>20.506992385786802</v>
      </c>
      <c r="N118" s="3">
        <f t="shared" si="179"/>
        <v>21.02719543147208</v>
      </c>
      <c r="O118" s="3">
        <f t="shared" si="180"/>
        <v>21.724685013775009</v>
      </c>
      <c r="P118" s="3">
        <f t="shared" si="178"/>
        <v>22.445310906338932</v>
      </c>
      <c r="Q118" s="3">
        <f t="shared" si="178"/>
        <v>23.189840559841358</v>
      </c>
      <c r="R118" s="3">
        <f t="shared" si="178"/>
        <v>23.95906688193784</v>
      </c>
      <c r="S118" s="3">
        <f t="shared" si="178"/>
        <v>24.753809081691145</v>
      </c>
      <c r="T118" s="3">
        <f t="shared" si="178"/>
        <v>25.574913542010819</v>
      </c>
      <c r="U118" s="3">
        <f t="shared" si="178"/>
        <v>26.423254721032325</v>
      </c>
      <c r="V118" s="3">
        <f t="shared" si="178"/>
        <v>27.299736083395661</v>
      </c>
      <c r="W118" s="3">
        <f t="shared" si="178"/>
        <v>28.205291062415267</v>
      </c>
      <c r="X118" s="3">
        <f t="shared" si="178"/>
        <v>29.140884054165916</v>
      </c>
      <c r="Y118" s="3">
        <f t="shared" si="178"/>
        <v>30.10751144454326</v>
      </c>
      <c r="Z118" s="3">
        <f t="shared" si="178"/>
        <v>31.106202670392818</v>
      </c>
      <c r="AA118" s="3">
        <f t="shared" si="178"/>
        <v>32.13802131583752</v>
      </c>
      <c r="AB118" s="3">
        <f t="shared" si="178"/>
        <v>33.204066244971315</v>
      </c>
      <c r="AC118" s="3">
        <f t="shared" si="178"/>
        <v>34.305472772125206</v>
      </c>
      <c r="AD118" s="3">
        <f t="shared" si="178"/>
        <v>35.443413870951957</v>
      </c>
      <c r="AE118" s="3">
        <f t="shared" si="178"/>
        <v>36.619101423617145</v>
      </c>
      <c r="AF118" s="3">
        <f t="shared" si="178"/>
        <v>37.833787511426962</v>
      </c>
      <c r="AG118" s="3">
        <f t="shared" si="178"/>
        <v>39.08876574826715</v>
      </c>
      <c r="AH118" s="3">
        <f t="shared" si="178"/>
        <v>40.385372658273276</v>
      </c>
      <c r="AI118" s="3">
        <f t="shared" si="178"/>
        <v>41.724989099199419</v>
      </c>
      <c r="AJ118" s="3">
        <f t="shared" si="178"/>
        <v>43.109041733001256</v>
      </c>
      <c r="AK118" s="3">
        <f t="shared" si="178"/>
        <v>44.539004545199532</v>
      </c>
      <c r="AL118" s="3">
        <f t="shared" si="178"/>
        <v>46.016400414642149</v>
      </c>
      <c r="AM118" s="3">
        <f t="shared" si="178"/>
        <v>47.542802735336522</v>
      </c>
      <c r="AN118" s="3">
        <f t="shared" si="178"/>
        <v>49.1198370920795</v>
      </c>
      <c r="AO118" s="3">
        <f t="shared" si="178"/>
        <v>50.749182991669301</v>
      </c>
      <c r="AP118" s="3">
        <f t="shared" si="178"/>
        <v>52.43257565154321</v>
      </c>
      <c r="AQ118" s="3">
        <f t="shared" si="178"/>
        <v>54.17180784774586</v>
      </c>
      <c r="AR118" s="3">
        <f t="shared" si="178"/>
        <v>55.968731824196176</v>
      </c>
      <c r="AS118" s="3">
        <f t="shared" si="178"/>
        <v>57.825261265286279</v>
      </c>
      <c r="AT118" s="3">
        <f t="shared" si="178"/>
        <v>59.743373333913141</v>
      </c>
      <c r="AU118" s="3">
        <f t="shared" si="178"/>
        <v>61.725110777113464</v>
      </c>
      <c r="AV118" s="3">
        <f t="shared" si="178"/>
        <v>63.772584101544197</v>
      </c>
      <c r="AW118" s="3">
        <f t="shared" si="178"/>
        <v>65.88797382112557</v>
      </c>
      <c r="AX118" s="3">
        <f t="shared" si="178"/>
        <v>68.07353277924031</v>
      </c>
      <c r="AY118" s="3">
        <f t="shared" si="178"/>
        <v>70.331588547962156</v>
      </c>
      <c r="AZ118" s="3">
        <f t="shared" si="178"/>
        <v>72.664545906868739</v>
      </c>
      <c r="BA118" s="3">
        <f t="shared" si="178"/>
        <v>75.074889404078803</v>
      </c>
      <c r="BB118" s="3">
        <f t="shared" si="178"/>
        <v>77.565186002241134</v>
      </c>
      <c r="BC118" s="3">
        <f t="shared" si="178"/>
        <v>80.138087812293151</v>
      </c>
      <c r="BD118" s="3">
        <f t="shared" si="178"/>
        <v>82.796334917900552</v>
      </c>
      <c r="BE118" s="3">
        <f t="shared" si="178"/>
        <v>85.542758293585933</v>
      </c>
      <c r="BF118" s="3">
        <f t="shared" si="178"/>
        <v>88.380282819654241</v>
      </c>
      <c r="BG118" s="3">
        <f t="shared" si="178"/>
        <v>91.311930397125764</v>
      </c>
      <c r="BH118" s="3">
        <f t="shared" si="178"/>
        <v>94.34082316599401</v>
      </c>
      <c r="BI118" s="3">
        <f t="shared" si="178"/>
        <v>97.470186830235988</v>
      </c>
    </row>
    <row r="119" spans="3:61" outlineLevel="2" x14ac:dyDescent="0.3">
      <c r="C119" t="s">
        <v>169</v>
      </c>
      <c r="D119" s="3">
        <f t="shared" si="179"/>
        <v>4.3654335413623686</v>
      </c>
      <c r="E119" s="3">
        <f t="shared" si="179"/>
        <v>4.4925760020654488</v>
      </c>
      <c r="F119" s="3">
        <f t="shared" si="179"/>
        <v>4.656922931620703</v>
      </c>
      <c r="G119" s="3">
        <f t="shared" si="179"/>
        <v>4.8461070177557684</v>
      </c>
      <c r="H119" s="3">
        <f t="shared" si="179"/>
        <v>4.8602496871461769</v>
      </c>
      <c r="I119" s="3">
        <f t="shared" si="179"/>
        <v>5.2073012623677917</v>
      </c>
      <c r="J119" s="3">
        <f t="shared" si="179"/>
        <v>5.3043211508964951</v>
      </c>
      <c r="K119" s="3">
        <f t="shared" si="179"/>
        <v>5.9444011976047904</v>
      </c>
      <c r="L119" s="3">
        <f t="shared" si="179"/>
        <v>5.7120304568527915</v>
      </c>
      <c r="M119" s="3">
        <f t="shared" si="179"/>
        <v>6.0512436548223354</v>
      </c>
      <c r="N119" s="3">
        <f t="shared" si="179"/>
        <v>6.2047461928934009</v>
      </c>
      <c r="O119" s="3">
        <f t="shared" si="180"/>
        <v>6.4108337009760543</v>
      </c>
      <c r="P119" s="3">
        <f t="shared" si="178"/>
        <v>6.6237663014552934</v>
      </c>
      <c r="Q119" s="3">
        <f t="shared" si="178"/>
        <v>6.8437713506146389</v>
      </c>
      <c r="R119" s="3">
        <f t="shared" si="178"/>
        <v>7.0710837562616335</v>
      </c>
      <c r="S119" s="3">
        <f t="shared" si="178"/>
        <v>7.3059462285478913</v>
      </c>
      <c r="T119" s="3">
        <f t="shared" si="178"/>
        <v>7.5486095391200152</v>
      </c>
      <c r="U119" s="3">
        <f t="shared" si="178"/>
        <v>7.7993327888780764</v>
      </c>
      <c r="V119" s="3">
        <f t="shared" si="178"/>
        <v>8.0583836846275574</v>
      </c>
      <c r="W119" s="3">
        <f t="shared" si="178"/>
        <v>8.3260388249201487</v>
      </c>
      <c r="X119" s="3">
        <f t="shared" si="178"/>
        <v>8.6025839953886063</v>
      </c>
      <c r="Y119" s="3">
        <f t="shared" si="178"/>
        <v>8.888314473891004</v>
      </c>
      <c r="Z119" s="3">
        <f t="shared" si="178"/>
        <v>9.1835353457901956</v>
      </c>
      <c r="AA119" s="3">
        <f t="shared" si="178"/>
        <v>9.4885618297051337</v>
      </c>
      <c r="AB119" s="3">
        <f t="shared" si="178"/>
        <v>9.8037196140818441</v>
      </c>
      <c r="AC119" s="3">
        <f t="shared" si="178"/>
        <v>10.129345204943442</v>
      </c>
      <c r="AD119" s="3">
        <f t="shared" si="178"/>
        <v>10.465786285190484</v>
      </c>
      <c r="AE119" s="3">
        <f t="shared" si="178"/>
        <v>10.813402085835301</v>
      </c>
      <c r="AF119" s="3">
        <f t="shared" si="178"/>
        <v>11.172563769566699</v>
      </c>
      <c r="AG119" s="3">
        <f t="shared" si="178"/>
        <v>11.543654827054551</v>
      </c>
      <c r="AH119" s="3">
        <f t="shared" si="178"/>
        <v>11.92707148641747</v>
      </c>
      <c r="AI119" s="3">
        <f t="shared" si="178"/>
        <v>12.323223136290714</v>
      </c>
      <c r="AJ119" s="3">
        <f t="shared" si="178"/>
        <v>12.732532762946105</v>
      </c>
      <c r="AK119" s="3">
        <f t="shared" si="178"/>
        <v>13.15543740193065</v>
      </c>
      <c r="AL119" s="3">
        <f t="shared" si="178"/>
        <v>13.592388604706109</v>
      </c>
      <c r="AM119" s="3">
        <f t="shared" si="178"/>
        <v>14.043852920787774</v>
      </c>
      <c r="AN119" s="3">
        <f t="shared" si="178"/>
        <v>14.51031239589723</v>
      </c>
      <c r="AO119" s="3">
        <f t="shared" si="178"/>
        <v>14.992265086661012</v>
      </c>
      <c r="AP119" s="3">
        <f t="shared" si="178"/>
        <v>15.49022559240472</v>
      </c>
      <c r="AQ119" s="3">
        <f t="shared" si="178"/>
        <v>16.004725604610407</v>
      </c>
      <c r="AR119" s="3">
        <f t="shared" si="178"/>
        <v>16.536314474623911</v>
      </c>
      <c r="AS119" s="3">
        <f t="shared" si="178"/>
        <v>17.085559800218313</v>
      </c>
      <c r="AT119" s="3">
        <f t="shared" si="178"/>
        <v>17.653048031639781</v>
      </c>
      <c r="AU119" s="3">
        <f t="shared" si="178"/>
        <v>18.239385097782936</v>
      </c>
      <c r="AV119" s="3">
        <f t="shared" si="178"/>
        <v>18.845197053164323</v>
      </c>
      <c r="AW119" s="3">
        <f t="shared" si="178"/>
        <v>19.471130746384759</v>
      </c>
      <c r="AX119" s="3">
        <f t="shared" si="178"/>
        <v>20.117854510794331</v>
      </c>
      <c r="AY119" s="3">
        <f t="shared" si="178"/>
        <v>20.786058878097482</v>
      </c>
      <c r="AZ119" s="3">
        <f t="shared" si="178"/>
        <v>21.476457315660134</v>
      </c>
      <c r="BA119" s="3">
        <f t="shared" si="178"/>
        <v>22.189786988306089</v>
      </c>
      <c r="BB119" s="3">
        <f t="shared" si="178"/>
        <v>22.926809545416099</v>
      </c>
      <c r="BC119" s="3">
        <f t="shared" si="178"/>
        <v>23.688311934170066</v>
      </c>
      <c r="BD119" s="3">
        <f t="shared" ref="P119:BI123" si="181">BC119*(1+AVERAGE($E131:$J131))</f>
        <v>24.475107239800639</v>
      </c>
      <c r="BE119" s="3">
        <f t="shared" si="181"/>
        <v>25.288035553755428</v>
      </c>
      <c r="BF119" s="3">
        <f t="shared" si="181"/>
        <v>26.127964870694782</v>
      </c>
      <c r="BG119" s="3">
        <f t="shared" si="181"/>
        <v>26.995792015282888</v>
      </c>
      <c r="BH119" s="3">
        <f t="shared" si="181"/>
        <v>27.89244359976178</v>
      </c>
      <c r="BI119" s="3">
        <f t="shared" si="181"/>
        <v>28.818877013330681</v>
      </c>
    </row>
    <row r="120" spans="3:61" outlineLevel="2" x14ac:dyDescent="0.3">
      <c r="C120" t="s">
        <v>170</v>
      </c>
      <c r="D120" s="3">
        <f t="shared" si="179"/>
        <v>44.390367813039425</v>
      </c>
      <c r="E120" s="3">
        <f t="shared" si="179"/>
        <v>45.66183179500419</v>
      </c>
      <c r="F120" s="3">
        <f t="shared" si="179"/>
        <v>47.313310666162963</v>
      </c>
      <c r="G120" s="3">
        <f t="shared" si="179"/>
        <v>49.294395458388706</v>
      </c>
      <c r="H120" s="3">
        <f t="shared" si="179"/>
        <v>49.452723318038259</v>
      </c>
      <c r="I120" s="3">
        <f t="shared" si="179"/>
        <v>52.902035710224041</v>
      </c>
      <c r="J120" s="3">
        <f t="shared" si="179"/>
        <v>53.914986512931726</v>
      </c>
      <c r="K120" s="3">
        <f t="shared" si="179"/>
        <v>60.40446107784431</v>
      </c>
      <c r="L120" s="3">
        <f t="shared" si="179"/>
        <v>58.072309644670057</v>
      </c>
      <c r="M120" s="3">
        <f t="shared" si="179"/>
        <v>61.52097715736042</v>
      </c>
      <c r="N120" s="3">
        <f t="shared" si="179"/>
        <v>63.081586294416248</v>
      </c>
      <c r="O120" s="3">
        <f t="shared" si="180"/>
        <v>65.171597599749731</v>
      </c>
      <c r="P120" s="3">
        <f t="shared" si="181"/>
        <v>67.330854900832833</v>
      </c>
      <c r="Q120" s="3">
        <f t="shared" si="181"/>
        <v>69.561652447421565</v>
      </c>
      <c r="R120" s="3">
        <f t="shared" si="181"/>
        <v>71.866360502070776</v>
      </c>
      <c r="S120" s="3">
        <f t="shared" si="181"/>
        <v>74.247427858580721</v>
      </c>
      <c r="T120" s="3">
        <f t="shared" si="181"/>
        <v>76.707384443884635</v>
      </c>
      <c r="U120" s="3">
        <f t="shared" si="181"/>
        <v>79.248844006141582</v>
      </c>
      <c r="V120" s="3">
        <f t="shared" si="181"/>
        <v>81.874506891890974</v>
      </c>
      <c r="W120" s="3">
        <f t="shared" si="181"/>
        <v>84.587162915219352</v>
      </c>
      <c r="X120" s="3">
        <f t="shared" si="181"/>
        <v>87.389694321988088</v>
      </c>
      <c r="Y120" s="3">
        <f t="shared" si="181"/>
        <v>90.285078852271525</v>
      </c>
      <c r="Z120" s="3">
        <f t="shared" si="181"/>
        <v>93.276392904259396</v>
      </c>
      <c r="AA120" s="3">
        <f t="shared" si="181"/>
        <v>96.366814802985274</v>
      </c>
      <c r="AB120" s="3">
        <f t="shared" si="181"/>
        <v>99.55962817735417</v>
      </c>
      <c r="AC120" s="3">
        <f t="shared" si="181"/>
        <v>102.85822544905733</v>
      </c>
      <c r="AD120" s="3">
        <f t="shared" si="181"/>
        <v>106.26611143708136</v>
      </c>
      <c r="AE120" s="3">
        <f t="shared" si="181"/>
        <v>109.78690708164154</v>
      </c>
      <c r="AF120" s="3">
        <f t="shared" si="181"/>
        <v>113.42435329149595</v>
      </c>
      <c r="AG120" s="3">
        <f t="shared" si="181"/>
        <v>117.18231491872835</v>
      </c>
      <c r="AH120" s="3">
        <f t="shared" si="181"/>
        <v>121.06478486522319</v>
      </c>
      <c r="AI120" s="3">
        <f t="shared" si="181"/>
        <v>125.07588832519563</v>
      </c>
      <c r="AJ120" s="3">
        <f t="shared" si="181"/>
        <v>129.21988716828477</v>
      </c>
      <c r="AK120" s="3">
        <f t="shared" si="181"/>
        <v>133.50118446786678</v>
      </c>
      <c r="AL120" s="3">
        <f t="shared" si="181"/>
        <v>137.92432917939968</v>
      </c>
      <c r="AM120" s="3">
        <f t="shared" si="181"/>
        <v>142.4940209737704</v>
      </c>
      <c r="AN120" s="3">
        <f t="shared" si="181"/>
        <v>147.21511523077973</v>
      </c>
      <c r="AO120" s="3">
        <f t="shared" si="181"/>
        <v>152.09262819807074</v>
      </c>
      <c r="AP120" s="3">
        <f t="shared" si="181"/>
        <v>157.1317423209822</v>
      </c>
      <c r="AQ120" s="3">
        <f t="shared" si="181"/>
        <v>162.33781174899008</v>
      </c>
      <c r="AR120" s="3">
        <f t="shared" si="181"/>
        <v>167.71636802458775</v>
      </c>
      <c r="AS120" s="3">
        <f t="shared" si="181"/>
        <v>173.27312596064948</v>
      </c>
      <c r="AT120" s="3">
        <f t="shared" si="181"/>
        <v>179.01398971252198</v>
      </c>
      <c r="AU120" s="3">
        <f t="shared" si="181"/>
        <v>184.94505905129574</v>
      </c>
      <c r="AV120" s="3">
        <f t="shared" si="181"/>
        <v>191.07263584492171</v>
      </c>
      <c r="AW120" s="3">
        <f t="shared" si="181"/>
        <v>197.40323075405931</v>
      </c>
      <c r="AX120" s="3">
        <f t="shared" si="181"/>
        <v>203.94357014977072</v>
      </c>
      <c r="AY120" s="3">
        <f t="shared" si="181"/>
        <v>210.70060326041119</v>
      </c>
      <c r="AZ120" s="3">
        <f t="shared" si="181"/>
        <v>217.68150955530925</v>
      </c>
      <c r="BA120" s="3">
        <f t="shared" si="181"/>
        <v>224.89370637308215</v>
      </c>
      <c r="BB120" s="3">
        <f t="shared" si="181"/>
        <v>232.34485680269171</v>
      </c>
      <c r="BC120" s="3">
        <f t="shared" si="181"/>
        <v>240.0428778256142</v>
      </c>
      <c r="BD120" s="3">
        <f t="shared" si="181"/>
        <v>247.99594872777581</v>
      </c>
      <c r="BE120" s="3">
        <f t="shared" si="181"/>
        <v>256.21251979019115</v>
      </c>
      <c r="BF120" s="3">
        <f t="shared" si="181"/>
        <v>264.7013212675389</v>
      </c>
      <c r="BG120" s="3">
        <f t="shared" si="181"/>
        <v>273.47137266421464</v>
      </c>
      <c r="BH120" s="3">
        <f t="shared" si="181"/>
        <v>282.53199231771674</v>
      </c>
      <c r="BI120" s="3">
        <f t="shared" si="181"/>
        <v>291.89280729954754</v>
      </c>
    </row>
    <row r="121" spans="3:61" outlineLevel="2" x14ac:dyDescent="0.3">
      <c r="C121" t="s">
        <v>171</v>
      </c>
      <c r="D121" s="3">
        <f t="shared" si="179"/>
        <v>41.725422918603108</v>
      </c>
      <c r="E121" s="3">
        <f t="shared" si="179"/>
        <v>42.9205989801846</v>
      </c>
      <c r="F121" s="3">
        <f t="shared" si="179"/>
        <v>44.478104143055049</v>
      </c>
      <c r="G121" s="3">
        <f t="shared" si="179"/>
        <v>46.332885614204621</v>
      </c>
      <c r="H121" s="3">
        <f t="shared" si="179"/>
        <v>46.483275728502477</v>
      </c>
      <c r="I121" s="3">
        <f t="shared" si="179"/>
        <v>49.72843170703969</v>
      </c>
      <c r="J121" s="3">
        <f t="shared" si="179"/>
        <v>50.673456920717214</v>
      </c>
      <c r="K121" s="3">
        <f t="shared" si="179"/>
        <v>56.770329341317371</v>
      </c>
      <c r="L121" s="3">
        <f t="shared" si="179"/>
        <v>54.581624365482234</v>
      </c>
      <c r="M121" s="3">
        <f t="shared" si="179"/>
        <v>57.82299492385787</v>
      </c>
      <c r="N121" s="3">
        <f t="shared" si="179"/>
        <v>59.289796954314717</v>
      </c>
      <c r="O121" s="3">
        <f t="shared" si="180"/>
        <v>61.253236718195403</v>
      </c>
      <c r="P121" s="3">
        <f t="shared" si="181"/>
        <v>63.281697715145221</v>
      </c>
      <c r="Q121" s="3">
        <f t="shared" si="181"/>
        <v>65.377333187055058</v>
      </c>
      <c r="R121" s="3">
        <f t="shared" si="181"/>
        <v>67.542367682532429</v>
      </c>
      <c r="S121" s="3">
        <f t="shared" si="181"/>
        <v>69.779099418293299</v>
      </c>
      <c r="T121" s="3">
        <f t="shared" si="181"/>
        <v>72.089902718753763</v>
      </c>
      <c r="U121" s="3">
        <f t="shared" si="181"/>
        <v>74.477230536411113</v>
      </c>
      <c r="V121" s="3">
        <f t="shared" si="181"/>
        <v>76.943617055689899</v>
      </c>
      <c r="W121" s="3">
        <f t="shared" si="181"/>
        <v>79.491680383016842</v>
      </c>
      <c r="X121" s="3">
        <f t="shared" si="181"/>
        <v>82.124125325980188</v>
      </c>
      <c r="Y121" s="3">
        <f t="shared" si="181"/>
        <v>84.843746264523745</v>
      </c>
      <c r="Z121" s="3">
        <f t="shared" si="181"/>
        <v>87.653430117223238</v>
      </c>
      <c r="AA121" s="3">
        <f t="shared" si="181"/>
        <v>90.556159405793835</v>
      </c>
      <c r="AB121" s="3">
        <f t="shared" si="181"/>
        <v>93.55501542108189</v>
      </c>
      <c r="AC121" s="3">
        <f t="shared" si="181"/>
        <v>96.653181493901528</v>
      </c>
      <c r="AD121" s="3">
        <f t="shared" si="181"/>
        <v>99.853946374188283</v>
      </c>
      <c r="AE121" s="3">
        <f t="shared" si="181"/>
        <v>103.16070772205664</v>
      </c>
      <c r="AF121" s="3">
        <f t="shared" si="181"/>
        <v>106.57697571446742</v>
      </c>
      <c r="AG121" s="3">
        <f t="shared" si="181"/>
        <v>110.10637677133347</v>
      </c>
      <c r="AH121" s="3">
        <f t="shared" si="181"/>
        <v>113.75265740501901</v>
      </c>
      <c r="AI121" s="3">
        <f t="shared" si="181"/>
        <v>117.51968819731889</v>
      </c>
      <c r="AJ121" s="3">
        <f t="shared" si="181"/>
        <v>121.4114679081395</v>
      </c>
      <c r="AK121" s="3">
        <f t="shared" si="181"/>
        <v>125.43212772024259</v>
      </c>
      <c r="AL121" s="3">
        <f t="shared" si="181"/>
        <v>129.58593562455795</v>
      </c>
      <c r="AM121" s="3">
        <f t="shared" si="181"/>
        <v>133.8773009507201</v>
      </c>
      <c r="AN121" s="3">
        <f t="shared" si="181"/>
        <v>138.31077904763802</v>
      </c>
      <c r="AO121" s="3">
        <f t="shared" si="181"/>
        <v>142.8910761190667</v>
      </c>
      <c r="AP121" s="3">
        <f t="shared" si="181"/>
        <v>147.62305421931316</v>
      </c>
      <c r="AQ121" s="3">
        <f t="shared" si="181"/>
        <v>152.51173641438047</v>
      </c>
      <c r="AR121" s="3">
        <f t="shared" si="181"/>
        <v>157.56231211402778</v>
      </c>
      <c r="AS121" s="3">
        <f t="shared" si="181"/>
        <v>162.78014258040702</v>
      </c>
      <c r="AT121" s="3">
        <f t="shared" si="181"/>
        <v>168.17076661912336</v>
      </c>
      <c r="AU121" s="3">
        <f t="shared" si="181"/>
        <v>173.73990645876074</v>
      </c>
      <c r="AV121" s="3">
        <f t="shared" si="181"/>
        <v>179.49347382511377</v>
      </c>
      <c r="AW121" s="3">
        <f t="shared" si="181"/>
        <v>185.43757621657352</v>
      </c>
      <c r="AX121" s="3">
        <f t="shared" si="181"/>
        <v>191.57852338732917</v>
      </c>
      <c r="AY121" s="3">
        <f t="shared" si="181"/>
        <v>197.922834045267</v>
      </c>
      <c r="AZ121" s="3">
        <f t="shared" si="181"/>
        <v>204.47724277167697</v>
      </c>
      <c r="BA121" s="3">
        <f t="shared" si="181"/>
        <v>211.2487071701122</v>
      </c>
      <c r="BB121" s="3">
        <f t="shared" si="181"/>
        <v>218.24441525198986</v>
      </c>
      <c r="BC121" s="3">
        <f t="shared" si="181"/>
        <v>225.47179306677359</v>
      </c>
      <c r="BD121" s="3">
        <f t="shared" si="181"/>
        <v>232.9385125848367</v>
      </c>
      <c r="BE121" s="3">
        <f t="shared" si="181"/>
        <v>240.65249984137438</v>
      </c>
      <c r="BF121" s="3">
        <f t="shared" si="181"/>
        <v>248.62194335000927</v>
      </c>
      <c r="BG121" s="3">
        <f t="shared" si="181"/>
        <v>256.85530279502211</v>
      </c>
      <c r="BH121" s="3">
        <f t="shared" si="181"/>
        <v>265.36131801143381</v>
      </c>
      <c r="BI121" s="3">
        <f t="shared" si="181"/>
        <v>274.14901826247205</v>
      </c>
    </row>
    <row r="122" spans="3:61" outlineLevel="2" x14ac:dyDescent="0.3">
      <c r="C122" t="s">
        <v>75</v>
      </c>
      <c r="D122" s="3">
        <f t="shared" si="179"/>
        <v>182.60999999999999</v>
      </c>
      <c r="E122" s="3">
        <f t="shared" si="179"/>
        <v>184.3974530738526</v>
      </c>
      <c r="F122" s="3">
        <f t="shared" si="179"/>
        <v>183.44828773919207</v>
      </c>
      <c r="G122" s="3">
        <f t="shared" si="179"/>
        <v>182.47234194775015</v>
      </c>
      <c r="H122" s="3">
        <f t="shared" si="179"/>
        <v>181.78171642213786</v>
      </c>
      <c r="I122" s="3">
        <f t="shared" si="179"/>
        <v>180.89318383798098</v>
      </c>
      <c r="J122" s="3">
        <f t="shared" si="179"/>
        <v>177.38008973208568</v>
      </c>
      <c r="K122" s="3">
        <f t="shared" si="179"/>
        <v>192.50060249848184</v>
      </c>
      <c r="L122" s="3">
        <f t="shared" si="179"/>
        <v>181.34476849848551</v>
      </c>
      <c r="M122" s="3">
        <f t="shared" si="179"/>
        <v>183.02408048463869</v>
      </c>
      <c r="N122" s="3">
        <f t="shared" si="179"/>
        <v>177.63301817395063</v>
      </c>
      <c r="O122" s="3">
        <f t="shared" si="180"/>
        <v>176.7811913740596</v>
      </c>
      <c r="P122" s="3">
        <f t="shared" si="181"/>
        <v>175.93344945041775</v>
      </c>
      <c r="Q122" s="3">
        <f t="shared" si="181"/>
        <v>175.0897728142848</v>
      </c>
      <c r="R122" s="3">
        <f t="shared" si="181"/>
        <v>174.25014197085687</v>
      </c>
      <c r="S122" s="3">
        <f t="shared" si="181"/>
        <v>173.41453751881608</v>
      </c>
      <c r="T122" s="3">
        <f t="shared" si="181"/>
        <v>172.58294014988221</v>
      </c>
      <c r="U122" s="3">
        <f t="shared" si="181"/>
        <v>171.75533064836657</v>
      </c>
      <c r="V122" s="3">
        <f t="shared" si="181"/>
        <v>170.93168989072797</v>
      </c>
      <c r="W122" s="3">
        <f t="shared" si="181"/>
        <v>170.11199884513078</v>
      </c>
      <c r="X122" s="3">
        <f t="shared" si="181"/>
        <v>169.29623857100532</v>
      </c>
      <c r="Y122" s="3">
        <f t="shared" si="181"/>
        <v>168.48439021861</v>
      </c>
      <c r="Z122" s="3">
        <f t="shared" si="181"/>
        <v>167.6764350285959</v>
      </c>
      <c r="AA122" s="3">
        <f t="shared" si="181"/>
        <v>166.87235433157326</v>
      </c>
      <c r="AB122" s="3">
        <f t="shared" si="181"/>
        <v>166.07212954768005</v>
      </c>
      <c r="AC122" s="3">
        <f t="shared" si="181"/>
        <v>165.27574218615271</v>
      </c>
      <c r="AD122" s="3">
        <f t="shared" si="181"/>
        <v>164.48317384489883</v>
      </c>
      <c r="AE122" s="3">
        <f t="shared" si="181"/>
        <v>163.69440621007197</v>
      </c>
      <c r="AF122" s="3">
        <f t="shared" si="181"/>
        <v>162.90942105564849</v>
      </c>
      <c r="AG122" s="3">
        <f t="shared" si="181"/>
        <v>162.12820024300632</v>
      </c>
      <c r="AH122" s="3">
        <f t="shared" si="181"/>
        <v>161.35072572050595</v>
      </c>
      <c r="AI122" s="3">
        <f t="shared" si="181"/>
        <v>160.57697952307319</v>
      </c>
      <c r="AJ122" s="3">
        <f t="shared" si="181"/>
        <v>159.8069437717842</v>
      </c>
      <c r="AK122" s="3">
        <f t="shared" si="181"/>
        <v>159.04060067345222</v>
      </c>
      <c r="AL122" s="3">
        <f t="shared" si="181"/>
        <v>158.2779325202165</v>
      </c>
      <c r="AM122" s="3">
        <f t="shared" si="181"/>
        <v>157.51892168913307</v>
      </c>
      <c r="AN122" s="3">
        <f t="shared" si="181"/>
        <v>156.76355064176764</v>
      </c>
      <c r="AO122" s="3">
        <f t="shared" si="181"/>
        <v>156.01180192379019</v>
      </c>
      <c r="AP122" s="3">
        <f t="shared" si="181"/>
        <v>155.26365816457175</v>
      </c>
      <c r="AQ122" s="3">
        <f t="shared" si="181"/>
        <v>154.51910207678301</v>
      </c>
      <c r="AR122" s="3">
        <f t="shared" si="181"/>
        <v>153.77811645599482</v>
      </c>
      <c r="AS122" s="3">
        <f t="shared" si="181"/>
        <v>153.04068418028072</v>
      </c>
      <c r="AT122" s="3">
        <f t="shared" si="181"/>
        <v>152.30678820982121</v>
      </c>
      <c r="AU122" s="3">
        <f t="shared" si="181"/>
        <v>151.57641158651006</v>
      </c>
      <c r="AV122" s="3">
        <f t="shared" si="181"/>
        <v>150.84953743356252</v>
      </c>
      <c r="AW122" s="3">
        <f t="shared" si="181"/>
        <v>150.12614895512525</v>
      </c>
      <c r="AX122" s="3">
        <f t="shared" si="181"/>
        <v>149.40622943588824</v>
      </c>
      <c r="AY122" s="3">
        <f t="shared" si="181"/>
        <v>148.6897622406986</v>
      </c>
      <c r="AZ122" s="3">
        <f t="shared" si="181"/>
        <v>147.97673081417619</v>
      </c>
      <c r="BA122" s="3">
        <f t="shared" si="181"/>
        <v>147.26711868033101</v>
      </c>
      <c r="BB122" s="3">
        <f t="shared" si="181"/>
        <v>146.56090944218252</v>
      </c>
      <c r="BC122" s="3">
        <f t="shared" si="181"/>
        <v>145.85808678138082</v>
      </c>
      <c r="BD122" s="3">
        <f t="shared" si="181"/>
        <v>145.15863445782944</v>
      </c>
      <c r="BE122" s="3">
        <f t="shared" si="181"/>
        <v>144.46253630931022</v>
      </c>
      <c r="BF122" s="3">
        <f t="shared" si="181"/>
        <v>143.76977625110979</v>
      </c>
      <c r="BG122" s="3">
        <f t="shared" si="181"/>
        <v>143.0803382756479</v>
      </c>
      <c r="BH122" s="3">
        <f t="shared" si="181"/>
        <v>142.39420645210754</v>
      </c>
      <c r="BI122" s="3">
        <f t="shared" si="181"/>
        <v>141.71136492606681</v>
      </c>
    </row>
    <row r="123" spans="3:61" outlineLevel="2" x14ac:dyDescent="0.3">
      <c r="C123" t="s">
        <v>62</v>
      </c>
      <c r="D123" s="3">
        <f t="shared" si="179"/>
        <v>535.70000000000005</v>
      </c>
      <c r="E123" s="3">
        <f t="shared" si="179"/>
        <v>539.60254692614751</v>
      </c>
      <c r="F123" s="3">
        <f t="shared" si="179"/>
        <v>534.17171226080779</v>
      </c>
      <c r="G123" s="3">
        <f t="shared" si="179"/>
        <v>529.1076580522498</v>
      </c>
      <c r="H123" s="3">
        <f t="shared" si="179"/>
        <v>526.05828357786208</v>
      </c>
      <c r="I123" s="3">
        <f t="shared" si="179"/>
        <v>521.33681616201886</v>
      </c>
      <c r="J123" s="3">
        <f t="shared" si="179"/>
        <v>508.99991026791434</v>
      </c>
      <c r="K123" s="3">
        <f t="shared" si="179"/>
        <v>548.50939750151804</v>
      </c>
      <c r="L123" s="3">
        <f t="shared" si="179"/>
        <v>511.93523150151452</v>
      </c>
      <c r="M123" s="3">
        <f t="shared" si="179"/>
        <v>516.67591951536133</v>
      </c>
      <c r="N123" s="3">
        <f t="shared" si="179"/>
        <v>501.4569818260494</v>
      </c>
      <c r="O123" s="3">
        <f t="shared" si="180"/>
        <v>497.22283263255531</v>
      </c>
      <c r="P123" s="3">
        <f t="shared" si="181"/>
        <v>493.02443529822864</v>
      </c>
      <c r="Q123" s="3">
        <f t="shared" si="181"/>
        <v>488.86148794531886</v>
      </c>
      <c r="R123" s="3">
        <f t="shared" si="181"/>
        <v>484.73369124503876</v>
      </c>
      <c r="S123" s="3">
        <f t="shared" si="181"/>
        <v>480.64074839604166</v>
      </c>
      <c r="T123" s="3">
        <f t="shared" si="181"/>
        <v>476.58236510308063</v>
      </c>
      <c r="U123" s="3">
        <f t="shared" si="181"/>
        <v>472.55824955584768</v>
      </c>
      <c r="V123" s="3">
        <f t="shared" si="181"/>
        <v>468.56811240799169</v>
      </c>
      <c r="W123" s="3">
        <f t="shared" si="181"/>
        <v>464.61166675631347</v>
      </c>
      <c r="X123" s="3">
        <f t="shared" si="181"/>
        <v>460.68862812013668</v>
      </c>
      <c r="Y123" s="3">
        <f t="shared" si="181"/>
        <v>456.79871442085266</v>
      </c>
      <c r="Z123" s="3">
        <f t="shared" si="181"/>
        <v>452.94164596163807</v>
      </c>
      <c r="AA123" s="3">
        <f t="shared" si="181"/>
        <v>449.11714540734403</v>
      </c>
      <c r="AB123" s="3">
        <f t="shared" si="181"/>
        <v>445.32493776455459</v>
      </c>
      <c r="AC123" s="3">
        <f t="shared" si="181"/>
        <v>441.56475036181405</v>
      </c>
      <c r="AD123" s="3">
        <f t="shared" si="181"/>
        <v>437.83631283002103</v>
      </c>
      <c r="AE123" s="3">
        <f t="shared" si="181"/>
        <v>434.139357082988</v>
      </c>
      <c r="AF123" s="3">
        <f t="shared" si="181"/>
        <v>430.4736172981651</v>
      </c>
      <c r="AG123" s="3">
        <f t="shared" si="181"/>
        <v>426.83882989752664</v>
      </c>
      <c r="AH123" s="3">
        <f t="shared" si="181"/>
        <v>423.23473352861913</v>
      </c>
      <c r="AI123" s="3">
        <f t="shared" si="181"/>
        <v>419.66106904576918</v>
      </c>
      <c r="AJ123" s="3">
        <f t="shared" si="181"/>
        <v>416.11757949145004</v>
      </c>
      <c r="AK123" s="3">
        <f t="shared" si="181"/>
        <v>412.60401007780564</v>
      </c>
      <c r="AL123" s="3">
        <f t="shared" si="181"/>
        <v>409.1201081683306</v>
      </c>
      <c r="AM123" s="3">
        <f t="shared" si="181"/>
        <v>405.66562325970477</v>
      </c>
      <c r="AN123" s="3">
        <f t="shared" si="181"/>
        <v>402.24030696378134</v>
      </c>
      <c r="AO123" s="3">
        <f t="shared" si="181"/>
        <v>398.8439129897269</v>
      </c>
      <c r="AP123" s="3">
        <f t="shared" si="181"/>
        <v>395.47619712631251</v>
      </c>
      <c r="AQ123" s="3">
        <f t="shared" si="181"/>
        <v>392.13691722435402</v>
      </c>
      <c r="AR123" s="3">
        <f t="shared" si="181"/>
        <v>388.82583317930084</v>
      </c>
      <c r="AS123" s="3">
        <f t="shared" si="181"/>
        <v>385.54270691397164</v>
      </c>
      <c r="AT123" s="3">
        <f t="shared" si="181"/>
        <v>382.28730236143593</v>
      </c>
      <c r="AU123" s="3">
        <f t="shared" si="181"/>
        <v>379.05938544804013</v>
      </c>
      <c r="AV123" s="3">
        <f t="shared" si="181"/>
        <v>375.85872407657689</v>
      </c>
      <c r="AW123" s="3">
        <f t="shared" si="181"/>
        <v>372.68508810959656</v>
      </c>
      <c r="AX123" s="3">
        <f t="shared" si="181"/>
        <v>369.53824935285968</v>
      </c>
      <c r="AY123" s="3">
        <f t="shared" si="181"/>
        <v>366.41798153892904</v>
      </c>
      <c r="AZ123" s="3">
        <f t="shared" si="181"/>
        <v>363.32406031090039</v>
      </c>
      <c r="BA123" s="3">
        <f t="shared" si="181"/>
        <v>360.25626320627049</v>
      </c>
      <c r="BB123" s="3">
        <f t="shared" si="181"/>
        <v>357.21436964094136</v>
      </c>
      <c r="BC123" s="3">
        <f t="shared" si="181"/>
        <v>354.19816089335956</v>
      </c>
      <c r="BD123" s="3">
        <f t="shared" si="181"/>
        <v>351.20742008878949</v>
      </c>
      <c r="BE123" s="3">
        <f t="shared" si="181"/>
        <v>348.24193218371943</v>
      </c>
      <c r="BF123" s="3">
        <f t="shared" si="181"/>
        <v>345.30148395039913</v>
      </c>
      <c r="BG123" s="3">
        <f t="shared" si="181"/>
        <v>342.38586396150828</v>
      </c>
      <c r="BH123" s="3">
        <f t="shared" si="181"/>
        <v>339.49486257495408</v>
      </c>
      <c r="BI123" s="3">
        <f t="shared" si="181"/>
        <v>336.62827191879728</v>
      </c>
    </row>
    <row r="124" spans="3:61" outlineLevel="2" x14ac:dyDescent="0.3">
      <c r="C124" t="s">
        <v>179</v>
      </c>
      <c r="D124" s="3">
        <f>SUM(D114:D123)</f>
        <v>909.45</v>
      </c>
      <c r="E124" s="3">
        <f t="shared" ref="E124:O124" si="182">SUM(E114:E123)</f>
        <v>920.62000000000012</v>
      </c>
      <c r="F124" s="3">
        <f t="shared" si="182"/>
        <v>921.36999999999989</v>
      </c>
      <c r="G124" s="3">
        <f t="shared" si="182"/>
        <v>923.8599999999999</v>
      </c>
      <c r="H124" s="3">
        <f t="shared" si="182"/>
        <v>920.79</v>
      </c>
      <c r="I124" s="3">
        <f t="shared" si="182"/>
        <v>930.02999999999986</v>
      </c>
      <c r="J124" s="3">
        <f t="shared" si="182"/>
        <v>918.53</v>
      </c>
      <c r="K124" s="3">
        <f t="shared" si="182"/>
        <v>1001.1099999999999</v>
      </c>
      <c r="L124" s="3">
        <f t="shared" si="182"/>
        <v>943.34</v>
      </c>
      <c r="M124" s="3">
        <f t="shared" si="182"/>
        <v>964.61</v>
      </c>
      <c r="N124" s="3">
        <f t="shared" si="182"/>
        <v>950.72</v>
      </c>
      <c r="O124" s="3">
        <f t="shared" si="182"/>
        <v>954.63333654861594</v>
      </c>
      <c r="P124" s="3">
        <f t="shared" ref="P124" si="183">SUM(P114:P123)</f>
        <v>958.88466445060544</v>
      </c>
      <c r="Q124" s="3">
        <f t="shared" ref="Q124" si="184">SUM(Q114:Q123)</f>
        <v>963.48354036068463</v>
      </c>
      <c r="R124" s="3">
        <f t="shared" ref="R124" si="185">SUM(R114:R123)</f>
        <v>968.43985084765268</v>
      </c>
      <c r="S124" s="3">
        <f t="shared" ref="S124" si="186">SUM(S114:S123)</f>
        <v>973.76382321522783</v>
      </c>
      <c r="T124" s="3">
        <f t="shared" ref="T124" si="187">SUM(T114:T123)</f>
        <v>979.46603668230011</v>
      </c>
      <c r="U124" s="3">
        <f t="shared" ref="U124" si="188">SUM(U114:U123)</f>
        <v>985.55743393450007</v>
      </c>
      <c r="V124" s="3">
        <f t="shared" ref="V124" si="189">SUM(V114:V123)</f>
        <v>992.04933305938221</v>
      </c>
      <c r="W124" s="3">
        <f t="shared" ref="W124" si="190">SUM(W114:W123)</f>
        <v>998.95343987791784</v>
      </c>
      <c r="X124" s="3">
        <f t="shared" ref="X124" si="191">SUM(X114:X123)</f>
        <v>1006.2818606854303</v>
      </c>
      <c r="Y124" s="3">
        <f t="shared" ref="Y124" si="192">SUM(Y114:Y123)</f>
        <v>1014.0471154155184</v>
      </c>
      <c r="Z124" s="3">
        <f t="shared" ref="Z124" si="193">SUM(Z114:Z123)</f>
        <v>1022.2621512409863</v>
      </c>
      <c r="AA124" s="3">
        <f t="shared" ref="AA124" si="194">SUM(AA114:AA123)</f>
        <v>1030.9403566262424</v>
      </c>
      <c r="AB124" s="3">
        <f t="shared" ref="AB124" si="195">SUM(AB114:AB123)</f>
        <v>1040.0955758461221</v>
      </c>
      <c r="AC124" s="3">
        <f t="shared" ref="AC124" si="196">SUM(AC114:AC123)</f>
        <v>1049.7421239865807</v>
      </c>
      <c r="AD124" s="3">
        <f t="shared" ref="AD124" si="197">SUM(AD114:AD123)</f>
        <v>1059.8948024432098</v>
      </c>
      <c r="AE124" s="3">
        <f t="shared" ref="AE124" si="198">SUM(AE114:AE123)</f>
        <v>1070.5689149340708</v>
      </c>
      <c r="AF124" s="3">
        <f t="shared" ref="AF124" si="199">SUM(AF114:AF123)</f>
        <v>1081.7802840438701</v>
      </c>
      <c r="AG124" s="3">
        <f t="shared" ref="AG124" si="200">SUM(AG114:AG123)</f>
        <v>1093.5452683170809</v>
      </c>
      <c r="AH124" s="3">
        <f t="shared" ref="AH124" si="201">SUM(AH114:AH123)</f>
        <v>1105.8807799181855</v>
      </c>
      <c r="AI124" s="3">
        <f t="shared" ref="AI124" si="202">SUM(AI114:AI123)</f>
        <v>1118.8043028778261</v>
      </c>
      <c r="AJ124" s="3">
        <f t="shared" ref="AJ124" si="203">SUM(AJ114:AJ123)</f>
        <v>1132.333911944263</v>
      </c>
      <c r="AK124" s="3">
        <f t="shared" ref="AK124" si="204">SUM(AK114:AK123)</f>
        <v>1146.4882920601956</v>
      </c>
      <c r="AL124" s="3">
        <f t="shared" ref="AL124" si="205">SUM(AL114:AL123)</f>
        <v>1161.2867584856506</v>
      </c>
      <c r="AM124" s="3">
        <f t="shared" ref="AM124" si="206">SUM(AM114:AM123)</f>
        <v>1176.7492775883425</v>
      </c>
      <c r="AN124" s="3">
        <f t="shared" ref="AN124" si="207">SUM(AN114:AN123)</f>
        <v>1192.896488323609</v>
      </c>
      <c r="AO124" s="3">
        <f t="shared" ref="AO124" si="208">SUM(AO114:AO123)</f>
        <v>1209.7497244267643</v>
      </c>
      <c r="AP124" s="3">
        <f t="shared" ref="AP124" si="209">SUM(AP114:AP123)</f>
        <v>1227.3310373414661</v>
      </c>
      <c r="AQ124" s="3">
        <f t="shared" ref="AQ124" si="210">SUM(AQ114:AQ123)</f>
        <v>1245.6632199084734</v>
      </c>
      <c r="AR124" s="3">
        <f t="shared" ref="AR124" si="211">SUM(AR114:AR123)</f>
        <v>1264.7698308399858</v>
      </c>
      <c r="AS124" s="3">
        <f t="shared" ref="AS124" si="212">SUM(AS114:AS123)</f>
        <v>1284.6752200055782</v>
      </c>
      <c r="AT124" s="3">
        <f t="shared" ref="AT124" si="213">SUM(AT114:AT123)</f>
        <v>1305.404554556621</v>
      </c>
      <c r="AU124" s="3">
        <f t="shared" ref="AU124" si="214">SUM(AU114:AU123)</f>
        <v>1326.9838459169555</v>
      </c>
      <c r="AV124" s="3">
        <f t="shared" ref="AV124" si="215">SUM(AV114:AV123)</f>
        <v>1349.4399776685184</v>
      </c>
      <c r="AW124" s="3">
        <f t="shared" ref="AW124" si="216">SUM(AW114:AW123)</f>
        <v>1372.8007343615616</v>
      </c>
      <c r="AX124" s="3">
        <f t="shared" ref="AX124" si="217">SUM(AX114:AX123)</f>
        <v>1397.0948312800942</v>
      </c>
      <c r="AY124" s="3">
        <f t="shared" ref="AY124" si="218">SUM(AY114:AY123)</f>
        <v>1422.3519451941866</v>
      </c>
      <c r="AZ124" s="3">
        <f t="shared" ref="AZ124" si="219">SUM(AZ114:AZ123)</f>
        <v>1448.6027461318265</v>
      </c>
      <c r="BA124" s="3">
        <f t="shared" ref="BA124" si="220">SUM(BA114:BA123)</f>
        <v>1475.8789302041055</v>
      </c>
      <c r="BB124" s="3">
        <f t="shared" ref="BB124" si="221">SUM(BB114:BB123)</f>
        <v>1504.2132535186174</v>
      </c>
      <c r="BC124" s="3">
        <f t="shared" ref="BC124" si="222">SUM(BC114:BC123)</f>
        <v>1533.6395672171298</v>
      </c>
      <c r="BD124" s="3">
        <f t="shared" ref="BD124" si="223">SUM(BD114:BD123)</f>
        <v>1564.1928536747587</v>
      </c>
      <c r="BE124" s="3">
        <f t="shared" ref="BE124" si="224">SUM(BE114:BE123)</f>
        <v>1595.9092638991315</v>
      </c>
      <c r="BF124" s="3">
        <f t="shared" ref="BF124" si="225">SUM(BF114:BF123)</f>
        <v>1628.8261561692868</v>
      </c>
      <c r="BG124" s="3">
        <f t="shared" ref="BG124" si="226">SUM(BG114:BG123)</f>
        <v>1662.9821359553773</v>
      </c>
      <c r="BH124" s="3">
        <f t="shared" ref="BH124" si="227">SUM(BH114:BH123)</f>
        <v>1698.4170971616084</v>
      </c>
      <c r="BI124" s="3">
        <f t="shared" ref="BI124" si="228">SUM(BI114:BI123)</f>
        <v>1735.1722647362426</v>
      </c>
    </row>
    <row r="125" spans="3:61" outlineLevel="2" x14ac:dyDescent="0.3"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3:61" outlineLevel="2" x14ac:dyDescent="0.3">
      <c r="C126" t="s">
        <v>69</v>
      </c>
      <c r="D126" s="3"/>
      <c r="E126" s="6">
        <f t="shared" ref="E126:E135" si="229">(E102-D102)/D102</f>
        <v>2.8643833374990851E-2</v>
      </c>
      <c r="F126" s="6">
        <f t="shared" ref="F126:N126" si="230">(F102-E102)/E102</f>
        <v>3.5989156973117525E-2</v>
      </c>
      <c r="G126" s="6">
        <f t="shared" si="230"/>
        <v>4.2001549601630862E-2</v>
      </c>
      <c r="H126" s="6">
        <f t="shared" si="230"/>
        <v>2.9719747757692367E-3</v>
      </c>
      <c r="I126" s="6">
        <f t="shared" si="230"/>
        <v>6.9826803023922204E-2</v>
      </c>
      <c r="J126" s="6">
        <f t="shared" si="230"/>
        <v>1.9022248443679737E-2</v>
      </c>
      <c r="K126" s="6">
        <f t="shared" si="230"/>
        <v>0.12058840979977928</v>
      </c>
      <c r="L126" s="6">
        <f t="shared" si="230"/>
        <v>-3.8553677620506599E-2</v>
      </c>
      <c r="M126" s="6">
        <f t="shared" si="230"/>
        <v>5.9385747420619063E-2</v>
      </c>
      <c r="N126" s="6">
        <f t="shared" si="230"/>
        <v>2.5367105809520119E-2</v>
      </c>
    </row>
    <row r="127" spans="3:61" outlineLevel="2" x14ac:dyDescent="0.3">
      <c r="C127" t="s">
        <v>166</v>
      </c>
      <c r="D127" s="3"/>
      <c r="E127" s="6">
        <f>IFERROR((E103-D103)/D103,0)</f>
        <v>0</v>
      </c>
      <c r="F127" s="6">
        <f t="shared" ref="F127:N127" si="231">IFERROR((F103-E103)/E103,0)</f>
        <v>0</v>
      </c>
      <c r="G127" s="6">
        <f t="shared" si="231"/>
        <v>0</v>
      </c>
      <c r="H127" s="6">
        <f t="shared" si="231"/>
        <v>0</v>
      </c>
      <c r="I127" s="6">
        <f t="shared" si="231"/>
        <v>0</v>
      </c>
      <c r="J127" s="6">
        <f t="shared" si="231"/>
        <v>0</v>
      </c>
      <c r="K127" s="6">
        <f t="shared" si="231"/>
        <v>0</v>
      </c>
      <c r="L127" s="6">
        <f t="shared" si="231"/>
        <v>0</v>
      </c>
      <c r="M127" s="6">
        <f t="shared" si="231"/>
        <v>0</v>
      </c>
      <c r="N127" s="6">
        <f t="shared" si="231"/>
        <v>0</v>
      </c>
    </row>
    <row r="128" spans="3:61" outlineLevel="2" x14ac:dyDescent="0.3">
      <c r="C128" t="s">
        <v>167</v>
      </c>
      <c r="D128" s="3"/>
      <c r="E128" s="6">
        <f t="shared" si="229"/>
        <v>2.9027008703251634E-2</v>
      </c>
      <c r="F128" s="6">
        <f t="shared" ref="F128:N128" si="232">(F104-E104)/E104</f>
        <v>3.6589672796277867E-2</v>
      </c>
      <c r="G128" s="6">
        <f t="shared" si="232"/>
        <v>4.1816654740461666E-2</v>
      </c>
      <c r="H128" s="6">
        <f t="shared" si="232"/>
        <v>3.2809986765450529E-3</v>
      </c>
      <c r="I128" s="6">
        <f t="shared" si="232"/>
        <v>6.953847741362644E-2</v>
      </c>
      <c r="J128" s="6">
        <f t="shared" si="232"/>
        <v>1.917478071237565E-2</v>
      </c>
      <c r="K128" s="6">
        <f t="shared" si="232"/>
        <v>0.11997232650787169</v>
      </c>
      <c r="L128" s="6">
        <f t="shared" si="232"/>
        <v>-3.8490870831743969E-2</v>
      </c>
      <c r="M128" s="6">
        <f t="shared" si="232"/>
        <v>5.9385747420619306E-2</v>
      </c>
      <c r="N128" s="6">
        <f t="shared" si="232"/>
        <v>2.5367105809520025E-2</v>
      </c>
    </row>
    <row r="129" spans="1:61" outlineLevel="2" x14ac:dyDescent="0.3">
      <c r="C129" t="s">
        <v>65</v>
      </c>
      <c r="D129" s="3"/>
      <c r="E129" s="6">
        <f t="shared" si="229"/>
        <v>2.868286578171611E-2</v>
      </c>
      <c r="F129" s="6">
        <f t="shared" ref="F129:N129" si="233">(F105-E105)/E105</f>
        <v>3.6347579413993109E-2</v>
      </c>
      <c r="G129" s="6">
        <f t="shared" si="233"/>
        <v>4.1894128305754431E-2</v>
      </c>
      <c r="H129" s="6">
        <f t="shared" si="233"/>
        <v>3.156410057914759E-3</v>
      </c>
      <c r="I129" s="6">
        <f t="shared" si="233"/>
        <v>6.9601583737077713E-2</v>
      </c>
      <c r="J129" s="6">
        <f t="shared" si="233"/>
        <v>1.9020264702124406E-2</v>
      </c>
      <c r="K129" s="6">
        <f t="shared" si="233"/>
        <v>0.12065026687173269</v>
      </c>
      <c r="L129" s="6">
        <f t="shared" si="233"/>
        <v>-3.8694666747209935E-2</v>
      </c>
      <c r="M129" s="6">
        <f t="shared" si="233"/>
        <v>5.9385747420619056E-2</v>
      </c>
      <c r="N129" s="6">
        <f t="shared" si="233"/>
        <v>2.5367105809520014E-2</v>
      </c>
    </row>
    <row r="130" spans="1:61" outlineLevel="2" x14ac:dyDescent="0.3">
      <c r="C130" t="s">
        <v>168</v>
      </c>
      <c r="D130" s="3"/>
      <c r="E130" s="6">
        <f t="shared" si="229"/>
        <v>2.8356897032373891E-2</v>
      </c>
      <c r="F130" s="6">
        <f t="shared" ref="F130:N130" si="234">(F106-E106)/E106</f>
        <v>3.6174629848134909E-2</v>
      </c>
      <c r="G130" s="6">
        <f t="shared" si="234"/>
        <v>4.2425237519600208E-2</v>
      </c>
      <c r="H130" s="6">
        <f t="shared" si="234"/>
        <v>2.9510380623447487E-3</v>
      </c>
      <c r="I130" s="6">
        <f t="shared" si="234"/>
        <v>6.9487758729862625E-2</v>
      </c>
      <c r="J130" s="6">
        <f t="shared" si="234"/>
        <v>1.9629435149032551E-2</v>
      </c>
      <c r="K130" s="6">
        <f t="shared" si="234"/>
        <v>0.11986917930520893</v>
      </c>
      <c r="L130" s="6">
        <f t="shared" si="234"/>
        <v>-3.8402309615093819E-2</v>
      </c>
      <c r="M130" s="6">
        <f t="shared" si="234"/>
        <v>5.9385747420619008E-2</v>
      </c>
      <c r="N130" s="6">
        <f t="shared" si="234"/>
        <v>2.5367105809520167E-2</v>
      </c>
    </row>
    <row r="131" spans="1:61" outlineLevel="2" x14ac:dyDescent="0.3">
      <c r="C131" t="s">
        <v>169</v>
      </c>
      <c r="D131" s="3"/>
      <c r="E131" s="6">
        <f t="shared" si="229"/>
        <v>2.9124818760475617E-2</v>
      </c>
      <c r="F131" s="6">
        <f t="shared" ref="F131:N131" si="235">(F107-E107)/E107</f>
        <v>3.6581891876664122E-2</v>
      </c>
      <c r="G131" s="6">
        <f t="shared" si="235"/>
        <v>4.0624268194454624E-2</v>
      </c>
      <c r="H131" s="6">
        <f t="shared" si="235"/>
        <v>2.918356804459924E-3</v>
      </c>
      <c r="I131" s="6">
        <f t="shared" si="235"/>
        <v>7.1406120582540533E-2</v>
      </c>
      <c r="J131" s="6">
        <f t="shared" si="235"/>
        <v>1.863151057340361E-2</v>
      </c>
      <c r="K131" s="6">
        <f t="shared" si="235"/>
        <v>0.12067143532591609</v>
      </c>
      <c r="L131" s="6">
        <f t="shared" si="235"/>
        <v>-3.9090689377700348E-2</v>
      </c>
      <c r="M131" s="6">
        <f t="shared" si="235"/>
        <v>5.9385747420619181E-2</v>
      </c>
      <c r="N131" s="6">
        <f t="shared" si="235"/>
        <v>2.5367105809520132E-2</v>
      </c>
    </row>
    <row r="132" spans="1:61" outlineLevel="2" x14ac:dyDescent="0.3">
      <c r="C132" t="s">
        <v>170</v>
      </c>
      <c r="D132" s="3"/>
      <c r="E132" s="6">
        <f t="shared" si="229"/>
        <v>2.8642789970108759E-2</v>
      </c>
      <c r="F132" s="6">
        <f t="shared" ref="F132:N132" si="236">(F108-E108)/E108</f>
        <v>3.6167600077302617E-2</v>
      </c>
      <c r="G132" s="6">
        <f t="shared" si="236"/>
        <v>4.1871616345007856E-2</v>
      </c>
      <c r="H132" s="6">
        <f t="shared" si="236"/>
        <v>3.2118835858977891E-3</v>
      </c>
      <c r="I132" s="6">
        <f t="shared" si="236"/>
        <v>6.9749695481939586E-2</v>
      </c>
      <c r="J132" s="6">
        <f t="shared" si="236"/>
        <v>1.9147671523572742E-2</v>
      </c>
      <c r="K132" s="6">
        <f t="shared" si="236"/>
        <v>0.12036494831276749</v>
      </c>
      <c r="L132" s="6">
        <f t="shared" si="236"/>
        <v>-3.8608927081871788E-2</v>
      </c>
      <c r="M132" s="6">
        <f t="shared" si="236"/>
        <v>5.9385747420619188E-2</v>
      </c>
      <c r="N132" s="6">
        <f t="shared" si="236"/>
        <v>2.5367105809520046E-2</v>
      </c>
    </row>
    <row r="133" spans="1:61" outlineLevel="2" x14ac:dyDescent="0.3">
      <c r="C133" t="s">
        <v>171</v>
      </c>
      <c r="D133" s="3"/>
      <c r="E133" s="6">
        <f t="shared" si="229"/>
        <v>2.8643833374990851E-2</v>
      </c>
      <c r="F133" s="6">
        <f t="shared" ref="F133:N133" si="237">(F109-E109)/E109</f>
        <v>3.628805748003449E-2</v>
      </c>
      <c r="G133" s="6">
        <f t="shared" si="237"/>
        <v>4.1701001130444615E-2</v>
      </c>
      <c r="H133" s="6">
        <f t="shared" si="237"/>
        <v>3.2458611697552047E-3</v>
      </c>
      <c r="I133" s="6">
        <f t="shared" si="237"/>
        <v>6.9813409827039305E-2</v>
      </c>
      <c r="J133" s="6">
        <f t="shared" si="237"/>
        <v>1.9003720431902228E-2</v>
      </c>
      <c r="K133" s="6">
        <f t="shared" si="237"/>
        <v>0.12031688365250499</v>
      </c>
      <c r="L133" s="6">
        <f t="shared" si="237"/>
        <v>-3.8553677620506599E-2</v>
      </c>
      <c r="M133" s="6">
        <f t="shared" si="237"/>
        <v>5.9385747420619063E-2</v>
      </c>
      <c r="N133" s="6">
        <f t="shared" si="237"/>
        <v>2.5367105809520119E-2</v>
      </c>
    </row>
    <row r="134" spans="1:61" outlineLevel="2" x14ac:dyDescent="0.3">
      <c r="C134" t="s">
        <v>75</v>
      </c>
      <c r="D134" s="3"/>
      <c r="E134" s="6">
        <f t="shared" si="229"/>
        <v>9.7883635827863621E-3</v>
      </c>
      <c r="F134" s="6">
        <f t="shared" ref="F134:N134" si="238">(F110-E110)/E110</f>
        <v>-5.1473885286278144E-3</v>
      </c>
      <c r="G134" s="6">
        <f t="shared" si="238"/>
        <v>-5.3200049096637815E-3</v>
      </c>
      <c r="H134" s="6">
        <f t="shared" si="238"/>
        <v>-3.7848230490188308E-3</v>
      </c>
      <c r="I134" s="6">
        <f t="shared" si="238"/>
        <v>-4.8879095304255214E-3</v>
      </c>
      <c r="J134" s="6">
        <f t="shared" si="238"/>
        <v>-1.9420820792461962E-2</v>
      </c>
      <c r="K134" s="6">
        <f t="shared" si="238"/>
        <v>8.524357378121826E-2</v>
      </c>
      <c r="L134" s="6">
        <f t="shared" si="238"/>
        <v>-5.7952203033153168E-2</v>
      </c>
      <c r="M134" s="6">
        <f t="shared" si="238"/>
        <v>9.260327717516734E-3</v>
      </c>
      <c r="N134" s="6">
        <f t="shared" si="238"/>
        <v>-2.9455480920394687E-2</v>
      </c>
    </row>
    <row r="135" spans="1:61" outlineLevel="2" x14ac:dyDescent="0.3">
      <c r="C135" t="s">
        <v>62</v>
      </c>
      <c r="D135" s="3"/>
      <c r="E135" s="6">
        <f t="shared" si="229"/>
        <v>7.2849485274359997E-3</v>
      </c>
      <c r="F135" s="6">
        <f t="shared" ref="F135:N135" si="239">(F111-E111)/E111</f>
        <v>-1.0064508954371198E-2</v>
      </c>
      <c r="G135" s="6">
        <f t="shared" si="239"/>
        <v>-9.480199142566129E-3</v>
      </c>
      <c r="H135" s="6">
        <f t="shared" si="239"/>
        <v>-5.7632401043165218E-3</v>
      </c>
      <c r="I135" s="6">
        <f t="shared" si="239"/>
        <v>-8.9751792971137501E-3</v>
      </c>
      <c r="J135" s="6">
        <f t="shared" si="239"/>
        <v>-2.3663983650582057E-2</v>
      </c>
      <c r="K135" s="6">
        <f t="shared" si="239"/>
        <v>7.7621796068309129E-2</v>
      </c>
      <c r="L135" s="6">
        <f t="shared" si="239"/>
        <v>-6.6679196685782025E-2</v>
      </c>
      <c r="M135" s="6">
        <f t="shared" si="239"/>
        <v>9.2603277175167063E-3</v>
      </c>
      <c r="N135" s="6">
        <f t="shared" si="239"/>
        <v>-2.9455480920394343E-2</v>
      </c>
    </row>
    <row r="136" spans="1:61" outlineLevel="1" collapsed="1" x14ac:dyDescent="0.3">
      <c r="A136" t="s">
        <v>181</v>
      </c>
      <c r="D136">
        <v>2013</v>
      </c>
      <c r="E136">
        <v>2014</v>
      </c>
      <c r="F136">
        <v>2015</v>
      </c>
      <c r="G136">
        <v>2016</v>
      </c>
      <c r="H136">
        <v>2017</v>
      </c>
      <c r="I136">
        <v>2018</v>
      </c>
      <c r="J136">
        <v>2019</v>
      </c>
      <c r="K136">
        <v>2020</v>
      </c>
      <c r="L136">
        <v>2021</v>
      </c>
      <c r="M136">
        <v>2022</v>
      </c>
      <c r="N136">
        <v>2023</v>
      </c>
      <c r="O136">
        <v>2024</v>
      </c>
      <c r="P136">
        <v>2025</v>
      </c>
      <c r="Q136">
        <v>2026</v>
      </c>
      <c r="R136">
        <v>2027</v>
      </c>
      <c r="S136">
        <v>2028</v>
      </c>
      <c r="T136">
        <v>2029</v>
      </c>
      <c r="U136">
        <v>2030</v>
      </c>
      <c r="V136">
        <v>2031</v>
      </c>
      <c r="W136">
        <v>2032</v>
      </c>
      <c r="X136">
        <v>2033</v>
      </c>
      <c r="Y136">
        <v>2034</v>
      </c>
      <c r="Z136">
        <v>2035</v>
      </c>
      <c r="AA136">
        <v>2036</v>
      </c>
      <c r="AB136">
        <v>2037</v>
      </c>
      <c r="AC136">
        <v>2038</v>
      </c>
      <c r="AD136">
        <v>2039</v>
      </c>
      <c r="AE136">
        <v>2040</v>
      </c>
      <c r="AF136">
        <v>2041</v>
      </c>
      <c r="AG136">
        <v>2042</v>
      </c>
      <c r="AH136">
        <v>2043</v>
      </c>
      <c r="AI136">
        <v>2044</v>
      </c>
      <c r="AJ136">
        <v>2045</v>
      </c>
      <c r="AK136">
        <v>2046</v>
      </c>
      <c r="AL136">
        <v>2047</v>
      </c>
      <c r="AM136">
        <v>2048</v>
      </c>
      <c r="AN136">
        <v>2049</v>
      </c>
      <c r="AO136">
        <v>2050</v>
      </c>
      <c r="AP136">
        <v>2051</v>
      </c>
      <c r="AQ136">
        <v>2052</v>
      </c>
      <c r="AR136">
        <v>2053</v>
      </c>
      <c r="AS136">
        <v>2054</v>
      </c>
      <c r="AT136">
        <v>2055</v>
      </c>
      <c r="AU136">
        <v>2056</v>
      </c>
      <c r="AV136">
        <v>2057</v>
      </c>
      <c r="AW136">
        <v>2058</v>
      </c>
      <c r="AX136">
        <v>2059</v>
      </c>
      <c r="AY136">
        <v>2060</v>
      </c>
      <c r="AZ136">
        <v>2061</v>
      </c>
      <c r="BA136">
        <v>2062</v>
      </c>
      <c r="BB136">
        <v>2063</v>
      </c>
      <c r="BC136">
        <v>2064</v>
      </c>
      <c r="BD136">
        <v>2065</v>
      </c>
      <c r="BE136">
        <v>2066</v>
      </c>
      <c r="BF136">
        <v>2067</v>
      </c>
      <c r="BG136">
        <v>2068</v>
      </c>
      <c r="BH136">
        <v>2069</v>
      </c>
      <c r="BI136">
        <v>2070</v>
      </c>
    </row>
    <row r="137" spans="1:61" s="11" customFormat="1" hidden="1" outlineLevel="2" x14ac:dyDescent="0.3">
      <c r="B137" s="11" t="s">
        <v>161</v>
      </c>
      <c r="D137" s="11" cm="1">
        <f t="array" ref="D137:BI137">TRANSPOSE('Pob&amp;Viv'!B65:B122)</f>
        <v>117688241</v>
      </c>
      <c r="E137" s="11">
        <v>119216240</v>
      </c>
      <c r="F137" s="11">
        <v>120653293</v>
      </c>
      <c r="G137" s="11">
        <v>122038924</v>
      </c>
      <c r="H137" s="11">
        <v>123388002</v>
      </c>
      <c r="I137" s="11">
        <v>124692044</v>
      </c>
      <c r="J137" s="11">
        <v>125960168</v>
      </c>
      <c r="K137" s="11">
        <v>127191826</v>
      </c>
      <c r="L137" s="11">
        <v>128389290</v>
      </c>
      <c r="M137" s="11">
        <v>129960600</v>
      </c>
      <c r="N137" s="11">
        <v>131135337</v>
      </c>
      <c r="O137" s="11">
        <v>132274416</v>
      </c>
      <c r="P137" s="11">
        <v>133367428</v>
      </c>
      <c r="Q137" s="11">
        <v>134407258</v>
      </c>
      <c r="R137" s="11">
        <v>135391662</v>
      </c>
      <c r="S137" s="11">
        <v>136321595</v>
      </c>
      <c r="T137" s="11">
        <v>137200808</v>
      </c>
      <c r="U137" s="11">
        <v>138033990</v>
      </c>
      <c r="V137" s="11">
        <v>138825843</v>
      </c>
      <c r="W137" s="11">
        <v>139580548</v>
      </c>
      <c r="X137" s="11">
        <v>140301983</v>
      </c>
      <c r="Y137" s="11">
        <v>140993393</v>
      </c>
      <c r="Z137" s="11">
        <v>141656637</v>
      </c>
      <c r="AA137" s="11">
        <v>142291504</v>
      </c>
      <c r="AB137" s="11">
        <v>142895488</v>
      </c>
      <c r="AC137" s="11">
        <v>143464237</v>
      </c>
      <c r="AD137" s="11">
        <v>143992746</v>
      </c>
      <c r="AE137" s="11">
        <v>144476530</v>
      </c>
      <c r="AF137" s="11">
        <v>144912929</v>
      </c>
      <c r="AG137" s="11">
        <v>145301351</v>
      </c>
      <c r="AH137" s="11">
        <v>145642911</v>
      </c>
      <c r="AI137" s="11">
        <v>145939797</v>
      </c>
      <c r="AJ137" s="11">
        <v>146194887</v>
      </c>
      <c r="AK137" s="11">
        <v>146411280</v>
      </c>
      <c r="AL137" s="11">
        <v>146592205</v>
      </c>
      <c r="AM137" s="11">
        <v>146740307</v>
      </c>
      <c r="AN137" s="11">
        <v>146857365</v>
      </c>
      <c r="AO137" s="11">
        <v>146943948</v>
      </c>
      <c r="AP137" s="11">
        <v>146999649</v>
      </c>
      <c r="AQ137" s="11">
        <v>147022927</v>
      </c>
      <c r="AR137" s="11">
        <v>147011306</v>
      </c>
      <c r="AS137" s="11">
        <v>146961870</v>
      </c>
      <c r="AT137" s="11">
        <v>146872208</v>
      </c>
      <c r="AU137" s="11">
        <v>146741137</v>
      </c>
      <c r="AV137" s="11">
        <v>146568916</v>
      </c>
      <c r="AW137" s="11">
        <v>146356973</v>
      </c>
      <c r="AX137" s="11">
        <v>146107409</v>
      </c>
      <c r="AY137" s="11">
        <v>145822700</v>
      </c>
      <c r="AZ137" s="11">
        <v>145505553</v>
      </c>
      <c r="BA137" s="11">
        <v>145158569</v>
      </c>
      <c r="BB137" s="11">
        <v>144784066</v>
      </c>
      <c r="BC137" s="11">
        <v>144383681</v>
      </c>
      <c r="BD137" s="11">
        <v>143958301</v>
      </c>
      <c r="BE137" s="11">
        <v>143507972</v>
      </c>
      <c r="BF137" s="11">
        <v>143032072</v>
      </c>
      <c r="BG137" s="11">
        <v>142529549</v>
      </c>
      <c r="BH137" s="11">
        <v>141999271</v>
      </c>
      <c r="BI137" s="11">
        <v>141440479</v>
      </c>
    </row>
    <row r="138" spans="1:61" s="11" customFormat="1" hidden="1" outlineLevel="2" x14ac:dyDescent="0.3">
      <c r="B138" s="11" t="s">
        <v>177</v>
      </c>
      <c r="D138" s="11">
        <f>D11</f>
        <v>909.44999999999993</v>
      </c>
      <c r="E138" s="11">
        <f t="shared" ref="E138:N138" si="240">E11</f>
        <v>920.61999999999989</v>
      </c>
      <c r="F138" s="11">
        <f t="shared" si="240"/>
        <v>921.37</v>
      </c>
      <c r="G138" s="11">
        <f t="shared" si="240"/>
        <v>923.86</v>
      </c>
      <c r="H138" s="11">
        <f t="shared" si="240"/>
        <v>920.79</v>
      </c>
      <c r="I138" s="11">
        <f t="shared" si="240"/>
        <v>930.03</v>
      </c>
      <c r="J138" s="11">
        <f t="shared" si="240"/>
        <v>918.53000000000009</v>
      </c>
      <c r="K138" s="11">
        <f t="shared" si="240"/>
        <v>1001.11</v>
      </c>
      <c r="L138" s="11">
        <f t="shared" si="240"/>
        <v>943.33999999999992</v>
      </c>
      <c r="M138" s="11">
        <f t="shared" si="240"/>
        <v>964.61000000000013</v>
      </c>
      <c r="N138" s="11">
        <f t="shared" si="240"/>
        <v>950.72</v>
      </c>
      <c r="O138" s="11">
        <f>O137*AVERAGE($D141:$N141)/1000000</f>
        <v>995.19195935916628</v>
      </c>
      <c r="P138" s="11">
        <f t="shared" ref="P138:BI138" si="241">P137*AVERAGE($D141:$N141)/1000000</f>
        <v>1003.4154449490258</v>
      </c>
      <c r="Q138" s="11">
        <f t="shared" si="241"/>
        <v>1011.2388055533958</v>
      </c>
      <c r="R138" s="11">
        <f t="shared" si="241"/>
        <v>1018.6451580075318</v>
      </c>
      <c r="S138" s="11">
        <f t="shared" si="241"/>
        <v>1025.6416874372496</v>
      </c>
      <c r="T138" s="11">
        <f t="shared" si="241"/>
        <v>1032.2566152110683</v>
      </c>
      <c r="U138" s="11">
        <f t="shared" si="241"/>
        <v>1038.5252199205595</v>
      </c>
      <c r="V138" s="11">
        <f t="shared" si="241"/>
        <v>1044.4828779652898</v>
      </c>
      <c r="W138" s="11">
        <f t="shared" si="241"/>
        <v>1050.1610459013191</v>
      </c>
      <c r="X138" s="11">
        <f t="shared" si="241"/>
        <v>1055.5889006060434</v>
      </c>
      <c r="Y138" s="11">
        <f t="shared" si="241"/>
        <v>1060.7908564598536</v>
      </c>
      <c r="Z138" s="11">
        <f t="shared" si="241"/>
        <v>1065.7809000060918</v>
      </c>
      <c r="AA138" s="11">
        <f t="shared" si="241"/>
        <v>1070.5574437457553</v>
      </c>
      <c r="AB138" s="11">
        <f t="shared" si="241"/>
        <v>1075.1016333068085</v>
      </c>
      <c r="AC138" s="11">
        <f t="shared" si="241"/>
        <v>1079.3807255818676</v>
      </c>
      <c r="AD138" s="11">
        <f t="shared" si="241"/>
        <v>1083.357064492704</v>
      </c>
      <c r="AE138" s="11">
        <f t="shared" si="241"/>
        <v>1086.9969062809046</v>
      </c>
      <c r="AF138" s="11">
        <f t="shared" si="241"/>
        <v>1090.2802379258719</v>
      </c>
      <c r="AG138" s="11">
        <f t="shared" si="241"/>
        <v>1093.2026054019693</v>
      </c>
      <c r="AH138" s="11">
        <f t="shared" si="241"/>
        <v>1095.7723976257257</v>
      </c>
      <c r="AI138" s="11">
        <f t="shared" si="241"/>
        <v>1098.006076435136</v>
      </c>
      <c r="AJ138" s="11">
        <f t="shared" si="241"/>
        <v>1099.9252950156431</v>
      </c>
      <c r="AK138" s="11">
        <f t="shared" si="241"/>
        <v>1101.5533692886122</v>
      </c>
      <c r="AL138" s="11">
        <f t="shared" si="241"/>
        <v>1102.9145932553622</v>
      </c>
      <c r="AM138" s="11">
        <f t="shared" si="241"/>
        <v>1104.028867081111</v>
      </c>
      <c r="AN138" s="11">
        <f t="shared" si="241"/>
        <v>1104.9095754138445</v>
      </c>
      <c r="AO138" s="11">
        <f t="shared" si="241"/>
        <v>1105.5609992342847</v>
      </c>
      <c r="AP138" s="11">
        <f t="shared" si="241"/>
        <v>1105.980076399806</v>
      </c>
      <c r="AQ138" s="11">
        <f t="shared" si="241"/>
        <v>1106.1552129011075</v>
      </c>
      <c r="AR138" s="11">
        <f t="shared" si="241"/>
        <v>1106.067780076912</v>
      </c>
      <c r="AS138" s="11">
        <f t="shared" si="241"/>
        <v>1105.6958388414814</v>
      </c>
      <c r="AT138" s="11">
        <f t="shared" si="241"/>
        <v>1105.0212495735157</v>
      </c>
      <c r="AU138" s="11">
        <f t="shared" si="241"/>
        <v>1104.0351117454327</v>
      </c>
      <c r="AV138" s="11">
        <f t="shared" si="241"/>
        <v>1102.7393739934489</v>
      </c>
      <c r="AW138" s="11">
        <f t="shared" si="241"/>
        <v>1101.1447801496747</v>
      </c>
      <c r="AX138" s="11">
        <f t="shared" si="241"/>
        <v>1099.2671374909044</v>
      </c>
      <c r="AY138" s="11">
        <f t="shared" si="241"/>
        <v>1097.1250746784162</v>
      </c>
      <c r="AZ138" s="11">
        <f t="shared" si="241"/>
        <v>1094.7389583463291</v>
      </c>
      <c r="BA138" s="11">
        <f t="shared" si="241"/>
        <v>1092.1283576174151</v>
      </c>
      <c r="BB138" s="11">
        <f t="shared" si="241"/>
        <v>1089.3107124096232</v>
      </c>
      <c r="BC138" s="11">
        <f t="shared" si="241"/>
        <v>1086.2983390066818</v>
      </c>
      <c r="BD138" s="11">
        <f t="shared" si="241"/>
        <v>1083.0979109233538</v>
      </c>
      <c r="BE138" s="11">
        <f t="shared" si="241"/>
        <v>1079.7097742494693</v>
      </c>
      <c r="BF138" s="11">
        <f t="shared" si="241"/>
        <v>1076.129249248633</v>
      </c>
      <c r="BG138" s="11">
        <f t="shared" si="241"/>
        <v>1072.3484209969092</v>
      </c>
      <c r="BH138" s="11">
        <f t="shared" si="241"/>
        <v>1068.3587726750065</v>
      </c>
      <c r="BI138" s="11">
        <f t="shared" si="241"/>
        <v>1064.1545938007318</v>
      </c>
    </row>
    <row r="139" spans="1:61" s="11" customFormat="1" hidden="1" outlineLevel="2" x14ac:dyDescent="0.3">
      <c r="B139" s="11" t="s">
        <v>177</v>
      </c>
      <c r="D139" s="11">
        <f>D11</f>
        <v>909.44999999999993</v>
      </c>
      <c r="E139" s="11">
        <f t="shared" ref="E139:N139" si="242">E11</f>
        <v>920.61999999999989</v>
      </c>
      <c r="F139" s="11">
        <f t="shared" si="242"/>
        <v>921.37</v>
      </c>
      <c r="G139" s="11">
        <f t="shared" si="242"/>
        <v>923.86</v>
      </c>
      <c r="H139" s="11">
        <f t="shared" si="242"/>
        <v>920.79</v>
      </c>
      <c r="I139" s="11">
        <f t="shared" si="242"/>
        <v>930.03</v>
      </c>
      <c r="J139" s="11">
        <f t="shared" si="242"/>
        <v>918.53000000000009</v>
      </c>
      <c r="K139" s="11">
        <f t="shared" si="242"/>
        <v>1001.11</v>
      </c>
      <c r="L139" s="11">
        <f t="shared" si="242"/>
        <v>943.33999999999992</v>
      </c>
      <c r="M139" s="11">
        <f t="shared" si="242"/>
        <v>964.61000000000013</v>
      </c>
      <c r="N139" s="11">
        <f t="shared" si="242"/>
        <v>950.72</v>
      </c>
      <c r="O139" s="11">
        <f>O137*O141/1000000</f>
        <v>953.44246350622007</v>
      </c>
      <c r="P139" s="11">
        <f t="shared" ref="P139:BI139" si="243">P137*P141/1000000</f>
        <v>955.771678395207</v>
      </c>
      <c r="Q139" s="11">
        <f t="shared" si="243"/>
        <v>957.66330480082684</v>
      </c>
      <c r="R139" s="11">
        <f t="shared" si="243"/>
        <v>959.10860810012696</v>
      </c>
      <c r="S139" s="11">
        <f t="shared" si="243"/>
        <v>960.1216707537742</v>
      </c>
      <c r="T139" s="11">
        <f t="shared" si="243"/>
        <v>960.73591550402227</v>
      </c>
      <c r="U139" s="11">
        <f t="shared" si="243"/>
        <v>960.99060794036996</v>
      </c>
      <c r="V139" s="11">
        <f t="shared" si="243"/>
        <v>960.92427487650662</v>
      </c>
      <c r="W139" s="11">
        <f t="shared" si="243"/>
        <v>960.57103844185724</v>
      </c>
      <c r="X139" s="11">
        <f t="shared" si="243"/>
        <v>959.96222263807749</v>
      </c>
      <c r="Y139" s="11">
        <f t="shared" si="243"/>
        <v>959.12417847658855</v>
      </c>
      <c r="Z139" s="11">
        <f t="shared" si="243"/>
        <v>958.07332481915341</v>
      </c>
      <c r="AA139" s="11">
        <f t="shared" si="243"/>
        <v>956.81182732794866</v>
      </c>
      <c r="AB139" s="11">
        <f t="shared" si="243"/>
        <v>955.3265005845202</v>
      </c>
      <c r="AC139" s="11">
        <f t="shared" si="243"/>
        <v>953.59223530883514</v>
      </c>
      <c r="AD139" s="11">
        <f t="shared" si="243"/>
        <v>951.58023128910543</v>
      </c>
      <c r="AE139" s="11">
        <f t="shared" si="243"/>
        <v>949.26581976759689</v>
      </c>
      <c r="AF139" s="11">
        <f t="shared" si="243"/>
        <v>946.63687912414457</v>
      </c>
      <c r="AG139" s="11">
        <f t="shared" si="243"/>
        <v>943.69505971121248</v>
      </c>
      <c r="AH139" s="11">
        <f t="shared" si="243"/>
        <v>940.45305991381804</v>
      </c>
      <c r="AI139" s="11">
        <f t="shared" si="243"/>
        <v>936.93023706821202</v>
      </c>
      <c r="AJ139" s="11">
        <f t="shared" si="243"/>
        <v>933.14996698717425</v>
      </c>
      <c r="AK139" s="11">
        <f t="shared" si="243"/>
        <v>929.13654580497121</v>
      </c>
      <c r="AL139" s="11">
        <f t="shared" si="243"/>
        <v>924.91458201806631</v>
      </c>
      <c r="AM139" s="11">
        <f t="shared" si="243"/>
        <v>920.50450094770531</v>
      </c>
      <c r="AN139" s="11">
        <f t="shared" si="243"/>
        <v>915.92089896212713</v>
      </c>
      <c r="AO139" s="11">
        <f t="shared" si="243"/>
        <v>911.17057225130759</v>
      </c>
      <c r="AP139" s="11">
        <f t="shared" si="243"/>
        <v>906.25418008966096</v>
      </c>
      <c r="AQ139" s="11">
        <f t="shared" si="243"/>
        <v>901.16545160381031</v>
      </c>
      <c r="AR139" s="11">
        <f t="shared" si="243"/>
        <v>895.89259863043594</v>
      </c>
      <c r="AS139" s="11">
        <f t="shared" si="243"/>
        <v>890.42147652631047</v>
      </c>
      <c r="AT139" s="11">
        <f t="shared" si="243"/>
        <v>884.74134903570359</v>
      </c>
      <c r="AU139" s="11">
        <f t="shared" si="243"/>
        <v>878.84912513277027</v>
      </c>
      <c r="AV139" s="11">
        <f t="shared" si="243"/>
        <v>872.750416612648</v>
      </c>
      <c r="AW139" s="11">
        <f t="shared" si="243"/>
        <v>866.45767215472983</v>
      </c>
      <c r="AX139" s="11">
        <f t="shared" si="243"/>
        <v>859.98705910267086</v>
      </c>
      <c r="AY139" s="11">
        <f t="shared" si="243"/>
        <v>853.35660850886188</v>
      </c>
      <c r="AZ139" s="11">
        <f t="shared" si="243"/>
        <v>846.58531853099794</v>
      </c>
      <c r="BA139" s="11">
        <f t="shared" si="243"/>
        <v>839.69117145553844</v>
      </c>
      <c r="BB139" s="11">
        <f t="shared" si="243"/>
        <v>832.69013905357644</v>
      </c>
      <c r="BC139" s="11">
        <f t="shared" si="243"/>
        <v>825.59395913379058</v>
      </c>
      <c r="BD139" s="11">
        <f t="shared" si="243"/>
        <v>818.40986042445388</v>
      </c>
      <c r="BE139" s="11">
        <f t="shared" si="243"/>
        <v>811.1401746923035</v>
      </c>
      <c r="BF139" s="11">
        <f t="shared" si="243"/>
        <v>803.78344808165241</v>
      </c>
      <c r="BG139" s="11">
        <f t="shared" si="243"/>
        <v>796.33587954916754</v>
      </c>
      <c r="BH139" s="11">
        <f t="shared" si="243"/>
        <v>788.79333351289904</v>
      </c>
      <c r="BI139" s="11">
        <f t="shared" si="243"/>
        <v>781.15385282597094</v>
      </c>
    </row>
    <row r="140" spans="1:61" s="11" customFormat="1" hidden="1" outlineLevel="2" x14ac:dyDescent="0.3">
      <c r="B140" s="11" t="s">
        <v>177</v>
      </c>
      <c r="D140" s="11">
        <f>D11</f>
        <v>909.44999999999993</v>
      </c>
      <c r="E140" s="11">
        <f t="shared" ref="E140:N140" si="244">E11</f>
        <v>920.61999999999989</v>
      </c>
      <c r="F140" s="11">
        <f t="shared" si="244"/>
        <v>921.37</v>
      </c>
      <c r="G140" s="11">
        <f t="shared" si="244"/>
        <v>923.86</v>
      </c>
      <c r="H140" s="11">
        <f t="shared" si="244"/>
        <v>920.79</v>
      </c>
      <c r="I140" s="11">
        <f t="shared" si="244"/>
        <v>930.03</v>
      </c>
      <c r="J140" s="11">
        <f t="shared" si="244"/>
        <v>918.53000000000009</v>
      </c>
      <c r="K140" s="11">
        <f t="shared" si="244"/>
        <v>1001.11</v>
      </c>
      <c r="L140" s="11">
        <f t="shared" si="244"/>
        <v>943.33999999999992</v>
      </c>
      <c r="M140" s="11">
        <f t="shared" si="244"/>
        <v>964.61000000000013</v>
      </c>
      <c r="N140" s="11">
        <f t="shared" si="244"/>
        <v>950.72</v>
      </c>
      <c r="O140" s="11">
        <f>O137*O142/1000000</f>
        <v>949.78210501109811</v>
      </c>
      <c r="P140" s="11">
        <f t="shared" ref="P140:BI140" si="245">P137*P142/1000000</f>
        <v>948.44716404161034</v>
      </c>
      <c r="Q140" s="11">
        <f t="shared" si="245"/>
        <v>946.67590651237106</v>
      </c>
      <c r="R140" s="11">
        <f t="shared" si="245"/>
        <v>944.46476163164562</v>
      </c>
      <c r="S140" s="11">
        <f t="shared" si="245"/>
        <v>941.8326345709753</v>
      </c>
      <c r="T140" s="11">
        <f t="shared" si="245"/>
        <v>938.81707832187283</v>
      </c>
      <c r="U140" s="11">
        <f t="shared" si="245"/>
        <v>935.46079434592366</v>
      </c>
      <c r="V140" s="11">
        <f t="shared" si="245"/>
        <v>931.80514627391585</v>
      </c>
      <c r="W140" s="11">
        <f t="shared" si="245"/>
        <v>927.88663833933981</v>
      </c>
      <c r="X140" s="11">
        <f t="shared" si="245"/>
        <v>923.73854868964406</v>
      </c>
      <c r="Y140" s="11">
        <f t="shared" si="245"/>
        <v>919.38890134382382</v>
      </c>
      <c r="Z140" s="11">
        <f t="shared" si="245"/>
        <v>914.85582683724397</v>
      </c>
      <c r="AA140" s="11">
        <f t="shared" si="245"/>
        <v>910.14363784278567</v>
      </c>
      <c r="AB140" s="11">
        <f t="shared" si="245"/>
        <v>905.24205153407229</v>
      </c>
      <c r="AC140" s="11">
        <f t="shared" si="245"/>
        <v>900.12970429953293</v>
      </c>
      <c r="AD140" s="11">
        <f t="shared" si="245"/>
        <v>894.782107585483</v>
      </c>
      <c r="AE140" s="11">
        <f t="shared" si="245"/>
        <v>889.17903838431084</v>
      </c>
      <c r="AF140" s="11">
        <f t="shared" si="245"/>
        <v>883.31231381101713</v>
      </c>
      <c r="AG140" s="11">
        <f t="shared" si="245"/>
        <v>877.18670161863736</v>
      </c>
      <c r="AH140" s="11">
        <f t="shared" si="245"/>
        <v>870.81715071434473</v>
      </c>
      <c r="AI140" s="11">
        <f t="shared" si="245"/>
        <v>864.22454669000092</v>
      </c>
      <c r="AJ140" s="11">
        <f t="shared" si="245"/>
        <v>857.43316958971513</v>
      </c>
      <c r="AK140" s="11">
        <f t="shared" si="245"/>
        <v>850.46778997899412</v>
      </c>
      <c r="AL140" s="11">
        <f t="shared" si="245"/>
        <v>843.35310173499772</v>
      </c>
      <c r="AM140" s="11">
        <f t="shared" si="245"/>
        <v>836.1096366148281</v>
      </c>
      <c r="AN140" s="11">
        <f t="shared" si="245"/>
        <v>828.75235146653654</v>
      </c>
      <c r="AO140" s="11">
        <f t="shared" si="245"/>
        <v>821.28895553196276</v>
      </c>
      <c r="AP140" s="11">
        <f t="shared" si="245"/>
        <v>813.72154087958893</v>
      </c>
      <c r="AQ140" s="11">
        <f t="shared" si="245"/>
        <v>806.04597965896096</v>
      </c>
      <c r="AR140" s="11">
        <f t="shared" si="245"/>
        <v>798.25330213089308</v>
      </c>
      <c r="AS140" s="11">
        <f t="shared" si="245"/>
        <v>790.33259579998276</v>
      </c>
      <c r="AT140" s="11">
        <f t="shared" si="245"/>
        <v>782.27614131403857</v>
      </c>
      <c r="AU140" s="11">
        <f t="shared" si="245"/>
        <v>774.08308462836919</v>
      </c>
      <c r="AV140" s="11">
        <f t="shared" si="245"/>
        <v>765.76023438218499</v>
      </c>
      <c r="AW140" s="11">
        <f t="shared" si="245"/>
        <v>757.32028411344425</v>
      </c>
      <c r="AX140" s="11">
        <f t="shared" si="245"/>
        <v>748.77898338568957</v>
      </c>
      <c r="AY140" s="11">
        <f t="shared" si="245"/>
        <v>740.15346845300996</v>
      </c>
      <c r="AZ140" s="11">
        <f t="shared" si="245"/>
        <v>731.46145871741476</v>
      </c>
      <c r="BA140" s="11">
        <f t="shared" si="245"/>
        <v>722.71953633360761</v>
      </c>
      <c r="BB140" s="11">
        <f t="shared" si="245"/>
        <v>713.9423126832379</v>
      </c>
      <c r="BC140" s="11">
        <f t="shared" si="245"/>
        <v>705.14056475904772</v>
      </c>
      <c r="BD140" s="11">
        <f t="shared" si="245"/>
        <v>696.32107257495113</v>
      </c>
      <c r="BE140" s="11">
        <f t="shared" si="245"/>
        <v>687.48636557965551</v>
      </c>
      <c r="BF140" s="11">
        <f t="shared" si="245"/>
        <v>678.63574157736866</v>
      </c>
      <c r="BG140" s="11">
        <f t="shared" si="245"/>
        <v>669.76653821745356</v>
      </c>
      <c r="BH140" s="11">
        <f t="shared" si="245"/>
        <v>660.87585700229113</v>
      </c>
      <c r="BI140" s="11">
        <f t="shared" si="245"/>
        <v>651.96266559600429</v>
      </c>
    </row>
    <row r="141" spans="1:61" s="11" customFormat="1" hidden="1" outlineLevel="2" x14ac:dyDescent="0.3">
      <c r="D141" s="3">
        <f>D138/D137*1000000</f>
        <v>7.7276199582250538</v>
      </c>
      <c r="E141" s="3">
        <f t="shared" ref="E141:N141" si="246">E138/E137*1000000</f>
        <v>7.7222700531404094</v>
      </c>
      <c r="F141" s="3">
        <f t="shared" si="246"/>
        <v>7.6365093491480582</v>
      </c>
      <c r="G141" s="3">
        <f t="shared" si="246"/>
        <v>7.5702076822637343</v>
      </c>
      <c r="H141" s="3">
        <f t="shared" si="246"/>
        <v>7.4625570158758219</v>
      </c>
      <c r="I141" s="3">
        <f t="shared" si="246"/>
        <v>7.4586154029201728</v>
      </c>
      <c r="J141" s="3">
        <f t="shared" si="246"/>
        <v>7.2922259043033355</v>
      </c>
      <c r="K141" s="3">
        <f t="shared" si="246"/>
        <v>7.8708674250812303</v>
      </c>
      <c r="L141" s="3">
        <f t="shared" si="246"/>
        <v>7.3474975989040825</v>
      </c>
      <c r="M141" s="3">
        <f t="shared" si="246"/>
        <v>7.4223264589421722</v>
      </c>
      <c r="N141" s="3">
        <f t="shared" si="246"/>
        <v>7.2499146435258712</v>
      </c>
      <c r="O141" s="3">
        <f>N141*(1+AVERAGE($E143:$N143))</f>
        <v>7.2080640560622102</v>
      </c>
      <c r="P141" s="3">
        <f t="shared" ref="P141:BI141" si="247">O141*(1+AVERAGE($E143:$N143))</f>
        <v>7.1664550537422604</v>
      </c>
      <c r="Q141" s="3">
        <f t="shared" si="247"/>
        <v>7.1250862420006129</v>
      </c>
      <c r="R141" s="3">
        <f t="shared" si="247"/>
        <v>7.0839562343220734</v>
      </c>
      <c r="S141" s="3">
        <f t="shared" si="247"/>
        <v>7.0430636521951948</v>
      </c>
      <c r="T141" s="3">
        <f t="shared" si="247"/>
        <v>7.0024071250660729</v>
      </c>
      <c r="U141" s="3">
        <f t="shared" si="247"/>
        <v>6.9619852902924126</v>
      </c>
      <c r="V141" s="3">
        <f t="shared" si="247"/>
        <v>6.9217967930978572</v>
      </c>
      <c r="W141" s="3">
        <f t="shared" si="247"/>
        <v>6.8818402865265815</v>
      </c>
      <c r="X141" s="3">
        <f t="shared" si="247"/>
        <v>6.842114431398147</v>
      </c>
      <c r="Y141" s="3">
        <f t="shared" si="247"/>
        <v>6.8026178962626185</v>
      </c>
      <c r="Z141" s="3">
        <f t="shared" si="247"/>
        <v>6.7633493573559385</v>
      </c>
      <c r="AA141" s="3">
        <f t="shared" si="247"/>
        <v>6.7243074985555618</v>
      </c>
      <c r="AB141" s="3">
        <f t="shared" si="247"/>
        <v>6.6854910113363424</v>
      </c>
      <c r="AC141" s="3">
        <f t="shared" si="247"/>
        <v>6.6468985947266788</v>
      </c>
      <c r="AD141" s="3">
        <f t="shared" si="247"/>
        <v>6.6085289552649087</v>
      </c>
      <c r="AE141" s="3">
        <f t="shared" si="247"/>
        <v>6.5703808069559591</v>
      </c>
      <c r="AF141" s="3">
        <f t="shared" si="247"/>
        <v>6.5324528712282435</v>
      </c>
      <c r="AG141" s="3">
        <f t="shared" si="247"/>
        <v>6.4947438768908112</v>
      </c>
      <c r="AH141" s="3">
        <f t="shared" si="247"/>
        <v>6.4572525600907413</v>
      </c>
      <c r="AI141" s="3">
        <f t="shared" si="247"/>
        <v>6.4199776642707818</v>
      </c>
      <c r="AJ141" s="3">
        <f t="shared" si="247"/>
        <v>6.3829179401272373</v>
      </c>
      <c r="AK141" s="3">
        <f t="shared" si="247"/>
        <v>6.3460721455680957</v>
      </c>
      <c r="AL141" s="3">
        <f t="shared" si="247"/>
        <v>6.3094390456714002</v>
      </c>
      <c r="AM141" s="3">
        <f t="shared" si="247"/>
        <v>6.2730174126438571</v>
      </c>
      <c r="AN141" s="3">
        <f t="shared" si="247"/>
        <v>6.2368060257796882</v>
      </c>
      <c r="AO141" s="3">
        <f t="shared" si="247"/>
        <v>6.2008036714197141</v>
      </c>
      <c r="AP141" s="3">
        <f t="shared" si="247"/>
        <v>6.165009142910681</v>
      </c>
      <c r="AQ141" s="3">
        <f t="shared" si="247"/>
        <v>6.1294212405648159</v>
      </c>
      <c r="AR141" s="3">
        <f t="shared" si="247"/>
        <v>6.0940387716196192</v>
      </c>
      <c r="AS141" s="3">
        <f t="shared" si="247"/>
        <v>6.0588605501978874</v>
      </c>
      <c r="AT141" s="3">
        <f t="shared" si="247"/>
        <v>6.0238853972679678</v>
      </c>
      <c r="AU141" s="3">
        <f t="shared" si="247"/>
        <v>5.9891121406042416</v>
      </c>
      <c r="AV141" s="3">
        <f t="shared" si="247"/>
        <v>5.9545396147478362</v>
      </c>
      <c r="AW141" s="3">
        <f t="shared" si="247"/>
        <v>5.9201666609675634</v>
      </c>
      <c r="AX141" s="3">
        <f t="shared" si="247"/>
        <v>5.8859921272210833</v>
      </c>
      <c r="AY141" s="3">
        <f t="shared" si="247"/>
        <v>5.852014868116294</v>
      </c>
      <c r="AZ141" s="3">
        <f t="shared" si="247"/>
        <v>5.8182337448729395</v>
      </c>
      <c r="BA141" s="3">
        <f t="shared" si="247"/>
        <v>5.7846476252844461</v>
      </c>
      <c r="BB141" s="3">
        <f t="shared" si="247"/>
        <v>5.7512553836799727</v>
      </c>
      <c r="BC141" s="3">
        <f t="shared" si="247"/>
        <v>5.718055900886684</v>
      </c>
      <c r="BD141" s="3">
        <f t="shared" si="247"/>
        <v>5.6850480641922401</v>
      </c>
      <c r="BE141" s="3">
        <f t="shared" si="247"/>
        <v>5.6522307673075023</v>
      </c>
      <c r="BF141" s="3">
        <f t="shared" si="247"/>
        <v>5.6196029103294567</v>
      </c>
      <c r="BG141" s="3">
        <f t="shared" si="247"/>
        <v>5.5871633997043482</v>
      </c>
      <c r="BH141" s="3">
        <f t="shared" si="247"/>
        <v>5.5549111481910289</v>
      </c>
      <c r="BI141" s="3">
        <f t="shared" si="247"/>
        <v>5.5228450748245193</v>
      </c>
    </row>
    <row r="142" spans="1:61" s="11" customFormat="1" hidden="1" outlineLevel="2" x14ac:dyDescent="0.3">
      <c r="D142" s="3">
        <f>D138/D137*1000000</f>
        <v>7.7276199582250538</v>
      </c>
      <c r="E142" s="3">
        <f t="shared" ref="E142:N142" si="248">E138/E137*1000000</f>
        <v>7.7222700531404094</v>
      </c>
      <c r="F142" s="3">
        <f t="shared" si="248"/>
        <v>7.6365093491480582</v>
      </c>
      <c r="G142" s="3">
        <f t="shared" si="248"/>
        <v>7.5702076822637343</v>
      </c>
      <c r="H142" s="3">
        <f t="shared" si="248"/>
        <v>7.4625570158758219</v>
      </c>
      <c r="I142" s="3">
        <f t="shared" si="248"/>
        <v>7.4586154029201728</v>
      </c>
      <c r="J142" s="3">
        <f t="shared" si="248"/>
        <v>7.2922259043033355</v>
      </c>
      <c r="K142" s="3">
        <f t="shared" si="248"/>
        <v>7.8708674250812303</v>
      </c>
      <c r="L142" s="3">
        <f t="shared" si="248"/>
        <v>7.3474975989040825</v>
      </c>
      <c r="M142" s="3">
        <f t="shared" si="248"/>
        <v>7.4223264589421722</v>
      </c>
      <c r="N142" s="3">
        <f t="shared" si="248"/>
        <v>7.2499146435258712</v>
      </c>
      <c r="O142" s="3">
        <f>N142*(1+AVERAGE($E143:$J143))</f>
        <v>7.18039159599161</v>
      </c>
      <c r="P142" s="3">
        <f t="shared" ref="P142:BI142" si="249">O142*(1+AVERAGE($E143:$J143))</f>
        <v>7.1115352396359501</v>
      </c>
      <c r="Q142" s="3">
        <f t="shared" si="249"/>
        <v>7.0433391812246562</v>
      </c>
      <c r="R142" s="3">
        <f t="shared" si="249"/>
        <v>6.9757970888314054</v>
      </c>
      <c r="S142" s="3">
        <f t="shared" si="249"/>
        <v>6.9089026912498737</v>
      </c>
      <c r="T142" s="3">
        <f t="shared" si="249"/>
        <v>6.842649777411463</v>
      </c>
      <c r="U142" s="3">
        <f t="shared" si="249"/>
        <v>6.7770321958086095</v>
      </c>
      <c r="V142" s="3">
        <f t="shared" si="249"/>
        <v>6.7120438539236238</v>
      </c>
      <c r="W142" s="3">
        <f t="shared" si="249"/>
        <v>6.6476787176630072</v>
      </c>
      <c r="X142" s="3">
        <f t="shared" si="249"/>
        <v>6.5839308107971934</v>
      </c>
      <c r="Y142" s="3">
        <f t="shared" si="249"/>
        <v>6.5207942144056625</v>
      </c>
      <c r="Z142" s="3">
        <f t="shared" si="249"/>
        <v>6.4582630663273752</v>
      </c>
      <c r="AA142" s="3">
        <f t="shared" si="249"/>
        <v>6.3963315606164777</v>
      </c>
      <c r="AB142" s="3">
        <f t="shared" si="249"/>
        <v>6.3349939470032268</v>
      </c>
      <c r="AC142" s="3">
        <f t="shared" si="249"/>
        <v>6.2742445303600851</v>
      </c>
      <c r="AD142" s="3">
        <f t="shared" si="249"/>
        <v>6.2140776701729337</v>
      </c>
      <c r="AE142" s="3">
        <f t="shared" si="249"/>
        <v>6.1544877800173552</v>
      </c>
      <c r="AF142" s="3">
        <f t="shared" si="249"/>
        <v>6.095469327039944</v>
      </c>
      <c r="AG142" s="3">
        <f t="shared" si="249"/>
        <v>6.0370168314445838</v>
      </c>
      <c r="AH142" s="3">
        <f t="shared" si="249"/>
        <v>5.9791248659836578</v>
      </c>
      <c r="AI142" s="3">
        <f t="shared" si="249"/>
        <v>5.9217880554541331</v>
      </c>
      <c r="AJ142" s="3">
        <f t="shared" si="249"/>
        <v>5.8650010761984799</v>
      </c>
      <c r="AK142" s="3">
        <f t="shared" si="249"/>
        <v>5.808758655610375</v>
      </c>
      <c r="AL142" s="3">
        <f t="shared" si="249"/>
        <v>5.7530555716451479</v>
      </c>
      <c r="AM142" s="3">
        <f t="shared" si="249"/>
        <v>5.6978866523349181</v>
      </c>
      <c r="AN142" s="3">
        <f t="shared" si="249"/>
        <v>5.643246775308385</v>
      </c>
      <c r="AO142" s="3">
        <f t="shared" si="249"/>
        <v>5.5891308673152214</v>
      </c>
      <c r="AP142" s="3">
        <f t="shared" si="249"/>
        <v>5.5355339037550282</v>
      </c>
      <c r="AQ142" s="3">
        <f t="shared" si="249"/>
        <v>5.4824509082108053</v>
      </c>
      <c r="AR142" s="3">
        <f t="shared" si="249"/>
        <v>5.4298769519868975</v>
      </c>
      <c r="AS142" s="3">
        <f t="shared" si="249"/>
        <v>5.3778071536513705</v>
      </c>
      <c r="AT142" s="3">
        <f t="shared" si="249"/>
        <v>5.3262366785827755</v>
      </c>
      <c r="AU142" s="3">
        <f t="shared" si="249"/>
        <v>5.2751607385212589</v>
      </c>
      <c r="AV142" s="3">
        <f t="shared" si="249"/>
        <v>5.2245745911239805</v>
      </c>
      <c r="AW142" s="3">
        <f t="shared" si="249"/>
        <v>5.1744735395247909</v>
      </c>
      <c r="AX142" s="3">
        <f t="shared" si="249"/>
        <v>5.1248529318981326</v>
      </c>
      <c r="AY142" s="3">
        <f t="shared" si="249"/>
        <v>5.0757081610271237</v>
      </c>
      <c r="AZ142" s="3">
        <f t="shared" si="249"/>
        <v>5.0270346638757815</v>
      </c>
      <c r="BA142" s="3">
        <f t="shared" si="249"/>
        <v>4.9788279211653537</v>
      </c>
      <c r="BB142" s="3">
        <f t="shared" si="249"/>
        <v>4.9310834569547035</v>
      </c>
      <c r="BC142" s="3">
        <f t="shared" si="249"/>
        <v>4.8837968382247281</v>
      </c>
      <c r="BD142" s="3">
        <f t="shared" si="249"/>
        <v>4.8369636744667552</v>
      </c>
      <c r="BE142" s="3">
        <f t="shared" si="249"/>
        <v>4.7905796172748891</v>
      </c>
      <c r="BF142" s="3">
        <f t="shared" si="249"/>
        <v>4.7446403599422693</v>
      </c>
      <c r="BG142" s="3">
        <f t="shared" si="249"/>
        <v>4.6991416370611931</v>
      </c>
      <c r="BH142" s="3">
        <f t="shared" si="249"/>
        <v>4.6540792241270807</v>
      </c>
      <c r="BI142" s="3">
        <f t="shared" si="249"/>
        <v>4.6094489371462339</v>
      </c>
    </row>
    <row r="143" spans="1:61" s="11" customFormat="1" hidden="1" outlineLevel="2" x14ac:dyDescent="0.3">
      <c r="D143" s="3"/>
      <c r="E143" s="6">
        <f>(E141-D141)/D141</f>
        <v>-6.9230954854995264E-4</v>
      </c>
      <c r="F143" s="6">
        <f t="shared" ref="F143:N143" si="250">(F141-E141)/E141</f>
        <v>-1.1105633887729024E-2</v>
      </c>
      <c r="G143" s="6">
        <f t="shared" si="250"/>
        <v>-8.6821954708561511E-3</v>
      </c>
      <c r="H143" s="6">
        <f t="shared" si="250"/>
        <v>-1.4220305559136448E-2</v>
      </c>
      <c r="I143" s="6">
        <f t="shared" si="250"/>
        <v>-5.2818530528660928E-4</v>
      </c>
      <c r="J143" s="6">
        <f t="shared" si="250"/>
        <v>-2.2308362829874966E-2</v>
      </c>
      <c r="K143" s="6">
        <f t="shared" si="250"/>
        <v>7.93504656015145E-2</v>
      </c>
      <c r="L143" s="6">
        <f t="shared" si="250"/>
        <v>-6.6494554908825235E-2</v>
      </c>
      <c r="M143" s="6">
        <f t="shared" si="250"/>
        <v>1.0184264646680641E-2</v>
      </c>
      <c r="N143" s="6">
        <f t="shared" si="250"/>
        <v>-2.3228810585202028E-2</v>
      </c>
    </row>
    <row r="144" spans="1:61" outlineLevel="1" x14ac:dyDescent="0.3">
      <c r="A144" t="s">
        <v>182</v>
      </c>
      <c r="D144">
        <v>2013</v>
      </c>
      <c r="E144">
        <v>2014</v>
      </c>
      <c r="F144">
        <v>2015</v>
      </c>
      <c r="G144">
        <v>2016</v>
      </c>
      <c r="H144">
        <v>2017</v>
      </c>
      <c r="I144">
        <v>2018</v>
      </c>
      <c r="J144">
        <v>2019</v>
      </c>
      <c r="K144">
        <v>2020</v>
      </c>
      <c r="L144">
        <v>2021</v>
      </c>
      <c r="M144">
        <v>2022</v>
      </c>
      <c r="N144">
        <v>2023</v>
      </c>
      <c r="O144">
        <v>2024</v>
      </c>
      <c r="P144">
        <v>2025</v>
      </c>
      <c r="Q144">
        <v>2026</v>
      </c>
      <c r="R144">
        <v>2027</v>
      </c>
      <c r="S144">
        <v>2028</v>
      </c>
      <c r="T144">
        <v>2029</v>
      </c>
      <c r="U144">
        <v>2030</v>
      </c>
      <c r="V144">
        <v>2031</v>
      </c>
      <c r="W144">
        <v>2032</v>
      </c>
      <c r="X144">
        <v>2033</v>
      </c>
      <c r="Y144">
        <v>2034</v>
      </c>
      <c r="Z144">
        <v>2035</v>
      </c>
      <c r="AA144">
        <v>2036</v>
      </c>
      <c r="AB144">
        <v>2037</v>
      </c>
      <c r="AC144">
        <v>2038</v>
      </c>
      <c r="AD144">
        <v>2039</v>
      </c>
      <c r="AE144">
        <v>2040</v>
      </c>
      <c r="AF144">
        <v>2041</v>
      </c>
      <c r="AG144">
        <v>2042</v>
      </c>
      <c r="AH144">
        <v>2043</v>
      </c>
      <c r="AI144">
        <v>2044</v>
      </c>
      <c r="AJ144">
        <v>2045</v>
      </c>
      <c r="AK144">
        <v>2046</v>
      </c>
      <c r="AL144">
        <v>2047</v>
      </c>
      <c r="AM144">
        <v>2048</v>
      </c>
      <c r="AN144">
        <v>2049</v>
      </c>
      <c r="AO144">
        <v>2050</v>
      </c>
      <c r="AP144">
        <v>2051</v>
      </c>
      <c r="AQ144">
        <v>2052</v>
      </c>
      <c r="AR144">
        <v>2053</v>
      </c>
      <c r="AS144">
        <v>2054</v>
      </c>
      <c r="AT144">
        <v>2055</v>
      </c>
      <c r="AU144">
        <v>2056</v>
      </c>
      <c r="AV144">
        <v>2057</v>
      </c>
      <c r="AW144">
        <v>2058</v>
      </c>
      <c r="AX144">
        <v>2059</v>
      </c>
      <c r="AY144">
        <v>2060</v>
      </c>
      <c r="AZ144">
        <v>2061</v>
      </c>
      <c r="BA144">
        <v>2062</v>
      </c>
      <c r="BB144">
        <v>2063</v>
      </c>
      <c r="BC144">
        <v>2064</v>
      </c>
      <c r="BD144">
        <v>2065</v>
      </c>
      <c r="BE144">
        <v>2066</v>
      </c>
      <c r="BF144">
        <v>2067</v>
      </c>
      <c r="BG144">
        <v>2068</v>
      </c>
      <c r="BH144">
        <v>2069</v>
      </c>
      <c r="BI144">
        <v>2070</v>
      </c>
    </row>
    <row r="145" spans="1:61" s="11" customFormat="1" outlineLevel="2" x14ac:dyDescent="0.3">
      <c r="B145" s="11" t="s">
        <v>162</v>
      </c>
      <c r="D145" s="11" cm="1">
        <f t="array" ref="D145:BI145">TRANSPOSE('Pob&amp;Viv'!C65:C122)</f>
        <v>30600532</v>
      </c>
      <c r="E145" s="11">
        <v>31262379</v>
      </c>
      <c r="F145" s="11">
        <v>31924227</v>
      </c>
      <c r="G145" s="11">
        <v>32586074</v>
      </c>
      <c r="H145" s="11">
        <v>33247921</v>
      </c>
      <c r="I145" s="11">
        <v>33909768</v>
      </c>
      <c r="J145" s="11">
        <v>34571615</v>
      </c>
      <c r="K145" s="11">
        <v>35233462</v>
      </c>
      <c r="L145" s="11">
        <v>36065403.481504887</v>
      </c>
      <c r="M145" s="11">
        <v>37022366.378578782</v>
      </c>
      <c r="N145" s="11">
        <v>37886727.290713757</v>
      </c>
      <c r="O145" s="11">
        <v>38759871.815691851</v>
      </c>
      <c r="P145" s="11">
        <v>39638700.791030079</v>
      </c>
      <c r="Q145" s="11">
        <v>40520922.381517202</v>
      </c>
      <c r="R145" s="11">
        <v>41405597.197144195</v>
      </c>
      <c r="S145" s="11">
        <v>42292720.85744381</v>
      </c>
      <c r="T145" s="11">
        <v>43183166.455903053</v>
      </c>
      <c r="U145" s="11">
        <v>44078155.153693445</v>
      </c>
      <c r="V145" s="11">
        <v>44978980.518906116</v>
      </c>
      <c r="W145" s="11">
        <v>45886836.295164481</v>
      </c>
      <c r="X145" s="11">
        <v>46802879.637986571</v>
      </c>
      <c r="Y145" s="11">
        <v>47728114.700476639</v>
      </c>
      <c r="Z145" s="11">
        <v>48663120.650741778</v>
      </c>
      <c r="AA145" s="11">
        <v>49607779.885488912</v>
      </c>
      <c r="AB145" s="11">
        <v>50561145.45706182</v>
      </c>
      <c r="AC145" s="11">
        <v>51521540.515439346</v>
      </c>
      <c r="AD145" s="11">
        <v>52486940.143393442</v>
      </c>
      <c r="AE145" s="11">
        <v>53455382.258625612</v>
      </c>
      <c r="AF145" s="11">
        <v>54425466.245689027</v>
      </c>
      <c r="AG145" s="11">
        <v>55396491.756992579</v>
      </c>
      <c r="AH145" s="11">
        <v>56368374.754427403</v>
      </c>
      <c r="AI145" s="11">
        <v>57341446.586445577</v>
      </c>
      <c r="AJ145" s="11">
        <v>58316333.002909675</v>
      </c>
      <c r="AK145" s="11">
        <v>59293786.014332049</v>
      </c>
      <c r="AL145" s="11">
        <v>60274654.850976668</v>
      </c>
      <c r="AM145" s="11">
        <v>61259593.77795434</v>
      </c>
      <c r="AN145" s="11">
        <v>62248925.824697919</v>
      </c>
      <c r="AO145" s="11">
        <v>63242467.894088715</v>
      </c>
      <c r="AP145" s="11">
        <v>64239593.396095678</v>
      </c>
      <c r="AQ145" s="11">
        <v>65239128.394464828</v>
      </c>
      <c r="AR145" s="11">
        <v>66239400.490180887</v>
      </c>
      <c r="AS145" s="11">
        <v>67238429.517676786</v>
      </c>
      <c r="AT145" s="11">
        <v>68234346.681584477</v>
      </c>
      <c r="AU145" s="11">
        <v>69225748.86139217</v>
      </c>
      <c r="AV145" s="11">
        <v>70211841.504880995</v>
      </c>
      <c r="AW145" s="11">
        <v>71192356.177950218</v>
      </c>
      <c r="AX145" s="11">
        <v>72167348.100400209</v>
      </c>
      <c r="AY145" s="11">
        <v>73137072.299057335</v>
      </c>
      <c r="AZ145" s="11">
        <v>74101925.519083157</v>
      </c>
      <c r="BA145" s="11">
        <v>75062282.204734862</v>
      </c>
      <c r="BB145" s="11">
        <v>76018398.821001589</v>
      </c>
      <c r="BC145" s="11">
        <v>76970191.650148764</v>
      </c>
      <c r="BD145" s="11">
        <v>77917172.742883325</v>
      </c>
      <c r="BE145" s="11">
        <v>78858369.307954356</v>
      </c>
      <c r="BF145" s="11">
        <v>79792384.697744682</v>
      </c>
      <c r="BG145" s="11">
        <v>80717503.794060662</v>
      </c>
      <c r="BH145" s="11">
        <v>81631874.142837763</v>
      </c>
      <c r="BI145" s="11">
        <v>82533764.922084749</v>
      </c>
    </row>
    <row r="146" spans="1:61" s="11" customFormat="1" outlineLevel="2" x14ac:dyDescent="0.3">
      <c r="B146" s="11" t="s">
        <v>177</v>
      </c>
      <c r="D146" s="11">
        <f>D11</f>
        <v>909.44999999999993</v>
      </c>
      <c r="E146" s="11">
        <f t="shared" ref="E146:N146" si="251">E11</f>
        <v>920.61999999999989</v>
      </c>
      <c r="F146" s="11">
        <f t="shared" si="251"/>
        <v>921.37</v>
      </c>
      <c r="G146" s="11">
        <f t="shared" si="251"/>
        <v>923.86</v>
      </c>
      <c r="H146" s="11">
        <f t="shared" si="251"/>
        <v>920.79</v>
      </c>
      <c r="I146" s="11">
        <f t="shared" si="251"/>
        <v>930.03</v>
      </c>
      <c r="J146" s="11">
        <f t="shared" si="251"/>
        <v>918.53000000000009</v>
      </c>
      <c r="K146" s="11">
        <f t="shared" si="251"/>
        <v>1001.11</v>
      </c>
      <c r="L146" s="11">
        <f t="shared" si="251"/>
        <v>943.33999999999992</v>
      </c>
      <c r="M146" s="11">
        <f t="shared" si="251"/>
        <v>964.61000000000013</v>
      </c>
      <c r="N146" s="11">
        <f t="shared" si="251"/>
        <v>950.72</v>
      </c>
      <c r="O146" s="11">
        <f>O145*AVERAGE($D149:$N149)/1000000</f>
        <v>1070.4401083014197</v>
      </c>
      <c r="P146" s="11">
        <f t="shared" ref="P146:BI146" si="252">P145*AVERAGE($D149:$N149)/1000000</f>
        <v>1094.7109260175564</v>
      </c>
      <c r="Q146" s="11">
        <f t="shared" si="252"/>
        <v>1119.0754383502458</v>
      </c>
      <c r="R146" s="11">
        <f t="shared" si="252"/>
        <v>1143.507701954067</v>
      </c>
      <c r="S146" s="11">
        <f t="shared" si="252"/>
        <v>1168.0075958526691</v>
      </c>
      <c r="T146" s="11">
        <f t="shared" si="252"/>
        <v>1192.5992324654958</v>
      </c>
      <c r="U146" s="11">
        <f t="shared" si="252"/>
        <v>1217.316336875615</v>
      </c>
      <c r="V146" s="11">
        <f t="shared" si="252"/>
        <v>1242.1946338442992</v>
      </c>
      <c r="W146" s="11">
        <f t="shared" si="252"/>
        <v>1267.2670912580165</v>
      </c>
      <c r="X146" s="11">
        <f t="shared" si="252"/>
        <v>1292.5656665412891</v>
      </c>
      <c r="Y146" s="11">
        <f t="shared" si="252"/>
        <v>1318.1180916165231</v>
      </c>
      <c r="Z146" s="11">
        <f t="shared" si="252"/>
        <v>1343.9403614997555</v>
      </c>
      <c r="AA146" s="11">
        <f t="shared" si="252"/>
        <v>1370.0292283143581</v>
      </c>
      <c r="AB146" s="11">
        <f t="shared" si="252"/>
        <v>1396.3585399936655</v>
      </c>
      <c r="AC146" s="11">
        <f t="shared" si="252"/>
        <v>1422.8819865930316</v>
      </c>
      <c r="AD146" s="11">
        <f t="shared" si="252"/>
        <v>1449.5436455173774</v>
      </c>
      <c r="AE146" s="11">
        <f t="shared" si="252"/>
        <v>1476.2893294980215</v>
      </c>
      <c r="AF146" s="11">
        <f t="shared" si="252"/>
        <v>1503.0803574227641</v>
      </c>
      <c r="AG146" s="11">
        <f t="shared" si="252"/>
        <v>1529.8973876344689</v>
      </c>
      <c r="AH146" s="11">
        <f t="shared" si="252"/>
        <v>1556.7380992337592</v>
      </c>
      <c r="AI146" s="11">
        <f t="shared" si="252"/>
        <v>1583.6116431454523</v>
      </c>
      <c r="AJ146" s="11">
        <f t="shared" si="252"/>
        <v>1610.5353008444163</v>
      </c>
      <c r="AK146" s="11">
        <f t="shared" si="252"/>
        <v>1637.5298407743169</v>
      </c>
      <c r="AL146" s="11">
        <f t="shared" si="252"/>
        <v>1664.6187163185925</v>
      </c>
      <c r="AM146" s="11">
        <f t="shared" si="252"/>
        <v>1691.8199964641431</v>
      </c>
      <c r="AN146" s="11">
        <f t="shared" si="252"/>
        <v>1719.142602387559</v>
      </c>
      <c r="AO146" s="11">
        <f t="shared" si="252"/>
        <v>1746.5814774544813</v>
      </c>
      <c r="AP146" s="11">
        <f t="shared" si="252"/>
        <v>1774.1193169869209</v>
      </c>
      <c r="AQ146" s="11">
        <f t="shared" si="252"/>
        <v>1801.723700122991</v>
      </c>
      <c r="AR146" s="11">
        <f t="shared" si="252"/>
        <v>1829.3484398424785</v>
      </c>
      <c r="AS146" s="11">
        <f t="shared" si="252"/>
        <v>1856.9388494670025</v>
      </c>
      <c r="AT146" s="11">
        <f t="shared" si="252"/>
        <v>1884.4433180540475</v>
      </c>
      <c r="AU146" s="11">
        <f t="shared" si="252"/>
        <v>1911.8230953084701</v>
      </c>
      <c r="AV146" s="11">
        <f t="shared" si="252"/>
        <v>1939.0562379027153</v>
      </c>
      <c r="AW146" s="11">
        <f t="shared" si="252"/>
        <v>1966.1353324317749</v>
      </c>
      <c r="AX146" s="11">
        <f t="shared" si="252"/>
        <v>1993.0619039133103</v>
      </c>
      <c r="AY146" s="11">
        <f t="shared" si="252"/>
        <v>2019.8429954806152</v>
      </c>
      <c r="AZ146" s="11">
        <f t="shared" si="252"/>
        <v>2046.4895641341595</v>
      </c>
      <c r="BA146" s="11">
        <f t="shared" si="252"/>
        <v>2073.0119509853157</v>
      </c>
      <c r="BB146" s="11">
        <f t="shared" si="252"/>
        <v>2099.4172388854422</v>
      </c>
      <c r="BC146" s="11">
        <f t="shared" si="252"/>
        <v>2125.7031157830111</v>
      </c>
      <c r="BD146" s="11">
        <f t="shared" si="252"/>
        <v>2151.8561058725136</v>
      </c>
      <c r="BE146" s="11">
        <f t="shared" si="252"/>
        <v>2177.8493433589101</v>
      </c>
      <c r="BF146" s="11">
        <f t="shared" si="252"/>
        <v>2203.6442567104446</v>
      </c>
      <c r="BG146" s="11">
        <f t="shared" si="252"/>
        <v>2229.1934791217341</v>
      </c>
      <c r="BH146" s="11">
        <f t="shared" si="252"/>
        <v>2254.4458509517231</v>
      </c>
      <c r="BI146" s="11">
        <f t="shared" si="252"/>
        <v>2279.3535716997148</v>
      </c>
    </row>
    <row r="147" spans="1:61" s="11" customFormat="1" outlineLevel="2" x14ac:dyDescent="0.3">
      <c r="D147" s="11">
        <f>D11</f>
        <v>909.44999999999993</v>
      </c>
      <c r="E147" s="11">
        <f t="shared" ref="E147:N147" si="253">E11</f>
        <v>920.61999999999989</v>
      </c>
      <c r="F147" s="11">
        <f t="shared" si="253"/>
        <v>921.37</v>
      </c>
      <c r="G147" s="11">
        <f t="shared" si="253"/>
        <v>923.86</v>
      </c>
      <c r="H147" s="11">
        <f t="shared" si="253"/>
        <v>920.79</v>
      </c>
      <c r="I147" s="11">
        <f t="shared" si="253"/>
        <v>930.03</v>
      </c>
      <c r="J147" s="11">
        <f t="shared" si="253"/>
        <v>918.53000000000009</v>
      </c>
      <c r="K147" s="11">
        <f t="shared" si="253"/>
        <v>1001.11</v>
      </c>
      <c r="L147" s="11">
        <f t="shared" si="253"/>
        <v>943.33999999999992</v>
      </c>
      <c r="M147" s="11">
        <f t="shared" si="253"/>
        <v>964.61000000000013</v>
      </c>
      <c r="N147" s="11">
        <f t="shared" si="253"/>
        <v>950.72</v>
      </c>
      <c r="O147" s="11">
        <f>O145*O149/1000000</f>
        <v>956.90878389299962</v>
      </c>
      <c r="P147" s="11">
        <f t="shared" ref="P147:BI147" si="254">P145*P149/1000000</f>
        <v>962.78716370184532</v>
      </c>
      <c r="Q147" s="11">
        <f t="shared" si="254"/>
        <v>968.30655871122667</v>
      </c>
      <c r="R147" s="11">
        <f t="shared" si="254"/>
        <v>973.45364266691399</v>
      </c>
      <c r="S147" s="11">
        <f t="shared" si="254"/>
        <v>978.23797601374895</v>
      </c>
      <c r="T147" s="11">
        <f t="shared" si="254"/>
        <v>982.6888938028851</v>
      </c>
      <c r="U147" s="11">
        <f t="shared" si="254"/>
        <v>986.84204270612622</v>
      </c>
      <c r="V147" s="11">
        <f t="shared" si="254"/>
        <v>990.73273489517499</v>
      </c>
      <c r="W147" s="11">
        <f t="shared" si="254"/>
        <v>994.39216096742939</v>
      </c>
      <c r="X147" s="11">
        <f t="shared" si="254"/>
        <v>997.84898898254926</v>
      </c>
      <c r="Y147" s="11">
        <f t="shared" si="254"/>
        <v>1001.1270535604848</v>
      </c>
      <c r="Z147" s="11">
        <f t="shared" si="254"/>
        <v>1004.2400661805278</v>
      </c>
      <c r="AA147" s="11">
        <f t="shared" si="254"/>
        <v>1007.1868591976042</v>
      </c>
      <c r="AB147" s="11">
        <f t="shared" si="254"/>
        <v>1009.9499097057931</v>
      </c>
      <c r="AC147" s="11">
        <f t="shared" si="254"/>
        <v>1012.4986234081847</v>
      </c>
      <c r="AD147" s="11">
        <f t="shared" si="254"/>
        <v>1014.7978242010818</v>
      </c>
      <c r="AE147" s="11">
        <f t="shared" si="254"/>
        <v>1016.8160261460449</v>
      </c>
      <c r="AF147" s="11">
        <f t="shared" si="254"/>
        <v>1018.5345656820122</v>
      </c>
      <c r="AG147" s="11">
        <f t="shared" si="254"/>
        <v>1019.9492117107021</v>
      </c>
      <c r="AH147" s="11">
        <f t="shared" si="254"/>
        <v>1021.0675370496879</v>
      </c>
      <c r="AI147" s="11">
        <f t="shared" si="254"/>
        <v>1021.9044056104689</v>
      </c>
      <c r="AJ147" s="11">
        <f t="shared" si="254"/>
        <v>1022.4792531966892</v>
      </c>
      <c r="AK147" s="11">
        <f t="shared" si="254"/>
        <v>1022.8127896595936</v>
      </c>
      <c r="AL147" s="11">
        <f t="shared" si="254"/>
        <v>1022.9263626715393</v>
      </c>
      <c r="AM147" s="11">
        <f t="shared" si="254"/>
        <v>1022.8369831779822</v>
      </c>
      <c r="AN147" s="11">
        <f t="shared" si="254"/>
        <v>1022.555390485414</v>
      </c>
      <c r="AO147" s="11">
        <f t="shared" si="254"/>
        <v>1022.0836962671034</v>
      </c>
      <c r="AP147" s="11">
        <f t="shared" si="254"/>
        <v>1021.4170570789424</v>
      </c>
      <c r="AQ147" s="11">
        <f t="shared" si="254"/>
        <v>1020.5426133889399</v>
      </c>
      <c r="AR147" s="11">
        <f t="shared" si="254"/>
        <v>1019.4409094205623</v>
      </c>
      <c r="AS147" s="11">
        <f t="shared" si="254"/>
        <v>1018.0893545519324</v>
      </c>
      <c r="AT147" s="11">
        <f t="shared" si="254"/>
        <v>1016.4687791528653</v>
      </c>
      <c r="AU147" s="11">
        <f t="shared" si="254"/>
        <v>1014.5684185601606</v>
      </c>
      <c r="AV147" s="11">
        <f t="shared" si="254"/>
        <v>1012.3873540585266</v>
      </c>
      <c r="AW147" s="11">
        <f t="shared" si="254"/>
        <v>1009.9325863147269</v>
      </c>
      <c r="AX147" s="11">
        <f t="shared" si="254"/>
        <v>1007.2155832504801</v>
      </c>
      <c r="AY147" s="11">
        <f t="shared" si="254"/>
        <v>1004.2502115377528</v>
      </c>
      <c r="AZ147" s="11">
        <f t="shared" si="254"/>
        <v>1001.0517392248147</v>
      </c>
      <c r="BA147" s="11">
        <f t="shared" si="254"/>
        <v>997.63451710186314</v>
      </c>
      <c r="BB147" s="11">
        <f t="shared" si="254"/>
        <v>994.01077216161389</v>
      </c>
      <c r="BC147" s="11">
        <f t="shared" si="254"/>
        <v>990.18789294506666</v>
      </c>
      <c r="BD147" s="11">
        <f t="shared" si="254"/>
        <v>986.16798722127317</v>
      </c>
      <c r="BE147" s="11">
        <f t="shared" si="254"/>
        <v>981.94729449731005</v>
      </c>
      <c r="BF147" s="11">
        <f t="shared" si="254"/>
        <v>977.51741045268523</v>
      </c>
      <c r="BG147" s="11">
        <f t="shared" si="254"/>
        <v>972.86695079728656</v>
      </c>
      <c r="BH147" s="11">
        <f t="shared" si="254"/>
        <v>967.98397071208751</v>
      </c>
      <c r="BI147" s="11">
        <f t="shared" si="254"/>
        <v>962.85907026654934</v>
      </c>
    </row>
    <row r="148" spans="1:61" s="11" customFormat="1" outlineLevel="2" x14ac:dyDescent="0.3">
      <c r="D148" s="11">
        <f>D11</f>
        <v>909.44999999999993</v>
      </c>
      <c r="E148" s="11">
        <f t="shared" ref="E148:N148" si="255">E11</f>
        <v>920.61999999999989</v>
      </c>
      <c r="F148" s="11">
        <f t="shared" si="255"/>
        <v>921.37</v>
      </c>
      <c r="G148" s="11">
        <f t="shared" si="255"/>
        <v>923.86</v>
      </c>
      <c r="H148" s="11">
        <f t="shared" si="255"/>
        <v>920.79</v>
      </c>
      <c r="I148" s="11">
        <f t="shared" si="255"/>
        <v>930.03</v>
      </c>
      <c r="J148" s="11">
        <f t="shared" si="255"/>
        <v>918.53000000000009</v>
      </c>
      <c r="K148" s="11">
        <f t="shared" si="255"/>
        <v>1001.11</v>
      </c>
      <c r="L148" s="11">
        <f t="shared" si="255"/>
        <v>943.33999999999992</v>
      </c>
      <c r="M148" s="11">
        <f t="shared" si="255"/>
        <v>964.61000000000013</v>
      </c>
      <c r="N148" s="11">
        <f t="shared" si="255"/>
        <v>950.72</v>
      </c>
      <c r="O148" s="11">
        <f>O145*O150/1000000</f>
        <v>954.65939529619197</v>
      </c>
      <c r="P148" s="11">
        <f t="shared" ref="P148:BI148" si="256">P145*P150/1000000</f>
        <v>958.26607018110474</v>
      </c>
      <c r="Q148" s="11">
        <f t="shared" si="256"/>
        <v>961.49405443531009</v>
      </c>
      <c r="R148" s="11">
        <f t="shared" si="256"/>
        <v>964.33274502222787</v>
      </c>
      <c r="S148" s="11">
        <f t="shared" si="256"/>
        <v>966.79426990537979</v>
      </c>
      <c r="T148" s="11">
        <f t="shared" si="256"/>
        <v>968.91015305939572</v>
      </c>
      <c r="U148" s="11">
        <f t="shared" si="256"/>
        <v>970.71784286917887</v>
      </c>
      <c r="V148" s="11">
        <f t="shared" si="256"/>
        <v>972.25411864357113</v>
      </c>
      <c r="W148" s="11">
        <f t="shared" si="256"/>
        <v>973.5513887508863</v>
      </c>
      <c r="X148" s="11">
        <f t="shared" si="256"/>
        <v>974.6393018431221</v>
      </c>
      <c r="Y148" s="11">
        <f t="shared" si="256"/>
        <v>975.54252569096434</v>
      </c>
      <c r="Z148" s="11">
        <f t="shared" si="256"/>
        <v>976.27566171641013</v>
      </c>
      <c r="AA148" s="11">
        <f t="shared" si="256"/>
        <v>976.83874929206092</v>
      </c>
      <c r="AB148" s="11">
        <f t="shared" si="256"/>
        <v>977.21600781899269</v>
      </c>
      <c r="AC148" s="11">
        <f t="shared" si="256"/>
        <v>977.37919265096684</v>
      </c>
      <c r="AD148" s="11">
        <f t="shared" si="256"/>
        <v>977.29591833458619</v>
      </c>
      <c r="AE148" s="11">
        <f t="shared" si="256"/>
        <v>976.93765641730079</v>
      </c>
      <c r="AF148" s="11">
        <f t="shared" si="256"/>
        <v>976.28844536380495</v>
      </c>
      <c r="AG148" s="11">
        <f t="shared" si="256"/>
        <v>975.34628413570135</v>
      </c>
      <c r="AH148" s="11">
        <f t="shared" si="256"/>
        <v>974.12046133519982</v>
      </c>
      <c r="AI148" s="11">
        <f t="shared" si="256"/>
        <v>972.62712745264275</v>
      </c>
      <c r="AJ148" s="11">
        <f t="shared" si="256"/>
        <v>970.88663174539545</v>
      </c>
      <c r="AK148" s="11">
        <f t="shared" si="256"/>
        <v>968.92034795278823</v>
      </c>
      <c r="AL148" s="11">
        <f t="shared" si="256"/>
        <v>966.75005987870463</v>
      </c>
      <c r="AM148" s="11">
        <f t="shared" si="256"/>
        <v>964.39326511502054</v>
      </c>
      <c r="AN148" s="11">
        <f t="shared" si="256"/>
        <v>961.86140418007608</v>
      </c>
      <c r="AO148" s="11">
        <f t="shared" si="256"/>
        <v>959.15771982555907</v>
      </c>
      <c r="AP148" s="11">
        <f t="shared" si="256"/>
        <v>956.27891863617504</v>
      </c>
      <c r="AQ148" s="11">
        <f t="shared" si="256"/>
        <v>953.21425672075873</v>
      </c>
      <c r="AR148" s="11">
        <f t="shared" si="256"/>
        <v>949.94695053987402</v>
      </c>
      <c r="AS148" s="11">
        <f t="shared" si="256"/>
        <v>946.45746636719321</v>
      </c>
      <c r="AT148" s="11">
        <f t="shared" si="256"/>
        <v>942.72963381309023</v>
      </c>
      <c r="AU148" s="11">
        <f t="shared" si="256"/>
        <v>938.75521894988628</v>
      </c>
      <c r="AV148" s="11">
        <f t="shared" si="256"/>
        <v>934.53516212421607</v>
      </c>
      <c r="AW148" s="11">
        <f t="shared" si="256"/>
        <v>930.0776963812051</v>
      </c>
      <c r="AX148" s="11">
        <f t="shared" si="256"/>
        <v>925.39509003511557</v>
      </c>
      <c r="AY148" s="11">
        <f t="shared" si="256"/>
        <v>920.50170281499277</v>
      </c>
      <c r="AZ148" s="11">
        <f t="shared" si="256"/>
        <v>915.41304858702176</v>
      </c>
      <c r="BA148" s="11">
        <f t="shared" si="256"/>
        <v>910.14366573177779</v>
      </c>
      <c r="BB148" s="11">
        <f t="shared" si="256"/>
        <v>904.7060296397957</v>
      </c>
      <c r="BC148" s="11">
        <f t="shared" si="256"/>
        <v>899.1081112274004</v>
      </c>
      <c r="BD148" s="11">
        <f t="shared" si="256"/>
        <v>893.3530285240073</v>
      </c>
      <c r="BE148" s="11">
        <f t="shared" si="256"/>
        <v>887.43857234591474</v>
      </c>
      <c r="BF148" s="11">
        <f t="shared" si="256"/>
        <v>881.35837274450421</v>
      </c>
      <c r="BG148" s="11">
        <f t="shared" si="256"/>
        <v>875.10344470938242</v>
      </c>
      <c r="BH148" s="11">
        <f t="shared" si="256"/>
        <v>868.66439047280926</v>
      </c>
      <c r="BI148" s="11">
        <f t="shared" si="256"/>
        <v>862.03418511638688</v>
      </c>
    </row>
    <row r="149" spans="1:61" outlineLevel="2" x14ac:dyDescent="0.3">
      <c r="D149" s="3">
        <f>D146/D145*1000000</f>
        <v>29.720071533396869</v>
      </c>
      <c r="E149" s="3">
        <f t="shared" ref="E149:N149" si="257">E146/E145*1000000</f>
        <v>29.448174753431267</v>
      </c>
      <c r="F149" s="3">
        <f t="shared" si="257"/>
        <v>28.861153004581755</v>
      </c>
      <c r="G149" s="3">
        <f t="shared" si="257"/>
        <v>28.351374884866463</v>
      </c>
      <c r="H149" s="3">
        <f t="shared" si="257"/>
        <v>27.694663976132521</v>
      </c>
      <c r="I149" s="3">
        <f t="shared" si="257"/>
        <v>27.426610527090602</v>
      </c>
      <c r="J149" s="3">
        <f t="shared" si="257"/>
        <v>26.56890631230274</v>
      </c>
      <c r="K149" s="3">
        <f t="shared" si="257"/>
        <v>28.413614307898552</v>
      </c>
      <c r="L149" s="3">
        <f t="shared" si="257"/>
        <v>26.156368955743552</v>
      </c>
      <c r="M149" s="3">
        <f t="shared" si="257"/>
        <v>26.054790505182982</v>
      </c>
      <c r="N149" s="3">
        <f t="shared" si="257"/>
        <v>25.093748338432668</v>
      </c>
      <c r="O149" s="3">
        <f>N149*(1+AVERAGE($E151:$N151))</f>
        <v>24.688130766872071</v>
      </c>
      <c r="P149" s="3">
        <f t="shared" ref="P149:BI149" si="258">O149*(1+AVERAGE($E151:$N151))</f>
        <v>24.289069633677709</v>
      </c>
      <c r="Q149" s="3">
        <f t="shared" si="258"/>
        <v>23.896458959998899</v>
      </c>
      <c r="R149" s="3">
        <f t="shared" si="258"/>
        <v>23.510194480036493</v>
      </c>
      <c r="S149" s="3">
        <f t="shared" si="258"/>
        <v>23.130173613352955</v>
      </c>
      <c r="T149" s="3">
        <f t="shared" si="258"/>
        <v>22.756295437630037</v>
      </c>
      <c r="U149" s="3">
        <f t="shared" si="258"/>
        <v>22.38846066186678</v>
      </c>
      <c r="V149" s="3">
        <f t="shared" si="258"/>
        <v>22.026571600010765</v>
      </c>
      <c r="W149" s="3">
        <f t="shared" si="258"/>
        <v>21.670532145015578</v>
      </c>
      <c r="X149" s="3">
        <f t="shared" si="258"/>
        <v>21.320247743317619</v>
      </c>
      <c r="Y149" s="3">
        <f t="shared" si="258"/>
        <v>20.975625369725467</v>
      </c>
      <c r="Z149" s="3">
        <f t="shared" si="258"/>
        <v>20.636573502715141</v>
      </c>
      <c r="AA149" s="3">
        <f t="shared" si="258"/>
        <v>20.303002100124679</v>
      </c>
      <c r="AB149" s="3">
        <f t="shared" si="258"/>
        <v>19.974822575241607</v>
      </c>
      <c r="AC149" s="3">
        <f t="shared" si="258"/>
        <v>19.651947773276916</v>
      </c>
      <c r="AD149" s="3">
        <f t="shared" si="258"/>
        <v>19.334291948219331</v>
      </c>
      <c r="AE149" s="3">
        <f t="shared" si="258"/>
        <v>19.021770740063701</v>
      </c>
      <c r="AF149" s="3">
        <f t="shared" si="258"/>
        <v>18.714301152407472</v>
      </c>
      <c r="AG149" s="3">
        <f t="shared" si="258"/>
        <v>18.411801530409299</v>
      </c>
      <c r="AH149" s="3">
        <f t="shared" si="258"/>
        <v>18.114191539103921</v>
      </c>
      <c r="AI149" s="3">
        <f t="shared" si="258"/>
        <v>17.821392142067577</v>
      </c>
      <c r="AJ149" s="3">
        <f t="shared" si="258"/>
        <v>17.533325580428265</v>
      </c>
      <c r="AK149" s="3">
        <f t="shared" si="258"/>
        <v>17.249915352215272</v>
      </c>
      <c r="AL149" s="3">
        <f t="shared" si="258"/>
        <v>16.971086192042527</v>
      </c>
      <c r="AM149" s="3">
        <f t="shared" si="258"/>
        <v>16.696764051120322</v>
      </c>
      <c r="AN149" s="3">
        <f t="shared" si="258"/>
        <v>16.426876077590151</v>
      </c>
      <c r="AO149" s="3">
        <f t="shared" si="258"/>
        <v>16.161350597177403</v>
      </c>
      <c r="AP149" s="3">
        <f t="shared" si="258"/>
        <v>15.900117094156789</v>
      </c>
      <c r="AQ149" s="3">
        <f t="shared" si="258"/>
        <v>15.643106192625455</v>
      </c>
      <c r="AR149" s="3">
        <f t="shared" si="258"/>
        <v>15.390249638078787</v>
      </c>
      <c r="AS149" s="3">
        <f t="shared" si="258"/>
        <v>15.141480279284032</v>
      </c>
      <c r="AT149" s="3">
        <f t="shared" si="258"/>
        <v>14.896732050446911</v>
      </c>
      <c r="AU149" s="3">
        <f t="shared" si="258"/>
        <v>14.655939953666499</v>
      </c>
      <c r="AV149" s="3">
        <f t="shared" si="258"/>
        <v>14.419040041673702</v>
      </c>
      <c r="AW149" s="3">
        <f t="shared" si="258"/>
        <v>14.185969400848746</v>
      </c>
      <c r="AX149" s="3">
        <f t="shared" si="258"/>
        <v>13.956666134513185</v>
      </c>
      <c r="AY149" s="3">
        <f t="shared" si="258"/>
        <v>13.731069346491964</v>
      </c>
      <c r="AZ149" s="3">
        <f t="shared" si="258"/>
        <v>13.509119124941201</v>
      </c>
      <c r="BA149" s="3">
        <f t="shared" si="258"/>
        <v>13.290756526437365</v>
      </c>
      <c r="BB149" s="3">
        <f t="shared" si="258"/>
        <v>13.075923560323647</v>
      </c>
      <c r="BC149" s="3">
        <f t="shared" si="258"/>
        <v>12.864563173309351</v>
      </c>
      <c r="BD149" s="3">
        <f t="shared" si="258"/>
        <v>12.65661923431823</v>
      </c>
      <c r="BE149" s="3">
        <f t="shared" si="258"/>
        <v>12.452036519581721</v>
      </c>
      <c r="BF149" s="3">
        <f t="shared" si="258"/>
        <v>12.250760697973156</v>
      </c>
      <c r="BG149" s="3">
        <f t="shared" si="258"/>
        <v>12.05273831657901</v>
      </c>
      <c r="BH149" s="3">
        <f t="shared" si="258"/>
        <v>11.857916786503385</v>
      </c>
      <c r="BI149" s="3">
        <f t="shared" si="258"/>
        <v>11.66624436890196</v>
      </c>
    </row>
    <row r="150" spans="1:61" outlineLevel="2" x14ac:dyDescent="0.3">
      <c r="D150">
        <f>D146/D145*1000000</f>
        <v>29.720071533396869</v>
      </c>
      <c r="E150">
        <f t="shared" ref="E150:N150" si="259">E146/E145*1000000</f>
        <v>29.448174753431267</v>
      </c>
      <c r="F150">
        <f t="shared" si="259"/>
        <v>28.861153004581755</v>
      </c>
      <c r="G150">
        <f t="shared" si="259"/>
        <v>28.351374884866463</v>
      </c>
      <c r="H150">
        <f t="shared" si="259"/>
        <v>27.694663976132521</v>
      </c>
      <c r="I150">
        <f t="shared" si="259"/>
        <v>27.426610527090602</v>
      </c>
      <c r="J150">
        <f t="shared" si="259"/>
        <v>26.56890631230274</v>
      </c>
      <c r="K150">
        <f t="shared" si="259"/>
        <v>28.413614307898552</v>
      </c>
      <c r="L150">
        <f t="shared" si="259"/>
        <v>26.156368955743552</v>
      </c>
      <c r="M150">
        <f t="shared" si="259"/>
        <v>26.054790505182982</v>
      </c>
      <c r="N150">
        <f t="shared" si="259"/>
        <v>25.093748338432668</v>
      </c>
      <c r="O150" s="3">
        <f>N150*(1+AVERAGE($E151:$J151))</f>
        <v>24.630096813418771</v>
      </c>
      <c r="P150" s="3">
        <f t="shared" ref="P150:BI150" si="260">O150*(1+AVERAGE($E151:$J151))</f>
        <v>24.17501207299793</v>
      </c>
      <c r="Q150" s="3">
        <f t="shared" si="260"/>
        <v>23.72833583062453</v>
      </c>
      <c r="R150" s="3">
        <f t="shared" si="260"/>
        <v>23.289912724377739</v>
      </c>
      <c r="S150" s="3">
        <f t="shared" si="260"/>
        <v>22.85959026292387</v>
      </c>
      <c r="T150" s="3">
        <f t="shared" si="260"/>
        <v>22.437218772477198</v>
      </c>
      <c r="U150" s="3">
        <f t="shared" si="260"/>
        <v>22.022651344740762</v>
      </c>
      <c r="V150" s="3">
        <f t="shared" si="260"/>
        <v>21.615743785809048</v>
      </c>
      <c r="W150" s="3">
        <f t="shared" si="260"/>
        <v>21.216354566014793</v>
      </c>
      <c r="X150" s="3">
        <f t="shared" si="260"/>
        <v>20.824344770702456</v>
      </c>
      <c r="Y150" s="3">
        <f t="shared" si="260"/>
        <v>20.439578051911237</v>
      </c>
      <c r="Z150" s="3">
        <f t="shared" si="260"/>
        <v>20.061920580950837</v>
      </c>
      <c r="AA150" s="3">
        <f t="shared" si="260"/>
        <v>19.691241001853466</v>
      </c>
      <c r="AB150" s="3">
        <f t="shared" si="260"/>
        <v>19.327410385685912</v>
      </c>
      <c r="AC150" s="3">
        <f t="shared" si="260"/>
        <v>18.970302185705759</v>
      </c>
      <c r="AD150" s="3">
        <f t="shared" si="260"/>
        <v>18.619792193346193</v>
      </c>
      <c r="AE150" s="3">
        <f t="shared" si="260"/>
        <v>18.27575849501406</v>
      </c>
      <c r="AF150" s="3">
        <f t="shared" si="260"/>
        <v>17.938081429686154</v>
      </c>
      <c r="AG150" s="3">
        <f t="shared" si="260"/>
        <v>17.606643547288993</v>
      </c>
      <c r="AH150" s="3">
        <f t="shared" si="260"/>
        <v>17.281329567847589</v>
      </c>
      <c r="AI150" s="3">
        <f t="shared" si="260"/>
        <v>16.962026341389045</v>
      </c>
      <c r="AJ150" s="3">
        <f t="shared" si="260"/>
        <v>16.648622808586975</v>
      </c>
      <c r="AK150" s="3">
        <f t="shared" si="260"/>
        <v>16.3410099621331</v>
      </c>
      <c r="AL150" s="3">
        <f t="shared" si="260"/>
        <v>16.039080808822579</v>
      </c>
      <c r="AM150" s="3">
        <f t="shared" si="260"/>
        <v>15.742730332339869</v>
      </c>
      <c r="AN150" s="3">
        <f t="shared" si="260"/>
        <v>15.451855456732194</v>
      </c>
      <c r="AO150" s="3">
        <f t="shared" si="260"/>
        <v>15.166355010557892</v>
      </c>
      <c r="AP150" s="3">
        <f t="shared" si="260"/>
        <v>14.886129691697198</v>
      </c>
      <c r="AQ150" s="3">
        <f t="shared" si="260"/>
        <v>14.611082032813203</v>
      </c>
      <c r="AR150" s="3">
        <f t="shared" si="260"/>
        <v>14.341116367450987</v>
      </c>
      <c r="AS150" s="3">
        <f t="shared" si="260"/>
        <v>14.076138796763127</v>
      </c>
      <c r="AT150" s="3">
        <f t="shared" si="260"/>
        <v>13.816057156850015</v>
      </c>
      <c r="AU150" s="3">
        <f t="shared" si="260"/>
        <v>13.560780986703614</v>
      </c>
      <c r="AV150" s="3">
        <f t="shared" si="260"/>
        <v>13.310221496743523</v>
      </c>
      <c r="AW150" s="3">
        <f t="shared" si="260"/>
        <v>13.064291537934375</v>
      </c>
      <c r="AX150" s="3">
        <f t="shared" si="260"/>
        <v>12.822905571473864</v>
      </c>
      <c r="AY150" s="3">
        <f t="shared" si="260"/>
        <v>12.585979639040831</v>
      </c>
      <c r="AZ150" s="3">
        <f t="shared" si="260"/>
        <v>12.353431333593068</v>
      </c>
      <c r="BA150" s="3">
        <f t="shared" si="260"/>
        <v>12.12517977070469</v>
      </c>
      <c r="BB150" s="3">
        <f t="shared" si="260"/>
        <v>11.901145560433097</v>
      </c>
      <c r="BC150" s="3">
        <f t="shared" si="260"/>
        <v>11.681250779705739</v>
      </c>
      <c r="BD150" s="3">
        <f t="shared" si="260"/>
        <v>11.465418945217092</v>
      </c>
      <c r="BE150" s="3">
        <f t="shared" si="260"/>
        <v>11.253574986826411</v>
      </c>
      <c r="BF150" s="3">
        <f t="shared" si="260"/>
        <v>11.045645221447</v>
      </c>
      <c r="BG150" s="3">
        <f t="shared" si="260"/>
        <v>10.841557327417924</v>
      </c>
      <c r="BH150" s="3">
        <f t="shared" si="260"/>
        <v>10.641240319349258</v>
      </c>
      <c r="BI150" s="3">
        <f t="shared" si="260"/>
        <v>10.444624523432106</v>
      </c>
    </row>
    <row r="151" spans="1:61" s="11" customFormat="1" outlineLevel="2" x14ac:dyDescent="0.3">
      <c r="D151" s="3"/>
      <c r="E151" s="6">
        <f>(E149-D149)/D149</f>
        <v>-9.1485910341792768E-3</v>
      </c>
      <c r="F151" s="6">
        <f t="shared" ref="F151" si="261">(F149-E149)/E149</f>
        <v>-1.9934062255628021E-2</v>
      </c>
      <c r="G151" s="6">
        <f t="shared" ref="G151" si="262">(G149-F149)/F149</f>
        <v>-1.7663123841045594E-2</v>
      </c>
      <c r="H151" s="6">
        <f t="shared" ref="H151" si="263">(H149-G149)/G149</f>
        <v>-2.3163282606251459E-2</v>
      </c>
      <c r="I151" s="6">
        <f t="shared" ref="I151" si="264">(I149-H149)/H149</f>
        <v>-9.678884324898435E-3</v>
      </c>
      <c r="J151" s="6">
        <f t="shared" ref="J151" si="265">(J149-I149)/I149</f>
        <v>-3.1272701887120391E-2</v>
      </c>
      <c r="K151" s="6">
        <f t="shared" ref="K151" si="266">(K149-J149)/J149</f>
        <v>6.9431085115521637E-2</v>
      </c>
      <c r="L151" s="6">
        <f t="shared" ref="L151" si="267">(L149-K149)/K149</f>
        <v>-7.9442387289937966E-2</v>
      </c>
      <c r="M151" s="6">
        <f t="shared" ref="M151" si="268">(M149-L149)/L149</f>
        <v>-3.8835073297994981E-3</v>
      </c>
      <c r="N151" s="6">
        <f t="shared" ref="N151" si="269">(N149-M149)/M149</f>
        <v>-3.6885430591320142E-2</v>
      </c>
    </row>
    <row r="152" spans="1:61" s="11" customFormat="1" x14ac:dyDescent="0.3"/>
    <row r="154" spans="1:61" x14ac:dyDescent="0.3">
      <c r="D154">
        <v>2013</v>
      </c>
      <c r="E154">
        <v>2014</v>
      </c>
      <c r="F154">
        <v>2015</v>
      </c>
      <c r="G154">
        <v>2016</v>
      </c>
      <c r="H154">
        <v>2017</v>
      </c>
      <c r="I154">
        <v>2018</v>
      </c>
      <c r="J154">
        <v>2019</v>
      </c>
      <c r="K154">
        <v>2020</v>
      </c>
      <c r="L154">
        <v>2021</v>
      </c>
      <c r="M154">
        <v>2022</v>
      </c>
      <c r="N154">
        <v>2023</v>
      </c>
      <c r="O154">
        <v>2024</v>
      </c>
      <c r="P154">
        <v>2025</v>
      </c>
      <c r="Q154">
        <v>2026</v>
      </c>
      <c r="R154">
        <v>2027</v>
      </c>
      <c r="S154">
        <v>2028</v>
      </c>
      <c r="T154">
        <v>2029</v>
      </c>
      <c r="U154">
        <v>2030</v>
      </c>
      <c r="V154">
        <v>2031</v>
      </c>
      <c r="W154">
        <v>2032</v>
      </c>
      <c r="X154">
        <v>2033</v>
      </c>
      <c r="Y154">
        <v>2034</v>
      </c>
      <c r="Z154">
        <v>2035</v>
      </c>
      <c r="AA154">
        <v>2036</v>
      </c>
      <c r="AB154">
        <v>2037</v>
      </c>
      <c r="AC154">
        <v>2038</v>
      </c>
      <c r="AD154">
        <v>2039</v>
      </c>
      <c r="AE154">
        <v>2040</v>
      </c>
      <c r="AF154">
        <v>2041</v>
      </c>
      <c r="AG154">
        <v>2042</v>
      </c>
      <c r="AH154">
        <v>2043</v>
      </c>
      <c r="AI154">
        <v>2044</v>
      </c>
      <c r="AJ154">
        <v>2045</v>
      </c>
      <c r="AK154">
        <v>2046</v>
      </c>
      <c r="AL154">
        <v>2047</v>
      </c>
      <c r="AM154">
        <v>2048</v>
      </c>
      <c r="AN154">
        <v>2049</v>
      </c>
      <c r="AO154">
        <v>2050</v>
      </c>
      <c r="AP154">
        <v>2051</v>
      </c>
      <c r="AQ154">
        <v>2052</v>
      </c>
      <c r="AR154">
        <v>2053</v>
      </c>
      <c r="AS154">
        <v>2054</v>
      </c>
      <c r="AT154">
        <v>2055</v>
      </c>
      <c r="AU154">
        <v>2056</v>
      </c>
      <c r="AV154">
        <v>2057</v>
      </c>
      <c r="AW154">
        <v>2058</v>
      </c>
      <c r="AX154">
        <v>2059</v>
      </c>
      <c r="AY154">
        <v>2060</v>
      </c>
      <c r="AZ154">
        <v>2061</v>
      </c>
      <c r="BA154">
        <v>2062</v>
      </c>
      <c r="BB154">
        <v>2063</v>
      </c>
      <c r="BC154">
        <v>2064</v>
      </c>
      <c r="BD154">
        <v>2065</v>
      </c>
      <c r="BE154">
        <v>2066</v>
      </c>
      <c r="BF154">
        <v>2067</v>
      </c>
      <c r="BG154">
        <v>2068</v>
      </c>
      <c r="BH154">
        <v>2069</v>
      </c>
      <c r="BI154">
        <v>2070</v>
      </c>
    </row>
    <row r="155" spans="1:61" x14ac:dyDescent="0.3">
      <c r="A155" s="3">
        <f>BI155</f>
        <v>1204.6413344631217</v>
      </c>
      <c r="B155">
        <v>2</v>
      </c>
      <c r="C155" s="11" t="s">
        <v>183</v>
      </c>
      <c r="D155" s="11">
        <f>D70</f>
        <v>909.44999999999993</v>
      </c>
      <c r="E155" s="11">
        <f t="shared" ref="E155:BI155" si="270">E70</f>
        <v>920.61999999999989</v>
      </c>
      <c r="F155" s="11">
        <f t="shared" si="270"/>
        <v>921.37</v>
      </c>
      <c r="G155" s="11">
        <f t="shared" si="270"/>
        <v>923.86</v>
      </c>
      <c r="H155" s="11">
        <f t="shared" si="270"/>
        <v>920.79</v>
      </c>
      <c r="I155" s="11">
        <f t="shared" si="270"/>
        <v>930.03</v>
      </c>
      <c r="J155" s="11">
        <f t="shared" si="270"/>
        <v>918.53000000000009</v>
      </c>
      <c r="K155" s="11">
        <f t="shared" si="270"/>
        <v>1001.11</v>
      </c>
      <c r="L155" s="11">
        <f t="shared" si="270"/>
        <v>943.33999999999992</v>
      </c>
      <c r="M155" s="11">
        <f t="shared" si="270"/>
        <v>964.61000000000013</v>
      </c>
      <c r="N155" s="11">
        <f t="shared" si="270"/>
        <v>950.72</v>
      </c>
      <c r="O155" s="11">
        <f t="shared" si="270"/>
        <v>955.52042160152678</v>
      </c>
      <c r="P155" s="11">
        <f t="shared" si="270"/>
        <v>960.34508172496578</v>
      </c>
      <c r="Q155" s="11">
        <f t="shared" si="270"/>
        <v>965.19410275663915</v>
      </c>
      <c r="R155" s="11">
        <f t="shared" si="270"/>
        <v>970.06760770082803</v>
      </c>
      <c r="S155" s="11">
        <f t="shared" si="270"/>
        <v>974.9657201828926</v>
      </c>
      <c r="T155" s="11">
        <f t="shared" si="270"/>
        <v>979.88856445240833</v>
      </c>
      <c r="U155" s="11">
        <f t="shared" si="270"/>
        <v>984.83626538631779</v>
      </c>
      <c r="V155" s="11">
        <f t="shared" si="270"/>
        <v>989.80894849209801</v>
      </c>
      <c r="W155" s="11">
        <f t="shared" si="270"/>
        <v>994.80673991094477</v>
      </c>
      <c r="X155" s="11">
        <f t="shared" si="270"/>
        <v>999.82976642097185</v>
      </c>
      <c r="Y155" s="11">
        <f t="shared" si="270"/>
        <v>1004.8781554404273</v>
      </c>
      <c r="Z155" s="11">
        <f t="shared" si="270"/>
        <v>1009.9520350309257</v>
      </c>
      <c r="AA155" s="11">
        <f t="shared" si="270"/>
        <v>1015.0515339006963</v>
      </c>
      <c r="AB155" s="11">
        <f t="shared" si="270"/>
        <v>1020.1767814078486</v>
      </c>
      <c r="AC155" s="11">
        <f t="shared" si="270"/>
        <v>1025.3279075636528</v>
      </c>
      <c r="AD155" s="11">
        <f t="shared" si="270"/>
        <v>1030.505043035839</v>
      </c>
      <c r="AE155" s="11">
        <f t="shared" si="270"/>
        <v>1035.7083191519105</v>
      </c>
      <c r="AF155" s="11">
        <f t="shared" si="270"/>
        <v>1040.9378679024762</v>
      </c>
      <c r="AG155" s="11">
        <f t="shared" si="270"/>
        <v>1046.1938219445983</v>
      </c>
      <c r="AH155" s="11">
        <f t="shared" si="270"/>
        <v>1051.4763146051573</v>
      </c>
      <c r="AI155" s="11">
        <f t="shared" si="270"/>
        <v>1056.7854798842345</v>
      </c>
      <c r="AJ155" s="11">
        <f t="shared" si="270"/>
        <v>1062.1214524585109</v>
      </c>
      <c r="AK155" s="11">
        <f t="shared" si="270"/>
        <v>1067.4843676846835</v>
      </c>
      <c r="AL155" s="11">
        <f t="shared" si="270"/>
        <v>1072.8743616028989</v>
      </c>
      <c r="AM155" s="11">
        <f t="shared" si="270"/>
        <v>1078.2915709402041</v>
      </c>
      <c r="AN155" s="11">
        <f t="shared" si="270"/>
        <v>1083.736133114015</v>
      </c>
      <c r="AO155" s="11">
        <f t="shared" si="270"/>
        <v>1089.2081862356024</v>
      </c>
      <c r="AP155" s="11">
        <f t="shared" si="270"/>
        <v>1094.7078691135951</v>
      </c>
      <c r="AQ155" s="11">
        <f t="shared" si="270"/>
        <v>1100.235321257501</v>
      </c>
      <c r="AR155" s="11">
        <f t="shared" si="270"/>
        <v>1105.7906828812465</v>
      </c>
      <c r="AS155" s="11">
        <f t="shared" si="270"/>
        <v>1111.3740949067326</v>
      </c>
      <c r="AT155" s="11">
        <f t="shared" si="270"/>
        <v>1116.9856989674104</v>
      </c>
      <c r="AU155" s="11">
        <f t="shared" si="270"/>
        <v>1122.6256374118732</v>
      </c>
      <c r="AV155" s="11">
        <f t="shared" si="270"/>
        <v>1128.2940533074677</v>
      </c>
      <c r="AW155" s="11">
        <f t="shared" si="270"/>
        <v>1133.9910904439237</v>
      </c>
      <c r="AX155" s="11">
        <f t="shared" si="270"/>
        <v>1139.7168933370003</v>
      </c>
      <c r="AY155" s="11">
        <f t="shared" si="270"/>
        <v>1145.4716072321535</v>
      </c>
      <c r="AZ155" s="11">
        <f t="shared" si="270"/>
        <v>1151.2553781082188</v>
      </c>
      <c r="BA155" s="11">
        <f t="shared" si="270"/>
        <v>1157.0683526811156</v>
      </c>
      <c r="BB155" s="11">
        <f t="shared" si="270"/>
        <v>1162.9106784075686</v>
      </c>
      <c r="BC155" s="11">
        <f t="shared" si="270"/>
        <v>1168.7825034888479</v>
      </c>
      <c r="BD155" s="11">
        <f t="shared" si="270"/>
        <v>1174.6839768745285</v>
      </c>
      <c r="BE155" s="11">
        <f t="shared" si="270"/>
        <v>1180.6152482662694</v>
      </c>
      <c r="BF155" s="11">
        <f t="shared" si="270"/>
        <v>1186.5764681216099</v>
      </c>
      <c r="BG155" s="11">
        <f t="shared" si="270"/>
        <v>1192.567787657787</v>
      </c>
      <c r="BH155" s="11">
        <f t="shared" si="270"/>
        <v>1198.5893588555712</v>
      </c>
      <c r="BI155" s="11">
        <f t="shared" si="270"/>
        <v>1204.6413344631217</v>
      </c>
    </row>
    <row r="156" spans="1:61" x14ac:dyDescent="0.3">
      <c r="A156" s="3">
        <f>BI156</f>
        <v>1029.2948410317349</v>
      </c>
      <c r="B156">
        <v>2</v>
      </c>
      <c r="C156" s="11" t="s">
        <v>184</v>
      </c>
      <c r="D156" s="11">
        <f>D71</f>
        <v>909.44999999999993</v>
      </c>
      <c r="E156" s="11">
        <f t="shared" ref="E156:BI156" si="271">E71</f>
        <v>920.61999999999989</v>
      </c>
      <c r="F156" s="11">
        <f t="shared" si="271"/>
        <v>921.37</v>
      </c>
      <c r="G156" s="11">
        <f t="shared" si="271"/>
        <v>923.86</v>
      </c>
      <c r="H156" s="11">
        <f t="shared" si="271"/>
        <v>920.79</v>
      </c>
      <c r="I156" s="11">
        <f t="shared" si="271"/>
        <v>930.03</v>
      </c>
      <c r="J156" s="11">
        <f t="shared" si="271"/>
        <v>918.53000000000009</v>
      </c>
      <c r="K156" s="11">
        <f t="shared" si="271"/>
        <v>1001.11</v>
      </c>
      <c r="L156" s="11">
        <f t="shared" si="271"/>
        <v>943.33999999999992</v>
      </c>
      <c r="M156" s="11">
        <f t="shared" si="271"/>
        <v>964.61000000000013</v>
      </c>
      <c r="N156" s="11">
        <f t="shared" si="271"/>
        <v>950.72</v>
      </c>
      <c r="O156" s="11">
        <f t="shared" si="271"/>
        <v>952.3276625816236</v>
      </c>
      <c r="P156" s="11">
        <f t="shared" si="271"/>
        <v>953.93804371232193</v>
      </c>
      <c r="Q156" s="11">
        <f t="shared" si="271"/>
        <v>955.55114798914735</v>
      </c>
      <c r="R156" s="11">
        <f t="shared" si="271"/>
        <v>957.16698001692589</v>
      </c>
      <c r="S156" s="11">
        <f t="shared" si="271"/>
        <v>958.7855444082702</v>
      </c>
      <c r="T156" s="11">
        <f t="shared" si="271"/>
        <v>960.40684578359287</v>
      </c>
      <c r="U156" s="11">
        <f t="shared" si="271"/>
        <v>962.03088877111963</v>
      </c>
      <c r="V156" s="11">
        <f t="shared" si="271"/>
        <v>963.65767800690242</v>
      </c>
      <c r="W156" s="11">
        <f t="shared" si="271"/>
        <v>965.28721813483276</v>
      </c>
      <c r="X156" s="11">
        <f t="shared" si="271"/>
        <v>966.91951380665512</v>
      </c>
      <c r="Y156" s="11">
        <f t="shared" si="271"/>
        <v>968.55456968197973</v>
      </c>
      <c r="Z156" s="11">
        <f t="shared" si="271"/>
        <v>970.19239042829645</v>
      </c>
      <c r="AA156" s="11">
        <f t="shared" si="271"/>
        <v>971.83298072098785</v>
      </c>
      <c r="AB156" s="11">
        <f t="shared" si="271"/>
        <v>973.47634524334239</v>
      </c>
      <c r="AC156" s="11">
        <f t="shared" si="271"/>
        <v>975.12248868656798</v>
      </c>
      <c r="AD156" s="11">
        <f t="shared" si="271"/>
        <v>976.77141574980544</v>
      </c>
      <c r="AE156" s="11">
        <f t="shared" si="271"/>
        <v>978.42313114014166</v>
      </c>
      <c r="AF156" s="11">
        <f t="shared" si="271"/>
        <v>980.07763957262341</v>
      </c>
      <c r="AG156" s="11">
        <f t="shared" si="271"/>
        <v>981.73494577027031</v>
      </c>
      <c r="AH156" s="11">
        <f t="shared" si="271"/>
        <v>983.39505446408884</v>
      </c>
      <c r="AI156" s="11">
        <f t="shared" si="271"/>
        <v>985.05797039308538</v>
      </c>
      <c r="AJ156" s="11">
        <f t="shared" si="271"/>
        <v>986.72369830428011</v>
      </c>
      <c r="AK156" s="11">
        <f t="shared" si="271"/>
        <v>988.39224295272027</v>
      </c>
      <c r="AL156" s="11">
        <f t="shared" si="271"/>
        <v>990.06360910149397</v>
      </c>
      <c r="AM156" s="11">
        <f t="shared" si="271"/>
        <v>991.73780152174356</v>
      </c>
      <c r="AN156" s="11">
        <f t="shared" si="271"/>
        <v>993.41482499267943</v>
      </c>
      <c r="AO156" s="11">
        <f t="shared" si="271"/>
        <v>995.09468430159359</v>
      </c>
      <c r="AP156" s="11">
        <f t="shared" si="271"/>
        <v>996.77738424387337</v>
      </c>
      <c r="AQ156" s="11">
        <f t="shared" si="271"/>
        <v>998.46292962301504</v>
      </c>
      <c r="AR156" s="11">
        <f t="shared" si="271"/>
        <v>1000.1513252506375</v>
      </c>
      <c r="AS156" s="11">
        <f t="shared" si="271"/>
        <v>1001.842575946496</v>
      </c>
      <c r="AT156" s="11">
        <f t="shared" si="271"/>
        <v>1003.5366865384964</v>
      </c>
      <c r="AU156" s="11">
        <f t="shared" si="271"/>
        <v>1005.233661862708</v>
      </c>
      <c r="AV156" s="11">
        <f t="shared" si="271"/>
        <v>1006.9335067633782</v>
      </c>
      <c r="AW156" s="11">
        <f t="shared" si="271"/>
        <v>1008.6362260929458</v>
      </c>
      <c r="AX156" s="11">
        <f t="shared" si="271"/>
        <v>1010.3418247120552</v>
      </c>
      <c r="AY156" s="11">
        <f t="shared" si="271"/>
        <v>1012.0503074895701</v>
      </c>
      <c r="AZ156" s="11">
        <f t="shared" si="271"/>
        <v>1013.7616793025871</v>
      </c>
      <c r="BA156" s="11">
        <f t="shared" si="271"/>
        <v>1015.4759450364506</v>
      </c>
      <c r="BB156" s="11">
        <f t="shared" si="271"/>
        <v>1017.1931095847656</v>
      </c>
      <c r="BC156" s="11">
        <f t="shared" si="271"/>
        <v>1018.9131778494121</v>
      </c>
      <c r="BD156" s="11">
        <f t="shared" si="271"/>
        <v>1020.6361547405596</v>
      </c>
      <c r="BE156" s="11">
        <f t="shared" si="271"/>
        <v>1022.3620451766802</v>
      </c>
      <c r="BF156" s="11">
        <f t="shared" si="271"/>
        <v>1024.0908540845635</v>
      </c>
      <c r="BG156" s="11">
        <f t="shared" si="271"/>
        <v>1025.8225863993298</v>
      </c>
      <c r="BH156" s="11">
        <f t="shared" si="271"/>
        <v>1027.5572470644452</v>
      </c>
      <c r="BI156" s="11">
        <f t="shared" si="271"/>
        <v>1029.2948410317349</v>
      </c>
    </row>
    <row r="157" spans="1:61" x14ac:dyDescent="0.3">
      <c r="A157" s="3">
        <f t="shared" ref="A157:A165" si="272">BI157</f>
        <v>2021.3562769590271</v>
      </c>
      <c r="C157" s="11" t="s">
        <v>185</v>
      </c>
      <c r="D157" s="11">
        <f t="shared" ref="D157:N157" si="273">D81</f>
        <v>909.44999999999993</v>
      </c>
      <c r="E157" s="11">
        <f t="shared" si="273"/>
        <v>920.61999999999989</v>
      </c>
      <c r="F157" s="11">
        <f t="shared" si="273"/>
        <v>921.37</v>
      </c>
      <c r="G157" s="11">
        <f t="shared" si="273"/>
        <v>923.86</v>
      </c>
      <c r="H157" s="11">
        <f t="shared" si="273"/>
        <v>920.79</v>
      </c>
      <c r="I157" s="11">
        <f t="shared" si="273"/>
        <v>930.03</v>
      </c>
      <c r="J157" s="11">
        <f t="shared" si="273"/>
        <v>918.53000000000009</v>
      </c>
      <c r="K157" s="11">
        <f t="shared" si="273"/>
        <v>1001.11</v>
      </c>
      <c r="L157" s="11">
        <f t="shared" si="273"/>
        <v>943.33999999999992</v>
      </c>
      <c r="M157" s="11">
        <f t="shared" si="273"/>
        <v>964.61000000000013</v>
      </c>
      <c r="N157" s="11">
        <f t="shared" si="273"/>
        <v>950.72</v>
      </c>
      <c r="O157" s="11">
        <f>O81-O74</f>
        <v>943.35516309651246</v>
      </c>
      <c r="P157" s="11">
        <f t="shared" ref="P157:BI157" si="274">P81-P74</f>
        <v>950.4455159922054</v>
      </c>
      <c r="Q157" s="11">
        <f t="shared" si="274"/>
        <v>957.95395554482423</v>
      </c>
      <c r="R157" s="11">
        <f t="shared" si="274"/>
        <v>965.89387006407287</v>
      </c>
      <c r="S157" s="11">
        <f t="shared" si="274"/>
        <v>974.27915686609504</v>
      </c>
      <c r="T157" s="11">
        <f t="shared" si="274"/>
        <v>983.12424047652883</v>
      </c>
      <c r="U157" s="11">
        <f t="shared" si="274"/>
        <v>992.44409150567651</v>
      </c>
      <c r="V157" s="11">
        <f t="shared" si="274"/>
        <v>1002.2542462201905</v>
      </c>
      <c r="W157" s="11">
        <f t="shared" si="274"/>
        <v>1012.5708268365693</v>
      </c>
      <c r="X157" s="11">
        <f t="shared" si="274"/>
        <v>1023.410562562686</v>
      </c>
      <c r="Y157" s="11">
        <f t="shared" si="274"/>
        <v>1034.7908114145389</v>
      </c>
      <c r="Z157" s="11">
        <f t="shared" si="274"/>
        <v>1046.729582836396</v>
      </c>
      <c r="AA157" s="11">
        <f t="shared" si="274"/>
        <v>1059.245561153554</v>
      </c>
      <c r="AB157" s="11">
        <f t="shared" si="274"/>
        <v>1072.3581298879878</v>
      </c>
      <c r="AC157" s="11">
        <f t="shared" si="274"/>
        <v>1086.0873969682896</v>
      </c>
      <c r="AD157" s="11">
        <f t="shared" si="274"/>
        <v>1100.4542208664298</v>
      </c>
      <c r="AE157" s="11">
        <f t="shared" si="274"/>
        <v>1115.480237695084</v>
      </c>
      <c r="AF157" s="11">
        <f t="shared" si="274"/>
        <v>1131.1878893004837</v>
      </c>
      <c r="AG157" s="11">
        <f t="shared" si="274"/>
        <v>1147.6004523870452</v>
      </c>
      <c r="AH157" s="11">
        <f t="shared" si="274"/>
        <v>1164.7420687113495</v>
      </c>
      <c r="AI157" s="11">
        <f t="shared" si="274"/>
        <v>1182.6377763844237</v>
      </c>
      <c r="AJ157" s="11">
        <f t="shared" si="274"/>
        <v>1201.3135423226981</v>
      </c>
      <c r="AK157" s="11">
        <f t="shared" si="274"/>
        <v>1220.796295889495</v>
      </c>
      <c r="AL157" s="11">
        <f t="shared" si="274"/>
        <v>1241.1139637704296</v>
      </c>
      <c r="AM157" s="11">
        <f t="shared" si="274"/>
        <v>1262.2955061276964</v>
      </c>
      <c r="AN157" s="11">
        <f t="shared" si="274"/>
        <v>1284.3709540798588</v>
      </c>
      <c r="AO157" s="11">
        <f t="shared" si="274"/>
        <v>1307.3714485554615</v>
      </c>
      <c r="AP157" s="11">
        <f t="shared" si="274"/>
        <v>1331.3292805705546</v>
      </c>
      <c r="AQ157" s="11">
        <f t="shared" si="274"/>
        <v>1356.2779329820562</v>
      </c>
      <c r="AR157" s="11">
        <f t="shared" si="274"/>
        <v>1382.2521237707633</v>
      </c>
      <c r="AS157" s="11">
        <f t="shared" si="274"/>
        <v>1409.2878509098136</v>
      </c>
      <c r="AT157" s="11">
        <f t="shared" si="274"/>
        <v>1437.4224388764078</v>
      </c>
      <c r="AU157" s="11">
        <f t="shared" si="274"/>
        <v>1466.6945868667576</v>
      </c>
      <c r="AV157" s="11">
        <f t="shared" si="274"/>
        <v>1497.1444187763741</v>
      </c>
      <c r="AW157" s="11">
        <f t="shared" si="274"/>
        <v>1528.8135350101172</v>
      </c>
      <c r="AX157" s="11">
        <f t="shared" si="274"/>
        <v>1561.7450661887574</v>
      </c>
      <c r="AY157" s="11">
        <f t="shared" si="274"/>
        <v>1595.9837288212593</v>
      </c>
      <c r="AZ157" s="11">
        <f t="shared" si="274"/>
        <v>1631.5758830145176</v>
      </c>
      <c r="BA157" s="11">
        <f t="shared" si="274"/>
        <v>1668.5695922948919</v>
      </c>
      <c r="BB157" s="11">
        <f t="shared" si="274"/>
        <v>1707.0146856186234</v>
      </c>
      <c r="BC157" s="11">
        <f t="shared" si="274"/>
        <v>1746.9628216510191</v>
      </c>
      <c r="BD157" s="11">
        <f t="shared" si="274"/>
        <v>1788.4675553972129</v>
      </c>
      <c r="BE157" s="11">
        <f t="shared" si="274"/>
        <v>1831.5844072703258</v>
      </c>
      <c r="BF157" s="11">
        <f t="shared" si="274"/>
        <v>1876.3709346860414</v>
      </c>
      <c r="BG157" s="11">
        <f t="shared" si="274"/>
        <v>1922.8868062757597</v>
      </c>
      <c r="BH157" s="11">
        <f t="shared" si="274"/>
        <v>1971.1938788139914</v>
      </c>
      <c r="BI157" s="11">
        <f t="shared" si="274"/>
        <v>2021.3562769590271</v>
      </c>
    </row>
    <row r="158" spans="1:61" x14ac:dyDescent="0.3">
      <c r="A158" s="3">
        <f t="shared" si="272"/>
        <v>1759.6004448738308</v>
      </c>
      <c r="B158">
        <v>1</v>
      </c>
      <c r="C158" s="11" t="s">
        <v>186</v>
      </c>
      <c r="D158" s="11">
        <f t="shared" ref="D158:N158" si="275">D90</f>
        <v>909.44999999999993</v>
      </c>
      <c r="E158" s="11">
        <f t="shared" si="275"/>
        <v>920.61999999999989</v>
      </c>
      <c r="F158" s="11">
        <f t="shared" si="275"/>
        <v>921.37</v>
      </c>
      <c r="G158" s="11">
        <f t="shared" si="275"/>
        <v>923.86</v>
      </c>
      <c r="H158" s="11">
        <f t="shared" si="275"/>
        <v>920.79</v>
      </c>
      <c r="I158" s="11">
        <f t="shared" si="275"/>
        <v>930.03</v>
      </c>
      <c r="J158" s="11">
        <f t="shared" si="275"/>
        <v>918.53000000000009</v>
      </c>
      <c r="K158" s="11">
        <f t="shared" si="275"/>
        <v>1001.11</v>
      </c>
      <c r="L158" s="11">
        <f t="shared" si="275"/>
        <v>943.33999999999992</v>
      </c>
      <c r="M158" s="11">
        <f t="shared" si="275"/>
        <v>964.61000000000013</v>
      </c>
      <c r="N158" s="11">
        <f t="shared" si="275"/>
        <v>950.72</v>
      </c>
      <c r="O158" s="11">
        <f>O90-O83</f>
        <v>940.50158123153233</v>
      </c>
      <c r="P158" s="11">
        <f t="shared" ref="P158:BI158" si="276">P90-P83</f>
        <v>944.72090284564047</v>
      </c>
      <c r="Q158" s="11">
        <f t="shared" si="276"/>
        <v>949.33662418743063</v>
      </c>
      <c r="R158" s="11">
        <f t="shared" si="276"/>
        <v>954.35775444743626</v>
      </c>
      <c r="S158" s="11">
        <f t="shared" si="276"/>
        <v>959.79366314068682</v>
      </c>
      <c r="T158" s="11">
        <f t="shared" si="276"/>
        <v>965.65409095146106</v>
      </c>
      <c r="U158" s="11">
        <f t="shared" si="276"/>
        <v>971.94916095551412</v>
      </c>
      <c r="V158" s="11">
        <f t="shared" si="276"/>
        <v>978.68939023197015</v>
      </c>
      <c r="W158" s="11">
        <f t="shared" si="276"/>
        <v>985.88570187747598</v>
      </c>
      <c r="X158" s="11">
        <f t="shared" si="276"/>
        <v>993.54943743563683</v>
      </c>
      <c r="Y158" s="11">
        <f t="shared" si="276"/>
        <v>1001.6923697551946</v>
      </c>
      <c r="Z158" s="11">
        <f t="shared" si="276"/>
        <v>1010.3267162908495</v>
      </c>
      <c r="AA158" s="11">
        <f t="shared" si="276"/>
        <v>1019.465152861109</v>
      </c>
      <c r="AB158" s="11">
        <f t="shared" si="276"/>
        <v>1029.1208278780093</v>
      </c>
      <c r="AC158" s="11">
        <f t="shared" si="276"/>
        <v>1039.3073770640704</v>
      </c>
      <c r="AD158" s="11">
        <f t="shared" si="276"/>
        <v>1050.0389386723439</v>
      </c>
      <c r="AE158" s="11">
        <f t="shared" si="276"/>
        <v>1061.3301692259511</v>
      </c>
      <c r="AF158" s="11">
        <f t="shared" si="276"/>
        <v>1073.1962597940606</v>
      </c>
      <c r="AG158" s="11">
        <f t="shared" si="276"/>
        <v>1085.6529528218057</v>
      </c>
      <c r="AH158" s="11">
        <f t="shared" si="276"/>
        <v>1098.7165595322438</v>
      </c>
      <c r="AI158" s="11">
        <f t="shared" si="276"/>
        <v>1112.4039779190507</v>
      </c>
      <c r="AJ158" s="11">
        <f t="shared" si="276"/>
        <v>1126.7327113492809</v>
      </c>
      <c r="AK158" s="11">
        <f t="shared" si="276"/>
        <v>1141.7208877961421</v>
      </c>
      <c r="AL158" s="11">
        <f t="shared" si="276"/>
        <v>1157.3872797224383</v>
      </c>
      <c r="AM158" s="11">
        <f t="shared" si="276"/>
        <v>1173.7513246359865</v>
      </c>
      <c r="AN158" s="11">
        <f t="shared" si="276"/>
        <v>1190.8331463390366</v>
      </c>
      <c r="AO158" s="11">
        <f t="shared" si="276"/>
        <v>1208.65357689447</v>
      </c>
      <c r="AP158" s="11">
        <f t="shared" si="276"/>
        <v>1227.2341793322867</v>
      </c>
      <c r="AQ158" s="11">
        <f t="shared" si="276"/>
        <v>1246.5972711206905</v>
      </c>
      <c r="AR158" s="11">
        <f t="shared" si="276"/>
        <v>1266.7659484268911</v>
      </c>
      <c r="AS158" s="11">
        <f t="shared" si="276"/>
        <v>1287.76411119356</v>
      </c>
      <c r="AT158" s="11">
        <f t="shared" si="276"/>
        <v>1309.6164890577713</v>
      </c>
      <c r="AU158" s="11">
        <f t="shared" si="276"/>
        <v>1332.348668140115</v>
      </c>
      <c r="AV158" s="11">
        <f t="shared" si="276"/>
        <v>1355.9871187326194</v>
      </c>
      <c r="AW158" s="11">
        <f t="shared" si="276"/>
        <v>1380.5592239150594</v>
      </c>
      <c r="AX158" s="11">
        <f t="shared" si="276"/>
        <v>1406.0933091302099</v>
      </c>
      <c r="AY158" s="11">
        <f t="shared" si="276"/>
        <v>1432.6186727496211</v>
      </c>
      <c r="AZ158" s="11">
        <f t="shared" si="276"/>
        <v>1460.165617662547</v>
      </c>
      <c r="BA158" s="11">
        <f t="shared" si="276"/>
        <v>1488.7654839217353</v>
      </c>
      <c r="BB158" s="11">
        <f t="shared" si="276"/>
        <v>1518.4506824809048</v>
      </c>
      <c r="BC158" s="11">
        <f t="shared" si="276"/>
        <v>1549.2547300599108</v>
      </c>
      <c r="BD158" s="11">
        <f t="shared" si="276"/>
        <v>1581.2122851747674</v>
      </c>
      <c r="BE158" s="11">
        <f t="shared" si="276"/>
        <v>1614.3591853709538</v>
      </c>
      <c r="BF158" s="11">
        <f t="shared" si="276"/>
        <v>1648.7324856997002</v>
      </c>
      <c r="BG158" s="11">
        <f t="shared" si="276"/>
        <v>1684.3704984782562</v>
      </c>
      <c r="BH158" s="11">
        <f t="shared" si="276"/>
        <v>1721.3128343765234</v>
      </c>
      <c r="BI158" s="11">
        <f t="shared" si="276"/>
        <v>1759.6004448738308</v>
      </c>
    </row>
    <row r="159" spans="1:61" x14ac:dyDescent="0.3">
      <c r="A159" s="3">
        <f t="shared" si="272"/>
        <v>2005.3464850901146</v>
      </c>
      <c r="C159" s="11" t="s">
        <v>187</v>
      </c>
      <c r="D159" s="11">
        <f>D112</f>
        <v>909.45</v>
      </c>
      <c r="E159" s="11">
        <f t="shared" ref="E159:BI159" si="277">E112</f>
        <v>920.62000000000012</v>
      </c>
      <c r="F159" s="11">
        <f t="shared" si="277"/>
        <v>921.36999999999989</v>
      </c>
      <c r="G159" s="11">
        <f t="shared" si="277"/>
        <v>923.8599999999999</v>
      </c>
      <c r="H159" s="11">
        <f t="shared" si="277"/>
        <v>920.79</v>
      </c>
      <c r="I159" s="11">
        <f t="shared" si="277"/>
        <v>930.02999999999986</v>
      </c>
      <c r="J159" s="11">
        <f t="shared" si="277"/>
        <v>918.53</v>
      </c>
      <c r="K159" s="11">
        <f t="shared" si="277"/>
        <v>1001.1099999999999</v>
      </c>
      <c r="L159" s="11">
        <f t="shared" si="277"/>
        <v>943.34</v>
      </c>
      <c r="M159" s="11">
        <f t="shared" si="277"/>
        <v>964.61</v>
      </c>
      <c r="N159" s="11">
        <f t="shared" si="277"/>
        <v>950.72</v>
      </c>
      <c r="O159" s="11">
        <f t="shared" si="277"/>
        <v>957.25403951793555</v>
      </c>
      <c r="P159" s="11">
        <f t="shared" si="277"/>
        <v>964.16945516776264</v>
      </c>
      <c r="Q159" s="11">
        <f t="shared" si="277"/>
        <v>971.47938209573363</v>
      </c>
      <c r="R159" s="11">
        <f t="shared" si="277"/>
        <v>979.1974399753849</v>
      </c>
      <c r="S159" s="11">
        <f t="shared" si="277"/>
        <v>987.33775068131013</v>
      </c>
      <c r="T159" s="11">
        <f t="shared" si="277"/>
        <v>995.91495660877854</v>
      </c>
      <c r="U159" s="11">
        <f t="shared" si="277"/>
        <v>1004.9442396627975</v>
      </c>
      <c r="V159" s="11">
        <f t="shared" si="277"/>
        <v>1014.4413409410699</v>
      </c>
      <c r="W159" s="11">
        <f t="shared" si="277"/>
        <v>1024.4225811361994</v>
      </c>
      <c r="X159" s="11">
        <f t="shared" si="277"/>
        <v>1034.9048816834152</v>
      </c>
      <c r="Y159" s="11">
        <f t="shared" si="277"/>
        <v>1045.905786681059</v>
      </c>
      <c r="Z159" s="11">
        <f t="shared" si="277"/>
        <v>1057.4434856120542</v>
      </c>
      <c r="AA159" s="11">
        <f t="shared" si="277"/>
        <v>1069.5368368956297</v>
      </c>
      <c r="AB159" s="11">
        <f t="shared" si="277"/>
        <v>1082.2053922996208</v>
      </c>
      <c r="AC159" s="11">
        <f t="shared" si="277"/>
        <v>1095.4694222447922</v>
      </c>
      <c r="AD159" s="11">
        <f t="shared" si="277"/>
        <v>1109.3499420337669</v>
      </c>
      <c r="AE159" s="11">
        <f t="shared" si="277"/>
        <v>1123.8687390383398</v>
      </c>
      <c r="AF159" s="11">
        <f t="shared" si="277"/>
        <v>1139.0484008801905</v>
      </c>
      <c r="AG159" s="11">
        <f t="shared" si="277"/>
        <v>1154.9123446412827</v>
      </c>
      <c r="AH159" s="11">
        <f t="shared" si="277"/>
        <v>1171.4848471415701</v>
      </c>
      <c r="AI159" s="11">
        <f t="shared" si="277"/>
        <v>1188.7910763229988</v>
      </c>
      <c r="AJ159" s="11">
        <f t="shared" si="277"/>
        <v>1206.8571237802237</v>
      </c>
      <c r="AK159" s="11">
        <f t="shared" si="277"/>
        <v>1225.7100384799278</v>
      </c>
      <c r="AL159" s="11">
        <f t="shared" si="277"/>
        <v>1245.3778617121718</v>
      </c>
      <c r="AM159" s="11">
        <f t="shared" si="277"/>
        <v>1265.8896633187803</v>
      </c>
      <c r="AN159" s="11">
        <f t="shared" si="277"/>
        <v>1287.2755792454179</v>
      </c>
      <c r="AO159" s="11">
        <f t="shared" si="277"/>
        <v>1309.5668504657144</v>
      </c>
      <c r="AP159" s="11">
        <f t="shared" si="277"/>
        <v>1332.7958633275653</v>
      </c>
      <c r="AQ159" s="11">
        <f t="shared" si="277"/>
        <v>1356.9961913735588</v>
      </c>
      <c r="AR159" s="11">
        <f t="shared" si="277"/>
        <v>1382.2026386893888</v>
      </c>
      <c r="AS159" s="11">
        <f t="shared" si="277"/>
        <v>1408.4512848360714</v>
      </c>
      <c r="AT159" s="11">
        <f t="shared" si="277"/>
        <v>1435.7795314238288</v>
      </c>
      <c r="AU159" s="11">
        <f t="shared" si="277"/>
        <v>1464.2261503876107</v>
      </c>
      <c r="AV159" s="11">
        <f t="shared" si="277"/>
        <v>1493.8313340264258</v>
      </c>
      <c r="AW159" s="11">
        <f t="shared" si="277"/>
        <v>1524.6367468709152</v>
      </c>
      <c r="AX159" s="11">
        <f t="shared" si="277"/>
        <v>1556.685579445958</v>
      </c>
      <c r="AY159" s="11">
        <f t="shared" si="277"/>
        <v>1590.0226039975462</v>
      </c>
      <c r="AZ159" s="11">
        <f t="shared" si="277"/>
        <v>1624.6942322556845</v>
      </c>
      <c r="BA159" s="11">
        <f t="shared" si="277"/>
        <v>1660.748575307694</v>
      </c>
      <c r="BB159" s="11">
        <f t="shared" si="277"/>
        <v>1698.2355056590307</v>
      </c>
      <c r="BC159" s="11">
        <f t="shared" si="277"/>
        <v>1737.2067215615209</v>
      </c>
      <c r="BD159" s="11">
        <f t="shared" si="277"/>
        <v>1777.7158136918604</v>
      </c>
      <c r="BE159" s="11">
        <f t="shared" si="277"/>
        <v>1819.818334266233</v>
      </c>
      <c r="BF159" s="11">
        <f t="shared" si="277"/>
        <v>1863.5718686800521</v>
      </c>
      <c r="BG159" s="11">
        <f t="shared" si="277"/>
        <v>1909.036109765068</v>
      </c>
      <c r="BH159" s="11">
        <f t="shared" si="277"/>
        <v>1956.2729347594752</v>
      </c>
      <c r="BI159" s="11">
        <f t="shared" si="277"/>
        <v>2005.3464850901146</v>
      </c>
    </row>
    <row r="160" spans="1:61" x14ac:dyDescent="0.3">
      <c r="A160" s="3">
        <f t="shared" si="272"/>
        <v>1735.1722647362426</v>
      </c>
      <c r="B160">
        <v>2</v>
      </c>
      <c r="C160" s="11" t="s">
        <v>188</v>
      </c>
      <c r="D160" s="11">
        <f>D124</f>
        <v>909.45</v>
      </c>
      <c r="E160" s="11">
        <f t="shared" ref="E160:BI160" si="278">E124</f>
        <v>920.62000000000012</v>
      </c>
      <c r="F160" s="11">
        <f t="shared" si="278"/>
        <v>921.36999999999989</v>
      </c>
      <c r="G160" s="11">
        <f t="shared" si="278"/>
        <v>923.8599999999999</v>
      </c>
      <c r="H160" s="11">
        <f t="shared" si="278"/>
        <v>920.79</v>
      </c>
      <c r="I160" s="11">
        <f t="shared" si="278"/>
        <v>930.02999999999986</v>
      </c>
      <c r="J160" s="11">
        <f t="shared" si="278"/>
        <v>918.53</v>
      </c>
      <c r="K160" s="11">
        <f t="shared" si="278"/>
        <v>1001.1099999999999</v>
      </c>
      <c r="L160" s="11">
        <f t="shared" si="278"/>
        <v>943.34</v>
      </c>
      <c r="M160" s="11">
        <f t="shared" si="278"/>
        <v>964.61</v>
      </c>
      <c r="N160" s="11">
        <f t="shared" si="278"/>
        <v>950.72</v>
      </c>
      <c r="O160" s="11">
        <f t="shared" si="278"/>
        <v>954.63333654861594</v>
      </c>
      <c r="P160" s="11">
        <f t="shared" si="278"/>
        <v>958.88466445060544</v>
      </c>
      <c r="Q160" s="11">
        <f t="shared" si="278"/>
        <v>963.48354036068463</v>
      </c>
      <c r="R160" s="11">
        <f t="shared" si="278"/>
        <v>968.43985084765268</v>
      </c>
      <c r="S160" s="11">
        <f t="shared" si="278"/>
        <v>973.76382321522783</v>
      </c>
      <c r="T160" s="11">
        <f t="shared" si="278"/>
        <v>979.46603668230011</v>
      </c>
      <c r="U160" s="11">
        <f t="shared" si="278"/>
        <v>985.55743393450007</v>
      </c>
      <c r="V160" s="11">
        <f t="shared" si="278"/>
        <v>992.04933305938221</v>
      </c>
      <c r="W160" s="11">
        <f t="shared" si="278"/>
        <v>998.95343987791784</v>
      </c>
      <c r="X160" s="11">
        <f t="shared" si="278"/>
        <v>1006.2818606854303</v>
      </c>
      <c r="Y160" s="11">
        <f t="shared" si="278"/>
        <v>1014.0471154155184</v>
      </c>
      <c r="Z160" s="11">
        <f t="shared" si="278"/>
        <v>1022.2621512409863</v>
      </c>
      <c r="AA160" s="11">
        <f t="shared" si="278"/>
        <v>1030.9403566262424</v>
      </c>
      <c r="AB160" s="11">
        <f t="shared" si="278"/>
        <v>1040.0955758461221</v>
      </c>
      <c r="AC160" s="11">
        <f t="shared" si="278"/>
        <v>1049.7421239865807</v>
      </c>
      <c r="AD160" s="11">
        <f t="shared" si="278"/>
        <v>1059.8948024432098</v>
      </c>
      <c r="AE160" s="11">
        <f t="shared" si="278"/>
        <v>1070.5689149340708</v>
      </c>
      <c r="AF160" s="11">
        <f t="shared" si="278"/>
        <v>1081.7802840438701</v>
      </c>
      <c r="AG160" s="11">
        <f t="shared" si="278"/>
        <v>1093.5452683170809</v>
      </c>
      <c r="AH160" s="11">
        <f t="shared" si="278"/>
        <v>1105.8807799181855</v>
      </c>
      <c r="AI160" s="11">
        <f t="shared" si="278"/>
        <v>1118.8043028778261</v>
      </c>
      <c r="AJ160" s="11">
        <f t="shared" si="278"/>
        <v>1132.333911944263</v>
      </c>
      <c r="AK160" s="11">
        <f t="shared" si="278"/>
        <v>1146.4882920601956</v>
      </c>
      <c r="AL160" s="11">
        <f t="shared" si="278"/>
        <v>1161.2867584856506</v>
      </c>
      <c r="AM160" s="11">
        <f t="shared" si="278"/>
        <v>1176.7492775883425</v>
      </c>
      <c r="AN160" s="11">
        <f t="shared" si="278"/>
        <v>1192.896488323609</v>
      </c>
      <c r="AO160" s="11">
        <f t="shared" si="278"/>
        <v>1209.7497244267643</v>
      </c>
      <c r="AP160" s="11">
        <f t="shared" si="278"/>
        <v>1227.3310373414661</v>
      </c>
      <c r="AQ160" s="11">
        <f t="shared" si="278"/>
        <v>1245.6632199084734</v>
      </c>
      <c r="AR160" s="11">
        <f t="shared" si="278"/>
        <v>1264.7698308399858</v>
      </c>
      <c r="AS160" s="11">
        <f t="shared" si="278"/>
        <v>1284.6752200055782</v>
      </c>
      <c r="AT160" s="11">
        <f t="shared" si="278"/>
        <v>1305.404554556621</v>
      </c>
      <c r="AU160" s="11">
        <f t="shared" si="278"/>
        <v>1326.9838459169555</v>
      </c>
      <c r="AV160" s="11">
        <f t="shared" si="278"/>
        <v>1349.4399776685184</v>
      </c>
      <c r="AW160" s="11">
        <f t="shared" si="278"/>
        <v>1372.8007343615616</v>
      </c>
      <c r="AX160" s="11">
        <f t="shared" si="278"/>
        <v>1397.0948312800942</v>
      </c>
      <c r="AY160" s="11">
        <f t="shared" si="278"/>
        <v>1422.3519451941866</v>
      </c>
      <c r="AZ160" s="11">
        <f t="shared" si="278"/>
        <v>1448.6027461318265</v>
      </c>
      <c r="BA160" s="11">
        <f t="shared" si="278"/>
        <v>1475.8789302041055</v>
      </c>
      <c r="BB160" s="11">
        <f t="shared" si="278"/>
        <v>1504.2132535186174</v>
      </c>
      <c r="BC160" s="11">
        <f t="shared" si="278"/>
        <v>1533.6395672171298</v>
      </c>
      <c r="BD160" s="11">
        <f t="shared" si="278"/>
        <v>1564.1928536747587</v>
      </c>
      <c r="BE160" s="11">
        <f t="shared" si="278"/>
        <v>1595.9092638991315</v>
      </c>
      <c r="BF160" s="11">
        <f t="shared" si="278"/>
        <v>1628.8261561692868</v>
      </c>
      <c r="BG160" s="11">
        <f t="shared" si="278"/>
        <v>1662.9821359553773</v>
      </c>
      <c r="BH160" s="11">
        <f t="shared" si="278"/>
        <v>1698.4170971616084</v>
      </c>
      <c r="BI160" s="11">
        <f t="shared" si="278"/>
        <v>1735.1722647362426</v>
      </c>
    </row>
    <row r="161" spans="1:61" x14ac:dyDescent="0.3">
      <c r="A161" s="3">
        <f t="shared" si="272"/>
        <v>781.15385282597094</v>
      </c>
      <c r="C161" s="11" t="s">
        <v>189</v>
      </c>
      <c r="D161" s="11">
        <f t="shared" ref="D161:S162" si="279">D139</f>
        <v>909.44999999999993</v>
      </c>
      <c r="E161" s="11">
        <f t="shared" si="279"/>
        <v>920.61999999999989</v>
      </c>
      <c r="F161" s="11">
        <f t="shared" si="279"/>
        <v>921.37</v>
      </c>
      <c r="G161" s="11">
        <f t="shared" si="279"/>
        <v>923.86</v>
      </c>
      <c r="H161" s="11">
        <f t="shared" si="279"/>
        <v>920.79</v>
      </c>
      <c r="I161" s="11">
        <f t="shared" si="279"/>
        <v>930.03</v>
      </c>
      <c r="J161" s="11">
        <f t="shared" si="279"/>
        <v>918.53000000000009</v>
      </c>
      <c r="K161" s="11">
        <f t="shared" si="279"/>
        <v>1001.11</v>
      </c>
      <c r="L161" s="11">
        <f t="shared" si="279"/>
        <v>943.33999999999992</v>
      </c>
      <c r="M161" s="11">
        <f t="shared" si="279"/>
        <v>964.61000000000013</v>
      </c>
      <c r="N161" s="11">
        <f t="shared" si="279"/>
        <v>950.72</v>
      </c>
      <c r="O161" s="11">
        <f t="shared" si="279"/>
        <v>953.44246350622007</v>
      </c>
      <c r="P161" s="11">
        <f t="shared" si="279"/>
        <v>955.771678395207</v>
      </c>
      <c r="Q161" s="11">
        <f t="shared" si="279"/>
        <v>957.66330480082684</v>
      </c>
      <c r="R161" s="11">
        <f t="shared" si="279"/>
        <v>959.10860810012696</v>
      </c>
      <c r="S161" s="11">
        <f t="shared" si="279"/>
        <v>960.1216707537742</v>
      </c>
      <c r="T161" s="11">
        <f t="shared" ref="T161:BI161" si="280">T139</f>
        <v>960.73591550402227</v>
      </c>
      <c r="U161" s="11">
        <f t="shared" si="280"/>
        <v>960.99060794036996</v>
      </c>
      <c r="V161" s="11">
        <f t="shared" si="280"/>
        <v>960.92427487650662</v>
      </c>
      <c r="W161" s="11">
        <f t="shared" si="280"/>
        <v>960.57103844185724</v>
      </c>
      <c r="X161" s="11">
        <f t="shared" si="280"/>
        <v>959.96222263807749</v>
      </c>
      <c r="Y161" s="11">
        <f t="shared" si="280"/>
        <v>959.12417847658855</v>
      </c>
      <c r="Z161" s="11">
        <f t="shared" si="280"/>
        <v>958.07332481915341</v>
      </c>
      <c r="AA161" s="11">
        <f t="shared" si="280"/>
        <v>956.81182732794866</v>
      </c>
      <c r="AB161" s="11">
        <f t="shared" si="280"/>
        <v>955.3265005845202</v>
      </c>
      <c r="AC161" s="11">
        <f t="shared" si="280"/>
        <v>953.59223530883514</v>
      </c>
      <c r="AD161" s="11">
        <f t="shared" si="280"/>
        <v>951.58023128910543</v>
      </c>
      <c r="AE161" s="11">
        <f t="shared" si="280"/>
        <v>949.26581976759689</v>
      </c>
      <c r="AF161" s="11">
        <f t="shared" si="280"/>
        <v>946.63687912414457</v>
      </c>
      <c r="AG161" s="11">
        <f t="shared" si="280"/>
        <v>943.69505971121248</v>
      </c>
      <c r="AH161" s="11">
        <f t="shared" si="280"/>
        <v>940.45305991381804</v>
      </c>
      <c r="AI161" s="11">
        <f t="shared" si="280"/>
        <v>936.93023706821202</v>
      </c>
      <c r="AJ161" s="11">
        <f t="shared" si="280"/>
        <v>933.14996698717425</v>
      </c>
      <c r="AK161" s="11">
        <f t="shared" si="280"/>
        <v>929.13654580497121</v>
      </c>
      <c r="AL161" s="11">
        <f t="shared" si="280"/>
        <v>924.91458201806631</v>
      </c>
      <c r="AM161" s="11">
        <f t="shared" si="280"/>
        <v>920.50450094770531</v>
      </c>
      <c r="AN161" s="11">
        <f t="shared" si="280"/>
        <v>915.92089896212713</v>
      </c>
      <c r="AO161" s="11">
        <f t="shared" si="280"/>
        <v>911.17057225130759</v>
      </c>
      <c r="AP161" s="11">
        <f t="shared" si="280"/>
        <v>906.25418008966096</v>
      </c>
      <c r="AQ161" s="11">
        <f t="shared" si="280"/>
        <v>901.16545160381031</v>
      </c>
      <c r="AR161" s="11">
        <f t="shared" si="280"/>
        <v>895.89259863043594</v>
      </c>
      <c r="AS161" s="11">
        <f t="shared" si="280"/>
        <v>890.42147652631047</v>
      </c>
      <c r="AT161" s="11">
        <f t="shared" si="280"/>
        <v>884.74134903570359</v>
      </c>
      <c r="AU161" s="11">
        <f t="shared" si="280"/>
        <v>878.84912513277027</v>
      </c>
      <c r="AV161" s="11">
        <f t="shared" si="280"/>
        <v>872.750416612648</v>
      </c>
      <c r="AW161" s="11">
        <f t="shared" si="280"/>
        <v>866.45767215472983</v>
      </c>
      <c r="AX161" s="11">
        <f t="shared" si="280"/>
        <v>859.98705910267086</v>
      </c>
      <c r="AY161" s="11">
        <f t="shared" si="280"/>
        <v>853.35660850886188</v>
      </c>
      <c r="AZ161" s="11">
        <f t="shared" si="280"/>
        <v>846.58531853099794</v>
      </c>
      <c r="BA161" s="11">
        <f t="shared" si="280"/>
        <v>839.69117145553844</v>
      </c>
      <c r="BB161" s="11">
        <f t="shared" si="280"/>
        <v>832.69013905357644</v>
      </c>
      <c r="BC161" s="11">
        <f t="shared" si="280"/>
        <v>825.59395913379058</v>
      </c>
      <c r="BD161" s="11">
        <f t="shared" si="280"/>
        <v>818.40986042445388</v>
      </c>
      <c r="BE161" s="11">
        <f t="shared" si="280"/>
        <v>811.1401746923035</v>
      </c>
      <c r="BF161" s="11">
        <f t="shared" si="280"/>
        <v>803.78344808165241</v>
      </c>
      <c r="BG161" s="11">
        <f t="shared" si="280"/>
        <v>796.33587954916754</v>
      </c>
      <c r="BH161" s="11">
        <f t="shared" si="280"/>
        <v>788.79333351289904</v>
      </c>
      <c r="BI161" s="11">
        <f t="shared" si="280"/>
        <v>781.15385282597094</v>
      </c>
    </row>
    <row r="162" spans="1:61" x14ac:dyDescent="0.3">
      <c r="A162" s="3">
        <f t="shared" si="272"/>
        <v>651.96266559600429</v>
      </c>
      <c r="B162">
        <v>5</v>
      </c>
      <c r="C162" s="11" t="s">
        <v>190</v>
      </c>
      <c r="D162" s="11">
        <f t="shared" si="279"/>
        <v>909.44999999999993</v>
      </c>
      <c r="E162" s="11">
        <f t="shared" ref="E162:S162" si="281">E140</f>
        <v>920.61999999999989</v>
      </c>
      <c r="F162" s="11">
        <f t="shared" si="281"/>
        <v>921.37</v>
      </c>
      <c r="G162" s="11">
        <f t="shared" si="281"/>
        <v>923.86</v>
      </c>
      <c r="H162" s="11">
        <f t="shared" si="281"/>
        <v>920.79</v>
      </c>
      <c r="I162" s="11">
        <f t="shared" si="281"/>
        <v>930.03</v>
      </c>
      <c r="J162" s="11">
        <f t="shared" si="281"/>
        <v>918.53000000000009</v>
      </c>
      <c r="K162" s="11">
        <f t="shared" si="281"/>
        <v>1001.11</v>
      </c>
      <c r="L162" s="11">
        <f t="shared" si="281"/>
        <v>943.33999999999992</v>
      </c>
      <c r="M162" s="11">
        <f t="shared" si="281"/>
        <v>964.61000000000013</v>
      </c>
      <c r="N162" s="11">
        <f t="shared" si="281"/>
        <v>950.72</v>
      </c>
      <c r="O162" s="11">
        <f t="shared" si="281"/>
        <v>949.78210501109811</v>
      </c>
      <c r="P162" s="11">
        <f t="shared" si="281"/>
        <v>948.44716404161034</v>
      </c>
      <c r="Q162" s="11">
        <f t="shared" si="281"/>
        <v>946.67590651237106</v>
      </c>
      <c r="R162" s="11">
        <f t="shared" si="281"/>
        <v>944.46476163164562</v>
      </c>
      <c r="S162" s="11">
        <f t="shared" si="281"/>
        <v>941.8326345709753</v>
      </c>
      <c r="T162" s="11">
        <f t="shared" ref="T162:BI162" si="282">T140</f>
        <v>938.81707832187283</v>
      </c>
      <c r="U162" s="11">
        <f t="shared" si="282"/>
        <v>935.46079434592366</v>
      </c>
      <c r="V162" s="11">
        <f t="shared" si="282"/>
        <v>931.80514627391585</v>
      </c>
      <c r="W162" s="11">
        <f t="shared" si="282"/>
        <v>927.88663833933981</v>
      </c>
      <c r="X162" s="11">
        <f t="shared" si="282"/>
        <v>923.73854868964406</v>
      </c>
      <c r="Y162" s="11">
        <f t="shared" si="282"/>
        <v>919.38890134382382</v>
      </c>
      <c r="Z162" s="11">
        <f t="shared" si="282"/>
        <v>914.85582683724397</v>
      </c>
      <c r="AA162" s="11">
        <f t="shared" si="282"/>
        <v>910.14363784278567</v>
      </c>
      <c r="AB162" s="11">
        <f t="shared" si="282"/>
        <v>905.24205153407229</v>
      </c>
      <c r="AC162" s="11">
        <f t="shared" si="282"/>
        <v>900.12970429953293</v>
      </c>
      <c r="AD162" s="11">
        <f t="shared" si="282"/>
        <v>894.782107585483</v>
      </c>
      <c r="AE162" s="11">
        <f t="shared" si="282"/>
        <v>889.17903838431084</v>
      </c>
      <c r="AF162" s="11">
        <f t="shared" si="282"/>
        <v>883.31231381101713</v>
      </c>
      <c r="AG162" s="11">
        <f t="shared" si="282"/>
        <v>877.18670161863736</v>
      </c>
      <c r="AH162" s="11">
        <f t="shared" si="282"/>
        <v>870.81715071434473</v>
      </c>
      <c r="AI162" s="11">
        <f t="shared" si="282"/>
        <v>864.22454669000092</v>
      </c>
      <c r="AJ162" s="11">
        <f t="shared" si="282"/>
        <v>857.43316958971513</v>
      </c>
      <c r="AK162" s="11">
        <f t="shared" si="282"/>
        <v>850.46778997899412</v>
      </c>
      <c r="AL162" s="11">
        <f t="shared" si="282"/>
        <v>843.35310173499772</v>
      </c>
      <c r="AM162" s="11">
        <f t="shared" si="282"/>
        <v>836.1096366148281</v>
      </c>
      <c r="AN162" s="11">
        <f t="shared" si="282"/>
        <v>828.75235146653654</v>
      </c>
      <c r="AO162" s="11">
        <f t="shared" si="282"/>
        <v>821.28895553196276</v>
      </c>
      <c r="AP162" s="11">
        <f t="shared" si="282"/>
        <v>813.72154087958893</v>
      </c>
      <c r="AQ162" s="11">
        <f t="shared" si="282"/>
        <v>806.04597965896096</v>
      </c>
      <c r="AR162" s="11">
        <f t="shared" si="282"/>
        <v>798.25330213089308</v>
      </c>
      <c r="AS162" s="11">
        <f t="shared" si="282"/>
        <v>790.33259579998276</v>
      </c>
      <c r="AT162" s="11">
        <f t="shared" si="282"/>
        <v>782.27614131403857</v>
      </c>
      <c r="AU162" s="11">
        <f t="shared" si="282"/>
        <v>774.08308462836919</v>
      </c>
      <c r="AV162" s="11">
        <f t="shared" si="282"/>
        <v>765.76023438218499</v>
      </c>
      <c r="AW162" s="11">
        <f t="shared" si="282"/>
        <v>757.32028411344425</v>
      </c>
      <c r="AX162" s="11">
        <f t="shared" si="282"/>
        <v>748.77898338568957</v>
      </c>
      <c r="AY162" s="11">
        <f t="shared" si="282"/>
        <v>740.15346845300996</v>
      </c>
      <c r="AZ162" s="11">
        <f t="shared" si="282"/>
        <v>731.46145871741476</v>
      </c>
      <c r="BA162" s="11">
        <f t="shared" si="282"/>
        <v>722.71953633360761</v>
      </c>
      <c r="BB162" s="11">
        <f t="shared" si="282"/>
        <v>713.9423126832379</v>
      </c>
      <c r="BC162" s="11">
        <f t="shared" si="282"/>
        <v>705.14056475904772</v>
      </c>
      <c r="BD162" s="11">
        <f t="shared" si="282"/>
        <v>696.32107257495113</v>
      </c>
      <c r="BE162" s="11">
        <f t="shared" si="282"/>
        <v>687.48636557965551</v>
      </c>
      <c r="BF162" s="11">
        <f t="shared" si="282"/>
        <v>678.63574157736866</v>
      </c>
      <c r="BG162" s="11">
        <f t="shared" si="282"/>
        <v>669.76653821745356</v>
      </c>
      <c r="BH162" s="11">
        <f t="shared" si="282"/>
        <v>660.87585700229113</v>
      </c>
      <c r="BI162" s="11">
        <f t="shared" si="282"/>
        <v>651.96266559600429</v>
      </c>
    </row>
    <row r="163" spans="1:61" x14ac:dyDescent="0.3">
      <c r="A163" s="3">
        <f t="shared" si="272"/>
        <v>962.85907026654934</v>
      </c>
      <c r="C163" s="11" t="s">
        <v>191</v>
      </c>
      <c r="D163" s="11">
        <f t="shared" ref="D163:S164" si="283">D147</f>
        <v>909.44999999999993</v>
      </c>
      <c r="E163" s="11">
        <f t="shared" si="283"/>
        <v>920.61999999999989</v>
      </c>
      <c r="F163" s="11">
        <f t="shared" si="283"/>
        <v>921.37</v>
      </c>
      <c r="G163" s="11">
        <f t="shared" si="283"/>
        <v>923.86</v>
      </c>
      <c r="H163" s="11">
        <f t="shared" si="283"/>
        <v>920.79</v>
      </c>
      <c r="I163" s="11">
        <f t="shared" si="283"/>
        <v>930.03</v>
      </c>
      <c r="J163" s="11">
        <f t="shared" si="283"/>
        <v>918.53000000000009</v>
      </c>
      <c r="K163" s="11">
        <f t="shared" si="283"/>
        <v>1001.11</v>
      </c>
      <c r="L163" s="11">
        <f t="shared" si="283"/>
        <v>943.33999999999992</v>
      </c>
      <c r="M163" s="11">
        <f t="shared" si="283"/>
        <v>964.61000000000013</v>
      </c>
      <c r="N163" s="11">
        <f t="shared" si="283"/>
        <v>950.72</v>
      </c>
      <c r="O163" s="11">
        <f t="shared" si="283"/>
        <v>956.90878389299962</v>
      </c>
      <c r="P163" s="11">
        <f t="shared" si="283"/>
        <v>962.78716370184532</v>
      </c>
      <c r="Q163" s="11">
        <f t="shared" si="283"/>
        <v>968.30655871122667</v>
      </c>
      <c r="R163" s="11">
        <f t="shared" si="283"/>
        <v>973.45364266691399</v>
      </c>
      <c r="S163" s="11">
        <f t="shared" si="283"/>
        <v>978.23797601374895</v>
      </c>
      <c r="T163" s="11">
        <f t="shared" ref="T163:BI163" si="284">T147</f>
        <v>982.6888938028851</v>
      </c>
      <c r="U163" s="11">
        <f t="shared" si="284"/>
        <v>986.84204270612622</v>
      </c>
      <c r="V163" s="11">
        <f t="shared" si="284"/>
        <v>990.73273489517499</v>
      </c>
      <c r="W163" s="11">
        <f t="shared" si="284"/>
        <v>994.39216096742939</v>
      </c>
      <c r="X163" s="11">
        <f t="shared" si="284"/>
        <v>997.84898898254926</v>
      </c>
      <c r="Y163" s="11">
        <f t="shared" si="284"/>
        <v>1001.1270535604848</v>
      </c>
      <c r="Z163" s="11">
        <f t="shared" si="284"/>
        <v>1004.2400661805278</v>
      </c>
      <c r="AA163" s="11">
        <f t="shared" si="284"/>
        <v>1007.1868591976042</v>
      </c>
      <c r="AB163" s="11">
        <f t="shared" si="284"/>
        <v>1009.9499097057931</v>
      </c>
      <c r="AC163" s="11">
        <f t="shared" si="284"/>
        <v>1012.4986234081847</v>
      </c>
      <c r="AD163" s="11">
        <f t="shared" si="284"/>
        <v>1014.7978242010818</v>
      </c>
      <c r="AE163" s="11">
        <f t="shared" si="284"/>
        <v>1016.8160261460449</v>
      </c>
      <c r="AF163" s="11">
        <f t="shared" si="284"/>
        <v>1018.5345656820122</v>
      </c>
      <c r="AG163" s="11">
        <f t="shared" si="284"/>
        <v>1019.9492117107021</v>
      </c>
      <c r="AH163" s="11">
        <f t="shared" si="284"/>
        <v>1021.0675370496879</v>
      </c>
      <c r="AI163" s="11">
        <f t="shared" si="284"/>
        <v>1021.9044056104689</v>
      </c>
      <c r="AJ163" s="11">
        <f t="shared" si="284"/>
        <v>1022.4792531966892</v>
      </c>
      <c r="AK163" s="11">
        <f t="shared" si="284"/>
        <v>1022.8127896595936</v>
      </c>
      <c r="AL163" s="11">
        <f t="shared" si="284"/>
        <v>1022.9263626715393</v>
      </c>
      <c r="AM163" s="11">
        <f t="shared" si="284"/>
        <v>1022.8369831779822</v>
      </c>
      <c r="AN163" s="11">
        <f t="shared" si="284"/>
        <v>1022.555390485414</v>
      </c>
      <c r="AO163" s="11">
        <f t="shared" si="284"/>
        <v>1022.0836962671034</v>
      </c>
      <c r="AP163" s="11">
        <f t="shared" si="284"/>
        <v>1021.4170570789424</v>
      </c>
      <c r="AQ163" s="11">
        <f t="shared" si="284"/>
        <v>1020.5426133889399</v>
      </c>
      <c r="AR163" s="11">
        <f t="shared" si="284"/>
        <v>1019.4409094205623</v>
      </c>
      <c r="AS163" s="11">
        <f t="shared" si="284"/>
        <v>1018.0893545519324</v>
      </c>
      <c r="AT163" s="11">
        <f t="shared" si="284"/>
        <v>1016.4687791528653</v>
      </c>
      <c r="AU163" s="11">
        <f t="shared" si="284"/>
        <v>1014.5684185601606</v>
      </c>
      <c r="AV163" s="11">
        <f t="shared" si="284"/>
        <v>1012.3873540585266</v>
      </c>
      <c r="AW163" s="11">
        <f t="shared" si="284"/>
        <v>1009.9325863147269</v>
      </c>
      <c r="AX163" s="11">
        <f t="shared" si="284"/>
        <v>1007.2155832504801</v>
      </c>
      <c r="AY163" s="11">
        <f t="shared" si="284"/>
        <v>1004.2502115377528</v>
      </c>
      <c r="AZ163" s="11">
        <f t="shared" si="284"/>
        <v>1001.0517392248147</v>
      </c>
      <c r="BA163" s="11">
        <f t="shared" si="284"/>
        <v>997.63451710186314</v>
      </c>
      <c r="BB163" s="11">
        <f t="shared" si="284"/>
        <v>994.01077216161389</v>
      </c>
      <c r="BC163" s="11">
        <f t="shared" si="284"/>
        <v>990.18789294506666</v>
      </c>
      <c r="BD163" s="11">
        <f t="shared" si="284"/>
        <v>986.16798722127317</v>
      </c>
      <c r="BE163" s="11">
        <f t="shared" si="284"/>
        <v>981.94729449731005</v>
      </c>
      <c r="BF163" s="11">
        <f t="shared" si="284"/>
        <v>977.51741045268523</v>
      </c>
      <c r="BG163" s="11">
        <f t="shared" si="284"/>
        <v>972.86695079728656</v>
      </c>
      <c r="BH163" s="11">
        <f t="shared" si="284"/>
        <v>967.98397071208751</v>
      </c>
      <c r="BI163" s="11">
        <f t="shared" si="284"/>
        <v>962.85907026654934</v>
      </c>
    </row>
    <row r="164" spans="1:61" x14ac:dyDescent="0.3">
      <c r="A164" s="3">
        <f t="shared" si="272"/>
        <v>862.03418511638688</v>
      </c>
      <c r="B164">
        <v>2</v>
      </c>
      <c r="C164" s="11" t="s">
        <v>192</v>
      </c>
      <c r="D164" s="11">
        <f t="shared" si="283"/>
        <v>909.44999999999993</v>
      </c>
      <c r="E164" s="11">
        <f t="shared" ref="E164:S164" si="285">E148</f>
        <v>920.61999999999989</v>
      </c>
      <c r="F164" s="11">
        <f t="shared" si="285"/>
        <v>921.37</v>
      </c>
      <c r="G164" s="11">
        <f t="shared" si="285"/>
        <v>923.86</v>
      </c>
      <c r="H164" s="11">
        <f t="shared" si="285"/>
        <v>920.79</v>
      </c>
      <c r="I164" s="11">
        <f t="shared" si="285"/>
        <v>930.03</v>
      </c>
      <c r="J164" s="11">
        <f t="shared" si="285"/>
        <v>918.53000000000009</v>
      </c>
      <c r="K164" s="11">
        <f t="shared" si="285"/>
        <v>1001.11</v>
      </c>
      <c r="L164" s="11">
        <f t="shared" si="285"/>
        <v>943.33999999999992</v>
      </c>
      <c r="M164" s="11">
        <f t="shared" si="285"/>
        <v>964.61000000000013</v>
      </c>
      <c r="N164" s="11">
        <f t="shared" si="285"/>
        <v>950.72</v>
      </c>
      <c r="O164" s="11">
        <f t="shared" si="285"/>
        <v>954.65939529619197</v>
      </c>
      <c r="P164" s="11">
        <f t="shared" si="285"/>
        <v>958.26607018110474</v>
      </c>
      <c r="Q164" s="11">
        <f t="shared" si="285"/>
        <v>961.49405443531009</v>
      </c>
      <c r="R164" s="11">
        <f t="shared" si="285"/>
        <v>964.33274502222787</v>
      </c>
      <c r="S164" s="11">
        <f t="shared" si="285"/>
        <v>966.79426990537979</v>
      </c>
      <c r="T164" s="11">
        <f t="shared" ref="T164:BI164" si="286">T148</f>
        <v>968.91015305939572</v>
      </c>
      <c r="U164" s="11">
        <f t="shared" si="286"/>
        <v>970.71784286917887</v>
      </c>
      <c r="V164" s="11">
        <f t="shared" si="286"/>
        <v>972.25411864357113</v>
      </c>
      <c r="W164" s="11">
        <f t="shared" si="286"/>
        <v>973.5513887508863</v>
      </c>
      <c r="X164" s="11">
        <f t="shared" si="286"/>
        <v>974.6393018431221</v>
      </c>
      <c r="Y164" s="11">
        <f t="shared" si="286"/>
        <v>975.54252569096434</v>
      </c>
      <c r="Z164" s="11">
        <f t="shared" si="286"/>
        <v>976.27566171641013</v>
      </c>
      <c r="AA164" s="11">
        <f t="shared" si="286"/>
        <v>976.83874929206092</v>
      </c>
      <c r="AB164" s="11">
        <f t="shared" si="286"/>
        <v>977.21600781899269</v>
      </c>
      <c r="AC164" s="11">
        <f t="shared" si="286"/>
        <v>977.37919265096684</v>
      </c>
      <c r="AD164" s="11">
        <f t="shared" si="286"/>
        <v>977.29591833458619</v>
      </c>
      <c r="AE164" s="11">
        <f t="shared" si="286"/>
        <v>976.93765641730079</v>
      </c>
      <c r="AF164" s="11">
        <f t="shared" si="286"/>
        <v>976.28844536380495</v>
      </c>
      <c r="AG164" s="11">
        <f t="shared" si="286"/>
        <v>975.34628413570135</v>
      </c>
      <c r="AH164" s="11">
        <f t="shared" si="286"/>
        <v>974.12046133519982</v>
      </c>
      <c r="AI164" s="11">
        <f t="shared" si="286"/>
        <v>972.62712745264275</v>
      </c>
      <c r="AJ164" s="11">
        <f t="shared" si="286"/>
        <v>970.88663174539545</v>
      </c>
      <c r="AK164" s="11">
        <f t="shared" si="286"/>
        <v>968.92034795278823</v>
      </c>
      <c r="AL164" s="11">
        <f t="shared" si="286"/>
        <v>966.75005987870463</v>
      </c>
      <c r="AM164" s="11">
        <f t="shared" si="286"/>
        <v>964.39326511502054</v>
      </c>
      <c r="AN164" s="11">
        <f t="shared" si="286"/>
        <v>961.86140418007608</v>
      </c>
      <c r="AO164" s="11">
        <f t="shared" si="286"/>
        <v>959.15771982555907</v>
      </c>
      <c r="AP164" s="11">
        <f t="shared" si="286"/>
        <v>956.27891863617504</v>
      </c>
      <c r="AQ164" s="11">
        <f t="shared" si="286"/>
        <v>953.21425672075873</v>
      </c>
      <c r="AR164" s="11">
        <f t="shared" si="286"/>
        <v>949.94695053987402</v>
      </c>
      <c r="AS164" s="11">
        <f t="shared" si="286"/>
        <v>946.45746636719321</v>
      </c>
      <c r="AT164" s="11">
        <f t="shared" si="286"/>
        <v>942.72963381309023</v>
      </c>
      <c r="AU164" s="11">
        <f t="shared" si="286"/>
        <v>938.75521894988628</v>
      </c>
      <c r="AV164" s="11">
        <f t="shared" si="286"/>
        <v>934.53516212421607</v>
      </c>
      <c r="AW164" s="11">
        <f t="shared" si="286"/>
        <v>930.0776963812051</v>
      </c>
      <c r="AX164" s="11">
        <f t="shared" si="286"/>
        <v>925.39509003511557</v>
      </c>
      <c r="AY164" s="11">
        <f t="shared" si="286"/>
        <v>920.50170281499277</v>
      </c>
      <c r="AZ164" s="11">
        <f t="shared" si="286"/>
        <v>915.41304858702176</v>
      </c>
      <c r="BA164" s="11">
        <f t="shared" si="286"/>
        <v>910.14366573177779</v>
      </c>
      <c r="BB164" s="11">
        <f t="shared" si="286"/>
        <v>904.7060296397957</v>
      </c>
      <c r="BC164" s="11">
        <f t="shared" si="286"/>
        <v>899.1081112274004</v>
      </c>
      <c r="BD164" s="11">
        <f t="shared" si="286"/>
        <v>893.3530285240073</v>
      </c>
      <c r="BE164" s="11">
        <f t="shared" si="286"/>
        <v>887.43857234591474</v>
      </c>
      <c r="BF164" s="11">
        <f t="shared" si="286"/>
        <v>881.35837274450421</v>
      </c>
      <c r="BG164" s="11">
        <f t="shared" si="286"/>
        <v>875.10344470938242</v>
      </c>
      <c r="BH164" s="11">
        <f t="shared" si="286"/>
        <v>868.66439047280926</v>
      </c>
      <c r="BI164" s="11">
        <f t="shared" si="286"/>
        <v>862.03418511638688</v>
      </c>
    </row>
    <row r="165" spans="1:61" x14ac:dyDescent="0.3">
      <c r="A165" s="3">
        <f t="shared" si="272"/>
        <v>1048.6927873963446</v>
      </c>
      <c r="B165">
        <f>SUM(B155:B164)</f>
        <v>14</v>
      </c>
      <c r="C165" s="11" t="s">
        <v>193</v>
      </c>
      <c r="D165" s="11">
        <f>(D155*$B155/$B165)+(D156*$B156/$B165)+(D157*$B157/$B165)+(D158*$B158/$B165)+(D159*$B159/$B165)+(D160*$B160/$B165)+(D161*$B161/$B165)+(D162*$B162/$B165)+(D163*$B163/$B165)+(D164*$B164/$B165)</f>
        <v>909.45</v>
      </c>
      <c r="E165" s="11">
        <f t="shared" ref="E165:F165" si="287">(E155*$B155/$B165)+(E156*$B156/$B165)+(E157*$B157/$B165)+(E158*$B158/$B165)+(E159*$B159/$B165)+(E160*$B160/$B165)+(E161*$B161/$B165)+(E162*$B162/$B165)+(E163*$B163/$B165)+(E164*$B164/$B165)</f>
        <v>920.61999999999989</v>
      </c>
      <c r="F165" s="11">
        <f t="shared" si="287"/>
        <v>921.37</v>
      </c>
      <c r="G165" s="11">
        <f t="shared" ref="G165" si="288">(G155*$B155/$B165)+(G156*$B156/$B165)+(G157*$B157/$B165)+(G158*$B158/$B165)+(G159*$B159/$B165)+(G160*$B160/$B165)+(G161*$B161/$B165)+(G162*$B162/$B165)+(G163*$B163/$B165)+(G164*$B164/$B165)</f>
        <v>923.8599999999999</v>
      </c>
      <c r="H165" s="11">
        <f t="shared" ref="H165" si="289">(H155*$B155/$B165)+(H156*$B156/$B165)+(H157*$B157/$B165)+(H158*$B158/$B165)+(H159*$B159/$B165)+(H160*$B160/$B165)+(H161*$B161/$B165)+(H162*$B162/$B165)+(H163*$B163/$B165)+(H164*$B164/$B165)</f>
        <v>920.79</v>
      </c>
      <c r="I165" s="11">
        <f t="shared" ref="I165" si="290">(I155*$B155/$B165)+(I156*$B156/$B165)+(I157*$B157/$B165)+(I158*$B158/$B165)+(I159*$B159/$B165)+(I160*$B160/$B165)+(I161*$B161/$B165)+(I162*$B162/$B165)+(I163*$B163/$B165)+(I164*$B164/$B165)</f>
        <v>930.03</v>
      </c>
      <c r="J165" s="11">
        <f t="shared" ref="J165" si="291">(J155*$B155/$B165)+(J156*$B156/$B165)+(J157*$B157/$B165)+(J158*$B158/$B165)+(J159*$B159/$B165)+(J160*$B160/$B165)+(J161*$B161/$B165)+(J162*$B162/$B165)+(J163*$B163/$B165)+(J164*$B164/$B165)</f>
        <v>918.53000000000009</v>
      </c>
      <c r="K165" s="11">
        <f t="shared" ref="K165" si="292">(K155*$B155/$B165)+(K156*$B156/$B165)+(K157*$B157/$B165)+(K158*$B158/$B165)+(K159*$B159/$B165)+(K160*$B160/$B165)+(K161*$B161/$B165)+(K162*$B162/$B165)+(K163*$B163/$B165)+(K164*$B164/$B165)</f>
        <v>1001.1099999999999</v>
      </c>
      <c r="L165" s="11">
        <f t="shared" ref="L165" si="293">(L155*$B155/$B165)+(L156*$B156/$B165)+(L157*$B157/$B165)+(L158*$B158/$B165)+(L159*$B159/$B165)+(L160*$B160/$B165)+(L161*$B161/$B165)+(L162*$B162/$B165)+(L163*$B163/$B165)+(L164*$B164/$B165)</f>
        <v>943.33999999999992</v>
      </c>
      <c r="M165" s="11">
        <f t="shared" ref="M165" si="294">(M155*$B155/$B165)+(M156*$B156/$B165)+(M157*$B157/$B165)+(M158*$B158/$B165)+(M159*$B159/$B165)+(M160*$B160/$B165)+(M161*$B161/$B165)+(M162*$B162/$B165)+(M163*$B163/$B165)+(M164*$B164/$B165)</f>
        <v>964.61000000000013</v>
      </c>
      <c r="N165" s="11">
        <f t="shared" ref="N165" si="295">(N155*$B155/$B165)+(N156*$B156/$B165)+(N157*$B157/$B165)+(N158*$B158/$B165)+(N159*$B159/$B165)+(N160*$B160/$B165)+(N161*$B161/$B165)+(N162*$B162/$B165)+(N163*$B163/$B165)+(N164*$B164/$B165)</f>
        <v>950.72</v>
      </c>
      <c r="O165" s="11">
        <f t="shared" ref="O165" si="296">(O155*$B155/$B165)+(O156*$B156/$B165)+(O157*$B157/$B165)+(O158*$B158/$B165)+(O159*$B159/$B165)+(O160*$B160/$B165)+(O161*$B161/$B165)+(O162*$B162/$B165)+(O163*$B163/$B165)+(O164*$B164/$B165)</f>
        <v>951.69240988163858</v>
      </c>
      <c r="P165" s="11">
        <f t="shared" ref="P165" si="297">(P155*$B155/$B165)+(P156*$B156/$B165)+(P157*$B157/$B165)+(P158*$B158/$B165)+(P159*$B159/$B165)+(P160*$B160/$B165)+(P161*$B161/$B165)+(P162*$B162/$B165)+(P163*$B163/$B165)+(P164*$B164/$B165)</f>
        <v>953.55888879940619</v>
      </c>
      <c r="Q165" s="11">
        <f t="shared" ref="Q165" si="298">(Q155*$B155/$B165)+(Q156*$B156/$B165)+(Q157*$B157/$B165)+(Q158*$B158/$B165)+(Q159*$B159/$B165)+(Q160*$B160/$B165)+(Q161*$B161/$B165)+(Q162*$B162/$B165)+(Q163*$B163/$B165)+(Q164*$B164/$B165)</f>
        <v>955.29727484520345</v>
      </c>
      <c r="R165" s="11">
        <f t="shared" ref="R165" si="299">(R155*$B155/$B165)+(R156*$B156/$B165)+(R157*$B157/$B165)+(R158*$B158/$B165)+(R159*$B159/$B165)+(R160*$B160/$B165)+(R161*$B161/$B165)+(R162*$B162/$B165)+(R163*$B163/$B165)+(R164*$B164/$B165)</f>
        <v>956.9068521272095</v>
      </c>
      <c r="S165" s="11">
        <f t="shared" ref="S165" si="300">(S155*$B155/$B165)+(S156*$B156/$B165)+(S157*$B157/$B165)+(S158*$B158/$B165)+(S159*$B159/$B165)+(S160*$B160/$B165)+(S161*$B161/$B165)+(S162*$B162/$B165)+(S163*$B163/$B165)+(S164*$B164/$B165)</f>
        <v>958.3982536727932</v>
      </c>
      <c r="T165" s="11">
        <f t="shared" ref="T165" si="301">(T155*$B155/$B165)+(T156*$B156/$B165)+(T157*$B157/$B165)+(T158*$B158/$B165)+(T159*$B159/$B165)+(T160*$B160/$B165)+(T161*$B161/$B165)+(T162*$B162/$B165)+(T163*$B163/$B165)+(T164*$B164/$B165)</f>
        <v>959.79162017972988</v>
      </c>
      <c r="U165" s="11">
        <f t="shared" ref="U165" si="302">(U155*$B155/$B165)+(U156*$B156/$B165)+(U157*$B157/$B165)+(U158*$B158/$B165)+(U159*$B159/$B165)+(U160*$B160/$B165)+(U161*$B161/$B165)+(U162*$B162/$B165)+(U163*$B163/$B165)+(U164*$B164/$B165)</f>
        <v>961.10985675766892</v>
      </c>
      <c r="V165" s="11">
        <f t="shared" ref="V165" si="303">(V155*$B155/$B165)+(V156*$B156/$B165)+(V157*$B157/$B165)+(V158*$B158/$B165)+(V159*$B159/$B165)+(V160*$B160/$B165)+(V161*$B161/$B165)+(V162*$B162/$B165)+(V163*$B163/$B165)+(V164*$B164/$B165)</f>
        <v>962.37537700038979</v>
      </c>
      <c r="W165" s="11">
        <f t="shared" ref="W165" si="304">(W155*$B155/$B165)+(W156*$B156/$B165)+(W157*$B157/$B165)+(W158*$B158/$B165)+(W159*$B159/$B165)+(W160*$B160/$B165)+(W161*$B161/$B165)+(W162*$B162/$B165)+(W163*$B163/$B165)+(W164*$B164/$B165)</f>
        <v>963.60831906595274</v>
      </c>
      <c r="X165" s="11">
        <f t="shared" ref="X165" si="305">(X155*$B155/$B165)+(X156*$B156/$B165)+(X157*$B157/$B165)+(X158*$B158/$B165)+(X159*$B159/$B165)+(X160*$B160/$B165)+(X161*$B161/$B165)+(X162*$B162/$B165)+(X163*$B163/$B165)+(X164*$B164/$B165)</f>
        <v>964.82736188544413</v>
      </c>
      <c r="Y165" s="11">
        <f t="shared" ref="Y165" si="306">(Y155*$B155/$B165)+(Y156*$B156/$B165)+(Y157*$B157/$B165)+(Y158*$B158/$B165)+(Y159*$B159/$B165)+(Y160*$B160/$B165)+(Y161*$B161/$B165)+(Y162*$B162/$B165)+(Y163*$B163/$B165)+(Y164*$B164/$B165)</f>
        <v>966.04868635229252</v>
      </c>
      <c r="Z165" s="11">
        <f t="shared" ref="Z165" si="307">(Z155*$B155/$B165)+(Z156*$B156/$B165)+(Z157*$B157/$B165)+(Z158*$B158/$B165)+(Z159*$B159/$B165)+(Z160*$B160/$B165)+(Z161*$B161/$B165)+(Z162*$B162/$B165)+(Z163*$B163/$B165)+(Z164*$B164/$B165)</f>
        <v>967.28359480787901</v>
      </c>
      <c r="AA165" s="11">
        <f t="shared" ref="AA165" si="308">(AA155*$B155/$B165)+(AA156*$B156/$B165)+(AA157*$B157/$B165)+(AA158*$B158/$B165)+(AA159*$B159/$B165)+(AA160*$B160/$B165)+(AA161*$B161/$B165)+(AA162*$B162/$B165)+(AA163*$B163/$B165)+(AA164*$B164/$B165)</f>
        <v>968.53647022535802</v>
      </c>
      <c r="AB165" s="11">
        <f t="shared" ref="AB165" si="309">(AB155*$B155/$B165)+(AB156*$B156/$B165)+(AB157*$B157/$B165)+(AB158*$B158/$B165)+(AB159*$B159/$B165)+(AB160*$B160/$B165)+(AB161*$B161/$B165)+(AB162*$B162/$B165)+(AB163*$B163/$B165)+(AB164*$B164/$B165)</f>
        <v>969.80432187007023</v>
      </c>
      <c r="AC165" s="11">
        <f t="shared" ref="AC165" si="310">(AC155*$B155/$B165)+(AC156*$B156/$B165)+(AC157*$B157/$B165)+(AC158*$B158/$B165)+(AC159*$B159/$B165)+(AC160*$B160/$B165)+(AC161*$B161/$B165)+(AC162*$B162/$B165)+(AC163*$B163/$B165)+(AC164*$B164/$B165)</f>
        <v>971.07852316694789</v>
      </c>
      <c r="AD165" s="11">
        <f t="shared" ref="AD165" si="311">(AD155*$B155/$B165)+(AD156*$B156/$B165)+(AD157*$B157/$B165)+(AD158*$B158/$B165)+(AD159*$B159/$B165)+(AD160*$B160/$B165)+(AD161*$B161/$B165)+(AD162*$B162/$B165)+(AD163*$B163/$B165)+(AD164*$B164/$B165)</f>
        <v>972.34884540904568</v>
      </c>
      <c r="AE165" s="11">
        <f t="shared" ref="AE165" si="312">(AE155*$B155/$B165)+(AE156*$B156/$B165)+(AE157*$B157/$B165)+(AE158*$B158/$B165)+(AE159*$B159/$B165)+(AE160*$B160/$B165)+(AE161*$B161/$B165)+(AE162*$B162/$B165)+(AE163*$B163/$B165)+(AE164*$B164/$B165)</f>
        <v>973.60724317388235</v>
      </c>
      <c r="AF165" s="11">
        <f t="shared" ref="AF165" si="313">(AF155*$B155/$B165)+(AF156*$B156/$B165)+(AF157*$B157/$B165)+(AF158*$B158/$B165)+(AF159*$B159/$B165)+(AF160*$B160/$B165)+(AF161*$B161/$B165)+(AF162*$B162/$B165)+(AF163*$B163/$B165)+(AF164*$B164/$B165)</f>
        <v>974.85187875819247</v>
      </c>
      <c r="AG165" s="11">
        <f t="shared" ref="AG165" si="314">(AG155*$B155/$B165)+(AG156*$B156/$B165)+(AG157*$B157/$B165)+(AG158*$B158/$B165)+(AG159*$B159/$B165)+(AG160*$B160/$B165)+(AG161*$B161/$B165)+(AG162*$B162/$B165)+(AG163*$B163/$B165)+(AG164*$B164/$B165)</f>
        <v>976.08765008930675</v>
      </c>
      <c r="AH165" s="11">
        <f t="shared" ref="AH165" si="315">(AH155*$B155/$B165)+(AH156*$B156/$B165)+(AH157*$B157/$B165)+(AH158*$B158/$B165)+(AH159*$B159/$B165)+(AH160*$B160/$B165)+(AH161*$B161/$B165)+(AH162*$B162/$B165)+(AH163*$B163/$B165)+(AH164*$B164/$B165)</f>
        <v>977.32482383923082</v>
      </c>
      <c r="AI165" s="11">
        <f t="shared" ref="AI165" si="316">(AI155*$B155/$B165)+(AI156*$B156/$B165)+(AI157*$B157/$B165)+(AI158*$B158/$B165)+(AI159*$B159/$B165)+(AI160*$B160/$B165)+(AI161*$B161/$B165)+(AI162*$B162/$B165)+(AI163*$B163/$B165)+(AI164*$B164/$B165)</f>
        <v>978.57689089890221</v>
      </c>
      <c r="AJ165" s="11">
        <f t="shared" ref="AJ165" si="317">(AJ155*$B155/$B165)+(AJ156*$B156/$B165)+(AJ157*$B157/$B165)+(AJ158*$B158/$B165)+(AJ159*$B159/$B165)+(AJ160*$B160/$B165)+(AJ161*$B161/$B165)+(AJ162*$B162/$B165)+(AJ163*$B163/$B165)+(AJ164*$B164/$B165)</f>
        <v>979.85928201448246</v>
      </c>
      <c r="AK165" s="11">
        <f t="shared" ref="AK165" si="318">(AK155*$B155/$B165)+(AK156*$B156/$B165)+(AK157*$B157/$B165)+(AK158*$B158/$B165)+(AK159*$B159/$B165)+(AK160*$B160/$B165)+(AK161*$B161/$B165)+(AK162*$B162/$B165)+(AK163*$B163/$B165)+(AK164*$B164/$B165)</f>
        <v>981.18788135656337</v>
      </c>
      <c r="AL165" s="11">
        <f t="shared" ref="AL165" si="319">(AL155*$B155/$B165)+(AL156*$B156/$B165)+(AL157*$B157/$B165)+(AL158*$B158/$B165)+(AL159*$B159/$B165)+(AL160*$B160/$B165)+(AL161*$B161/$B165)+(AL162*$B162/$B165)+(AL163*$B163/$B165)+(AL164*$B164/$B165)</f>
        <v>982.57874046678023</v>
      </c>
      <c r="AM165" s="11">
        <f t="shared" ref="AM165" si="320">(AM155*$B155/$B165)+(AM156*$B156/$B165)+(AM157*$B157/$B165)+(AM158*$B158/$B165)+(AM159*$B159/$B165)+(AM160*$B160/$B165)+(AM161*$B161/$B165)+(AM162*$B162/$B165)+(AM163*$B163/$B165)+(AM164*$B164/$B165)</f>
        <v>984.04595271719631</v>
      </c>
      <c r="AN165" s="11">
        <f t="shared" ref="AN165" si="321">(AN155*$B155/$B165)+(AN156*$B156/$B165)+(AN157*$B157/$B165)+(AN158*$B158/$B165)+(AN159*$B159/$B165)+(AN160*$B160/$B165)+(AN161*$B161/$B165)+(AN162*$B162/$B165)+(AN163*$B163/$B165)+(AN164*$B164/$B165)</f>
        <v>985.60090034946279</v>
      </c>
      <c r="AO165" s="11">
        <f t="shared" ref="AO165" si="322">(AO155*$B155/$B165)+(AO156*$B156/$B165)+(AO157*$B157/$B165)+(AO158*$B158/$B165)+(AO159*$B159/$B165)+(AO160*$B160/$B165)+(AO161*$B161/$B165)+(AO162*$B162/$B165)+(AO163*$B163/$B165)+(AO164*$B164/$B165)</f>
        <v>987.25135600952296</v>
      </c>
      <c r="AP165" s="11">
        <f t="shared" ref="AP165" si="323">(AP155*$B155/$B165)+(AP156*$B156/$B165)+(AP157*$B157/$B165)+(AP158*$B158/$B165)+(AP159*$B159/$B165)+(AP160*$B160/$B165)+(AP161*$B161/$B165)+(AP162*$B162/$B165)+(AP163*$B163/$B165)+(AP164*$B164/$B165)</f>
        <v>989.00230731431793</v>
      </c>
      <c r="AQ165" s="11">
        <f t="shared" ref="AQ165" si="324">(AQ155*$B155/$B165)+(AQ156*$B156/$B165)+(AQ157*$B157/$B165)+(AQ158*$B158/$B165)+(AQ159*$B159/$B165)+(AQ160*$B160/$B165)+(AQ161*$B161/$B165)+(AQ162*$B162/$B165)+(AQ163*$B163/$B165)+(AQ164*$B164/$B165)</f>
        <v>990.85561603107089</v>
      </c>
      <c r="AR165" s="11">
        <f t="shared" ref="AR165" si="325">(AR155*$B155/$B165)+(AR156*$B156/$B165)+(AR157*$B157/$B165)+(AR158*$B158/$B165)+(AR159*$B159/$B165)+(AR160*$B160/$B165)+(AR161*$B161/$B165)+(AR162*$B162/$B165)+(AR163*$B163/$B165)+(AR164*$B164/$B165)</f>
        <v>992.81071700748885</v>
      </c>
      <c r="AS165" s="11">
        <f t="shared" ref="AS165" si="326">(AS155*$B155/$B165)+(AS156*$B156/$B165)+(AS157*$B157/$B165)+(AS158*$B158/$B165)+(AS159*$B159/$B165)+(AS160*$B160/$B165)+(AS161*$B161/$B165)+(AS162*$B162/$B165)+(AS163*$B163/$B165)+(AS164*$B164/$B165)</f>
        <v>994.86612890324818</v>
      </c>
      <c r="AT165" s="11">
        <f t="shared" ref="AT165" si="327">(AT155*$B155/$B165)+(AT156*$B156/$B165)+(AT157*$B157/$B165)+(AT158*$B158/$B165)+(AT159*$B159/$B165)+(AT160*$B160/$B165)+(AT161*$B161/$B165)+(AT162*$B162/$B165)+(AT163*$B163/$B165)+(AT164*$B164/$B165)</f>
        <v>997.02216738422862</v>
      </c>
      <c r="AU165" s="11">
        <f t="shared" ref="AU165" si="328">(AU155*$B155/$B165)+(AU156*$B156/$B165)+(AU157*$B157/$B165)+(AU158*$B158/$B165)+(AU159*$B159/$B165)+(AU160*$B160/$B165)+(AU161*$B161/$B165)+(AU162*$B162/$B165)+(AU163*$B163/$B165)+(AU164*$B164/$B165)</f>
        <v>999.28291568320049</v>
      </c>
      <c r="AV165" s="11">
        <f t="shared" ref="AV165" si="329">(AV155*$B155/$B165)+(AV156*$B156/$B165)+(AV157*$B157/$B165)+(AV158*$B158/$B165)+(AV159*$B159/$B165)+(AV160*$B160/$B165)+(AV161*$B161/$B165)+(AV162*$B162/$B165)+(AV163*$B163/$B165)+(AV164*$B164/$B165)</f>
        <v>1001.6566921693362</v>
      </c>
      <c r="AW165" s="11">
        <f t="shared" ref="AW165" si="330">(AW155*$B155/$B165)+(AW156*$B156/$B165)+(AW157*$B157/$B165)+(AW158*$B158/$B165)+(AW159*$B159/$B165)+(AW160*$B160/$B165)+(AW161*$B161/$B165)+(AW162*$B162/$B165)+(AW163*$B163/$B165)+(AW164*$B164/$B165)</f>
        <v>1004.1551527886822</v>
      </c>
      <c r="AX165" s="11">
        <f t="shared" ref="AX165" si="331">(AX155*$B155/$B165)+(AX156*$B156/$B165)+(AX157*$B157/$B165)+(AX158*$B158/$B165)+(AX159*$B159/$B165)+(AX160*$B160/$B165)+(AX161*$B161/$B165)+(AX162*$B162/$B165)+(AX163*$B163/$B165)+(AX164*$B164/$B165)</f>
        <v>1006.7918217705135</v>
      </c>
      <c r="AY165" s="11">
        <f t="shared" ref="AY165" si="332">(AY155*$B155/$B165)+(AY156*$B156/$B165)+(AY157*$B157/$B165)+(AY158*$B158/$B165)+(AY159*$B159/$B165)+(AY160*$B160/$B165)+(AY161*$B161/$B165)+(AY162*$B162/$B165)+(AY163*$B163/$B165)+(AY164*$B164/$B165)</f>
        <v>1009.5812243197483</v>
      </c>
      <c r="AZ165" s="11">
        <f t="shared" ref="AZ165" si="333">(AZ155*$B155/$B165)+(AZ156*$B156/$B165)+(AZ157*$B157/$B165)+(AZ158*$B158/$B165)+(AZ159*$B159/$B165)+(AZ160*$B160/$B165)+(AZ161*$B161/$B165)+(AZ162*$B162/$B165)+(AZ163*$B163/$B165)+(AZ164*$B164/$B165)</f>
        <v>1012.5384725363521</v>
      </c>
      <c r="BA165" s="11">
        <f t="shared" ref="BA165" si="334">(BA155*$B155/$B165)+(BA156*$B156/$B165)+(BA157*$B157/$B165)+(BA158*$B158/$B165)+(BA159*$B159/$B165)+(BA160*$B160/$B165)+(BA161*$B161/$B165)+(BA162*$B162/$B165)+(BA163*$B163/$B165)+(BA164*$B164/$B165)</f>
        <v>1015.6783537783338</v>
      </c>
      <c r="BB165" s="11">
        <f t="shared" ref="BB165" si="335">(BB155*$B155/$B165)+(BB156*$B156/$B165)+(BB157*$B157/$B165)+(BB158*$B158/$B165)+(BB159*$B159/$B165)+(BB160*$B160/$B165)+(BB161*$B161/$B165)+(BB162*$B162/$B165)+(BB163*$B163/$B165)+(BB164*$B164/$B165)</f>
        <v>1019.0148848713278</v>
      </c>
      <c r="BC165" s="11">
        <f t="shared" ref="BC165" si="336">(BC155*$B155/$B165)+(BC156*$B156/$B165)+(BC157*$B157/$B165)+(BC158*$B158/$B165)+(BC159*$B159/$B165)+(BC160*$B160/$B165)+(BC161*$B161/$B165)+(BC162*$B162/$B165)+(BC163*$B163/$B165)+(BC164*$B164/$B165)</f>
        <v>1022.5603052443378</v>
      </c>
      <c r="BD165" s="11">
        <f t="shared" ref="BD165" si="337">(BD155*$B155/$B165)+(BD156*$B156/$B165)+(BD157*$B157/$B165)+(BD158*$B158/$B165)+(BD159*$B159/$B165)+(BD160*$B160/$B165)+(BD161*$B161/$B165)+(BD162*$B162/$B165)+(BD163*$B163/$B165)+(BD164*$B164/$B165)</f>
        <v>1026.3249768340879</v>
      </c>
      <c r="BE165" s="11">
        <f t="shared" ref="BE165" si="338">(BE155*$B155/$B165)+(BE156*$B156/$B165)+(BE157*$B157/$B165)+(BE158*$B158/$B165)+(BE159*$B159/$B165)+(BE160*$B160/$B165)+(BE161*$B161/$B165)+(BE162*$B162/$B165)+(BE163*$B163/$B165)+(BE164*$B164/$B165)</f>
        <v>1030.317233760373</v>
      </c>
      <c r="BF165" s="11">
        <f t="shared" ref="BF165" si="339">(BF155*$B155/$B165)+(BF156*$B156/$B165)+(BF157*$B157/$B165)+(BF158*$B158/$B165)+(BF159*$B159/$B165)+(BF160*$B160/$B165)+(BF161*$B161/$B165)+(BF162*$B162/$B165)+(BF163*$B163/$B165)+(BF164*$B164/$B165)</f>
        <v>1034.5439211304624</v>
      </c>
      <c r="BG165" s="11">
        <f t="shared" ref="BG165" si="340">(BG155*$B155/$B165)+(BG156*$B156/$B165)+(BG157*$B157/$B165)+(BG158*$B158/$B165)+(BG159*$B159/$B165)+(BG160*$B160/$B165)+(BG161*$B161/$B165)+(BG162*$B162/$B165)+(BG163*$B163/$B165)+(BG164*$B164/$B165)</f>
        <v>1039.0110785006627</v>
      </c>
      <c r="BH165" s="11">
        <f t="shared" ref="BH165" si="341">(BH155*$B155/$B165)+(BH156*$B156/$B165)+(BH157*$B157/$B165)+(BH158*$B158/$B165)+(BH159*$B159/$B165)+(BH160*$B160/$B165)+(BH161*$B161/$B165)+(BH162*$B162/$B165)+(BH163*$B163/$B165)+(BH164*$B164/$B165)</f>
        <v>1043.7248790354893</v>
      </c>
      <c r="BI165" s="11">
        <f t="shared" ref="BI165" si="342">(BI155*$B155/$B165)+(BI156*$B156/$B165)+(BI157*$B157/$B165)+(BI158*$B158/$B165)+(BI159*$B159/$B165)+(BI160*$B160/$B165)+(BI161*$B161/$B165)+(BI162*$B162/$B165)+(BI163*$B163/$B165)+(BI164*$B164/$B165)</f>
        <v>1048.6927873963446</v>
      </c>
    </row>
    <row r="169" spans="1:61" s="7" customFormat="1" x14ac:dyDescent="0.3"/>
    <row r="171" spans="1:61" x14ac:dyDescent="0.3">
      <c r="D171">
        <v>2013</v>
      </c>
      <c r="E171">
        <v>2014</v>
      </c>
      <c r="F171">
        <v>2015</v>
      </c>
      <c r="G171">
        <v>2016</v>
      </c>
      <c r="H171">
        <v>2017</v>
      </c>
      <c r="I171">
        <v>2018</v>
      </c>
      <c r="J171">
        <v>2019</v>
      </c>
      <c r="K171">
        <v>2020</v>
      </c>
      <c r="L171">
        <v>2021</v>
      </c>
      <c r="M171">
        <v>2022</v>
      </c>
      <c r="N171">
        <v>2023</v>
      </c>
      <c r="O171">
        <v>2024</v>
      </c>
      <c r="P171">
        <v>2025</v>
      </c>
      <c r="Q171">
        <v>2026</v>
      </c>
      <c r="R171">
        <v>2027</v>
      </c>
      <c r="S171">
        <v>2028</v>
      </c>
      <c r="T171">
        <v>2029</v>
      </c>
      <c r="U171">
        <v>2030</v>
      </c>
      <c r="V171">
        <v>2031</v>
      </c>
      <c r="W171">
        <v>2032</v>
      </c>
      <c r="X171">
        <v>2033</v>
      </c>
      <c r="Y171">
        <v>2034</v>
      </c>
      <c r="Z171">
        <v>2035</v>
      </c>
      <c r="AA171">
        <v>2036</v>
      </c>
      <c r="AB171">
        <v>2037</v>
      </c>
      <c r="AC171">
        <v>2038</v>
      </c>
      <c r="AD171">
        <v>2039</v>
      </c>
      <c r="AE171">
        <v>2040</v>
      </c>
      <c r="AF171">
        <v>2041</v>
      </c>
      <c r="AG171">
        <v>2042</v>
      </c>
      <c r="AH171">
        <v>2043</v>
      </c>
      <c r="AI171">
        <v>2044</v>
      </c>
      <c r="AJ171">
        <v>2045</v>
      </c>
      <c r="AK171">
        <v>2046</v>
      </c>
      <c r="AL171">
        <v>2047</v>
      </c>
      <c r="AM171">
        <v>2048</v>
      </c>
      <c r="AN171">
        <v>2049</v>
      </c>
      <c r="AO171">
        <v>2050</v>
      </c>
      <c r="AP171">
        <v>2051</v>
      </c>
      <c r="AQ171">
        <v>2052</v>
      </c>
      <c r="AR171">
        <v>2053</v>
      </c>
      <c r="AS171">
        <v>2054</v>
      </c>
      <c r="AT171">
        <v>2055</v>
      </c>
      <c r="AU171">
        <v>2056</v>
      </c>
      <c r="AV171">
        <v>2057</v>
      </c>
      <c r="AW171">
        <v>2058</v>
      </c>
      <c r="AX171">
        <v>2059</v>
      </c>
      <c r="AY171">
        <v>2060</v>
      </c>
      <c r="AZ171">
        <v>2061</v>
      </c>
      <c r="BA171">
        <v>2062</v>
      </c>
      <c r="BB171">
        <v>2063</v>
      </c>
      <c r="BC171">
        <v>2064</v>
      </c>
      <c r="BD171">
        <v>2065</v>
      </c>
      <c r="BE171">
        <v>2066</v>
      </c>
      <c r="BF171">
        <v>2067</v>
      </c>
      <c r="BG171">
        <v>2068</v>
      </c>
      <c r="BH171">
        <v>2069</v>
      </c>
      <c r="BI171">
        <v>2070</v>
      </c>
    </row>
    <row r="172" spans="1:61" x14ac:dyDescent="0.3">
      <c r="C172" t="s">
        <v>50</v>
      </c>
      <c r="D172" s="3">
        <f>D165</f>
        <v>909.45</v>
      </c>
      <c r="E172" s="3">
        <f t="shared" ref="E172:BI172" si="343">E165</f>
        <v>920.61999999999989</v>
      </c>
      <c r="F172" s="3">
        <f t="shared" si="343"/>
        <v>921.37</v>
      </c>
      <c r="G172" s="3">
        <f t="shared" si="343"/>
        <v>923.8599999999999</v>
      </c>
      <c r="H172" s="3">
        <f t="shared" si="343"/>
        <v>920.79</v>
      </c>
      <c r="I172" s="3">
        <f t="shared" si="343"/>
        <v>930.03</v>
      </c>
      <c r="J172" s="3">
        <f t="shared" si="343"/>
        <v>918.53000000000009</v>
      </c>
      <c r="K172" s="3">
        <f t="shared" si="343"/>
        <v>1001.1099999999999</v>
      </c>
      <c r="L172" s="3">
        <f t="shared" si="343"/>
        <v>943.33999999999992</v>
      </c>
      <c r="M172" s="3">
        <f t="shared" si="343"/>
        <v>964.61000000000013</v>
      </c>
      <c r="N172" s="3">
        <f t="shared" si="343"/>
        <v>950.72</v>
      </c>
      <c r="O172" s="3">
        <f t="shared" si="343"/>
        <v>951.69240988163858</v>
      </c>
      <c r="P172" s="3">
        <f t="shared" si="343"/>
        <v>953.55888879940619</v>
      </c>
      <c r="Q172" s="3">
        <f t="shared" si="343"/>
        <v>955.29727484520345</v>
      </c>
      <c r="R172" s="3">
        <f t="shared" si="343"/>
        <v>956.9068521272095</v>
      </c>
      <c r="S172" s="3">
        <f t="shared" si="343"/>
        <v>958.3982536727932</v>
      </c>
      <c r="T172" s="3">
        <f t="shared" si="343"/>
        <v>959.79162017972988</v>
      </c>
      <c r="U172" s="3">
        <f t="shared" si="343"/>
        <v>961.10985675766892</v>
      </c>
      <c r="V172" s="3">
        <f t="shared" si="343"/>
        <v>962.37537700038979</v>
      </c>
      <c r="W172" s="3">
        <f t="shared" si="343"/>
        <v>963.60831906595274</v>
      </c>
      <c r="X172" s="3">
        <f t="shared" si="343"/>
        <v>964.82736188544413</v>
      </c>
      <c r="Y172" s="3">
        <f t="shared" si="343"/>
        <v>966.04868635229252</v>
      </c>
      <c r="Z172" s="3">
        <f t="shared" si="343"/>
        <v>967.28359480787901</v>
      </c>
      <c r="AA172" s="3">
        <f t="shared" si="343"/>
        <v>968.53647022535802</v>
      </c>
      <c r="AB172" s="3">
        <f t="shared" si="343"/>
        <v>969.80432187007023</v>
      </c>
      <c r="AC172" s="3">
        <f t="shared" si="343"/>
        <v>971.07852316694789</v>
      </c>
      <c r="AD172" s="3">
        <f t="shared" si="343"/>
        <v>972.34884540904568</v>
      </c>
      <c r="AE172" s="3">
        <f t="shared" si="343"/>
        <v>973.60724317388235</v>
      </c>
      <c r="AF172" s="3">
        <f t="shared" si="343"/>
        <v>974.85187875819247</v>
      </c>
      <c r="AG172" s="3">
        <f t="shared" si="343"/>
        <v>976.08765008930675</v>
      </c>
      <c r="AH172" s="3">
        <f t="shared" si="343"/>
        <v>977.32482383923082</v>
      </c>
      <c r="AI172" s="3">
        <f t="shared" si="343"/>
        <v>978.57689089890221</v>
      </c>
      <c r="AJ172" s="3">
        <f t="shared" si="343"/>
        <v>979.85928201448246</v>
      </c>
      <c r="AK172" s="3">
        <f t="shared" si="343"/>
        <v>981.18788135656337</v>
      </c>
      <c r="AL172" s="3">
        <f t="shared" si="343"/>
        <v>982.57874046678023</v>
      </c>
      <c r="AM172" s="3">
        <f t="shared" si="343"/>
        <v>984.04595271719631</v>
      </c>
      <c r="AN172" s="3">
        <f t="shared" si="343"/>
        <v>985.60090034946279</v>
      </c>
      <c r="AO172" s="3">
        <f t="shared" si="343"/>
        <v>987.25135600952296</v>
      </c>
      <c r="AP172" s="3">
        <f t="shared" si="343"/>
        <v>989.00230731431793</v>
      </c>
      <c r="AQ172" s="3">
        <f t="shared" si="343"/>
        <v>990.85561603107089</v>
      </c>
      <c r="AR172" s="3">
        <f t="shared" si="343"/>
        <v>992.81071700748885</v>
      </c>
      <c r="AS172" s="3">
        <f t="shared" si="343"/>
        <v>994.86612890324818</v>
      </c>
      <c r="AT172" s="3">
        <f t="shared" si="343"/>
        <v>997.02216738422862</v>
      </c>
      <c r="AU172" s="3">
        <f t="shared" si="343"/>
        <v>999.28291568320049</v>
      </c>
      <c r="AV172" s="3">
        <f t="shared" si="343"/>
        <v>1001.6566921693362</v>
      </c>
      <c r="AW172" s="3">
        <f t="shared" si="343"/>
        <v>1004.1551527886822</v>
      </c>
      <c r="AX172" s="3">
        <f t="shared" si="343"/>
        <v>1006.7918217705135</v>
      </c>
      <c r="AY172" s="3">
        <f t="shared" si="343"/>
        <v>1009.5812243197483</v>
      </c>
      <c r="AZ172" s="3">
        <f t="shared" si="343"/>
        <v>1012.5384725363521</v>
      </c>
      <c r="BA172" s="3">
        <f t="shared" si="343"/>
        <v>1015.6783537783338</v>
      </c>
      <c r="BB172" s="3">
        <f t="shared" si="343"/>
        <v>1019.0148848713278</v>
      </c>
      <c r="BC172" s="3">
        <f t="shared" si="343"/>
        <v>1022.5603052443378</v>
      </c>
      <c r="BD172" s="3">
        <f t="shared" si="343"/>
        <v>1026.3249768340879</v>
      </c>
      <c r="BE172" s="3">
        <f t="shared" si="343"/>
        <v>1030.317233760373</v>
      </c>
      <c r="BF172" s="3">
        <f t="shared" si="343"/>
        <v>1034.5439211304624</v>
      </c>
      <c r="BG172" s="3">
        <f t="shared" si="343"/>
        <v>1039.0110785006627</v>
      </c>
      <c r="BH172" s="3">
        <f t="shared" si="343"/>
        <v>1043.7248790354893</v>
      </c>
      <c r="BI172" s="3">
        <f t="shared" si="343"/>
        <v>1048.6927873963446</v>
      </c>
    </row>
    <row r="173" spans="1:61" x14ac:dyDescent="0.3"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</row>
    <row r="174" spans="1:61" x14ac:dyDescent="0.3">
      <c r="A174" t="s">
        <v>165</v>
      </c>
    </row>
    <row r="175" spans="1:61" outlineLevel="1" x14ac:dyDescent="0.3">
      <c r="C175" t="s">
        <v>69</v>
      </c>
      <c r="D175" s="3">
        <f t="shared" ref="D175:N175" si="344">D102</f>
        <v>20.862711459301554</v>
      </c>
      <c r="E175" s="3">
        <f t="shared" si="344"/>
        <v>21.4602994900923</v>
      </c>
      <c r="F175" s="3">
        <f t="shared" si="344"/>
        <v>22.232637577131346</v>
      </c>
      <c r="G175" s="3">
        <f t="shared" si="344"/>
        <v>23.16644280710231</v>
      </c>
      <c r="H175" s="3">
        <f t="shared" si="344"/>
        <v>23.235292890769319</v>
      </c>
      <c r="I175" s="3">
        <f t="shared" si="344"/>
        <v>24.857739110656208</v>
      </c>
      <c r="J175" s="3">
        <f t="shared" si="344"/>
        <v>25.330589199767285</v>
      </c>
      <c r="K175" s="3">
        <f t="shared" si="344"/>
        <v>28.385164670658686</v>
      </c>
      <c r="L175" s="3">
        <f t="shared" si="344"/>
        <v>27.290812182741117</v>
      </c>
      <c r="M175" s="3">
        <f t="shared" si="344"/>
        <v>28.911497461928935</v>
      </c>
      <c r="N175" s="3">
        <f t="shared" si="344"/>
        <v>29.644898477157358</v>
      </c>
      <c r="O175" s="3">
        <f t="shared" ref="O175:BI175" si="345">((((O102/O$112)+($N102/$N$112))/2)*O$172)</f>
        <v>30.112175311005302</v>
      </c>
      <c r="P175" s="3">
        <f t="shared" si="345"/>
        <v>30.616439584235493</v>
      </c>
      <c r="Q175" s="3">
        <f t="shared" si="345"/>
        <v>31.125489960055933</v>
      </c>
      <c r="R175" s="3">
        <f t="shared" si="345"/>
        <v>31.638948219107057</v>
      </c>
      <c r="S175" s="3">
        <f t="shared" si="345"/>
        <v>32.156789942115843</v>
      </c>
      <c r="T175" s="3">
        <f t="shared" si="345"/>
        <v>32.679310220419104</v>
      </c>
      <c r="U175" s="3">
        <f t="shared" si="345"/>
        <v>33.206915703814609</v>
      </c>
      <c r="V175" s="3">
        <f t="shared" si="345"/>
        <v>33.740019302379658</v>
      </c>
      <c r="W175" s="3">
        <f t="shared" si="345"/>
        <v>34.278977456816946</v>
      </c>
      <c r="X175" s="3">
        <f t="shared" si="345"/>
        <v>34.824115626180365</v>
      </c>
      <c r="Y175" s="3">
        <f t="shared" si="345"/>
        <v>35.375688206209148</v>
      </c>
      <c r="Z175" s="3">
        <f t="shared" si="345"/>
        <v>35.933785161316308</v>
      </c>
      <c r="AA175" s="3">
        <f t="shared" si="345"/>
        <v>36.498243617597574</v>
      </c>
      <c r="AB175" s="3">
        <f t="shared" si="345"/>
        <v>37.068613169479782</v>
      </c>
      <c r="AC175" s="3">
        <f t="shared" si="345"/>
        <v>37.644204305866467</v>
      </c>
      <c r="AD175" s="3">
        <f t="shared" si="345"/>
        <v>38.224232467248434</v>
      </c>
      <c r="AE175" s="3">
        <f t="shared" si="345"/>
        <v>38.807965352200696</v>
      </c>
      <c r="AF175" s="3">
        <f t="shared" si="345"/>
        <v>39.39489249547966</v>
      </c>
      <c r="AG175" s="3">
        <f t="shared" si="345"/>
        <v>39.984765197595664</v>
      </c>
      <c r="AH175" s="3">
        <f t="shared" si="345"/>
        <v>40.577559820726243</v>
      </c>
      <c r="AI175" s="3">
        <f t="shared" si="345"/>
        <v>41.173403988611</v>
      </c>
      <c r="AJ175" s="3">
        <f t="shared" si="345"/>
        <v>41.772532347294799</v>
      </c>
      <c r="AK175" s="3">
        <f t="shared" si="345"/>
        <v>42.375229257967035</v>
      </c>
      <c r="AL175" s="3">
        <f t="shared" si="345"/>
        <v>42.981818928935112</v>
      </c>
      <c r="AM175" s="3">
        <f t="shared" si="345"/>
        <v>43.592572972733002</v>
      </c>
      <c r="AN175" s="3">
        <f t="shared" si="345"/>
        <v>44.207672316143423</v>
      </c>
      <c r="AO175" s="3">
        <f t="shared" si="345"/>
        <v>44.827159906905031</v>
      </c>
      <c r="AP175" s="3">
        <f t="shared" si="345"/>
        <v>45.450969586471501</v>
      </c>
      <c r="AQ175" s="3">
        <f t="shared" si="345"/>
        <v>46.078903497970188</v>
      </c>
      <c r="AR175" s="3">
        <f t="shared" si="345"/>
        <v>46.71065733295201</v>
      </c>
      <c r="AS175" s="3">
        <f t="shared" si="345"/>
        <v>47.345886570114466</v>
      </c>
      <c r="AT175" s="3">
        <f t="shared" si="345"/>
        <v>47.98433554571114</v>
      </c>
      <c r="AU175" s="3">
        <f t="shared" si="345"/>
        <v>48.625939087317384</v>
      </c>
      <c r="AV175" s="3">
        <f t="shared" si="345"/>
        <v>49.270856303780633</v>
      </c>
      <c r="AW175" s="3">
        <f t="shared" si="345"/>
        <v>49.919437640138618</v>
      </c>
      <c r="AX175" s="3">
        <f t="shared" si="345"/>
        <v>50.572159995207471</v>
      </c>
      <c r="AY175" s="3">
        <f t="shared" si="345"/>
        <v>51.22958746559712</v>
      </c>
      <c r="AZ175" s="3">
        <f t="shared" si="345"/>
        <v>51.89235237674513</v>
      </c>
      <c r="BA175" s="3">
        <f t="shared" si="345"/>
        <v>52.56110908519247</v>
      </c>
      <c r="BB175" s="3">
        <f t="shared" si="345"/>
        <v>53.236509219873852</v>
      </c>
      <c r="BC175" s="3">
        <f t="shared" si="345"/>
        <v>53.919145935274358</v>
      </c>
      <c r="BD175" s="3">
        <f t="shared" si="345"/>
        <v>54.609543476257748</v>
      </c>
      <c r="BE175" s="3">
        <f t="shared" si="345"/>
        <v>55.308143850633911</v>
      </c>
      <c r="BF175" s="3">
        <f t="shared" si="345"/>
        <v>56.015330518482301</v>
      </c>
      <c r="BG175" s="3">
        <f t="shared" si="345"/>
        <v>56.731461618205543</v>
      </c>
      <c r="BH175" s="3">
        <f t="shared" si="345"/>
        <v>57.456919226877083</v>
      </c>
      <c r="BI175" s="3">
        <f t="shared" si="345"/>
        <v>58.192173290330565</v>
      </c>
    </row>
    <row r="176" spans="1:61" outlineLevel="1" x14ac:dyDescent="0.3">
      <c r="C176" t="s">
        <v>166</v>
      </c>
      <c r="D176" s="3">
        <f t="shared" ref="D176:N176" si="346">D103</f>
        <v>0</v>
      </c>
      <c r="E176" s="3">
        <f t="shared" si="346"/>
        <v>0</v>
      </c>
      <c r="F176" s="3">
        <f t="shared" si="346"/>
        <v>0</v>
      </c>
      <c r="G176" s="3">
        <f t="shared" si="346"/>
        <v>0</v>
      </c>
      <c r="H176" s="3">
        <f t="shared" si="346"/>
        <v>0</v>
      </c>
      <c r="I176" s="3">
        <f t="shared" si="346"/>
        <v>0</v>
      </c>
      <c r="J176" s="3">
        <f t="shared" si="346"/>
        <v>0</v>
      </c>
      <c r="K176" s="3">
        <f t="shared" si="346"/>
        <v>0</v>
      </c>
      <c r="L176" s="3">
        <f t="shared" si="346"/>
        <v>0</v>
      </c>
      <c r="M176" s="3">
        <f t="shared" si="346"/>
        <v>0</v>
      </c>
      <c r="N176" s="3">
        <f t="shared" si="346"/>
        <v>0</v>
      </c>
      <c r="O176" s="3">
        <f t="shared" ref="O176:BI176" si="347">((((O103/O$112)+($N103/$N$112))/2)*O$172)</f>
        <v>0</v>
      </c>
      <c r="P176" s="3">
        <f t="shared" si="347"/>
        <v>0</v>
      </c>
      <c r="Q176" s="3">
        <f t="shared" si="347"/>
        <v>0</v>
      </c>
      <c r="R176" s="3">
        <f t="shared" si="347"/>
        <v>0</v>
      </c>
      <c r="S176" s="3">
        <f t="shared" si="347"/>
        <v>0</v>
      </c>
      <c r="T176" s="3">
        <f t="shared" si="347"/>
        <v>0</v>
      </c>
      <c r="U176" s="3">
        <f t="shared" si="347"/>
        <v>0</v>
      </c>
      <c r="V176" s="3">
        <f t="shared" si="347"/>
        <v>0</v>
      </c>
      <c r="W176" s="3">
        <f t="shared" si="347"/>
        <v>0</v>
      </c>
      <c r="X176" s="3">
        <f t="shared" si="347"/>
        <v>0</v>
      </c>
      <c r="Y176" s="3">
        <f t="shared" si="347"/>
        <v>0</v>
      </c>
      <c r="Z176" s="3">
        <f t="shared" si="347"/>
        <v>0</v>
      </c>
      <c r="AA176" s="3">
        <f t="shared" si="347"/>
        <v>0</v>
      </c>
      <c r="AB176" s="3">
        <f t="shared" si="347"/>
        <v>0</v>
      </c>
      <c r="AC176" s="3">
        <f t="shared" si="347"/>
        <v>0</v>
      </c>
      <c r="AD176" s="3">
        <f t="shared" si="347"/>
        <v>0</v>
      </c>
      <c r="AE176" s="3">
        <f t="shared" si="347"/>
        <v>0</v>
      </c>
      <c r="AF176" s="3">
        <f t="shared" si="347"/>
        <v>0</v>
      </c>
      <c r="AG176" s="3">
        <f t="shared" si="347"/>
        <v>0</v>
      </c>
      <c r="AH176" s="3">
        <f t="shared" si="347"/>
        <v>0</v>
      </c>
      <c r="AI176" s="3">
        <f t="shared" si="347"/>
        <v>0</v>
      </c>
      <c r="AJ176" s="3">
        <f t="shared" si="347"/>
        <v>0</v>
      </c>
      <c r="AK176" s="3">
        <f t="shared" si="347"/>
        <v>0</v>
      </c>
      <c r="AL176" s="3">
        <f t="shared" si="347"/>
        <v>0</v>
      </c>
      <c r="AM176" s="3">
        <f t="shared" si="347"/>
        <v>0</v>
      </c>
      <c r="AN176" s="3">
        <f t="shared" si="347"/>
        <v>0</v>
      </c>
      <c r="AO176" s="3">
        <f t="shared" si="347"/>
        <v>0</v>
      </c>
      <c r="AP176" s="3">
        <f t="shared" si="347"/>
        <v>0</v>
      </c>
      <c r="AQ176" s="3">
        <f t="shared" si="347"/>
        <v>0</v>
      </c>
      <c r="AR176" s="3">
        <f t="shared" si="347"/>
        <v>0</v>
      </c>
      <c r="AS176" s="3">
        <f t="shared" si="347"/>
        <v>0</v>
      </c>
      <c r="AT176" s="3">
        <f t="shared" si="347"/>
        <v>0</v>
      </c>
      <c r="AU176" s="3">
        <f t="shared" si="347"/>
        <v>0</v>
      </c>
      <c r="AV176" s="3">
        <f t="shared" si="347"/>
        <v>0</v>
      </c>
      <c r="AW176" s="3">
        <f t="shared" si="347"/>
        <v>0</v>
      </c>
      <c r="AX176" s="3">
        <f t="shared" si="347"/>
        <v>0</v>
      </c>
      <c r="AY176" s="3">
        <f t="shared" si="347"/>
        <v>0</v>
      </c>
      <c r="AZ176" s="3">
        <f t="shared" si="347"/>
        <v>0</v>
      </c>
      <c r="BA176" s="3">
        <f t="shared" si="347"/>
        <v>0</v>
      </c>
      <c r="BB176" s="3">
        <f t="shared" si="347"/>
        <v>0</v>
      </c>
      <c r="BC176" s="3">
        <f t="shared" si="347"/>
        <v>0</v>
      </c>
      <c r="BD176" s="3">
        <f t="shared" si="347"/>
        <v>0</v>
      </c>
      <c r="BE176" s="3">
        <f t="shared" si="347"/>
        <v>0</v>
      </c>
      <c r="BF176" s="3">
        <f t="shared" si="347"/>
        <v>0</v>
      </c>
      <c r="BG176" s="3">
        <f t="shared" si="347"/>
        <v>0</v>
      </c>
      <c r="BH176" s="3">
        <f t="shared" si="347"/>
        <v>0</v>
      </c>
      <c r="BI176" s="3">
        <f t="shared" si="347"/>
        <v>0</v>
      </c>
    </row>
    <row r="177" spans="1:61" outlineLevel="1" x14ac:dyDescent="0.3">
      <c r="C177" t="s">
        <v>167</v>
      </c>
      <c r="D177" s="3">
        <f t="shared" ref="D177:N177" si="348">D104</f>
        <v>13.578528747842249</v>
      </c>
      <c r="E177" s="3">
        <f t="shared" si="348"/>
        <v>13.972672819983218</v>
      </c>
      <c r="F177" s="3">
        <f t="shared" si="348"/>
        <v>14.483928346555849</v>
      </c>
      <c r="G177" s="3">
        <f t="shared" si="348"/>
        <v>15.089597777509361</v>
      </c>
      <c r="H177" s="3">
        <f t="shared" si="348"/>
        <v>15.139106727846967</v>
      </c>
      <c r="I177" s="3">
        <f t="shared" si="348"/>
        <v>16.191857159103833</v>
      </c>
      <c r="J177" s="3">
        <f t="shared" si="348"/>
        <v>16.502332469455759</v>
      </c>
      <c r="K177" s="3">
        <f t="shared" si="348"/>
        <v>18.482155688622758</v>
      </c>
      <c r="L177" s="3">
        <f t="shared" si="348"/>
        <v>17.770761421319797</v>
      </c>
      <c r="M177" s="3">
        <f t="shared" si="348"/>
        <v>18.82609137055838</v>
      </c>
      <c r="N177" s="3">
        <f t="shared" si="348"/>
        <v>19.303654822335027</v>
      </c>
      <c r="O177" s="3">
        <f t="shared" ref="O177:BI177" si="349">((((O104/O$112)+($N104/$N$112))/2)*O$172)</f>
        <v>19.608329931874568</v>
      </c>
      <c r="P177" s="3">
        <f t="shared" si="349"/>
        <v>19.93711490235442</v>
      </c>
      <c r="Q177" s="3">
        <f t="shared" si="349"/>
        <v>20.269041958309149</v>
      </c>
      <c r="R177" s="3">
        <f t="shared" si="349"/>
        <v>20.603865315646068</v>
      </c>
      <c r="S177" s="3">
        <f t="shared" si="349"/>
        <v>20.941569556402108</v>
      </c>
      <c r="T177" s="3">
        <f t="shared" si="349"/>
        <v>21.282347323095181</v>
      </c>
      <c r="U177" s="3">
        <f t="shared" si="349"/>
        <v>21.626463911618675</v>
      </c>
      <c r="V177" s="3">
        <f t="shared" si="349"/>
        <v>21.974188702511956</v>
      </c>
      <c r="W177" s="3">
        <f t="shared" si="349"/>
        <v>22.325754307307939</v>
      </c>
      <c r="X177" s="3">
        <f t="shared" si="349"/>
        <v>22.681373165788084</v>
      </c>
      <c r="Y177" s="3">
        <f t="shared" si="349"/>
        <v>23.041211438296973</v>
      </c>
      <c r="Z177" s="3">
        <f t="shared" si="349"/>
        <v>23.405328185979268</v>
      </c>
      <c r="AA177" s="3">
        <f t="shared" si="349"/>
        <v>23.773617772449914</v>
      </c>
      <c r="AB177" s="3">
        <f t="shared" si="349"/>
        <v>24.145787243525351</v>
      </c>
      <c r="AC177" s="3">
        <f t="shared" si="349"/>
        <v>24.521387846233424</v>
      </c>
      <c r="AD177" s="3">
        <f t="shared" si="349"/>
        <v>24.899908847708968</v>
      </c>
      <c r="AE177" s="3">
        <f t="shared" si="349"/>
        <v>25.280873485971764</v>
      </c>
      <c r="AF177" s="3">
        <f t="shared" si="349"/>
        <v>25.663949445870365</v>
      </c>
      <c r="AG177" s="3">
        <f t="shared" si="349"/>
        <v>26.048974892037869</v>
      </c>
      <c r="AH177" s="3">
        <f t="shared" si="349"/>
        <v>26.435934581083174</v>
      </c>
      <c r="AI177" s="3">
        <f t="shared" si="349"/>
        <v>26.824911802005115</v>
      </c>
      <c r="AJ177" s="3">
        <f t="shared" si="349"/>
        <v>27.21605956850755</v>
      </c>
      <c r="AK177" s="3">
        <f t="shared" si="349"/>
        <v>27.609563292154512</v>
      </c>
      <c r="AL177" s="3">
        <f t="shared" si="349"/>
        <v>28.005634358876875</v>
      </c>
      <c r="AM177" s="3">
        <f t="shared" si="349"/>
        <v>28.40444989948314</v>
      </c>
      <c r="AN177" s="3">
        <f t="shared" si="349"/>
        <v>28.806127965946271</v>
      </c>
      <c r="AO177" s="3">
        <f t="shared" si="349"/>
        <v>29.210696705742148</v>
      </c>
      <c r="AP177" s="3">
        <f t="shared" si="349"/>
        <v>29.618113163762036</v>
      </c>
      <c r="AQ177" s="3">
        <f t="shared" si="349"/>
        <v>30.028248549376475</v>
      </c>
      <c r="AR177" s="3">
        <f t="shared" si="349"/>
        <v>30.440904676584132</v>
      </c>
      <c r="AS177" s="3">
        <f t="shared" si="349"/>
        <v>30.855857121996305</v>
      </c>
      <c r="AT177" s="3">
        <f t="shared" si="349"/>
        <v>31.272939340356551</v>
      </c>
      <c r="AU177" s="3">
        <f t="shared" si="349"/>
        <v>31.692108914275952</v>
      </c>
      <c r="AV177" s="3">
        <f t="shared" si="349"/>
        <v>32.11346959805973</v>
      </c>
      <c r="AW177" s="3">
        <f t="shared" si="349"/>
        <v>32.537249868477396</v>
      </c>
      <c r="AX177" s="3">
        <f t="shared" si="349"/>
        <v>32.963760654319152</v>
      </c>
      <c r="AY177" s="3">
        <f t="shared" si="349"/>
        <v>33.393369762115121</v>
      </c>
      <c r="AZ177" s="3">
        <f t="shared" si="349"/>
        <v>33.826489521165904</v>
      </c>
      <c r="BA177" s="3">
        <f t="shared" si="349"/>
        <v>34.263546676249796</v>
      </c>
      <c r="BB177" s="3">
        <f t="shared" si="349"/>
        <v>34.704966250491843</v>
      </c>
      <c r="BC177" s="3">
        <f t="shared" si="349"/>
        <v>35.151135203090952</v>
      </c>
      <c r="BD177" s="3">
        <f t="shared" si="349"/>
        <v>35.60239562046231</v>
      </c>
      <c r="BE177" s="3">
        <f t="shared" si="349"/>
        <v>36.059036020255704</v>
      </c>
      <c r="BF177" s="3">
        <f t="shared" si="349"/>
        <v>36.521306788007614</v>
      </c>
      <c r="BG177" s="3">
        <f t="shared" si="349"/>
        <v>36.989441834801013</v>
      </c>
      <c r="BH177" s="3">
        <f t="shared" si="349"/>
        <v>37.46369071402183</v>
      </c>
      <c r="BI177" s="3">
        <f t="shared" si="349"/>
        <v>37.944360309913648</v>
      </c>
    </row>
    <row r="178" spans="1:61" outlineLevel="1" x14ac:dyDescent="0.3">
      <c r="C178" t="s">
        <v>65</v>
      </c>
      <c r="D178" s="3">
        <f t="shared" ref="D178:N178" si="350">D105</f>
        <v>51.420746248838135</v>
      </c>
      <c r="E178" s="3">
        <f t="shared" si="350"/>
        <v>52.895640611889242</v>
      </c>
      <c r="F178" s="3">
        <f t="shared" si="350"/>
        <v>54.818269109683925</v>
      </c>
      <c r="G178" s="3">
        <f t="shared" si="350"/>
        <v>57.114832709264398</v>
      </c>
      <c r="H178" s="3">
        <f t="shared" si="350"/>
        <v>57.295110541684039</v>
      </c>
      <c r="I178" s="3">
        <f t="shared" si="350"/>
        <v>61.282940975776185</v>
      </c>
      <c r="J178" s="3">
        <f t="shared" si="350"/>
        <v>62.448558734860114</v>
      </c>
      <c r="K178" s="3">
        <f t="shared" si="350"/>
        <v>69.982994011976061</v>
      </c>
      <c r="L178" s="3">
        <f t="shared" si="350"/>
        <v>67.275025380710659</v>
      </c>
      <c r="M178" s="3">
        <f t="shared" si="350"/>
        <v>71.270203045685278</v>
      </c>
      <c r="N178" s="3">
        <f t="shared" si="350"/>
        <v>73.078121827411152</v>
      </c>
      <c r="O178" s="3">
        <f t="shared" ref="O178:BI178" si="351">((((O105/O$112)+($N105/$N$112))/2)*O$172)</f>
        <v>74.230624332964226</v>
      </c>
      <c r="P178" s="3">
        <f t="shared" si="351"/>
        <v>75.474343187950893</v>
      </c>
      <c r="Q178" s="3">
        <f t="shared" si="351"/>
        <v>76.729899167479743</v>
      </c>
      <c r="R178" s="3">
        <f t="shared" si="351"/>
        <v>77.996360672808365</v>
      </c>
      <c r="S178" s="3">
        <f t="shared" si="351"/>
        <v>79.273668240222008</v>
      </c>
      <c r="T178" s="3">
        <f t="shared" si="351"/>
        <v>80.562550047507628</v>
      </c>
      <c r="U178" s="3">
        <f t="shared" si="351"/>
        <v>81.864009293191515</v>
      </c>
      <c r="V178" s="3">
        <f t="shared" si="351"/>
        <v>83.179064620520265</v>
      </c>
      <c r="W178" s="3">
        <f t="shared" si="351"/>
        <v>84.508595471786847</v>
      </c>
      <c r="X178" s="3">
        <f t="shared" si="351"/>
        <v>85.853404919444657</v>
      </c>
      <c r="Y178" s="3">
        <f t="shared" si="351"/>
        <v>87.214120847987616</v>
      </c>
      <c r="Z178" s="3">
        <f t="shared" si="351"/>
        <v>88.590965757527741</v>
      </c>
      <c r="AA178" s="3">
        <f t="shared" si="351"/>
        <v>89.983538783191349</v>
      </c>
      <c r="AB178" s="3">
        <f t="shared" si="351"/>
        <v>91.390730127526552</v>
      </c>
      <c r="AC178" s="3">
        <f t="shared" si="351"/>
        <v>92.810840414867329</v>
      </c>
      <c r="AD178" s="3">
        <f t="shared" si="351"/>
        <v>94.241935830551171</v>
      </c>
      <c r="AE178" s="3">
        <f t="shared" si="351"/>
        <v>95.682211294570052</v>
      </c>
      <c r="AF178" s="3">
        <f t="shared" si="351"/>
        <v>97.130408571843148</v>
      </c>
      <c r="AG178" s="3">
        <f t="shared" si="351"/>
        <v>98.585914752348017</v>
      </c>
      <c r="AH178" s="3">
        <f t="shared" si="351"/>
        <v>100.04867179031311</v>
      </c>
      <c r="AI178" s="3">
        <f t="shared" si="351"/>
        <v>101.51899457274534</v>
      </c>
      <c r="AJ178" s="3">
        <f t="shared" si="351"/>
        <v>102.99746186341009</v>
      </c>
      <c r="AK178" s="3">
        <f t="shared" si="351"/>
        <v>104.48477501797483</v>
      </c>
      <c r="AL178" s="3">
        <f t="shared" si="351"/>
        <v>105.98173366151438</v>
      </c>
      <c r="AM178" s="3">
        <f t="shared" si="351"/>
        <v>107.48900775418737</v>
      </c>
      <c r="AN178" s="3">
        <f t="shared" si="351"/>
        <v>109.00704366319735</v>
      </c>
      <c r="AO178" s="3">
        <f t="shared" si="351"/>
        <v>110.53594753369931</v>
      </c>
      <c r="AP178" s="3">
        <f t="shared" si="351"/>
        <v>112.07555646510286</v>
      </c>
      <c r="AQ178" s="3">
        <f t="shared" si="351"/>
        <v>113.6253827858837</v>
      </c>
      <c r="AR178" s="3">
        <f t="shared" si="351"/>
        <v>115.1846762903799</v>
      </c>
      <c r="AS178" s="3">
        <f t="shared" si="351"/>
        <v>116.75258756414449</v>
      </c>
      <c r="AT178" s="3">
        <f t="shared" si="351"/>
        <v>118.32848626338026</v>
      </c>
      <c r="AU178" s="3">
        <f t="shared" si="351"/>
        <v>119.91221175975353</v>
      </c>
      <c r="AV178" s="3">
        <f t="shared" si="351"/>
        <v>121.50415649894238</v>
      </c>
      <c r="AW178" s="3">
        <f t="shared" si="351"/>
        <v>123.10518479230521</v>
      </c>
      <c r="AX178" s="3">
        <f t="shared" si="351"/>
        <v>124.71647284161708</v>
      </c>
      <c r="AY178" s="3">
        <f t="shared" si="351"/>
        <v>126.33941194988938</v>
      </c>
      <c r="AZ178" s="3">
        <f t="shared" si="351"/>
        <v>127.97556175596722</v>
      </c>
      <c r="BA178" s="3">
        <f t="shared" si="351"/>
        <v>129.62653631369417</v>
      </c>
      <c r="BB178" s="3">
        <f t="shared" si="351"/>
        <v>131.29394303574398</v>
      </c>
      <c r="BC178" s="3">
        <f t="shared" si="351"/>
        <v>132.9792452073504</v>
      </c>
      <c r="BD178" s="3">
        <f t="shared" si="351"/>
        <v>134.68373624133451</v>
      </c>
      <c r="BE178" s="3">
        <f t="shared" si="351"/>
        <v>136.40850679761391</v>
      </c>
      <c r="BF178" s="3">
        <f t="shared" si="351"/>
        <v>138.15450319692275</v>
      </c>
      <c r="BG178" s="3">
        <f t="shared" si="351"/>
        <v>139.9226093604575</v>
      </c>
      <c r="BH178" s="3">
        <f t="shared" si="351"/>
        <v>141.71376830350934</v>
      </c>
      <c r="BI178" s="3">
        <f t="shared" si="351"/>
        <v>143.52913982119574</v>
      </c>
    </row>
    <row r="179" spans="1:61" outlineLevel="1" x14ac:dyDescent="0.3">
      <c r="C179" t="s">
        <v>168</v>
      </c>
      <c r="D179" s="3">
        <f t="shared" ref="D179:N179" si="352">D106</f>
        <v>14.796789271013145</v>
      </c>
      <c r="E179" s="3">
        <f t="shared" si="352"/>
        <v>15.216380300780999</v>
      </c>
      <c r="F179" s="3">
        <f t="shared" si="352"/>
        <v>15.766827225790204</v>
      </c>
      <c r="G179" s="3">
        <f t="shared" si="352"/>
        <v>16.435738615774852</v>
      </c>
      <c r="H179" s="3">
        <f t="shared" si="352"/>
        <v>16.484241106012753</v>
      </c>
      <c r="I179" s="3">
        <f t="shared" si="352"/>
        <v>17.629694074832251</v>
      </c>
      <c r="J179" s="3">
        <f t="shared" si="352"/>
        <v>17.975755011371454</v>
      </c>
      <c r="K179" s="3">
        <f t="shared" si="352"/>
        <v>20.130494011976047</v>
      </c>
      <c r="L179" s="3">
        <f t="shared" si="352"/>
        <v>19.357436548223351</v>
      </c>
      <c r="M179" s="3">
        <f t="shared" si="352"/>
        <v>20.506992385786802</v>
      </c>
      <c r="N179" s="3">
        <f t="shared" si="352"/>
        <v>21.02719543147208</v>
      </c>
      <c r="O179" s="3">
        <f t="shared" ref="O179:BI179" si="353">((((O106/O$112)+($N106/$N$112))/2)*O$172)</f>
        <v>21.358637615008572</v>
      </c>
      <c r="P179" s="3">
        <f t="shared" si="353"/>
        <v>21.716315177264146</v>
      </c>
      <c r="Q179" s="3">
        <f t="shared" si="353"/>
        <v>22.077387637348462</v>
      </c>
      <c r="R179" s="3">
        <f t="shared" si="353"/>
        <v>22.441586725415725</v>
      </c>
      <c r="S179" s="3">
        <f t="shared" si="353"/>
        <v>22.808895122781692</v>
      </c>
      <c r="T179" s="3">
        <f t="shared" si="353"/>
        <v>23.17952214040935</v>
      </c>
      <c r="U179" s="3">
        <f t="shared" si="353"/>
        <v>23.553756217980769</v>
      </c>
      <c r="V179" s="3">
        <f t="shared" si="353"/>
        <v>23.931890235642069</v>
      </c>
      <c r="W179" s="3">
        <f t="shared" si="353"/>
        <v>24.314177019687573</v>
      </c>
      <c r="X179" s="3">
        <f t="shared" si="353"/>
        <v>24.7008474210655</v>
      </c>
      <c r="Y179" s="3">
        <f t="shared" si="353"/>
        <v>25.092081885326468</v>
      </c>
      <c r="Z179" s="3">
        <f t="shared" si="353"/>
        <v>25.487944226386194</v>
      </c>
      <c r="AA179" s="3">
        <f t="shared" si="353"/>
        <v>25.888318919114752</v>
      </c>
      <c r="AB179" s="3">
        <f t="shared" si="353"/>
        <v>26.292886491142411</v>
      </c>
      <c r="AC179" s="3">
        <f t="shared" si="353"/>
        <v>26.701157871579081</v>
      </c>
      <c r="AD179" s="3">
        <f t="shared" si="353"/>
        <v>27.112576571116058</v>
      </c>
      <c r="AE179" s="3">
        <f t="shared" si="353"/>
        <v>27.52662316699028</v>
      </c>
      <c r="AF179" s="3">
        <f t="shared" si="353"/>
        <v>27.942935585339118</v>
      </c>
      <c r="AG179" s="3">
        <f t="shared" si="353"/>
        <v>28.361337423470705</v>
      </c>
      <c r="AH179" s="3">
        <f t="shared" si="353"/>
        <v>28.781811915620938</v>
      </c>
      <c r="AI179" s="3">
        <f t="shared" si="353"/>
        <v>29.20444958635213</v>
      </c>
      <c r="AJ179" s="3">
        <f t="shared" si="353"/>
        <v>29.629416871542336</v>
      </c>
      <c r="AK179" s="3">
        <f t="shared" si="353"/>
        <v>30.056915470239911</v>
      </c>
      <c r="AL179" s="3">
        <f t="shared" si="353"/>
        <v>30.487175345258301</v>
      </c>
      <c r="AM179" s="3">
        <f t="shared" si="353"/>
        <v>30.920389153079121</v>
      </c>
      <c r="AN179" s="3">
        <f t="shared" si="353"/>
        <v>31.356685226456914</v>
      </c>
      <c r="AO179" s="3">
        <f t="shared" si="353"/>
        <v>31.79609402905427</v>
      </c>
      <c r="AP179" s="3">
        <f t="shared" si="353"/>
        <v>32.238568634961183</v>
      </c>
      <c r="AQ179" s="3">
        <f t="shared" si="353"/>
        <v>32.683968704018667</v>
      </c>
      <c r="AR179" s="3">
        <f t="shared" si="353"/>
        <v>33.132078389398878</v>
      </c>
      <c r="AS179" s="3">
        <f t="shared" si="353"/>
        <v>33.582653320990438</v>
      </c>
      <c r="AT179" s="3">
        <f t="shared" si="353"/>
        <v>34.035512155624104</v>
      </c>
      <c r="AU179" s="3">
        <f t="shared" si="353"/>
        <v>34.490608666422752</v>
      </c>
      <c r="AV179" s="3">
        <f t="shared" si="353"/>
        <v>34.948055710259069</v>
      </c>
      <c r="AW179" s="3">
        <f t="shared" si="353"/>
        <v>35.408101859746147</v>
      </c>
      <c r="AX179" s="3">
        <f t="shared" si="353"/>
        <v>35.871085381904436</v>
      </c>
      <c r="AY179" s="3">
        <f t="shared" si="353"/>
        <v>36.337406393750619</v>
      </c>
      <c r="AZ179" s="3">
        <f t="shared" si="353"/>
        <v>36.807513407553245</v>
      </c>
      <c r="BA179" s="3">
        <f t="shared" si="353"/>
        <v>37.281870562577303</v>
      </c>
      <c r="BB179" s="3">
        <f t="shared" si="353"/>
        <v>37.760940063612054</v>
      </c>
      <c r="BC179" s="3">
        <f t="shared" si="353"/>
        <v>38.24514263943415</v>
      </c>
      <c r="BD179" s="3">
        <f t="shared" si="353"/>
        <v>38.734850141059674</v>
      </c>
      <c r="BE179" s="3">
        <f t="shared" si="353"/>
        <v>39.230376088493244</v>
      </c>
      <c r="BF179" s="3">
        <f t="shared" si="353"/>
        <v>39.731992473665287</v>
      </c>
      <c r="BG179" s="3">
        <f t="shared" si="353"/>
        <v>40.239953327839061</v>
      </c>
      <c r="BH179" s="3">
        <f t="shared" si="353"/>
        <v>40.75452966225388</v>
      </c>
      <c r="BI179" s="3">
        <f t="shared" si="353"/>
        <v>41.276054814129154</v>
      </c>
    </row>
    <row r="180" spans="1:61" outlineLevel="1" x14ac:dyDescent="0.3">
      <c r="C180" t="s">
        <v>169</v>
      </c>
      <c r="D180" s="3">
        <f t="shared" ref="D180:N180" si="354">D107</f>
        <v>4.3654335413623686</v>
      </c>
      <c r="E180" s="3">
        <f t="shared" si="354"/>
        <v>4.4925760020654488</v>
      </c>
      <c r="F180" s="3">
        <f t="shared" si="354"/>
        <v>4.656922931620703</v>
      </c>
      <c r="G180" s="3">
        <f t="shared" si="354"/>
        <v>4.8461070177557684</v>
      </c>
      <c r="H180" s="3">
        <f t="shared" si="354"/>
        <v>4.8602496871461769</v>
      </c>
      <c r="I180" s="3">
        <f t="shared" si="354"/>
        <v>5.2073012623677917</v>
      </c>
      <c r="J180" s="3">
        <f t="shared" si="354"/>
        <v>5.3043211508964951</v>
      </c>
      <c r="K180" s="3">
        <f t="shared" si="354"/>
        <v>5.9444011976047904</v>
      </c>
      <c r="L180" s="3">
        <f t="shared" si="354"/>
        <v>5.7120304568527915</v>
      </c>
      <c r="M180" s="3">
        <f t="shared" si="354"/>
        <v>6.0512436548223354</v>
      </c>
      <c r="N180" s="3">
        <f t="shared" si="354"/>
        <v>6.2047461928934009</v>
      </c>
      <c r="O180" s="3">
        <f t="shared" ref="O180:BI180" si="355">((((O107/O$112)+($N107/$N$112))/2)*O$172)</f>
        <v>6.3026647286467972</v>
      </c>
      <c r="P180" s="3">
        <f t="shared" si="355"/>
        <v>6.4083320683242313</v>
      </c>
      <c r="Q180" s="3">
        <f t="shared" si="355"/>
        <v>6.515008552733625</v>
      </c>
      <c r="R180" s="3">
        <f t="shared" si="355"/>
        <v>6.622615163990031</v>
      </c>
      <c r="S180" s="3">
        <f t="shared" si="355"/>
        <v>6.7311469309494933</v>
      </c>
      <c r="T180" s="3">
        <f t="shared" si="355"/>
        <v>6.8406657588260611</v>
      </c>
      <c r="U180" s="3">
        <f t="shared" si="355"/>
        <v>6.951256905365172</v>
      </c>
      <c r="V180" s="3">
        <f t="shared" si="355"/>
        <v>7.0630069409733007</v>
      </c>
      <c r="W180" s="3">
        <f t="shared" si="355"/>
        <v>7.1759906173910206</v>
      </c>
      <c r="X180" s="3">
        <f t="shared" si="355"/>
        <v>7.2902762025060381</v>
      </c>
      <c r="Y180" s="3">
        <f t="shared" si="355"/>
        <v>7.4059170888509147</v>
      </c>
      <c r="Z180" s="3">
        <f t="shared" si="355"/>
        <v>7.5229322450913303</v>
      </c>
      <c r="AA180" s="3">
        <f t="shared" si="355"/>
        <v>7.6412877032606961</v>
      </c>
      <c r="AB180" s="3">
        <f t="shared" si="355"/>
        <v>7.7608892888879186</v>
      </c>
      <c r="AC180" s="3">
        <f t="shared" si="355"/>
        <v>7.8815927525616249</v>
      </c>
      <c r="AD180" s="3">
        <f t="shared" si="355"/>
        <v>8.0032339255512994</v>
      </c>
      <c r="AE180" s="3">
        <f t="shared" si="355"/>
        <v>8.1256595601683461</v>
      </c>
      <c r="AF180" s="3">
        <f t="shared" si="355"/>
        <v>8.248762838209009</v>
      </c>
      <c r="AG180" s="3">
        <f t="shared" si="355"/>
        <v>8.3724917376648449</v>
      </c>
      <c r="AH180" s="3">
        <f t="shared" si="355"/>
        <v>8.4968413541008108</v>
      </c>
      <c r="AI180" s="3">
        <f t="shared" si="355"/>
        <v>8.6218384530486727</v>
      </c>
      <c r="AJ180" s="3">
        <f t="shared" si="355"/>
        <v>8.7475322104169653</v>
      </c>
      <c r="AK180" s="3">
        <f t="shared" si="355"/>
        <v>8.8739822149114822</v>
      </c>
      <c r="AL180" s="3">
        <f t="shared" si="355"/>
        <v>9.0012564032711282</v>
      </c>
      <c r="AM180" s="3">
        <f t="shared" si="355"/>
        <v>9.1294117018721792</v>
      </c>
      <c r="AN180" s="3">
        <f t="shared" si="355"/>
        <v>9.258486048342256</v>
      </c>
      <c r="AO180" s="3">
        <f t="shared" si="355"/>
        <v>9.3884884842652863</v>
      </c>
      <c r="AP180" s="3">
        <f t="shared" si="355"/>
        <v>9.5194051986203299</v>
      </c>
      <c r="AQ180" s="3">
        <f t="shared" si="355"/>
        <v>9.6511947928884343</v>
      </c>
      <c r="AR180" s="3">
        <f t="shared" si="355"/>
        <v>9.7837935653735801</v>
      </c>
      <c r="AS180" s="3">
        <f t="shared" si="355"/>
        <v>9.9171293825933695</v>
      </c>
      <c r="AT180" s="3">
        <f t="shared" si="355"/>
        <v>10.051148714198638</v>
      </c>
      <c r="AU180" s="3">
        <f t="shared" si="355"/>
        <v>10.185837925321238</v>
      </c>
      <c r="AV180" s="3">
        <f t="shared" si="355"/>
        <v>10.32123036078567</v>
      </c>
      <c r="AW180" s="3">
        <f t="shared" si="355"/>
        <v>10.457399450606022</v>
      </c>
      <c r="AX180" s="3">
        <f t="shared" si="355"/>
        <v>10.59444512373773</v>
      </c>
      <c r="AY180" s="3">
        <f t="shared" si="355"/>
        <v>10.732485588161468</v>
      </c>
      <c r="AZ180" s="3">
        <f t="shared" si="355"/>
        <v>10.871653359740634</v>
      </c>
      <c r="BA180" s="3">
        <f t="shared" si="355"/>
        <v>11.012085585672445</v>
      </c>
      <c r="BB180" s="3">
        <f t="shared" si="355"/>
        <v>11.153918858034794</v>
      </c>
      <c r="BC180" s="3">
        <f t="shared" si="355"/>
        <v>11.297277533674912</v>
      </c>
      <c r="BD180" s="3">
        <f t="shared" si="355"/>
        <v>11.442271546088133</v>
      </c>
      <c r="BE180" s="3">
        <f t="shared" si="355"/>
        <v>11.588993610841488</v>
      </c>
      <c r="BF180" s="3">
        <f t="shared" si="355"/>
        <v>11.737524187004013</v>
      </c>
      <c r="BG180" s="3">
        <f t="shared" si="355"/>
        <v>11.887938437835995</v>
      </c>
      <c r="BH180" s="3">
        <f t="shared" si="355"/>
        <v>12.040316552753881</v>
      </c>
      <c r="BI180" s="3">
        <f t="shared" si="355"/>
        <v>12.194757145328195</v>
      </c>
    </row>
    <row r="181" spans="1:61" outlineLevel="1" x14ac:dyDescent="0.3">
      <c r="C181" t="s">
        <v>170</v>
      </c>
      <c r="D181" s="3">
        <f t="shared" ref="D181:N181" si="356">D108</f>
        <v>44.390367813039425</v>
      </c>
      <c r="E181" s="3">
        <f t="shared" si="356"/>
        <v>45.66183179500419</v>
      </c>
      <c r="F181" s="3">
        <f t="shared" si="356"/>
        <v>47.313310666162963</v>
      </c>
      <c r="G181" s="3">
        <f t="shared" si="356"/>
        <v>49.294395458388706</v>
      </c>
      <c r="H181" s="3">
        <f t="shared" si="356"/>
        <v>49.452723318038259</v>
      </c>
      <c r="I181" s="3">
        <f t="shared" si="356"/>
        <v>52.902035710224041</v>
      </c>
      <c r="J181" s="3">
        <f t="shared" si="356"/>
        <v>53.914986512931726</v>
      </c>
      <c r="K181" s="3">
        <f t="shared" si="356"/>
        <v>60.40446107784431</v>
      </c>
      <c r="L181" s="3">
        <f t="shared" si="356"/>
        <v>58.072309644670057</v>
      </c>
      <c r="M181" s="3">
        <f t="shared" si="356"/>
        <v>61.52097715736042</v>
      </c>
      <c r="N181" s="3">
        <f t="shared" si="356"/>
        <v>63.081586294416248</v>
      </c>
      <c r="O181" s="3">
        <f t="shared" ref="O181:BI181" si="357">((((O108/O$112)+($N108/$N$112))/2)*O$172)</f>
        <v>64.076086604010328</v>
      </c>
      <c r="P181" s="3">
        <f t="shared" si="357"/>
        <v>65.149303861436863</v>
      </c>
      <c r="Q181" s="3">
        <f t="shared" si="357"/>
        <v>66.23271685560772</v>
      </c>
      <c r="R181" s="3">
        <f t="shared" si="357"/>
        <v>67.325520991868771</v>
      </c>
      <c r="S181" s="3">
        <f t="shared" si="357"/>
        <v>68.427664522410254</v>
      </c>
      <c r="T181" s="3">
        <f t="shared" si="357"/>
        <v>69.539775591402588</v>
      </c>
      <c r="U181" s="3">
        <f t="shared" si="357"/>
        <v>70.662719733766522</v>
      </c>
      <c r="V181" s="3">
        <f t="shared" si="357"/>
        <v>71.797375809338803</v>
      </c>
      <c r="W181" s="3">
        <f t="shared" si="357"/>
        <v>72.9445025171418</v>
      </c>
      <c r="X181" s="3">
        <f t="shared" si="357"/>
        <v>74.10479263115829</v>
      </c>
      <c r="Y181" s="3">
        <f t="shared" si="357"/>
        <v>75.278787706719825</v>
      </c>
      <c r="Z181" s="3">
        <f t="shared" si="357"/>
        <v>76.466679392288583</v>
      </c>
      <c r="AA181" s="3">
        <f t="shared" si="357"/>
        <v>77.668121293829429</v>
      </c>
      <c r="AB181" s="3">
        <f t="shared" si="357"/>
        <v>78.882155137584462</v>
      </c>
      <c r="AC181" s="3">
        <f t="shared" si="357"/>
        <v>80.107313810054791</v>
      </c>
      <c r="AD181" s="3">
        <f t="shared" si="357"/>
        <v>81.341927904476876</v>
      </c>
      <c r="AE181" s="3">
        <f t="shared" si="357"/>
        <v>82.584439188803856</v>
      </c>
      <c r="AF181" s="3">
        <f t="shared" si="357"/>
        <v>83.833761475682465</v>
      </c>
      <c r="AG181" s="3">
        <f t="shared" si="357"/>
        <v>85.089365603229027</v>
      </c>
      <c r="AH181" s="3">
        <f t="shared" si="357"/>
        <v>86.351201337714471</v>
      </c>
      <c r="AI181" s="3">
        <f t="shared" si="357"/>
        <v>87.619540332157911</v>
      </c>
      <c r="AJ181" s="3">
        <f t="shared" si="357"/>
        <v>88.894881988979023</v>
      </c>
      <c r="AK181" s="3">
        <f t="shared" si="357"/>
        <v>90.177831510998161</v>
      </c>
      <c r="AL181" s="3">
        <f t="shared" si="357"/>
        <v>91.469078904170019</v>
      </c>
      <c r="AM181" s="3">
        <f t="shared" si="357"/>
        <v>92.769202252544517</v>
      </c>
      <c r="AN181" s="3">
        <f t="shared" si="357"/>
        <v>94.078586657031479</v>
      </c>
      <c r="AO181" s="3">
        <f t="shared" si="357"/>
        <v>95.397323586327545</v>
      </c>
      <c r="AP181" s="3">
        <f t="shared" si="357"/>
        <v>96.725272315928578</v>
      </c>
      <c r="AQ181" s="3">
        <f t="shared" si="357"/>
        <v>98.062011844663232</v>
      </c>
      <c r="AR181" s="3">
        <f t="shared" si="357"/>
        <v>99.406894617611243</v>
      </c>
      <c r="AS181" s="3">
        <f t="shared" si="357"/>
        <v>100.75918748740995</v>
      </c>
      <c r="AT181" s="3">
        <f t="shared" si="357"/>
        <v>102.11834639504499</v>
      </c>
      <c r="AU181" s="3">
        <f t="shared" si="357"/>
        <v>103.48423266798372</v>
      </c>
      <c r="AV181" s="3">
        <f t="shared" si="357"/>
        <v>104.85718494029354</v>
      </c>
      <c r="AW181" s="3">
        <f t="shared" si="357"/>
        <v>106.23794905007063</v>
      </c>
      <c r="AX181" s="3">
        <f t="shared" si="357"/>
        <v>107.62753996617391</v>
      </c>
      <c r="AY181" s="3">
        <f t="shared" si="357"/>
        <v>109.02715824969613</v>
      </c>
      <c r="AZ181" s="3">
        <f t="shared" si="357"/>
        <v>110.43814968839396</v>
      </c>
      <c r="BA181" s="3">
        <f t="shared" si="357"/>
        <v>111.86190698109178</v>
      </c>
      <c r="BB181" s="3">
        <f t="shared" si="357"/>
        <v>113.29981704670203</v>
      </c>
      <c r="BC181" s="3">
        <f t="shared" si="357"/>
        <v>114.75314238146251</v>
      </c>
      <c r="BD181" s="3">
        <f t="shared" si="357"/>
        <v>116.22299884770153</v>
      </c>
      <c r="BE181" s="3">
        <f t="shared" si="357"/>
        <v>117.71032730645733</v>
      </c>
      <c r="BF181" s="3">
        <f t="shared" si="357"/>
        <v>119.21594403106343</v>
      </c>
      <c r="BG181" s="3">
        <f t="shared" si="357"/>
        <v>120.74061141891524</v>
      </c>
      <c r="BH181" s="3">
        <f t="shared" si="357"/>
        <v>122.28514283079109</v>
      </c>
      <c r="BI181" s="3">
        <f t="shared" si="357"/>
        <v>123.85053865464008</v>
      </c>
    </row>
    <row r="182" spans="1:61" outlineLevel="1" x14ac:dyDescent="0.3">
      <c r="C182" t="s">
        <v>171</v>
      </c>
      <c r="D182" s="3">
        <f t="shared" ref="D182:N182" si="358">D109</f>
        <v>41.725422918603108</v>
      </c>
      <c r="E182" s="3">
        <f t="shared" si="358"/>
        <v>42.9205989801846</v>
      </c>
      <c r="F182" s="3">
        <f t="shared" si="358"/>
        <v>44.478104143055049</v>
      </c>
      <c r="G182" s="3">
        <f t="shared" si="358"/>
        <v>46.332885614204621</v>
      </c>
      <c r="H182" s="3">
        <f t="shared" si="358"/>
        <v>46.483275728502477</v>
      </c>
      <c r="I182" s="3">
        <f t="shared" si="358"/>
        <v>49.72843170703969</v>
      </c>
      <c r="J182" s="3">
        <f t="shared" si="358"/>
        <v>50.673456920717214</v>
      </c>
      <c r="K182" s="3">
        <f t="shared" si="358"/>
        <v>56.770329341317371</v>
      </c>
      <c r="L182" s="3">
        <f t="shared" si="358"/>
        <v>54.581624365482234</v>
      </c>
      <c r="M182" s="3">
        <f t="shared" si="358"/>
        <v>57.82299492385787</v>
      </c>
      <c r="N182" s="3">
        <f t="shared" si="358"/>
        <v>59.289796954314717</v>
      </c>
      <c r="O182" s="3">
        <f t="shared" ref="O182:BI182" si="359">((((O109/O$112)+($N109/$N$112))/2)*O$172)</f>
        <v>60.224258640996851</v>
      </c>
      <c r="P182" s="3">
        <f t="shared" si="359"/>
        <v>61.232689483998989</v>
      </c>
      <c r="Q182" s="3">
        <f t="shared" si="359"/>
        <v>62.250686687221872</v>
      </c>
      <c r="R182" s="3">
        <f t="shared" si="359"/>
        <v>63.277493698273247</v>
      </c>
      <c r="S182" s="3">
        <f t="shared" si="359"/>
        <v>64.313061568450905</v>
      </c>
      <c r="T182" s="3">
        <f t="shared" si="359"/>
        <v>65.357980368665864</v>
      </c>
      <c r="U182" s="3">
        <f t="shared" si="359"/>
        <v>66.413063284321609</v>
      </c>
      <c r="V182" s="3">
        <f t="shared" si="359"/>
        <v>67.479136019517341</v>
      </c>
      <c r="W182" s="3">
        <f t="shared" si="359"/>
        <v>68.556911339212803</v>
      </c>
      <c r="X182" s="3">
        <f t="shared" si="359"/>
        <v>69.647040044543573</v>
      </c>
      <c r="Y182" s="3">
        <f t="shared" si="359"/>
        <v>70.750030811319149</v>
      </c>
      <c r="Z182" s="3">
        <f t="shared" si="359"/>
        <v>71.86606345903202</v>
      </c>
      <c r="AA182" s="3">
        <f t="shared" si="359"/>
        <v>72.994812143965973</v>
      </c>
      <c r="AB182" s="3">
        <f t="shared" si="359"/>
        <v>74.135375979185056</v>
      </c>
      <c r="AC182" s="3">
        <f t="shared" si="359"/>
        <v>75.286375890093623</v>
      </c>
      <c r="AD182" s="3">
        <f t="shared" si="359"/>
        <v>76.446242725390533</v>
      </c>
      <c r="AE182" s="3">
        <f t="shared" si="359"/>
        <v>77.613511863134477</v>
      </c>
      <c r="AF182" s="3">
        <f t="shared" si="359"/>
        <v>78.787162354810008</v>
      </c>
      <c r="AG182" s="3">
        <f t="shared" si="359"/>
        <v>79.9666967770806</v>
      </c>
      <c r="AH182" s="3">
        <f t="shared" si="359"/>
        <v>81.152067820749636</v>
      </c>
      <c r="AI182" s="3">
        <f t="shared" si="359"/>
        <v>82.343530691398485</v>
      </c>
      <c r="AJ182" s="3">
        <f t="shared" si="359"/>
        <v>83.541554631040171</v>
      </c>
      <c r="AK182" s="3">
        <f t="shared" si="359"/>
        <v>84.746708306213591</v>
      </c>
      <c r="AL182" s="3">
        <f t="shared" si="359"/>
        <v>85.959640071428026</v>
      </c>
      <c r="AM182" s="3">
        <f t="shared" si="359"/>
        <v>87.180893091186988</v>
      </c>
      <c r="AN182" s="3">
        <f t="shared" si="359"/>
        <v>88.410829164822346</v>
      </c>
      <c r="AO182" s="3">
        <f t="shared" si="359"/>
        <v>89.649534146778123</v>
      </c>
      <c r="AP182" s="3">
        <f t="shared" si="359"/>
        <v>90.896875691887871</v>
      </c>
      <c r="AQ182" s="3">
        <f t="shared" si="359"/>
        <v>92.15245807628682</v>
      </c>
      <c r="AR182" s="3">
        <f t="shared" si="359"/>
        <v>93.415672690817161</v>
      </c>
      <c r="AS182" s="3">
        <f t="shared" si="359"/>
        <v>94.685830512571698</v>
      </c>
      <c r="AT182" s="3">
        <f t="shared" si="359"/>
        <v>95.962420229773798</v>
      </c>
      <c r="AU182" s="3">
        <f t="shared" si="359"/>
        <v>97.245311493386197</v>
      </c>
      <c r="AV182" s="3">
        <f t="shared" si="359"/>
        <v>98.534822487619508</v>
      </c>
      <c r="AW182" s="3">
        <f t="shared" si="359"/>
        <v>99.83165403899838</v>
      </c>
      <c r="AX182" s="3">
        <f t="shared" si="359"/>
        <v>101.13675985644313</v>
      </c>
      <c r="AY182" s="3">
        <f t="shared" si="359"/>
        <v>102.45126802210372</v>
      </c>
      <c r="AZ182" s="3">
        <f t="shared" si="359"/>
        <v>103.77644305413556</v>
      </c>
      <c r="BA182" s="3">
        <f t="shared" si="359"/>
        <v>105.1135935169836</v>
      </c>
      <c r="BB182" s="3">
        <f t="shared" si="359"/>
        <v>106.46402250743679</v>
      </c>
      <c r="BC182" s="3">
        <f t="shared" si="359"/>
        <v>107.82891617054918</v>
      </c>
      <c r="BD182" s="3">
        <f t="shared" si="359"/>
        <v>109.20932283246718</v>
      </c>
      <c r="BE182" s="3">
        <f t="shared" si="359"/>
        <v>110.60612634960177</v>
      </c>
      <c r="BF182" s="3">
        <f t="shared" si="359"/>
        <v>112.02009348474878</v>
      </c>
      <c r="BG182" s="3">
        <f t="shared" si="359"/>
        <v>113.45194035414397</v>
      </c>
      <c r="BH182" s="3">
        <f t="shared" si="359"/>
        <v>114.90243093895398</v>
      </c>
      <c r="BI182" s="3">
        <f t="shared" si="359"/>
        <v>116.37250493181342</v>
      </c>
    </row>
    <row r="183" spans="1:61" outlineLevel="1" x14ac:dyDescent="0.3">
      <c r="C183" t="s">
        <v>75</v>
      </c>
      <c r="D183" s="3">
        <f t="shared" ref="D183:N183" si="360">D110</f>
        <v>182.60999999999999</v>
      </c>
      <c r="E183" s="3">
        <f t="shared" si="360"/>
        <v>184.3974530738526</v>
      </c>
      <c r="F183" s="3">
        <f t="shared" si="360"/>
        <v>183.44828773919207</v>
      </c>
      <c r="G183" s="3">
        <f t="shared" si="360"/>
        <v>182.47234194775015</v>
      </c>
      <c r="H183" s="3">
        <f t="shared" si="360"/>
        <v>181.78171642213786</v>
      </c>
      <c r="I183" s="3">
        <f t="shared" si="360"/>
        <v>180.89318383798098</v>
      </c>
      <c r="J183" s="3">
        <f t="shared" si="360"/>
        <v>177.38008973208568</v>
      </c>
      <c r="K183" s="3">
        <f t="shared" si="360"/>
        <v>192.50060249848184</v>
      </c>
      <c r="L183" s="3">
        <f t="shared" si="360"/>
        <v>181.34476849848551</v>
      </c>
      <c r="M183" s="3">
        <f t="shared" si="360"/>
        <v>183.02408048463869</v>
      </c>
      <c r="N183" s="3">
        <f t="shared" si="360"/>
        <v>177.63301817395063</v>
      </c>
      <c r="O183" s="3">
        <f t="shared" ref="O183:BI183" si="361">((((O110/O$112)+($N110/$N$112))/2)*O$172)</f>
        <v>177.01643519112957</v>
      </c>
      <c r="P183" s="3">
        <f t="shared" si="361"/>
        <v>176.54041939335281</v>
      </c>
      <c r="Q183" s="3">
        <f t="shared" si="361"/>
        <v>176.01448085676483</v>
      </c>
      <c r="R183" s="3">
        <f t="shared" si="361"/>
        <v>175.43905013970951</v>
      </c>
      <c r="S183" s="3">
        <f t="shared" si="361"/>
        <v>174.81670151174075</v>
      </c>
      <c r="T183" s="3">
        <f t="shared" si="361"/>
        <v>174.15176483078321</v>
      </c>
      <c r="U183" s="3">
        <f t="shared" si="361"/>
        <v>173.44905943568295</v>
      </c>
      <c r="V183" s="3">
        <f t="shared" si="361"/>
        <v>172.71329108805517</v>
      </c>
      <c r="W183" s="3">
        <f t="shared" si="361"/>
        <v>171.94873059138749</v>
      </c>
      <c r="X183" s="3">
        <f t="shared" si="361"/>
        <v>171.15936496030599</v>
      </c>
      <c r="Y183" s="3">
        <f t="shared" si="361"/>
        <v>170.34871694951164</v>
      </c>
      <c r="Z183" s="3">
        <f t="shared" si="361"/>
        <v>169.51943660661172</v>
      </c>
      <c r="AA183" s="3">
        <f t="shared" si="361"/>
        <v>168.67296839541413</v>
      </c>
      <c r="AB183" s="3">
        <f t="shared" si="361"/>
        <v>167.80950779027754</v>
      </c>
      <c r="AC183" s="3">
        <f t="shared" si="361"/>
        <v>166.92833944602535</v>
      </c>
      <c r="AD183" s="3">
        <f t="shared" si="361"/>
        <v>166.02855693248173</v>
      </c>
      <c r="AE183" s="3">
        <f t="shared" si="361"/>
        <v>165.10971310149267</v>
      </c>
      <c r="AF183" s="3">
        <f t="shared" si="361"/>
        <v>164.1724838639403</v>
      </c>
      <c r="AG183" s="3">
        <f t="shared" si="361"/>
        <v>163.218717695066</v>
      </c>
      <c r="AH183" s="3">
        <f t="shared" si="361"/>
        <v>162.25116532234662</v>
      </c>
      <c r="AI183" s="3">
        <f t="shared" si="361"/>
        <v>161.27308992171024</v>
      </c>
      <c r="AJ183" s="3">
        <f t="shared" si="361"/>
        <v>160.28803293295039</v>
      </c>
      <c r="AK183" s="3">
        <f t="shared" si="361"/>
        <v>159.29955623860337</v>
      </c>
      <c r="AL183" s="3">
        <f t="shared" si="361"/>
        <v>158.31118875767035</v>
      </c>
      <c r="AM183" s="3">
        <f t="shared" si="361"/>
        <v>157.3260813051985</v>
      </c>
      <c r="AN183" s="3">
        <f t="shared" si="361"/>
        <v>156.34689536578796</v>
      </c>
      <c r="AO183" s="3">
        <f t="shared" si="361"/>
        <v>155.37567503902352</v>
      </c>
      <c r="AP183" s="3">
        <f t="shared" si="361"/>
        <v>154.41399514181578</v>
      </c>
      <c r="AQ183" s="3">
        <f t="shared" si="361"/>
        <v>153.46292293682555</v>
      </c>
      <c r="AR183" s="3">
        <f t="shared" si="361"/>
        <v>152.52314234202501</v>
      </c>
      <c r="AS183" s="3">
        <f t="shared" si="361"/>
        <v>151.59519668134467</v>
      </c>
      <c r="AT183" s="3">
        <f t="shared" si="361"/>
        <v>150.6799018567016</v>
      </c>
      <c r="AU183" s="3">
        <f t="shared" si="361"/>
        <v>149.77862796739876</v>
      </c>
      <c r="AV183" s="3">
        <f t="shared" si="361"/>
        <v>148.89334304811092</v>
      </c>
      <c r="AW183" s="3">
        <f t="shared" si="361"/>
        <v>148.02645254878641</v>
      </c>
      <c r="AX183" s="3">
        <f t="shared" si="361"/>
        <v>147.18056247719329</v>
      </c>
      <c r="AY183" s="3">
        <f t="shared" si="361"/>
        <v>146.3583412411117</v>
      </c>
      <c r="AZ183" s="3">
        <f t="shared" si="361"/>
        <v>145.56245354774211</v>
      </c>
      <c r="BA183" s="3">
        <f t="shared" si="361"/>
        <v>144.79542688606381</v>
      </c>
      <c r="BB183" s="3">
        <f t="shared" si="361"/>
        <v>144.05959085666655</v>
      </c>
      <c r="BC183" s="3">
        <f t="shared" si="361"/>
        <v>143.35694132132977</v>
      </c>
      <c r="BD183" s="3">
        <f t="shared" si="361"/>
        <v>142.6891378754853</v>
      </c>
      <c r="BE183" s="3">
        <f t="shared" si="361"/>
        <v>142.05749506387033</v>
      </c>
      <c r="BF183" s="3">
        <f t="shared" si="361"/>
        <v>141.46306874226843</v>
      </c>
      <c r="BG183" s="3">
        <f t="shared" si="361"/>
        <v>140.90675821558176</v>
      </c>
      <c r="BH183" s="3">
        <f t="shared" si="361"/>
        <v>140.38943807366789</v>
      </c>
      <c r="BI183" s="3">
        <f t="shared" si="361"/>
        <v>139.91211301668076</v>
      </c>
    </row>
    <row r="184" spans="1:61" outlineLevel="1" x14ac:dyDescent="0.3">
      <c r="C184" t="s">
        <v>62</v>
      </c>
      <c r="D184" s="3">
        <f t="shared" ref="D184:N184" si="362">D111</f>
        <v>535.70000000000005</v>
      </c>
      <c r="E184" s="3">
        <f t="shared" si="362"/>
        <v>539.60254692614751</v>
      </c>
      <c r="F184" s="3">
        <f t="shared" si="362"/>
        <v>534.17171226080779</v>
      </c>
      <c r="G184" s="3">
        <f t="shared" si="362"/>
        <v>529.1076580522498</v>
      </c>
      <c r="H184" s="3">
        <f t="shared" si="362"/>
        <v>526.05828357786208</v>
      </c>
      <c r="I184" s="3">
        <f t="shared" si="362"/>
        <v>521.33681616201886</v>
      </c>
      <c r="J184" s="3">
        <f t="shared" si="362"/>
        <v>508.99991026791434</v>
      </c>
      <c r="K184" s="3">
        <f t="shared" si="362"/>
        <v>548.50939750151804</v>
      </c>
      <c r="L184" s="3">
        <f t="shared" si="362"/>
        <v>511.93523150151452</v>
      </c>
      <c r="M184" s="3">
        <f t="shared" si="362"/>
        <v>516.67591951536133</v>
      </c>
      <c r="N184" s="3">
        <f t="shared" si="362"/>
        <v>501.4569818260494</v>
      </c>
      <c r="O184" s="3">
        <f t="shared" ref="O184:BI184" si="363">((((O111/O$112)+($N111/$N$112))/2)*O$172)</f>
        <v>498.76319752600244</v>
      </c>
      <c r="P184" s="3">
        <f t="shared" si="363"/>
        <v>496.48393114048832</v>
      </c>
      <c r="Q184" s="3">
        <f t="shared" si="363"/>
        <v>494.08256316968198</v>
      </c>
      <c r="R184" s="3">
        <f t="shared" si="363"/>
        <v>491.56141120039081</v>
      </c>
      <c r="S184" s="3">
        <f t="shared" si="363"/>
        <v>488.92875627772008</v>
      </c>
      <c r="T184" s="3">
        <f t="shared" si="363"/>
        <v>486.19770389862083</v>
      </c>
      <c r="U184" s="3">
        <f t="shared" si="363"/>
        <v>483.38261227192714</v>
      </c>
      <c r="V184" s="3">
        <f t="shared" si="363"/>
        <v>480.49740428145122</v>
      </c>
      <c r="W184" s="3">
        <f t="shared" si="363"/>
        <v>477.55467974522031</v>
      </c>
      <c r="X184" s="3">
        <f t="shared" si="363"/>
        <v>474.56614691445168</v>
      </c>
      <c r="Y184" s="3">
        <f t="shared" si="363"/>
        <v>471.54213141807077</v>
      </c>
      <c r="Z184" s="3">
        <f t="shared" si="363"/>
        <v>468.49045977364585</v>
      </c>
      <c r="AA184" s="3">
        <f t="shared" si="363"/>
        <v>465.41556159653419</v>
      </c>
      <c r="AB184" s="3">
        <f t="shared" si="363"/>
        <v>462.31837664246115</v>
      </c>
      <c r="AC184" s="3">
        <f t="shared" si="363"/>
        <v>459.19731082966621</v>
      </c>
      <c r="AD184" s="3">
        <f t="shared" si="363"/>
        <v>456.05023020452052</v>
      </c>
      <c r="AE184" s="3">
        <f t="shared" si="363"/>
        <v>452.87624616055018</v>
      </c>
      <c r="AF184" s="3">
        <f t="shared" si="363"/>
        <v>449.67752212701834</v>
      </c>
      <c r="AG184" s="3">
        <f t="shared" si="363"/>
        <v>446.459386010814</v>
      </c>
      <c r="AH184" s="3">
        <f t="shared" si="363"/>
        <v>443.22956989657581</v>
      </c>
      <c r="AI184" s="3">
        <f t="shared" si="363"/>
        <v>439.99713155087329</v>
      </c>
      <c r="AJ184" s="3">
        <f t="shared" si="363"/>
        <v>436.7718096003411</v>
      </c>
      <c r="AK184" s="3">
        <f t="shared" si="363"/>
        <v>433.56332004750038</v>
      </c>
      <c r="AL184" s="3">
        <f t="shared" si="363"/>
        <v>430.381214035656</v>
      </c>
      <c r="AM184" s="3">
        <f t="shared" si="363"/>
        <v>427.23394458691149</v>
      </c>
      <c r="AN184" s="3">
        <f t="shared" si="363"/>
        <v>424.12857394173477</v>
      </c>
      <c r="AO184" s="3">
        <f t="shared" si="363"/>
        <v>421.07043657772772</v>
      </c>
      <c r="AP184" s="3">
        <f t="shared" si="363"/>
        <v>418.06355111576784</v>
      </c>
      <c r="AQ184" s="3">
        <f t="shared" si="363"/>
        <v>415.1105248431578</v>
      </c>
      <c r="AR184" s="3">
        <f t="shared" si="363"/>
        <v>412.21289710234691</v>
      </c>
      <c r="AS184" s="3">
        <f t="shared" si="363"/>
        <v>409.37180026208279</v>
      </c>
      <c r="AT184" s="3">
        <f t="shared" si="363"/>
        <v>406.58907688343754</v>
      </c>
      <c r="AU184" s="3">
        <f t="shared" si="363"/>
        <v>403.86803720134094</v>
      </c>
      <c r="AV184" s="3">
        <f t="shared" si="363"/>
        <v>401.21357322148481</v>
      </c>
      <c r="AW184" s="3">
        <f t="shared" si="363"/>
        <v>398.63172353955338</v>
      </c>
      <c r="AX184" s="3">
        <f t="shared" si="363"/>
        <v>396.12903547391721</v>
      </c>
      <c r="AY184" s="3">
        <f t="shared" si="363"/>
        <v>393.7121956473232</v>
      </c>
      <c r="AZ184" s="3">
        <f t="shared" si="363"/>
        <v>391.38785582490829</v>
      </c>
      <c r="BA184" s="3">
        <f t="shared" si="363"/>
        <v>389.16227817080841</v>
      </c>
      <c r="BB184" s="3">
        <f t="shared" si="363"/>
        <v>387.04117703276592</v>
      </c>
      <c r="BC184" s="3">
        <f t="shared" si="363"/>
        <v>385.02935885217153</v>
      </c>
      <c r="BD184" s="3">
        <f t="shared" si="363"/>
        <v>383.13072025323146</v>
      </c>
      <c r="BE184" s="3">
        <f t="shared" si="363"/>
        <v>381.34822867260539</v>
      </c>
      <c r="BF184" s="3">
        <f t="shared" si="363"/>
        <v>379.68415770829972</v>
      </c>
      <c r="BG184" s="3">
        <f t="shared" si="363"/>
        <v>378.14036393288268</v>
      </c>
      <c r="BH184" s="3">
        <f t="shared" si="363"/>
        <v>376.71864273266021</v>
      </c>
      <c r="BI184" s="3">
        <f t="shared" si="363"/>
        <v>375.42114541231291</v>
      </c>
    </row>
    <row r="185" spans="1:61" outlineLevel="1" x14ac:dyDescent="0.3">
      <c r="C185" t="s">
        <v>179</v>
      </c>
      <c r="D185" s="3">
        <f>SUM(D175:D184)</f>
        <v>909.45</v>
      </c>
      <c r="E185" s="3">
        <f t="shared" ref="E185:N185" si="364">SUM(E175:E184)</f>
        <v>920.62000000000012</v>
      </c>
      <c r="F185" s="3">
        <f t="shared" si="364"/>
        <v>921.36999999999989</v>
      </c>
      <c r="G185" s="3">
        <f t="shared" si="364"/>
        <v>923.8599999999999</v>
      </c>
      <c r="H185" s="3">
        <f t="shared" si="364"/>
        <v>920.79</v>
      </c>
      <c r="I185" s="3">
        <f t="shared" si="364"/>
        <v>930.02999999999986</v>
      </c>
      <c r="J185" s="3">
        <f t="shared" si="364"/>
        <v>918.53</v>
      </c>
      <c r="K185" s="3">
        <f t="shared" si="364"/>
        <v>1001.1099999999999</v>
      </c>
      <c r="L185" s="3">
        <f t="shared" si="364"/>
        <v>943.34</v>
      </c>
      <c r="M185" s="3">
        <f t="shared" si="364"/>
        <v>964.61</v>
      </c>
      <c r="N185" s="3">
        <f t="shared" si="364"/>
        <v>950.72</v>
      </c>
      <c r="O185" s="3">
        <f t="shared" ref="O185" si="365">SUM(O175:O184)</f>
        <v>951.6924098816387</v>
      </c>
      <c r="P185" s="3">
        <f>SUM(P175:P184)</f>
        <v>953.55888879940608</v>
      </c>
      <c r="Q185" s="3">
        <f t="shared" ref="Q185" si="366">SUM(Q175:Q184)</f>
        <v>955.29727484520333</v>
      </c>
      <c r="R185" s="3">
        <f t="shared" ref="R185" si="367">SUM(R175:R184)</f>
        <v>956.90685212720962</v>
      </c>
      <c r="S185" s="3">
        <f t="shared" ref="S185" si="368">SUM(S175:S184)</f>
        <v>958.39825367279309</v>
      </c>
      <c r="T185" s="3">
        <f t="shared" ref="T185" si="369">SUM(T175:T184)</f>
        <v>959.79162017972976</v>
      </c>
      <c r="U185" s="3">
        <f t="shared" ref="U185" si="370">SUM(U175:U184)</f>
        <v>961.10985675766892</v>
      </c>
      <c r="V185" s="3">
        <f t="shared" ref="V185" si="371">SUM(V175:V184)</f>
        <v>962.37537700038979</v>
      </c>
      <c r="W185" s="3">
        <f t="shared" ref="W185" si="372">SUM(W175:W184)</f>
        <v>963.60831906595286</v>
      </c>
      <c r="X185" s="3">
        <f t="shared" ref="X185" si="373">SUM(X175:X184)</f>
        <v>964.82736188544413</v>
      </c>
      <c r="Y185" s="3">
        <f t="shared" ref="Y185" si="374">SUM(Y175:Y184)</f>
        <v>966.04868635229252</v>
      </c>
      <c r="Z185" s="3">
        <f t="shared" ref="Z185" si="375">SUM(Z175:Z184)</f>
        <v>967.28359480787901</v>
      </c>
      <c r="AA185" s="3">
        <f t="shared" ref="AA185" si="376">SUM(AA175:AA184)</f>
        <v>968.53647022535802</v>
      </c>
      <c r="AB185" s="3">
        <f t="shared" ref="AB185" si="377">SUM(AB175:AB184)</f>
        <v>969.80432187007023</v>
      </c>
      <c r="AC185" s="3">
        <f t="shared" ref="AC185" si="378">SUM(AC175:AC184)</f>
        <v>971.07852316694789</v>
      </c>
      <c r="AD185" s="3">
        <f t="shared" ref="AD185" si="379">SUM(AD175:AD184)</f>
        <v>972.34884540904557</v>
      </c>
      <c r="AE185" s="3">
        <f t="shared" ref="AE185" si="380">SUM(AE175:AE184)</f>
        <v>973.60724317388235</v>
      </c>
      <c r="AF185" s="3">
        <f t="shared" ref="AF185" si="381">SUM(AF175:AF184)</f>
        <v>974.85187875819247</v>
      </c>
      <c r="AG185" s="3">
        <f t="shared" ref="AG185" si="382">SUM(AG175:AG184)</f>
        <v>976.08765008930675</v>
      </c>
      <c r="AH185" s="3">
        <f t="shared" ref="AH185" si="383">SUM(AH175:AH184)</f>
        <v>977.32482383923093</v>
      </c>
      <c r="AI185" s="3">
        <f t="shared" ref="AI185" si="384">SUM(AI175:AI184)</f>
        <v>978.57689089890221</v>
      </c>
      <c r="AJ185" s="3">
        <f t="shared" ref="AJ185" si="385">SUM(AJ175:AJ184)</f>
        <v>979.85928201448246</v>
      </c>
      <c r="AK185" s="3">
        <f t="shared" ref="AK185" si="386">SUM(AK175:AK184)</f>
        <v>981.18788135656325</v>
      </c>
      <c r="AL185" s="3">
        <f t="shared" ref="AL185" si="387">SUM(AL175:AL184)</f>
        <v>982.57874046678012</v>
      </c>
      <c r="AM185" s="3">
        <f t="shared" ref="AM185" si="388">SUM(AM175:AM184)</f>
        <v>984.04595271719631</v>
      </c>
      <c r="AN185" s="3">
        <f t="shared" ref="AN185" si="389">SUM(AN175:AN184)</f>
        <v>985.60090034946279</v>
      </c>
      <c r="AO185" s="3">
        <f t="shared" ref="AO185" si="390">SUM(AO175:AO184)</f>
        <v>987.25135600952296</v>
      </c>
      <c r="AP185" s="3">
        <f t="shared" ref="AP185" si="391">SUM(AP175:AP184)</f>
        <v>989.00230731431793</v>
      </c>
      <c r="AQ185" s="3">
        <f t="shared" ref="AQ185" si="392">SUM(AQ175:AQ184)</f>
        <v>990.85561603107089</v>
      </c>
      <c r="AR185" s="3">
        <f t="shared" ref="AR185" si="393">SUM(AR175:AR184)</f>
        <v>992.81071700748885</v>
      </c>
      <c r="AS185" s="3">
        <f t="shared" ref="AS185" si="394">SUM(AS175:AS184)</f>
        <v>994.86612890324818</v>
      </c>
      <c r="AT185" s="3">
        <f t="shared" ref="AT185" si="395">SUM(AT175:AT184)</f>
        <v>997.02216738422862</v>
      </c>
      <c r="AU185" s="3">
        <f t="shared" ref="AU185" si="396">SUM(AU175:AU184)</f>
        <v>999.28291568320049</v>
      </c>
      <c r="AV185" s="3">
        <f t="shared" ref="AV185" si="397">SUM(AV175:AV184)</f>
        <v>1001.6566921693362</v>
      </c>
      <c r="AW185" s="3">
        <f t="shared" ref="AW185" si="398">SUM(AW175:AW184)</f>
        <v>1004.1551527886822</v>
      </c>
      <c r="AX185" s="3">
        <f t="shared" ref="AX185" si="399">SUM(AX175:AX184)</f>
        <v>1006.7918217705135</v>
      </c>
      <c r="AY185" s="3">
        <f t="shared" ref="AY185" si="400">SUM(AY175:AY184)</f>
        <v>1009.5812243197483</v>
      </c>
      <c r="AZ185" s="3">
        <f t="shared" ref="AZ185" si="401">SUM(AZ175:AZ184)</f>
        <v>1012.5384725363519</v>
      </c>
      <c r="BA185" s="3">
        <f t="shared" ref="BA185" si="402">SUM(BA175:BA184)</f>
        <v>1015.6783537783338</v>
      </c>
      <c r="BB185" s="3">
        <f t="shared" ref="BB185" si="403">SUM(BB175:BB184)</f>
        <v>1019.0148848713277</v>
      </c>
      <c r="BC185" s="3">
        <f t="shared" ref="BC185" si="404">SUM(BC175:BC184)</f>
        <v>1022.5603052443378</v>
      </c>
      <c r="BD185" s="3">
        <f t="shared" ref="BD185" si="405">SUM(BD175:BD184)</f>
        <v>1026.3249768340879</v>
      </c>
      <c r="BE185" s="3">
        <f t="shared" ref="BE185" si="406">SUM(BE175:BE184)</f>
        <v>1030.317233760373</v>
      </c>
      <c r="BF185" s="3">
        <f t="shared" ref="BF185" si="407">SUM(BF175:BF184)</f>
        <v>1034.5439211304624</v>
      </c>
      <c r="BG185" s="3">
        <f t="shared" ref="BG185" si="408">SUM(BG175:BG184)</f>
        <v>1039.0110785006627</v>
      </c>
      <c r="BH185" s="3">
        <f t="shared" ref="BH185" si="409">SUM(BH175:BH184)</f>
        <v>1043.7248790354893</v>
      </c>
      <c r="BI185" s="3">
        <f t="shared" ref="BI185" si="410">SUM(BI175:BI184)</f>
        <v>1048.6927873963446</v>
      </c>
    </row>
    <row r="186" spans="1:61" outlineLevel="1" x14ac:dyDescent="0.3"/>
    <row r="187" spans="1:61" x14ac:dyDescent="0.3">
      <c r="A187" t="s">
        <v>75</v>
      </c>
      <c r="D187">
        <v>2013</v>
      </c>
      <c r="E187">
        <v>2014</v>
      </c>
      <c r="F187">
        <v>2015</v>
      </c>
      <c r="G187">
        <v>2016</v>
      </c>
      <c r="H187">
        <v>2017</v>
      </c>
      <c r="I187">
        <v>2018</v>
      </c>
      <c r="J187">
        <v>2019</v>
      </c>
      <c r="K187">
        <v>2020</v>
      </c>
      <c r="L187">
        <v>2021</v>
      </c>
      <c r="M187">
        <v>2022</v>
      </c>
      <c r="N187">
        <v>2023</v>
      </c>
      <c r="O187">
        <v>2024</v>
      </c>
      <c r="P187">
        <v>2025</v>
      </c>
      <c r="Q187">
        <v>2026</v>
      </c>
      <c r="R187">
        <v>2027</v>
      </c>
      <c r="S187">
        <v>2028</v>
      </c>
      <c r="T187">
        <v>2029</v>
      </c>
      <c r="U187">
        <v>2030</v>
      </c>
      <c r="V187">
        <v>2031</v>
      </c>
      <c r="W187">
        <v>2032</v>
      </c>
      <c r="X187">
        <v>2033</v>
      </c>
      <c r="Y187">
        <v>2034</v>
      </c>
      <c r="Z187">
        <v>2035</v>
      </c>
      <c r="AA187">
        <v>2036</v>
      </c>
      <c r="AB187">
        <v>2037</v>
      </c>
      <c r="AC187">
        <v>2038</v>
      </c>
      <c r="AD187">
        <v>2039</v>
      </c>
      <c r="AE187">
        <v>2040</v>
      </c>
      <c r="AF187">
        <v>2041</v>
      </c>
      <c r="AG187">
        <v>2042</v>
      </c>
      <c r="AH187">
        <v>2043</v>
      </c>
      <c r="AI187">
        <v>2044</v>
      </c>
      <c r="AJ187">
        <v>2045</v>
      </c>
      <c r="AK187">
        <v>2046</v>
      </c>
      <c r="AL187">
        <v>2047</v>
      </c>
      <c r="AM187">
        <v>2048</v>
      </c>
      <c r="AN187">
        <v>2049</v>
      </c>
      <c r="AO187">
        <v>2050</v>
      </c>
      <c r="AP187">
        <v>2051</v>
      </c>
      <c r="AQ187">
        <v>2052</v>
      </c>
      <c r="AR187">
        <v>2053</v>
      </c>
      <c r="AS187">
        <v>2054</v>
      </c>
      <c r="AT187">
        <v>2055</v>
      </c>
      <c r="AU187">
        <v>2056</v>
      </c>
      <c r="AV187">
        <v>2057</v>
      </c>
      <c r="AW187">
        <v>2058</v>
      </c>
      <c r="AX187">
        <v>2059</v>
      </c>
      <c r="AY187">
        <v>2060</v>
      </c>
      <c r="AZ187">
        <v>2061</v>
      </c>
      <c r="BA187">
        <v>2062</v>
      </c>
      <c r="BB187">
        <v>2063</v>
      </c>
      <c r="BC187">
        <v>2064</v>
      </c>
      <c r="BD187">
        <v>2065</v>
      </c>
      <c r="BE187">
        <v>2066</v>
      </c>
      <c r="BF187">
        <v>2067</v>
      </c>
      <c r="BG187">
        <v>2068</v>
      </c>
      <c r="BH187">
        <v>2069</v>
      </c>
      <c r="BI187">
        <v>2070</v>
      </c>
    </row>
    <row r="188" spans="1:61" outlineLevel="1" x14ac:dyDescent="0.3">
      <c r="B188" t="s">
        <v>81</v>
      </c>
      <c r="D188" s="3">
        <f t="shared" ref="D188:D193" si="411">D44</f>
        <v>4.04</v>
      </c>
      <c r="E188" s="3">
        <f t="shared" ref="E188:N188" si="412">E44</f>
        <v>4.53</v>
      </c>
      <c r="F188" s="3">
        <f t="shared" si="412"/>
        <v>5.29</v>
      </c>
      <c r="G188" s="3">
        <f t="shared" si="412"/>
        <v>6.1</v>
      </c>
      <c r="H188" s="3">
        <f t="shared" si="412"/>
        <v>6.42</v>
      </c>
      <c r="I188" s="3">
        <f t="shared" si="412"/>
        <v>7.11</v>
      </c>
      <c r="J188" s="3">
        <f t="shared" si="412"/>
        <v>7.89</v>
      </c>
      <c r="K188" s="3">
        <f t="shared" si="412"/>
        <v>9.01</v>
      </c>
      <c r="L188" s="3">
        <f t="shared" si="412"/>
        <v>10.69</v>
      </c>
      <c r="M188" s="3">
        <f t="shared" si="412"/>
        <v>12.37</v>
      </c>
      <c r="N188" s="3">
        <f t="shared" si="412"/>
        <v>14.049999999999999</v>
      </c>
      <c r="O188" s="3">
        <f>O203/SUM(O$203:O$208)*O$183</f>
        <v>14.918047423323577</v>
      </c>
      <c r="P188" s="3">
        <f t="shared" ref="P188:BI193" si="413">P203/SUM(P$203:P$208)*P$183</f>
        <v>15.792282268661967</v>
      </c>
      <c r="Q188" s="3">
        <f t="shared" si="413"/>
        <v>16.656861920140926</v>
      </c>
      <c r="R188" s="3">
        <f t="shared" si="413"/>
        <v>17.511053662479394</v>
      </c>
      <c r="S188" s="3">
        <f t="shared" si="413"/>
        <v>18.354358772885373</v>
      </c>
      <c r="T188" s="3">
        <f t="shared" si="413"/>
        <v>19.186525275389382</v>
      </c>
      <c r="U188" s="3">
        <f t="shared" si="413"/>
        <v>20.00744735799023</v>
      </c>
      <c r="V188" s="3">
        <f t="shared" si="413"/>
        <v>20.817105361929141</v>
      </c>
      <c r="W188" s="3">
        <f t="shared" si="413"/>
        <v>21.61552243994478</v>
      </c>
      <c r="X188" s="3">
        <f t="shared" si="413"/>
        <v>22.402773078739887</v>
      </c>
      <c r="Y188" s="3">
        <f t="shared" si="413"/>
        <v>23.178951193606032</v>
      </c>
      <c r="Z188" s="3">
        <f t="shared" si="413"/>
        <v>23.944100413869315</v>
      </c>
      <c r="AA188" s="3">
        <f t="shared" si="413"/>
        <v>24.698142741075575</v>
      </c>
      <c r="AB188" s="3">
        <f t="shared" si="413"/>
        <v>25.440840748217511</v>
      </c>
      <c r="AC188" s="3">
        <f t="shared" si="413"/>
        <v>26.171818255333466</v>
      </c>
      <c r="AD188" s="3">
        <f t="shared" si="413"/>
        <v>26.890653313694123</v>
      </c>
      <c r="AE188" s="3">
        <f t="shared" si="413"/>
        <v>27.596981961884318</v>
      </c>
      <c r="AF188" s="3">
        <f t="shared" si="413"/>
        <v>28.290624503299746</v>
      </c>
      <c r="AG188" s="3">
        <f t="shared" si="413"/>
        <v>28.971623376580322</v>
      </c>
      <c r="AH188" s="3">
        <f t="shared" si="413"/>
        <v>29.640224139844548</v>
      </c>
      <c r="AI188" s="3">
        <f t="shared" si="413"/>
        <v>30.296825607052103</v>
      </c>
      <c r="AJ188" s="3">
        <f t="shared" si="413"/>
        <v>30.94194791164259</v>
      </c>
      <c r="AK188" s="3">
        <f t="shared" si="413"/>
        <v>31.576188607529577</v>
      </c>
      <c r="AL188" s="3">
        <f t="shared" si="413"/>
        <v>32.200212335752006</v>
      </c>
      <c r="AM188" s="3">
        <f t="shared" si="413"/>
        <v>32.81467798231877</v>
      </c>
      <c r="AN188" s="3">
        <f t="shared" si="413"/>
        <v>33.420205111276253</v>
      </c>
      <c r="AO188" s="3">
        <f t="shared" si="413"/>
        <v>34.017333257069566</v>
      </c>
      <c r="AP188" s="3">
        <f t="shared" si="413"/>
        <v>34.606539128515543</v>
      </c>
      <c r="AQ188" s="3">
        <f t="shared" si="413"/>
        <v>35.188215680622399</v>
      </c>
      <c r="AR188" s="3">
        <f t="shared" si="413"/>
        <v>35.762688094673194</v>
      </c>
      <c r="AS188" s="3">
        <f t="shared" si="413"/>
        <v>36.330262026941881</v>
      </c>
      <c r="AT188" s="3">
        <f t="shared" si="413"/>
        <v>36.8913211257155</v>
      </c>
      <c r="AU188" s="3">
        <f t="shared" si="413"/>
        <v>37.446404498208871</v>
      </c>
      <c r="AV188" s="3">
        <f t="shared" si="413"/>
        <v>37.996232223800469</v>
      </c>
      <c r="AW188" s="3">
        <f t="shared" si="413"/>
        <v>38.541679043732856</v>
      </c>
      <c r="AX188" s="3">
        <f t="shared" si="413"/>
        <v>39.083722791203471</v>
      </c>
      <c r="AY188" s="3">
        <f t="shared" si="413"/>
        <v>39.623412181791124</v>
      </c>
      <c r="AZ188" s="3">
        <f t="shared" si="413"/>
        <v>40.161850191705405</v>
      </c>
      <c r="BA188" s="3">
        <f t="shared" si="413"/>
        <v>40.683383432296949</v>
      </c>
      <c r="BB188" s="3">
        <f t="shared" si="413"/>
        <v>41.1840121550267</v>
      </c>
      <c r="BC188" s="3">
        <f t="shared" si="413"/>
        <v>41.685753313967702</v>
      </c>
      <c r="BD188" s="3">
        <f t="shared" si="413"/>
        <v>42.189608497858629</v>
      </c>
      <c r="BE188" s="3">
        <f t="shared" si="413"/>
        <v>42.696506102312412</v>
      </c>
      <c r="BF188" s="3">
        <f t="shared" si="413"/>
        <v>43.207319157035343</v>
      </c>
      <c r="BG188" s="3">
        <f t="shared" si="413"/>
        <v>43.722890616811867</v>
      </c>
      <c r="BH188" s="3">
        <f t="shared" si="413"/>
        <v>44.24407102320378</v>
      </c>
      <c r="BI188" s="3">
        <f t="shared" si="413"/>
        <v>44.771767378371507</v>
      </c>
    </row>
    <row r="189" spans="1:61" outlineLevel="1" x14ac:dyDescent="0.3">
      <c r="B189" t="s">
        <v>83</v>
      </c>
      <c r="D189" s="3">
        <f t="shared" si="411"/>
        <v>82.961161465552223</v>
      </c>
      <c r="E189" s="3">
        <f t="shared" ref="E189:N189" si="414">E45</f>
        <v>82.552478462641744</v>
      </c>
      <c r="F189" s="3">
        <f t="shared" si="414"/>
        <v>82.17745792324672</v>
      </c>
      <c r="G189" s="3">
        <f t="shared" si="414"/>
        <v>81.733585293669492</v>
      </c>
      <c r="H189" s="3">
        <f t="shared" si="414"/>
        <v>81.325614802767575</v>
      </c>
      <c r="I189" s="3">
        <f t="shared" si="414"/>
        <v>80.921482542118909</v>
      </c>
      <c r="J189" s="3">
        <f t="shared" si="414"/>
        <v>80.447152496456653</v>
      </c>
      <c r="K189" s="3">
        <f t="shared" si="414"/>
        <v>80.314739126384666</v>
      </c>
      <c r="L189" s="3">
        <f t="shared" si="414"/>
        <v>79.770897588320622</v>
      </c>
      <c r="M189" s="3">
        <f t="shared" si="414"/>
        <v>78.890238361760865</v>
      </c>
      <c r="N189" s="3">
        <f t="shared" si="414"/>
        <v>77.828856580686463</v>
      </c>
      <c r="O189" s="3">
        <f t="shared" ref="O189:AD193" si="415">O204/SUM(O$203:O$208)*O$183</f>
        <v>77.298590163635055</v>
      </c>
      <c r="P189" s="3">
        <f t="shared" si="415"/>
        <v>76.831311376543084</v>
      </c>
      <c r="Q189" s="3">
        <f t="shared" si="415"/>
        <v>76.343778260357269</v>
      </c>
      <c r="R189" s="3">
        <f t="shared" si="415"/>
        <v>75.836397005689008</v>
      </c>
      <c r="S189" s="3">
        <f t="shared" si="415"/>
        <v>75.310494776603605</v>
      </c>
      <c r="T189" s="3">
        <f t="shared" si="415"/>
        <v>74.768137328595273</v>
      </c>
      <c r="U189" s="3">
        <f t="shared" si="415"/>
        <v>74.211574395718046</v>
      </c>
      <c r="V189" s="3">
        <f t="shared" si="415"/>
        <v>73.642978957159258</v>
      </c>
      <c r="W189" s="3">
        <f t="shared" si="415"/>
        <v>73.064311510808565</v>
      </c>
      <c r="X189" s="3">
        <f t="shared" si="415"/>
        <v>72.477387281557569</v>
      </c>
      <c r="Y189" s="3">
        <f t="shared" si="415"/>
        <v>71.883802151113983</v>
      </c>
      <c r="Z189" s="3">
        <f t="shared" si="415"/>
        <v>71.284764312530896</v>
      </c>
      <c r="AA189" s="3">
        <f t="shared" si="415"/>
        <v>70.680961193011271</v>
      </c>
      <c r="AB189" s="3">
        <f t="shared" si="415"/>
        <v>70.072550186562182</v>
      </c>
      <c r="AC189" s="3">
        <f t="shared" si="415"/>
        <v>69.45930854390717</v>
      </c>
      <c r="AD189" s="3">
        <f t="shared" si="415"/>
        <v>68.840938490214768</v>
      </c>
      <c r="AE189" s="3">
        <f t="shared" si="413"/>
        <v>68.217337337068201</v>
      </c>
      <c r="AF189" s="3">
        <f t="shared" si="413"/>
        <v>67.588867381218208</v>
      </c>
      <c r="AG189" s="3">
        <f t="shared" si="413"/>
        <v>66.956367961580881</v>
      </c>
      <c r="AH189" s="3">
        <f t="shared" si="413"/>
        <v>66.321036352665232</v>
      </c>
      <c r="AI189" s="3">
        <f t="shared" si="413"/>
        <v>65.684262373964401</v>
      </c>
      <c r="AJ189" s="3">
        <f t="shared" si="413"/>
        <v>65.047529588935546</v>
      </c>
      <c r="AK189" s="3">
        <f t="shared" si="413"/>
        <v>64.412309011329938</v>
      </c>
      <c r="AL189" s="3">
        <f t="shared" si="413"/>
        <v>63.780037438801592</v>
      </c>
      <c r="AM189" s="3">
        <f t="shared" si="413"/>
        <v>63.151979152901788</v>
      </c>
      <c r="AN189" s="3">
        <f t="shared" si="413"/>
        <v>62.529184213289646</v>
      </c>
      <c r="AO189" s="3">
        <f t="shared" si="413"/>
        <v>61.912441027111825</v>
      </c>
      <c r="AP189" s="3">
        <f t="shared" si="413"/>
        <v>61.302339681653343</v>
      </c>
      <c r="AQ189" s="3">
        <f t="shared" si="413"/>
        <v>60.699260254666825</v>
      </c>
      <c r="AR189" s="3">
        <f t="shared" si="413"/>
        <v>60.103425489610331</v>
      </c>
      <c r="AS189" s="3">
        <f t="shared" si="413"/>
        <v>59.514998914010597</v>
      </c>
      <c r="AT189" s="3">
        <f t="shared" si="413"/>
        <v>58.934247473165222</v>
      </c>
      <c r="AU189" s="3">
        <f t="shared" si="413"/>
        <v>58.361649261227818</v>
      </c>
      <c r="AV189" s="3">
        <f t="shared" si="413"/>
        <v>57.797906427776425</v>
      </c>
      <c r="AW189" s="3">
        <f t="shared" si="413"/>
        <v>57.243878709331746</v>
      </c>
      <c r="AX189" s="3">
        <f t="shared" si="413"/>
        <v>56.700488967579552</v>
      </c>
      <c r="AY189" s="3">
        <f t="shared" si="413"/>
        <v>56.168668694327657</v>
      </c>
      <c r="AZ189" s="3">
        <f t="shared" si="413"/>
        <v>55.649332282419536</v>
      </c>
      <c r="BA189" s="3">
        <f t="shared" si="413"/>
        <v>55.120601009736291</v>
      </c>
      <c r="BB189" s="3">
        <f t="shared" si="413"/>
        <v>54.577944573682551</v>
      </c>
      <c r="BC189" s="3">
        <f t="shared" si="413"/>
        <v>54.050969387084024</v>
      </c>
      <c r="BD189" s="3">
        <f t="shared" si="413"/>
        <v>53.540108553721822</v>
      </c>
      <c r="BE189" s="3">
        <f t="shared" si="413"/>
        <v>53.045655006770197</v>
      </c>
      <c r="BF189" s="3">
        <f t="shared" si="413"/>
        <v>52.567796774323888</v>
      </c>
      <c r="BG189" s="3">
        <f t="shared" si="413"/>
        <v>52.106657125683704</v>
      </c>
      <c r="BH189" s="3">
        <f t="shared" si="413"/>
        <v>51.662344528554236</v>
      </c>
      <c r="BI189" s="3">
        <f t="shared" si="413"/>
        <v>51.235009593920232</v>
      </c>
    </row>
    <row r="190" spans="1:61" outlineLevel="1" x14ac:dyDescent="0.3">
      <c r="B190" t="s">
        <v>84</v>
      </c>
      <c r="D190" s="3">
        <f t="shared" si="411"/>
        <v>17.79024906547944</v>
      </c>
      <c r="E190" s="3">
        <f t="shared" ref="E190:N190" si="416">E46</f>
        <v>17.972495311102982</v>
      </c>
      <c r="F190" s="3">
        <f t="shared" si="416"/>
        <v>18.165227406535621</v>
      </c>
      <c r="G190" s="3">
        <f t="shared" si="416"/>
        <v>18.340243529635071</v>
      </c>
      <c r="H190" s="3">
        <f t="shared" si="416"/>
        <v>18.523209446146669</v>
      </c>
      <c r="I190" s="3">
        <f t="shared" si="416"/>
        <v>18.707842741679304</v>
      </c>
      <c r="J190" s="3">
        <f t="shared" si="416"/>
        <v>18.875254138095467</v>
      </c>
      <c r="K190" s="3">
        <f t="shared" si="416"/>
        <v>19.12864464024474</v>
      </c>
      <c r="L190" s="3">
        <f t="shared" si="416"/>
        <v>19.260820353540669</v>
      </c>
      <c r="M190" s="3">
        <f t="shared" si="416"/>
        <v>19.309164214118912</v>
      </c>
      <c r="N190" s="3">
        <f t="shared" si="416"/>
        <v>19.309014385082293</v>
      </c>
      <c r="O190" s="3">
        <f t="shared" si="415"/>
        <v>19.423506982444241</v>
      </c>
      <c r="P190" s="3">
        <f t="shared" si="413"/>
        <v>19.55230324199897</v>
      </c>
      <c r="Q190" s="3">
        <f t="shared" si="413"/>
        <v>19.674543006262201</v>
      </c>
      <c r="R190" s="3">
        <f t="shared" si="413"/>
        <v>19.790121268325237</v>
      </c>
      <c r="S190" s="3">
        <f t="shared" si="413"/>
        <v>19.899178803409171</v>
      </c>
      <c r="T190" s="3">
        <f t="shared" si="413"/>
        <v>20.002068582334974</v>
      </c>
      <c r="U190" s="3">
        <f t="shared" si="413"/>
        <v>20.09921805650146</v>
      </c>
      <c r="V190" s="3">
        <f t="shared" si="413"/>
        <v>20.191061166941637</v>
      </c>
      <c r="W190" s="3">
        <f t="shared" si="413"/>
        <v>20.277999861390793</v>
      </c>
      <c r="X190" s="3">
        <f t="shared" si="413"/>
        <v>20.360419846691467</v>
      </c>
      <c r="Y190" s="3">
        <f t="shared" si="413"/>
        <v>20.438667480619106</v>
      </c>
      <c r="Z190" s="3">
        <f t="shared" si="413"/>
        <v>20.512997966705605</v>
      </c>
      <c r="AA190" s="3">
        <f t="shared" si="413"/>
        <v>20.583530258111416</v>
      </c>
      <c r="AB190" s="3">
        <f t="shared" si="413"/>
        <v>20.650235535080515</v>
      </c>
      <c r="AC190" s="3">
        <f t="shared" si="413"/>
        <v>20.71297276239018</v>
      </c>
      <c r="AD190" s="3">
        <f t="shared" si="413"/>
        <v>20.771574064353587</v>
      </c>
      <c r="AE190" s="3">
        <f t="shared" si="413"/>
        <v>20.825925778411886</v>
      </c>
      <c r="AF190" s="3">
        <f t="shared" si="413"/>
        <v>20.876055215328215</v>
      </c>
      <c r="AG190" s="3">
        <f t="shared" si="413"/>
        <v>20.922142763049862</v>
      </c>
      <c r="AH190" s="3">
        <f t="shared" si="413"/>
        <v>20.964492971501517</v>
      </c>
      <c r="AI190" s="3">
        <f t="shared" si="413"/>
        <v>21.003488412216104</v>
      </c>
      <c r="AJ190" s="3">
        <f t="shared" si="413"/>
        <v>21.039561566415472</v>
      </c>
      <c r="AK190" s="3">
        <f t="shared" si="413"/>
        <v>21.073162145473493</v>
      </c>
      <c r="AL190" s="3">
        <f t="shared" si="413"/>
        <v>21.104750076040869</v>
      </c>
      <c r="AM190" s="3">
        <f t="shared" si="413"/>
        <v>21.134748965832099</v>
      </c>
      <c r="AN190" s="3">
        <f t="shared" si="413"/>
        <v>21.163529109136181</v>
      </c>
      <c r="AO190" s="3">
        <f t="shared" si="413"/>
        <v>21.191387512855361</v>
      </c>
      <c r="AP190" s="3">
        <f t="shared" si="413"/>
        <v>21.218565082368503</v>
      </c>
      <c r="AQ190" s="3">
        <f t="shared" si="413"/>
        <v>21.245238917196463</v>
      </c>
      <c r="AR190" s="3">
        <f t="shared" si="413"/>
        <v>21.271537031522755</v>
      </c>
      <c r="AS190" s="3">
        <f t="shared" si="413"/>
        <v>21.297570492723047</v>
      </c>
      <c r="AT190" s="3">
        <f t="shared" si="413"/>
        <v>21.323491170633076</v>
      </c>
      <c r="AU190" s="3">
        <f t="shared" si="413"/>
        <v>21.349533277277473</v>
      </c>
      <c r="AV190" s="3">
        <f t="shared" si="413"/>
        <v>21.376022487583658</v>
      </c>
      <c r="AW190" s="3">
        <f t="shared" si="413"/>
        <v>21.403355795226975</v>
      </c>
      <c r="AX190" s="3">
        <f t="shared" si="413"/>
        <v>21.431969264867725</v>
      </c>
      <c r="AY190" s="3">
        <f t="shared" si="413"/>
        <v>21.462318800657318</v>
      </c>
      <c r="AZ190" s="3">
        <f t="shared" si="413"/>
        <v>21.494870705248022</v>
      </c>
      <c r="BA190" s="3">
        <f t="shared" si="413"/>
        <v>21.5212090149309</v>
      </c>
      <c r="BB190" s="3">
        <f t="shared" si="413"/>
        <v>21.539397442833394</v>
      </c>
      <c r="BC190" s="3">
        <f t="shared" si="413"/>
        <v>21.561037616410932</v>
      </c>
      <c r="BD190" s="3">
        <f t="shared" si="413"/>
        <v>21.586472729895721</v>
      </c>
      <c r="BE190" s="3">
        <f t="shared" si="413"/>
        <v>21.615998975827875</v>
      </c>
      <c r="BF190" s="3">
        <f t="shared" si="413"/>
        <v>21.649877220239873</v>
      </c>
      <c r="BG190" s="3">
        <f t="shared" si="413"/>
        <v>21.688347569279692</v>
      </c>
      <c r="BH190" s="3">
        <f t="shared" si="413"/>
        <v>21.731649075939306</v>
      </c>
      <c r="BI190" s="3">
        <f t="shared" si="413"/>
        <v>21.780043720785379</v>
      </c>
    </row>
    <row r="191" spans="1:61" outlineLevel="1" x14ac:dyDescent="0.3">
      <c r="B191" t="s">
        <v>85</v>
      </c>
      <c r="D191" s="3">
        <f t="shared" si="411"/>
        <v>5.1275717865793045</v>
      </c>
      <c r="E191" s="3">
        <f t="shared" ref="E191:N191" si="417">E47</f>
        <v>5.0999986694463875</v>
      </c>
      <c r="F191" s="3">
        <f t="shared" si="417"/>
        <v>5.0796608650246258</v>
      </c>
      <c r="G191" s="3">
        <f t="shared" si="417"/>
        <v>5.0500670569605841</v>
      </c>
      <c r="H191" s="3">
        <f t="shared" si="417"/>
        <v>5.0276925625861724</v>
      </c>
      <c r="I191" s="3">
        <f t="shared" si="417"/>
        <v>5.000091605420101</v>
      </c>
      <c r="J191" s="3">
        <f t="shared" si="417"/>
        <v>4.9736144770974162</v>
      </c>
      <c r="K191" s="3">
        <f t="shared" si="417"/>
        <v>4.9632703954507384</v>
      </c>
      <c r="L191" s="3">
        <f t="shared" si="417"/>
        <v>4.9302099866539706</v>
      </c>
      <c r="M191" s="3">
        <f t="shared" si="417"/>
        <v>4.8763274420122835</v>
      </c>
      <c r="N191" s="3">
        <f t="shared" si="417"/>
        <v>4.8112652404103127</v>
      </c>
      <c r="O191" s="3">
        <f t="shared" si="415"/>
        <v>4.7785699901100642</v>
      </c>
      <c r="P191" s="3">
        <f t="shared" si="413"/>
        <v>4.7497680849337582</v>
      </c>
      <c r="Q191" s="3">
        <f t="shared" si="413"/>
        <v>4.7197135576734954</v>
      </c>
      <c r="R191" s="3">
        <f t="shared" si="413"/>
        <v>4.6884314473134294</v>
      </c>
      <c r="S191" s="3">
        <f t="shared" si="413"/>
        <v>4.65600373203619</v>
      </c>
      <c r="T191" s="3">
        <f t="shared" si="413"/>
        <v>4.6225580586652777</v>
      </c>
      <c r="U191" s="3">
        <f t="shared" si="413"/>
        <v>4.5882334572739225</v>
      </c>
      <c r="V191" s="3">
        <f t="shared" si="413"/>
        <v>4.5531642218868882</v>
      </c>
      <c r="W191" s="3">
        <f t="shared" si="413"/>
        <v>4.517471518410157</v>
      </c>
      <c r="X191" s="3">
        <f t="shared" si="413"/>
        <v>4.4812675390304442</v>
      </c>
      <c r="Y191" s="3">
        <f t="shared" si="413"/>
        <v>4.4446509216701022</v>
      </c>
      <c r="Z191" s="3">
        <f t="shared" si="413"/>
        <v>4.4076963396484192</v>
      </c>
      <c r="AA191" s="3">
        <f t="shared" si="413"/>
        <v>4.3704462708703513</v>
      </c>
      <c r="AB191" s="3">
        <f t="shared" si="413"/>
        <v>4.3329104217451446</v>
      </c>
      <c r="AC191" s="3">
        <f t="shared" si="413"/>
        <v>4.2950749925966516</v>
      </c>
      <c r="AD191" s="3">
        <f t="shared" si="413"/>
        <v>4.2569215429361007</v>
      </c>
      <c r="AE191" s="3">
        <f t="shared" si="413"/>
        <v>4.2184436942385029</v>
      </c>
      <c r="AF191" s="3">
        <f t="shared" si="413"/>
        <v>4.1796638215288402</v>
      </c>
      <c r="AG191" s="3">
        <f t="shared" si="413"/>
        <v>4.1406338018773612</v>
      </c>
      <c r="AH191" s="3">
        <f t="shared" si="413"/>
        <v>4.1014276516260928</v>
      </c>
      <c r="AI191" s="3">
        <f t="shared" si="413"/>
        <v>4.0621313004198241</v>
      </c>
      <c r="AJ191" s="3">
        <f t="shared" si="413"/>
        <v>4.0228364822284632</v>
      </c>
      <c r="AK191" s="3">
        <f t="shared" si="413"/>
        <v>3.9836341622486704</v>
      </c>
      <c r="AL191" s="3">
        <f t="shared" si="413"/>
        <v>3.9446131969528113</v>
      </c>
      <c r="AM191" s="3">
        <f t="shared" si="413"/>
        <v>3.9058517803621009</v>
      </c>
      <c r="AN191" s="3">
        <f t="shared" si="413"/>
        <v>3.86741486355869</v>
      </c>
      <c r="AO191" s="3">
        <f t="shared" si="413"/>
        <v>3.8293512197582711</v>
      </c>
      <c r="AP191" s="3">
        <f t="shared" si="413"/>
        <v>3.7916973599504353</v>
      </c>
      <c r="AQ191" s="3">
        <f t="shared" si="413"/>
        <v>3.7544768086000539</v>
      </c>
      <c r="AR191" s="3">
        <f t="shared" si="413"/>
        <v>3.7177033605238288</v>
      </c>
      <c r="AS191" s="3">
        <f t="shared" si="413"/>
        <v>3.6813871491172745</v>
      </c>
      <c r="AT191" s="3">
        <f t="shared" si="413"/>
        <v>3.645544706144439</v>
      </c>
      <c r="AU191" s="3">
        <f t="shared" si="413"/>
        <v>3.6102056266341309</v>
      </c>
      <c r="AV191" s="3">
        <f t="shared" si="413"/>
        <v>3.5754133687905378</v>
      </c>
      <c r="AW191" s="3">
        <f t="shared" si="413"/>
        <v>3.5412211437468759</v>
      </c>
      <c r="AX191" s="3">
        <f t="shared" si="413"/>
        <v>3.5076860730318624</v>
      </c>
      <c r="AY191" s="3">
        <f t="shared" si="413"/>
        <v>3.4748658177924638</v>
      </c>
      <c r="AZ191" s="3">
        <f t="shared" si="413"/>
        <v>3.4428169872029031</v>
      </c>
      <c r="BA191" s="3">
        <f t="shared" si="413"/>
        <v>3.4101860382207589</v>
      </c>
      <c r="BB191" s="3">
        <f t="shared" si="413"/>
        <v>3.3766926334587413</v>
      </c>
      <c r="BC191" s="3">
        <f t="shared" si="413"/>
        <v>3.3441684688097064</v>
      </c>
      <c r="BD191" s="3">
        <f t="shared" si="413"/>
        <v>3.3126403995874956</v>
      </c>
      <c r="BE191" s="3">
        <f t="shared" si="413"/>
        <v>3.2821266117400953</v>
      </c>
      <c r="BF191" s="3">
        <f t="shared" si="413"/>
        <v>3.2526388029238311</v>
      </c>
      <c r="BG191" s="3">
        <f t="shared" si="413"/>
        <v>3.22418466587966</v>
      </c>
      <c r="BH191" s="3">
        <f t="shared" si="413"/>
        <v>3.1967709792408558</v>
      </c>
      <c r="BI191" s="3">
        <f t="shared" si="413"/>
        <v>3.1704071311866842</v>
      </c>
    </row>
    <row r="192" spans="1:61" outlineLevel="1" x14ac:dyDescent="0.3">
      <c r="B192" t="s">
        <v>87</v>
      </c>
      <c r="D192" s="3">
        <f t="shared" si="411"/>
        <v>64.240899379786342</v>
      </c>
      <c r="E192" s="3">
        <f t="shared" ref="E192:N192" si="418">E48</f>
        <v>64.277483230458856</v>
      </c>
      <c r="F192" s="3">
        <f t="shared" si="418"/>
        <v>63.374459211648926</v>
      </c>
      <c r="G192" s="3">
        <f t="shared" si="418"/>
        <v>61.88582174653579</v>
      </c>
      <c r="H192" s="3">
        <f t="shared" si="418"/>
        <v>61.614859873165699</v>
      </c>
      <c r="I192" s="3">
        <f t="shared" si="418"/>
        <v>61.613628807789183</v>
      </c>
      <c r="J192" s="3">
        <f t="shared" si="418"/>
        <v>57.714911541365488</v>
      </c>
      <c r="K192" s="3">
        <f t="shared" si="418"/>
        <v>72.579056075697309</v>
      </c>
      <c r="L192" s="3">
        <f t="shared" si="418"/>
        <v>59.777546034937345</v>
      </c>
      <c r="M192" s="3">
        <f t="shared" si="418"/>
        <v>61.321555581883601</v>
      </c>
      <c r="N192" s="3">
        <f t="shared" si="418"/>
        <v>55.238539623667897</v>
      </c>
      <c r="O192" s="3">
        <f t="shared" si="415"/>
        <v>54.389862427749748</v>
      </c>
      <c r="P192" s="3">
        <f t="shared" si="413"/>
        <v>53.588430562056061</v>
      </c>
      <c r="Q192" s="3">
        <f t="shared" si="413"/>
        <v>52.775563190573457</v>
      </c>
      <c r="R192" s="3">
        <f t="shared" si="413"/>
        <v>51.95194362809363</v>
      </c>
      <c r="S192" s="3">
        <f t="shared" si="413"/>
        <v>51.118875649377124</v>
      </c>
      <c r="T192" s="3">
        <f t="shared" si="413"/>
        <v>50.27813165853501</v>
      </c>
      <c r="U192" s="3">
        <f t="shared" si="413"/>
        <v>49.431559282341325</v>
      </c>
      <c r="V192" s="3">
        <f t="shared" si="413"/>
        <v>48.580902658919555</v>
      </c>
      <c r="W192" s="3">
        <f t="shared" si="413"/>
        <v>47.727715339745629</v>
      </c>
      <c r="X192" s="3">
        <f t="shared" si="413"/>
        <v>46.873409759624892</v>
      </c>
      <c r="Y192" s="3">
        <f t="shared" si="413"/>
        <v>46.019213748901656</v>
      </c>
      <c r="Z192" s="3">
        <f t="shared" si="413"/>
        <v>45.16607032319569</v>
      </c>
      <c r="AA192" s="3">
        <f t="shared" si="413"/>
        <v>44.314566422276471</v>
      </c>
      <c r="AB192" s="3">
        <f t="shared" si="413"/>
        <v>43.464944038052074</v>
      </c>
      <c r="AC192" s="3">
        <f t="shared" si="413"/>
        <v>42.617209726239665</v>
      </c>
      <c r="AD192" s="3">
        <f t="shared" si="413"/>
        <v>41.771332586317158</v>
      </c>
      <c r="AE192" s="3">
        <f t="shared" si="413"/>
        <v>40.927409020299294</v>
      </c>
      <c r="AF192" s="3">
        <f t="shared" si="413"/>
        <v>40.085816284074774</v>
      </c>
      <c r="AG192" s="3">
        <f t="shared" si="413"/>
        <v>39.247203552019648</v>
      </c>
      <c r="AH192" s="3">
        <f t="shared" si="413"/>
        <v>38.412406163592017</v>
      </c>
      <c r="AI192" s="3">
        <f t="shared" si="413"/>
        <v>37.582338043188777</v>
      </c>
      <c r="AJ192" s="3">
        <f t="shared" si="413"/>
        <v>36.757928487026611</v>
      </c>
      <c r="AK192" s="3">
        <f t="shared" si="413"/>
        <v>35.940058831907102</v>
      </c>
      <c r="AL192" s="3">
        <f t="shared" si="413"/>
        <v>35.129550224930711</v>
      </c>
      <c r="AM192" s="3">
        <f t="shared" si="413"/>
        <v>34.327088928731399</v>
      </c>
      <c r="AN192" s="3">
        <f t="shared" si="413"/>
        <v>33.533209481713541</v>
      </c>
      <c r="AO192" s="3">
        <f t="shared" si="413"/>
        <v>32.748276788146697</v>
      </c>
      <c r="AP192" s="3">
        <f t="shared" si="413"/>
        <v>31.972528239929463</v>
      </c>
      <c r="AQ192" s="3">
        <f t="shared" si="413"/>
        <v>31.206074642159798</v>
      </c>
      <c r="AR192" s="3">
        <f t="shared" si="413"/>
        <v>30.448934427796832</v>
      </c>
      <c r="AS192" s="3">
        <f t="shared" si="413"/>
        <v>29.701088331550004</v>
      </c>
      <c r="AT192" s="3">
        <f t="shared" si="413"/>
        <v>28.962561415552802</v>
      </c>
      <c r="AU192" s="3">
        <f t="shared" si="413"/>
        <v>28.23347109707651</v>
      </c>
      <c r="AV192" s="3">
        <f t="shared" si="413"/>
        <v>27.514024947271448</v>
      </c>
      <c r="AW192" s="3">
        <f t="shared" si="413"/>
        <v>26.804480529145465</v>
      </c>
      <c r="AX192" s="3">
        <f t="shared" si="413"/>
        <v>26.105095270058211</v>
      </c>
      <c r="AY192" s="3">
        <f t="shared" si="413"/>
        <v>25.416098748176992</v>
      </c>
      <c r="AZ192" s="3">
        <f t="shared" si="413"/>
        <v>24.737680301094521</v>
      </c>
      <c r="BA192" s="3">
        <f t="shared" si="413"/>
        <v>24.060047390878911</v>
      </c>
      <c r="BB192" s="3">
        <f t="shared" si="413"/>
        <v>23.381544051665148</v>
      </c>
      <c r="BC192" s="3">
        <f t="shared" si="413"/>
        <v>22.715012535057404</v>
      </c>
      <c r="BD192" s="3">
        <f t="shared" si="413"/>
        <v>22.060307694421642</v>
      </c>
      <c r="BE192" s="3">
        <f t="shared" si="413"/>
        <v>21.417208367219772</v>
      </c>
      <c r="BF192" s="3">
        <f t="shared" si="413"/>
        <v>20.785436787745496</v>
      </c>
      <c r="BG192" s="3">
        <f t="shared" si="413"/>
        <v>20.164678237926815</v>
      </c>
      <c r="BH192" s="3">
        <f t="shared" si="413"/>
        <v>19.554602466729694</v>
      </c>
      <c r="BI192" s="3">
        <f t="shared" si="413"/>
        <v>18.954885192416953</v>
      </c>
    </row>
    <row r="193" spans="1:61" outlineLevel="1" x14ac:dyDescent="0.3">
      <c r="B193" t="s">
        <v>89</v>
      </c>
      <c r="D193" s="3">
        <f t="shared" si="411"/>
        <v>8.4501183026026556</v>
      </c>
      <c r="E193" s="3">
        <f t="shared" ref="E193:N193" si="419">E49</f>
        <v>9.9649974002025985</v>
      </c>
      <c r="F193" s="3">
        <f t="shared" si="419"/>
        <v>9.3614823327361751</v>
      </c>
      <c r="G193" s="3">
        <f t="shared" si="419"/>
        <v>9.3626243209492017</v>
      </c>
      <c r="H193" s="3">
        <f t="shared" si="419"/>
        <v>8.8703397374717756</v>
      </c>
      <c r="I193" s="3">
        <f t="shared" si="419"/>
        <v>7.5401381409735118</v>
      </c>
      <c r="J193" s="3">
        <f t="shared" si="419"/>
        <v>7.4791570790706494</v>
      </c>
      <c r="K193" s="3">
        <f t="shared" si="419"/>
        <v>6.5048922607043762</v>
      </c>
      <c r="L193" s="3">
        <f t="shared" si="419"/>
        <v>6.9152945350329027</v>
      </c>
      <c r="M193" s="3">
        <f t="shared" si="419"/>
        <v>6.2567948848630124</v>
      </c>
      <c r="N193" s="3">
        <f t="shared" si="419"/>
        <v>6.3953423441036881</v>
      </c>
      <c r="O193" s="3">
        <f t="shared" si="415"/>
        <v>6.2078582038668566</v>
      </c>
      <c r="P193" s="3">
        <f t="shared" si="413"/>
        <v>6.0263238591589561</v>
      </c>
      <c r="Q193" s="3">
        <f t="shared" si="413"/>
        <v>5.8440209217574877</v>
      </c>
      <c r="R193" s="3">
        <f t="shared" si="413"/>
        <v>5.6611031278087758</v>
      </c>
      <c r="S193" s="3">
        <f t="shared" si="413"/>
        <v>5.4777897774292805</v>
      </c>
      <c r="T193" s="3">
        <f t="shared" si="413"/>
        <v>5.2943439272632933</v>
      </c>
      <c r="U193" s="3">
        <f t="shared" si="413"/>
        <v>5.1110268858580037</v>
      </c>
      <c r="V193" s="3">
        <f t="shared" si="413"/>
        <v>4.9280787212186947</v>
      </c>
      <c r="W193" s="3">
        <f t="shared" si="413"/>
        <v>4.7457099210875606</v>
      </c>
      <c r="X193" s="3">
        <f t="shared" si="413"/>
        <v>4.5641074546617277</v>
      </c>
      <c r="Y193" s="3">
        <f t="shared" si="413"/>
        <v>4.3834314536007648</v>
      </c>
      <c r="Z193" s="3">
        <f t="shared" si="413"/>
        <v>4.2038072506617938</v>
      </c>
      <c r="AA193" s="3">
        <f t="shared" si="413"/>
        <v>4.0253215100690687</v>
      </c>
      <c r="AB193" s="3">
        <f t="shared" si="413"/>
        <v>3.8480268606201071</v>
      </c>
      <c r="AC193" s="3">
        <f t="shared" si="413"/>
        <v>3.6719551655582201</v>
      </c>
      <c r="AD193" s="3">
        <f t="shared" si="413"/>
        <v>3.4971369349660022</v>
      </c>
      <c r="AE193" s="3">
        <f t="shared" si="413"/>
        <v>3.323615309590469</v>
      </c>
      <c r="AF193" s="3">
        <f t="shared" si="413"/>
        <v>3.1514566584905381</v>
      </c>
      <c r="AG193" s="3">
        <f t="shared" si="413"/>
        <v>2.9807462399579374</v>
      </c>
      <c r="AH193" s="3">
        <f t="shared" si="413"/>
        <v>2.8115780431172048</v>
      </c>
      <c r="AI193" s="3">
        <f t="shared" si="413"/>
        <v>2.6440441848690104</v>
      </c>
      <c r="AJ193" s="3">
        <f t="shared" si="413"/>
        <v>2.4782288967016979</v>
      </c>
      <c r="AK193" s="3">
        <f t="shared" si="413"/>
        <v>2.3142034801145845</v>
      </c>
      <c r="AL193" s="3">
        <f t="shared" si="413"/>
        <v>2.1520254851923655</v>
      </c>
      <c r="AM193" s="3">
        <f t="shared" si="413"/>
        <v>1.9917344950523572</v>
      </c>
      <c r="AN193" s="3">
        <f t="shared" si="413"/>
        <v>1.8333525868136398</v>
      </c>
      <c r="AO193" s="3">
        <f t="shared" si="413"/>
        <v>1.6768852340817801</v>
      </c>
      <c r="AP193" s="3">
        <f t="shared" si="413"/>
        <v>1.5223256493984816</v>
      </c>
      <c r="AQ193" s="3">
        <f t="shared" si="413"/>
        <v>1.3696566335800078</v>
      </c>
      <c r="AR193" s="3">
        <f t="shared" si="413"/>
        <v>1.2188539378980752</v>
      </c>
      <c r="AS193" s="3">
        <f t="shared" si="413"/>
        <v>1.0698897670018801</v>
      </c>
      <c r="AT193" s="3">
        <f t="shared" si="413"/>
        <v>0.92273596549058001</v>
      </c>
      <c r="AU193" s="3">
        <f t="shared" si="413"/>
        <v>0.77736420697394426</v>
      </c>
      <c r="AV193" s="3">
        <f t="shared" si="413"/>
        <v>0.63374359288841042</v>
      </c>
      <c r="AW193" s="3">
        <f t="shared" si="413"/>
        <v>0.49183732760249294</v>
      </c>
      <c r="AX193" s="3">
        <f t="shared" si="413"/>
        <v>0.35160011045246564</v>
      </c>
      <c r="AY193" s="3">
        <f t="shared" si="413"/>
        <v>0.21297699836614975</v>
      </c>
      <c r="AZ193" s="3">
        <f t="shared" si="413"/>
        <v>7.5903080071726942E-2</v>
      </c>
      <c r="BA193" s="3">
        <f t="shared" si="413"/>
        <v>0</v>
      </c>
      <c r="BB193" s="3">
        <f t="shared" si="413"/>
        <v>0</v>
      </c>
      <c r="BC193" s="3">
        <f t="shared" si="413"/>
        <v>0</v>
      </c>
      <c r="BD193" s="3">
        <f t="shared" ref="BD193:BI193" si="420">BD208/SUM(BD$203:BD$208)*BD$183</f>
        <v>0</v>
      </c>
      <c r="BE193" s="3">
        <f t="shared" si="420"/>
        <v>0</v>
      </c>
      <c r="BF193" s="3">
        <f t="shared" si="420"/>
        <v>0</v>
      </c>
      <c r="BG193" s="3">
        <f t="shared" si="420"/>
        <v>0</v>
      </c>
      <c r="BH193" s="3">
        <f t="shared" si="420"/>
        <v>0</v>
      </c>
      <c r="BI193" s="3">
        <f t="shared" si="420"/>
        <v>0</v>
      </c>
    </row>
    <row r="194" spans="1:61" outlineLevel="1" x14ac:dyDescent="0.3">
      <c r="B194" t="s">
        <v>179</v>
      </c>
      <c r="D194" s="3">
        <f>SUM(D188:D193)</f>
        <v>182.60999999999999</v>
      </c>
      <c r="E194" s="3">
        <f t="shared" ref="E194:BI194" si="421">SUM(E188:E193)</f>
        <v>184.3974530738526</v>
      </c>
      <c r="F194" s="3">
        <f t="shared" si="421"/>
        <v>183.44828773919207</v>
      </c>
      <c r="G194" s="3">
        <f t="shared" si="421"/>
        <v>182.47234194775015</v>
      </c>
      <c r="H194" s="3">
        <f t="shared" si="421"/>
        <v>181.78171642213786</v>
      </c>
      <c r="I194" s="3">
        <f t="shared" si="421"/>
        <v>180.89318383798098</v>
      </c>
      <c r="J194" s="3">
        <f t="shared" si="421"/>
        <v>177.38008973208568</v>
      </c>
      <c r="K194" s="3">
        <f t="shared" si="421"/>
        <v>192.50060249848184</v>
      </c>
      <c r="L194" s="3">
        <f t="shared" si="421"/>
        <v>181.34476849848551</v>
      </c>
      <c r="M194" s="3">
        <f t="shared" si="421"/>
        <v>183.02408048463869</v>
      </c>
      <c r="N194" s="3">
        <f t="shared" si="421"/>
        <v>177.63301817395063</v>
      </c>
      <c r="O194" s="3">
        <f t="shared" si="421"/>
        <v>177.01643519112952</v>
      </c>
      <c r="P194" s="3">
        <f t="shared" si="421"/>
        <v>176.54041939335281</v>
      </c>
      <c r="Q194" s="3">
        <f t="shared" si="421"/>
        <v>176.01448085676483</v>
      </c>
      <c r="R194" s="3">
        <f t="shared" si="421"/>
        <v>175.43905013970951</v>
      </c>
      <c r="S194" s="3">
        <f t="shared" si="421"/>
        <v>174.81670151174075</v>
      </c>
      <c r="T194" s="3">
        <f t="shared" si="421"/>
        <v>174.15176483078321</v>
      </c>
      <c r="U194" s="3">
        <f t="shared" si="421"/>
        <v>173.44905943568295</v>
      </c>
      <c r="V194" s="3">
        <f t="shared" si="421"/>
        <v>172.71329108805517</v>
      </c>
      <c r="W194" s="3">
        <f t="shared" si="421"/>
        <v>171.94873059138749</v>
      </c>
      <c r="X194" s="3">
        <f t="shared" si="421"/>
        <v>171.15936496030599</v>
      </c>
      <c r="Y194" s="3">
        <f t="shared" si="421"/>
        <v>170.34871694951164</v>
      </c>
      <c r="Z194" s="3">
        <f t="shared" si="421"/>
        <v>169.51943660661172</v>
      </c>
      <c r="AA194" s="3">
        <f t="shared" si="421"/>
        <v>168.67296839541413</v>
      </c>
      <c r="AB194" s="3">
        <f t="shared" si="421"/>
        <v>167.80950779027754</v>
      </c>
      <c r="AC194" s="3">
        <f t="shared" si="421"/>
        <v>166.92833944602535</v>
      </c>
      <c r="AD194" s="3">
        <f t="shared" si="421"/>
        <v>166.02855693248173</v>
      </c>
      <c r="AE194" s="3">
        <f t="shared" si="421"/>
        <v>165.10971310149267</v>
      </c>
      <c r="AF194" s="3">
        <f t="shared" si="421"/>
        <v>164.17248386394033</v>
      </c>
      <c r="AG194" s="3">
        <f t="shared" si="421"/>
        <v>163.218717695066</v>
      </c>
      <c r="AH194" s="3">
        <f t="shared" si="421"/>
        <v>162.25116532234662</v>
      </c>
      <c r="AI194" s="3">
        <f t="shared" si="421"/>
        <v>161.27308992171021</v>
      </c>
      <c r="AJ194" s="3">
        <f t="shared" si="421"/>
        <v>160.28803293295039</v>
      </c>
      <c r="AK194" s="3">
        <f t="shared" si="421"/>
        <v>159.29955623860334</v>
      </c>
      <c r="AL194" s="3">
        <f t="shared" si="421"/>
        <v>158.31118875767035</v>
      </c>
      <c r="AM194" s="3">
        <f t="shared" si="421"/>
        <v>157.3260813051985</v>
      </c>
      <c r="AN194" s="3">
        <f t="shared" si="421"/>
        <v>156.34689536578796</v>
      </c>
      <c r="AO194" s="3">
        <f t="shared" si="421"/>
        <v>155.37567503902352</v>
      </c>
      <c r="AP194" s="3">
        <f t="shared" si="421"/>
        <v>154.41399514181578</v>
      </c>
      <c r="AQ194" s="3">
        <f t="shared" si="421"/>
        <v>153.46292293682555</v>
      </c>
      <c r="AR194" s="3">
        <f t="shared" si="421"/>
        <v>152.52314234202501</v>
      </c>
      <c r="AS194" s="3">
        <f t="shared" si="421"/>
        <v>151.59519668134467</v>
      </c>
      <c r="AT194" s="3">
        <f t="shared" si="421"/>
        <v>150.6799018567016</v>
      </c>
      <c r="AU194" s="3">
        <f t="shared" si="421"/>
        <v>149.77862796739873</v>
      </c>
      <c r="AV194" s="3">
        <f t="shared" si="421"/>
        <v>148.89334304811095</v>
      </c>
      <c r="AW194" s="3">
        <f t="shared" si="421"/>
        <v>148.02645254878641</v>
      </c>
      <c r="AX194" s="3">
        <f t="shared" si="421"/>
        <v>147.18056247719326</v>
      </c>
      <c r="AY194" s="3">
        <f t="shared" si="421"/>
        <v>146.35834124111167</v>
      </c>
      <c r="AZ194" s="3">
        <f t="shared" si="421"/>
        <v>145.56245354774211</v>
      </c>
      <c r="BA194" s="3">
        <f t="shared" si="421"/>
        <v>144.79542688606381</v>
      </c>
      <c r="BB194" s="3">
        <f t="shared" si="421"/>
        <v>144.05959085666655</v>
      </c>
      <c r="BC194" s="3">
        <f t="shared" si="421"/>
        <v>143.35694132132977</v>
      </c>
      <c r="BD194" s="3">
        <f t="shared" si="421"/>
        <v>142.6891378754853</v>
      </c>
      <c r="BE194" s="3">
        <f t="shared" si="421"/>
        <v>142.05749506387036</v>
      </c>
      <c r="BF194" s="3">
        <f t="shared" si="421"/>
        <v>141.46306874226843</v>
      </c>
      <c r="BG194" s="3">
        <f t="shared" si="421"/>
        <v>140.90675821558176</v>
      </c>
      <c r="BH194" s="3">
        <f t="shared" si="421"/>
        <v>140.38943807366786</v>
      </c>
      <c r="BI194" s="3">
        <f t="shared" si="421"/>
        <v>139.91211301668073</v>
      </c>
    </row>
    <row r="195" spans="1:61" outlineLevel="1" x14ac:dyDescent="0.3">
      <c r="D195">
        <v>2013</v>
      </c>
      <c r="E195">
        <v>2014</v>
      </c>
      <c r="F195">
        <v>2015</v>
      </c>
      <c r="G195">
        <v>2016</v>
      </c>
      <c r="H195">
        <v>2017</v>
      </c>
      <c r="I195">
        <v>2018</v>
      </c>
      <c r="J195">
        <v>2019</v>
      </c>
      <c r="K195">
        <v>2020</v>
      </c>
      <c r="L195">
        <v>2021</v>
      </c>
      <c r="M195">
        <v>2022</v>
      </c>
      <c r="N195">
        <v>2023</v>
      </c>
      <c r="O195">
        <v>2024</v>
      </c>
      <c r="P195">
        <v>2025</v>
      </c>
      <c r="Q195">
        <v>2026</v>
      </c>
      <c r="R195">
        <v>2027</v>
      </c>
      <c r="S195">
        <v>2028</v>
      </c>
      <c r="T195">
        <v>2029</v>
      </c>
      <c r="U195">
        <v>2030</v>
      </c>
      <c r="V195">
        <v>2031</v>
      </c>
      <c r="W195">
        <v>2032</v>
      </c>
      <c r="X195">
        <v>2033</v>
      </c>
      <c r="Y195">
        <v>2034</v>
      </c>
      <c r="Z195">
        <v>2035</v>
      </c>
      <c r="AA195">
        <v>2036</v>
      </c>
      <c r="AB195">
        <v>2037</v>
      </c>
      <c r="AC195">
        <v>2038</v>
      </c>
      <c r="AD195">
        <v>2039</v>
      </c>
      <c r="AE195">
        <v>2040</v>
      </c>
      <c r="AF195">
        <v>2041</v>
      </c>
      <c r="AG195">
        <v>2042</v>
      </c>
      <c r="AH195">
        <v>2043</v>
      </c>
      <c r="AI195">
        <v>2044</v>
      </c>
      <c r="AJ195">
        <v>2045</v>
      </c>
      <c r="AK195">
        <v>2046</v>
      </c>
      <c r="AL195">
        <v>2047</v>
      </c>
      <c r="AM195">
        <v>2048</v>
      </c>
      <c r="AN195">
        <v>2049</v>
      </c>
      <c r="AO195">
        <v>2050</v>
      </c>
      <c r="AP195">
        <v>2051</v>
      </c>
      <c r="AQ195">
        <v>2052</v>
      </c>
      <c r="AR195">
        <v>2053</v>
      </c>
      <c r="AS195">
        <v>2054</v>
      </c>
      <c r="AT195">
        <v>2055</v>
      </c>
      <c r="AU195">
        <v>2056</v>
      </c>
      <c r="AV195">
        <v>2057</v>
      </c>
      <c r="AW195">
        <v>2058</v>
      </c>
      <c r="AX195">
        <v>2059</v>
      </c>
      <c r="AY195">
        <v>2060</v>
      </c>
      <c r="AZ195">
        <v>2061</v>
      </c>
      <c r="BA195">
        <v>2062</v>
      </c>
      <c r="BB195">
        <v>2063</v>
      </c>
      <c r="BC195">
        <v>2064</v>
      </c>
      <c r="BD195">
        <v>2065</v>
      </c>
      <c r="BE195">
        <v>2066</v>
      </c>
      <c r="BF195">
        <v>2067</v>
      </c>
      <c r="BG195">
        <v>2068</v>
      </c>
      <c r="BH195">
        <v>2069</v>
      </c>
      <c r="BI195">
        <v>2070</v>
      </c>
    </row>
    <row r="196" spans="1:61" outlineLevel="1" x14ac:dyDescent="0.3">
      <c r="A196" s="16">
        <f>(N196-D196)/11</f>
        <v>5.1792730855311246E-3</v>
      </c>
      <c r="B196" t="s">
        <v>81</v>
      </c>
      <c r="D196" s="15">
        <f>D188/D$194</f>
        <v>2.2123651497727399E-2</v>
      </c>
      <c r="E196" s="15">
        <f t="shared" ref="E196:N196" si="422">E188/E$194</f>
        <v>2.4566499832216773E-2</v>
      </c>
      <c r="F196" s="15">
        <f t="shared" si="422"/>
        <v>2.8836464298433673E-2</v>
      </c>
      <c r="G196" s="15">
        <f t="shared" si="422"/>
        <v>3.3429723841362752E-2</v>
      </c>
      <c r="H196" s="15">
        <f t="shared" si="422"/>
        <v>3.531708318283959E-2</v>
      </c>
      <c r="I196" s="15">
        <f t="shared" si="422"/>
        <v>3.930496356550478E-2</v>
      </c>
      <c r="J196" s="15">
        <f t="shared" si="422"/>
        <v>4.4480753234013078E-2</v>
      </c>
      <c r="K196" s="15">
        <f t="shared" si="422"/>
        <v>4.6805048311841298E-2</v>
      </c>
      <c r="L196" s="15">
        <f t="shared" si="422"/>
        <v>5.8948488497969971E-2</v>
      </c>
      <c r="M196" s="15">
        <f t="shared" si="422"/>
        <v>6.7586734856117575E-2</v>
      </c>
      <c r="N196" s="15">
        <f t="shared" si="422"/>
        <v>7.9095655438569765E-2</v>
      </c>
      <c r="O196" s="15">
        <f>N196+$A196</f>
        <v>8.4274928524100887E-2</v>
      </c>
      <c r="P196" s="15">
        <f t="shared" ref="P196:BI201" si="423">O196+$A196</f>
        <v>8.9454201609632009E-2</v>
      </c>
      <c r="Q196" s="15">
        <f t="shared" si="423"/>
        <v>9.4633474695163131E-2</v>
      </c>
      <c r="R196" s="15">
        <f t="shared" si="423"/>
        <v>9.9812747780694253E-2</v>
      </c>
      <c r="S196" s="15">
        <f t="shared" si="423"/>
        <v>0.10499202086622537</v>
      </c>
      <c r="T196" s="15">
        <f t="shared" si="423"/>
        <v>0.1101712939517565</v>
      </c>
      <c r="U196" s="15">
        <f t="shared" si="423"/>
        <v>0.11535056703728762</v>
      </c>
      <c r="V196" s="15">
        <f t="shared" si="423"/>
        <v>0.12052984012281874</v>
      </c>
      <c r="W196" s="15">
        <f t="shared" si="423"/>
        <v>0.12570911320834988</v>
      </c>
      <c r="X196" s="15">
        <f t="shared" si="423"/>
        <v>0.130888386293881</v>
      </c>
      <c r="Y196" s="15">
        <f t="shared" si="423"/>
        <v>0.13606765937941212</v>
      </c>
      <c r="Z196" s="15">
        <f t="shared" si="423"/>
        <v>0.14124693246494324</v>
      </c>
      <c r="AA196" s="15">
        <f t="shared" si="423"/>
        <v>0.14642620555047436</v>
      </c>
      <c r="AB196" s="15">
        <f t="shared" si="423"/>
        <v>0.15160547863600549</v>
      </c>
      <c r="AC196" s="15">
        <f t="shared" si="423"/>
        <v>0.15678475172153661</v>
      </c>
      <c r="AD196" s="15">
        <f t="shared" si="423"/>
        <v>0.16196402480706773</v>
      </c>
      <c r="AE196" s="15">
        <f t="shared" si="423"/>
        <v>0.16714329789259885</v>
      </c>
      <c r="AF196" s="15">
        <f t="shared" si="423"/>
        <v>0.17232257097812997</v>
      </c>
      <c r="AG196" s="15">
        <f t="shared" si="423"/>
        <v>0.1775018440636611</v>
      </c>
      <c r="AH196" s="15">
        <f t="shared" si="423"/>
        <v>0.18268111714919222</v>
      </c>
      <c r="AI196" s="15">
        <f t="shared" si="423"/>
        <v>0.18786039023472334</v>
      </c>
      <c r="AJ196" s="15">
        <f t="shared" si="423"/>
        <v>0.19303966332025446</v>
      </c>
      <c r="AK196" s="15">
        <f t="shared" si="423"/>
        <v>0.19821893640578558</v>
      </c>
      <c r="AL196" s="15">
        <f t="shared" si="423"/>
        <v>0.20339820949131671</v>
      </c>
      <c r="AM196" s="15">
        <f t="shared" si="423"/>
        <v>0.20857748257684783</v>
      </c>
      <c r="AN196" s="15">
        <f t="shared" si="423"/>
        <v>0.21375675566237895</v>
      </c>
      <c r="AO196" s="15">
        <f t="shared" si="423"/>
        <v>0.21893602874791007</v>
      </c>
      <c r="AP196" s="15">
        <f t="shared" si="423"/>
        <v>0.22411530183344119</v>
      </c>
      <c r="AQ196" s="15">
        <f t="shared" si="423"/>
        <v>0.22929457491897232</v>
      </c>
      <c r="AR196" s="15">
        <f t="shared" si="423"/>
        <v>0.23447384800450344</v>
      </c>
      <c r="AS196" s="15">
        <f t="shared" si="423"/>
        <v>0.23965312109003456</v>
      </c>
      <c r="AT196" s="15">
        <f t="shared" si="423"/>
        <v>0.24483239417556568</v>
      </c>
      <c r="AU196" s="15">
        <f t="shared" si="423"/>
        <v>0.2500116672610968</v>
      </c>
      <c r="AV196" s="15">
        <f t="shared" si="423"/>
        <v>0.25519094034662793</v>
      </c>
      <c r="AW196" s="15">
        <f t="shared" si="423"/>
        <v>0.26037021343215905</v>
      </c>
      <c r="AX196" s="15">
        <f t="shared" si="423"/>
        <v>0.26554948651769017</v>
      </c>
      <c r="AY196" s="15">
        <f t="shared" si="423"/>
        <v>0.27072875960322129</v>
      </c>
      <c r="AZ196" s="15">
        <f t="shared" si="423"/>
        <v>0.27590803268875241</v>
      </c>
      <c r="BA196" s="15">
        <f t="shared" si="423"/>
        <v>0.28108730577428354</v>
      </c>
      <c r="BB196" s="15">
        <f t="shared" si="423"/>
        <v>0.28626657885981466</v>
      </c>
      <c r="BC196" s="15">
        <f t="shared" si="423"/>
        <v>0.29144585194534578</v>
      </c>
      <c r="BD196" s="15">
        <f t="shared" si="423"/>
        <v>0.2966251250308769</v>
      </c>
      <c r="BE196" s="15">
        <f t="shared" si="423"/>
        <v>0.30180439811640802</v>
      </c>
      <c r="BF196" s="15">
        <f t="shared" si="423"/>
        <v>0.30698367120193915</v>
      </c>
      <c r="BG196" s="15">
        <f t="shared" si="423"/>
        <v>0.31216294428747027</v>
      </c>
      <c r="BH196" s="15">
        <f t="shared" si="423"/>
        <v>0.31734221737300139</v>
      </c>
      <c r="BI196" s="15">
        <f t="shared" si="423"/>
        <v>0.32252149045853251</v>
      </c>
    </row>
    <row r="197" spans="1:61" outlineLevel="1" x14ac:dyDescent="0.3">
      <c r="A197" s="16">
        <f t="shared" ref="A197:A201" si="424">(N197-D197)/11</f>
        <v>-1.4694354716932639E-3</v>
      </c>
      <c r="B197" t="s">
        <v>83</v>
      </c>
      <c r="D197" s="15">
        <f t="shared" ref="D197:N201" si="425">D189/D$194</f>
        <v>0.45430787725509136</v>
      </c>
      <c r="E197" s="15">
        <f t="shared" si="425"/>
        <v>0.44768773693191327</v>
      </c>
      <c r="F197" s="15">
        <f t="shared" si="425"/>
        <v>0.44795979802263508</v>
      </c>
      <c r="G197" s="15">
        <f t="shared" si="425"/>
        <v>0.44792314507079328</v>
      </c>
      <c r="H197" s="15">
        <f t="shared" si="425"/>
        <v>0.44738060792599893</v>
      </c>
      <c r="I197" s="15">
        <f t="shared" si="425"/>
        <v>0.44734401167153509</v>
      </c>
      <c r="J197" s="15">
        <f t="shared" si="425"/>
        <v>0.45352977675207951</v>
      </c>
      <c r="K197" s="15">
        <f t="shared" si="425"/>
        <v>0.4172181181979317</v>
      </c>
      <c r="L197" s="15">
        <f t="shared" si="425"/>
        <v>0.43988529831224121</v>
      </c>
      <c r="M197" s="15">
        <f t="shared" si="425"/>
        <v>0.43103747961942179</v>
      </c>
      <c r="N197" s="15">
        <f t="shared" si="425"/>
        <v>0.43814408706646546</v>
      </c>
      <c r="O197" s="15">
        <f t="shared" ref="O197:AD201" si="426">N197+$A197</f>
        <v>0.4366746515947722</v>
      </c>
      <c r="P197" s="15">
        <f t="shared" si="426"/>
        <v>0.43520521612307894</v>
      </c>
      <c r="Q197" s="15">
        <f t="shared" si="426"/>
        <v>0.43373578065138568</v>
      </c>
      <c r="R197" s="15">
        <f t="shared" si="426"/>
        <v>0.43226634517969242</v>
      </c>
      <c r="S197" s="15">
        <f t="shared" si="426"/>
        <v>0.43079690970799916</v>
      </c>
      <c r="T197" s="15">
        <f t="shared" si="426"/>
        <v>0.42932747423630591</v>
      </c>
      <c r="U197" s="15">
        <f t="shared" si="426"/>
        <v>0.42785803876461265</v>
      </c>
      <c r="V197" s="15">
        <f t="shared" si="426"/>
        <v>0.42638860329291939</v>
      </c>
      <c r="W197" s="15">
        <f t="shared" si="426"/>
        <v>0.42491916782122613</v>
      </c>
      <c r="X197" s="15">
        <f t="shared" si="426"/>
        <v>0.42344973234953287</v>
      </c>
      <c r="Y197" s="15">
        <f t="shared" si="426"/>
        <v>0.42198029687783961</v>
      </c>
      <c r="Z197" s="15">
        <f t="shared" si="426"/>
        <v>0.42051086140614635</v>
      </c>
      <c r="AA197" s="15">
        <f t="shared" si="426"/>
        <v>0.41904142593445309</v>
      </c>
      <c r="AB197" s="15">
        <f t="shared" si="426"/>
        <v>0.41757199046275983</v>
      </c>
      <c r="AC197" s="15">
        <f t="shared" si="426"/>
        <v>0.41610255499106658</v>
      </c>
      <c r="AD197" s="15">
        <f t="shared" si="426"/>
        <v>0.41463311951937332</v>
      </c>
      <c r="AE197" s="15">
        <f t="shared" si="423"/>
        <v>0.41316368404768006</v>
      </c>
      <c r="AF197" s="15">
        <f t="shared" si="423"/>
        <v>0.4116942485759868</v>
      </c>
      <c r="AG197" s="15">
        <f t="shared" si="423"/>
        <v>0.41022481310429354</v>
      </c>
      <c r="AH197" s="15">
        <f t="shared" si="423"/>
        <v>0.40875537763260028</v>
      </c>
      <c r="AI197" s="15">
        <f t="shared" si="423"/>
        <v>0.40728594216090702</v>
      </c>
      <c r="AJ197" s="15">
        <f t="shared" si="423"/>
        <v>0.40581650668921376</v>
      </c>
      <c r="AK197" s="15">
        <f t="shared" si="423"/>
        <v>0.4043470712175205</v>
      </c>
      <c r="AL197" s="15">
        <f t="shared" si="423"/>
        <v>0.40287763574582725</v>
      </c>
      <c r="AM197" s="15">
        <f t="shared" si="423"/>
        <v>0.40140820027413399</v>
      </c>
      <c r="AN197" s="15">
        <f t="shared" si="423"/>
        <v>0.39993876480244073</v>
      </c>
      <c r="AO197" s="15">
        <f t="shared" si="423"/>
        <v>0.39846932933074747</v>
      </c>
      <c r="AP197" s="15">
        <f t="shared" si="423"/>
        <v>0.39699989385905421</v>
      </c>
      <c r="AQ197" s="15">
        <f t="shared" si="423"/>
        <v>0.39553045838736095</v>
      </c>
      <c r="AR197" s="15">
        <f t="shared" si="423"/>
        <v>0.39406102291566769</v>
      </c>
      <c r="AS197" s="15">
        <f t="shared" si="423"/>
        <v>0.39259158744397443</v>
      </c>
      <c r="AT197" s="15">
        <f t="shared" si="423"/>
        <v>0.39112215197228117</v>
      </c>
      <c r="AU197" s="15">
        <f t="shared" si="423"/>
        <v>0.38965271650058791</v>
      </c>
      <c r="AV197" s="15">
        <f t="shared" si="423"/>
        <v>0.38818328102889466</v>
      </c>
      <c r="AW197" s="15">
        <f t="shared" si="423"/>
        <v>0.3867138455572014</v>
      </c>
      <c r="AX197" s="15">
        <f t="shared" si="423"/>
        <v>0.38524441008550814</v>
      </c>
      <c r="AY197" s="15">
        <f t="shared" si="423"/>
        <v>0.38377497461381488</v>
      </c>
      <c r="AZ197" s="15">
        <f t="shared" si="423"/>
        <v>0.38230553914212162</v>
      </c>
      <c r="BA197" s="15">
        <f t="shared" si="423"/>
        <v>0.38083610367042836</v>
      </c>
      <c r="BB197" s="15">
        <f t="shared" si="423"/>
        <v>0.3793666681987351</v>
      </c>
      <c r="BC197" s="15">
        <f t="shared" si="423"/>
        <v>0.37789723272704184</v>
      </c>
      <c r="BD197" s="15">
        <f t="shared" si="423"/>
        <v>0.37642779725534858</v>
      </c>
      <c r="BE197" s="15">
        <f t="shared" si="423"/>
        <v>0.37495836178365533</v>
      </c>
      <c r="BF197" s="15">
        <f t="shared" si="423"/>
        <v>0.37348892631196207</v>
      </c>
      <c r="BG197" s="15">
        <f t="shared" si="423"/>
        <v>0.37201949084026881</v>
      </c>
      <c r="BH197" s="15">
        <f t="shared" si="423"/>
        <v>0.37055005536857555</v>
      </c>
      <c r="BI197" s="15">
        <f t="shared" si="423"/>
        <v>0.36908061989688229</v>
      </c>
    </row>
    <row r="198" spans="1:61" outlineLevel="1" x14ac:dyDescent="0.3">
      <c r="A198" s="16">
        <f t="shared" si="424"/>
        <v>1.0254201942346338E-3</v>
      </c>
      <c r="B198" t="s">
        <v>84</v>
      </c>
      <c r="D198" s="15">
        <f t="shared" si="425"/>
        <v>9.7422096629316252E-2</v>
      </c>
      <c r="E198" s="15">
        <f t="shared" si="425"/>
        <v>9.7466071312302019E-2</v>
      </c>
      <c r="F198" s="15">
        <f t="shared" si="425"/>
        <v>9.9020970053212351E-2</v>
      </c>
      <c r="G198" s="15">
        <f t="shared" si="425"/>
        <v>0.10050971743918696</v>
      </c>
      <c r="H198" s="15">
        <f t="shared" si="425"/>
        <v>0.10189808860167009</v>
      </c>
      <c r="I198" s="15">
        <f t="shared" si="425"/>
        <v>0.10341927951489424</v>
      </c>
      <c r="J198" s="15">
        <f t="shared" si="425"/>
        <v>0.10641134620353722</v>
      </c>
      <c r="K198" s="15">
        <f t="shared" si="425"/>
        <v>9.9369271534594808E-2</v>
      </c>
      <c r="L198" s="15">
        <f t="shared" si="425"/>
        <v>0.10621106146605781</v>
      </c>
      <c r="M198" s="15">
        <f t="shared" si="425"/>
        <v>0.10550067599295788</v>
      </c>
      <c r="N198" s="15">
        <f t="shared" si="425"/>
        <v>0.10870171876589722</v>
      </c>
      <c r="O198" s="15">
        <f t="shared" si="426"/>
        <v>0.10972713896013185</v>
      </c>
      <c r="P198" s="15">
        <f t="shared" si="423"/>
        <v>0.11075255915436648</v>
      </c>
      <c r="Q198" s="15">
        <f t="shared" si="423"/>
        <v>0.11177797934860111</v>
      </c>
      <c r="R198" s="15">
        <f t="shared" si="423"/>
        <v>0.11280339954283573</v>
      </c>
      <c r="S198" s="15">
        <f t="shared" si="423"/>
        <v>0.11382881973707036</v>
      </c>
      <c r="T198" s="15">
        <f t="shared" si="423"/>
        <v>0.11485423993130499</v>
      </c>
      <c r="U198" s="15">
        <f t="shared" si="423"/>
        <v>0.11587966012553962</v>
      </c>
      <c r="V198" s="15">
        <f t="shared" si="423"/>
        <v>0.11690508031977424</v>
      </c>
      <c r="W198" s="15">
        <f t="shared" si="423"/>
        <v>0.11793050051400887</v>
      </c>
      <c r="X198" s="15">
        <f t="shared" si="423"/>
        <v>0.1189559207082435</v>
      </c>
      <c r="Y198" s="15">
        <f t="shared" si="423"/>
        <v>0.11998134090247813</v>
      </c>
      <c r="Z198" s="15">
        <f t="shared" si="423"/>
        <v>0.12100676109671275</v>
      </c>
      <c r="AA198" s="15">
        <f t="shared" si="423"/>
        <v>0.12203218129094738</v>
      </c>
      <c r="AB198" s="15">
        <f t="shared" si="423"/>
        <v>0.12305760148518201</v>
      </c>
      <c r="AC198" s="15">
        <f t="shared" si="423"/>
        <v>0.12408302167941664</v>
      </c>
      <c r="AD198" s="15">
        <f t="shared" si="423"/>
        <v>0.12510844187365128</v>
      </c>
      <c r="AE198" s="15">
        <f t="shared" si="423"/>
        <v>0.1261338620678859</v>
      </c>
      <c r="AF198" s="15">
        <f t="shared" si="423"/>
        <v>0.12715928226212053</v>
      </c>
      <c r="AG198" s="15">
        <f t="shared" si="423"/>
        <v>0.12818470245635516</v>
      </c>
      <c r="AH198" s="15">
        <f t="shared" si="423"/>
        <v>0.12921012265058979</v>
      </c>
      <c r="AI198" s="15">
        <f t="shared" si="423"/>
        <v>0.13023554284482441</v>
      </c>
      <c r="AJ198" s="15">
        <f t="shared" si="423"/>
        <v>0.13126096303905904</v>
      </c>
      <c r="AK198" s="15">
        <f t="shared" si="423"/>
        <v>0.13228638323329367</v>
      </c>
      <c r="AL198" s="15">
        <f t="shared" si="423"/>
        <v>0.1333118034275283</v>
      </c>
      <c r="AM198" s="15">
        <f t="shared" si="423"/>
        <v>0.13433722362176292</v>
      </c>
      <c r="AN198" s="15">
        <f t="shared" si="423"/>
        <v>0.13536264381599755</v>
      </c>
      <c r="AO198" s="15">
        <f t="shared" si="423"/>
        <v>0.13638806401023218</v>
      </c>
      <c r="AP198" s="15">
        <f t="shared" si="423"/>
        <v>0.13741348420446681</v>
      </c>
      <c r="AQ198" s="15">
        <f t="shared" si="423"/>
        <v>0.13843890439870143</v>
      </c>
      <c r="AR198" s="15">
        <f t="shared" si="423"/>
        <v>0.13946432459293606</v>
      </c>
      <c r="AS198" s="15">
        <f t="shared" si="423"/>
        <v>0.14048974478717069</v>
      </c>
      <c r="AT198" s="15">
        <f t="shared" si="423"/>
        <v>0.14151516498140532</v>
      </c>
      <c r="AU198" s="15">
        <f t="shared" si="423"/>
        <v>0.14254058517563994</v>
      </c>
      <c r="AV198" s="15">
        <f t="shared" si="423"/>
        <v>0.14356600536987457</v>
      </c>
      <c r="AW198" s="15">
        <f t="shared" si="423"/>
        <v>0.1445914255641092</v>
      </c>
      <c r="AX198" s="15">
        <f t="shared" si="423"/>
        <v>0.14561684575834383</v>
      </c>
      <c r="AY198" s="15">
        <f t="shared" si="423"/>
        <v>0.14664226595257845</v>
      </c>
      <c r="AZ198" s="15">
        <f t="shared" si="423"/>
        <v>0.14766768614681308</v>
      </c>
      <c r="BA198" s="15">
        <f t="shared" si="423"/>
        <v>0.14869310634104771</v>
      </c>
      <c r="BB198" s="15">
        <f t="shared" si="423"/>
        <v>0.14971852653528234</v>
      </c>
      <c r="BC198" s="15">
        <f t="shared" si="423"/>
        <v>0.15074394672951696</v>
      </c>
      <c r="BD198" s="15">
        <f t="shared" si="423"/>
        <v>0.15176936692375159</v>
      </c>
      <c r="BE198" s="15">
        <f t="shared" si="423"/>
        <v>0.15279478711798622</v>
      </c>
      <c r="BF198" s="15">
        <f t="shared" si="423"/>
        <v>0.15382020731222085</v>
      </c>
      <c r="BG198" s="15">
        <f t="shared" si="423"/>
        <v>0.15484562750645547</v>
      </c>
      <c r="BH198" s="15">
        <f t="shared" si="423"/>
        <v>0.1558710477006901</v>
      </c>
      <c r="BI198" s="15">
        <f t="shared" si="423"/>
        <v>0.15689646789492473</v>
      </c>
    </row>
    <row r="199" spans="1:61" outlineLevel="1" x14ac:dyDescent="0.3">
      <c r="A199" s="16">
        <f t="shared" si="424"/>
        <v>-9.0357937993766496E-5</v>
      </c>
      <c r="B199" t="s">
        <v>85</v>
      </c>
      <c r="D199" s="15">
        <f t="shared" si="425"/>
        <v>2.8079359216797026E-2</v>
      </c>
      <c r="E199" s="15">
        <f t="shared" si="425"/>
        <v>2.7657641602044248E-2</v>
      </c>
      <c r="F199" s="15">
        <f t="shared" si="425"/>
        <v>2.7689878862463768E-2</v>
      </c>
      <c r="G199" s="15">
        <f t="shared" si="425"/>
        <v>2.7675794605664897E-2</v>
      </c>
      <c r="H199" s="15">
        <f t="shared" si="425"/>
        <v>2.7657856144953238E-2</v>
      </c>
      <c r="I199" s="15">
        <f t="shared" si="425"/>
        <v>2.7641127760228319E-2</v>
      </c>
      <c r="J199" s="15">
        <f t="shared" si="425"/>
        <v>2.8039305226474673E-2</v>
      </c>
      <c r="K199" s="15">
        <f t="shared" si="425"/>
        <v>2.5783142135827244E-2</v>
      </c>
      <c r="L199" s="15">
        <f t="shared" si="425"/>
        <v>2.7186943563222477E-2</v>
      </c>
      <c r="M199" s="15">
        <f t="shared" si="425"/>
        <v>2.6643092149951034E-2</v>
      </c>
      <c r="N199" s="15">
        <f t="shared" si="425"/>
        <v>2.7085421898865595E-2</v>
      </c>
      <c r="O199" s="15">
        <f t="shared" si="426"/>
        <v>2.699506396087183E-2</v>
      </c>
      <c r="P199" s="15">
        <f t="shared" si="423"/>
        <v>2.6904706022878064E-2</v>
      </c>
      <c r="Q199" s="15">
        <f t="shared" si="423"/>
        <v>2.6814348084884299E-2</v>
      </c>
      <c r="R199" s="15">
        <f t="shared" si="423"/>
        <v>2.6723990146890534E-2</v>
      </c>
      <c r="S199" s="15">
        <f t="shared" si="423"/>
        <v>2.6633632208896769E-2</v>
      </c>
      <c r="T199" s="15">
        <f t="shared" si="423"/>
        <v>2.6543274270903004E-2</v>
      </c>
      <c r="U199" s="15">
        <f t="shared" si="423"/>
        <v>2.6452916332909238E-2</v>
      </c>
      <c r="V199" s="15">
        <f t="shared" si="423"/>
        <v>2.6362558394915473E-2</v>
      </c>
      <c r="W199" s="15">
        <f t="shared" si="423"/>
        <v>2.6272200456921708E-2</v>
      </c>
      <c r="X199" s="15">
        <f t="shared" si="423"/>
        <v>2.6181842518927943E-2</v>
      </c>
      <c r="Y199" s="15">
        <f t="shared" si="423"/>
        <v>2.6091484580934177E-2</v>
      </c>
      <c r="Z199" s="15">
        <f t="shared" si="423"/>
        <v>2.6001126642940412E-2</v>
      </c>
      <c r="AA199" s="15">
        <f t="shared" si="423"/>
        <v>2.5910768704946647E-2</v>
      </c>
      <c r="AB199" s="15">
        <f t="shared" si="423"/>
        <v>2.5820410766952882E-2</v>
      </c>
      <c r="AC199" s="15">
        <f t="shared" si="423"/>
        <v>2.5730052828959116E-2</v>
      </c>
      <c r="AD199" s="15">
        <f t="shared" si="423"/>
        <v>2.5639694890965351E-2</v>
      </c>
      <c r="AE199" s="15">
        <f t="shared" si="423"/>
        <v>2.5549336952971586E-2</v>
      </c>
      <c r="AF199" s="15">
        <f t="shared" si="423"/>
        <v>2.5458979014977821E-2</v>
      </c>
      <c r="AG199" s="15">
        <f t="shared" si="423"/>
        <v>2.5368621076984055E-2</v>
      </c>
      <c r="AH199" s="15">
        <f t="shared" si="423"/>
        <v>2.527826313899029E-2</v>
      </c>
      <c r="AI199" s="15">
        <f t="shared" si="423"/>
        <v>2.5187905200996525E-2</v>
      </c>
      <c r="AJ199" s="15">
        <f t="shared" si="423"/>
        <v>2.509754726300276E-2</v>
      </c>
      <c r="AK199" s="15">
        <f t="shared" si="423"/>
        <v>2.5007189325008995E-2</v>
      </c>
      <c r="AL199" s="15">
        <f t="shared" si="423"/>
        <v>2.4916831387015229E-2</v>
      </c>
      <c r="AM199" s="15">
        <f t="shared" si="423"/>
        <v>2.4826473449021464E-2</v>
      </c>
      <c r="AN199" s="15">
        <f t="shared" si="423"/>
        <v>2.4736115511027699E-2</v>
      </c>
      <c r="AO199" s="15">
        <f t="shared" si="423"/>
        <v>2.4645757573033934E-2</v>
      </c>
      <c r="AP199" s="15">
        <f t="shared" si="423"/>
        <v>2.4555399635040168E-2</v>
      </c>
      <c r="AQ199" s="15">
        <f t="shared" si="423"/>
        <v>2.4465041697046403E-2</v>
      </c>
      <c r="AR199" s="15">
        <f t="shared" si="423"/>
        <v>2.4374683759052638E-2</v>
      </c>
      <c r="AS199" s="15">
        <f t="shared" si="423"/>
        <v>2.4284325821058873E-2</v>
      </c>
      <c r="AT199" s="15">
        <f t="shared" si="423"/>
        <v>2.4193967883065107E-2</v>
      </c>
      <c r="AU199" s="15">
        <f t="shared" si="423"/>
        <v>2.4103609945071342E-2</v>
      </c>
      <c r="AV199" s="15">
        <f t="shared" si="423"/>
        <v>2.4013252007077577E-2</v>
      </c>
      <c r="AW199" s="15">
        <f t="shared" si="423"/>
        <v>2.3922894069083812E-2</v>
      </c>
      <c r="AX199" s="15">
        <f t="shared" si="423"/>
        <v>2.3832536131090046E-2</v>
      </c>
      <c r="AY199" s="15">
        <f t="shared" si="423"/>
        <v>2.3742178193096281E-2</v>
      </c>
      <c r="AZ199" s="15">
        <f t="shared" si="423"/>
        <v>2.3651820255102516E-2</v>
      </c>
      <c r="BA199" s="15">
        <f t="shared" si="423"/>
        <v>2.3561462317108751E-2</v>
      </c>
      <c r="BB199" s="15">
        <f t="shared" si="423"/>
        <v>2.3471104379114986E-2</v>
      </c>
      <c r="BC199" s="15">
        <f t="shared" si="423"/>
        <v>2.338074644112122E-2</v>
      </c>
      <c r="BD199" s="15">
        <f t="shared" si="423"/>
        <v>2.3290388503127455E-2</v>
      </c>
      <c r="BE199" s="15">
        <f t="shared" si="423"/>
        <v>2.320003056513369E-2</v>
      </c>
      <c r="BF199" s="15">
        <f t="shared" si="423"/>
        <v>2.3109672627139925E-2</v>
      </c>
      <c r="BG199" s="15">
        <f t="shared" si="423"/>
        <v>2.3019314689146159E-2</v>
      </c>
      <c r="BH199" s="15">
        <f t="shared" si="423"/>
        <v>2.2928956751152394E-2</v>
      </c>
      <c r="BI199" s="15">
        <f t="shared" si="423"/>
        <v>2.2838598813158629E-2</v>
      </c>
    </row>
    <row r="200" spans="1:61" outlineLevel="1" x14ac:dyDescent="0.3">
      <c r="A200" s="16">
        <f t="shared" si="424"/>
        <v>-3.7111717065845058E-3</v>
      </c>
      <c r="B200" t="s">
        <v>87</v>
      </c>
      <c r="D200" s="15">
        <f t="shared" si="425"/>
        <v>0.35179288855914981</v>
      </c>
      <c r="E200" s="15">
        <f t="shared" si="425"/>
        <v>0.34858118785792136</v>
      </c>
      <c r="F200" s="15">
        <f t="shared" si="425"/>
        <v>0.34546225529097452</v>
      </c>
      <c r="G200" s="15">
        <f t="shared" si="425"/>
        <v>0.33915179191516281</v>
      </c>
      <c r="H200" s="15">
        <f t="shared" si="425"/>
        <v>0.3389497089469779</v>
      </c>
      <c r="I200" s="15">
        <f t="shared" si="425"/>
        <v>0.34060779682541342</v>
      </c>
      <c r="J200" s="15">
        <f t="shared" si="425"/>
        <v>0.32537423804744886</v>
      </c>
      <c r="K200" s="15">
        <f t="shared" si="425"/>
        <v>0.37703287747512221</v>
      </c>
      <c r="L200" s="15">
        <f t="shared" si="425"/>
        <v>0.329634797462804</v>
      </c>
      <c r="M200" s="15">
        <f t="shared" si="425"/>
        <v>0.33504637979607471</v>
      </c>
      <c r="N200" s="15">
        <f t="shared" si="425"/>
        <v>0.31096999978672024</v>
      </c>
      <c r="O200" s="15">
        <f t="shared" si="426"/>
        <v>0.30725882808013572</v>
      </c>
      <c r="P200" s="15">
        <f t="shared" si="423"/>
        <v>0.30354765637355119</v>
      </c>
      <c r="Q200" s="15">
        <f t="shared" si="423"/>
        <v>0.29983648466696666</v>
      </c>
      <c r="R200" s="15">
        <f t="shared" si="423"/>
        <v>0.29612531296038214</v>
      </c>
      <c r="S200" s="15">
        <f t="shared" si="423"/>
        <v>0.29241414125379761</v>
      </c>
      <c r="T200" s="15">
        <f t="shared" si="423"/>
        <v>0.28870296954721308</v>
      </c>
      <c r="U200" s="15">
        <f t="shared" si="423"/>
        <v>0.28499179784062856</v>
      </c>
      <c r="V200" s="15">
        <f t="shared" si="423"/>
        <v>0.28128062613404403</v>
      </c>
      <c r="W200" s="15">
        <f t="shared" si="423"/>
        <v>0.27756945442745951</v>
      </c>
      <c r="X200" s="15">
        <f t="shared" si="423"/>
        <v>0.27385828272087498</v>
      </c>
      <c r="Y200" s="15">
        <f t="shared" si="423"/>
        <v>0.27014711101429045</v>
      </c>
      <c r="Z200" s="15">
        <f t="shared" si="423"/>
        <v>0.26643593930770593</v>
      </c>
      <c r="AA200" s="15">
        <f t="shared" si="423"/>
        <v>0.2627247676011214</v>
      </c>
      <c r="AB200" s="15">
        <f t="shared" si="423"/>
        <v>0.25901359589453687</v>
      </c>
      <c r="AC200" s="15">
        <f t="shared" si="423"/>
        <v>0.25530242418795235</v>
      </c>
      <c r="AD200" s="15">
        <f t="shared" si="423"/>
        <v>0.25159125248136782</v>
      </c>
      <c r="AE200" s="15">
        <f t="shared" si="423"/>
        <v>0.24788008077478332</v>
      </c>
      <c r="AF200" s="15">
        <f t="shared" si="423"/>
        <v>0.24416890906819883</v>
      </c>
      <c r="AG200" s="15">
        <f t="shared" si="423"/>
        <v>0.24045773736161433</v>
      </c>
      <c r="AH200" s="15">
        <f t="shared" si="423"/>
        <v>0.23674656565502983</v>
      </c>
      <c r="AI200" s="15">
        <f t="shared" si="423"/>
        <v>0.23303539394844533</v>
      </c>
      <c r="AJ200" s="15">
        <f t="shared" si="423"/>
        <v>0.22932422224186083</v>
      </c>
      <c r="AK200" s="15">
        <f t="shared" si="423"/>
        <v>0.22561305053527633</v>
      </c>
      <c r="AL200" s="15">
        <f t="shared" si="423"/>
        <v>0.22190187882869183</v>
      </c>
      <c r="AM200" s="15">
        <f t="shared" si="423"/>
        <v>0.21819070712210734</v>
      </c>
      <c r="AN200" s="15">
        <f t="shared" si="423"/>
        <v>0.21447953541552284</v>
      </c>
      <c r="AO200" s="15">
        <f t="shared" si="423"/>
        <v>0.21076836370893834</v>
      </c>
      <c r="AP200" s="15">
        <f t="shared" si="423"/>
        <v>0.20705719200235384</v>
      </c>
      <c r="AQ200" s="15">
        <f t="shared" si="423"/>
        <v>0.20334602029576934</v>
      </c>
      <c r="AR200" s="15">
        <f t="shared" si="423"/>
        <v>0.19963484858918484</v>
      </c>
      <c r="AS200" s="15">
        <f t="shared" si="423"/>
        <v>0.19592367688260034</v>
      </c>
      <c r="AT200" s="15">
        <f t="shared" si="423"/>
        <v>0.19221250517601585</v>
      </c>
      <c r="AU200" s="15">
        <f t="shared" si="423"/>
        <v>0.18850133346943135</v>
      </c>
      <c r="AV200" s="15">
        <f t="shared" si="423"/>
        <v>0.18479016176284685</v>
      </c>
      <c r="AW200" s="15">
        <f t="shared" si="423"/>
        <v>0.18107899005626235</v>
      </c>
      <c r="AX200" s="15">
        <f t="shared" si="423"/>
        <v>0.17736781834967785</v>
      </c>
      <c r="AY200" s="15">
        <f t="shared" si="423"/>
        <v>0.17365664664309335</v>
      </c>
      <c r="AZ200" s="15">
        <f t="shared" si="423"/>
        <v>0.16994547493650886</v>
      </c>
      <c r="BA200" s="15">
        <f t="shared" si="423"/>
        <v>0.16623430322992436</v>
      </c>
      <c r="BB200" s="15">
        <f t="shared" si="423"/>
        <v>0.16252313152333986</v>
      </c>
      <c r="BC200" s="15">
        <f t="shared" si="423"/>
        <v>0.15881195981675536</v>
      </c>
      <c r="BD200" s="15">
        <f t="shared" si="423"/>
        <v>0.15510078811017086</v>
      </c>
      <c r="BE200" s="15">
        <f t="shared" si="423"/>
        <v>0.15138961640358636</v>
      </c>
      <c r="BF200" s="15">
        <f t="shared" si="423"/>
        <v>0.14767844469700186</v>
      </c>
      <c r="BG200" s="15">
        <f t="shared" si="423"/>
        <v>0.14396727299041737</v>
      </c>
      <c r="BH200" s="15">
        <f t="shared" si="423"/>
        <v>0.14025610128383287</v>
      </c>
      <c r="BI200" s="15">
        <f t="shared" si="423"/>
        <v>0.13654492957724837</v>
      </c>
    </row>
    <row r="201" spans="1:61" outlineLevel="1" x14ac:dyDescent="0.3">
      <c r="A201" s="16">
        <f t="shared" si="424"/>
        <v>-9.3372816349419777E-4</v>
      </c>
      <c r="B201" t="s">
        <v>89</v>
      </c>
      <c r="D201" s="15">
        <f t="shared" si="425"/>
        <v>4.6274126841918055E-2</v>
      </c>
      <c r="E201" s="15">
        <f t="shared" si="425"/>
        <v>5.4040862463602145E-2</v>
      </c>
      <c r="F201" s="15">
        <f t="shared" si="425"/>
        <v>5.1030633472280588E-2</v>
      </c>
      <c r="G201" s="15">
        <f t="shared" si="425"/>
        <v>5.1309827127829229E-2</v>
      </c>
      <c r="H201" s="15">
        <f t="shared" si="425"/>
        <v>4.8796655197560462E-2</v>
      </c>
      <c r="I201" s="15">
        <f t="shared" si="425"/>
        <v>4.1682820662424305E-2</v>
      </c>
      <c r="J201" s="15">
        <f t="shared" si="425"/>
        <v>4.2164580536446589E-2</v>
      </c>
      <c r="K201" s="15">
        <f t="shared" si="425"/>
        <v>3.3791542344682672E-2</v>
      </c>
      <c r="L201" s="15">
        <f t="shared" si="425"/>
        <v>3.8133410697704553E-2</v>
      </c>
      <c r="M201" s="15">
        <f t="shared" si="425"/>
        <v>3.4185637585476894E-2</v>
      </c>
      <c r="N201" s="15">
        <f t="shared" si="425"/>
        <v>3.6003117043481879E-2</v>
      </c>
      <c r="O201" s="15">
        <f t="shared" si="426"/>
        <v>3.506938887998768E-2</v>
      </c>
      <c r="P201" s="15">
        <f t="shared" si="423"/>
        <v>3.4135660716493481E-2</v>
      </c>
      <c r="Q201" s="15">
        <f t="shared" si="423"/>
        <v>3.3201932552999282E-2</v>
      </c>
      <c r="R201" s="15">
        <f t="shared" si="423"/>
        <v>3.2268204389505083E-2</v>
      </c>
      <c r="S201" s="15">
        <f t="shared" si="423"/>
        <v>3.1334476226010884E-2</v>
      </c>
      <c r="T201" s="15">
        <f t="shared" si="423"/>
        <v>3.0400748062516685E-2</v>
      </c>
      <c r="U201" s="15">
        <f t="shared" si="423"/>
        <v>2.9467019899022485E-2</v>
      </c>
      <c r="V201" s="15">
        <f t="shared" si="423"/>
        <v>2.8533291735528286E-2</v>
      </c>
      <c r="W201" s="15">
        <f t="shared" si="423"/>
        <v>2.7599563572034087E-2</v>
      </c>
      <c r="X201" s="15">
        <f t="shared" si="423"/>
        <v>2.6665835408539888E-2</v>
      </c>
      <c r="Y201" s="15">
        <f t="shared" si="423"/>
        <v>2.5732107245045689E-2</v>
      </c>
      <c r="Z201" s="15">
        <f t="shared" si="423"/>
        <v>2.479837908155149E-2</v>
      </c>
      <c r="AA201" s="15">
        <f t="shared" si="423"/>
        <v>2.3864650918057291E-2</v>
      </c>
      <c r="AB201" s="15">
        <f t="shared" si="423"/>
        <v>2.2930922754563092E-2</v>
      </c>
      <c r="AC201" s="15">
        <f t="shared" si="423"/>
        <v>2.1997194591068893E-2</v>
      </c>
      <c r="AD201" s="15">
        <f t="shared" si="423"/>
        <v>2.1063466427574694E-2</v>
      </c>
      <c r="AE201" s="15">
        <f t="shared" si="423"/>
        <v>2.0129738264080495E-2</v>
      </c>
      <c r="AF201" s="15">
        <f t="shared" si="423"/>
        <v>1.9196010100586296E-2</v>
      </c>
      <c r="AG201" s="15">
        <f t="shared" si="423"/>
        <v>1.8262281937092097E-2</v>
      </c>
      <c r="AH201" s="15">
        <f t="shared" si="423"/>
        <v>1.7328553773597898E-2</v>
      </c>
      <c r="AI201" s="15">
        <f t="shared" si="423"/>
        <v>1.6394825610103698E-2</v>
      </c>
      <c r="AJ201" s="15">
        <f t="shared" si="423"/>
        <v>1.5461097446609501E-2</v>
      </c>
      <c r="AK201" s="15">
        <f t="shared" si="423"/>
        <v>1.4527369283115304E-2</v>
      </c>
      <c r="AL201" s="15">
        <f t="shared" si="423"/>
        <v>1.3593641119621106E-2</v>
      </c>
      <c r="AM201" s="15">
        <f t="shared" si="423"/>
        <v>1.2659912956126909E-2</v>
      </c>
      <c r="AN201" s="15">
        <f t="shared" si="423"/>
        <v>1.1726184792632712E-2</v>
      </c>
      <c r="AO201" s="15">
        <f t="shared" si="423"/>
        <v>1.0792456629138514E-2</v>
      </c>
      <c r="AP201" s="15">
        <f t="shared" si="423"/>
        <v>9.8587284656443171E-3</v>
      </c>
      <c r="AQ201" s="15">
        <f t="shared" si="423"/>
        <v>8.9250003021501198E-3</v>
      </c>
      <c r="AR201" s="15">
        <f t="shared" si="423"/>
        <v>7.9912721386559225E-3</v>
      </c>
      <c r="AS201" s="15">
        <f t="shared" si="423"/>
        <v>7.0575439751617251E-3</v>
      </c>
      <c r="AT201" s="15">
        <f t="shared" si="423"/>
        <v>6.1238158116675278E-3</v>
      </c>
      <c r="AU201" s="15">
        <f t="shared" si="423"/>
        <v>5.1900876481733305E-3</v>
      </c>
      <c r="AV201" s="15">
        <f t="shared" si="423"/>
        <v>4.2563594846791331E-3</v>
      </c>
      <c r="AW201" s="15">
        <f t="shared" si="423"/>
        <v>3.3226313211849354E-3</v>
      </c>
      <c r="AX201" s="15">
        <f t="shared" si="423"/>
        <v>2.3889031576907376E-3</v>
      </c>
      <c r="AY201" s="15">
        <f t="shared" si="423"/>
        <v>1.4551749941965398E-3</v>
      </c>
      <c r="AZ201" s="15">
        <f t="shared" si="423"/>
        <v>5.2144683070234205E-4</v>
      </c>
      <c r="BA201" s="15">
        <f t="shared" si="423"/>
        <v>-4.1228133279185572E-4</v>
      </c>
      <c r="BB201" s="15">
        <f t="shared" si="423"/>
        <v>-1.3460094962860535E-3</v>
      </c>
      <c r="BC201" s="15">
        <f t="shared" si="423"/>
        <v>-2.2797376597802513E-3</v>
      </c>
      <c r="BD201" s="15">
        <f t="shared" ref="BD201:BI201" si="427">BC201+$A201</f>
        <v>-3.213465823274449E-3</v>
      </c>
      <c r="BE201" s="15">
        <f t="shared" si="427"/>
        <v>-4.1471939867686464E-3</v>
      </c>
      <c r="BF201" s="15">
        <f t="shared" si="427"/>
        <v>-5.0809221502628437E-3</v>
      </c>
      <c r="BG201" s="15">
        <f t="shared" si="427"/>
        <v>-6.014650313757041E-3</v>
      </c>
      <c r="BH201" s="15">
        <f t="shared" si="427"/>
        <v>-6.9483784772512384E-3</v>
      </c>
      <c r="BI201" s="15">
        <f t="shared" si="427"/>
        <v>-7.8821066407454357E-3</v>
      </c>
    </row>
    <row r="202" spans="1:61" outlineLevel="1" x14ac:dyDescent="0.3">
      <c r="A202" s="16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5"/>
      <c r="AH202" s="15"/>
      <c r="AI202" s="15"/>
      <c r="AJ202" s="15"/>
      <c r="AK202" s="15"/>
      <c r="AL202" s="15"/>
      <c r="AM202" s="15"/>
      <c r="AN202" s="15"/>
      <c r="AO202" s="15"/>
      <c r="AP202" s="15"/>
      <c r="AQ202" s="15"/>
      <c r="AR202" s="15"/>
      <c r="AS202" s="15"/>
      <c r="AT202" s="15"/>
      <c r="AU202" s="15"/>
      <c r="AV202" s="15"/>
      <c r="AW202" s="15"/>
      <c r="AX202" s="15"/>
      <c r="AY202" s="15"/>
      <c r="AZ202" s="15"/>
      <c r="BA202" s="15"/>
      <c r="BB202" s="15"/>
      <c r="BC202" s="15"/>
      <c r="BD202" s="15"/>
      <c r="BE202" s="15"/>
      <c r="BF202" s="15"/>
      <c r="BG202" s="15"/>
      <c r="BH202" s="15"/>
      <c r="BI202" s="15"/>
    </row>
    <row r="203" spans="1:61" outlineLevel="1" x14ac:dyDescent="0.3">
      <c r="A203" s="16"/>
      <c r="B203" t="s">
        <v>81</v>
      </c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>
        <f>IF(O196&gt;0,O196*O$183,0)</f>
        <v>14.918047423323582</v>
      </c>
      <c r="P203" s="15">
        <f t="shared" ref="P203:BI208" si="428">IF(P196&gt;0,P196*P$183,0)</f>
        <v>15.792282268661971</v>
      </c>
      <c r="Q203" s="15">
        <f t="shared" si="428"/>
        <v>16.65686192014093</v>
      </c>
      <c r="R203" s="15">
        <f t="shared" si="428"/>
        <v>17.511053662479398</v>
      </c>
      <c r="S203" s="15">
        <f t="shared" si="428"/>
        <v>18.354358772885377</v>
      </c>
      <c r="T203" s="15">
        <f t="shared" si="428"/>
        <v>19.186525275389386</v>
      </c>
      <c r="U203" s="15">
        <f t="shared" si="428"/>
        <v>20.00744735799023</v>
      </c>
      <c r="V203" s="15">
        <f t="shared" si="428"/>
        <v>20.817105361929144</v>
      </c>
      <c r="W203" s="15">
        <f t="shared" si="428"/>
        <v>21.615522439944783</v>
      </c>
      <c r="X203" s="15">
        <f t="shared" si="428"/>
        <v>22.402773078739891</v>
      </c>
      <c r="Y203" s="15">
        <f t="shared" si="428"/>
        <v>23.178951193606039</v>
      </c>
      <c r="Z203" s="15">
        <f t="shared" si="428"/>
        <v>23.944100413869315</v>
      </c>
      <c r="AA203" s="15">
        <f t="shared" si="428"/>
        <v>24.698142741075575</v>
      </c>
      <c r="AB203" s="15">
        <f t="shared" si="428"/>
        <v>25.440840748217518</v>
      </c>
      <c r="AC203" s="15">
        <f t="shared" si="428"/>
        <v>26.17181825533347</v>
      </c>
      <c r="AD203" s="15">
        <f t="shared" si="428"/>
        <v>26.890653313694127</v>
      </c>
      <c r="AE203" s="15">
        <f t="shared" si="428"/>
        <v>27.596981961884321</v>
      </c>
      <c r="AF203" s="15">
        <f t="shared" si="428"/>
        <v>28.29062450329975</v>
      </c>
      <c r="AG203" s="15">
        <f t="shared" si="428"/>
        <v>28.971623376580329</v>
      </c>
      <c r="AH203" s="15">
        <f t="shared" si="428"/>
        <v>29.640224139844559</v>
      </c>
      <c r="AI203" s="15">
        <f t="shared" si="428"/>
        <v>30.296825607052114</v>
      </c>
      <c r="AJ203" s="15">
        <f t="shared" si="428"/>
        <v>30.9419479116426</v>
      </c>
      <c r="AK203" s="15">
        <f t="shared" si="428"/>
        <v>31.576188607529588</v>
      </c>
      <c r="AL203" s="15">
        <f t="shared" si="428"/>
        <v>32.200212335752013</v>
      </c>
      <c r="AM203" s="15">
        <f t="shared" si="428"/>
        <v>32.814677982318784</v>
      </c>
      <c r="AN203" s="15">
        <f t="shared" si="428"/>
        <v>33.420205111276267</v>
      </c>
      <c r="AO203" s="15">
        <f t="shared" si="428"/>
        <v>34.017333257069588</v>
      </c>
      <c r="AP203" s="15">
        <f t="shared" si="428"/>
        <v>34.606539128515564</v>
      </c>
      <c r="AQ203" s="15">
        <f t="shared" si="428"/>
        <v>35.18821568062242</v>
      </c>
      <c r="AR203" s="15">
        <f t="shared" si="428"/>
        <v>35.762688094673216</v>
      </c>
      <c r="AS203" s="15">
        <f t="shared" si="428"/>
        <v>36.330262026941902</v>
      </c>
      <c r="AT203" s="15">
        <f t="shared" si="428"/>
        <v>36.891321125715521</v>
      </c>
      <c r="AU203" s="15">
        <f t="shared" si="428"/>
        <v>37.446404498208906</v>
      </c>
      <c r="AV203" s="15">
        <f t="shared" si="428"/>
        <v>37.996232223800483</v>
      </c>
      <c r="AW203" s="15">
        <f t="shared" si="428"/>
        <v>38.541679043732884</v>
      </c>
      <c r="AX203" s="15">
        <f t="shared" si="428"/>
        <v>39.083722791203499</v>
      </c>
      <c r="AY203" s="15">
        <f t="shared" si="428"/>
        <v>39.62341218179116</v>
      </c>
      <c r="AZ203" s="15">
        <f t="shared" si="428"/>
        <v>40.161850191705433</v>
      </c>
      <c r="BA203" s="15">
        <f t="shared" si="428"/>
        <v>40.700156431840931</v>
      </c>
      <c r="BB203" s="15">
        <f t="shared" si="428"/>
        <v>41.239446226482571</v>
      </c>
      <c r="BC203" s="15">
        <f t="shared" si="428"/>
        <v>41.780785895673901</v>
      </c>
      <c r="BD203" s="15">
        <f t="shared" si="428"/>
        <v>42.325183362863861</v>
      </c>
      <c r="BE203" s="15">
        <f t="shared" si="428"/>
        <v>42.873576795675987</v>
      </c>
      <c r="BF203" s="15">
        <f t="shared" si="428"/>
        <v>43.426852181993844</v>
      </c>
      <c r="BG203" s="15">
        <f t="shared" si="428"/>
        <v>43.985868514578691</v>
      </c>
      <c r="BH203" s="15">
        <f t="shared" si="428"/>
        <v>44.551495574047436</v>
      </c>
      <c r="BI203" s="15">
        <f t="shared" si="428"/>
        <v>45.12466322334253</v>
      </c>
    </row>
    <row r="204" spans="1:61" outlineLevel="1" x14ac:dyDescent="0.3">
      <c r="A204" s="16"/>
      <c r="B204" t="s">
        <v>83</v>
      </c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>
        <f t="shared" ref="O204:AD208" si="429">IF(O197&gt;0,O197*O$183,0)</f>
        <v>77.298590163635083</v>
      </c>
      <c r="P204" s="15">
        <f t="shared" si="429"/>
        <v>76.831311376543098</v>
      </c>
      <c r="Q204" s="15">
        <f t="shared" si="429"/>
        <v>76.343778260357283</v>
      </c>
      <c r="R204" s="15">
        <f t="shared" si="429"/>
        <v>75.836397005689037</v>
      </c>
      <c r="S204" s="15">
        <f t="shared" si="429"/>
        <v>75.310494776603619</v>
      </c>
      <c r="T204" s="15">
        <f t="shared" si="429"/>
        <v>74.768137328595287</v>
      </c>
      <c r="U204" s="15">
        <f t="shared" si="429"/>
        <v>74.211574395718046</v>
      </c>
      <c r="V204" s="15">
        <f t="shared" si="429"/>
        <v>73.642978957159272</v>
      </c>
      <c r="W204" s="15">
        <f t="shared" si="429"/>
        <v>73.064311510808579</v>
      </c>
      <c r="X204" s="15">
        <f t="shared" si="429"/>
        <v>72.477387281557583</v>
      </c>
      <c r="Y204" s="15">
        <f t="shared" si="429"/>
        <v>71.883802151113997</v>
      </c>
      <c r="Z204" s="15">
        <f t="shared" si="429"/>
        <v>71.284764312530911</v>
      </c>
      <c r="AA204" s="15">
        <f t="shared" si="429"/>
        <v>70.680961193011271</v>
      </c>
      <c r="AB204" s="15">
        <f t="shared" si="429"/>
        <v>70.072550186562196</v>
      </c>
      <c r="AC204" s="15">
        <f t="shared" si="429"/>
        <v>69.459308543907184</v>
      </c>
      <c r="AD204" s="15">
        <f t="shared" si="429"/>
        <v>68.840938490214782</v>
      </c>
      <c r="AE204" s="15">
        <f t="shared" si="428"/>
        <v>68.217337337068216</v>
      </c>
      <c r="AF204" s="15">
        <f t="shared" si="428"/>
        <v>67.588867381218222</v>
      </c>
      <c r="AG204" s="15">
        <f t="shared" si="428"/>
        <v>66.956367961580895</v>
      </c>
      <c r="AH204" s="15">
        <f t="shared" si="428"/>
        <v>66.32103635266526</v>
      </c>
      <c r="AI204" s="15">
        <f t="shared" si="428"/>
        <v>65.68426237396443</v>
      </c>
      <c r="AJ204" s="15">
        <f t="shared" si="428"/>
        <v>65.047529588935575</v>
      </c>
      <c r="AK204" s="15">
        <f t="shared" si="428"/>
        <v>64.412309011329967</v>
      </c>
      <c r="AL204" s="15">
        <f t="shared" si="428"/>
        <v>63.780037438801614</v>
      </c>
      <c r="AM204" s="15">
        <f t="shared" si="428"/>
        <v>63.151979152901809</v>
      </c>
      <c r="AN204" s="15">
        <f t="shared" si="428"/>
        <v>62.529184213289682</v>
      </c>
      <c r="AO204" s="15">
        <f t="shared" si="428"/>
        <v>61.912441027111861</v>
      </c>
      <c r="AP204" s="15">
        <f t="shared" si="428"/>
        <v>61.302339681653372</v>
      </c>
      <c r="AQ204" s="15">
        <f t="shared" si="428"/>
        <v>60.699260254666861</v>
      </c>
      <c r="AR204" s="15">
        <f t="shared" si="428"/>
        <v>60.103425489610366</v>
      </c>
      <c r="AS204" s="15">
        <f t="shared" si="428"/>
        <v>59.514998914010633</v>
      </c>
      <c r="AT204" s="15">
        <f t="shared" si="428"/>
        <v>58.934247473165257</v>
      </c>
      <c r="AU204" s="15">
        <f t="shared" si="428"/>
        <v>58.361649261227861</v>
      </c>
      <c r="AV204" s="15">
        <f t="shared" si="428"/>
        <v>57.797906427776461</v>
      </c>
      <c r="AW204" s="15">
        <f t="shared" si="428"/>
        <v>57.243878709331788</v>
      </c>
      <c r="AX204" s="15">
        <f t="shared" si="428"/>
        <v>56.700488967579602</v>
      </c>
      <c r="AY204" s="15">
        <f t="shared" si="428"/>
        <v>56.1686686943277</v>
      </c>
      <c r="AZ204" s="15">
        <f t="shared" si="428"/>
        <v>55.649332282419579</v>
      </c>
      <c r="BA204" s="15">
        <f t="shared" si="428"/>
        <v>55.143326204584923</v>
      </c>
      <c r="BB204" s="15">
        <f t="shared" si="428"/>
        <v>54.651407005366551</v>
      </c>
      <c r="BC204" s="15">
        <f t="shared" si="428"/>
        <v>54.17419141754344</v>
      </c>
      <c r="BD204" s="15">
        <f t="shared" si="428"/>
        <v>53.712157862733662</v>
      </c>
      <c r="BE204" s="15">
        <f t="shared" si="428"/>
        <v>53.265645628238524</v>
      </c>
      <c r="BF204" s="15">
        <f t="shared" si="428"/>
        <v>52.834889657345116</v>
      </c>
      <c r="BG204" s="15">
        <f t="shared" si="428"/>
        <v>52.420060447313588</v>
      </c>
      <c r="BH204" s="15">
        <f t="shared" si="428"/>
        <v>52.021314051360847</v>
      </c>
      <c r="BI204" s="15">
        <f t="shared" si="428"/>
        <v>51.638849403279188</v>
      </c>
    </row>
    <row r="205" spans="1:61" outlineLevel="1" x14ac:dyDescent="0.3">
      <c r="A205" s="16"/>
      <c r="B205" t="s">
        <v>84</v>
      </c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>
        <f t="shared" si="429"/>
        <v>19.423506982444248</v>
      </c>
      <c r="P205" s="15">
        <f t="shared" si="428"/>
        <v>19.552303241998974</v>
      </c>
      <c r="Q205" s="15">
        <f t="shared" si="428"/>
        <v>19.674543006262205</v>
      </c>
      <c r="R205" s="15">
        <f t="shared" si="428"/>
        <v>19.790121268325244</v>
      </c>
      <c r="S205" s="15">
        <f t="shared" si="428"/>
        <v>19.899178803409175</v>
      </c>
      <c r="T205" s="15">
        <f t="shared" si="428"/>
        <v>20.002068582334978</v>
      </c>
      <c r="U205" s="15">
        <f t="shared" si="428"/>
        <v>20.09921805650146</v>
      </c>
      <c r="V205" s="15">
        <f t="shared" si="428"/>
        <v>20.19106116694164</v>
      </c>
      <c r="W205" s="15">
        <f t="shared" si="428"/>
        <v>20.277999861390796</v>
      </c>
      <c r="X205" s="15">
        <f t="shared" si="428"/>
        <v>20.360419846691471</v>
      </c>
      <c r="Y205" s="15">
        <f t="shared" si="428"/>
        <v>20.43866748061911</v>
      </c>
      <c r="Z205" s="15">
        <f t="shared" si="428"/>
        <v>20.512997966705608</v>
      </c>
      <c r="AA205" s="15">
        <f t="shared" si="428"/>
        <v>20.583530258111416</v>
      </c>
      <c r="AB205" s="15">
        <f t="shared" si="428"/>
        <v>20.650235535080519</v>
      </c>
      <c r="AC205" s="15">
        <f t="shared" si="428"/>
        <v>20.712972762390184</v>
      </c>
      <c r="AD205" s="15">
        <f t="shared" si="428"/>
        <v>20.771574064353594</v>
      </c>
      <c r="AE205" s="15">
        <f t="shared" si="428"/>
        <v>20.825925778411889</v>
      </c>
      <c r="AF205" s="15">
        <f t="shared" si="428"/>
        <v>20.876055215328215</v>
      </c>
      <c r="AG205" s="15">
        <f t="shared" si="428"/>
        <v>20.922142763049866</v>
      </c>
      <c r="AH205" s="15">
        <f t="shared" si="428"/>
        <v>20.964492971501528</v>
      </c>
      <c r="AI205" s="15">
        <f t="shared" si="428"/>
        <v>21.003488412216115</v>
      </c>
      <c r="AJ205" s="15">
        <f t="shared" si="428"/>
        <v>21.039561566415479</v>
      </c>
      <c r="AK205" s="15">
        <f t="shared" si="428"/>
        <v>21.073162145473503</v>
      </c>
      <c r="AL205" s="15">
        <f t="shared" si="428"/>
        <v>21.104750076040876</v>
      </c>
      <c r="AM205" s="15">
        <f t="shared" si="428"/>
        <v>21.134748965832106</v>
      </c>
      <c r="AN205" s="15">
        <f t="shared" si="428"/>
        <v>21.163529109136192</v>
      </c>
      <c r="AO205" s="15">
        <f t="shared" si="428"/>
        <v>21.191387512855375</v>
      </c>
      <c r="AP205" s="15">
        <f t="shared" si="428"/>
        <v>21.218565082368517</v>
      </c>
      <c r="AQ205" s="15">
        <f t="shared" si="428"/>
        <v>21.245238917196478</v>
      </c>
      <c r="AR205" s="15">
        <f t="shared" si="428"/>
        <v>21.271537031522765</v>
      </c>
      <c r="AS205" s="15">
        <f t="shared" si="428"/>
        <v>21.297570492723057</v>
      </c>
      <c r="AT205" s="15">
        <f t="shared" si="428"/>
        <v>21.323491170633091</v>
      </c>
      <c r="AU205" s="15">
        <f t="shared" si="428"/>
        <v>21.349533277277491</v>
      </c>
      <c r="AV205" s="15">
        <f t="shared" si="428"/>
        <v>21.376022487583668</v>
      </c>
      <c r="AW205" s="15">
        <f t="shared" si="428"/>
        <v>21.403355795226993</v>
      </c>
      <c r="AX205" s="15">
        <f t="shared" si="428"/>
        <v>21.431969264867742</v>
      </c>
      <c r="AY205" s="15">
        <f t="shared" si="428"/>
        <v>21.462318800657332</v>
      </c>
      <c r="AZ205" s="15">
        <f t="shared" si="428"/>
        <v>21.49487070524804</v>
      </c>
      <c r="BA205" s="15">
        <f t="shared" si="428"/>
        <v>21.530081807666885</v>
      </c>
      <c r="BB205" s="15">
        <f t="shared" si="428"/>
        <v>21.568389676335748</v>
      </c>
      <c r="BC205" s="15">
        <f t="shared" si="428"/>
        <v>21.610191125849024</v>
      </c>
      <c r="BD205" s="15">
        <f t="shared" si="428"/>
        <v>21.655840122258308</v>
      </c>
      <c r="BE205" s="15">
        <f t="shared" si="428"/>
        <v>21.705644716798446</v>
      </c>
      <c r="BF205" s="15">
        <f t="shared" si="428"/>
        <v>21.759878560958679</v>
      </c>
      <c r="BG205" s="15">
        <f t="shared" si="428"/>
        <v>21.818795395792158</v>
      </c>
      <c r="BH205" s="15">
        <f t="shared" si="428"/>
        <v>21.882648798653765</v>
      </c>
      <c r="BI205" s="15">
        <f t="shared" si="428"/>
        <v>21.951716348032733</v>
      </c>
    </row>
    <row r="206" spans="1:61" outlineLevel="1" x14ac:dyDescent="0.3">
      <c r="A206" s="16"/>
      <c r="B206" t="s">
        <v>85</v>
      </c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>
        <f t="shared" si="429"/>
        <v>4.778569990110066</v>
      </c>
      <c r="P206" s="15">
        <f t="shared" si="428"/>
        <v>4.7497680849337591</v>
      </c>
      <c r="Q206" s="15">
        <f t="shared" si="428"/>
        <v>4.7197135576734963</v>
      </c>
      <c r="R206" s="15">
        <f t="shared" si="428"/>
        <v>4.6884314473134312</v>
      </c>
      <c r="S206" s="15">
        <f t="shared" si="428"/>
        <v>4.6560037320361909</v>
      </c>
      <c r="T206" s="15">
        <f t="shared" si="428"/>
        <v>4.6225580586652786</v>
      </c>
      <c r="U206" s="15">
        <f t="shared" si="428"/>
        <v>4.5882334572739225</v>
      </c>
      <c r="V206" s="15">
        <f t="shared" si="428"/>
        <v>4.5531642218868891</v>
      </c>
      <c r="W206" s="15">
        <f t="shared" si="428"/>
        <v>4.5174715184101579</v>
      </c>
      <c r="X206" s="15">
        <f t="shared" si="428"/>
        <v>4.4812675390304451</v>
      </c>
      <c r="Y206" s="15">
        <f t="shared" si="428"/>
        <v>4.4446509216701031</v>
      </c>
      <c r="Z206" s="15">
        <f t="shared" si="428"/>
        <v>4.4076963396484201</v>
      </c>
      <c r="AA206" s="15">
        <f t="shared" si="428"/>
        <v>4.3704462708703513</v>
      </c>
      <c r="AB206" s="15">
        <f t="shared" si="428"/>
        <v>4.3329104217451455</v>
      </c>
      <c r="AC206" s="15">
        <f t="shared" si="428"/>
        <v>4.2950749925966525</v>
      </c>
      <c r="AD206" s="15">
        <f t="shared" si="428"/>
        <v>4.2569215429361016</v>
      </c>
      <c r="AE206" s="15">
        <f t="shared" si="428"/>
        <v>4.2184436942385037</v>
      </c>
      <c r="AF206" s="15">
        <f t="shared" si="428"/>
        <v>4.1796638215288411</v>
      </c>
      <c r="AG206" s="15">
        <f t="shared" si="428"/>
        <v>4.1406338018773621</v>
      </c>
      <c r="AH206" s="15">
        <f t="shared" si="428"/>
        <v>4.1014276516260946</v>
      </c>
      <c r="AI206" s="15">
        <f t="shared" si="428"/>
        <v>4.0621313004198258</v>
      </c>
      <c r="AJ206" s="15">
        <f t="shared" si="428"/>
        <v>4.022836482228465</v>
      </c>
      <c r="AK206" s="15">
        <f t="shared" si="428"/>
        <v>3.9836341622486722</v>
      </c>
      <c r="AL206" s="15">
        <f t="shared" si="428"/>
        <v>3.9446131969528131</v>
      </c>
      <c r="AM206" s="15">
        <f t="shared" si="428"/>
        <v>3.9058517803621027</v>
      </c>
      <c r="AN206" s="15">
        <f t="shared" si="428"/>
        <v>3.8674148635586922</v>
      </c>
      <c r="AO206" s="15">
        <f t="shared" si="428"/>
        <v>3.8293512197582733</v>
      </c>
      <c r="AP206" s="15">
        <f t="shared" si="428"/>
        <v>3.7916973599504376</v>
      </c>
      <c r="AQ206" s="15">
        <f t="shared" si="428"/>
        <v>3.7544768086000557</v>
      </c>
      <c r="AR206" s="15">
        <f t="shared" si="428"/>
        <v>3.7177033605238305</v>
      </c>
      <c r="AS206" s="15">
        <f t="shared" si="428"/>
        <v>3.6813871491172767</v>
      </c>
      <c r="AT206" s="15">
        <f t="shared" si="428"/>
        <v>3.6455447061444413</v>
      </c>
      <c r="AU206" s="15">
        <f t="shared" si="428"/>
        <v>3.6102056266341336</v>
      </c>
      <c r="AV206" s="15">
        <f t="shared" si="428"/>
        <v>3.5754133687905396</v>
      </c>
      <c r="AW206" s="15">
        <f t="shared" si="428"/>
        <v>3.5412211437468786</v>
      </c>
      <c r="AX206" s="15">
        <f t="shared" si="428"/>
        <v>3.5076860730318651</v>
      </c>
      <c r="AY206" s="15">
        <f t="shared" si="428"/>
        <v>3.4748658177924665</v>
      </c>
      <c r="AZ206" s="15">
        <f t="shared" si="428"/>
        <v>3.4428169872029057</v>
      </c>
      <c r="BA206" s="15">
        <f t="shared" si="428"/>
        <v>3.4115919942656676</v>
      </c>
      <c r="BB206" s="15">
        <f t="shared" si="428"/>
        <v>3.3812376938094193</v>
      </c>
      <c r="BC206" s="15">
        <f t="shared" si="428"/>
        <v>3.3517922956087047</v>
      </c>
      <c r="BD206" s="15">
        <f t="shared" si="428"/>
        <v>3.3232854562963712</v>
      </c>
      <c r="BE206" s="15">
        <f t="shared" si="428"/>
        <v>3.29573822748812</v>
      </c>
      <c r="BF206" s="15">
        <f t="shared" si="428"/>
        <v>3.2691652074644142</v>
      </c>
      <c r="BG206" s="15">
        <f t="shared" si="428"/>
        <v>3.2435770091919074</v>
      </c>
      <c r="BH206" s="15">
        <f t="shared" si="428"/>
        <v>3.2189833539097181</v>
      </c>
      <c r="BI206" s="15">
        <f t="shared" si="428"/>
        <v>3.1953966182892812</v>
      </c>
    </row>
    <row r="207" spans="1:61" outlineLevel="1" x14ac:dyDescent="0.3">
      <c r="A207" s="16"/>
      <c r="B207" t="s">
        <v>87</v>
      </c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>
        <f t="shared" si="429"/>
        <v>54.389862427749769</v>
      </c>
      <c r="P207" s="15">
        <f t="shared" si="428"/>
        <v>53.588430562056068</v>
      </c>
      <c r="Q207" s="15">
        <f t="shared" si="428"/>
        <v>52.775563190573465</v>
      </c>
      <c r="R207" s="15">
        <f t="shared" si="428"/>
        <v>51.951943628093652</v>
      </c>
      <c r="S207" s="15">
        <f t="shared" si="428"/>
        <v>51.118875649377131</v>
      </c>
      <c r="T207" s="15">
        <f t="shared" si="428"/>
        <v>50.278131658535017</v>
      </c>
      <c r="U207" s="15">
        <f t="shared" si="428"/>
        <v>49.431559282341325</v>
      </c>
      <c r="V207" s="15">
        <f t="shared" si="428"/>
        <v>48.580902658919562</v>
      </c>
      <c r="W207" s="15">
        <f t="shared" si="428"/>
        <v>47.727715339745643</v>
      </c>
      <c r="X207" s="15">
        <f t="shared" si="428"/>
        <v>46.873409759624899</v>
      </c>
      <c r="Y207" s="15">
        <f t="shared" si="428"/>
        <v>46.019213748901663</v>
      </c>
      <c r="Z207" s="15">
        <f t="shared" si="428"/>
        <v>45.166070323195704</v>
      </c>
      <c r="AA207" s="15">
        <f t="shared" si="428"/>
        <v>44.314566422276471</v>
      </c>
      <c r="AB207" s="15">
        <f t="shared" si="428"/>
        <v>43.464944038052082</v>
      </c>
      <c r="AC207" s="15">
        <f t="shared" si="428"/>
        <v>42.617209726239665</v>
      </c>
      <c r="AD207" s="15">
        <f t="shared" si="428"/>
        <v>41.771332586317165</v>
      </c>
      <c r="AE207" s="15">
        <f t="shared" si="428"/>
        <v>40.927409020299301</v>
      </c>
      <c r="AF207" s="15">
        <f t="shared" si="428"/>
        <v>40.085816284074781</v>
      </c>
      <c r="AG207" s="15">
        <f t="shared" si="428"/>
        <v>39.247203552019656</v>
      </c>
      <c r="AH207" s="15">
        <f t="shared" si="428"/>
        <v>38.412406163592031</v>
      </c>
      <c r="AI207" s="15">
        <f t="shared" si="428"/>
        <v>37.582338043188791</v>
      </c>
      <c r="AJ207" s="15">
        <f t="shared" si="428"/>
        <v>36.757928487026625</v>
      </c>
      <c r="AK207" s="15">
        <f t="shared" si="428"/>
        <v>35.940058831907116</v>
      </c>
      <c r="AL207" s="15">
        <f t="shared" si="428"/>
        <v>35.129550224930725</v>
      </c>
      <c r="AM207" s="15">
        <f t="shared" si="428"/>
        <v>34.327088928731413</v>
      </c>
      <c r="AN207" s="15">
        <f t="shared" si="428"/>
        <v>33.533209481713563</v>
      </c>
      <c r="AO207" s="15">
        <f t="shared" si="428"/>
        <v>32.748276788146718</v>
      </c>
      <c r="AP207" s="15">
        <f t="shared" si="428"/>
        <v>31.972528239929481</v>
      </c>
      <c r="AQ207" s="15">
        <f t="shared" si="428"/>
        <v>31.206074642159816</v>
      </c>
      <c r="AR207" s="15">
        <f t="shared" si="428"/>
        <v>30.44893442779685</v>
      </c>
      <c r="AS207" s="15">
        <f t="shared" si="428"/>
        <v>29.701088331550022</v>
      </c>
      <c r="AT207" s="15">
        <f t="shared" si="428"/>
        <v>28.962561415552816</v>
      </c>
      <c r="AU207" s="15">
        <f t="shared" si="428"/>
        <v>28.233471097076531</v>
      </c>
      <c r="AV207" s="15">
        <f t="shared" si="428"/>
        <v>27.514024947271466</v>
      </c>
      <c r="AW207" s="15">
        <f t="shared" si="428"/>
        <v>26.804480529145486</v>
      </c>
      <c r="AX207" s="15">
        <f t="shared" si="428"/>
        <v>26.105095270058232</v>
      </c>
      <c r="AY207" s="15">
        <f t="shared" si="428"/>
        <v>25.416098748177014</v>
      </c>
      <c r="AZ207" s="15">
        <f t="shared" si="428"/>
        <v>24.737680301094542</v>
      </c>
      <c r="BA207" s="15">
        <f t="shared" si="428"/>
        <v>24.069966899284275</v>
      </c>
      <c r="BB207" s="15">
        <f t="shared" si="428"/>
        <v>23.413015831996546</v>
      </c>
      <c r="BC207" s="15">
        <f t="shared" si="428"/>
        <v>22.766796804575979</v>
      </c>
      <c r="BD207" s="15">
        <f t="shared" si="428"/>
        <v>22.131197739248602</v>
      </c>
      <c r="BE207" s="15">
        <f t="shared" si="428"/>
        <v>21.506029684973694</v>
      </c>
      <c r="BF207" s="15">
        <f t="shared" si="428"/>
        <v>20.891045973923262</v>
      </c>
      <c r="BG207" s="15">
        <f t="shared" si="428"/>
        <v>20.285961726217394</v>
      </c>
      <c r="BH207" s="15">
        <f t="shared" si="428"/>
        <v>19.690475245640744</v>
      </c>
      <c r="BI207" s="15">
        <f t="shared" si="428"/>
        <v>19.104289618866691</v>
      </c>
    </row>
    <row r="208" spans="1:61" outlineLevel="1" x14ac:dyDescent="0.3">
      <c r="A208" s="16"/>
      <c r="B208" t="s">
        <v>89</v>
      </c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>
        <f t="shared" si="429"/>
        <v>6.2078582038668593</v>
      </c>
      <c r="P208" s="15">
        <f t="shared" si="428"/>
        <v>6.026323859158957</v>
      </c>
      <c r="Q208" s="15">
        <f t="shared" si="428"/>
        <v>5.8440209217574894</v>
      </c>
      <c r="R208" s="15">
        <f t="shared" si="428"/>
        <v>5.6611031278087767</v>
      </c>
      <c r="S208" s="15">
        <f t="shared" si="428"/>
        <v>5.4777897774292814</v>
      </c>
      <c r="T208" s="15">
        <f t="shared" si="428"/>
        <v>5.2943439272632942</v>
      </c>
      <c r="U208" s="15">
        <f t="shared" si="428"/>
        <v>5.1110268858580037</v>
      </c>
      <c r="V208" s="15">
        <f t="shared" si="428"/>
        <v>4.9280787212186956</v>
      </c>
      <c r="W208" s="15">
        <f t="shared" si="428"/>
        <v>4.7457099210875615</v>
      </c>
      <c r="X208" s="15">
        <f t="shared" si="428"/>
        <v>4.5641074546617286</v>
      </c>
      <c r="Y208" s="15">
        <f t="shared" si="428"/>
        <v>4.3834314536007657</v>
      </c>
      <c r="Z208" s="15">
        <f t="shared" si="428"/>
        <v>4.2038072506617938</v>
      </c>
      <c r="AA208" s="15">
        <f t="shared" si="428"/>
        <v>4.0253215100690687</v>
      </c>
      <c r="AB208" s="15">
        <f t="shared" si="428"/>
        <v>3.8480268606201076</v>
      </c>
      <c r="AC208" s="15">
        <f t="shared" si="428"/>
        <v>3.671955165558221</v>
      </c>
      <c r="AD208" s="15">
        <f t="shared" si="428"/>
        <v>3.4971369349660026</v>
      </c>
      <c r="AE208" s="15">
        <f t="shared" si="428"/>
        <v>3.3236153095904695</v>
      </c>
      <c r="AF208" s="15">
        <f t="shared" si="428"/>
        <v>3.1514566584905386</v>
      </c>
      <c r="AG208" s="15">
        <f t="shared" si="428"/>
        <v>2.9807462399579379</v>
      </c>
      <c r="AH208" s="15">
        <f t="shared" si="428"/>
        <v>2.8115780431172057</v>
      </c>
      <c r="AI208" s="15">
        <f t="shared" si="428"/>
        <v>2.6440441848690117</v>
      </c>
      <c r="AJ208" s="15">
        <f t="shared" si="428"/>
        <v>2.4782288967016988</v>
      </c>
      <c r="AK208" s="15">
        <f t="shared" si="428"/>
        <v>2.3142034801145854</v>
      </c>
      <c r="AL208" s="15">
        <f t="shared" si="428"/>
        <v>2.1520254851923664</v>
      </c>
      <c r="AM208" s="15">
        <f t="shared" si="428"/>
        <v>1.9917344950523579</v>
      </c>
      <c r="AN208" s="15">
        <f t="shared" si="428"/>
        <v>1.8333525868136407</v>
      </c>
      <c r="AO208" s="15">
        <f t="shared" si="428"/>
        <v>1.676885234081781</v>
      </c>
      <c r="AP208" s="15">
        <f t="shared" si="428"/>
        <v>1.5223256493984825</v>
      </c>
      <c r="AQ208" s="15">
        <f t="shared" si="428"/>
        <v>1.3696566335800087</v>
      </c>
      <c r="AR208" s="15">
        <f t="shared" si="428"/>
        <v>1.2188539378980758</v>
      </c>
      <c r="AS208" s="15">
        <f t="shared" si="428"/>
        <v>1.0698897670018808</v>
      </c>
      <c r="AT208" s="15">
        <f t="shared" si="428"/>
        <v>0.92273596549058057</v>
      </c>
      <c r="AU208" s="15">
        <f t="shared" si="428"/>
        <v>0.77736420697394482</v>
      </c>
      <c r="AV208" s="15">
        <f t="shared" si="428"/>
        <v>0.63374359288841076</v>
      </c>
      <c r="AW208" s="15">
        <f t="shared" si="428"/>
        <v>0.49183732760249332</v>
      </c>
      <c r="AX208" s="15">
        <f t="shared" si="428"/>
        <v>0.35160011045246592</v>
      </c>
      <c r="AY208" s="15">
        <f t="shared" si="428"/>
        <v>0.21297699836614992</v>
      </c>
      <c r="AZ208" s="15">
        <f t="shared" si="428"/>
        <v>7.5903080071727011E-2</v>
      </c>
      <c r="BA208" s="15">
        <f t="shared" si="428"/>
        <v>0</v>
      </c>
      <c r="BB208" s="15">
        <f t="shared" si="428"/>
        <v>0</v>
      </c>
      <c r="BC208" s="15">
        <f t="shared" si="428"/>
        <v>0</v>
      </c>
      <c r="BD208" s="15">
        <f t="shared" ref="BD208:BI208" si="430">IF(BD201&gt;0,BD201*BD$183,0)</f>
        <v>0</v>
      </c>
      <c r="BE208" s="15">
        <f t="shared" si="430"/>
        <v>0</v>
      </c>
      <c r="BF208" s="15">
        <f t="shared" si="430"/>
        <v>0</v>
      </c>
      <c r="BG208" s="15">
        <f t="shared" si="430"/>
        <v>0</v>
      </c>
      <c r="BH208" s="15">
        <f t="shared" si="430"/>
        <v>0</v>
      </c>
      <c r="BI208" s="15">
        <f t="shared" si="430"/>
        <v>0</v>
      </c>
    </row>
    <row r="209" spans="1:61" outlineLevel="1" x14ac:dyDescent="0.3">
      <c r="A209" s="16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  <c r="AC209" s="15"/>
      <c r="AD209" s="15"/>
      <c r="AE209" s="15"/>
      <c r="AF209" s="15"/>
      <c r="AG209" s="15"/>
      <c r="AH209" s="15"/>
      <c r="AI209" s="15"/>
      <c r="AJ209" s="15"/>
      <c r="AK209" s="15"/>
      <c r="AL209" s="15"/>
      <c r="AM209" s="15"/>
      <c r="AN209" s="15"/>
      <c r="AO209" s="15"/>
      <c r="AP209" s="15"/>
      <c r="AQ209" s="15"/>
      <c r="AR209" s="15"/>
      <c r="AS209" s="15"/>
      <c r="AT209" s="15"/>
      <c r="AU209" s="15"/>
      <c r="AV209" s="15"/>
      <c r="AW209" s="15"/>
      <c r="AX209" s="15"/>
      <c r="AY209" s="15"/>
      <c r="AZ209" s="15"/>
      <c r="BA209" s="15"/>
      <c r="BB209" s="15"/>
      <c r="BC209" s="15"/>
      <c r="BD209" s="15"/>
      <c r="BE209" s="15"/>
      <c r="BF209" s="15"/>
      <c r="BG209" s="15"/>
      <c r="BH209" s="15"/>
      <c r="BI209" s="15"/>
    </row>
    <row r="210" spans="1:61" x14ac:dyDescent="0.3">
      <c r="A210" t="s">
        <v>62</v>
      </c>
      <c r="D210">
        <v>2013</v>
      </c>
      <c r="E210">
        <v>2014</v>
      </c>
      <c r="F210">
        <v>2015</v>
      </c>
      <c r="G210">
        <v>2016</v>
      </c>
      <c r="H210">
        <v>2017</v>
      </c>
      <c r="I210">
        <v>2018</v>
      </c>
      <c r="J210">
        <v>2019</v>
      </c>
      <c r="K210">
        <v>2020</v>
      </c>
      <c r="L210">
        <v>2021</v>
      </c>
      <c r="M210">
        <v>2022</v>
      </c>
      <c r="N210">
        <v>2023</v>
      </c>
      <c r="O210">
        <v>2024</v>
      </c>
      <c r="P210">
        <v>2025</v>
      </c>
      <c r="Q210">
        <v>2026</v>
      </c>
      <c r="R210">
        <v>2027</v>
      </c>
      <c r="S210">
        <v>2028</v>
      </c>
      <c r="T210">
        <v>2029</v>
      </c>
      <c r="U210">
        <v>2030</v>
      </c>
      <c r="V210">
        <v>2031</v>
      </c>
      <c r="W210">
        <v>2032</v>
      </c>
      <c r="X210">
        <v>2033</v>
      </c>
      <c r="Y210">
        <v>2034</v>
      </c>
      <c r="Z210">
        <v>2035</v>
      </c>
      <c r="AA210">
        <v>2036</v>
      </c>
      <c r="AB210">
        <v>2037</v>
      </c>
      <c r="AC210">
        <v>2038</v>
      </c>
      <c r="AD210">
        <v>2039</v>
      </c>
      <c r="AE210">
        <v>2040</v>
      </c>
      <c r="AF210">
        <v>2041</v>
      </c>
      <c r="AG210">
        <v>2042</v>
      </c>
      <c r="AH210">
        <v>2043</v>
      </c>
      <c r="AI210">
        <v>2044</v>
      </c>
      <c r="AJ210">
        <v>2045</v>
      </c>
      <c r="AK210">
        <v>2046</v>
      </c>
      <c r="AL210">
        <v>2047</v>
      </c>
      <c r="AM210">
        <v>2048</v>
      </c>
      <c r="AN210">
        <v>2049</v>
      </c>
      <c r="AO210">
        <v>2050</v>
      </c>
      <c r="AP210">
        <v>2051</v>
      </c>
      <c r="AQ210">
        <v>2052</v>
      </c>
      <c r="AR210">
        <v>2053</v>
      </c>
      <c r="AS210">
        <v>2054</v>
      </c>
      <c r="AT210">
        <v>2055</v>
      </c>
      <c r="AU210">
        <v>2056</v>
      </c>
      <c r="AV210">
        <v>2057</v>
      </c>
      <c r="AW210">
        <v>2058</v>
      </c>
      <c r="AX210">
        <v>2059</v>
      </c>
      <c r="AY210">
        <v>2060</v>
      </c>
      <c r="AZ210">
        <v>2061</v>
      </c>
      <c r="BA210">
        <v>2062</v>
      </c>
      <c r="BB210">
        <v>2063</v>
      </c>
      <c r="BC210">
        <v>2064</v>
      </c>
      <c r="BD210">
        <v>2065</v>
      </c>
      <c r="BE210">
        <v>2066</v>
      </c>
      <c r="BF210">
        <v>2067</v>
      </c>
      <c r="BG210">
        <v>2068</v>
      </c>
      <c r="BH210">
        <v>2069</v>
      </c>
      <c r="BI210">
        <v>2070</v>
      </c>
    </row>
    <row r="211" spans="1:61" outlineLevel="1" x14ac:dyDescent="0.3">
      <c r="B211" t="s">
        <v>83</v>
      </c>
      <c r="D211" s="3">
        <f t="shared" ref="D211:N211" si="431">D52</f>
        <v>248.87883853444779</v>
      </c>
      <c r="E211" s="3">
        <f t="shared" si="431"/>
        <v>247.65752153735826</v>
      </c>
      <c r="F211" s="3">
        <f t="shared" si="431"/>
        <v>246.39254207675324</v>
      </c>
      <c r="G211" s="3">
        <f t="shared" si="431"/>
        <v>245.1964147063305</v>
      </c>
      <c r="H211" s="3">
        <f t="shared" si="431"/>
        <v>243.96438519723242</v>
      </c>
      <c r="I211" s="3">
        <f t="shared" si="431"/>
        <v>242.75851745788106</v>
      </c>
      <c r="J211" s="3">
        <f t="shared" si="431"/>
        <v>241.59284750354337</v>
      </c>
      <c r="K211" s="3">
        <f t="shared" si="431"/>
        <v>240.08526087361528</v>
      </c>
      <c r="L211" s="3">
        <f t="shared" si="431"/>
        <v>239.2991024116794</v>
      </c>
      <c r="M211" s="3">
        <f t="shared" si="431"/>
        <v>238.84976163823916</v>
      </c>
      <c r="N211" s="3">
        <f t="shared" si="431"/>
        <v>238.58114341931358</v>
      </c>
      <c r="O211" s="3">
        <f t="shared" ref="O211:BH215" si="432">O224/SUM(O$224:O$228)*O$184</f>
        <v>237.80686912673411</v>
      </c>
      <c r="P211" s="3">
        <f t="shared" si="432"/>
        <v>237.225175329926</v>
      </c>
      <c r="Q211" s="3">
        <f t="shared" si="432"/>
        <v>236.5803787861378</v>
      </c>
      <c r="R211" s="3">
        <f t="shared" si="432"/>
        <v>235.87321895657308</v>
      </c>
      <c r="S211" s="3">
        <f t="shared" si="432"/>
        <v>235.10731233375787</v>
      </c>
      <c r="T211" s="3">
        <f t="shared" si="432"/>
        <v>234.28863390928012</v>
      </c>
      <c r="U211" s="3">
        <f t="shared" si="432"/>
        <v>233.42381693092577</v>
      </c>
      <c r="V211" s="3">
        <f t="shared" si="432"/>
        <v>232.51934240982513</v>
      </c>
      <c r="W211" s="3">
        <f t="shared" si="432"/>
        <v>231.58110641320965</v>
      </c>
      <c r="X211" s="3">
        <f t="shared" si="432"/>
        <v>230.61462302121893</v>
      </c>
      <c r="Y211" s="3">
        <f t="shared" si="432"/>
        <v>229.62478066508933</v>
      </c>
      <c r="Z211" s="3">
        <f t="shared" si="432"/>
        <v>228.61529026737108</v>
      </c>
      <c r="AA211" s="3">
        <f t="shared" si="432"/>
        <v>227.58823351113773</v>
      </c>
      <c r="AB211" s="3">
        <f t="shared" si="432"/>
        <v>226.54400001186826</v>
      </c>
      <c r="AC211" s="3">
        <f t="shared" si="432"/>
        <v>225.48173900716384</v>
      </c>
      <c r="AD211" s="3">
        <f t="shared" si="432"/>
        <v>224.40032760343828</v>
      </c>
      <c r="AE211" s="3">
        <f t="shared" si="432"/>
        <v>223.29924826621343</v>
      </c>
      <c r="AF211" s="3">
        <f t="shared" si="432"/>
        <v>222.17948781423752</v>
      </c>
      <c r="AG211" s="3">
        <f t="shared" si="432"/>
        <v>221.04360861316781</v>
      </c>
      <c r="AH211" s="3">
        <f t="shared" si="432"/>
        <v>219.89538747023693</v>
      </c>
      <c r="AI211" s="3">
        <f t="shared" si="432"/>
        <v>218.73929170116833</v>
      </c>
      <c r="AJ211" s="3">
        <f t="shared" si="432"/>
        <v>217.58016465148924</v>
      </c>
      <c r="AK211" s="3">
        <f t="shared" si="432"/>
        <v>216.42287799958839</v>
      </c>
      <c r="AL211" s="3">
        <f t="shared" si="432"/>
        <v>215.27226049710868</v>
      </c>
      <c r="AM211" s="3">
        <f t="shared" si="432"/>
        <v>214.13262937302872</v>
      </c>
      <c r="AN211" s="3">
        <f t="shared" si="432"/>
        <v>213.00763776722781</v>
      </c>
      <c r="AO211" s="3">
        <f t="shared" si="432"/>
        <v>211.90009807374787</v>
      </c>
      <c r="AP211" s="3">
        <f t="shared" si="432"/>
        <v>210.81218086027442</v>
      </c>
      <c r="AQ211" s="3">
        <f t="shared" si="432"/>
        <v>209.74535993325136</v>
      </c>
      <c r="AR211" s="3">
        <f t="shared" si="432"/>
        <v>208.70057901490401</v>
      </c>
      <c r="AS211" s="3">
        <f t="shared" si="432"/>
        <v>207.67858162899711</v>
      </c>
      <c r="AT211" s="3">
        <f t="shared" si="432"/>
        <v>206.68047691727949</v>
      </c>
      <c r="AU211" s="3">
        <f t="shared" si="432"/>
        <v>205.70812907103786</v>
      </c>
      <c r="AV211" s="3">
        <f t="shared" si="432"/>
        <v>204.764223026743</v>
      </c>
      <c r="AW211" s="3">
        <f t="shared" si="432"/>
        <v>203.85204996879597</v>
      </c>
      <c r="AX211" s="3">
        <f t="shared" si="432"/>
        <v>202.97518632026788</v>
      </c>
      <c r="AY211" s="3">
        <f t="shared" si="432"/>
        <v>202.13730666588384</v>
      </c>
      <c r="AZ211" s="3">
        <f t="shared" si="432"/>
        <v>201.34209486620833</v>
      </c>
      <c r="BA211" s="3">
        <f t="shared" si="432"/>
        <v>200.59306102845014</v>
      </c>
      <c r="BB211" s="3">
        <f t="shared" si="432"/>
        <v>199.89345781205907</v>
      </c>
      <c r="BC211" s="3">
        <f t="shared" si="432"/>
        <v>199.24609130203436</v>
      </c>
      <c r="BD211" s="3">
        <f t="shared" si="432"/>
        <v>198.653315400352</v>
      </c>
      <c r="BE211" s="3">
        <f t="shared" si="432"/>
        <v>198.11701713519949</v>
      </c>
      <c r="BF211" s="3">
        <f t="shared" si="432"/>
        <v>197.63873444216676</v>
      </c>
      <c r="BG211" s="3">
        <f t="shared" si="432"/>
        <v>197.21979700767127</v>
      </c>
      <c r="BH211" s="3">
        <f t="shared" si="432"/>
        <v>196.86151009842391</v>
      </c>
      <c r="BI211" s="3">
        <f>BI224/SUM(BI$224:BI$228)*BI$184</f>
        <v>196.5653726405003</v>
      </c>
    </row>
    <row r="212" spans="1:61" outlineLevel="1" x14ac:dyDescent="0.3">
      <c r="B212" t="s">
        <v>84</v>
      </c>
      <c r="D212" s="3">
        <f>D53</f>
        <v>53.369750934520567</v>
      </c>
      <c r="E212" s="3">
        <f t="shared" ref="E212:N212" si="433">E53</f>
        <v>53.917504688897026</v>
      </c>
      <c r="F212" s="3">
        <f t="shared" si="433"/>
        <v>54.464772593464367</v>
      </c>
      <c r="G212" s="3">
        <f t="shared" si="433"/>
        <v>55.019756470364925</v>
      </c>
      <c r="H212" s="3">
        <f t="shared" si="433"/>
        <v>55.566790553853338</v>
      </c>
      <c r="I212" s="3">
        <f t="shared" si="433"/>
        <v>56.122157258320684</v>
      </c>
      <c r="J212" s="3">
        <f t="shared" si="433"/>
        <v>56.684745861904538</v>
      </c>
      <c r="K212" s="3">
        <f t="shared" si="433"/>
        <v>57.181355359755258</v>
      </c>
      <c r="L212" s="3">
        <f t="shared" si="433"/>
        <v>57.77917964645934</v>
      </c>
      <c r="M212" s="3">
        <f t="shared" si="433"/>
        <v>58.460835785881088</v>
      </c>
      <c r="N212" s="3">
        <f t="shared" si="433"/>
        <v>59.190985614917729</v>
      </c>
      <c r="O212" s="3">
        <f t="shared" si="432"/>
        <v>59.707847460424979</v>
      </c>
      <c r="P212" s="3">
        <f t="shared" si="432"/>
        <v>60.266008095969021</v>
      </c>
      <c r="Q212" s="3">
        <f t="shared" si="432"/>
        <v>60.801512900588151</v>
      </c>
      <c r="R212" s="3">
        <f t="shared" si="432"/>
        <v>61.314037832749513</v>
      </c>
      <c r="S212" s="3">
        <f t="shared" si="432"/>
        <v>61.804028190651053</v>
      </c>
      <c r="T212" s="3">
        <f t="shared" si="432"/>
        <v>62.272602635575751</v>
      </c>
      <c r="U212" s="3">
        <f t="shared" si="432"/>
        <v>62.72113011799177</v>
      </c>
      <c r="V212" s="3">
        <f t="shared" si="432"/>
        <v>63.151018505473218</v>
      </c>
      <c r="W212" s="3">
        <f t="shared" si="432"/>
        <v>63.563592779185804</v>
      </c>
      <c r="X212" s="3">
        <f t="shared" si="432"/>
        <v>63.960142116856311</v>
      </c>
      <c r="Y212" s="3">
        <f t="shared" si="432"/>
        <v>64.34184542680245</v>
      </c>
      <c r="Z212" s="3">
        <f t="shared" si="432"/>
        <v>64.709605563225011</v>
      </c>
      <c r="AA212" s="3">
        <f t="shared" si="432"/>
        <v>65.063902902260267</v>
      </c>
      <c r="AB212" s="3">
        <f t="shared" si="432"/>
        <v>65.404753762471373</v>
      </c>
      <c r="AC212" s="3">
        <f t="shared" si="432"/>
        <v>65.73181804800943</v>
      </c>
      <c r="AD212" s="3">
        <f t="shared" si="432"/>
        <v>66.044666806697748</v>
      </c>
      <c r="AE212" s="3">
        <f t="shared" si="432"/>
        <v>66.343039233295926</v>
      </c>
      <c r="AF212" s="3">
        <f t="shared" si="432"/>
        <v>66.627120782450177</v>
      </c>
      <c r="AG212" s="3">
        <f t="shared" si="432"/>
        <v>66.897585559530199</v>
      </c>
      <c r="AH212" s="3">
        <f t="shared" si="432"/>
        <v>67.155507608058414</v>
      </c>
      <c r="AI212" s="3">
        <f t="shared" si="432"/>
        <v>67.402215817837771</v>
      </c>
      <c r="AJ212" s="3">
        <f t="shared" si="432"/>
        <v>67.639205161415362</v>
      </c>
      <c r="AK212" s="3">
        <f t="shared" si="432"/>
        <v>67.86803227198962</v>
      </c>
      <c r="AL212" s="3">
        <f t="shared" si="432"/>
        <v>68.09029275115887</v>
      </c>
      <c r="AM212" s="3">
        <f t="shared" si="432"/>
        <v>68.307470576430489</v>
      </c>
      <c r="AN212" s="3">
        <f t="shared" si="432"/>
        <v>68.520881629732756</v>
      </c>
      <c r="AO212" s="3">
        <f t="shared" si="432"/>
        <v>68.731607052279827</v>
      </c>
      <c r="AP212" s="3">
        <f t="shared" si="432"/>
        <v>68.940546710070436</v>
      </c>
      <c r="AQ212" s="3">
        <f t="shared" si="432"/>
        <v>69.148392277101877</v>
      </c>
      <c r="AR212" s="3">
        <f t="shared" si="432"/>
        <v>69.355673199769114</v>
      </c>
      <c r="AS212" s="3">
        <f t="shared" si="432"/>
        <v>69.562860075323329</v>
      </c>
      <c r="AT212" s="3">
        <f t="shared" si="432"/>
        <v>69.770552951230769</v>
      </c>
      <c r="AU212" s="3">
        <f t="shared" si="432"/>
        <v>69.979618520237153</v>
      </c>
      <c r="AV212" s="3">
        <f t="shared" si="432"/>
        <v>70.191222364286858</v>
      </c>
      <c r="AW212" s="3">
        <f t="shared" si="432"/>
        <v>70.406765330280322</v>
      </c>
      <c r="AX212" s="3">
        <f t="shared" si="432"/>
        <v>70.627779397420852</v>
      </c>
      <c r="AY212" s="3">
        <f t="shared" si="432"/>
        <v>70.855865450992866</v>
      </c>
      <c r="AZ212" s="3">
        <f t="shared" si="432"/>
        <v>71.092662812985481</v>
      </c>
      <c r="BA212" s="3">
        <f t="shared" si="432"/>
        <v>71.339783920127545</v>
      </c>
      <c r="BB212" s="3">
        <f t="shared" si="432"/>
        <v>71.59878179503356</v>
      </c>
      <c r="BC212" s="3">
        <f t="shared" si="432"/>
        <v>71.87107824573043</v>
      </c>
      <c r="BD212" s="3">
        <f t="shared" si="432"/>
        <v>72.157955907498675</v>
      </c>
      <c r="BE212" s="3">
        <f t="shared" si="432"/>
        <v>72.460546948012308</v>
      </c>
      <c r="BF212" s="3">
        <f t="shared" si="432"/>
        <v>72.77987040388183</v>
      </c>
      <c r="BG212" s="3">
        <f t="shared" si="432"/>
        <v>73.116879898265651</v>
      </c>
      <c r="BH212" s="3">
        <f t="shared" si="432"/>
        <v>73.472529551126783</v>
      </c>
      <c r="BI212" s="3">
        <f>BI225/SUM(BI$224:BI$228)*BI$184</f>
        <v>73.847855514442159</v>
      </c>
    </row>
    <row r="213" spans="1:61" outlineLevel="1" x14ac:dyDescent="0.3">
      <c r="B213" t="s">
        <v>85</v>
      </c>
      <c r="D213" s="3">
        <f>D54</f>
        <v>15.382428213420699</v>
      </c>
      <c r="E213" s="3">
        <f t="shared" ref="E213:N213" si="434">E54</f>
        <v>15.300001330553613</v>
      </c>
      <c r="F213" s="3">
        <f t="shared" si="434"/>
        <v>15.230339134975376</v>
      </c>
      <c r="G213" s="3">
        <f t="shared" si="434"/>
        <v>15.149932943039413</v>
      </c>
      <c r="H213" s="3">
        <f t="shared" si="434"/>
        <v>15.082307437413828</v>
      </c>
      <c r="I213" s="3">
        <f t="shared" si="434"/>
        <v>14.999908394579897</v>
      </c>
      <c r="J213" s="3">
        <f t="shared" si="434"/>
        <v>14.936385522902585</v>
      </c>
      <c r="K213" s="3">
        <f t="shared" si="434"/>
        <v>14.83672960454926</v>
      </c>
      <c r="L213" s="3">
        <f t="shared" si="434"/>
        <v>14.789790013346028</v>
      </c>
      <c r="M213" s="3">
        <f t="shared" si="434"/>
        <v>14.763672557987713</v>
      </c>
      <c r="N213" s="3">
        <f t="shared" si="434"/>
        <v>14.748734759589682</v>
      </c>
      <c r="O213" s="3">
        <f t="shared" si="432"/>
        <v>14.701115289242209</v>
      </c>
      <c r="P213" s="3">
        <f t="shared" si="432"/>
        <v>14.665398621940316</v>
      </c>
      <c r="Q213" s="3">
        <f t="shared" si="432"/>
        <v>14.6257786163888</v>
      </c>
      <c r="R213" s="3">
        <f t="shared" si="432"/>
        <v>14.582300809590732</v>
      </c>
      <c r="S213" s="3">
        <f t="shared" si="432"/>
        <v>14.535188611588952</v>
      </c>
      <c r="T213" s="3">
        <f t="shared" si="432"/>
        <v>14.484811261856619</v>
      </c>
      <c r="U213" s="3">
        <f t="shared" si="432"/>
        <v>14.431578722356251</v>
      </c>
      <c r="V213" s="3">
        <f t="shared" si="432"/>
        <v>14.375891570508552</v>
      </c>
      <c r="W213" s="3">
        <f t="shared" si="432"/>
        <v>14.318114244873847</v>
      </c>
      <c r="X213" s="3">
        <f t="shared" si="432"/>
        <v>14.258587590512752</v>
      </c>
      <c r="Y213" s="3">
        <f t="shared" si="432"/>
        <v>14.197613791328418</v>
      </c>
      <c r="Z213" s="3">
        <f t="shared" si="432"/>
        <v>14.135422244929746</v>
      </c>
      <c r="AA213" s="3">
        <f t="shared" si="432"/>
        <v>14.072141625427147</v>
      </c>
      <c r="AB213" s="3">
        <f t="shared" si="432"/>
        <v>14.007795990507608</v>
      </c>
      <c r="AC213" s="3">
        <f t="shared" si="432"/>
        <v>13.94233270270014</v>
      </c>
      <c r="AD213" s="3">
        <f t="shared" si="432"/>
        <v>13.875682294408692</v>
      </c>
      <c r="AE213" s="3">
        <f t="shared" si="432"/>
        <v>13.807812726652532</v>
      </c>
      <c r="AF213" s="3">
        <f t="shared" si="432"/>
        <v>13.738784982593213</v>
      </c>
      <c r="AG213" s="3">
        <f t="shared" si="432"/>
        <v>13.668757477169505</v>
      </c>
      <c r="AH213" s="3">
        <f t="shared" si="432"/>
        <v>13.597963734400516</v>
      </c>
      <c r="AI213" s="3">
        <f t="shared" si="432"/>
        <v>13.526679993393437</v>
      </c>
      <c r="AJ213" s="3">
        <f t="shared" si="432"/>
        <v>13.455205764021633</v>
      </c>
      <c r="AK213" s="3">
        <f t="shared" si="432"/>
        <v>13.383842326535627</v>
      </c>
      <c r="AL213" s="3">
        <f t="shared" si="432"/>
        <v>13.312888324666588</v>
      </c>
      <c r="AM213" s="3">
        <f t="shared" si="432"/>
        <v>13.242610785850134</v>
      </c>
      <c r="AN213" s="3">
        <f t="shared" si="432"/>
        <v>13.173235683358628</v>
      </c>
      <c r="AO213" s="3">
        <f t="shared" si="432"/>
        <v>13.104937007755908</v>
      </c>
      <c r="AP213" s="3">
        <f t="shared" si="432"/>
        <v>13.037849065228514</v>
      </c>
      <c r="AQ213" s="3">
        <f t="shared" si="432"/>
        <v>12.972063076999619</v>
      </c>
      <c r="AR213" s="3">
        <f t="shared" si="432"/>
        <v>12.907637484651142</v>
      </c>
      <c r="AS213" s="3">
        <f t="shared" si="432"/>
        <v>12.844618350618171</v>
      </c>
      <c r="AT213" s="3">
        <f t="shared" si="432"/>
        <v>12.783074352690619</v>
      </c>
      <c r="AU213" s="3">
        <f t="shared" si="432"/>
        <v>12.723120872122724</v>
      </c>
      <c r="AV213" s="3">
        <f t="shared" si="432"/>
        <v>12.66492406035194</v>
      </c>
      <c r="AW213" s="3">
        <f t="shared" si="432"/>
        <v>12.608687575497489</v>
      </c>
      <c r="AX213" s="3">
        <f t="shared" si="432"/>
        <v>12.554632729576193</v>
      </c>
      <c r="AY213" s="3">
        <f t="shared" si="432"/>
        <v>12.502986918211709</v>
      </c>
      <c r="AZ213" s="3">
        <f t="shared" si="432"/>
        <v>12.453978122935359</v>
      </c>
      <c r="BA213" s="3">
        <f t="shared" si="432"/>
        <v>12.407823589708659</v>
      </c>
      <c r="BB213" s="3">
        <f t="shared" si="432"/>
        <v>12.364724650992592</v>
      </c>
      <c r="BC213" s="3">
        <f t="shared" si="432"/>
        <v>12.324855025615692</v>
      </c>
      <c r="BD213" s="3">
        <f t="shared" si="432"/>
        <v>12.288360469790778</v>
      </c>
      <c r="BE213" s="3">
        <f t="shared" si="432"/>
        <v>12.255357866309506</v>
      </c>
      <c r="BF213" s="3">
        <f t="shared" si="432"/>
        <v>12.225942508406888</v>
      </c>
      <c r="BG213" s="3">
        <f t="shared" si="432"/>
        <v>12.20019681090953</v>
      </c>
      <c r="BH213" s="3">
        <f t="shared" si="432"/>
        <v>12.178201681319319</v>
      </c>
      <c r="BI213" s="3">
        <f>BI226/SUM(BI$224:BI$228)*BI$184</f>
        <v>12.160050010620791</v>
      </c>
    </row>
    <row r="214" spans="1:61" outlineLevel="1" x14ac:dyDescent="0.3">
      <c r="B214" t="s">
        <v>87</v>
      </c>
      <c r="D214" s="3">
        <f>D55</f>
        <v>192.71910062021365</v>
      </c>
      <c r="E214" s="3">
        <f t="shared" ref="E214:N214" si="435">E55</f>
        <v>192.83251676954117</v>
      </c>
      <c r="F214" s="3">
        <f t="shared" si="435"/>
        <v>190.01554078835105</v>
      </c>
      <c r="G214" s="3">
        <f t="shared" si="435"/>
        <v>185.65417825346418</v>
      </c>
      <c r="H214" s="3">
        <f t="shared" si="435"/>
        <v>184.83514012683429</v>
      </c>
      <c r="I214" s="3">
        <f t="shared" si="435"/>
        <v>184.83637119221078</v>
      </c>
      <c r="J214" s="3">
        <f t="shared" si="435"/>
        <v>173.3250884586345</v>
      </c>
      <c r="K214" s="3">
        <f t="shared" si="435"/>
        <v>216.96094392430268</v>
      </c>
      <c r="L214" s="3">
        <f t="shared" si="435"/>
        <v>179.32245396506266</v>
      </c>
      <c r="M214" s="3">
        <f t="shared" si="435"/>
        <v>185.65844441811637</v>
      </c>
      <c r="N214" s="3">
        <f t="shared" si="435"/>
        <v>169.3314603763321</v>
      </c>
      <c r="O214" s="3">
        <f t="shared" si="432"/>
        <v>167.42099078984089</v>
      </c>
      <c r="P214" s="3">
        <f t="shared" si="432"/>
        <v>165.65964248041274</v>
      </c>
      <c r="Q214" s="3">
        <f t="shared" si="432"/>
        <v>163.8669453856939</v>
      </c>
      <c r="R214" s="3">
        <f t="shared" si="432"/>
        <v>162.0443985434442</v>
      </c>
      <c r="S214" s="3">
        <f t="shared" si="432"/>
        <v>160.19543629108134</v>
      </c>
      <c r="T214" s="3">
        <f t="shared" si="432"/>
        <v>158.32499752820843</v>
      </c>
      <c r="U214" s="3">
        <f t="shared" si="432"/>
        <v>156.43832138094038</v>
      </c>
      <c r="V214" s="3">
        <f t="shared" si="432"/>
        <v>154.54039171690607</v>
      </c>
      <c r="W214" s="3">
        <f t="shared" si="432"/>
        <v>152.63565777392245</v>
      </c>
      <c r="X214" s="3">
        <f t="shared" si="432"/>
        <v>150.72818448404902</v>
      </c>
      <c r="Y214" s="3">
        <f t="shared" si="432"/>
        <v>148.82150643879467</v>
      </c>
      <c r="Z214" s="3">
        <f t="shared" si="432"/>
        <v>146.91829163098842</v>
      </c>
      <c r="AA214" s="3">
        <f t="shared" si="432"/>
        <v>145.02008678372545</v>
      </c>
      <c r="AB214" s="3">
        <f t="shared" si="432"/>
        <v>143.12732265374945</v>
      </c>
      <c r="AC214" s="3">
        <f t="shared" si="432"/>
        <v>141.23964309855236</v>
      </c>
      <c r="AD214" s="3">
        <f t="shared" si="432"/>
        <v>139.35653980043142</v>
      </c>
      <c r="AE214" s="3">
        <f t="shared" si="432"/>
        <v>137.47789961518723</v>
      </c>
      <c r="AF214" s="3">
        <f t="shared" si="432"/>
        <v>135.60453690147952</v>
      </c>
      <c r="AG214" s="3">
        <f t="shared" si="432"/>
        <v>133.73819658152081</v>
      </c>
      <c r="AH214" s="3">
        <f t="shared" si="432"/>
        <v>131.88129616695187</v>
      </c>
      <c r="AI214" s="3">
        <f t="shared" si="432"/>
        <v>130.03658289907426</v>
      </c>
      <c r="AJ214" s="3">
        <f t="shared" si="432"/>
        <v>128.20693117157163</v>
      </c>
      <c r="AK214" s="3">
        <f t="shared" si="432"/>
        <v>126.39513061515103</v>
      </c>
      <c r="AL214" s="3">
        <f t="shared" si="432"/>
        <v>124.60384514466901</v>
      </c>
      <c r="AM214" s="3">
        <f t="shared" si="432"/>
        <v>122.83534628816651</v>
      </c>
      <c r="AN214" s="3">
        <f t="shared" si="432"/>
        <v>121.09144064806794</v>
      </c>
      <c r="AO214" s="3">
        <f t="shared" si="432"/>
        <v>119.3733883210179</v>
      </c>
      <c r="AP214" s="3">
        <f t="shared" si="432"/>
        <v>117.68203618159014</v>
      </c>
      <c r="AQ214" s="3">
        <f t="shared" si="432"/>
        <v>116.01780440000957</v>
      </c>
      <c r="AR214" s="3">
        <f t="shared" si="432"/>
        <v>114.38079588577466</v>
      </c>
      <c r="AS214" s="3">
        <f t="shared" si="432"/>
        <v>112.77098908241699</v>
      </c>
      <c r="AT214" s="3">
        <f t="shared" si="432"/>
        <v>111.18854755837472</v>
      </c>
      <c r="AU214" s="3">
        <f t="shared" si="432"/>
        <v>109.63401850745015</v>
      </c>
      <c r="AV214" s="3">
        <f t="shared" si="432"/>
        <v>108.10834876718091</v>
      </c>
      <c r="AW214" s="3">
        <f t="shared" si="432"/>
        <v>106.61275256098661</v>
      </c>
      <c r="AX214" s="3">
        <f t="shared" si="432"/>
        <v>105.14853067867315</v>
      </c>
      <c r="AY214" s="3">
        <f t="shared" si="432"/>
        <v>103.71696805518508</v>
      </c>
      <c r="AZ214" s="3">
        <f t="shared" si="432"/>
        <v>102.31928684232469</v>
      </c>
      <c r="BA214" s="3">
        <f t="shared" si="432"/>
        <v>100.95655473088406</v>
      </c>
      <c r="BB214" s="3">
        <f t="shared" si="432"/>
        <v>99.629648132791118</v>
      </c>
      <c r="BC214" s="3">
        <f t="shared" si="432"/>
        <v>98.339165707975596</v>
      </c>
      <c r="BD214" s="3">
        <f t="shared" si="432"/>
        <v>97.085436989343904</v>
      </c>
      <c r="BE214" s="3">
        <f t="shared" si="432"/>
        <v>95.868526641544875</v>
      </c>
      <c r="BF214" s="3">
        <f t="shared" si="432"/>
        <v>94.688302476628536</v>
      </c>
      <c r="BG214" s="3">
        <f t="shared" si="432"/>
        <v>93.544510893609626</v>
      </c>
      <c r="BH214" s="3">
        <f t="shared" si="432"/>
        <v>92.436868376150656</v>
      </c>
      <c r="BI214" s="3">
        <f>BI227/SUM(BI$224:BI$228)*BI$184</f>
        <v>91.365163616009241</v>
      </c>
    </row>
    <row r="215" spans="1:61" outlineLevel="1" x14ac:dyDescent="0.3">
      <c r="B215" t="s">
        <v>89</v>
      </c>
      <c r="D215" s="3">
        <f>D56</f>
        <v>25.349881697397343</v>
      </c>
      <c r="E215" s="3">
        <f t="shared" ref="E215:N215" si="436">E56</f>
        <v>29.895002599797404</v>
      </c>
      <c r="F215" s="3">
        <f t="shared" si="436"/>
        <v>28.068517667263823</v>
      </c>
      <c r="G215" s="3">
        <f t="shared" si="436"/>
        <v>28.087375679050798</v>
      </c>
      <c r="H215" s="3">
        <f t="shared" si="436"/>
        <v>26.609660262528223</v>
      </c>
      <c r="I215" s="3">
        <f t="shared" si="436"/>
        <v>22.619861859026486</v>
      </c>
      <c r="J215" s="3">
        <f t="shared" si="436"/>
        <v>22.460842920929352</v>
      </c>
      <c r="K215" s="3">
        <f t="shared" si="436"/>
        <v>19.445107739295622</v>
      </c>
      <c r="L215" s="3">
        <f t="shared" si="436"/>
        <v>20.744705464967097</v>
      </c>
      <c r="M215" s="3">
        <f t="shared" si="436"/>
        <v>18.943205115136987</v>
      </c>
      <c r="N215" s="3">
        <f t="shared" si="436"/>
        <v>19.604657655896311</v>
      </c>
      <c r="O215" s="3">
        <f t="shared" si="432"/>
        <v>19.126374859760379</v>
      </c>
      <c r="P215" s="3">
        <f t="shared" si="432"/>
        <v>18.667706612240213</v>
      </c>
      <c r="Q215" s="3">
        <f t="shared" si="432"/>
        <v>18.207947480873322</v>
      </c>
      <c r="R215" s="3">
        <f t="shared" si="432"/>
        <v>17.747455058033289</v>
      </c>
      <c r="S215" s="3">
        <f t="shared" si="432"/>
        <v>17.286790850640866</v>
      </c>
      <c r="T215" s="3">
        <f t="shared" si="432"/>
        <v>16.82665856369988</v>
      </c>
      <c r="U215" s="3">
        <f t="shared" si="432"/>
        <v>16.367765119712992</v>
      </c>
      <c r="V215" s="3">
        <f t="shared" si="432"/>
        <v>15.910760078738315</v>
      </c>
      <c r="W215" s="3">
        <f t="shared" si="432"/>
        <v>15.456208534028514</v>
      </c>
      <c r="X215" s="3">
        <f t="shared" si="432"/>
        <v>15.00460970181468</v>
      </c>
      <c r="Y215" s="3">
        <f t="shared" si="432"/>
        <v>14.556385096055871</v>
      </c>
      <c r="Z215" s="3">
        <f t="shared" si="432"/>
        <v>14.111850067131536</v>
      </c>
      <c r="AA215" s="3">
        <f t="shared" si="432"/>
        <v>13.671196773983581</v>
      </c>
      <c r="AB215" s="3">
        <f t="shared" si="432"/>
        <v>13.234504223864491</v>
      </c>
      <c r="AC215" s="3">
        <f t="shared" si="432"/>
        <v>12.801777973240506</v>
      </c>
      <c r="AD215" s="3">
        <f t="shared" si="432"/>
        <v>12.373013699544376</v>
      </c>
      <c r="AE215" s="3">
        <f t="shared" si="432"/>
        <v>11.948246319201088</v>
      </c>
      <c r="AF215" s="3">
        <f t="shared" si="432"/>
        <v>11.527591646257925</v>
      </c>
      <c r="AG215" s="3">
        <f t="shared" si="432"/>
        <v>11.111237779425689</v>
      </c>
      <c r="AH215" s="3">
        <f t="shared" si="432"/>
        <v>10.699414916928067</v>
      </c>
      <c r="AI215" s="3">
        <f t="shared" si="432"/>
        <v>10.292361139399452</v>
      </c>
      <c r="AJ215" s="3">
        <f t="shared" si="432"/>
        <v>9.8903028518433054</v>
      </c>
      <c r="AK215" s="3">
        <f t="shared" si="432"/>
        <v>9.4934368342356912</v>
      </c>
      <c r="AL215" s="3">
        <f t="shared" si="432"/>
        <v>9.1019273180528444</v>
      </c>
      <c r="AM215" s="3">
        <f t="shared" si="432"/>
        <v>8.7158875634356132</v>
      </c>
      <c r="AN215" s="3">
        <f t="shared" si="432"/>
        <v>8.3353782133476404</v>
      </c>
      <c r="AO215" s="3">
        <f t="shared" si="432"/>
        <v>7.9604061229262113</v>
      </c>
      <c r="AP215" s="3">
        <f t="shared" si="432"/>
        <v>7.5909382986043594</v>
      </c>
      <c r="AQ215" s="3">
        <f t="shared" si="432"/>
        <v>7.2269051557953441</v>
      </c>
      <c r="AR215" s="3">
        <f t="shared" si="432"/>
        <v>6.8682115172479987</v>
      </c>
      <c r="AS215" s="3">
        <f t="shared" si="432"/>
        <v>6.5147511247272005</v>
      </c>
      <c r="AT215" s="3">
        <f t="shared" si="432"/>
        <v>6.1664251038619078</v>
      </c>
      <c r="AU215" s="3">
        <f t="shared" si="432"/>
        <v>5.8231502304930105</v>
      </c>
      <c r="AV215" s="3">
        <f t="shared" si="432"/>
        <v>5.4848550029221466</v>
      </c>
      <c r="AW215" s="3">
        <f t="shared" si="432"/>
        <v>5.1514681039930172</v>
      </c>
      <c r="AX215" s="3">
        <f t="shared" si="432"/>
        <v>4.8229063479791074</v>
      </c>
      <c r="AY215" s="3">
        <f t="shared" si="432"/>
        <v>4.4990685570496733</v>
      </c>
      <c r="AZ215" s="3">
        <f t="shared" si="432"/>
        <v>4.1798331804544278</v>
      </c>
      <c r="BA215" s="3">
        <f t="shared" si="432"/>
        <v>3.8650549016379481</v>
      </c>
      <c r="BB215" s="3">
        <f t="shared" si="432"/>
        <v>3.5545646418895989</v>
      </c>
      <c r="BC215" s="3">
        <f t="shared" si="432"/>
        <v>3.2481685708154022</v>
      </c>
      <c r="BD215" s="3">
        <f t="shared" si="432"/>
        <v>2.9456514862461014</v>
      </c>
      <c r="BE215" s="3">
        <f t="shared" si="432"/>
        <v>2.6467800815392115</v>
      </c>
      <c r="BF215" s="3">
        <f t="shared" si="432"/>
        <v>2.3513078772157088</v>
      </c>
      <c r="BG215" s="3">
        <f t="shared" si="432"/>
        <v>2.0589793224265605</v>
      </c>
      <c r="BH215" s="3">
        <f t="shared" si="432"/>
        <v>1.7695330256395072</v>
      </c>
      <c r="BI215" s="3">
        <f>BI228/SUM(BI$224:BI$228)*BI$184</f>
        <v>1.4827036307404</v>
      </c>
    </row>
    <row r="216" spans="1:61" outlineLevel="1" x14ac:dyDescent="0.3">
      <c r="B216" t="s">
        <v>179</v>
      </c>
      <c r="D216" s="3">
        <f>SUM(D211:D215)</f>
        <v>535.70000000000005</v>
      </c>
      <c r="E216" s="3">
        <f t="shared" ref="E216:N216" si="437">SUM(E211:E215)</f>
        <v>539.60254692614751</v>
      </c>
      <c r="F216" s="3">
        <f t="shared" si="437"/>
        <v>534.17171226080779</v>
      </c>
      <c r="G216" s="3">
        <f t="shared" si="437"/>
        <v>529.1076580522498</v>
      </c>
      <c r="H216" s="3">
        <f t="shared" si="437"/>
        <v>526.05828357786208</v>
      </c>
      <c r="I216" s="3">
        <f t="shared" si="437"/>
        <v>521.33681616201886</v>
      </c>
      <c r="J216" s="3">
        <f t="shared" si="437"/>
        <v>508.99991026791434</v>
      </c>
      <c r="K216" s="3">
        <f t="shared" si="437"/>
        <v>548.50939750151804</v>
      </c>
      <c r="L216" s="3">
        <f t="shared" si="437"/>
        <v>511.93523150151452</v>
      </c>
      <c r="M216" s="3">
        <f t="shared" si="437"/>
        <v>516.67591951536133</v>
      </c>
      <c r="N216" s="3">
        <f t="shared" si="437"/>
        <v>501.4569818260494</v>
      </c>
      <c r="O216" s="3">
        <f t="shared" ref="O216" si="438">SUM(O211:O215)</f>
        <v>498.76319752600261</v>
      </c>
      <c r="P216" s="3">
        <f t="shared" ref="P216" si="439">SUM(P211:P215)</f>
        <v>496.48393114048832</v>
      </c>
      <c r="Q216" s="3">
        <f t="shared" ref="Q216" si="440">SUM(Q211:Q215)</f>
        <v>494.08256316968198</v>
      </c>
      <c r="R216" s="3">
        <f t="shared" ref="R216" si="441">SUM(R211:R215)</f>
        <v>491.56141120039075</v>
      </c>
      <c r="S216" s="3">
        <f t="shared" ref="S216" si="442">SUM(S211:S215)</f>
        <v>488.92875627772014</v>
      </c>
      <c r="T216" s="3">
        <f t="shared" ref="T216" si="443">SUM(T211:T215)</f>
        <v>486.19770389862083</v>
      </c>
      <c r="U216" s="3">
        <f t="shared" ref="U216" si="444">SUM(U211:U215)</f>
        <v>483.3826122719272</v>
      </c>
      <c r="V216" s="3">
        <f t="shared" ref="V216" si="445">SUM(V211:V215)</f>
        <v>480.49740428145128</v>
      </c>
      <c r="W216" s="3">
        <f t="shared" ref="W216" si="446">SUM(W211:W215)</f>
        <v>477.55467974522031</v>
      </c>
      <c r="X216" s="3">
        <f t="shared" ref="X216" si="447">SUM(X211:X215)</f>
        <v>474.56614691445174</v>
      </c>
      <c r="Y216" s="3">
        <f t="shared" ref="Y216" si="448">SUM(Y211:Y215)</f>
        <v>471.54213141807071</v>
      </c>
      <c r="Z216" s="3">
        <f t="shared" ref="Z216" si="449">SUM(Z211:Z215)</f>
        <v>468.49045977364585</v>
      </c>
      <c r="AA216" s="3">
        <f t="shared" ref="AA216" si="450">SUM(AA211:AA215)</f>
        <v>465.41556159653419</v>
      </c>
      <c r="AB216" s="3">
        <f t="shared" ref="AB216" si="451">SUM(AB211:AB215)</f>
        <v>462.3183766424612</v>
      </c>
      <c r="AC216" s="3">
        <f t="shared" ref="AC216" si="452">SUM(AC211:AC215)</f>
        <v>459.19731082966632</v>
      </c>
      <c r="AD216" s="3">
        <f t="shared" ref="AD216" si="453">SUM(AD211:AD215)</f>
        <v>456.05023020452057</v>
      </c>
      <c r="AE216" s="3">
        <f t="shared" ref="AE216" si="454">SUM(AE211:AE215)</f>
        <v>452.87624616055018</v>
      </c>
      <c r="AF216" s="3">
        <f t="shared" ref="AF216" si="455">SUM(AF211:AF215)</f>
        <v>449.67752212701834</v>
      </c>
      <c r="AG216" s="3">
        <f t="shared" ref="AG216" si="456">SUM(AG211:AG215)</f>
        <v>446.459386010814</v>
      </c>
      <c r="AH216" s="3">
        <f t="shared" ref="AH216" si="457">SUM(AH211:AH215)</f>
        <v>443.22956989657581</v>
      </c>
      <c r="AI216" s="3">
        <f t="shared" ref="AI216" si="458">SUM(AI211:AI215)</f>
        <v>439.99713155087323</v>
      </c>
      <c r="AJ216" s="3">
        <f t="shared" ref="AJ216" si="459">SUM(AJ211:AJ215)</f>
        <v>436.77180960034116</v>
      </c>
      <c r="AK216" s="3">
        <f t="shared" ref="AK216" si="460">SUM(AK211:AK215)</f>
        <v>433.56332004750038</v>
      </c>
      <c r="AL216" s="3">
        <f t="shared" ref="AL216" si="461">SUM(AL211:AL215)</f>
        <v>430.38121403565594</v>
      </c>
      <c r="AM216" s="3">
        <f t="shared" ref="AM216" si="462">SUM(AM211:AM215)</f>
        <v>427.23394458691149</v>
      </c>
      <c r="AN216" s="3">
        <f t="shared" ref="AN216" si="463">SUM(AN211:AN215)</f>
        <v>424.12857394173483</v>
      </c>
      <c r="AO216" s="3">
        <f t="shared" ref="AO216" si="464">SUM(AO211:AO215)</f>
        <v>421.07043657772766</v>
      </c>
      <c r="AP216" s="3">
        <f t="shared" ref="AP216" si="465">SUM(AP211:AP215)</f>
        <v>418.06355111576789</v>
      </c>
      <c r="AQ216" s="3">
        <f t="shared" ref="AQ216" si="466">SUM(AQ211:AQ215)</f>
        <v>415.11052484315775</v>
      </c>
      <c r="AR216" s="3">
        <f t="shared" ref="AR216" si="467">SUM(AR211:AR215)</f>
        <v>412.21289710234691</v>
      </c>
      <c r="AS216" s="3">
        <f t="shared" ref="AS216" si="468">SUM(AS211:AS215)</f>
        <v>409.37180026208279</v>
      </c>
      <c r="AT216" s="3">
        <f t="shared" ref="AT216" si="469">SUM(AT211:AT215)</f>
        <v>406.58907688343754</v>
      </c>
      <c r="AU216" s="3">
        <f t="shared" ref="AU216" si="470">SUM(AU211:AU215)</f>
        <v>403.86803720134088</v>
      </c>
      <c r="AV216" s="3">
        <f t="shared" ref="AV216" si="471">SUM(AV211:AV215)</f>
        <v>401.21357322148486</v>
      </c>
      <c r="AW216" s="3">
        <f t="shared" ref="AW216" si="472">SUM(AW211:AW215)</f>
        <v>398.63172353955338</v>
      </c>
      <c r="AX216" s="3">
        <f t="shared" ref="AX216" si="473">SUM(AX211:AX215)</f>
        <v>396.12903547391721</v>
      </c>
      <c r="AY216" s="3">
        <f t="shared" ref="AY216" si="474">SUM(AY211:AY215)</f>
        <v>393.7121956473232</v>
      </c>
      <c r="AZ216" s="3">
        <f t="shared" ref="AZ216" si="475">SUM(AZ211:AZ215)</f>
        <v>391.38785582490829</v>
      </c>
      <c r="BA216" s="3">
        <f t="shared" ref="BA216" si="476">SUM(BA211:BA215)</f>
        <v>389.16227817080835</v>
      </c>
      <c r="BB216" s="3">
        <f t="shared" ref="BB216" si="477">SUM(BB211:BB215)</f>
        <v>387.04117703276592</v>
      </c>
      <c r="BC216" s="3">
        <f t="shared" ref="BC216" si="478">SUM(BC211:BC215)</f>
        <v>385.02935885217147</v>
      </c>
      <c r="BD216" s="3">
        <f t="shared" ref="BD216" si="479">SUM(BD211:BD215)</f>
        <v>383.13072025323152</v>
      </c>
      <c r="BE216" s="3">
        <f t="shared" ref="BE216" si="480">SUM(BE211:BE215)</f>
        <v>381.34822867260533</v>
      </c>
      <c r="BF216" s="3">
        <f t="shared" ref="BF216" si="481">SUM(BF211:BF215)</f>
        <v>379.68415770829972</v>
      </c>
      <c r="BG216" s="3">
        <f t="shared" ref="BG216" si="482">SUM(BG211:BG215)</f>
        <v>378.14036393288268</v>
      </c>
      <c r="BH216" s="3">
        <f t="shared" ref="BH216" si="483">SUM(BH211:BH215)</f>
        <v>376.71864273266016</v>
      </c>
      <c r="BI216" s="3">
        <f t="shared" ref="BI216" si="484">SUM(BI211:BI215)</f>
        <v>375.42114541231285</v>
      </c>
    </row>
    <row r="217" spans="1:61" outlineLevel="1" x14ac:dyDescent="0.3">
      <c r="D217">
        <v>2013</v>
      </c>
      <c r="E217">
        <v>2014</v>
      </c>
      <c r="F217">
        <v>2015</v>
      </c>
      <c r="G217">
        <v>2016</v>
      </c>
      <c r="H217">
        <v>2017</v>
      </c>
      <c r="I217">
        <v>2018</v>
      </c>
      <c r="J217">
        <v>2019</v>
      </c>
      <c r="K217">
        <v>2020</v>
      </c>
      <c r="L217">
        <v>2021</v>
      </c>
      <c r="M217">
        <v>2022</v>
      </c>
      <c r="N217">
        <v>2023</v>
      </c>
      <c r="O217">
        <v>2024</v>
      </c>
      <c r="P217">
        <v>2025</v>
      </c>
      <c r="Q217">
        <v>2026</v>
      </c>
      <c r="R217">
        <v>2027</v>
      </c>
      <c r="S217">
        <v>2028</v>
      </c>
      <c r="T217">
        <v>2029</v>
      </c>
      <c r="U217">
        <v>2030</v>
      </c>
      <c r="V217">
        <v>2031</v>
      </c>
      <c r="W217">
        <v>2032</v>
      </c>
      <c r="X217">
        <v>2033</v>
      </c>
      <c r="Y217">
        <v>2034</v>
      </c>
      <c r="Z217">
        <v>2035</v>
      </c>
      <c r="AA217">
        <v>2036</v>
      </c>
      <c r="AB217">
        <v>2037</v>
      </c>
      <c r="AC217">
        <v>2038</v>
      </c>
      <c r="AD217">
        <v>2039</v>
      </c>
      <c r="AE217">
        <v>2040</v>
      </c>
      <c r="AF217">
        <v>2041</v>
      </c>
      <c r="AG217">
        <v>2042</v>
      </c>
      <c r="AH217">
        <v>2043</v>
      </c>
      <c r="AI217">
        <v>2044</v>
      </c>
      <c r="AJ217">
        <v>2045</v>
      </c>
      <c r="AK217">
        <v>2046</v>
      </c>
      <c r="AL217">
        <v>2047</v>
      </c>
      <c r="AM217">
        <v>2048</v>
      </c>
      <c r="AN217">
        <v>2049</v>
      </c>
      <c r="AO217">
        <v>2050</v>
      </c>
      <c r="AP217">
        <v>2051</v>
      </c>
      <c r="AQ217">
        <v>2052</v>
      </c>
      <c r="AR217">
        <v>2053</v>
      </c>
      <c r="AS217">
        <v>2054</v>
      </c>
      <c r="AT217">
        <v>2055</v>
      </c>
      <c r="AU217">
        <v>2056</v>
      </c>
      <c r="AV217">
        <v>2057</v>
      </c>
      <c r="AW217">
        <v>2058</v>
      </c>
      <c r="AX217">
        <v>2059</v>
      </c>
      <c r="AY217">
        <v>2060</v>
      </c>
      <c r="AZ217">
        <v>2061</v>
      </c>
      <c r="BA217">
        <v>2062</v>
      </c>
      <c r="BB217">
        <v>2063</v>
      </c>
      <c r="BC217">
        <v>2064</v>
      </c>
      <c r="BD217">
        <v>2065</v>
      </c>
      <c r="BE217">
        <v>2066</v>
      </c>
      <c r="BF217">
        <v>2067</v>
      </c>
      <c r="BG217">
        <v>2068</v>
      </c>
      <c r="BH217">
        <v>2069</v>
      </c>
      <c r="BI217">
        <v>2070</v>
      </c>
    </row>
    <row r="218" spans="1:61" outlineLevel="1" x14ac:dyDescent="0.3">
      <c r="A218" s="16">
        <f t="shared" ref="A218:A222" si="485">(N218-D218)/11</f>
        <v>1.0172429347725361E-3</v>
      </c>
      <c r="B218" t="s">
        <v>83</v>
      </c>
      <c r="D218" s="15">
        <f>D211/D$216</f>
        <v>0.46458622089685975</v>
      </c>
      <c r="E218" s="15">
        <f t="shared" ref="E218:N218" si="486">E211/E$216</f>
        <v>0.45896284765174361</v>
      </c>
      <c r="F218" s="15">
        <f t="shared" si="486"/>
        <v>0.46126093243300159</v>
      </c>
      <c r="G218" s="15">
        <f t="shared" si="486"/>
        <v>0.46341497987186031</v>
      </c>
      <c r="H218" s="15">
        <f t="shared" si="486"/>
        <v>0.46375923127370194</v>
      </c>
      <c r="I218" s="15">
        <f t="shared" si="486"/>
        <v>0.46564621935780875</v>
      </c>
      <c r="J218" s="15">
        <f t="shared" si="486"/>
        <v>0.47464222022432168</v>
      </c>
      <c r="K218" s="15">
        <f t="shared" si="486"/>
        <v>0.43770491803278688</v>
      </c>
      <c r="L218" s="15">
        <f t="shared" si="486"/>
        <v>0.46744019103707934</v>
      </c>
      <c r="M218" s="15">
        <f t="shared" si="486"/>
        <v>0.46228158235490963</v>
      </c>
      <c r="N218" s="15">
        <f t="shared" si="486"/>
        <v>0.47577589317935765</v>
      </c>
      <c r="O218" s="15">
        <f t="shared" ref="O218:AD218" si="487">N218+$A218</f>
        <v>0.47679313611413016</v>
      </c>
      <c r="P218" s="15">
        <f t="shared" si="487"/>
        <v>0.47781037904890267</v>
      </c>
      <c r="Q218" s="15">
        <f t="shared" si="487"/>
        <v>0.47882762198367518</v>
      </c>
      <c r="R218" s="15">
        <f t="shared" si="487"/>
        <v>0.47984486491844769</v>
      </c>
      <c r="S218" s="15">
        <f t="shared" si="487"/>
        <v>0.4808621078532202</v>
      </c>
      <c r="T218" s="15">
        <f t="shared" si="487"/>
        <v>0.48187935078799271</v>
      </c>
      <c r="U218" s="15">
        <f t="shared" si="487"/>
        <v>0.48289659372276522</v>
      </c>
      <c r="V218" s="15">
        <f t="shared" si="487"/>
        <v>0.48391383665753773</v>
      </c>
      <c r="W218" s="15">
        <f t="shared" si="487"/>
        <v>0.48493107959231024</v>
      </c>
      <c r="X218" s="15">
        <f t="shared" si="487"/>
        <v>0.48594832252708275</v>
      </c>
      <c r="Y218" s="15">
        <f t="shared" si="487"/>
        <v>0.48696556546185527</v>
      </c>
      <c r="Z218" s="15">
        <f t="shared" si="487"/>
        <v>0.48798280839662778</v>
      </c>
      <c r="AA218" s="15">
        <f t="shared" si="487"/>
        <v>0.48900005133140029</v>
      </c>
      <c r="AB218" s="15">
        <f t="shared" si="487"/>
        <v>0.4900172942661728</v>
      </c>
      <c r="AC218" s="15">
        <f t="shared" si="487"/>
        <v>0.49103453720094531</v>
      </c>
      <c r="AD218" s="15">
        <f t="shared" si="487"/>
        <v>0.49205178013571782</v>
      </c>
      <c r="AE218" s="15">
        <f t="shared" ref="P218:BI222" si="488">AD218+$A218</f>
        <v>0.49306902307049033</v>
      </c>
      <c r="AF218" s="15">
        <f t="shared" si="488"/>
        <v>0.49408626600526284</v>
      </c>
      <c r="AG218" s="15">
        <f t="shared" si="488"/>
        <v>0.49510350894003535</v>
      </c>
      <c r="AH218" s="15">
        <f t="shared" si="488"/>
        <v>0.49612075187480786</v>
      </c>
      <c r="AI218" s="15">
        <f t="shared" si="488"/>
        <v>0.49713799480958037</v>
      </c>
      <c r="AJ218" s="15">
        <f t="shared" si="488"/>
        <v>0.49815523774435289</v>
      </c>
      <c r="AK218" s="15">
        <f t="shared" si="488"/>
        <v>0.4991724806791254</v>
      </c>
      <c r="AL218" s="15">
        <f t="shared" si="488"/>
        <v>0.50018972361389791</v>
      </c>
      <c r="AM218" s="15">
        <f t="shared" si="488"/>
        <v>0.50120696654867047</v>
      </c>
      <c r="AN218" s="15">
        <f t="shared" si="488"/>
        <v>0.50222420948344304</v>
      </c>
      <c r="AO218" s="15">
        <f t="shared" si="488"/>
        <v>0.50324145241821561</v>
      </c>
      <c r="AP218" s="15">
        <f t="shared" si="488"/>
        <v>0.50425869535298817</v>
      </c>
      <c r="AQ218" s="15">
        <f t="shared" si="488"/>
        <v>0.50527593828776074</v>
      </c>
      <c r="AR218" s="15">
        <f t="shared" si="488"/>
        <v>0.50629318122253331</v>
      </c>
      <c r="AS218" s="15">
        <f t="shared" si="488"/>
        <v>0.50731042415730587</v>
      </c>
      <c r="AT218" s="15">
        <f t="shared" si="488"/>
        <v>0.50832766709207844</v>
      </c>
      <c r="AU218" s="15">
        <f t="shared" si="488"/>
        <v>0.50934491002685101</v>
      </c>
      <c r="AV218" s="15">
        <f t="shared" si="488"/>
        <v>0.51036215296162357</v>
      </c>
      <c r="AW218" s="15">
        <f t="shared" si="488"/>
        <v>0.51137939589639614</v>
      </c>
      <c r="AX218" s="15">
        <f t="shared" si="488"/>
        <v>0.5123966388311687</v>
      </c>
      <c r="AY218" s="15">
        <f t="shared" si="488"/>
        <v>0.51341388176594127</v>
      </c>
      <c r="AZ218" s="15">
        <f t="shared" si="488"/>
        <v>0.51443112470071384</v>
      </c>
      <c r="BA218" s="15">
        <f t="shared" si="488"/>
        <v>0.5154483676354864</v>
      </c>
      <c r="BB218" s="15">
        <f t="shared" si="488"/>
        <v>0.51646561057025897</v>
      </c>
      <c r="BC218" s="15">
        <f t="shared" si="488"/>
        <v>0.51748285350503154</v>
      </c>
      <c r="BD218" s="15">
        <f t="shared" si="488"/>
        <v>0.5185000964398041</v>
      </c>
      <c r="BE218" s="15">
        <f t="shared" si="488"/>
        <v>0.51951733937457667</v>
      </c>
      <c r="BF218" s="15">
        <f t="shared" si="488"/>
        <v>0.52053458230934924</v>
      </c>
      <c r="BG218" s="15">
        <f t="shared" si="488"/>
        <v>0.5215518252441218</v>
      </c>
      <c r="BH218" s="15">
        <f t="shared" si="488"/>
        <v>0.52256906817889437</v>
      </c>
      <c r="BI218" s="15">
        <f t="shared" si="488"/>
        <v>0.52358631111366694</v>
      </c>
    </row>
    <row r="219" spans="1:61" outlineLevel="1" x14ac:dyDescent="0.3">
      <c r="A219" s="16">
        <f t="shared" si="485"/>
        <v>1.6738019068085147E-3</v>
      </c>
      <c r="B219" t="s">
        <v>84</v>
      </c>
      <c r="D219" s="15">
        <f t="shared" ref="D219:N222" si="489">D212/D$216</f>
        <v>9.9626191776219078E-2</v>
      </c>
      <c r="E219" s="15">
        <f t="shared" si="489"/>
        <v>9.9920775014941551E-2</v>
      </c>
      <c r="F219" s="15">
        <f t="shared" si="489"/>
        <v>0.10196116968259095</v>
      </c>
      <c r="G219" s="15">
        <f t="shared" si="489"/>
        <v>0.10398593865169814</v>
      </c>
      <c r="H219" s="15">
        <f t="shared" si="489"/>
        <v>0.10562858201933223</v>
      </c>
      <c r="I219" s="15">
        <f t="shared" si="489"/>
        <v>0.10765047761537577</v>
      </c>
      <c r="J219" s="15">
        <f t="shared" si="489"/>
        <v>0.11136494274049728</v>
      </c>
      <c r="K219" s="15">
        <f t="shared" si="489"/>
        <v>0.10424863387978144</v>
      </c>
      <c r="L219" s="15">
        <f t="shared" si="489"/>
        <v>0.11286423768294292</v>
      </c>
      <c r="M219" s="15">
        <f t="shared" si="489"/>
        <v>0.11314797840920664</v>
      </c>
      <c r="N219" s="15">
        <f t="shared" si="489"/>
        <v>0.11803801275111274</v>
      </c>
      <c r="O219" s="15">
        <f t="shared" ref="O219" si="490">N219+$A219</f>
        <v>0.11971181465792126</v>
      </c>
      <c r="P219" s="15">
        <f t="shared" si="488"/>
        <v>0.12138561656472978</v>
      </c>
      <c r="Q219" s="15">
        <f t="shared" si="488"/>
        <v>0.1230594184715383</v>
      </c>
      <c r="R219" s="15">
        <f t="shared" si="488"/>
        <v>0.12473322037834682</v>
      </c>
      <c r="S219" s="15">
        <f t="shared" si="488"/>
        <v>0.12640702228515532</v>
      </c>
      <c r="T219" s="15">
        <f t="shared" si="488"/>
        <v>0.12808082419196384</v>
      </c>
      <c r="U219" s="15">
        <f t="shared" si="488"/>
        <v>0.12975462609877236</v>
      </c>
      <c r="V219" s="15">
        <f t="shared" si="488"/>
        <v>0.13142842800558088</v>
      </c>
      <c r="W219" s="15">
        <f t="shared" si="488"/>
        <v>0.1331022299123894</v>
      </c>
      <c r="X219" s="15">
        <f t="shared" si="488"/>
        <v>0.13477603181919792</v>
      </c>
      <c r="Y219" s="15">
        <f t="shared" si="488"/>
        <v>0.13644983372600644</v>
      </c>
      <c r="Z219" s="15">
        <f t="shared" si="488"/>
        <v>0.13812363563281496</v>
      </c>
      <c r="AA219" s="15">
        <f t="shared" si="488"/>
        <v>0.13979743753962348</v>
      </c>
      <c r="AB219" s="15">
        <f t="shared" si="488"/>
        <v>0.141471239446432</v>
      </c>
      <c r="AC219" s="15">
        <f t="shared" si="488"/>
        <v>0.14314504135324052</v>
      </c>
      <c r="AD219" s="15">
        <f t="shared" si="488"/>
        <v>0.14481884326004904</v>
      </c>
      <c r="AE219" s="15">
        <f t="shared" si="488"/>
        <v>0.14649264516685756</v>
      </c>
      <c r="AF219" s="15">
        <f t="shared" si="488"/>
        <v>0.14816644707366608</v>
      </c>
      <c r="AG219" s="15">
        <f t="shared" si="488"/>
        <v>0.1498402489804746</v>
      </c>
      <c r="AH219" s="15">
        <f t="shared" si="488"/>
        <v>0.15151405088728312</v>
      </c>
      <c r="AI219" s="15">
        <f t="shared" si="488"/>
        <v>0.15318785279409164</v>
      </c>
      <c r="AJ219" s="15">
        <f t="shared" si="488"/>
        <v>0.15486165470090016</v>
      </c>
      <c r="AK219" s="15">
        <f t="shared" si="488"/>
        <v>0.15653545660770868</v>
      </c>
      <c r="AL219" s="15">
        <f t="shared" si="488"/>
        <v>0.1582092585145172</v>
      </c>
      <c r="AM219" s="15">
        <f t="shared" si="488"/>
        <v>0.15988306042132572</v>
      </c>
      <c r="AN219" s="15">
        <f t="shared" si="488"/>
        <v>0.16155686232813424</v>
      </c>
      <c r="AO219" s="15">
        <f t="shared" si="488"/>
        <v>0.16323066423494276</v>
      </c>
      <c r="AP219" s="15">
        <f t="shared" si="488"/>
        <v>0.16490446614175128</v>
      </c>
      <c r="AQ219" s="15">
        <f t="shared" si="488"/>
        <v>0.1665782680485598</v>
      </c>
      <c r="AR219" s="15">
        <f t="shared" si="488"/>
        <v>0.16825206995536832</v>
      </c>
      <c r="AS219" s="15">
        <f t="shared" si="488"/>
        <v>0.16992587186217684</v>
      </c>
      <c r="AT219" s="15">
        <f t="shared" si="488"/>
        <v>0.17159967376898536</v>
      </c>
      <c r="AU219" s="15">
        <f t="shared" si="488"/>
        <v>0.17327347567579388</v>
      </c>
      <c r="AV219" s="15">
        <f t="shared" si="488"/>
        <v>0.1749472775826024</v>
      </c>
      <c r="AW219" s="15">
        <f t="shared" si="488"/>
        <v>0.17662107948941091</v>
      </c>
      <c r="AX219" s="15">
        <f t="shared" si="488"/>
        <v>0.17829488139621943</v>
      </c>
      <c r="AY219" s="15">
        <f t="shared" si="488"/>
        <v>0.17996868330302795</v>
      </c>
      <c r="AZ219" s="15">
        <f t="shared" si="488"/>
        <v>0.18164248520983647</v>
      </c>
      <c r="BA219" s="15">
        <f t="shared" si="488"/>
        <v>0.18331628711664499</v>
      </c>
      <c r="BB219" s="15">
        <f t="shared" si="488"/>
        <v>0.18499008902345351</v>
      </c>
      <c r="BC219" s="15">
        <f t="shared" si="488"/>
        <v>0.18666389093026203</v>
      </c>
      <c r="BD219" s="15">
        <f t="shared" si="488"/>
        <v>0.18833769283707055</v>
      </c>
      <c r="BE219" s="15">
        <f t="shared" si="488"/>
        <v>0.19001149474387907</v>
      </c>
      <c r="BF219" s="15">
        <f t="shared" si="488"/>
        <v>0.19168529665068759</v>
      </c>
      <c r="BG219" s="15">
        <f t="shared" si="488"/>
        <v>0.19335909855749611</v>
      </c>
      <c r="BH219" s="15">
        <f t="shared" si="488"/>
        <v>0.19503290046430463</v>
      </c>
      <c r="BI219" s="15">
        <f t="shared" si="488"/>
        <v>0.19670670237111315</v>
      </c>
    </row>
    <row r="220" spans="1:61" outlineLevel="1" x14ac:dyDescent="0.3">
      <c r="A220" s="16">
        <f t="shared" si="485"/>
        <v>6.337572581676873E-5</v>
      </c>
      <c r="B220" t="s">
        <v>85</v>
      </c>
      <c r="D220" s="15">
        <f t="shared" si="489"/>
        <v>2.8714631721897886E-2</v>
      </c>
      <c r="E220" s="15">
        <f t="shared" si="489"/>
        <v>2.8354205178812177E-2</v>
      </c>
      <c r="F220" s="15">
        <f t="shared" si="489"/>
        <v>2.8512066036808791E-2</v>
      </c>
      <c r="G220" s="15">
        <f t="shared" si="489"/>
        <v>2.8632987469524293E-2</v>
      </c>
      <c r="H220" s="15">
        <f t="shared" si="489"/>
        <v>2.8670411451056432E-2</v>
      </c>
      <c r="I220" s="15">
        <f t="shared" si="489"/>
        <v>2.8772010588099899E-2</v>
      </c>
      <c r="J220" s="15">
        <f t="shared" si="489"/>
        <v>2.9344573980456604E-2</v>
      </c>
      <c r="K220" s="15">
        <f t="shared" si="489"/>
        <v>2.7049180327868856E-2</v>
      </c>
      <c r="L220" s="15">
        <f t="shared" si="489"/>
        <v>2.8889963228292237E-2</v>
      </c>
      <c r="M220" s="15">
        <f t="shared" si="489"/>
        <v>2.8574338381854417E-2</v>
      </c>
      <c r="N220" s="15">
        <f t="shared" si="489"/>
        <v>2.9411764705882342E-2</v>
      </c>
      <c r="O220" s="15">
        <f t="shared" ref="O220" si="491">N220+$A220</f>
        <v>2.9475140431699111E-2</v>
      </c>
      <c r="P220" s="15">
        <f t="shared" si="488"/>
        <v>2.953851615751588E-2</v>
      </c>
      <c r="Q220" s="15">
        <f t="shared" si="488"/>
        <v>2.9601891883332648E-2</v>
      </c>
      <c r="R220" s="15">
        <f t="shared" si="488"/>
        <v>2.9665267609149417E-2</v>
      </c>
      <c r="S220" s="15">
        <f t="shared" si="488"/>
        <v>2.9728643334966186E-2</v>
      </c>
      <c r="T220" s="15">
        <f t="shared" si="488"/>
        <v>2.9792019060782955E-2</v>
      </c>
      <c r="U220" s="15">
        <f t="shared" si="488"/>
        <v>2.9855394786599723E-2</v>
      </c>
      <c r="V220" s="15">
        <f t="shared" si="488"/>
        <v>2.9918770512416492E-2</v>
      </c>
      <c r="W220" s="15">
        <f t="shared" si="488"/>
        <v>2.9982146238233261E-2</v>
      </c>
      <c r="X220" s="15">
        <f t="shared" si="488"/>
        <v>3.0045521964050029E-2</v>
      </c>
      <c r="Y220" s="15">
        <f t="shared" si="488"/>
        <v>3.0108897689866798E-2</v>
      </c>
      <c r="Z220" s="15">
        <f t="shared" si="488"/>
        <v>3.0172273415683567E-2</v>
      </c>
      <c r="AA220" s="15">
        <f t="shared" si="488"/>
        <v>3.0235649141500336E-2</v>
      </c>
      <c r="AB220" s="15">
        <f t="shared" si="488"/>
        <v>3.0299024867317104E-2</v>
      </c>
      <c r="AC220" s="15">
        <f t="shared" si="488"/>
        <v>3.0362400593133873E-2</v>
      </c>
      <c r="AD220" s="15">
        <f t="shared" si="488"/>
        <v>3.0425776318950642E-2</v>
      </c>
      <c r="AE220" s="15">
        <f t="shared" si="488"/>
        <v>3.0489152044767411E-2</v>
      </c>
      <c r="AF220" s="15">
        <f t="shared" si="488"/>
        <v>3.0552527770584179E-2</v>
      </c>
      <c r="AG220" s="15">
        <f t="shared" si="488"/>
        <v>3.0615903496400948E-2</v>
      </c>
      <c r="AH220" s="15">
        <f t="shared" si="488"/>
        <v>3.0679279222217717E-2</v>
      </c>
      <c r="AI220" s="15">
        <f t="shared" si="488"/>
        <v>3.0742654948034485E-2</v>
      </c>
      <c r="AJ220" s="15">
        <f t="shared" si="488"/>
        <v>3.0806030673851254E-2</v>
      </c>
      <c r="AK220" s="15">
        <f t="shared" si="488"/>
        <v>3.0869406399668023E-2</v>
      </c>
      <c r="AL220" s="15">
        <f t="shared" si="488"/>
        <v>3.0932782125484792E-2</v>
      </c>
      <c r="AM220" s="15">
        <f t="shared" si="488"/>
        <v>3.099615785130156E-2</v>
      </c>
      <c r="AN220" s="15">
        <f t="shared" si="488"/>
        <v>3.1059533577118329E-2</v>
      </c>
      <c r="AO220" s="15">
        <f t="shared" si="488"/>
        <v>3.1122909302935098E-2</v>
      </c>
      <c r="AP220" s="15">
        <f t="shared" si="488"/>
        <v>3.1186285028751867E-2</v>
      </c>
      <c r="AQ220" s="15">
        <f t="shared" si="488"/>
        <v>3.1249660754568635E-2</v>
      </c>
      <c r="AR220" s="15">
        <f t="shared" si="488"/>
        <v>3.1313036480385401E-2</v>
      </c>
      <c r="AS220" s="15">
        <f t="shared" si="488"/>
        <v>3.1376412206202173E-2</v>
      </c>
      <c r="AT220" s="15">
        <f t="shared" si="488"/>
        <v>3.1439787932018945E-2</v>
      </c>
      <c r="AU220" s="15">
        <f t="shared" si="488"/>
        <v>3.1503163657835717E-2</v>
      </c>
      <c r="AV220" s="15">
        <f t="shared" si="488"/>
        <v>3.1566539383652489E-2</v>
      </c>
      <c r="AW220" s="15">
        <f t="shared" si="488"/>
        <v>3.1629915109469262E-2</v>
      </c>
      <c r="AX220" s="15">
        <f t="shared" si="488"/>
        <v>3.1693290835286034E-2</v>
      </c>
      <c r="AY220" s="15">
        <f t="shared" si="488"/>
        <v>3.1756666561102806E-2</v>
      </c>
      <c r="AZ220" s="15">
        <f t="shared" si="488"/>
        <v>3.1820042286919578E-2</v>
      </c>
      <c r="BA220" s="15">
        <f t="shared" si="488"/>
        <v>3.188341801273635E-2</v>
      </c>
      <c r="BB220" s="15">
        <f t="shared" si="488"/>
        <v>3.1946793738553123E-2</v>
      </c>
      <c r="BC220" s="15">
        <f t="shared" si="488"/>
        <v>3.2010169464369895E-2</v>
      </c>
      <c r="BD220" s="15">
        <f t="shared" si="488"/>
        <v>3.2073545190186667E-2</v>
      </c>
      <c r="BE220" s="15">
        <f t="shared" si="488"/>
        <v>3.2136920916003439E-2</v>
      </c>
      <c r="BF220" s="15">
        <f t="shared" si="488"/>
        <v>3.2200296641820211E-2</v>
      </c>
      <c r="BG220" s="15">
        <f t="shared" si="488"/>
        <v>3.2263672367636984E-2</v>
      </c>
      <c r="BH220" s="15">
        <f t="shared" si="488"/>
        <v>3.2327048093453756E-2</v>
      </c>
      <c r="BI220" s="15">
        <f t="shared" si="488"/>
        <v>3.2390423819270528E-2</v>
      </c>
    </row>
    <row r="221" spans="1:61" outlineLevel="1" x14ac:dyDescent="0.3">
      <c r="A221" s="16">
        <f t="shared" si="485"/>
        <v>-2.0066343578911783E-3</v>
      </c>
      <c r="B221" t="s">
        <v>87</v>
      </c>
      <c r="D221" s="15">
        <f t="shared" si="489"/>
        <v>0.35975191454211991</v>
      </c>
      <c r="E221" s="15">
        <f t="shared" si="489"/>
        <v>0.35736027909433332</v>
      </c>
      <c r="F221" s="15">
        <f t="shared" si="489"/>
        <v>0.35571996125391325</v>
      </c>
      <c r="G221" s="15">
        <f t="shared" si="489"/>
        <v>0.35088166921812097</v>
      </c>
      <c r="H221" s="15">
        <f t="shared" si="489"/>
        <v>0.3513586724074021</v>
      </c>
      <c r="I221" s="15">
        <f t="shared" si="489"/>
        <v>0.35454310047186099</v>
      </c>
      <c r="J221" s="15">
        <f t="shared" si="489"/>
        <v>0.34052086250350039</v>
      </c>
      <c r="K221" s="15">
        <f t="shared" si="489"/>
        <v>0.39554644808743178</v>
      </c>
      <c r="L221" s="15">
        <f t="shared" si="489"/>
        <v>0.35028347910165691</v>
      </c>
      <c r="M221" s="15">
        <f t="shared" si="489"/>
        <v>0.35933248948830981</v>
      </c>
      <c r="N221" s="15">
        <f t="shared" si="489"/>
        <v>0.33767893660531695</v>
      </c>
      <c r="O221" s="15">
        <f t="shared" ref="O221" si="492">N221+$A221</f>
        <v>0.33567230224742578</v>
      </c>
      <c r="P221" s="15">
        <f t="shared" si="488"/>
        <v>0.33366566788953461</v>
      </c>
      <c r="Q221" s="15">
        <f t="shared" si="488"/>
        <v>0.33165903353164344</v>
      </c>
      <c r="R221" s="15">
        <f t="shared" si="488"/>
        <v>0.32965239917375228</v>
      </c>
      <c r="S221" s="15">
        <f t="shared" si="488"/>
        <v>0.32764576481586111</v>
      </c>
      <c r="T221" s="15">
        <f t="shared" si="488"/>
        <v>0.32563913045796994</v>
      </c>
      <c r="U221" s="15">
        <f t="shared" si="488"/>
        <v>0.32363249610007877</v>
      </c>
      <c r="V221" s="15">
        <f t="shared" si="488"/>
        <v>0.3216258617421876</v>
      </c>
      <c r="W221" s="15">
        <f t="shared" si="488"/>
        <v>0.31961922738429643</v>
      </c>
      <c r="X221" s="15">
        <f t="shared" si="488"/>
        <v>0.31761259302640527</v>
      </c>
      <c r="Y221" s="15">
        <f t="shared" si="488"/>
        <v>0.3156059586685141</v>
      </c>
      <c r="Z221" s="15">
        <f t="shared" si="488"/>
        <v>0.31359932431062293</v>
      </c>
      <c r="AA221" s="15">
        <f t="shared" si="488"/>
        <v>0.31159268995273176</v>
      </c>
      <c r="AB221" s="15">
        <f t="shared" si="488"/>
        <v>0.30958605559484059</v>
      </c>
      <c r="AC221" s="15">
        <f t="shared" si="488"/>
        <v>0.30757942123694942</v>
      </c>
      <c r="AD221" s="15">
        <f t="shared" si="488"/>
        <v>0.30557278687905826</v>
      </c>
      <c r="AE221" s="15">
        <f t="shared" si="488"/>
        <v>0.30356615252116709</v>
      </c>
      <c r="AF221" s="15">
        <f t="shared" si="488"/>
        <v>0.30155951816327592</v>
      </c>
      <c r="AG221" s="15">
        <f t="shared" si="488"/>
        <v>0.29955288380538475</v>
      </c>
      <c r="AH221" s="15">
        <f t="shared" si="488"/>
        <v>0.29754624944749358</v>
      </c>
      <c r="AI221" s="15">
        <f t="shared" si="488"/>
        <v>0.29553961508960241</v>
      </c>
      <c r="AJ221" s="15">
        <f t="shared" si="488"/>
        <v>0.29353298073171125</v>
      </c>
      <c r="AK221" s="15">
        <f t="shared" si="488"/>
        <v>0.29152634637382008</v>
      </c>
      <c r="AL221" s="15">
        <f t="shared" si="488"/>
        <v>0.28951971201592891</v>
      </c>
      <c r="AM221" s="15">
        <f t="shared" si="488"/>
        <v>0.28751307765803774</v>
      </c>
      <c r="AN221" s="15">
        <f t="shared" si="488"/>
        <v>0.28550644330014657</v>
      </c>
      <c r="AO221" s="15">
        <f t="shared" si="488"/>
        <v>0.2834998089422554</v>
      </c>
      <c r="AP221" s="15">
        <f t="shared" si="488"/>
        <v>0.28149317458436424</v>
      </c>
      <c r="AQ221" s="15">
        <f t="shared" si="488"/>
        <v>0.27948654022647307</v>
      </c>
      <c r="AR221" s="15">
        <f t="shared" si="488"/>
        <v>0.2774799058685819</v>
      </c>
      <c r="AS221" s="15">
        <f t="shared" si="488"/>
        <v>0.27547327151069073</v>
      </c>
      <c r="AT221" s="15">
        <f t="shared" si="488"/>
        <v>0.27346663715279956</v>
      </c>
      <c r="AU221" s="15">
        <f t="shared" si="488"/>
        <v>0.27146000279490839</v>
      </c>
      <c r="AV221" s="15">
        <f t="shared" si="488"/>
        <v>0.26945336843701723</v>
      </c>
      <c r="AW221" s="15">
        <f t="shared" si="488"/>
        <v>0.26744673407912606</v>
      </c>
      <c r="AX221" s="15">
        <f t="shared" si="488"/>
        <v>0.26544009972123489</v>
      </c>
      <c r="AY221" s="15">
        <f t="shared" si="488"/>
        <v>0.26343346536334372</v>
      </c>
      <c r="AZ221" s="15">
        <f t="shared" si="488"/>
        <v>0.26142683100545255</v>
      </c>
      <c r="BA221" s="15">
        <f t="shared" si="488"/>
        <v>0.25942019664756139</v>
      </c>
      <c r="BB221" s="15">
        <f t="shared" si="488"/>
        <v>0.25741356228967022</v>
      </c>
      <c r="BC221" s="15">
        <f t="shared" si="488"/>
        <v>0.25540692793177905</v>
      </c>
      <c r="BD221" s="15">
        <f t="shared" si="488"/>
        <v>0.25340029357388788</v>
      </c>
      <c r="BE221" s="15">
        <f t="shared" si="488"/>
        <v>0.25139365921599671</v>
      </c>
      <c r="BF221" s="15">
        <f t="shared" si="488"/>
        <v>0.24938702485810554</v>
      </c>
      <c r="BG221" s="15">
        <f t="shared" si="488"/>
        <v>0.24738039050021438</v>
      </c>
      <c r="BH221" s="15">
        <f t="shared" si="488"/>
        <v>0.24537375614232321</v>
      </c>
      <c r="BI221" s="15">
        <f t="shared" si="488"/>
        <v>0.24336712178443204</v>
      </c>
    </row>
    <row r="222" spans="1:61" outlineLevel="1" x14ac:dyDescent="0.3">
      <c r="A222" s="16">
        <f t="shared" si="485"/>
        <v>-7.4778620950664149E-4</v>
      </c>
      <c r="B222" t="s">
        <v>89</v>
      </c>
      <c r="D222" s="15">
        <f t="shared" si="489"/>
        <v>4.7321041062903378E-2</v>
      </c>
      <c r="E222" s="15">
        <f t="shared" si="489"/>
        <v>5.5401893060169287E-2</v>
      </c>
      <c r="F222" s="15">
        <f t="shared" si="489"/>
        <v>5.2545870593685519E-2</v>
      </c>
      <c r="G222" s="15">
        <f t="shared" si="489"/>
        <v>5.3084424788796283E-2</v>
      </c>
      <c r="H222" s="15">
        <f t="shared" si="489"/>
        <v>5.0583102848507311E-2</v>
      </c>
      <c r="I222" s="15">
        <f t="shared" si="489"/>
        <v>4.3388191966854651E-2</v>
      </c>
      <c r="J222" s="15">
        <f t="shared" si="489"/>
        <v>4.4127400551224043E-2</v>
      </c>
      <c r="K222" s="15">
        <f t="shared" si="489"/>
        <v>3.5450819672131151E-2</v>
      </c>
      <c r="L222" s="15">
        <f t="shared" si="489"/>
        <v>4.0522128950028567E-2</v>
      </c>
      <c r="M222" s="15">
        <f t="shared" si="489"/>
        <v>3.6663611365719523E-2</v>
      </c>
      <c r="N222" s="15">
        <f t="shared" si="489"/>
        <v>3.9095392758330322E-2</v>
      </c>
      <c r="O222" s="15">
        <f t="shared" ref="O222" si="493">N222+$A222</f>
        <v>3.834760654882368E-2</v>
      </c>
      <c r="P222" s="15">
        <f t="shared" si="488"/>
        <v>3.7599820339317039E-2</v>
      </c>
      <c r="Q222" s="15">
        <f t="shared" si="488"/>
        <v>3.6852034129810397E-2</v>
      </c>
      <c r="R222" s="15">
        <f t="shared" si="488"/>
        <v>3.6104247920303756E-2</v>
      </c>
      <c r="S222" s="15">
        <f t="shared" si="488"/>
        <v>3.5356461710797114E-2</v>
      </c>
      <c r="T222" s="15">
        <f t="shared" si="488"/>
        <v>3.4608675501290473E-2</v>
      </c>
      <c r="U222" s="15">
        <f t="shared" si="488"/>
        <v>3.3860889291783831E-2</v>
      </c>
      <c r="V222" s="15">
        <f t="shared" si="488"/>
        <v>3.311310308227719E-2</v>
      </c>
      <c r="W222" s="15">
        <f t="shared" si="488"/>
        <v>3.2365316872770548E-2</v>
      </c>
      <c r="X222" s="15">
        <f t="shared" si="488"/>
        <v>3.1617530663263907E-2</v>
      </c>
      <c r="Y222" s="15">
        <f t="shared" si="488"/>
        <v>3.0869744453757265E-2</v>
      </c>
      <c r="Z222" s="15">
        <f t="shared" si="488"/>
        <v>3.0121958244250624E-2</v>
      </c>
      <c r="AA222" s="15">
        <f t="shared" si="488"/>
        <v>2.9374172034743982E-2</v>
      </c>
      <c r="AB222" s="15">
        <f t="shared" si="488"/>
        <v>2.8626385825237341E-2</v>
      </c>
      <c r="AC222" s="15">
        <f t="shared" si="488"/>
        <v>2.78785996157307E-2</v>
      </c>
      <c r="AD222" s="15">
        <f t="shared" si="488"/>
        <v>2.7130813406224058E-2</v>
      </c>
      <c r="AE222" s="15">
        <f t="shared" si="488"/>
        <v>2.6383027196717417E-2</v>
      </c>
      <c r="AF222" s="15">
        <f t="shared" si="488"/>
        <v>2.5635240987210775E-2</v>
      </c>
      <c r="AG222" s="15">
        <f t="shared" si="488"/>
        <v>2.4887454777704134E-2</v>
      </c>
      <c r="AH222" s="15">
        <f t="shared" si="488"/>
        <v>2.4139668568197492E-2</v>
      </c>
      <c r="AI222" s="15">
        <f t="shared" si="488"/>
        <v>2.3391882358690851E-2</v>
      </c>
      <c r="AJ222" s="15">
        <f t="shared" si="488"/>
        <v>2.2644096149184209E-2</v>
      </c>
      <c r="AK222" s="15">
        <f t="shared" si="488"/>
        <v>2.1896309939677568E-2</v>
      </c>
      <c r="AL222" s="15">
        <f t="shared" si="488"/>
        <v>2.1148523730170926E-2</v>
      </c>
      <c r="AM222" s="15">
        <f t="shared" si="488"/>
        <v>2.0400737520664285E-2</v>
      </c>
      <c r="AN222" s="15">
        <f t="shared" si="488"/>
        <v>1.9652951311157643E-2</v>
      </c>
      <c r="AO222" s="15">
        <f t="shared" si="488"/>
        <v>1.8905165101651002E-2</v>
      </c>
      <c r="AP222" s="15">
        <f t="shared" si="488"/>
        <v>1.815737889214436E-2</v>
      </c>
      <c r="AQ222" s="15">
        <f t="shared" si="488"/>
        <v>1.7409592682637719E-2</v>
      </c>
      <c r="AR222" s="15">
        <f t="shared" si="488"/>
        <v>1.6661806473131077E-2</v>
      </c>
      <c r="AS222" s="15">
        <f t="shared" si="488"/>
        <v>1.5914020263624436E-2</v>
      </c>
      <c r="AT222" s="15">
        <f t="shared" si="488"/>
        <v>1.5166234054117794E-2</v>
      </c>
      <c r="AU222" s="15">
        <f t="shared" si="488"/>
        <v>1.4418447844611153E-2</v>
      </c>
      <c r="AV222" s="15">
        <f t="shared" si="488"/>
        <v>1.3670661635104511E-2</v>
      </c>
      <c r="AW222" s="15">
        <f t="shared" si="488"/>
        <v>1.292287542559787E-2</v>
      </c>
      <c r="AX222" s="15">
        <f t="shared" si="488"/>
        <v>1.2175089216091228E-2</v>
      </c>
      <c r="AY222" s="15">
        <f t="shared" si="488"/>
        <v>1.1427303006584587E-2</v>
      </c>
      <c r="AZ222" s="15">
        <f t="shared" si="488"/>
        <v>1.0679516797077945E-2</v>
      </c>
      <c r="BA222" s="15">
        <f t="shared" si="488"/>
        <v>9.9317305875713038E-3</v>
      </c>
      <c r="BB222" s="15">
        <f t="shared" si="488"/>
        <v>9.1839443780646624E-3</v>
      </c>
      <c r="BC222" s="15">
        <f t="shared" si="488"/>
        <v>8.4361581685580209E-3</v>
      </c>
      <c r="BD222" s="15">
        <f t="shared" ref="BD222:BI222" si="494">BC222+$A222</f>
        <v>7.6883719590513794E-3</v>
      </c>
      <c r="BE222" s="15">
        <f t="shared" si="494"/>
        <v>6.9405857495447379E-3</v>
      </c>
      <c r="BF222" s="15">
        <f t="shared" si="494"/>
        <v>6.1927995400380964E-3</v>
      </c>
      <c r="BG222" s="15">
        <f t="shared" si="494"/>
        <v>5.4450133305314549E-3</v>
      </c>
      <c r="BH222" s="15">
        <f t="shared" si="494"/>
        <v>4.6972271210248134E-3</v>
      </c>
      <c r="BI222" s="15">
        <f t="shared" si="494"/>
        <v>3.9494409115181719E-3</v>
      </c>
    </row>
    <row r="223" spans="1:61" outlineLevel="1" x14ac:dyDescent="0.3"/>
    <row r="224" spans="1:61" outlineLevel="1" x14ac:dyDescent="0.3">
      <c r="B224" t="s">
        <v>83</v>
      </c>
      <c r="O224" s="15">
        <f>IF(O218&gt;0,O218*O$184,0)</f>
        <v>237.80686912673406</v>
      </c>
      <c r="P224" s="15">
        <f t="shared" ref="P224:BI228" si="495">IF(P218&gt;0,P218*P$184,0)</f>
        <v>237.225175329926</v>
      </c>
      <c r="Q224" s="15">
        <f t="shared" si="495"/>
        <v>236.5803787861378</v>
      </c>
      <c r="R224" s="15">
        <f t="shared" si="495"/>
        <v>235.87321895657306</v>
      </c>
      <c r="S224" s="15">
        <f t="shared" si="495"/>
        <v>235.10731233375785</v>
      </c>
      <c r="T224" s="15">
        <f t="shared" si="495"/>
        <v>234.28863390928012</v>
      </c>
      <c r="U224" s="15">
        <f t="shared" si="495"/>
        <v>233.42381693092574</v>
      </c>
      <c r="V224" s="15">
        <f t="shared" si="495"/>
        <v>232.51934240982507</v>
      </c>
      <c r="W224" s="15">
        <f t="shared" si="495"/>
        <v>231.58110641320965</v>
      </c>
      <c r="X224" s="15">
        <f t="shared" si="495"/>
        <v>230.6146230212189</v>
      </c>
      <c r="Y224" s="15">
        <f t="shared" si="495"/>
        <v>229.6247806650893</v>
      </c>
      <c r="Z224" s="15">
        <f t="shared" si="495"/>
        <v>228.61529026737108</v>
      </c>
      <c r="AA224" s="15">
        <f t="shared" si="495"/>
        <v>227.5882335111377</v>
      </c>
      <c r="AB224" s="15">
        <f t="shared" si="495"/>
        <v>226.54400001186821</v>
      </c>
      <c r="AC224" s="15">
        <f t="shared" si="495"/>
        <v>225.48173900716378</v>
      </c>
      <c r="AD224" s="15">
        <f t="shared" si="495"/>
        <v>224.40032760343823</v>
      </c>
      <c r="AE224" s="15">
        <f t="shared" si="495"/>
        <v>223.29924826621337</v>
      </c>
      <c r="AF224" s="15">
        <f t="shared" si="495"/>
        <v>222.17948781423746</v>
      </c>
      <c r="AG224" s="15">
        <f t="shared" si="495"/>
        <v>221.04360861316775</v>
      </c>
      <c r="AH224" s="15">
        <f t="shared" si="495"/>
        <v>219.8953874702369</v>
      </c>
      <c r="AI224" s="15">
        <f t="shared" si="495"/>
        <v>218.7392917011683</v>
      </c>
      <c r="AJ224" s="15">
        <f t="shared" si="495"/>
        <v>217.58016465148916</v>
      </c>
      <c r="AK224" s="15">
        <f t="shared" si="495"/>
        <v>216.42287799958834</v>
      </c>
      <c r="AL224" s="15">
        <f t="shared" si="495"/>
        <v>215.27226049710862</v>
      </c>
      <c r="AM224" s="15">
        <f t="shared" si="495"/>
        <v>214.13262937302869</v>
      </c>
      <c r="AN224" s="15">
        <f t="shared" si="495"/>
        <v>213.00763776722778</v>
      </c>
      <c r="AO224" s="15">
        <f t="shared" si="495"/>
        <v>211.90009807374784</v>
      </c>
      <c r="AP224" s="15">
        <f t="shared" si="495"/>
        <v>210.81218086027437</v>
      </c>
      <c r="AQ224" s="15">
        <f t="shared" si="495"/>
        <v>209.74535993325136</v>
      </c>
      <c r="AR224" s="15">
        <f t="shared" si="495"/>
        <v>208.70057901490401</v>
      </c>
      <c r="AS224" s="15">
        <f t="shared" si="495"/>
        <v>207.67858162899711</v>
      </c>
      <c r="AT224" s="15">
        <f t="shared" si="495"/>
        <v>206.68047691727952</v>
      </c>
      <c r="AU224" s="15">
        <f t="shared" si="495"/>
        <v>205.70812907103792</v>
      </c>
      <c r="AV224" s="15">
        <f t="shared" si="495"/>
        <v>204.764223026743</v>
      </c>
      <c r="AW224" s="15">
        <f t="shared" si="495"/>
        <v>203.852049968796</v>
      </c>
      <c r="AX224" s="15">
        <f t="shared" si="495"/>
        <v>202.97518632026797</v>
      </c>
      <c r="AY224" s="15">
        <f t="shared" si="495"/>
        <v>202.13730666588393</v>
      </c>
      <c r="AZ224" s="15">
        <f t="shared" si="495"/>
        <v>201.34209486620841</v>
      </c>
      <c r="BA224" s="15">
        <f t="shared" si="495"/>
        <v>200.59306102845028</v>
      </c>
      <c r="BB224" s="15">
        <f t="shared" si="495"/>
        <v>199.89345781205915</v>
      </c>
      <c r="BC224" s="15">
        <f t="shared" si="495"/>
        <v>199.2460913020345</v>
      </c>
      <c r="BD224" s="15">
        <f t="shared" si="495"/>
        <v>198.65331540035211</v>
      </c>
      <c r="BE224" s="15">
        <f t="shared" si="495"/>
        <v>198.1170171351996</v>
      </c>
      <c r="BF224" s="15">
        <f t="shared" si="495"/>
        <v>197.63873444216688</v>
      </c>
      <c r="BG224" s="15">
        <f t="shared" si="495"/>
        <v>197.21979700767145</v>
      </c>
      <c r="BH224" s="15">
        <f t="shared" si="495"/>
        <v>196.86151009842408</v>
      </c>
      <c r="BI224" s="15">
        <f t="shared" si="495"/>
        <v>196.56537264050047</v>
      </c>
    </row>
    <row r="225" spans="1:61" outlineLevel="1" x14ac:dyDescent="0.3">
      <c r="B225" t="s">
        <v>84</v>
      </c>
      <c r="O225" s="15">
        <f t="shared" ref="O225:AD228" si="496">IF(O219&gt;0,O219*O$184,0)</f>
        <v>59.707847460424972</v>
      </c>
      <c r="P225" s="15">
        <f t="shared" si="496"/>
        <v>60.266008095969021</v>
      </c>
      <c r="Q225" s="15">
        <f t="shared" si="496"/>
        <v>60.801512900588151</v>
      </c>
      <c r="R225" s="15">
        <f t="shared" si="496"/>
        <v>61.314037832749506</v>
      </c>
      <c r="S225" s="15">
        <f t="shared" si="496"/>
        <v>61.804028190651039</v>
      </c>
      <c r="T225" s="15">
        <f t="shared" si="496"/>
        <v>62.272602635575751</v>
      </c>
      <c r="U225" s="15">
        <f t="shared" si="496"/>
        <v>62.721130117991763</v>
      </c>
      <c r="V225" s="15">
        <f t="shared" si="496"/>
        <v>63.151018505473203</v>
      </c>
      <c r="W225" s="15">
        <f t="shared" si="496"/>
        <v>63.563592779185804</v>
      </c>
      <c r="X225" s="15">
        <f t="shared" si="496"/>
        <v>63.960142116856296</v>
      </c>
      <c r="Y225" s="15">
        <f t="shared" si="496"/>
        <v>64.341845426802436</v>
      </c>
      <c r="Z225" s="15">
        <f t="shared" si="496"/>
        <v>64.709605563225011</v>
      </c>
      <c r="AA225" s="15">
        <f t="shared" si="496"/>
        <v>65.063902902260267</v>
      </c>
      <c r="AB225" s="15">
        <f t="shared" si="496"/>
        <v>65.404753762471358</v>
      </c>
      <c r="AC225" s="15">
        <f t="shared" si="496"/>
        <v>65.731818048009416</v>
      </c>
      <c r="AD225" s="15">
        <f t="shared" si="496"/>
        <v>66.044666806697734</v>
      </c>
      <c r="AE225" s="15">
        <f t="shared" si="495"/>
        <v>66.343039233295912</v>
      </c>
      <c r="AF225" s="15">
        <f t="shared" si="495"/>
        <v>66.627120782450163</v>
      </c>
      <c r="AG225" s="15">
        <f t="shared" si="495"/>
        <v>66.897585559530185</v>
      </c>
      <c r="AH225" s="15">
        <f t="shared" si="495"/>
        <v>67.1555076080584</v>
      </c>
      <c r="AI225" s="15">
        <f t="shared" si="495"/>
        <v>67.402215817837757</v>
      </c>
      <c r="AJ225" s="15">
        <f t="shared" si="495"/>
        <v>67.639205161415333</v>
      </c>
      <c r="AK225" s="15">
        <f t="shared" si="495"/>
        <v>67.868032271989605</v>
      </c>
      <c r="AL225" s="15">
        <f t="shared" si="495"/>
        <v>68.090292751158856</v>
      </c>
      <c r="AM225" s="15">
        <f t="shared" si="495"/>
        <v>68.307470576430489</v>
      </c>
      <c r="AN225" s="15">
        <f t="shared" si="495"/>
        <v>68.520881629732742</v>
      </c>
      <c r="AO225" s="15">
        <f t="shared" si="495"/>
        <v>68.731607052279827</v>
      </c>
      <c r="AP225" s="15">
        <f t="shared" si="495"/>
        <v>68.940546710070436</v>
      </c>
      <c r="AQ225" s="15">
        <f t="shared" si="495"/>
        <v>69.148392277101877</v>
      </c>
      <c r="AR225" s="15">
        <f t="shared" si="495"/>
        <v>69.355673199769114</v>
      </c>
      <c r="AS225" s="15">
        <f t="shared" si="495"/>
        <v>69.562860075323329</v>
      </c>
      <c r="AT225" s="15">
        <f t="shared" si="495"/>
        <v>69.770552951230783</v>
      </c>
      <c r="AU225" s="15">
        <f t="shared" si="495"/>
        <v>69.979618520237167</v>
      </c>
      <c r="AV225" s="15">
        <f t="shared" si="495"/>
        <v>70.191222364286872</v>
      </c>
      <c r="AW225" s="15">
        <f t="shared" si="495"/>
        <v>70.406765330280336</v>
      </c>
      <c r="AX225" s="15">
        <f t="shared" si="495"/>
        <v>70.627779397420866</v>
      </c>
      <c r="AY225" s="15">
        <f t="shared" si="495"/>
        <v>70.855865450992894</v>
      </c>
      <c r="AZ225" s="15">
        <f t="shared" si="495"/>
        <v>71.092662812985509</v>
      </c>
      <c r="BA225" s="15">
        <f t="shared" si="495"/>
        <v>71.339783920127587</v>
      </c>
      <c r="BB225" s="15">
        <f t="shared" si="495"/>
        <v>71.598781795033602</v>
      </c>
      <c r="BC225" s="15">
        <f t="shared" si="495"/>
        <v>71.871078245730473</v>
      </c>
      <c r="BD225" s="15">
        <f t="shared" si="495"/>
        <v>72.157955907498717</v>
      </c>
      <c r="BE225" s="15">
        <f t="shared" si="495"/>
        <v>72.46054694801235</v>
      </c>
      <c r="BF225" s="15">
        <f t="shared" si="495"/>
        <v>72.779870403881887</v>
      </c>
      <c r="BG225" s="15">
        <f t="shared" si="495"/>
        <v>73.116879898265708</v>
      </c>
      <c r="BH225" s="15">
        <f t="shared" si="495"/>
        <v>73.472529551126854</v>
      </c>
      <c r="BI225" s="15">
        <f t="shared" si="495"/>
        <v>73.84785551444223</v>
      </c>
    </row>
    <row r="226" spans="1:61" outlineLevel="1" x14ac:dyDescent="0.3">
      <c r="B226" t="s">
        <v>85</v>
      </c>
      <c r="O226" s="15">
        <f t="shared" si="496"/>
        <v>14.701115289242205</v>
      </c>
      <c r="P226" s="15">
        <f t="shared" si="495"/>
        <v>14.665398621940316</v>
      </c>
      <c r="Q226" s="15">
        <f t="shared" si="495"/>
        <v>14.6257786163888</v>
      </c>
      <c r="R226" s="15">
        <f t="shared" si="495"/>
        <v>14.58230080959073</v>
      </c>
      <c r="S226" s="15">
        <f t="shared" si="495"/>
        <v>14.53518861158895</v>
      </c>
      <c r="T226" s="15">
        <f t="shared" si="495"/>
        <v>14.484811261856619</v>
      </c>
      <c r="U226" s="15">
        <f t="shared" si="495"/>
        <v>14.43157872235625</v>
      </c>
      <c r="V226" s="15">
        <f t="shared" si="495"/>
        <v>14.375891570508548</v>
      </c>
      <c r="W226" s="15">
        <f t="shared" si="495"/>
        <v>14.318114244873847</v>
      </c>
      <c r="X226" s="15">
        <f t="shared" si="495"/>
        <v>14.25858759051275</v>
      </c>
      <c r="Y226" s="15">
        <f t="shared" si="495"/>
        <v>14.197613791328417</v>
      </c>
      <c r="Z226" s="15">
        <f t="shared" si="495"/>
        <v>14.135422244929746</v>
      </c>
      <c r="AA226" s="15">
        <f t="shared" si="495"/>
        <v>14.072141625427145</v>
      </c>
      <c r="AB226" s="15">
        <f t="shared" si="495"/>
        <v>14.007795990507605</v>
      </c>
      <c r="AC226" s="15">
        <f t="shared" si="495"/>
        <v>13.942332702700137</v>
      </c>
      <c r="AD226" s="15">
        <f t="shared" si="495"/>
        <v>13.875682294408689</v>
      </c>
      <c r="AE226" s="15">
        <f t="shared" si="495"/>
        <v>13.807812726652529</v>
      </c>
      <c r="AF226" s="15">
        <f t="shared" si="495"/>
        <v>13.738784982593209</v>
      </c>
      <c r="AG226" s="15">
        <f t="shared" si="495"/>
        <v>13.668757477169502</v>
      </c>
      <c r="AH226" s="15">
        <f t="shared" si="495"/>
        <v>13.597963734400514</v>
      </c>
      <c r="AI226" s="15">
        <f t="shared" si="495"/>
        <v>13.526679993393435</v>
      </c>
      <c r="AJ226" s="15">
        <f t="shared" si="495"/>
        <v>13.455205764021628</v>
      </c>
      <c r="AK226" s="15">
        <f t="shared" si="495"/>
        <v>13.383842326535623</v>
      </c>
      <c r="AL226" s="15">
        <f t="shared" si="495"/>
        <v>13.312888324666584</v>
      </c>
      <c r="AM226" s="15">
        <f t="shared" si="495"/>
        <v>13.242610785850133</v>
      </c>
      <c r="AN226" s="15">
        <f t="shared" si="495"/>
        <v>13.173235683358625</v>
      </c>
      <c r="AO226" s="15">
        <f t="shared" si="495"/>
        <v>13.104937007755906</v>
      </c>
      <c r="AP226" s="15">
        <f t="shared" si="495"/>
        <v>13.037849065228512</v>
      </c>
      <c r="AQ226" s="15">
        <f t="shared" si="495"/>
        <v>12.972063076999618</v>
      </c>
      <c r="AR226" s="15">
        <f t="shared" si="495"/>
        <v>12.907637484651142</v>
      </c>
      <c r="AS226" s="15">
        <f t="shared" si="495"/>
        <v>12.844618350618171</v>
      </c>
      <c r="AT226" s="15">
        <f t="shared" si="495"/>
        <v>12.783074352690623</v>
      </c>
      <c r="AU226" s="15">
        <f t="shared" si="495"/>
        <v>12.723120872122728</v>
      </c>
      <c r="AV226" s="15">
        <f t="shared" si="495"/>
        <v>12.664924060351941</v>
      </c>
      <c r="AW226" s="15">
        <f t="shared" si="495"/>
        <v>12.608687575497493</v>
      </c>
      <c r="AX226" s="15">
        <f t="shared" si="495"/>
        <v>12.554632729576197</v>
      </c>
      <c r="AY226" s="15">
        <f t="shared" si="495"/>
        <v>12.502986918211715</v>
      </c>
      <c r="AZ226" s="15">
        <f t="shared" si="495"/>
        <v>12.453978122935364</v>
      </c>
      <c r="BA226" s="15">
        <f t="shared" si="495"/>
        <v>12.407823589708666</v>
      </c>
      <c r="BB226" s="15">
        <f t="shared" si="495"/>
        <v>12.364724650992597</v>
      </c>
      <c r="BC226" s="15">
        <f t="shared" si="495"/>
        <v>12.324855025615699</v>
      </c>
      <c r="BD226" s="15">
        <f t="shared" si="495"/>
        <v>12.288360469790785</v>
      </c>
      <c r="BE226" s="15">
        <f t="shared" si="495"/>
        <v>12.255357866309515</v>
      </c>
      <c r="BF226" s="15">
        <f t="shared" si="495"/>
        <v>12.225942508406899</v>
      </c>
      <c r="BG226" s="15">
        <f t="shared" si="495"/>
        <v>12.200196810909539</v>
      </c>
      <c r="BH226" s="15">
        <f t="shared" si="495"/>
        <v>12.178201681319329</v>
      </c>
      <c r="BI226" s="15">
        <f t="shared" si="495"/>
        <v>12.160050010620804</v>
      </c>
    </row>
    <row r="227" spans="1:61" outlineLevel="1" x14ac:dyDescent="0.3">
      <c r="B227" t="s">
        <v>87</v>
      </c>
      <c r="O227" s="15">
        <f t="shared" si="496"/>
        <v>167.42099078984083</v>
      </c>
      <c r="P227" s="15">
        <f t="shared" si="495"/>
        <v>165.65964248041274</v>
      </c>
      <c r="Q227" s="15">
        <f t="shared" si="495"/>
        <v>163.8669453856939</v>
      </c>
      <c r="R227" s="15">
        <f t="shared" si="495"/>
        <v>162.0443985434442</v>
      </c>
      <c r="S227" s="15">
        <f t="shared" si="495"/>
        <v>160.19543629108134</v>
      </c>
      <c r="T227" s="15">
        <f t="shared" si="495"/>
        <v>158.32499752820843</v>
      </c>
      <c r="U227" s="15">
        <f t="shared" si="495"/>
        <v>156.43832138094035</v>
      </c>
      <c r="V227" s="15">
        <f t="shared" si="495"/>
        <v>154.54039171690604</v>
      </c>
      <c r="W227" s="15">
        <f t="shared" si="495"/>
        <v>152.63565777392245</v>
      </c>
      <c r="X227" s="15">
        <f t="shared" si="495"/>
        <v>150.728184484049</v>
      </c>
      <c r="Y227" s="15">
        <f t="shared" si="495"/>
        <v>148.82150643879467</v>
      </c>
      <c r="Z227" s="15">
        <f t="shared" si="495"/>
        <v>146.91829163098842</v>
      </c>
      <c r="AA227" s="15">
        <f t="shared" si="495"/>
        <v>145.02008678372542</v>
      </c>
      <c r="AB227" s="15">
        <f t="shared" si="495"/>
        <v>143.12732265374942</v>
      </c>
      <c r="AC227" s="15">
        <f t="shared" si="495"/>
        <v>141.23964309855231</v>
      </c>
      <c r="AD227" s="15">
        <f t="shared" si="495"/>
        <v>139.35653980043139</v>
      </c>
      <c r="AE227" s="15">
        <f t="shared" si="495"/>
        <v>137.4778996151872</v>
      </c>
      <c r="AF227" s="15">
        <f t="shared" si="495"/>
        <v>135.60453690147949</v>
      </c>
      <c r="AG227" s="15">
        <f t="shared" si="495"/>
        <v>133.73819658152078</v>
      </c>
      <c r="AH227" s="15">
        <f t="shared" si="495"/>
        <v>131.88129616695184</v>
      </c>
      <c r="AI227" s="15">
        <f t="shared" si="495"/>
        <v>130.03658289907426</v>
      </c>
      <c r="AJ227" s="15">
        <f t="shared" si="495"/>
        <v>128.20693117157157</v>
      </c>
      <c r="AK227" s="15">
        <f t="shared" si="495"/>
        <v>126.395130615151</v>
      </c>
      <c r="AL227" s="15">
        <f t="shared" si="495"/>
        <v>124.60384514466898</v>
      </c>
      <c r="AM227" s="15">
        <f t="shared" si="495"/>
        <v>122.83534628816648</v>
      </c>
      <c r="AN227" s="15">
        <f t="shared" si="495"/>
        <v>121.09144064806792</v>
      </c>
      <c r="AO227" s="15">
        <f t="shared" si="495"/>
        <v>119.37338832101788</v>
      </c>
      <c r="AP227" s="15">
        <f t="shared" si="495"/>
        <v>117.68203618159012</v>
      </c>
      <c r="AQ227" s="15">
        <f t="shared" si="495"/>
        <v>116.01780440000957</v>
      </c>
      <c r="AR227" s="15">
        <f t="shared" si="495"/>
        <v>114.38079588577466</v>
      </c>
      <c r="AS227" s="15">
        <f t="shared" si="495"/>
        <v>112.77098908241699</v>
      </c>
      <c r="AT227" s="15">
        <f t="shared" si="495"/>
        <v>111.18854755837474</v>
      </c>
      <c r="AU227" s="15">
        <f t="shared" si="495"/>
        <v>109.63401850745018</v>
      </c>
      <c r="AV227" s="15">
        <f t="shared" si="495"/>
        <v>108.10834876718093</v>
      </c>
      <c r="AW227" s="15">
        <f t="shared" si="495"/>
        <v>106.61275256098662</v>
      </c>
      <c r="AX227" s="15">
        <f t="shared" si="495"/>
        <v>105.14853067867318</v>
      </c>
      <c r="AY227" s="15">
        <f t="shared" si="495"/>
        <v>103.71696805518512</v>
      </c>
      <c r="AZ227" s="15">
        <f t="shared" si="495"/>
        <v>102.31928684232473</v>
      </c>
      <c r="BA227" s="15">
        <f t="shared" si="495"/>
        <v>100.95655473088411</v>
      </c>
      <c r="BB227" s="15">
        <f t="shared" si="495"/>
        <v>99.629648132791161</v>
      </c>
      <c r="BC227" s="15">
        <f t="shared" si="495"/>
        <v>98.339165707975667</v>
      </c>
      <c r="BD227" s="15">
        <f t="shared" si="495"/>
        <v>97.085436989343961</v>
      </c>
      <c r="BE227" s="15">
        <f t="shared" si="495"/>
        <v>95.868526641544946</v>
      </c>
      <c r="BF227" s="15">
        <f t="shared" si="495"/>
        <v>94.688302476628607</v>
      </c>
      <c r="BG227" s="15">
        <f t="shared" si="495"/>
        <v>93.544510893609697</v>
      </c>
      <c r="BH227" s="15">
        <f t="shared" si="495"/>
        <v>92.436868376150741</v>
      </c>
      <c r="BI227" s="15">
        <f t="shared" si="495"/>
        <v>91.365163616009326</v>
      </c>
    </row>
    <row r="228" spans="1:61" outlineLevel="1" x14ac:dyDescent="0.3">
      <c r="B228" t="s">
        <v>89</v>
      </c>
      <c r="O228" s="15">
        <f t="shared" si="496"/>
        <v>19.126374859760372</v>
      </c>
      <c r="P228" s="15">
        <f t="shared" si="495"/>
        <v>18.667706612240213</v>
      </c>
      <c r="Q228" s="15">
        <f t="shared" si="495"/>
        <v>18.207947480873322</v>
      </c>
      <c r="R228" s="15">
        <f t="shared" si="495"/>
        <v>17.747455058033289</v>
      </c>
      <c r="S228" s="15">
        <f t="shared" si="495"/>
        <v>17.286790850640866</v>
      </c>
      <c r="T228" s="15">
        <f t="shared" si="495"/>
        <v>16.82665856369988</v>
      </c>
      <c r="U228" s="15">
        <f t="shared" si="495"/>
        <v>16.367765119712992</v>
      </c>
      <c r="V228" s="15">
        <f t="shared" si="495"/>
        <v>15.910760078738312</v>
      </c>
      <c r="W228" s="15">
        <f t="shared" si="495"/>
        <v>15.456208534028514</v>
      </c>
      <c r="X228" s="15">
        <f t="shared" si="495"/>
        <v>15.00460970181468</v>
      </c>
      <c r="Y228" s="15">
        <f t="shared" si="495"/>
        <v>14.55638509605587</v>
      </c>
      <c r="Z228" s="15">
        <f t="shared" si="495"/>
        <v>14.111850067131536</v>
      </c>
      <c r="AA228" s="15">
        <f t="shared" si="495"/>
        <v>13.67119677398358</v>
      </c>
      <c r="AB228" s="15">
        <f t="shared" si="495"/>
        <v>13.234504223864487</v>
      </c>
      <c r="AC228" s="15">
        <f t="shared" si="495"/>
        <v>12.801777973240503</v>
      </c>
      <c r="AD228" s="15">
        <f t="shared" si="495"/>
        <v>12.373013699544373</v>
      </c>
      <c r="AE228" s="15">
        <f t="shared" si="495"/>
        <v>11.948246319201086</v>
      </c>
      <c r="AF228" s="15">
        <f t="shared" si="495"/>
        <v>11.527591646257921</v>
      </c>
      <c r="AG228" s="15">
        <f t="shared" si="495"/>
        <v>11.111237779425688</v>
      </c>
      <c r="AH228" s="15">
        <f t="shared" si="495"/>
        <v>10.699414916928065</v>
      </c>
      <c r="AI228" s="15">
        <f t="shared" si="495"/>
        <v>10.29236113939945</v>
      </c>
      <c r="AJ228" s="15">
        <f t="shared" si="495"/>
        <v>9.8903028518433018</v>
      </c>
      <c r="AK228" s="15">
        <f t="shared" si="495"/>
        <v>9.4934368342356894</v>
      </c>
      <c r="AL228" s="15">
        <f t="shared" si="495"/>
        <v>9.1019273180528426</v>
      </c>
      <c r="AM228" s="15">
        <f t="shared" si="495"/>
        <v>8.7158875634356114</v>
      </c>
      <c r="AN228" s="15">
        <f t="shared" si="495"/>
        <v>8.3353782133476386</v>
      </c>
      <c r="AO228" s="15">
        <f t="shared" si="495"/>
        <v>7.9604061229262095</v>
      </c>
      <c r="AP228" s="15">
        <f t="shared" si="495"/>
        <v>7.5909382986043576</v>
      </c>
      <c r="AQ228" s="15">
        <f t="shared" si="495"/>
        <v>7.2269051557953432</v>
      </c>
      <c r="AR228" s="15">
        <f t="shared" si="495"/>
        <v>6.8682115172479987</v>
      </c>
      <c r="AS228" s="15">
        <f t="shared" si="495"/>
        <v>6.5147511247272005</v>
      </c>
      <c r="AT228" s="15">
        <f t="shared" si="495"/>
        <v>6.1664251038619087</v>
      </c>
      <c r="AU228" s="15">
        <f t="shared" si="495"/>
        <v>5.8231502304930114</v>
      </c>
      <c r="AV228" s="15">
        <f t="shared" si="495"/>
        <v>5.4848550029221474</v>
      </c>
      <c r="AW228" s="15">
        <f t="shared" si="495"/>
        <v>5.1514681039930181</v>
      </c>
      <c r="AX228" s="15">
        <f t="shared" si="495"/>
        <v>4.8229063479791092</v>
      </c>
      <c r="AY228" s="15">
        <f t="shared" si="495"/>
        <v>4.4990685570496751</v>
      </c>
      <c r="AZ228" s="15">
        <f t="shared" si="495"/>
        <v>4.1798331804544295</v>
      </c>
      <c r="BA228" s="15">
        <f t="shared" si="495"/>
        <v>3.8650549016379503</v>
      </c>
      <c r="BB228" s="15">
        <f t="shared" si="495"/>
        <v>3.5545646418896002</v>
      </c>
      <c r="BC228" s="15">
        <f t="shared" si="495"/>
        <v>3.2481685708154044</v>
      </c>
      <c r="BD228" s="15">
        <f t="shared" si="495"/>
        <v>2.9456514862461032</v>
      </c>
      <c r="BE228" s="15">
        <f t="shared" si="495"/>
        <v>2.6467800815392128</v>
      </c>
      <c r="BF228" s="15">
        <f t="shared" si="495"/>
        <v>2.3513078772157106</v>
      </c>
      <c r="BG228" s="15">
        <f t="shared" si="495"/>
        <v>2.0589793224265618</v>
      </c>
      <c r="BH228" s="15">
        <f t="shared" si="495"/>
        <v>1.7695330256395088</v>
      </c>
      <c r="BI228" s="15">
        <f t="shared" si="495"/>
        <v>1.4827036307404013</v>
      </c>
    </row>
    <row r="229" spans="1:61" outlineLevel="1" x14ac:dyDescent="0.3"/>
    <row r="231" spans="1:61" x14ac:dyDescent="0.3">
      <c r="D231">
        <v>2013</v>
      </c>
      <c r="E231">
        <v>2014</v>
      </c>
      <c r="F231">
        <v>2015</v>
      </c>
      <c r="G231">
        <v>2016</v>
      </c>
      <c r="H231">
        <v>2017</v>
      </c>
      <c r="I231">
        <v>2018</v>
      </c>
      <c r="J231">
        <v>2019</v>
      </c>
      <c r="K231">
        <v>2020</v>
      </c>
      <c r="L231">
        <v>2021</v>
      </c>
      <c r="M231">
        <v>2022</v>
      </c>
      <c r="N231">
        <v>2023</v>
      </c>
      <c r="O231">
        <v>2024</v>
      </c>
      <c r="P231">
        <v>2025</v>
      </c>
      <c r="Q231">
        <v>2026</v>
      </c>
      <c r="R231">
        <v>2027</v>
      </c>
      <c r="S231">
        <v>2028</v>
      </c>
      <c r="T231">
        <v>2029</v>
      </c>
      <c r="U231">
        <v>2030</v>
      </c>
      <c r="V231">
        <v>2031</v>
      </c>
      <c r="W231">
        <v>2032</v>
      </c>
      <c r="X231">
        <v>2033</v>
      </c>
      <c r="Y231">
        <v>2034</v>
      </c>
      <c r="Z231">
        <v>2035</v>
      </c>
      <c r="AA231">
        <v>2036</v>
      </c>
      <c r="AB231">
        <v>2037</v>
      </c>
      <c r="AC231">
        <v>2038</v>
      </c>
      <c r="AD231">
        <v>2039</v>
      </c>
      <c r="AE231">
        <v>2040</v>
      </c>
      <c r="AF231">
        <v>2041</v>
      </c>
      <c r="AG231">
        <v>2042</v>
      </c>
      <c r="AH231">
        <v>2043</v>
      </c>
      <c r="AI231">
        <v>2044</v>
      </c>
      <c r="AJ231">
        <v>2045</v>
      </c>
      <c r="AK231">
        <v>2046</v>
      </c>
      <c r="AL231">
        <v>2047</v>
      </c>
      <c r="AM231">
        <v>2048</v>
      </c>
      <c r="AN231">
        <v>2049</v>
      </c>
      <c r="AO231">
        <v>2050</v>
      </c>
      <c r="AP231">
        <v>2051</v>
      </c>
      <c r="AQ231">
        <v>2052</v>
      </c>
      <c r="AR231">
        <v>2053</v>
      </c>
      <c r="AS231">
        <v>2054</v>
      </c>
      <c r="AT231">
        <v>2055</v>
      </c>
      <c r="AU231">
        <v>2056</v>
      </c>
      <c r="AV231">
        <v>2057</v>
      </c>
      <c r="AW231">
        <v>2058</v>
      </c>
      <c r="AX231">
        <v>2059</v>
      </c>
      <c r="AY231">
        <v>2060</v>
      </c>
      <c r="AZ231">
        <v>2061</v>
      </c>
      <c r="BA231">
        <v>2062</v>
      </c>
      <c r="BB231">
        <v>2063</v>
      </c>
      <c r="BC231">
        <v>2064</v>
      </c>
      <c r="BD231">
        <v>2065</v>
      </c>
      <c r="BE231">
        <v>2066</v>
      </c>
      <c r="BF231">
        <v>2067</v>
      </c>
      <c r="BG231">
        <v>2068</v>
      </c>
      <c r="BH231">
        <v>2069</v>
      </c>
      <c r="BI231">
        <v>2070</v>
      </c>
    </row>
    <row r="232" spans="1:61" s="1" customFormat="1" x14ac:dyDescent="0.3">
      <c r="A232" s="1" t="s">
        <v>194</v>
      </c>
    </row>
    <row r="233" spans="1:61" outlineLevel="1" x14ac:dyDescent="0.3">
      <c r="B233" t="s">
        <v>90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</row>
    <row r="234" spans="1:61" outlineLevel="1" x14ac:dyDescent="0.3">
      <c r="B234" t="s">
        <v>195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</row>
    <row r="235" spans="1:61" outlineLevel="1" x14ac:dyDescent="0.3">
      <c r="B235" t="s">
        <v>88</v>
      </c>
      <c r="D235" s="3">
        <f>D215</f>
        <v>25.349881697397343</v>
      </c>
      <c r="E235" s="3">
        <f t="shared" ref="E235:BH235" si="497">E215</f>
        <v>29.895002599797404</v>
      </c>
      <c r="F235" s="3">
        <f t="shared" si="497"/>
        <v>28.068517667263823</v>
      </c>
      <c r="G235" s="3">
        <f t="shared" si="497"/>
        <v>28.087375679050798</v>
      </c>
      <c r="H235" s="3">
        <f t="shared" si="497"/>
        <v>26.609660262528223</v>
      </c>
      <c r="I235" s="3">
        <f t="shared" si="497"/>
        <v>22.619861859026486</v>
      </c>
      <c r="J235" s="3">
        <f t="shared" si="497"/>
        <v>22.460842920929352</v>
      </c>
      <c r="K235" s="3">
        <f t="shared" si="497"/>
        <v>19.445107739295622</v>
      </c>
      <c r="L235" s="3">
        <f t="shared" si="497"/>
        <v>20.744705464967097</v>
      </c>
      <c r="M235" s="3">
        <f t="shared" si="497"/>
        <v>18.943205115136987</v>
      </c>
      <c r="N235" s="3">
        <f t="shared" si="497"/>
        <v>19.604657655896311</v>
      </c>
      <c r="O235" s="3">
        <f t="shared" si="497"/>
        <v>19.126374859760379</v>
      </c>
      <c r="P235" s="3">
        <f t="shared" si="497"/>
        <v>18.667706612240213</v>
      </c>
      <c r="Q235" s="3">
        <f t="shared" si="497"/>
        <v>18.207947480873322</v>
      </c>
      <c r="R235" s="3">
        <f t="shared" si="497"/>
        <v>17.747455058033289</v>
      </c>
      <c r="S235" s="3">
        <f t="shared" si="497"/>
        <v>17.286790850640866</v>
      </c>
      <c r="T235" s="3">
        <f t="shared" si="497"/>
        <v>16.82665856369988</v>
      </c>
      <c r="U235" s="3">
        <f t="shared" si="497"/>
        <v>16.367765119712992</v>
      </c>
      <c r="V235" s="3">
        <f t="shared" si="497"/>
        <v>15.910760078738315</v>
      </c>
      <c r="W235" s="3">
        <f t="shared" si="497"/>
        <v>15.456208534028514</v>
      </c>
      <c r="X235" s="3">
        <f t="shared" si="497"/>
        <v>15.00460970181468</v>
      </c>
      <c r="Y235" s="3">
        <f t="shared" si="497"/>
        <v>14.556385096055871</v>
      </c>
      <c r="Z235" s="3">
        <f t="shared" si="497"/>
        <v>14.111850067131536</v>
      </c>
      <c r="AA235" s="3">
        <f t="shared" si="497"/>
        <v>13.671196773983581</v>
      </c>
      <c r="AB235" s="3">
        <f t="shared" si="497"/>
        <v>13.234504223864491</v>
      </c>
      <c r="AC235" s="3">
        <f t="shared" si="497"/>
        <v>12.801777973240506</v>
      </c>
      <c r="AD235" s="3">
        <f t="shared" si="497"/>
        <v>12.373013699544376</v>
      </c>
      <c r="AE235" s="3">
        <f t="shared" si="497"/>
        <v>11.948246319201088</v>
      </c>
      <c r="AF235" s="3">
        <f t="shared" si="497"/>
        <v>11.527591646257925</v>
      </c>
      <c r="AG235" s="3">
        <f t="shared" si="497"/>
        <v>11.111237779425689</v>
      </c>
      <c r="AH235" s="3">
        <f t="shared" si="497"/>
        <v>10.699414916928067</v>
      </c>
      <c r="AI235" s="3">
        <f t="shared" si="497"/>
        <v>10.292361139399452</v>
      </c>
      <c r="AJ235" s="3">
        <f t="shared" si="497"/>
        <v>9.8903028518433054</v>
      </c>
      <c r="AK235" s="3">
        <f t="shared" si="497"/>
        <v>9.4934368342356912</v>
      </c>
      <c r="AL235" s="3">
        <f t="shared" si="497"/>
        <v>9.1019273180528444</v>
      </c>
      <c r="AM235" s="3">
        <f t="shared" si="497"/>
        <v>8.7158875634356132</v>
      </c>
      <c r="AN235" s="3">
        <f t="shared" si="497"/>
        <v>8.3353782133476404</v>
      </c>
      <c r="AO235" s="3">
        <f t="shared" si="497"/>
        <v>7.9604061229262113</v>
      </c>
      <c r="AP235" s="3">
        <f t="shared" si="497"/>
        <v>7.5909382986043594</v>
      </c>
      <c r="AQ235" s="3">
        <f t="shared" si="497"/>
        <v>7.2269051557953441</v>
      </c>
      <c r="AR235" s="3">
        <f t="shared" si="497"/>
        <v>6.8682115172479987</v>
      </c>
      <c r="AS235" s="3">
        <f t="shared" si="497"/>
        <v>6.5147511247272005</v>
      </c>
      <c r="AT235" s="3">
        <f t="shared" si="497"/>
        <v>6.1664251038619078</v>
      </c>
      <c r="AU235" s="3">
        <f t="shared" si="497"/>
        <v>5.8231502304930105</v>
      </c>
      <c r="AV235" s="3">
        <f t="shared" si="497"/>
        <v>5.4848550029221466</v>
      </c>
      <c r="AW235" s="3">
        <f t="shared" si="497"/>
        <v>5.1514681039930172</v>
      </c>
      <c r="AX235" s="3">
        <f t="shared" si="497"/>
        <v>4.8229063479791074</v>
      </c>
      <c r="AY235" s="3">
        <f t="shared" si="497"/>
        <v>4.4990685570496733</v>
      </c>
      <c r="AZ235" s="3">
        <f t="shared" si="497"/>
        <v>4.1798331804544278</v>
      </c>
      <c r="BA235" s="3">
        <f t="shared" si="497"/>
        <v>3.8650549016379481</v>
      </c>
      <c r="BB235" s="3">
        <f t="shared" si="497"/>
        <v>3.5545646418895989</v>
      </c>
      <c r="BC235" s="3">
        <f t="shared" si="497"/>
        <v>3.2481685708154022</v>
      </c>
      <c r="BD235" s="3">
        <f t="shared" si="497"/>
        <v>2.9456514862461014</v>
      </c>
      <c r="BE235" s="3">
        <f t="shared" si="497"/>
        <v>2.6467800815392115</v>
      </c>
      <c r="BF235" s="3">
        <f t="shared" si="497"/>
        <v>2.3513078772157088</v>
      </c>
      <c r="BG235" s="3">
        <f t="shared" si="497"/>
        <v>2.0589793224265605</v>
      </c>
      <c r="BH235" s="3">
        <f t="shared" si="497"/>
        <v>1.7695330256395072</v>
      </c>
      <c r="BI235" s="3">
        <f>BI215</f>
        <v>1.4827036307404</v>
      </c>
    </row>
    <row r="236" spans="1:61" outlineLevel="1" x14ac:dyDescent="0.3">
      <c r="B236" t="s">
        <v>196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</row>
    <row r="237" spans="1:61" outlineLevel="1" x14ac:dyDescent="0.3">
      <c r="B237" t="s">
        <v>197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</row>
    <row r="238" spans="1:61" outlineLevel="1" x14ac:dyDescent="0.3">
      <c r="B238" t="s">
        <v>198</v>
      </c>
      <c r="D238" s="3">
        <f>D211+D212+D213</f>
        <v>317.63101768238909</v>
      </c>
      <c r="E238" s="3">
        <f t="shared" ref="E238:BH238" si="498">E211+E212+E213</f>
        <v>316.87502755680896</v>
      </c>
      <c r="F238" s="3">
        <f t="shared" si="498"/>
        <v>316.08765380519299</v>
      </c>
      <c r="G238" s="3">
        <f t="shared" si="498"/>
        <v>315.36610411973481</v>
      </c>
      <c r="H238" s="3">
        <f t="shared" si="498"/>
        <v>314.61348318849957</v>
      </c>
      <c r="I238" s="3">
        <f t="shared" si="498"/>
        <v>313.88058311078163</v>
      </c>
      <c r="J238" s="3">
        <f t="shared" si="498"/>
        <v>313.21397888835048</v>
      </c>
      <c r="K238" s="3">
        <f t="shared" si="498"/>
        <v>312.10334583791979</v>
      </c>
      <c r="L238" s="3">
        <f t="shared" si="498"/>
        <v>311.86807207148473</v>
      </c>
      <c r="M238" s="3">
        <f t="shared" si="498"/>
        <v>312.07426998210798</v>
      </c>
      <c r="N238" s="3">
        <f t="shared" si="498"/>
        <v>312.52086379382098</v>
      </c>
      <c r="O238" s="3">
        <f t="shared" si="498"/>
        <v>312.2158318764013</v>
      </c>
      <c r="P238" s="3">
        <f t="shared" si="498"/>
        <v>312.15658204783534</v>
      </c>
      <c r="Q238" s="3">
        <f t="shared" si="498"/>
        <v>312.00767030311476</v>
      </c>
      <c r="R238" s="3">
        <f t="shared" si="498"/>
        <v>311.76955759891331</v>
      </c>
      <c r="S238" s="3">
        <f t="shared" si="498"/>
        <v>311.44652913599793</v>
      </c>
      <c r="T238" s="3">
        <f t="shared" si="498"/>
        <v>311.04604780671252</v>
      </c>
      <c r="U238" s="3">
        <f t="shared" si="498"/>
        <v>310.57652577127379</v>
      </c>
      <c r="V238" s="3">
        <f t="shared" si="498"/>
        <v>310.04625248580692</v>
      </c>
      <c r="W238" s="3">
        <f t="shared" si="498"/>
        <v>309.46281343726935</v>
      </c>
      <c r="X238" s="3">
        <f t="shared" si="498"/>
        <v>308.83335272858801</v>
      </c>
      <c r="Y238" s="3">
        <f t="shared" si="498"/>
        <v>308.1642398832202</v>
      </c>
      <c r="Z238" s="3">
        <f t="shared" si="498"/>
        <v>307.46031807552589</v>
      </c>
      <c r="AA238" s="3">
        <f t="shared" si="498"/>
        <v>306.72427803882516</v>
      </c>
      <c r="AB238" s="3">
        <f t="shared" si="498"/>
        <v>305.95654976484724</v>
      </c>
      <c r="AC238" s="3">
        <f t="shared" si="498"/>
        <v>305.15588975787341</v>
      </c>
      <c r="AD238" s="3">
        <f t="shared" si="498"/>
        <v>304.32067670454472</v>
      </c>
      <c r="AE238" s="3">
        <f t="shared" si="498"/>
        <v>303.45010022616185</v>
      </c>
      <c r="AF238" s="3">
        <f t="shared" si="498"/>
        <v>302.54539357928087</v>
      </c>
      <c r="AG238" s="3">
        <f t="shared" si="498"/>
        <v>301.60995164986753</v>
      </c>
      <c r="AH238" s="3">
        <f t="shared" si="498"/>
        <v>300.64885881269589</v>
      </c>
      <c r="AI238" s="3">
        <f t="shared" si="498"/>
        <v>299.66818751239953</v>
      </c>
      <c r="AJ238" s="3">
        <f t="shared" si="498"/>
        <v>298.6745755769262</v>
      </c>
      <c r="AK238" s="3">
        <f t="shared" si="498"/>
        <v>297.67475259811363</v>
      </c>
      <c r="AL238" s="3">
        <f t="shared" si="498"/>
        <v>296.67544157293412</v>
      </c>
      <c r="AM238" s="3">
        <f t="shared" si="498"/>
        <v>295.68271073530934</v>
      </c>
      <c r="AN238" s="3">
        <f t="shared" si="498"/>
        <v>294.70175508031923</v>
      </c>
      <c r="AO238" s="3">
        <f t="shared" si="498"/>
        <v>293.73664213378356</v>
      </c>
      <c r="AP238" s="3">
        <f t="shared" si="498"/>
        <v>292.79057663557336</v>
      </c>
      <c r="AQ238" s="3">
        <f t="shared" si="498"/>
        <v>291.86581528735286</v>
      </c>
      <c r="AR238" s="3">
        <f t="shared" si="498"/>
        <v>290.96388969932428</v>
      </c>
      <c r="AS238" s="3">
        <f t="shared" si="498"/>
        <v>290.08606005493863</v>
      </c>
      <c r="AT238" s="3">
        <f t="shared" si="498"/>
        <v>289.23410422120088</v>
      </c>
      <c r="AU238" s="3">
        <f t="shared" si="498"/>
        <v>288.41086846339772</v>
      </c>
      <c r="AV238" s="3">
        <f t="shared" si="498"/>
        <v>287.6203694513818</v>
      </c>
      <c r="AW238" s="3">
        <f t="shared" si="498"/>
        <v>286.86750287457374</v>
      </c>
      <c r="AX238" s="3">
        <f t="shared" si="498"/>
        <v>286.15759844726495</v>
      </c>
      <c r="AY238" s="3">
        <f t="shared" si="498"/>
        <v>285.49615903508845</v>
      </c>
      <c r="AZ238" s="3">
        <f t="shared" si="498"/>
        <v>284.88873580212919</v>
      </c>
      <c r="BA238" s="3">
        <f t="shared" si="498"/>
        <v>284.34066853828631</v>
      </c>
      <c r="BB238" s="3">
        <f t="shared" si="498"/>
        <v>283.85696425808521</v>
      </c>
      <c r="BC238" s="3">
        <f t="shared" si="498"/>
        <v>283.44202457338048</v>
      </c>
      <c r="BD238" s="3">
        <f t="shared" si="498"/>
        <v>283.09963177764149</v>
      </c>
      <c r="BE238" s="3">
        <f t="shared" si="498"/>
        <v>282.83292194952128</v>
      </c>
      <c r="BF238" s="3">
        <f t="shared" si="498"/>
        <v>282.64454735445548</v>
      </c>
      <c r="BG238" s="3">
        <f t="shared" si="498"/>
        <v>282.53687371684646</v>
      </c>
      <c r="BH238" s="3">
        <f t="shared" si="498"/>
        <v>282.51224133086998</v>
      </c>
      <c r="BI238" s="3">
        <f>BI211+BI212+BI213</f>
        <v>282.57327816556324</v>
      </c>
    </row>
    <row r="239" spans="1:61" outlineLevel="1" x14ac:dyDescent="0.3">
      <c r="B239" t="s">
        <v>199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</row>
    <row r="240" spans="1:61" outlineLevel="1" x14ac:dyDescent="0.3">
      <c r="B240" t="s">
        <v>200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</row>
    <row r="241" spans="1:61" outlineLevel="1" x14ac:dyDescent="0.3">
      <c r="B241" t="s">
        <v>86</v>
      </c>
      <c r="D241" s="3">
        <f>D214</f>
        <v>192.71910062021365</v>
      </c>
      <c r="E241" s="3">
        <f t="shared" ref="E241:BH241" si="499">E214</f>
        <v>192.83251676954117</v>
      </c>
      <c r="F241" s="3">
        <f t="shared" si="499"/>
        <v>190.01554078835105</v>
      </c>
      <c r="G241" s="3">
        <f t="shared" si="499"/>
        <v>185.65417825346418</v>
      </c>
      <c r="H241" s="3">
        <f t="shared" si="499"/>
        <v>184.83514012683429</v>
      </c>
      <c r="I241" s="3">
        <f t="shared" si="499"/>
        <v>184.83637119221078</v>
      </c>
      <c r="J241" s="3">
        <f t="shared" si="499"/>
        <v>173.3250884586345</v>
      </c>
      <c r="K241" s="3">
        <f t="shared" si="499"/>
        <v>216.96094392430268</v>
      </c>
      <c r="L241" s="3">
        <f t="shared" si="499"/>
        <v>179.32245396506266</v>
      </c>
      <c r="M241" s="3">
        <f t="shared" si="499"/>
        <v>185.65844441811637</v>
      </c>
      <c r="N241" s="3">
        <f t="shared" si="499"/>
        <v>169.3314603763321</v>
      </c>
      <c r="O241" s="3">
        <f t="shared" si="499"/>
        <v>167.42099078984089</v>
      </c>
      <c r="P241" s="3">
        <f t="shared" si="499"/>
        <v>165.65964248041274</v>
      </c>
      <c r="Q241" s="3">
        <f t="shared" si="499"/>
        <v>163.8669453856939</v>
      </c>
      <c r="R241" s="3">
        <f t="shared" si="499"/>
        <v>162.0443985434442</v>
      </c>
      <c r="S241" s="3">
        <f t="shared" si="499"/>
        <v>160.19543629108134</v>
      </c>
      <c r="T241" s="3">
        <f t="shared" si="499"/>
        <v>158.32499752820843</v>
      </c>
      <c r="U241" s="3">
        <f t="shared" si="499"/>
        <v>156.43832138094038</v>
      </c>
      <c r="V241" s="3">
        <f t="shared" si="499"/>
        <v>154.54039171690607</v>
      </c>
      <c r="W241" s="3">
        <f t="shared" si="499"/>
        <v>152.63565777392245</v>
      </c>
      <c r="X241" s="3">
        <f t="shared" si="499"/>
        <v>150.72818448404902</v>
      </c>
      <c r="Y241" s="3">
        <f t="shared" si="499"/>
        <v>148.82150643879467</v>
      </c>
      <c r="Z241" s="3">
        <f t="shared" si="499"/>
        <v>146.91829163098842</v>
      </c>
      <c r="AA241" s="3">
        <f t="shared" si="499"/>
        <v>145.02008678372545</v>
      </c>
      <c r="AB241" s="3">
        <f t="shared" si="499"/>
        <v>143.12732265374945</v>
      </c>
      <c r="AC241" s="3">
        <f t="shared" si="499"/>
        <v>141.23964309855236</v>
      </c>
      <c r="AD241" s="3">
        <f t="shared" si="499"/>
        <v>139.35653980043142</v>
      </c>
      <c r="AE241" s="3">
        <f t="shared" si="499"/>
        <v>137.47789961518723</v>
      </c>
      <c r="AF241" s="3">
        <f t="shared" si="499"/>
        <v>135.60453690147952</v>
      </c>
      <c r="AG241" s="3">
        <f t="shared" si="499"/>
        <v>133.73819658152081</v>
      </c>
      <c r="AH241" s="3">
        <f t="shared" si="499"/>
        <v>131.88129616695187</v>
      </c>
      <c r="AI241" s="3">
        <f t="shared" si="499"/>
        <v>130.03658289907426</v>
      </c>
      <c r="AJ241" s="3">
        <f t="shared" si="499"/>
        <v>128.20693117157163</v>
      </c>
      <c r="AK241" s="3">
        <f t="shared" si="499"/>
        <v>126.39513061515103</v>
      </c>
      <c r="AL241" s="3">
        <f t="shared" si="499"/>
        <v>124.60384514466901</v>
      </c>
      <c r="AM241" s="3">
        <f t="shared" si="499"/>
        <v>122.83534628816651</v>
      </c>
      <c r="AN241" s="3">
        <f t="shared" si="499"/>
        <v>121.09144064806794</v>
      </c>
      <c r="AO241" s="3">
        <f t="shared" si="499"/>
        <v>119.3733883210179</v>
      </c>
      <c r="AP241" s="3">
        <f t="shared" si="499"/>
        <v>117.68203618159014</v>
      </c>
      <c r="AQ241" s="3">
        <f t="shared" si="499"/>
        <v>116.01780440000957</v>
      </c>
      <c r="AR241" s="3">
        <f t="shared" si="499"/>
        <v>114.38079588577466</v>
      </c>
      <c r="AS241" s="3">
        <f t="shared" si="499"/>
        <v>112.77098908241699</v>
      </c>
      <c r="AT241" s="3">
        <f t="shared" si="499"/>
        <v>111.18854755837472</v>
      </c>
      <c r="AU241" s="3">
        <f t="shared" si="499"/>
        <v>109.63401850745015</v>
      </c>
      <c r="AV241" s="3">
        <f t="shared" si="499"/>
        <v>108.10834876718091</v>
      </c>
      <c r="AW241" s="3">
        <f t="shared" si="499"/>
        <v>106.61275256098661</v>
      </c>
      <c r="AX241" s="3">
        <f t="shared" si="499"/>
        <v>105.14853067867315</v>
      </c>
      <c r="AY241" s="3">
        <f t="shared" si="499"/>
        <v>103.71696805518508</v>
      </c>
      <c r="AZ241" s="3">
        <f t="shared" si="499"/>
        <v>102.31928684232469</v>
      </c>
      <c r="BA241" s="3">
        <f t="shared" si="499"/>
        <v>100.95655473088406</v>
      </c>
      <c r="BB241" s="3">
        <f t="shared" si="499"/>
        <v>99.629648132791118</v>
      </c>
      <c r="BC241" s="3">
        <f t="shared" si="499"/>
        <v>98.339165707975596</v>
      </c>
      <c r="BD241" s="3">
        <f t="shared" si="499"/>
        <v>97.085436989343904</v>
      </c>
      <c r="BE241" s="3">
        <f t="shared" si="499"/>
        <v>95.868526641544875</v>
      </c>
      <c r="BF241" s="3">
        <f t="shared" si="499"/>
        <v>94.688302476628536</v>
      </c>
      <c r="BG241" s="3">
        <f t="shared" si="499"/>
        <v>93.544510893609626</v>
      </c>
      <c r="BH241" s="3">
        <f t="shared" si="499"/>
        <v>92.436868376150656</v>
      </c>
      <c r="BI241" s="3">
        <f>BI214</f>
        <v>91.365163616009241</v>
      </c>
    </row>
    <row r="242" spans="1:61" outlineLevel="1" x14ac:dyDescent="0.3">
      <c r="B242" t="s">
        <v>201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</row>
    <row r="243" spans="1:61" s="1" customFormat="1" collapsed="1" x14ac:dyDescent="0.3">
      <c r="A243" s="1" t="s">
        <v>202</v>
      </c>
    </row>
    <row r="244" spans="1:61" hidden="1" outlineLevel="1" x14ac:dyDescent="0.3">
      <c r="B244" t="s">
        <v>90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</row>
    <row r="245" spans="1:61" hidden="1" outlineLevel="1" x14ac:dyDescent="0.3">
      <c r="B245" t="s">
        <v>195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</row>
    <row r="246" spans="1:61" hidden="1" outlineLevel="1" x14ac:dyDescent="0.3">
      <c r="B246" t="s">
        <v>88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</row>
    <row r="247" spans="1:61" hidden="1" outlineLevel="1" x14ac:dyDescent="0.3">
      <c r="B247" t="s">
        <v>196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</row>
    <row r="248" spans="1:61" hidden="1" outlineLevel="1" x14ac:dyDescent="0.3">
      <c r="B248" t="s">
        <v>197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</row>
    <row r="249" spans="1:61" hidden="1" outlineLevel="1" x14ac:dyDescent="0.3">
      <c r="B249" t="s">
        <v>198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</row>
    <row r="250" spans="1:61" hidden="1" outlineLevel="1" x14ac:dyDescent="0.3">
      <c r="B250" t="s">
        <v>199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</row>
    <row r="251" spans="1:61" hidden="1" outlineLevel="1" x14ac:dyDescent="0.3">
      <c r="B251" t="s">
        <v>200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</row>
    <row r="252" spans="1:61" hidden="1" outlineLevel="1" x14ac:dyDescent="0.3">
      <c r="B252" t="s">
        <v>86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</row>
    <row r="253" spans="1:61" hidden="1" outlineLevel="1" x14ac:dyDescent="0.3">
      <c r="B253" t="s">
        <v>201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</row>
    <row r="254" spans="1:61" s="1" customFormat="1" collapsed="1" x14ac:dyDescent="0.3">
      <c r="A254" s="1" t="s">
        <v>203</v>
      </c>
    </row>
    <row r="255" spans="1:61" hidden="1" outlineLevel="1" x14ac:dyDescent="0.3">
      <c r="B255" t="s">
        <v>90</v>
      </c>
      <c r="D255" s="3">
        <f>D175</f>
        <v>20.862711459301554</v>
      </c>
      <c r="E255" s="3">
        <f t="shared" ref="E255:BI255" si="500">E175</f>
        <v>21.4602994900923</v>
      </c>
      <c r="F255" s="3">
        <f t="shared" si="500"/>
        <v>22.232637577131346</v>
      </c>
      <c r="G255" s="3">
        <f t="shared" si="500"/>
        <v>23.16644280710231</v>
      </c>
      <c r="H255" s="3">
        <f t="shared" si="500"/>
        <v>23.235292890769319</v>
      </c>
      <c r="I255" s="3">
        <f t="shared" si="500"/>
        <v>24.857739110656208</v>
      </c>
      <c r="J255" s="3">
        <f t="shared" si="500"/>
        <v>25.330589199767285</v>
      </c>
      <c r="K255" s="3">
        <f t="shared" si="500"/>
        <v>28.385164670658686</v>
      </c>
      <c r="L255" s="3">
        <f t="shared" si="500"/>
        <v>27.290812182741117</v>
      </c>
      <c r="M255" s="3">
        <f t="shared" si="500"/>
        <v>28.911497461928935</v>
      </c>
      <c r="N255" s="3">
        <f t="shared" si="500"/>
        <v>29.644898477157358</v>
      </c>
      <c r="O255" s="3">
        <f t="shared" si="500"/>
        <v>30.112175311005302</v>
      </c>
      <c r="P255" s="3">
        <f t="shared" si="500"/>
        <v>30.616439584235493</v>
      </c>
      <c r="Q255" s="3">
        <f t="shared" si="500"/>
        <v>31.125489960055933</v>
      </c>
      <c r="R255" s="3">
        <f t="shared" si="500"/>
        <v>31.638948219107057</v>
      </c>
      <c r="S255" s="3">
        <f t="shared" si="500"/>
        <v>32.156789942115843</v>
      </c>
      <c r="T255" s="3">
        <f t="shared" si="500"/>
        <v>32.679310220419104</v>
      </c>
      <c r="U255" s="3">
        <f t="shared" si="500"/>
        <v>33.206915703814609</v>
      </c>
      <c r="V255" s="3">
        <f t="shared" si="500"/>
        <v>33.740019302379658</v>
      </c>
      <c r="W255" s="3">
        <f t="shared" si="500"/>
        <v>34.278977456816946</v>
      </c>
      <c r="X255" s="3">
        <f t="shared" si="500"/>
        <v>34.824115626180365</v>
      </c>
      <c r="Y255" s="3">
        <f t="shared" si="500"/>
        <v>35.375688206209148</v>
      </c>
      <c r="Z255" s="3">
        <f t="shared" si="500"/>
        <v>35.933785161316308</v>
      </c>
      <c r="AA255" s="3">
        <f t="shared" si="500"/>
        <v>36.498243617597574</v>
      </c>
      <c r="AB255" s="3">
        <f t="shared" si="500"/>
        <v>37.068613169479782</v>
      </c>
      <c r="AC255" s="3">
        <f t="shared" si="500"/>
        <v>37.644204305866467</v>
      </c>
      <c r="AD255" s="3">
        <f t="shared" si="500"/>
        <v>38.224232467248434</v>
      </c>
      <c r="AE255" s="3">
        <f t="shared" si="500"/>
        <v>38.807965352200696</v>
      </c>
      <c r="AF255" s="3">
        <f t="shared" si="500"/>
        <v>39.39489249547966</v>
      </c>
      <c r="AG255" s="3">
        <f t="shared" si="500"/>
        <v>39.984765197595664</v>
      </c>
      <c r="AH255" s="3">
        <f t="shared" si="500"/>
        <v>40.577559820726243</v>
      </c>
      <c r="AI255" s="3">
        <f t="shared" si="500"/>
        <v>41.173403988611</v>
      </c>
      <c r="AJ255" s="3">
        <f t="shared" si="500"/>
        <v>41.772532347294799</v>
      </c>
      <c r="AK255" s="3">
        <f t="shared" si="500"/>
        <v>42.375229257967035</v>
      </c>
      <c r="AL255" s="3">
        <f t="shared" si="500"/>
        <v>42.981818928935112</v>
      </c>
      <c r="AM255" s="3">
        <f t="shared" si="500"/>
        <v>43.592572972733002</v>
      </c>
      <c r="AN255" s="3">
        <f t="shared" si="500"/>
        <v>44.207672316143423</v>
      </c>
      <c r="AO255" s="3">
        <f t="shared" si="500"/>
        <v>44.827159906905031</v>
      </c>
      <c r="AP255" s="3">
        <f t="shared" si="500"/>
        <v>45.450969586471501</v>
      </c>
      <c r="AQ255" s="3">
        <f t="shared" si="500"/>
        <v>46.078903497970188</v>
      </c>
      <c r="AR255" s="3">
        <f t="shared" si="500"/>
        <v>46.71065733295201</v>
      </c>
      <c r="AS255" s="3">
        <f t="shared" si="500"/>
        <v>47.345886570114466</v>
      </c>
      <c r="AT255" s="3">
        <f t="shared" si="500"/>
        <v>47.98433554571114</v>
      </c>
      <c r="AU255" s="3">
        <f t="shared" si="500"/>
        <v>48.625939087317384</v>
      </c>
      <c r="AV255" s="3">
        <f t="shared" si="500"/>
        <v>49.270856303780633</v>
      </c>
      <c r="AW255" s="3">
        <f t="shared" si="500"/>
        <v>49.919437640138618</v>
      </c>
      <c r="AX255" s="3">
        <f t="shared" si="500"/>
        <v>50.572159995207471</v>
      </c>
      <c r="AY255" s="3">
        <f t="shared" si="500"/>
        <v>51.22958746559712</v>
      </c>
      <c r="AZ255" s="3">
        <f t="shared" si="500"/>
        <v>51.89235237674513</v>
      </c>
      <c r="BA255" s="3">
        <f t="shared" si="500"/>
        <v>52.56110908519247</v>
      </c>
      <c r="BB255" s="3">
        <f t="shared" si="500"/>
        <v>53.236509219873852</v>
      </c>
      <c r="BC255" s="3">
        <f t="shared" si="500"/>
        <v>53.919145935274358</v>
      </c>
      <c r="BD255" s="3">
        <f t="shared" si="500"/>
        <v>54.609543476257748</v>
      </c>
      <c r="BE255" s="3">
        <f t="shared" si="500"/>
        <v>55.308143850633911</v>
      </c>
      <c r="BF255" s="3">
        <f t="shared" si="500"/>
        <v>56.015330518482301</v>
      </c>
      <c r="BG255" s="3">
        <f t="shared" si="500"/>
        <v>56.731461618205543</v>
      </c>
      <c r="BH255" s="3">
        <f t="shared" si="500"/>
        <v>57.456919226877083</v>
      </c>
      <c r="BI255" s="3">
        <f t="shared" si="500"/>
        <v>58.192173290330565</v>
      </c>
    </row>
    <row r="256" spans="1:61" hidden="1" outlineLevel="1" x14ac:dyDescent="0.3">
      <c r="B256" t="s">
        <v>195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</row>
    <row r="257" spans="1:61" hidden="1" outlineLevel="1" x14ac:dyDescent="0.3">
      <c r="B257" t="s">
        <v>88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</row>
    <row r="258" spans="1:61" hidden="1" outlineLevel="1" x14ac:dyDescent="0.3">
      <c r="B258" t="s">
        <v>196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</row>
    <row r="259" spans="1:61" hidden="1" outlineLevel="1" x14ac:dyDescent="0.3">
      <c r="B259" t="s">
        <v>197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</row>
    <row r="260" spans="1:61" hidden="1" outlineLevel="1" x14ac:dyDescent="0.3">
      <c r="B260" t="s">
        <v>198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</row>
    <row r="261" spans="1:61" hidden="1" outlineLevel="1" x14ac:dyDescent="0.3">
      <c r="B261" t="s">
        <v>199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</row>
    <row r="262" spans="1:61" hidden="1" outlineLevel="1" x14ac:dyDescent="0.3">
      <c r="B262" t="s">
        <v>200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</row>
    <row r="263" spans="1:61" hidden="1" outlineLevel="1" x14ac:dyDescent="0.3">
      <c r="B263" t="s">
        <v>86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</row>
    <row r="264" spans="1:61" hidden="1" outlineLevel="1" x14ac:dyDescent="0.3">
      <c r="B264" t="s">
        <v>201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</row>
    <row r="265" spans="1:61" s="1" customFormat="1" collapsed="1" x14ac:dyDescent="0.3">
      <c r="A265" s="1" t="s">
        <v>204</v>
      </c>
    </row>
    <row r="266" spans="1:61" hidden="1" outlineLevel="1" x14ac:dyDescent="0.3">
      <c r="B266" t="s">
        <v>90</v>
      </c>
      <c r="D266" s="3">
        <f>D176+D177+D179+D180+D181+D182</f>
        <v>118.85654229186031</v>
      </c>
      <c r="E266" s="3">
        <f t="shared" ref="E266:BI266" si="501">E176+E177+E179+E180+E181+E182</f>
        <v>122.26405989801844</v>
      </c>
      <c r="F266" s="3"/>
      <c r="G266" s="3"/>
      <c r="H266" s="3"/>
      <c r="I266" s="3">
        <f t="shared" si="501"/>
        <v>141.65931991356763</v>
      </c>
      <c r="J266" s="3">
        <f t="shared" si="501"/>
        <v>144.37085206537267</v>
      </c>
      <c r="K266" s="3">
        <f t="shared" si="501"/>
        <v>161.73184131736528</v>
      </c>
      <c r="L266" s="3">
        <f t="shared" si="501"/>
        <v>155.49416243654824</v>
      </c>
      <c r="M266" s="3">
        <f t="shared" si="501"/>
        <v>164.72829949238582</v>
      </c>
      <c r="N266" s="3">
        <f t="shared" si="501"/>
        <v>168.90697969543146</v>
      </c>
      <c r="O266" s="3">
        <f t="shared" si="501"/>
        <v>171.56997752053712</v>
      </c>
      <c r="P266" s="3">
        <f t="shared" si="501"/>
        <v>174.44375549337866</v>
      </c>
      <c r="Q266" s="3">
        <f t="shared" si="501"/>
        <v>177.34484169122084</v>
      </c>
      <c r="R266" s="3">
        <f t="shared" si="501"/>
        <v>180.27108189519384</v>
      </c>
      <c r="S266" s="3">
        <f t="shared" si="501"/>
        <v>183.22233770099444</v>
      </c>
      <c r="T266" s="3">
        <f t="shared" si="501"/>
        <v>186.20029118239904</v>
      </c>
      <c r="U266" s="3">
        <f t="shared" si="501"/>
        <v>189.20726005305275</v>
      </c>
      <c r="V266" s="3">
        <f t="shared" si="501"/>
        <v>192.24559770798348</v>
      </c>
      <c r="W266" s="3">
        <f t="shared" si="501"/>
        <v>195.31733580074115</v>
      </c>
      <c r="X266" s="3">
        <f t="shared" si="501"/>
        <v>198.42432946506148</v>
      </c>
      <c r="Y266" s="3">
        <f t="shared" si="501"/>
        <v>201.56802893051332</v>
      </c>
      <c r="Z266" s="3">
        <f t="shared" si="501"/>
        <v>204.74894750877741</v>
      </c>
      <c r="AA266" s="3">
        <f t="shared" si="501"/>
        <v>207.96615783262075</v>
      </c>
      <c r="AB266" s="3">
        <f t="shared" si="501"/>
        <v>211.2170941403252</v>
      </c>
      <c r="AC266" s="3">
        <f t="shared" si="501"/>
        <v>214.49782817052255</v>
      </c>
      <c r="AD266" s="3">
        <f t="shared" si="501"/>
        <v>217.80388997424373</v>
      </c>
      <c r="AE266" s="3">
        <f t="shared" si="501"/>
        <v>221.13110726506872</v>
      </c>
      <c r="AF266" s="3">
        <f t="shared" si="501"/>
        <v>224.47657169991095</v>
      </c>
      <c r="AG266" s="3">
        <f t="shared" si="501"/>
        <v>227.83886643348302</v>
      </c>
      <c r="AH266" s="3">
        <f t="shared" si="501"/>
        <v>231.21785700926901</v>
      </c>
      <c r="AI266" s="3">
        <f t="shared" si="501"/>
        <v>234.61427086496229</v>
      </c>
      <c r="AJ266" s="3">
        <f t="shared" si="501"/>
        <v>238.02944527048606</v>
      </c>
      <c r="AK266" s="3">
        <f t="shared" si="501"/>
        <v>241.46500079451766</v>
      </c>
      <c r="AL266" s="3">
        <f t="shared" si="501"/>
        <v>244.92278508300436</v>
      </c>
      <c r="AM266" s="3">
        <f t="shared" si="501"/>
        <v>248.40434609816595</v>
      </c>
      <c r="AN266" s="3">
        <f t="shared" si="501"/>
        <v>251.91071506259925</v>
      </c>
      <c r="AO266" s="3">
        <f t="shared" si="501"/>
        <v>255.4421369521674</v>
      </c>
      <c r="AP266" s="3">
        <f t="shared" si="501"/>
        <v>258.99823500515998</v>
      </c>
      <c r="AQ266" s="3">
        <f t="shared" si="501"/>
        <v>262.57788196723362</v>
      </c>
      <c r="AR266" s="3">
        <f t="shared" si="501"/>
        <v>266.17934393978499</v>
      </c>
      <c r="AS266" s="3">
        <f t="shared" si="501"/>
        <v>269.80065782556176</v>
      </c>
      <c r="AT266" s="3">
        <f t="shared" si="501"/>
        <v>273.44036683499809</v>
      </c>
      <c r="AU266" s="3">
        <f t="shared" si="501"/>
        <v>277.09809966738987</v>
      </c>
      <c r="AV266" s="3">
        <f t="shared" si="501"/>
        <v>280.77476309701751</v>
      </c>
      <c r="AW266" s="3">
        <f t="shared" si="501"/>
        <v>284.4723542678986</v>
      </c>
      <c r="AX266" s="3">
        <f t="shared" si="501"/>
        <v>288.19359098257837</v>
      </c>
      <c r="AY266" s="3">
        <f t="shared" si="501"/>
        <v>291.94168801582703</v>
      </c>
      <c r="AZ266" s="3">
        <f t="shared" si="501"/>
        <v>295.72024903098929</v>
      </c>
      <c r="BA266" s="3">
        <f t="shared" si="501"/>
        <v>299.53300332257493</v>
      </c>
      <c r="BB266" s="3">
        <f t="shared" si="501"/>
        <v>303.38366472627752</v>
      </c>
      <c r="BC266" s="3">
        <f t="shared" si="501"/>
        <v>307.27561392821173</v>
      </c>
      <c r="BD266" s="3">
        <f t="shared" si="501"/>
        <v>311.21183898777883</v>
      </c>
      <c r="BE266" s="3">
        <f t="shared" si="501"/>
        <v>315.19485937564951</v>
      </c>
      <c r="BF266" s="3">
        <f t="shared" si="501"/>
        <v>319.22686096448911</v>
      </c>
      <c r="BG266" s="3">
        <f t="shared" si="501"/>
        <v>323.30988537353528</v>
      </c>
      <c r="BH266" s="3">
        <f t="shared" si="501"/>
        <v>327.44611069877465</v>
      </c>
      <c r="BI266" s="3">
        <f t="shared" si="501"/>
        <v>331.63821585582451</v>
      </c>
    </row>
    <row r="267" spans="1:61" hidden="1" outlineLevel="1" x14ac:dyDescent="0.3">
      <c r="B267" t="s">
        <v>195</v>
      </c>
      <c r="D267">
        <v>0</v>
      </c>
      <c r="E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</row>
    <row r="268" spans="1:61" hidden="1" outlineLevel="1" x14ac:dyDescent="0.3">
      <c r="B268" t="s">
        <v>88</v>
      </c>
      <c r="D268">
        <v>0</v>
      </c>
      <c r="E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</row>
    <row r="269" spans="1:61" hidden="1" outlineLevel="1" x14ac:dyDescent="0.3">
      <c r="B269" t="s">
        <v>196</v>
      </c>
      <c r="D269">
        <v>0</v>
      </c>
      <c r="E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</row>
    <row r="270" spans="1:61" hidden="1" outlineLevel="1" x14ac:dyDescent="0.3">
      <c r="B270" t="s">
        <v>197</v>
      </c>
      <c r="D270">
        <v>0</v>
      </c>
      <c r="E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</row>
    <row r="271" spans="1:61" hidden="1" outlineLevel="1" x14ac:dyDescent="0.3">
      <c r="B271" t="s">
        <v>198</v>
      </c>
      <c r="D271">
        <v>0</v>
      </c>
      <c r="E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</row>
    <row r="272" spans="1:61" hidden="1" outlineLevel="1" x14ac:dyDescent="0.3">
      <c r="B272" t="s">
        <v>199</v>
      </c>
      <c r="D272">
        <v>0</v>
      </c>
      <c r="E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</row>
    <row r="273" spans="1:61" hidden="1" outlineLevel="1" x14ac:dyDescent="0.3">
      <c r="B273" t="s">
        <v>200</v>
      </c>
      <c r="D273">
        <v>0</v>
      </c>
      <c r="E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</row>
    <row r="274" spans="1:61" hidden="1" outlineLevel="1" x14ac:dyDescent="0.3">
      <c r="B274" t="s">
        <v>86</v>
      </c>
      <c r="D274">
        <v>0</v>
      </c>
      <c r="E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</row>
    <row r="275" spans="1:61" hidden="1" outlineLevel="1" x14ac:dyDescent="0.3">
      <c r="B275" t="s">
        <v>201</v>
      </c>
      <c r="D275">
        <v>0</v>
      </c>
      <c r="E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</row>
    <row r="276" spans="1:61" s="1" customFormat="1" collapsed="1" x14ac:dyDescent="0.3">
      <c r="A276" s="1" t="s">
        <v>205</v>
      </c>
    </row>
    <row r="277" spans="1:61" hidden="1" outlineLevel="1" x14ac:dyDescent="0.3">
      <c r="B277" t="s">
        <v>90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</row>
    <row r="278" spans="1:61" hidden="1" outlineLevel="1" x14ac:dyDescent="0.3">
      <c r="B278" t="s">
        <v>195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</row>
    <row r="279" spans="1:61" hidden="1" outlineLevel="1" x14ac:dyDescent="0.3">
      <c r="B279" t="s">
        <v>88</v>
      </c>
      <c r="D279" s="3">
        <f>D193</f>
        <v>8.4501183026026556</v>
      </c>
      <c r="E279" s="3">
        <f t="shared" ref="E279:BI279" si="502">E193</f>
        <v>9.9649974002025985</v>
      </c>
      <c r="F279" s="3">
        <f t="shared" si="502"/>
        <v>9.3614823327361751</v>
      </c>
      <c r="G279" s="3">
        <f t="shared" si="502"/>
        <v>9.3626243209492017</v>
      </c>
      <c r="H279" s="3">
        <f t="shared" si="502"/>
        <v>8.8703397374717756</v>
      </c>
      <c r="I279" s="3">
        <f t="shared" si="502"/>
        <v>7.5401381409735118</v>
      </c>
      <c r="J279" s="3">
        <f t="shared" si="502"/>
        <v>7.4791570790706494</v>
      </c>
      <c r="K279" s="3">
        <f t="shared" si="502"/>
        <v>6.5048922607043762</v>
      </c>
      <c r="L279" s="3">
        <f t="shared" si="502"/>
        <v>6.9152945350329027</v>
      </c>
      <c r="M279" s="3">
        <f t="shared" si="502"/>
        <v>6.2567948848630124</v>
      </c>
      <c r="N279" s="3">
        <f t="shared" si="502"/>
        <v>6.3953423441036881</v>
      </c>
      <c r="O279" s="3">
        <f t="shared" si="502"/>
        <v>6.2078582038668566</v>
      </c>
      <c r="P279" s="3">
        <f t="shared" si="502"/>
        <v>6.0263238591589561</v>
      </c>
      <c r="Q279" s="3">
        <f t="shared" si="502"/>
        <v>5.8440209217574877</v>
      </c>
      <c r="R279" s="3">
        <f t="shared" si="502"/>
        <v>5.6611031278087758</v>
      </c>
      <c r="S279" s="3">
        <f t="shared" si="502"/>
        <v>5.4777897774292805</v>
      </c>
      <c r="T279" s="3">
        <f t="shared" si="502"/>
        <v>5.2943439272632933</v>
      </c>
      <c r="U279" s="3">
        <f t="shared" si="502"/>
        <v>5.1110268858580037</v>
      </c>
      <c r="V279" s="3">
        <f t="shared" si="502"/>
        <v>4.9280787212186947</v>
      </c>
      <c r="W279" s="3">
        <f t="shared" si="502"/>
        <v>4.7457099210875606</v>
      </c>
      <c r="X279" s="3">
        <f t="shared" si="502"/>
        <v>4.5641074546617277</v>
      </c>
      <c r="Y279" s="3">
        <f t="shared" si="502"/>
        <v>4.3834314536007648</v>
      </c>
      <c r="Z279" s="3">
        <f t="shared" si="502"/>
        <v>4.2038072506617938</v>
      </c>
      <c r="AA279" s="3">
        <f t="shared" si="502"/>
        <v>4.0253215100690687</v>
      </c>
      <c r="AB279" s="3">
        <f t="shared" si="502"/>
        <v>3.8480268606201071</v>
      </c>
      <c r="AC279" s="3">
        <f t="shared" si="502"/>
        <v>3.6719551655582201</v>
      </c>
      <c r="AD279" s="3">
        <f t="shared" si="502"/>
        <v>3.4971369349660022</v>
      </c>
      <c r="AE279" s="3">
        <f t="shared" si="502"/>
        <v>3.323615309590469</v>
      </c>
      <c r="AF279" s="3">
        <f t="shared" si="502"/>
        <v>3.1514566584905381</v>
      </c>
      <c r="AG279" s="3">
        <f t="shared" si="502"/>
        <v>2.9807462399579374</v>
      </c>
      <c r="AH279" s="3">
        <f t="shared" si="502"/>
        <v>2.8115780431172048</v>
      </c>
      <c r="AI279" s="3">
        <f t="shared" si="502"/>
        <v>2.6440441848690104</v>
      </c>
      <c r="AJ279" s="3">
        <f t="shared" si="502"/>
        <v>2.4782288967016979</v>
      </c>
      <c r="AK279" s="3">
        <f t="shared" si="502"/>
        <v>2.3142034801145845</v>
      </c>
      <c r="AL279" s="3">
        <f t="shared" si="502"/>
        <v>2.1520254851923655</v>
      </c>
      <c r="AM279" s="3">
        <f t="shared" si="502"/>
        <v>1.9917344950523572</v>
      </c>
      <c r="AN279" s="3">
        <f t="shared" si="502"/>
        <v>1.8333525868136398</v>
      </c>
      <c r="AO279" s="3">
        <f t="shared" si="502"/>
        <v>1.6768852340817801</v>
      </c>
      <c r="AP279" s="3">
        <f t="shared" si="502"/>
        <v>1.5223256493984816</v>
      </c>
      <c r="AQ279" s="3">
        <f t="shared" si="502"/>
        <v>1.3696566335800078</v>
      </c>
      <c r="AR279" s="3">
        <f t="shared" si="502"/>
        <v>1.2188539378980752</v>
      </c>
      <c r="AS279" s="3">
        <f t="shared" si="502"/>
        <v>1.0698897670018801</v>
      </c>
      <c r="AT279" s="3">
        <f t="shared" si="502"/>
        <v>0.92273596549058001</v>
      </c>
      <c r="AU279" s="3">
        <f t="shared" si="502"/>
        <v>0.77736420697394426</v>
      </c>
      <c r="AV279" s="3">
        <f t="shared" si="502"/>
        <v>0.63374359288841042</v>
      </c>
      <c r="AW279" s="3">
        <f t="shared" si="502"/>
        <v>0.49183732760249294</v>
      </c>
      <c r="AX279" s="3">
        <f t="shared" si="502"/>
        <v>0.35160011045246564</v>
      </c>
      <c r="AY279" s="3">
        <f t="shared" si="502"/>
        <v>0.21297699836614975</v>
      </c>
      <c r="AZ279" s="3">
        <f t="shared" si="502"/>
        <v>7.5903080071726942E-2</v>
      </c>
      <c r="BA279" s="3">
        <f t="shared" si="502"/>
        <v>0</v>
      </c>
      <c r="BB279" s="3">
        <f t="shared" si="502"/>
        <v>0</v>
      </c>
      <c r="BC279" s="3">
        <f t="shared" si="502"/>
        <v>0</v>
      </c>
      <c r="BD279" s="3">
        <f t="shared" si="502"/>
        <v>0</v>
      </c>
      <c r="BE279" s="3">
        <f t="shared" si="502"/>
        <v>0</v>
      </c>
      <c r="BF279" s="3">
        <f t="shared" si="502"/>
        <v>0</v>
      </c>
      <c r="BG279" s="3">
        <f t="shared" si="502"/>
        <v>0</v>
      </c>
      <c r="BH279" s="3">
        <f t="shared" si="502"/>
        <v>0</v>
      </c>
      <c r="BI279" s="3">
        <f t="shared" si="502"/>
        <v>0</v>
      </c>
    </row>
    <row r="280" spans="1:61" hidden="1" outlineLevel="1" x14ac:dyDescent="0.3">
      <c r="B280" t="s">
        <v>196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</row>
    <row r="281" spans="1:61" hidden="1" outlineLevel="1" x14ac:dyDescent="0.3">
      <c r="B281" t="s">
        <v>197</v>
      </c>
      <c r="D281" s="3">
        <f>D188</f>
        <v>4.04</v>
      </c>
      <c r="E281" s="3">
        <f t="shared" ref="E281:BI281" si="503">E188</f>
        <v>4.53</v>
      </c>
      <c r="F281" s="3">
        <f t="shared" si="503"/>
        <v>5.29</v>
      </c>
      <c r="G281" s="3">
        <f t="shared" si="503"/>
        <v>6.1</v>
      </c>
      <c r="H281" s="3">
        <f t="shared" si="503"/>
        <v>6.42</v>
      </c>
      <c r="I281" s="3">
        <f t="shared" si="503"/>
        <v>7.11</v>
      </c>
      <c r="J281" s="3">
        <f t="shared" si="503"/>
        <v>7.89</v>
      </c>
      <c r="K281" s="3">
        <f t="shared" si="503"/>
        <v>9.01</v>
      </c>
      <c r="L281" s="3">
        <f t="shared" si="503"/>
        <v>10.69</v>
      </c>
      <c r="M281" s="3">
        <f t="shared" si="503"/>
        <v>12.37</v>
      </c>
      <c r="N281" s="3">
        <f t="shared" si="503"/>
        <v>14.049999999999999</v>
      </c>
      <c r="O281" s="3">
        <f t="shared" si="503"/>
        <v>14.918047423323577</v>
      </c>
      <c r="P281" s="3">
        <f t="shared" si="503"/>
        <v>15.792282268661967</v>
      </c>
      <c r="Q281" s="3">
        <f t="shared" si="503"/>
        <v>16.656861920140926</v>
      </c>
      <c r="R281" s="3">
        <f t="shared" si="503"/>
        <v>17.511053662479394</v>
      </c>
      <c r="S281" s="3">
        <f t="shared" si="503"/>
        <v>18.354358772885373</v>
      </c>
      <c r="T281" s="3">
        <f t="shared" si="503"/>
        <v>19.186525275389382</v>
      </c>
      <c r="U281" s="3">
        <f t="shared" si="503"/>
        <v>20.00744735799023</v>
      </c>
      <c r="V281" s="3">
        <f t="shared" si="503"/>
        <v>20.817105361929141</v>
      </c>
      <c r="W281" s="3">
        <f t="shared" si="503"/>
        <v>21.61552243994478</v>
      </c>
      <c r="X281" s="3">
        <f t="shared" si="503"/>
        <v>22.402773078739887</v>
      </c>
      <c r="Y281" s="3">
        <f t="shared" si="503"/>
        <v>23.178951193606032</v>
      </c>
      <c r="Z281" s="3">
        <f t="shared" si="503"/>
        <v>23.944100413869315</v>
      </c>
      <c r="AA281" s="3">
        <f t="shared" si="503"/>
        <v>24.698142741075575</v>
      </c>
      <c r="AB281" s="3">
        <f t="shared" si="503"/>
        <v>25.440840748217511</v>
      </c>
      <c r="AC281" s="3">
        <f t="shared" si="503"/>
        <v>26.171818255333466</v>
      </c>
      <c r="AD281" s="3">
        <f t="shared" si="503"/>
        <v>26.890653313694123</v>
      </c>
      <c r="AE281" s="3">
        <f t="shared" si="503"/>
        <v>27.596981961884318</v>
      </c>
      <c r="AF281" s="3">
        <f t="shared" si="503"/>
        <v>28.290624503299746</v>
      </c>
      <c r="AG281" s="3">
        <f t="shared" si="503"/>
        <v>28.971623376580322</v>
      </c>
      <c r="AH281" s="3">
        <f t="shared" si="503"/>
        <v>29.640224139844548</v>
      </c>
      <c r="AI281" s="3">
        <f t="shared" si="503"/>
        <v>30.296825607052103</v>
      </c>
      <c r="AJ281" s="3">
        <f t="shared" si="503"/>
        <v>30.94194791164259</v>
      </c>
      <c r="AK281" s="3">
        <f t="shared" si="503"/>
        <v>31.576188607529577</v>
      </c>
      <c r="AL281" s="3">
        <f t="shared" si="503"/>
        <v>32.200212335752006</v>
      </c>
      <c r="AM281" s="3">
        <f t="shared" si="503"/>
        <v>32.81467798231877</v>
      </c>
      <c r="AN281" s="3">
        <f t="shared" si="503"/>
        <v>33.420205111276253</v>
      </c>
      <c r="AO281" s="3">
        <f t="shared" si="503"/>
        <v>34.017333257069566</v>
      </c>
      <c r="AP281" s="3">
        <f t="shared" si="503"/>
        <v>34.606539128515543</v>
      </c>
      <c r="AQ281" s="3">
        <f t="shared" si="503"/>
        <v>35.188215680622399</v>
      </c>
      <c r="AR281" s="3">
        <f t="shared" si="503"/>
        <v>35.762688094673194</v>
      </c>
      <c r="AS281" s="3">
        <f t="shared" si="503"/>
        <v>36.330262026941881</v>
      </c>
      <c r="AT281" s="3">
        <f t="shared" si="503"/>
        <v>36.8913211257155</v>
      </c>
      <c r="AU281" s="3">
        <f t="shared" si="503"/>
        <v>37.446404498208871</v>
      </c>
      <c r="AV281" s="3">
        <f t="shared" si="503"/>
        <v>37.996232223800469</v>
      </c>
      <c r="AW281" s="3">
        <f t="shared" si="503"/>
        <v>38.541679043732856</v>
      </c>
      <c r="AX281" s="3">
        <f t="shared" si="503"/>
        <v>39.083722791203471</v>
      </c>
      <c r="AY281" s="3">
        <f t="shared" si="503"/>
        <v>39.623412181791124</v>
      </c>
      <c r="AZ281" s="3">
        <f t="shared" si="503"/>
        <v>40.161850191705405</v>
      </c>
      <c r="BA281" s="3">
        <f t="shared" si="503"/>
        <v>40.683383432296949</v>
      </c>
      <c r="BB281" s="3">
        <f t="shared" si="503"/>
        <v>41.1840121550267</v>
      </c>
      <c r="BC281" s="3">
        <f t="shared" si="503"/>
        <v>41.685753313967702</v>
      </c>
      <c r="BD281" s="3">
        <f t="shared" si="503"/>
        <v>42.189608497858629</v>
      </c>
      <c r="BE281" s="3">
        <f t="shared" si="503"/>
        <v>42.696506102312412</v>
      </c>
      <c r="BF281" s="3">
        <f t="shared" si="503"/>
        <v>43.207319157035343</v>
      </c>
      <c r="BG281" s="3">
        <f t="shared" si="503"/>
        <v>43.722890616811867</v>
      </c>
      <c r="BH281" s="3">
        <f t="shared" si="503"/>
        <v>44.24407102320378</v>
      </c>
      <c r="BI281" s="3">
        <f t="shared" si="503"/>
        <v>44.771767378371507</v>
      </c>
    </row>
    <row r="282" spans="1:61" hidden="1" outlineLevel="1" x14ac:dyDescent="0.3">
      <c r="B282" t="s">
        <v>198</v>
      </c>
      <c r="D282" s="3">
        <f>D189+D190+D191</f>
        <v>105.87898231761098</v>
      </c>
      <c r="E282" s="3">
        <f t="shared" ref="E282:BI282" si="504">E189+E190+E191</f>
        <v>105.62497244319113</v>
      </c>
      <c r="F282" s="3">
        <f t="shared" si="504"/>
        <v>105.42234619480696</v>
      </c>
      <c r="G282" s="3">
        <f t="shared" si="504"/>
        <v>105.12389588026515</v>
      </c>
      <c r="H282" s="3">
        <f t="shared" si="504"/>
        <v>104.87651681150041</v>
      </c>
      <c r="I282" s="3">
        <f t="shared" si="504"/>
        <v>104.62941688921831</v>
      </c>
      <c r="J282" s="3">
        <f t="shared" si="504"/>
        <v>104.29602111164954</v>
      </c>
      <c r="K282" s="3">
        <f t="shared" si="504"/>
        <v>104.40665416208014</v>
      </c>
      <c r="L282" s="3">
        <f t="shared" si="504"/>
        <v>103.96192792851525</v>
      </c>
      <c r="M282" s="3">
        <f t="shared" si="504"/>
        <v>103.07573001789206</v>
      </c>
      <c r="N282" s="3">
        <f t="shared" si="504"/>
        <v>101.94913620617906</v>
      </c>
      <c r="O282" s="3">
        <f t="shared" si="504"/>
        <v>101.50066713618935</v>
      </c>
      <c r="P282" s="3">
        <f t="shared" si="504"/>
        <v>101.13338270347582</v>
      </c>
      <c r="Q282" s="3">
        <f t="shared" si="504"/>
        <v>100.73803482429297</v>
      </c>
      <c r="R282" s="3">
        <f t="shared" si="504"/>
        <v>100.31494972132768</v>
      </c>
      <c r="S282" s="3">
        <f t="shared" si="504"/>
        <v>99.865677312048973</v>
      </c>
      <c r="T282" s="3">
        <f t="shared" si="504"/>
        <v>99.392763969595521</v>
      </c>
      <c r="U282" s="3">
        <f t="shared" si="504"/>
        <v>98.899025909493417</v>
      </c>
      <c r="V282" s="3">
        <f t="shared" si="504"/>
        <v>98.387204345987783</v>
      </c>
      <c r="W282" s="3">
        <f t="shared" si="504"/>
        <v>97.859782890609523</v>
      </c>
      <c r="X282" s="3">
        <f t="shared" si="504"/>
        <v>97.31907466727948</v>
      </c>
      <c r="Y282" s="3">
        <f t="shared" si="504"/>
        <v>96.767120553403188</v>
      </c>
      <c r="Z282" s="3">
        <f t="shared" si="504"/>
        <v>96.205458618884933</v>
      </c>
      <c r="AA282" s="3">
        <f t="shared" si="504"/>
        <v>95.63493772199304</v>
      </c>
      <c r="AB282" s="3">
        <f t="shared" si="504"/>
        <v>95.055696143387834</v>
      </c>
      <c r="AC282" s="3">
        <f t="shared" si="504"/>
        <v>94.467356298894003</v>
      </c>
      <c r="AD282" s="3">
        <f t="shared" si="504"/>
        <v>93.869434097504453</v>
      </c>
      <c r="AE282" s="3">
        <f t="shared" si="504"/>
        <v>93.261706809718589</v>
      </c>
      <c r="AF282" s="3">
        <f t="shared" si="504"/>
        <v>92.644586418075249</v>
      </c>
      <c r="AG282" s="3">
        <f t="shared" si="504"/>
        <v>92.0191445265081</v>
      </c>
      <c r="AH282" s="3">
        <f t="shared" si="504"/>
        <v>91.386956975792842</v>
      </c>
      <c r="AI282" s="3">
        <f t="shared" si="504"/>
        <v>90.749882086600323</v>
      </c>
      <c r="AJ282" s="3">
        <f t="shared" si="504"/>
        <v>90.109927637579489</v>
      </c>
      <c r="AK282" s="3">
        <f t="shared" si="504"/>
        <v>89.469105319052105</v>
      </c>
      <c r="AL282" s="3">
        <f t="shared" si="504"/>
        <v>88.829400711795273</v>
      </c>
      <c r="AM282" s="3">
        <f t="shared" si="504"/>
        <v>88.192579899095989</v>
      </c>
      <c r="AN282" s="3">
        <f t="shared" si="504"/>
        <v>87.560128185984524</v>
      </c>
      <c r="AO282" s="3">
        <f t="shared" si="504"/>
        <v>86.933179759725448</v>
      </c>
      <c r="AP282" s="3">
        <f t="shared" si="504"/>
        <v>86.312602123972283</v>
      </c>
      <c r="AQ282" s="3">
        <f t="shared" si="504"/>
        <v>85.698975980463345</v>
      </c>
      <c r="AR282" s="3">
        <f t="shared" si="504"/>
        <v>85.092665881656913</v>
      </c>
      <c r="AS282" s="3">
        <f t="shared" si="504"/>
        <v>84.493956555850914</v>
      </c>
      <c r="AT282" s="3">
        <f t="shared" si="504"/>
        <v>83.903283349942726</v>
      </c>
      <c r="AU282" s="3">
        <f t="shared" si="504"/>
        <v>83.32138816513941</v>
      </c>
      <c r="AV282" s="3">
        <f t="shared" si="504"/>
        <v>82.749342284150615</v>
      </c>
      <c r="AW282" s="3">
        <f t="shared" si="504"/>
        <v>82.188455648305606</v>
      </c>
      <c r="AX282" s="3">
        <f t="shared" si="504"/>
        <v>81.64014430547914</v>
      </c>
      <c r="AY282" s="3">
        <f t="shared" si="504"/>
        <v>81.105853312777441</v>
      </c>
      <c r="AZ282" s="3">
        <f t="shared" si="504"/>
        <v>80.587019974870458</v>
      </c>
      <c r="BA282" s="3">
        <f t="shared" si="504"/>
        <v>80.051996062887952</v>
      </c>
      <c r="BB282" s="3">
        <f t="shared" si="504"/>
        <v>79.494034649974694</v>
      </c>
      <c r="BC282" s="3">
        <f t="shared" si="504"/>
        <v>78.956175472304665</v>
      </c>
      <c r="BD282" s="3">
        <f t="shared" si="504"/>
        <v>78.439221683205034</v>
      </c>
      <c r="BE282" s="3">
        <f t="shared" si="504"/>
        <v>77.943780594338165</v>
      </c>
      <c r="BF282" s="3">
        <f t="shared" si="504"/>
        <v>77.470312797487594</v>
      </c>
      <c r="BG282" s="3">
        <f t="shared" si="504"/>
        <v>77.019189360843058</v>
      </c>
      <c r="BH282" s="3">
        <f t="shared" si="504"/>
        <v>76.590764583734398</v>
      </c>
      <c r="BI282" s="3">
        <f t="shared" si="504"/>
        <v>76.185460445892289</v>
      </c>
    </row>
    <row r="283" spans="1:61" hidden="1" outlineLevel="1" x14ac:dyDescent="0.3">
      <c r="B283" t="s">
        <v>199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</row>
    <row r="284" spans="1:61" hidden="1" outlineLevel="1" x14ac:dyDescent="0.3">
      <c r="B284" t="s">
        <v>200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</row>
    <row r="285" spans="1:61" hidden="1" outlineLevel="1" x14ac:dyDescent="0.3">
      <c r="B285" t="s">
        <v>86</v>
      </c>
      <c r="D285" s="3">
        <f>D192</f>
        <v>64.240899379786342</v>
      </c>
      <c r="E285" s="3">
        <f t="shared" ref="E285:BI285" si="505">E192</f>
        <v>64.277483230458856</v>
      </c>
      <c r="F285" s="3">
        <f t="shared" si="505"/>
        <v>63.374459211648926</v>
      </c>
      <c r="G285" s="3">
        <f t="shared" si="505"/>
        <v>61.88582174653579</v>
      </c>
      <c r="H285" s="3">
        <f t="shared" si="505"/>
        <v>61.614859873165699</v>
      </c>
      <c r="I285" s="3">
        <f t="shared" si="505"/>
        <v>61.613628807789183</v>
      </c>
      <c r="J285" s="3">
        <f t="shared" si="505"/>
        <v>57.714911541365488</v>
      </c>
      <c r="K285" s="3">
        <f t="shared" si="505"/>
        <v>72.579056075697309</v>
      </c>
      <c r="L285" s="3">
        <f t="shared" si="505"/>
        <v>59.777546034937345</v>
      </c>
      <c r="M285" s="3">
        <f t="shared" si="505"/>
        <v>61.321555581883601</v>
      </c>
      <c r="N285" s="3">
        <f t="shared" si="505"/>
        <v>55.238539623667897</v>
      </c>
      <c r="O285" s="3">
        <f t="shared" si="505"/>
        <v>54.389862427749748</v>
      </c>
      <c r="P285" s="3">
        <f t="shared" si="505"/>
        <v>53.588430562056061</v>
      </c>
      <c r="Q285" s="3">
        <f t="shared" si="505"/>
        <v>52.775563190573457</v>
      </c>
      <c r="R285" s="3">
        <f t="shared" si="505"/>
        <v>51.95194362809363</v>
      </c>
      <c r="S285" s="3">
        <f t="shared" si="505"/>
        <v>51.118875649377124</v>
      </c>
      <c r="T285" s="3">
        <f t="shared" si="505"/>
        <v>50.27813165853501</v>
      </c>
      <c r="U285" s="3">
        <f t="shared" si="505"/>
        <v>49.431559282341325</v>
      </c>
      <c r="V285" s="3">
        <f t="shared" si="505"/>
        <v>48.580902658919555</v>
      </c>
      <c r="W285" s="3">
        <f t="shared" si="505"/>
        <v>47.727715339745629</v>
      </c>
      <c r="X285" s="3">
        <f t="shared" si="505"/>
        <v>46.873409759624892</v>
      </c>
      <c r="Y285" s="3">
        <f t="shared" si="505"/>
        <v>46.019213748901656</v>
      </c>
      <c r="Z285" s="3">
        <f t="shared" si="505"/>
        <v>45.16607032319569</v>
      </c>
      <c r="AA285" s="3">
        <f t="shared" si="505"/>
        <v>44.314566422276471</v>
      </c>
      <c r="AB285" s="3">
        <f t="shared" si="505"/>
        <v>43.464944038052074</v>
      </c>
      <c r="AC285" s="3">
        <f t="shared" si="505"/>
        <v>42.617209726239665</v>
      </c>
      <c r="AD285" s="3">
        <f t="shared" si="505"/>
        <v>41.771332586317158</v>
      </c>
      <c r="AE285" s="3">
        <f t="shared" si="505"/>
        <v>40.927409020299294</v>
      </c>
      <c r="AF285" s="3">
        <f t="shared" si="505"/>
        <v>40.085816284074774</v>
      </c>
      <c r="AG285" s="3">
        <f t="shared" si="505"/>
        <v>39.247203552019648</v>
      </c>
      <c r="AH285" s="3">
        <f t="shared" si="505"/>
        <v>38.412406163592017</v>
      </c>
      <c r="AI285" s="3">
        <f t="shared" si="505"/>
        <v>37.582338043188777</v>
      </c>
      <c r="AJ285" s="3">
        <f t="shared" si="505"/>
        <v>36.757928487026611</v>
      </c>
      <c r="AK285" s="3">
        <f t="shared" si="505"/>
        <v>35.940058831907102</v>
      </c>
      <c r="AL285" s="3">
        <f t="shared" si="505"/>
        <v>35.129550224930711</v>
      </c>
      <c r="AM285" s="3">
        <f t="shared" si="505"/>
        <v>34.327088928731399</v>
      </c>
      <c r="AN285" s="3">
        <f t="shared" si="505"/>
        <v>33.533209481713541</v>
      </c>
      <c r="AO285" s="3">
        <f t="shared" si="505"/>
        <v>32.748276788146697</v>
      </c>
      <c r="AP285" s="3">
        <f t="shared" si="505"/>
        <v>31.972528239929463</v>
      </c>
      <c r="AQ285" s="3">
        <f t="shared" si="505"/>
        <v>31.206074642159798</v>
      </c>
      <c r="AR285" s="3">
        <f t="shared" si="505"/>
        <v>30.448934427796832</v>
      </c>
      <c r="AS285" s="3">
        <f t="shared" si="505"/>
        <v>29.701088331550004</v>
      </c>
      <c r="AT285" s="3">
        <f t="shared" si="505"/>
        <v>28.962561415552802</v>
      </c>
      <c r="AU285" s="3">
        <f t="shared" si="505"/>
        <v>28.23347109707651</v>
      </c>
      <c r="AV285" s="3">
        <f t="shared" si="505"/>
        <v>27.514024947271448</v>
      </c>
      <c r="AW285" s="3">
        <f t="shared" si="505"/>
        <v>26.804480529145465</v>
      </c>
      <c r="AX285" s="3">
        <f t="shared" si="505"/>
        <v>26.105095270058211</v>
      </c>
      <c r="AY285" s="3">
        <f t="shared" si="505"/>
        <v>25.416098748176992</v>
      </c>
      <c r="AZ285" s="3">
        <f t="shared" si="505"/>
        <v>24.737680301094521</v>
      </c>
      <c r="BA285" s="3">
        <f t="shared" si="505"/>
        <v>24.060047390878911</v>
      </c>
      <c r="BB285" s="3">
        <f t="shared" si="505"/>
        <v>23.381544051665148</v>
      </c>
      <c r="BC285" s="3">
        <f t="shared" si="505"/>
        <v>22.715012535057404</v>
      </c>
      <c r="BD285" s="3">
        <f t="shared" si="505"/>
        <v>22.060307694421642</v>
      </c>
      <c r="BE285" s="3">
        <f t="shared" si="505"/>
        <v>21.417208367219772</v>
      </c>
      <c r="BF285" s="3">
        <f t="shared" si="505"/>
        <v>20.785436787745496</v>
      </c>
      <c r="BG285" s="3">
        <f t="shared" si="505"/>
        <v>20.164678237926815</v>
      </c>
      <c r="BH285" s="3">
        <f t="shared" si="505"/>
        <v>19.554602466729694</v>
      </c>
      <c r="BI285" s="3">
        <f t="shared" si="505"/>
        <v>18.954885192416953</v>
      </c>
    </row>
    <row r="286" spans="1:61" hidden="1" outlineLevel="1" x14ac:dyDescent="0.3">
      <c r="B286" t="s">
        <v>201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</row>
    <row r="287" spans="1:61" s="1" customFormat="1" x14ac:dyDescent="0.3">
      <c r="A287" s="1" t="s">
        <v>206</v>
      </c>
    </row>
    <row r="288" spans="1:61" outlineLevel="1" x14ac:dyDescent="0.3">
      <c r="B288" t="s">
        <v>90</v>
      </c>
      <c r="D288" s="3">
        <f>D178</f>
        <v>51.420746248838135</v>
      </c>
      <c r="E288" s="3">
        <f t="shared" ref="E288:BI288" si="506">E178</f>
        <v>52.895640611889242</v>
      </c>
      <c r="F288" s="3">
        <f t="shared" si="506"/>
        <v>54.818269109683925</v>
      </c>
      <c r="G288" s="3">
        <f t="shared" si="506"/>
        <v>57.114832709264398</v>
      </c>
      <c r="H288" s="3">
        <f t="shared" si="506"/>
        <v>57.295110541684039</v>
      </c>
      <c r="I288" s="3">
        <f t="shared" si="506"/>
        <v>61.282940975776185</v>
      </c>
      <c r="J288" s="3">
        <f t="shared" si="506"/>
        <v>62.448558734860114</v>
      </c>
      <c r="K288" s="3">
        <f t="shared" si="506"/>
        <v>69.982994011976061</v>
      </c>
      <c r="L288" s="3">
        <f t="shared" si="506"/>
        <v>67.275025380710659</v>
      </c>
      <c r="M288" s="3">
        <f t="shared" si="506"/>
        <v>71.270203045685278</v>
      </c>
      <c r="N288" s="3">
        <f t="shared" si="506"/>
        <v>73.078121827411152</v>
      </c>
      <c r="O288" s="3">
        <f t="shared" si="506"/>
        <v>74.230624332964226</v>
      </c>
      <c r="P288" s="3">
        <f t="shared" si="506"/>
        <v>75.474343187950893</v>
      </c>
      <c r="Q288" s="3">
        <f t="shared" si="506"/>
        <v>76.729899167479743</v>
      </c>
      <c r="R288" s="3">
        <f t="shared" si="506"/>
        <v>77.996360672808365</v>
      </c>
      <c r="S288" s="3">
        <f t="shared" si="506"/>
        <v>79.273668240222008</v>
      </c>
      <c r="T288" s="3">
        <f t="shared" si="506"/>
        <v>80.562550047507628</v>
      </c>
      <c r="U288" s="3">
        <f t="shared" si="506"/>
        <v>81.864009293191515</v>
      </c>
      <c r="V288" s="3">
        <f t="shared" si="506"/>
        <v>83.179064620520265</v>
      </c>
      <c r="W288" s="3">
        <f t="shared" si="506"/>
        <v>84.508595471786847</v>
      </c>
      <c r="X288" s="3">
        <f t="shared" si="506"/>
        <v>85.853404919444657</v>
      </c>
      <c r="Y288" s="3">
        <f t="shared" si="506"/>
        <v>87.214120847987616</v>
      </c>
      <c r="Z288" s="3">
        <f t="shared" si="506"/>
        <v>88.590965757527741</v>
      </c>
      <c r="AA288" s="3">
        <f t="shared" si="506"/>
        <v>89.983538783191349</v>
      </c>
      <c r="AB288" s="3">
        <f t="shared" si="506"/>
        <v>91.390730127526552</v>
      </c>
      <c r="AC288" s="3">
        <f t="shared" si="506"/>
        <v>92.810840414867329</v>
      </c>
      <c r="AD288" s="3">
        <f t="shared" si="506"/>
        <v>94.241935830551171</v>
      </c>
      <c r="AE288" s="3">
        <f t="shared" si="506"/>
        <v>95.682211294570052</v>
      </c>
      <c r="AF288" s="3">
        <f t="shared" si="506"/>
        <v>97.130408571843148</v>
      </c>
      <c r="AG288" s="3">
        <f t="shared" si="506"/>
        <v>98.585914752348017</v>
      </c>
      <c r="AH288" s="3">
        <f t="shared" si="506"/>
        <v>100.04867179031311</v>
      </c>
      <c r="AI288" s="3">
        <f t="shared" si="506"/>
        <v>101.51899457274534</v>
      </c>
      <c r="AJ288" s="3">
        <f t="shared" si="506"/>
        <v>102.99746186341009</v>
      </c>
      <c r="AK288" s="3">
        <f t="shared" si="506"/>
        <v>104.48477501797483</v>
      </c>
      <c r="AL288" s="3">
        <f t="shared" si="506"/>
        <v>105.98173366151438</v>
      </c>
      <c r="AM288" s="3">
        <f t="shared" si="506"/>
        <v>107.48900775418737</v>
      </c>
      <c r="AN288" s="3">
        <f t="shared" si="506"/>
        <v>109.00704366319735</v>
      </c>
      <c r="AO288" s="3">
        <f t="shared" si="506"/>
        <v>110.53594753369931</v>
      </c>
      <c r="AP288" s="3">
        <f t="shared" si="506"/>
        <v>112.07555646510286</v>
      </c>
      <c r="AQ288" s="3">
        <f t="shared" si="506"/>
        <v>113.6253827858837</v>
      </c>
      <c r="AR288" s="3">
        <f t="shared" si="506"/>
        <v>115.1846762903799</v>
      </c>
      <c r="AS288" s="3">
        <f t="shared" si="506"/>
        <v>116.75258756414449</v>
      </c>
      <c r="AT288" s="3">
        <f t="shared" si="506"/>
        <v>118.32848626338026</v>
      </c>
      <c r="AU288" s="3">
        <f t="shared" si="506"/>
        <v>119.91221175975353</v>
      </c>
      <c r="AV288" s="3">
        <f t="shared" si="506"/>
        <v>121.50415649894238</v>
      </c>
      <c r="AW288" s="3">
        <f t="shared" si="506"/>
        <v>123.10518479230521</v>
      </c>
      <c r="AX288" s="3">
        <f t="shared" si="506"/>
        <v>124.71647284161708</v>
      </c>
      <c r="AY288" s="3">
        <f t="shared" si="506"/>
        <v>126.33941194988938</v>
      </c>
      <c r="AZ288" s="3">
        <f t="shared" si="506"/>
        <v>127.97556175596722</v>
      </c>
      <c r="BA288" s="3">
        <f t="shared" si="506"/>
        <v>129.62653631369417</v>
      </c>
      <c r="BB288" s="3">
        <f t="shared" si="506"/>
        <v>131.29394303574398</v>
      </c>
      <c r="BC288" s="3">
        <f t="shared" si="506"/>
        <v>132.9792452073504</v>
      </c>
      <c r="BD288" s="3">
        <f t="shared" si="506"/>
        <v>134.68373624133451</v>
      </c>
      <c r="BE288" s="3">
        <f t="shared" si="506"/>
        <v>136.40850679761391</v>
      </c>
      <c r="BF288" s="3">
        <f t="shared" si="506"/>
        <v>138.15450319692275</v>
      </c>
      <c r="BG288" s="3">
        <f t="shared" si="506"/>
        <v>139.9226093604575</v>
      </c>
      <c r="BH288" s="3">
        <f t="shared" si="506"/>
        <v>141.71376830350934</v>
      </c>
      <c r="BI288" s="3">
        <f t="shared" si="506"/>
        <v>143.52913982119574</v>
      </c>
    </row>
    <row r="289" spans="2:61" outlineLevel="1" x14ac:dyDescent="0.3">
      <c r="B289" t="s">
        <v>195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</row>
    <row r="290" spans="2:61" outlineLevel="1" x14ac:dyDescent="0.3">
      <c r="B290" t="s">
        <v>88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</row>
    <row r="291" spans="2:61" outlineLevel="1" x14ac:dyDescent="0.3">
      <c r="B291" t="s">
        <v>196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</row>
    <row r="292" spans="2:61" outlineLevel="1" x14ac:dyDescent="0.3">
      <c r="B292" t="s">
        <v>197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</row>
    <row r="293" spans="2:61" outlineLevel="1" x14ac:dyDescent="0.3">
      <c r="B293" t="s">
        <v>198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</row>
    <row r="294" spans="2:61" outlineLevel="1" x14ac:dyDescent="0.3">
      <c r="B294" t="s">
        <v>199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</row>
    <row r="295" spans="2:61" outlineLevel="1" x14ac:dyDescent="0.3">
      <c r="B295" t="s">
        <v>200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</row>
    <row r="296" spans="2:61" outlineLevel="1" x14ac:dyDescent="0.3">
      <c r="B296" t="s">
        <v>86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</row>
    <row r="297" spans="2:61" outlineLevel="1" x14ac:dyDescent="0.3">
      <c r="B297" t="s">
        <v>201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920E8-A04F-4077-ACAB-1C6DDC5F1CCA}">
  <sheetPr>
    <outlinePr summaryBelow="0"/>
  </sheetPr>
  <dimension ref="A2:BL315"/>
  <sheetViews>
    <sheetView topLeftCell="A298" workbookViewId="0">
      <pane xSplit="3" topLeftCell="D1" activePane="topRight" state="frozen"/>
      <selection activeCell="A151" sqref="A151"/>
      <selection pane="topRight" activeCell="D306" sqref="D306"/>
    </sheetView>
  </sheetViews>
  <sheetFormatPr defaultColWidth="11.44140625" defaultRowHeight="14.4" outlineLevelRow="2" x14ac:dyDescent="0.3"/>
  <cols>
    <col min="4" max="14" width="6.44140625" customWidth="1"/>
  </cols>
  <sheetData>
    <row r="2" spans="1:14" x14ac:dyDescent="0.3">
      <c r="A2" t="s">
        <v>54</v>
      </c>
      <c r="D2">
        <v>2013</v>
      </c>
      <c r="E2">
        <v>2014</v>
      </c>
      <c r="F2">
        <v>2015</v>
      </c>
      <c r="G2">
        <v>2016</v>
      </c>
      <c r="H2">
        <v>2017</v>
      </c>
      <c r="I2">
        <v>2018</v>
      </c>
      <c r="J2">
        <v>2019</v>
      </c>
      <c r="K2">
        <v>2020</v>
      </c>
      <c r="L2">
        <v>2021</v>
      </c>
      <c r="M2">
        <v>2022</v>
      </c>
      <c r="N2">
        <v>2023</v>
      </c>
    </row>
    <row r="3" spans="1:14" outlineLevel="1" x14ac:dyDescent="0.3">
      <c r="A3" t="s">
        <v>164</v>
      </c>
    </row>
    <row r="4" spans="1:14" outlineLevel="2" x14ac:dyDescent="0.3">
      <c r="C4" t="s">
        <v>81</v>
      </c>
      <c r="D4" s="3">
        <f>'Cuadro A.15'!B22</f>
        <v>2.98</v>
      </c>
      <c r="E4" s="3">
        <f>'Cuadro A.15'!C22</f>
        <v>3.3</v>
      </c>
      <c r="F4" s="3">
        <f>'Cuadro A.15'!D22</f>
        <v>3.68</v>
      </c>
      <c r="G4" s="3">
        <f>'Cuadro A.15'!E22</f>
        <v>3.91</v>
      </c>
      <c r="H4" s="3">
        <f>'Cuadro A.15'!F22</f>
        <v>3.87</v>
      </c>
      <c r="I4" s="3">
        <f>'Cuadro A.15'!G22</f>
        <v>4.75</v>
      </c>
      <c r="J4" s="3">
        <f>'Cuadro A.15'!H22</f>
        <v>5.17</v>
      </c>
      <c r="K4" s="3">
        <f>'Cuadro A.15'!I22</f>
        <v>5.96</v>
      </c>
      <c r="L4" s="3">
        <f>'Cuadro A.15'!J22</f>
        <v>6.51</v>
      </c>
      <c r="M4" s="3">
        <f>'Cuadro A.15'!K22</f>
        <v>6.72</v>
      </c>
      <c r="N4" s="3">
        <f>'Cuadro A.15'!L22</f>
        <v>8.4700000000000006</v>
      </c>
    </row>
    <row r="5" spans="1:14" outlineLevel="2" x14ac:dyDescent="0.3">
      <c r="C5" t="s">
        <v>83</v>
      </c>
      <c r="D5" s="3">
        <f>CyS!C13+CyS!C45+CyS!C77+CyS!C109+CyS!C141+CyS!C173+CyS!C205+CyS!C237</f>
        <v>13.459999999999999</v>
      </c>
      <c r="E5" s="3">
        <f>CyS!D13+CyS!D45+CyS!D77+CyS!D109+CyS!D141+CyS!D173+CyS!D205+CyS!D237</f>
        <v>13.4</v>
      </c>
      <c r="F5" s="3">
        <f>CyS!E13+CyS!E45+CyS!E77+CyS!E109+CyS!E141+CyS!E173+CyS!E205+CyS!E237</f>
        <v>13.329999999999998</v>
      </c>
      <c r="G5" s="3">
        <f>CyS!F13+CyS!F45+CyS!F77+CyS!F109+CyS!F141+CyS!F173+CyS!F205+CyS!F237</f>
        <v>13.27</v>
      </c>
      <c r="H5" s="3">
        <f>CyS!G13+CyS!G45+CyS!G77+CyS!G109+CyS!G141+CyS!G173+CyS!G205+CyS!G237</f>
        <v>13.2</v>
      </c>
      <c r="I5" s="3">
        <f>CyS!H13+CyS!H45+CyS!H77+CyS!H109+CyS!H141+CyS!H173+CyS!H205+CyS!H237</f>
        <v>13.13</v>
      </c>
      <c r="J5" s="3">
        <f>CyS!I13+CyS!I45+CyS!I77+CyS!I109+CyS!I141+CyS!I173+CyS!I205+CyS!I237</f>
        <v>13.07</v>
      </c>
      <c r="K5" s="3">
        <f>CyS!J13+CyS!J45+CyS!J77+CyS!J109+CyS!J141+CyS!J173+CyS!J205+CyS!J237</f>
        <v>13</v>
      </c>
      <c r="L5" s="3">
        <f>CyS!K13+CyS!K45+CyS!K77+CyS!K109+CyS!K141+CyS!K173+CyS!K205+CyS!K237</f>
        <v>12.95</v>
      </c>
      <c r="M5" s="3">
        <f t="shared" ref="M5:N6" si="0">L5+L5-K5</f>
        <v>12.899999999999999</v>
      </c>
      <c r="N5" s="3">
        <f t="shared" si="0"/>
        <v>12.849999999999998</v>
      </c>
    </row>
    <row r="6" spans="1:14" outlineLevel="2" x14ac:dyDescent="0.3">
      <c r="C6" t="s">
        <v>84</v>
      </c>
      <c r="D6" s="3">
        <f>CyS!C17+CyS!C49+CyS!C81+CyS!C113+CyS!C145+CyS!C177+CyS!C209+CyS!C241</f>
        <v>5.77</v>
      </c>
      <c r="E6" s="3">
        <f>CyS!D17+CyS!D49+CyS!D81+CyS!D113+CyS!D145+CyS!D177+CyS!D209+CyS!D241</f>
        <v>5.85</v>
      </c>
      <c r="F6" s="3">
        <f>CyS!E17+CyS!E49+CyS!E81+CyS!E113+CyS!E145+CyS!E177+CyS!E209+CyS!E241</f>
        <v>5.92</v>
      </c>
      <c r="G6" s="3">
        <f>CyS!F17+CyS!F49+CyS!F81+CyS!F113+CyS!F145+CyS!F177+CyS!F209+CyS!F241</f>
        <v>6</v>
      </c>
      <c r="H6" s="3">
        <f>CyS!G17+CyS!G49+CyS!G81+CyS!G113+CyS!G145+CyS!G177+CyS!G209+CyS!G241</f>
        <v>6.07</v>
      </c>
      <c r="I6" s="3">
        <f>CyS!H17+CyS!H49+CyS!H81+CyS!H113+CyS!H145+CyS!H177+CyS!H209+CyS!H241</f>
        <v>6.15</v>
      </c>
      <c r="J6" s="3">
        <f>CyS!I17+CyS!I49+CyS!I81+CyS!I113+CyS!I145+CyS!I177+CyS!I209+CyS!I241</f>
        <v>6.2200000000000006</v>
      </c>
      <c r="K6" s="3">
        <f>CyS!J17+CyS!J49+CyS!J81+CyS!J113+CyS!J145+CyS!J177+CyS!J209+CyS!J241</f>
        <v>6.3000000000000007</v>
      </c>
      <c r="L6" s="3">
        <f>CyS!K17+CyS!K49+CyS!K81+CyS!K113+CyS!K145+CyS!K177+CyS!K209+CyS!K241</f>
        <v>6.38</v>
      </c>
      <c r="M6" s="3">
        <f t="shared" si="0"/>
        <v>6.4599999999999991</v>
      </c>
      <c r="N6" s="3">
        <f t="shared" si="0"/>
        <v>6.5399999999999983</v>
      </c>
    </row>
    <row r="7" spans="1:14" outlineLevel="2" x14ac:dyDescent="0.3">
      <c r="C7" t="s">
        <v>87</v>
      </c>
      <c r="D7" s="3">
        <f>'Cuadro A.15'!B24</f>
        <v>65.03</v>
      </c>
      <c r="E7" s="3">
        <f>'Cuadro A.15'!C24</f>
        <v>63.32</v>
      </c>
      <c r="F7" s="3">
        <f>'Cuadro A.15'!D24</f>
        <v>63.17</v>
      </c>
      <c r="G7" s="3">
        <f>'Cuadro A.15'!E24</f>
        <v>65.209999999999994</v>
      </c>
      <c r="H7" s="3">
        <f>'Cuadro A.15'!F24</f>
        <v>64.430000000000007</v>
      </c>
      <c r="I7" s="3">
        <f>'Cuadro A.15'!G24</f>
        <v>63.29</v>
      </c>
      <c r="J7" s="3">
        <f>'Cuadro A.15'!H24</f>
        <v>61.89</v>
      </c>
      <c r="K7" s="3">
        <f>'Cuadro A.15'!I24</f>
        <v>76.2</v>
      </c>
      <c r="L7" s="3">
        <f>'Cuadro A.15'!J24</f>
        <v>61.17</v>
      </c>
      <c r="M7" s="3">
        <f>'Cuadro A.15'!K24</f>
        <v>63.22</v>
      </c>
      <c r="N7" s="3">
        <f>'Cuadro A.15'!L24</f>
        <v>58.51</v>
      </c>
    </row>
    <row r="8" spans="1:14" outlineLevel="2" x14ac:dyDescent="0.3">
      <c r="C8" t="s">
        <v>115</v>
      </c>
      <c r="D8" s="3">
        <f>'Cuadro A.15'!B25</f>
        <v>4.4000000000000004</v>
      </c>
      <c r="E8" s="3">
        <f>'Cuadro A.15'!C25</f>
        <v>4.46</v>
      </c>
      <c r="F8" s="3">
        <f>'Cuadro A.15'!D25</f>
        <v>5.22</v>
      </c>
      <c r="G8" s="3">
        <f>'Cuadro A.15'!E25</f>
        <v>1.97</v>
      </c>
      <c r="H8" s="3">
        <f>'Cuadro A.15'!F25</f>
        <v>0</v>
      </c>
      <c r="I8" s="3">
        <f>'Cuadro A.15'!G25</f>
        <v>0</v>
      </c>
      <c r="J8" s="3">
        <f>'Cuadro A.15'!H25</f>
        <v>0</v>
      </c>
      <c r="K8" s="3">
        <f>'Cuadro A.15'!I25</f>
        <v>0</v>
      </c>
      <c r="L8" s="3">
        <f>'Cuadro A.15'!J25</f>
        <v>0</v>
      </c>
      <c r="M8" s="3">
        <f>'Cuadro A.15'!K25</f>
        <v>0</v>
      </c>
      <c r="N8" s="3">
        <f>'Cuadro A.15'!L25</f>
        <v>0</v>
      </c>
    </row>
    <row r="9" spans="1:14" outlineLevel="2" x14ac:dyDescent="0.3">
      <c r="C9" t="s">
        <v>89</v>
      </c>
      <c r="D9" s="3">
        <f>'Cuadro A.15'!B26</f>
        <v>11.1</v>
      </c>
      <c r="E9" s="3">
        <f>'Cuadro A.15'!C26</f>
        <v>13.13</v>
      </c>
      <c r="F9" s="3">
        <f>'Cuadro A.15'!D26</f>
        <v>13.34</v>
      </c>
      <c r="G9" s="3">
        <f>'Cuadro A.15'!E26</f>
        <v>14.38</v>
      </c>
      <c r="H9" s="3">
        <f>'Cuadro A.15'!F26</f>
        <v>13.77</v>
      </c>
      <c r="I9" s="3">
        <f>'Cuadro A.15'!G26</f>
        <v>12.22</v>
      </c>
      <c r="J9" s="3">
        <f>'Cuadro A.15'!H26</f>
        <v>10.96</v>
      </c>
      <c r="K9" s="3">
        <f>'Cuadro A.15'!I26</f>
        <v>9.5</v>
      </c>
      <c r="L9" s="3">
        <f>'Cuadro A.15'!J26</f>
        <v>11.83</v>
      </c>
      <c r="M9" s="3">
        <f>'Cuadro A.15'!K26</f>
        <v>11.99</v>
      </c>
      <c r="N9" s="3">
        <f>'Cuadro A.15'!L26</f>
        <v>13.18</v>
      </c>
    </row>
    <row r="10" spans="1:14" outlineLevel="2" x14ac:dyDescent="0.3">
      <c r="C10" t="s">
        <v>91</v>
      </c>
      <c r="D10" s="3">
        <f>CyS!C28+CyS!C60+CyS!C92+CyS!C124+CyS!C156+CyS!C188+CyS!C220+CyS!C252</f>
        <v>61.219999999999985</v>
      </c>
      <c r="E10" s="3">
        <f>CyS!D28+CyS!D60+CyS!D92+CyS!D124+CyS!D156+CyS!D188+CyS!D220+CyS!D252</f>
        <v>63.570000000000007</v>
      </c>
      <c r="F10" s="3">
        <f>CyS!E28+CyS!E60+CyS!E92+CyS!E124+CyS!E156+CyS!E188+CyS!E220+CyS!E252</f>
        <v>65.210000000000008</v>
      </c>
      <c r="G10" s="3">
        <f>CyS!F28+CyS!F60+CyS!F92+CyS!F124+CyS!F156+CyS!F188+CyS!F220+CyS!F252</f>
        <v>66.69</v>
      </c>
      <c r="H10" s="3">
        <f>CyS!G28+CyS!G60+CyS!G92+CyS!G124+CyS!G156+CyS!G188+CyS!G220+CyS!G252</f>
        <v>68.13</v>
      </c>
      <c r="I10" s="3">
        <f>CyS!H28+CyS!H60+CyS!H92+CyS!H124+CyS!H156+CyS!H188+CyS!H220+CyS!H252</f>
        <v>66.17</v>
      </c>
      <c r="J10" s="3">
        <f>CyS!I28+CyS!I60+CyS!I92+CyS!I124+CyS!I156+CyS!I188+CyS!I220+CyS!I252</f>
        <v>68.099999999999994</v>
      </c>
      <c r="K10" s="3">
        <f>CyS!J28+CyS!J60+CyS!J92+CyS!J124+CyS!J156+CyS!J188+CyS!J220+CyS!J252</f>
        <v>65.8</v>
      </c>
      <c r="L10" s="3">
        <f>CyS!K28+CyS!K60+CyS!K92+CyS!K124+CyS!K156+CyS!K188+CyS!K220+CyS!K252</f>
        <v>71.990000000000009</v>
      </c>
      <c r="M10" s="3">
        <f>M12+M14</f>
        <v>80.177510985352882</v>
      </c>
      <c r="N10" s="3">
        <f>N12+N14</f>
        <v>77.91580925432757</v>
      </c>
    </row>
    <row r="11" spans="1:14" outlineLevel="2" x14ac:dyDescent="0.3">
      <c r="D11" s="3">
        <f>SUM(D4:D10)</f>
        <v>163.95999999999998</v>
      </c>
      <c r="E11" s="3">
        <f t="shared" ref="E11:N11" si="1">SUM(E4:E10)</f>
        <v>167.03</v>
      </c>
      <c r="F11" s="3">
        <f t="shared" si="1"/>
        <v>169.87</v>
      </c>
      <c r="G11" s="3">
        <f t="shared" si="1"/>
        <v>171.42999999999998</v>
      </c>
      <c r="H11" s="3">
        <f t="shared" si="1"/>
        <v>169.47</v>
      </c>
      <c r="I11" s="3">
        <f t="shared" si="1"/>
        <v>165.70999999999998</v>
      </c>
      <c r="J11" s="3">
        <f t="shared" si="1"/>
        <v>165.41</v>
      </c>
      <c r="K11" s="3">
        <f t="shared" si="1"/>
        <v>176.76</v>
      </c>
      <c r="L11" s="3">
        <f t="shared" si="1"/>
        <v>170.83</v>
      </c>
      <c r="M11" s="3">
        <f t="shared" si="1"/>
        <v>181.46751098535287</v>
      </c>
      <c r="N11" s="3">
        <f t="shared" si="1"/>
        <v>177.46580925432758</v>
      </c>
    </row>
    <row r="12" spans="1:14" outlineLevel="2" x14ac:dyDescent="0.3">
      <c r="C12" t="s">
        <v>207</v>
      </c>
      <c r="L12">
        <f>'Cuadro A.15'!J27</f>
        <v>50.8</v>
      </c>
      <c r="M12">
        <f>'Cuadro A.15'!K27</f>
        <v>59.3</v>
      </c>
      <c r="N12">
        <f>'Cuadro A.15'!L27</f>
        <v>56.79</v>
      </c>
    </row>
    <row r="13" spans="1:14" outlineLevel="2" x14ac:dyDescent="0.3">
      <c r="C13" t="s">
        <v>208</v>
      </c>
      <c r="L13">
        <f>'Cuadro A.11'!J12</f>
        <v>300.39999999999998</v>
      </c>
      <c r="M13">
        <f>'Cuadro A.11'!K12</f>
        <v>295.97000000000003</v>
      </c>
      <c r="N13">
        <f>'Cuadro A.11'!L12</f>
        <v>299.49</v>
      </c>
    </row>
    <row r="14" spans="1:14" outlineLevel="2" x14ac:dyDescent="0.3">
      <c r="L14">
        <f>(L10-L12)/L13</f>
        <v>7.0539280958721751E-2</v>
      </c>
      <c r="M14">
        <f>$L14*M13</f>
        <v>20.877510985352878</v>
      </c>
      <c r="N14">
        <f>$L14*N13</f>
        <v>21.125809254327578</v>
      </c>
    </row>
    <row r="15" spans="1:14" outlineLevel="1" collapsed="1" x14ac:dyDescent="0.3">
      <c r="A15" t="s">
        <v>165</v>
      </c>
    </row>
    <row r="16" spans="1:14" hidden="1" outlineLevel="2" x14ac:dyDescent="0.3">
      <c r="C16" t="s">
        <v>69</v>
      </c>
      <c r="D16" s="4">
        <f>D11*(SUM(CyS!C3:C29)/SUM(CyS!C3:C29,CyS!C35:C61,CyS!C67:C93,CyS!C99:C125,CyS!C131:C157,CyS!C163:C189,CyS!C195:C221,CyS!C227:C253))</f>
        <v>18.057621489621493</v>
      </c>
      <c r="E16" s="4">
        <f>E11*(SUM(CyS!D3:D29)/SUM(CyS!D3:D29,CyS!D35:D61,CyS!D67:D93,CyS!D99:D125,CyS!D131:D157,CyS!D163:D189,CyS!D195:D221,CyS!D227:D253))</f>
        <v>18.75020617320947</v>
      </c>
      <c r="F16" s="4">
        <f>F11*(SUM(CyS!E3:E29)/SUM(CyS!E3:E29,CyS!E35:E61,CyS!E67:E93,CyS!E99:E125,CyS!E131:E157,CyS!E163:E189,CyS!E195:E221,CyS!E227:E253))</f>
        <v>19.30546471040644</v>
      </c>
      <c r="G16" s="4">
        <f>G11*(SUM(CyS!F3:F29)/SUM(CyS!F3:F29,CyS!F35:F61,CyS!F67:F93,CyS!F99:F125,CyS!F131:F157,CyS!F163:F189,CyS!F195:F221,CyS!F227:F253))</f>
        <v>20.229398871006481</v>
      </c>
      <c r="H16" s="4">
        <f>H11*(SUM(CyS!G3:G29)/SUM(CyS!G3:G29,CyS!G35:G61,CyS!G67:G93,CyS!G99:G125,CyS!G131:G157,CyS!G163:G189,CyS!G195:G221,CyS!G227:G253))</f>
        <v>20.106779971624494</v>
      </c>
      <c r="I16" s="4">
        <f>I11*(SUM(CyS!H3:H29)/SUM(CyS!H3:H29,CyS!H35:H61,CyS!H67:H93,CyS!H99:H125,CyS!H131:H157,CyS!H163:H189,CyS!H195:H221,CyS!H227:H253))</f>
        <v>19.417350447904763</v>
      </c>
      <c r="J16" s="4">
        <f>J11*(SUM(CyS!I3:I29)/SUM(CyS!I3:I29,CyS!I35:I61,CyS!I67:I93,CyS!I99:I125,CyS!I131:I157,CyS!I163:I189,CyS!I195:I221,CyS!I227:I253))</f>
        <v>19.955043300457056</v>
      </c>
      <c r="K16" s="4">
        <f>K11*(SUM(CyS!J3:J29)/SUM(CyS!J3:J29,CyS!J35:J61,CyS!J67:J93,CyS!J99:J125,CyS!J131:J157,CyS!J163:J189,CyS!J195:J221,CyS!J227:J253))</f>
        <v>21.198074257425741</v>
      </c>
      <c r="L16" s="4">
        <f>L11*(SUM(CyS!K3:K29)/SUM(CyS!K3:K29,CyS!K35:K61,CyS!K67:K93,CyS!K99:K125,CyS!K131:K157,CyS!K163:K189,CyS!K195:K221,CyS!K227:K253))</f>
        <v>21.21</v>
      </c>
      <c r="M16" s="4">
        <f>M11*(SUM(CyS!K3:K29)/SUM(CyS!K3:K29,CyS!K35:K61,CyS!K67:K93,CyS!K99:K125,CyS!K131:K157,CyS!K163:K189,CyS!K195:K221,CyS!K227:K253))</f>
        <v>22.530737622193609</v>
      </c>
      <c r="N16" s="4">
        <f>N11*(SUM(CyS!K3:K29)/SUM(CyS!K3:K29,CyS!K35:K61,CyS!K67:K93,CyS!K99:K125,CyS!K131:K157,CyS!K163:K189,CyS!K195:K221,CyS!K227:K253))</f>
        <v>22.033892257122798</v>
      </c>
    </row>
    <row r="17" spans="2:14" hidden="1" outlineLevel="2" x14ac:dyDescent="0.3">
      <c r="C17" t="s">
        <v>65</v>
      </c>
      <c r="D17" s="4">
        <f>D11*(SUM(CyS!C35:C61)/SUM(CyS!C3:C29,CyS!C35:C61,CyS!C67:C93,CyS!C99:C125,CyS!C131:C157,CyS!C163:C189,CyS!C195:C221,CyS!C227:C253))</f>
        <v>29.729010989010995</v>
      </c>
      <c r="E17" s="4">
        <f>E11*(SUM(CyS!D35:D61)/SUM(CyS!D3:D29,CyS!D35:D61,CyS!D67:D93,CyS!D99:D125,CyS!D131:D157,CyS!D163:D189,CyS!D195:D221,CyS!D227:D253))</f>
        <v>30.893292178603538</v>
      </c>
      <c r="F17" s="4">
        <f>F11*(SUM(CyS!E35:E61)/SUM(CyS!E3:E29,CyS!E35:E61,CyS!E67:E93,CyS!E99:E125,CyS!E131:E157,CyS!E163:E189,CyS!E195:E221,CyS!E227:E253))</f>
        <v>31.807285688930964</v>
      </c>
      <c r="G17" s="4">
        <f>G11*(SUM(CyS!F35:F61)/SUM(CyS!F3:F29,CyS!F35:F61,CyS!F67:F93,CyS!F99:F125,CyS!F131:F157,CyS!F163:F189,CyS!F195:F221,CyS!F227:F253))</f>
        <v>33.303870405957234</v>
      </c>
      <c r="H17" s="4">
        <f>H11*(SUM(CyS!G35:G61)/SUM(CyS!G3:G29,CyS!G35:G61,CyS!G67:G93,CyS!G99:G125,CyS!G131:G157,CyS!G163:G189,CyS!G195:G221,CyS!G227:G253))</f>
        <v>33.120585244738706</v>
      </c>
      <c r="I17" s="4">
        <f>I11*(SUM(CyS!H35:H61)/SUM(CyS!H3:H29,CyS!H35:H61,CyS!H67:H93,CyS!H99:H125,CyS!H131:H157,CyS!H163:H189,CyS!H195:H221,CyS!H227:H253))</f>
        <v>31.990309024228935</v>
      </c>
      <c r="J17" s="4">
        <f>J11*(SUM(CyS!I35:I61)/SUM(CyS!I3:I29,CyS!I35:I61,CyS!I67:I93,CyS!I99:I125,CyS!I131:I157,CyS!I163:I189,CyS!I195:I221,CyS!I227:I253))</f>
        <v>32.877077820543654</v>
      </c>
      <c r="K17" s="4">
        <f>K11*(SUM(CyS!J35:J61)/SUM(CyS!J3:J29,CyS!J35:J61,CyS!J67:J93,CyS!J99:J125,CyS!J131:J157,CyS!J163:J189,CyS!J195:J221,CyS!J227:J253))</f>
        <v>34.925413366336635</v>
      </c>
      <c r="L17" s="4">
        <f>L11*(SUM(CyS!K35:K61)/SUM(CyS!K3:K29,CyS!K35:K61,CyS!K67:K93,CyS!K99:K125,CyS!K131:K157,CyS!K163:K189,CyS!K195:K221,CyS!K227:K253))</f>
        <v>34.94</v>
      </c>
      <c r="M17" s="4">
        <f>M11*(SUM(CyS!K35:K61)/SUM(CyS!K3:K29,CyS!K35:K61,CyS!K67:K93,CyS!K99:K125,CyS!K131:K157,CyS!K163:K189,CyS!K195:K221,CyS!K227:K253))</f>
        <v>37.115698845801255</v>
      </c>
      <c r="N17" s="4">
        <f>N11*(SUM(CyS!K35:K61)/SUM(CyS!K3:K29,CyS!K35:K61,CyS!K67:K93,CyS!K99:K125,CyS!K131:K157,CyS!K163:K189,CyS!K195:K221,CyS!K227:K253))</f>
        <v>36.29722750890479</v>
      </c>
    </row>
    <row r="18" spans="2:14" hidden="1" outlineLevel="2" x14ac:dyDescent="0.3">
      <c r="C18" t="s">
        <v>171</v>
      </c>
      <c r="D18" s="4">
        <f>D11*(SUM(CyS!C67:C93)/SUM(CyS!C3:C29,CyS!C35:C61,CyS!C67:C93,CyS!C99:C125,CyS!C131:C157,CyS!C163:C189,CyS!C195:C221,CyS!C227:C253))</f>
        <v>5.5253919413919412</v>
      </c>
      <c r="E18" s="4">
        <f>E11*(SUM(CyS!D67:D93)/SUM(CyS!D3:D29,CyS!D35:D61,CyS!D67:D93,CyS!D99:D125,CyS!D131:D157,CyS!D163:D189,CyS!D195:D221,CyS!D227:D253))</f>
        <v>5.7361816002397363</v>
      </c>
      <c r="F18" s="4">
        <f>F11*(SUM(CyS!E67:E93)/SUM(CyS!E3:E29,CyS!E35:E61,CyS!E67:E93,CyS!E99:E125,CyS!E131:E157,CyS!E163:E189,CyS!E195:E221,CyS!E227:E253))</f>
        <v>5.9092208483701132</v>
      </c>
      <c r="G18" s="4">
        <f>G11*(SUM(CyS!F67:F93)/SUM(CyS!F3:F29,CyS!F35:F61,CyS!F67:F93,CyS!F99:F125,CyS!F131:F157,CyS!F163:F189,CyS!F195:F221,CyS!F227:F253))</f>
        <v>6.1975054047561837</v>
      </c>
      <c r="H18" s="4">
        <f>H11*(SUM(CyS!G67:G93)/SUM(CyS!G3:G29,CyS!G35:G61,CyS!G67:G93,CyS!G99:G125,CyS!G131:G157,CyS!G163:G189,CyS!G195:G221,CyS!G227:G253))</f>
        <v>6.1612703948924086</v>
      </c>
      <c r="I18" s="4">
        <f>I11*(SUM(CyS!H67:H93)/SUM(CyS!H3:H29,CyS!H35:H61,CyS!H67:H93,CyS!H99:H125,CyS!H131:H157,CyS!H163:H189,CyS!H195:H221,CyS!H227:H253))</f>
        <v>5.9477466482294226</v>
      </c>
      <c r="J18" s="4">
        <f>J11*(SUM(CyS!I67:I93)/SUM(CyS!I3:I29,CyS!I35:I61,CyS!I67:I93,CyS!I99:I125,CyS!I131:I157,CyS!I163:I189,CyS!I195:I221,CyS!I227:I253))</f>
        <v>6.1078746692326193</v>
      </c>
      <c r="K18" s="4">
        <f>K11*(SUM(CyS!J67:J93)/SUM(CyS!J3:J29,CyS!J35:J61,CyS!J67:J93,CyS!J99:J125,CyS!J131:J157,CyS!J163:J189,CyS!J195:J221,CyS!J227:J253))</f>
        <v>6.4972425742574265</v>
      </c>
      <c r="L18" s="4">
        <f>L11*(SUM(CyS!K67:K93)/SUM(CyS!K3:K29,CyS!K35:K61,CyS!K67:K93,CyS!K99:K125,CyS!K131:K157,CyS!K163:K189,CyS!K195:K221,CyS!K227:K253))</f>
        <v>6.49</v>
      </c>
      <c r="M18" s="4">
        <f>M11*(SUM(CyS!K67:K93)/SUM(CyS!K3:K29,CyS!K35:K61,CyS!K67:K93,CyS!K99:K125,CyS!K131:K157,CyS!K163:K189,CyS!K195:K221,CyS!K227:K253))</f>
        <v>6.8941295223025234</v>
      </c>
      <c r="N18" s="4">
        <f>N11*(SUM(CyS!K67:K93)/SUM(CyS!K3:K29,CyS!K35:K61,CyS!K67:K93,CyS!K99:K125,CyS!K131:K157,CyS!K163:K189,CyS!K195:K221,CyS!K227:K253))</f>
        <v>6.7421009311045248</v>
      </c>
    </row>
    <row r="19" spans="2:14" hidden="1" outlineLevel="2" x14ac:dyDescent="0.3">
      <c r="C19" t="s">
        <v>209</v>
      </c>
      <c r="D19" s="4">
        <f>D11*(SUM(CyS!C99:C125)/SUM(CyS!C3:C29,CyS!C35:C61,CyS!C67:C93,CyS!C99:C125,CyS!C131:C157,CyS!C163:C189,CyS!C195:C221,CyS!C227:C253))</f>
        <v>13.383059829059832</v>
      </c>
      <c r="E19" s="4">
        <f>E11*(SUM(CyS!D99:D125)/SUM(CyS!D3:D29,CyS!D35:D61,CyS!D67:D93,CyS!D99:D125,CyS!D131:D157,CyS!D163:D189,CyS!D195:D221,CyS!D227:D253))</f>
        <v>14.595729097992207</v>
      </c>
      <c r="F19" s="4">
        <f>F11*(SUM(CyS!E99:E125)/SUM(CyS!E3:E29,CyS!E35:E61,CyS!E67:E93,CyS!E99:E125,CyS!E131:E157,CyS!E163:E189,CyS!E195:E221,CyS!E227:E253))</f>
        <v>15.617226527835298</v>
      </c>
      <c r="G19" s="4">
        <f>G11*(SUM(CyS!F99:F125)/SUM(CyS!F3:F29,CyS!F35:F61,CyS!F67:F93,CyS!F99:F125,CyS!F131:F157,CyS!F163:F189,CyS!F195:F221,CyS!F227:F253))</f>
        <v>13.259779005524859</v>
      </c>
      <c r="H19" s="4">
        <f>H11*(SUM(CyS!G99:G125)/SUM(CyS!G3:G29,CyS!G35:G61,CyS!G67:G93,CyS!G99:G125,CyS!G131:G157,CyS!G163:G189,CyS!G195:G221,CyS!G227:G253))</f>
        <v>12.873548711279263</v>
      </c>
      <c r="I19" s="4">
        <f>I11*(SUM(CyS!H99:H125)/SUM(CyS!H3:H29,CyS!H35:H61,CyS!H67:H93,CyS!H99:H125,CyS!H131:H157,CyS!H163:H189,CyS!H195:H221,CyS!H227:H253))</f>
        <v>10.919146275476461</v>
      </c>
      <c r="J19" s="4">
        <f>J11*(SUM(CyS!I99:I125)/SUM(CyS!I3:I29,CyS!I35:I61,CyS!I67:I93,CyS!I99:I125,CyS!I131:I157,CyS!I163:I189,CyS!I195:I221,CyS!I227:I253))</f>
        <v>9.8680971854702904</v>
      </c>
      <c r="K19" s="4">
        <f>K11*(SUM(CyS!J99:J125)/SUM(CyS!J3:J29,CyS!J35:J61,CyS!J67:J93,CyS!J99:J125,CyS!J131:J157,CyS!J163:J189,CyS!J195:J221,CyS!J227:J253))</f>
        <v>9.2208341584158404</v>
      </c>
      <c r="L19" s="4">
        <f>L11*(SUM(CyS!K99:K125)/SUM(CyS!K3:K29,CyS!K35:K61,CyS!K67:K93,CyS!K99:K125,CyS!K131:K157,CyS!K163:K189,CyS!K195:K221,CyS!K227:K253))</f>
        <v>9.94</v>
      </c>
      <c r="M19" s="4">
        <f>M11*(SUM(CyS!K99:K125)/SUM(CyS!K3:K29,CyS!K35:K61,CyS!K67:K93,CyS!K99:K125,CyS!K131:K157,CyS!K163:K189,CyS!K195:K221,CyS!K227:K253))</f>
        <v>10.558959545714496</v>
      </c>
      <c r="N19" s="4">
        <f>N11*(SUM(CyS!K99:K125)/SUM(CyS!K3:K29,CyS!K35:K61,CyS!K67:K93,CyS!K99:K125,CyS!K131:K157,CyS!K163:K189,CyS!K195:K221,CyS!K227:K253))</f>
        <v>10.326114523140058</v>
      </c>
    </row>
    <row r="20" spans="2:14" hidden="1" outlineLevel="2" x14ac:dyDescent="0.3">
      <c r="C20" t="s">
        <v>210</v>
      </c>
      <c r="D20" s="4">
        <f>D11*(SUM(CyS!C131:C157)/SUM(CyS!C3:C29,CyS!C35:C61,CyS!C67:C93,CyS!C99:C125,CyS!C131:C157,CyS!C163:C189,CyS!C195:C221,CyS!C227:C253))</f>
        <v>1.7617191697191701</v>
      </c>
      <c r="E20" s="4">
        <f>E11*(SUM(CyS!D131:D157)/SUM(CyS!D3:D29,CyS!D35:D61,CyS!D67:D93,CyS!D99:D125,CyS!D131:D157,CyS!D163:D189,CyS!D195:D221,CyS!D227:D253))</f>
        <v>1.8219634402157627</v>
      </c>
      <c r="F20" s="4">
        <f>F11*(SUM(CyS!E131:E157)/SUM(CyS!E3:E29,CyS!E35:E61,CyS!E67:E93,CyS!E99:E125,CyS!E131:E157,CyS!E163:E189,CyS!E195:E221,CyS!E227:E253))</f>
        <v>1.8792930249068216</v>
      </c>
      <c r="G20" s="4">
        <f>G11*(SUM(CyS!F131:F157)/SUM(CyS!F3:F29,CyS!F35:F61,CyS!F67:F93,CyS!F99:F125,CyS!F131:F157,CyS!F163:F189,CyS!F195:F221,CyS!F227:F253))</f>
        <v>1.9663181599807829</v>
      </c>
      <c r="H20" s="4">
        <f>H11*(SUM(CyS!G131:G157)/SUM(CyS!G3:G29,CyS!G35:G61,CyS!G67:G93,CyS!G99:G125,CyS!G131:G157,CyS!G163:G189,CyS!G195:G221,CyS!G227:G253))</f>
        <v>1.9435552139985808</v>
      </c>
      <c r="I20" s="4">
        <f>I11*(SUM(CyS!H131:H157)/SUM(CyS!H3:H29,CyS!H35:H61,CyS!H67:H93,CyS!H99:H125,CyS!H131:H157,CyS!H163:H189,CyS!H195:H221,CyS!H227:H253))</f>
        <v>1.8829549690374554</v>
      </c>
      <c r="J20" s="4">
        <f>J11*(SUM(CyS!I131:I157)/SUM(CyS!I3:I29,CyS!I35:I61,CyS!I67:I93,CyS!I99:I125,CyS!I131:I157,CyS!I163:I189,CyS!I195:I221,CyS!I227:I253))</f>
        <v>1.9298496511907626</v>
      </c>
      <c r="K20" s="4">
        <f>K11*(SUM(CyS!J131:J157)/SUM(CyS!J3:J29,CyS!J35:J61,CyS!J67:J93,CyS!J99:J125,CyS!J131:J157,CyS!J163:J189,CyS!J195:J221,CyS!J227:J253))</f>
        <v>2.0563663366336633</v>
      </c>
      <c r="L20" s="4">
        <f>L11*(SUM(CyS!K131:K157)/SUM(CyS!K3:K29,CyS!K35:K61,CyS!K67:K93,CyS!K99:K125,CyS!K131:K157,CyS!K163:K189,CyS!K195:K221,CyS!K227:K253))</f>
        <v>2.06</v>
      </c>
      <c r="M20" s="4">
        <f>M11*(SUM(CyS!K131:K157)/SUM(CyS!K3:K29,CyS!K35:K61,CyS!K67:K93,CyS!K99:K125,CyS!K131:K157,CyS!K163:K189,CyS!K195:K221,CyS!K227:K253))</f>
        <v>2.1882753183271491</v>
      </c>
      <c r="N20" s="4">
        <f>N11*(SUM(CyS!K131:K157)/SUM(CyS!K3:K29,CyS!K35:K61,CyS!K67:K93,CyS!K99:K125,CyS!K131:K157,CyS!K163:K189,CyS!K195:K221,CyS!K227:K253))</f>
        <v>2.1400197100270142</v>
      </c>
    </row>
    <row r="21" spans="2:14" hidden="1" outlineLevel="2" x14ac:dyDescent="0.3">
      <c r="C21" t="s">
        <v>166</v>
      </c>
      <c r="D21" s="4">
        <f>D11*(SUM(CyS!C163:C189)/SUM(CyS!C3:C29,CyS!C35:C61,CyS!C67:C93,CyS!C99:C125,CyS!C131:C157,CyS!C163:C189,CyS!C195:C221,CyS!C227:C253))</f>
        <v>2.7827155067155074</v>
      </c>
      <c r="E21" s="4">
        <f>E11*(SUM(CyS!D163:D189)/SUM(CyS!D3:D29,CyS!D35:D61,CyS!D67:D93,CyS!D99:D125,CyS!D131:D157,CyS!D163:D189,CyS!D195:D221,CyS!D227:D253))</f>
        <v>2.8831069823194486</v>
      </c>
      <c r="F21" s="4">
        <f>F11*(SUM(CyS!E163:E189)/SUM(CyS!E3:E29,CyS!E35:E61,CyS!E67:E93,CyS!E99:E125,CyS!E131:E157,CyS!E163:E189,CyS!E195:E221,CyS!E227:E253))</f>
        <v>2.9747098148257711</v>
      </c>
      <c r="G21" s="4">
        <f>G11*(SUM(CyS!F163:F189)/SUM(CyS!F3:F29,CyS!F35:F61,CyS!F67:F93,CyS!F99:F125,CyS!F131:F157,CyS!F163:F189,CyS!F195:F221,CyS!F227:F253))</f>
        <v>3.1193424213307703</v>
      </c>
      <c r="H21" s="4">
        <f>H11*(SUM(CyS!G163:G189)/SUM(CyS!G3:G29,CyS!G35:G61,CyS!G67:G93,CyS!G99:G125,CyS!G131:G157,CyS!G163:G189,CyS!G195:G221,CyS!G227:G253))</f>
        <v>3.0956626862142342</v>
      </c>
      <c r="I21" s="4">
        <f>I11*(SUM(CyS!H163:H189)/SUM(CyS!H3:H29,CyS!H35:H61,CyS!H67:H93,CyS!H99:H125,CyS!H131:H157,CyS!H163:H189,CyS!H195:H221,CyS!H227:H253))</f>
        <v>2.9987801358744659</v>
      </c>
      <c r="J21" s="4">
        <f>J11*(SUM(CyS!I163:I189)/SUM(CyS!I3:I29,CyS!I35:I61,CyS!I67:I93,CyS!I99:I125,CyS!I131:I157,CyS!I163:I189,CyS!I195:I221,CyS!I227:I253))</f>
        <v>3.0738326918450802</v>
      </c>
      <c r="K21" s="4">
        <f>K11*(SUM(CyS!J163:J189)/SUM(CyS!J3:J29,CyS!J35:J61,CyS!J67:J93,CyS!J99:J125,CyS!J131:J157,CyS!J163:J189,CyS!J195:J221,CyS!J227:J253))</f>
        <v>3.2704975247524755</v>
      </c>
      <c r="L21" s="4">
        <f>L11*(SUM(CyS!K163:K189)/SUM(CyS!K3:K29,CyS!K35:K61,CyS!K67:K93,CyS!K99:K125,CyS!K131:K157,CyS!K163:K189,CyS!K195:K221,CyS!K227:K253))</f>
        <v>3.2699999999999996</v>
      </c>
      <c r="M21" s="4">
        <f>M11*(SUM(CyS!K163:K189)/SUM(CyS!K3:K29,CyS!K35:K61,CyS!K67:K93,CyS!K99:K125,CyS!K131:K157,CyS!K163:K189,CyS!K195:K221,CyS!K227:K253))</f>
        <v>3.473621500451348</v>
      </c>
      <c r="N21" s="4">
        <f>N11*(SUM(CyS!K163:K189)/SUM(CyS!K3:K29,CyS!K35:K61,CyS!K67:K93,CyS!K99:K125,CyS!K131:K157,CyS!K163:K189,CyS!K195:K221,CyS!K227:K253))</f>
        <v>3.3970215785380269</v>
      </c>
    </row>
    <row r="22" spans="2:14" hidden="1" outlineLevel="2" x14ac:dyDescent="0.3">
      <c r="C22" t="s">
        <v>75</v>
      </c>
      <c r="D22" s="4">
        <f>D11*(SUM(CyS!C195:C221)/SUM(CyS!C3:C29,CyS!C35:C61,CyS!C67:C93,CyS!C99:C125,CyS!C131:C157,CyS!C163:C189,CyS!C195:C221,CyS!C227:C253))</f>
        <v>32.241462759462756</v>
      </c>
      <c r="E22" s="4">
        <f>E11*(SUM(CyS!D195:D221)/SUM(CyS!D3:D29,CyS!D35:D61,CyS!D67:D93,CyS!D99:D125,CyS!D131:D157,CyS!D163:D189,CyS!D195:D221,CyS!D227:D253))</f>
        <v>32.44496433922685</v>
      </c>
      <c r="F22" s="4">
        <f>F11*(SUM(CyS!E195:E221)/SUM(CyS!E3:E29,CyS!E35:E61,CyS!E67:E93,CyS!E99:E125,CyS!E131:E157,CyS!E163:E189,CyS!E195:E221,CyS!E227:E253))</f>
        <v>32.812255220966698</v>
      </c>
      <c r="G22" s="4">
        <f>G11*(SUM(CyS!F195:F221)/SUM(CyS!F3:F29,CyS!F35:F61,CyS!F67:F93,CyS!F99:F125,CyS!F131:F157,CyS!F163:F189,CyS!F195:F221,CyS!F227:F253))</f>
        <v>33.427408719673309</v>
      </c>
      <c r="H22" s="4">
        <f>H11*(SUM(CyS!G195:G221)/SUM(CyS!G3:G29,CyS!G35:G61,CyS!G67:G93,CyS!G99:G125,CyS!G131:G157,CyS!G163:G189,CyS!G195:G221,CyS!G227:G253))</f>
        <v>32.920218727831639</v>
      </c>
      <c r="I22" s="4">
        <f>I11*(SUM(CyS!H195:H221)/SUM(CyS!H3:H29,CyS!H35:H61,CyS!H67:H93,CyS!H99:H125,CyS!H131:H157,CyS!H163:H189,CyS!H195:H221,CyS!H227:H253))</f>
        <v>33.504643179222029</v>
      </c>
      <c r="J22" s="4">
        <f>J11*(SUM(CyS!I195:I221)/SUM(CyS!I3:I29,CyS!I35:I61,CyS!I67:I93,CyS!I99:I125,CyS!I131:I157,CyS!I163:I189,CyS!I195:I221,CyS!I227:I253))</f>
        <v>33.344618715419777</v>
      </c>
      <c r="K22" s="4">
        <f>K11*(SUM(CyS!J195:J221)/SUM(CyS!J3:J29,CyS!J35:J61,CyS!J67:J93,CyS!J99:J125,CyS!J131:J157,CyS!J163:J189,CyS!J195:J221,CyS!J227:J253))</f>
        <v>36.71926485148515</v>
      </c>
      <c r="L22" s="4">
        <f>L11*(SUM(CyS!K195:K221)/SUM(CyS!K3:K29,CyS!K35:K61,CyS!K67:K93,CyS!K99:K125,CyS!K131:K157,CyS!K163:K189,CyS!K195:K221,CyS!K227:K253))</f>
        <v>34.74</v>
      </c>
      <c r="M22" s="4">
        <f>M11*(SUM(CyS!K195:K221)/SUM(CyS!K3:K29,CyS!K35:K61,CyS!K67:K93,CyS!K99:K125,CyS!K131:K157,CyS!K163:K189,CyS!K195:K221,CyS!K227:K253))</f>
        <v>36.903244931400565</v>
      </c>
      <c r="N22" s="4">
        <f>N11*(SUM(CyS!K195:K221)/SUM(CyS!K3:K29,CyS!K35:K61,CyS!K67:K93,CyS!K99:K125,CyS!K131:K157,CyS!K163:K189,CyS!K195:K221,CyS!K227:K253))</f>
        <v>36.08945860501867</v>
      </c>
    </row>
    <row r="23" spans="2:14" hidden="1" outlineLevel="2" x14ac:dyDescent="0.3">
      <c r="C23" t="s">
        <v>62</v>
      </c>
      <c r="D23" s="4">
        <f>D11*(SUM(CyS!C227:C253)/SUM(CyS!C3:C29,CyS!C35:C61,CyS!C67:C93,CyS!C99:C125,CyS!C131:C157,CyS!C163:C189,CyS!C195:C221,CyS!C227:C253))</f>
        <v>60.479018315018322</v>
      </c>
      <c r="E23" s="4">
        <f>E11*(SUM(CyS!D227:D253)/SUM(CyS!D3:D29,CyS!D35:D61,CyS!D67:D93,CyS!D99:D125,CyS!D131:D157,CyS!D163:D189,CyS!D195:D221,CyS!D227:D253))</f>
        <v>59.904556188192984</v>
      </c>
      <c r="F23" s="4">
        <f>F11*(SUM(CyS!E227:E253)/SUM(CyS!E3:E29,CyS!E35:E61,CyS!E67:E93,CyS!E99:E125,CyS!E131:E157,CyS!E163:E189,CyS!E195:E221,CyS!E227:E253))</f>
        <v>59.564544163757922</v>
      </c>
      <c r="G23" s="4">
        <f>G11*(SUM(CyS!F227:F253)/SUM(CyS!F3:F29,CyS!F35:F61,CyS!F67:F93,CyS!F99:F125,CyS!F131:F157,CyS!F163:F189,CyS!F195:F221,CyS!F227:F253))</f>
        <v>59.926377011770334</v>
      </c>
      <c r="H23" s="4">
        <f>H11*(SUM(CyS!G227:G253)/SUM(CyS!G3:G29,CyS!G35:G61,CyS!G67:G93,CyS!G99:G125,CyS!G131:G157,CyS!G163:G189,CyS!G195:G221,CyS!G227:G253))</f>
        <v>59.248379049420656</v>
      </c>
      <c r="I23" s="4">
        <f>I11*(SUM(CyS!H227:H253)/SUM(CyS!H3:H29,CyS!H35:H61,CyS!H67:H93,CyS!H99:H125,CyS!H131:H157,CyS!H163:H189,CyS!H195:H221,CyS!H227:H253))</f>
        <v>59.049069320026447</v>
      </c>
      <c r="J23" s="4">
        <f>J11*(SUM(CyS!I227:I253)/SUM(CyS!I3:I29,CyS!I35:I61,CyS!I67:I93,CyS!I99:I125,CyS!I131:I157,CyS!I163:I189,CyS!I195:I221,CyS!I227:I253))</f>
        <v>58.253605965840741</v>
      </c>
      <c r="K23" s="4">
        <f>K11*(SUM(CyS!J227:J253)/SUM(CyS!J3:J29,CyS!J35:J61,CyS!J67:J93,CyS!J99:J125,CyS!J131:J157,CyS!J163:J189,CyS!J195:J221,CyS!J227:J253))</f>
        <v>62.872306930693071</v>
      </c>
      <c r="L23" s="4">
        <f>L11*(SUM(CyS!K227:K253)/SUM(CyS!K3:K29,CyS!K35:K61,CyS!K67:K93,CyS!K99:K125,CyS!K131:K157,CyS!K163:K189,CyS!K195:K221,CyS!K227:K253))</f>
        <v>58.18</v>
      </c>
      <c r="M23" s="4">
        <f>M11*(SUM(CyS!K227:K253)/SUM(CyS!K3:K29,CyS!K35:K61,CyS!K67:K93,CyS!K99:K125,CyS!K131:K157,CyS!K163:K189,CyS!K195:K221,CyS!K227:K253))</f>
        <v>61.802843699161912</v>
      </c>
      <c r="N23" s="4">
        <f>N11*(SUM(CyS!K227:K253)/SUM(CyS!K3:K29,CyS!K35:K61,CyS!K67:K93,CyS!K99:K125,CyS!K131:K157,CyS!K163:K189,CyS!K195:K221,CyS!K227:K253))</f>
        <v>60.439974140471683</v>
      </c>
    </row>
    <row r="24" spans="2:14" hidden="1" outlineLevel="2" x14ac:dyDescent="0.3">
      <c r="D24" s="4">
        <f>SUM(D16:D23)</f>
        <v>163.96</v>
      </c>
      <c r="E24" s="4">
        <f t="shared" ref="E24:N24" si="2">SUM(E16:E23)</f>
        <v>167.03000000000003</v>
      </c>
      <c r="F24" s="4">
        <f t="shared" si="2"/>
        <v>169.87</v>
      </c>
      <c r="G24" s="4">
        <f t="shared" si="2"/>
        <v>171.42999999999995</v>
      </c>
      <c r="H24" s="4">
        <f t="shared" si="2"/>
        <v>169.46999999999997</v>
      </c>
      <c r="I24" s="4">
        <f t="shared" si="2"/>
        <v>165.70999999999998</v>
      </c>
      <c r="J24" s="4">
        <f t="shared" si="2"/>
        <v>165.41</v>
      </c>
      <c r="K24" s="4">
        <f t="shared" si="2"/>
        <v>176.76</v>
      </c>
      <c r="L24" s="4">
        <f t="shared" si="2"/>
        <v>170.83</v>
      </c>
      <c r="M24" s="4">
        <f t="shared" si="2"/>
        <v>181.46751098535285</v>
      </c>
      <c r="N24" s="4">
        <f t="shared" si="2"/>
        <v>177.46580925432758</v>
      </c>
    </row>
    <row r="25" spans="2:14" hidden="1" outlineLevel="2" x14ac:dyDescent="0.3"/>
    <row r="26" spans="2:14" hidden="1" outlineLevel="2" x14ac:dyDescent="0.3">
      <c r="B26" t="s">
        <v>69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2:14" hidden="1" outlineLevel="2" x14ac:dyDescent="0.3">
      <c r="C27" t="s">
        <v>91</v>
      </c>
      <c r="D27" s="3">
        <f>D16</f>
        <v>18.057621489621493</v>
      </c>
      <c r="E27" s="3">
        <f t="shared" ref="E27:N27" si="3">E16</f>
        <v>18.75020617320947</v>
      </c>
      <c r="F27" s="3">
        <f t="shared" si="3"/>
        <v>19.30546471040644</v>
      </c>
      <c r="G27" s="3">
        <f t="shared" si="3"/>
        <v>20.229398871006481</v>
      </c>
      <c r="H27" s="3">
        <f t="shared" si="3"/>
        <v>20.106779971624494</v>
      </c>
      <c r="I27" s="3">
        <f t="shared" si="3"/>
        <v>19.417350447904763</v>
      </c>
      <c r="J27" s="3">
        <f t="shared" si="3"/>
        <v>19.955043300457056</v>
      </c>
      <c r="K27" s="3">
        <f t="shared" si="3"/>
        <v>21.198074257425741</v>
      </c>
      <c r="L27" s="3">
        <f t="shared" si="3"/>
        <v>21.21</v>
      </c>
      <c r="M27" s="3">
        <f t="shared" si="3"/>
        <v>22.530737622193609</v>
      </c>
      <c r="N27" s="3">
        <f t="shared" si="3"/>
        <v>22.033892257122798</v>
      </c>
    </row>
    <row r="28" spans="2:14" hidden="1" outlineLevel="2" x14ac:dyDescent="0.3">
      <c r="B28" t="s">
        <v>65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2:14" hidden="1" outlineLevel="2" x14ac:dyDescent="0.3">
      <c r="C29" t="s">
        <v>91</v>
      </c>
      <c r="D29" s="3">
        <f>D17</f>
        <v>29.729010989010995</v>
      </c>
      <c r="E29" s="3">
        <f t="shared" ref="E29:N29" si="4">E17</f>
        <v>30.893292178603538</v>
      </c>
      <c r="F29" s="3">
        <f t="shared" si="4"/>
        <v>31.807285688930964</v>
      </c>
      <c r="G29" s="3">
        <f t="shared" si="4"/>
        <v>33.303870405957234</v>
      </c>
      <c r="H29" s="3">
        <f t="shared" si="4"/>
        <v>33.120585244738706</v>
      </c>
      <c r="I29" s="3">
        <f t="shared" si="4"/>
        <v>31.990309024228935</v>
      </c>
      <c r="J29" s="3">
        <f t="shared" si="4"/>
        <v>32.877077820543654</v>
      </c>
      <c r="K29" s="3">
        <f t="shared" si="4"/>
        <v>34.925413366336635</v>
      </c>
      <c r="L29" s="3">
        <f t="shared" si="4"/>
        <v>34.94</v>
      </c>
      <c r="M29" s="3">
        <f t="shared" si="4"/>
        <v>37.115698845801255</v>
      </c>
      <c r="N29" s="3">
        <f t="shared" si="4"/>
        <v>36.29722750890479</v>
      </c>
    </row>
    <row r="30" spans="2:14" hidden="1" outlineLevel="2" x14ac:dyDescent="0.3">
      <c r="B30" t="s">
        <v>171</v>
      </c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</row>
    <row r="31" spans="2:14" hidden="1" outlineLevel="2" x14ac:dyDescent="0.3">
      <c r="C31" t="s">
        <v>91</v>
      </c>
      <c r="D31" s="3">
        <f>D18</f>
        <v>5.5253919413919412</v>
      </c>
      <c r="E31" s="3">
        <f t="shared" ref="E31:N31" si="5">E18</f>
        <v>5.7361816002397363</v>
      </c>
      <c r="F31" s="3">
        <f t="shared" si="5"/>
        <v>5.9092208483701132</v>
      </c>
      <c r="G31" s="3">
        <f t="shared" si="5"/>
        <v>6.1975054047561837</v>
      </c>
      <c r="H31" s="3">
        <f t="shared" si="5"/>
        <v>6.1612703948924086</v>
      </c>
      <c r="I31" s="3">
        <f t="shared" si="5"/>
        <v>5.9477466482294226</v>
      </c>
      <c r="J31" s="3">
        <f t="shared" si="5"/>
        <v>6.1078746692326193</v>
      </c>
      <c r="K31" s="3">
        <f t="shared" si="5"/>
        <v>6.4972425742574265</v>
      </c>
      <c r="L31" s="3">
        <f t="shared" si="5"/>
        <v>6.49</v>
      </c>
      <c r="M31" s="3">
        <f t="shared" si="5"/>
        <v>6.8941295223025234</v>
      </c>
      <c r="N31" s="3">
        <f t="shared" si="5"/>
        <v>6.7421009311045248</v>
      </c>
    </row>
    <row r="32" spans="2:14" hidden="1" outlineLevel="2" x14ac:dyDescent="0.3">
      <c r="B32" t="s">
        <v>209</v>
      </c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</row>
    <row r="33" spans="2:14" hidden="1" outlineLevel="2" x14ac:dyDescent="0.3">
      <c r="C33" t="s">
        <v>87</v>
      </c>
      <c r="D33" s="3">
        <f>D19-D34-D35</f>
        <v>4.6416209742240069</v>
      </c>
      <c r="E33" s="3">
        <f t="shared" ref="E33:N33" si="6">E19-E34-E35</f>
        <v>5.6285711564551679</v>
      </c>
      <c r="F33" s="3">
        <f t="shared" si="6"/>
        <v>5.8923606499506445</v>
      </c>
      <c r="G33" s="3">
        <f t="shared" si="6"/>
        <v>7.4690278503906864</v>
      </c>
      <c r="H33" s="3">
        <f t="shared" si="6"/>
        <v>8.0633289854956267</v>
      </c>
      <c r="I33" s="3">
        <f t="shared" si="6"/>
        <v>6.0711196416761775</v>
      </c>
      <c r="J33" s="3">
        <f t="shared" si="6"/>
        <v>4.8275072982879568</v>
      </c>
      <c r="K33" s="3">
        <f t="shared" si="6"/>
        <v>7.4731653783799459</v>
      </c>
      <c r="L33" s="3">
        <f t="shared" si="6"/>
        <v>4.7999999999999945</v>
      </c>
      <c r="M33" s="3">
        <f t="shared" si="6"/>
        <v>3.062286040411264</v>
      </c>
      <c r="N33" s="3">
        <f t="shared" si="6"/>
        <v>3.2661246638903645</v>
      </c>
    </row>
    <row r="34" spans="2:14" hidden="1" outlineLevel="2" x14ac:dyDescent="0.3">
      <c r="C34" t="s">
        <v>115</v>
      </c>
      <c r="D34" s="3">
        <f>D8</f>
        <v>4.4000000000000004</v>
      </c>
      <c r="E34" s="3">
        <f t="shared" ref="E34:N34" si="7">E8</f>
        <v>4.46</v>
      </c>
      <c r="F34" s="3">
        <f t="shared" si="7"/>
        <v>5.22</v>
      </c>
      <c r="G34" s="3">
        <f t="shared" si="7"/>
        <v>1.97</v>
      </c>
      <c r="H34" s="3">
        <f t="shared" si="7"/>
        <v>0</v>
      </c>
      <c r="I34" s="3">
        <f t="shared" si="7"/>
        <v>0</v>
      </c>
      <c r="J34" s="3">
        <f t="shared" si="7"/>
        <v>0</v>
      </c>
      <c r="K34" s="3">
        <f t="shared" si="7"/>
        <v>0</v>
      </c>
      <c r="L34" s="3">
        <f t="shared" si="7"/>
        <v>0</v>
      </c>
      <c r="M34" s="3">
        <f t="shared" si="7"/>
        <v>0</v>
      </c>
      <c r="N34" s="3">
        <f t="shared" si="7"/>
        <v>0</v>
      </c>
    </row>
    <row r="35" spans="2:14" hidden="1" outlineLevel="2" x14ac:dyDescent="0.3">
      <c r="C35" t="s">
        <v>91</v>
      </c>
      <c r="D35" s="3">
        <f t="shared" ref="D35:K35" si="8">D65*D66</f>
        <v>4.3414388548358245</v>
      </c>
      <c r="E35" s="3">
        <f t="shared" si="8"/>
        <v>4.5071579415370397</v>
      </c>
      <c r="F35" s="3">
        <f t="shared" si="8"/>
        <v>4.5048658778846526</v>
      </c>
      <c r="G35" s="3">
        <f t="shared" si="8"/>
        <v>3.8207511551341717</v>
      </c>
      <c r="H35" s="3">
        <f t="shared" si="8"/>
        <v>4.8102197257836359</v>
      </c>
      <c r="I35" s="3">
        <f t="shared" si="8"/>
        <v>4.8480266338002833</v>
      </c>
      <c r="J35" s="3">
        <f t="shared" si="8"/>
        <v>5.0405898871823336</v>
      </c>
      <c r="K35" s="3">
        <f t="shared" si="8"/>
        <v>1.7476687800358948</v>
      </c>
      <c r="L35" s="3">
        <f>L65*$L66</f>
        <v>5.140000000000005</v>
      </c>
      <c r="M35" s="3">
        <f t="shared" ref="M35:N35" si="9">M65*$L66</f>
        <v>7.4966735053032316</v>
      </c>
      <c r="N35" s="3">
        <f t="shared" si="9"/>
        <v>7.0599898592496935</v>
      </c>
    </row>
    <row r="36" spans="2:14" hidden="1" outlineLevel="2" x14ac:dyDescent="0.3">
      <c r="B36" t="s">
        <v>210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2:14" hidden="1" outlineLevel="2" x14ac:dyDescent="0.3">
      <c r="C37" t="s">
        <v>87</v>
      </c>
      <c r="D37" s="3">
        <f>D20-D38</f>
        <v>0.96694775464625016</v>
      </c>
      <c r="E37" s="3">
        <f t="shared" ref="E37:N37" si="10">E20-E38</f>
        <v>0.99796760508894711</v>
      </c>
      <c r="F37" s="3">
        <f t="shared" si="10"/>
        <v>1.0575900214300074</v>
      </c>
      <c r="G37" s="3">
        <f t="shared" si="10"/>
        <v>1.2679875917104615</v>
      </c>
      <c r="H37" s="3">
        <f t="shared" si="10"/>
        <v>1.074357399072585</v>
      </c>
      <c r="I37" s="3">
        <f t="shared" si="10"/>
        <v>1.0014955810737676</v>
      </c>
      <c r="J37" s="3">
        <f t="shared" si="10"/>
        <v>1.0190243738354332</v>
      </c>
      <c r="K37" s="3">
        <f t="shared" si="10"/>
        <v>1.7402985785420653</v>
      </c>
      <c r="L37" s="3">
        <f t="shared" si="10"/>
        <v>1.119999999999999</v>
      </c>
      <c r="M37" s="3">
        <f t="shared" si="10"/>
        <v>0.81728833486702479</v>
      </c>
      <c r="N37" s="3">
        <f t="shared" si="10"/>
        <v>0.8488931598918561</v>
      </c>
    </row>
    <row r="38" spans="2:14" hidden="1" outlineLevel="2" x14ac:dyDescent="0.3">
      <c r="C38" t="s">
        <v>91</v>
      </c>
      <c r="D38" s="3">
        <f t="shared" ref="D38:K38" si="11">D65*D67</f>
        <v>0.79477141507291993</v>
      </c>
      <c r="E38" s="3">
        <f t="shared" si="11"/>
        <v>0.82399583512681562</v>
      </c>
      <c r="F38" s="3">
        <f t="shared" si="11"/>
        <v>0.82170300347681413</v>
      </c>
      <c r="G38" s="3">
        <f t="shared" si="11"/>
        <v>0.69833056827032136</v>
      </c>
      <c r="H38" s="3">
        <f t="shared" si="11"/>
        <v>0.86919781492599579</v>
      </c>
      <c r="I38" s="3">
        <f t="shared" si="11"/>
        <v>0.88145938796368783</v>
      </c>
      <c r="J38" s="3">
        <f t="shared" si="11"/>
        <v>0.91082527735532937</v>
      </c>
      <c r="K38" s="3">
        <f t="shared" si="11"/>
        <v>0.31606775809159798</v>
      </c>
      <c r="L38" s="3">
        <f>L65*$L67</f>
        <v>0.94000000000000106</v>
      </c>
      <c r="M38" s="3">
        <f t="shared" ref="M38:N38" si="12">M65*$L67</f>
        <v>1.3709869834601243</v>
      </c>
      <c r="N38" s="3">
        <f t="shared" si="12"/>
        <v>1.2911265501351581</v>
      </c>
    </row>
    <row r="39" spans="2:14" hidden="1" outlineLevel="2" x14ac:dyDescent="0.3">
      <c r="B39" t="s">
        <v>166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hidden="1" outlineLevel="2" x14ac:dyDescent="0.3">
      <c r="C40" t="s">
        <v>87</v>
      </c>
      <c r="D40" s="3">
        <f>D21-D41</f>
        <v>0.80572161172161927</v>
      </c>
      <c r="E40" s="3">
        <f t="shared" ref="E40:N40" si="13">E21-E41</f>
        <v>0.83800888549867736</v>
      </c>
      <c r="F40" s="3">
        <f t="shared" si="13"/>
        <v>0.92528585321301104</v>
      </c>
      <c r="G40" s="3">
        <f t="shared" si="13"/>
        <v>1.3775293947254861</v>
      </c>
      <c r="H40" s="3">
        <f t="shared" si="13"/>
        <v>0.91279090100235871</v>
      </c>
      <c r="I40" s="3">
        <f t="shared" si="13"/>
        <v>0.79513166596524654</v>
      </c>
      <c r="J40" s="3">
        <f t="shared" si="13"/>
        <v>0.78641921121408309</v>
      </c>
      <c r="K40" s="3">
        <f t="shared" si="13"/>
        <v>2.474750463204217</v>
      </c>
      <c r="L40" s="3">
        <f t="shared" si="13"/>
        <v>0.92999999999999705</v>
      </c>
      <c r="M40" s="3">
        <f t="shared" si="13"/>
        <v>6.0739009710188085E-2</v>
      </c>
      <c r="N40" s="3">
        <f t="shared" si="13"/>
        <v>0.18294059203135715</v>
      </c>
    </row>
    <row r="41" spans="2:14" hidden="1" outlineLevel="2" x14ac:dyDescent="0.3">
      <c r="C41" t="s">
        <v>91</v>
      </c>
      <c r="D41" s="3">
        <f t="shared" ref="D41:K41" si="14">D65*D68</f>
        <v>1.9769938949938881</v>
      </c>
      <c r="E41" s="3">
        <f t="shared" si="14"/>
        <v>2.0450980968207713</v>
      </c>
      <c r="F41" s="3">
        <f t="shared" si="14"/>
        <v>2.0494239616127601</v>
      </c>
      <c r="G41" s="3">
        <f t="shared" si="14"/>
        <v>1.7418130266052843</v>
      </c>
      <c r="H41" s="3">
        <f t="shared" si="14"/>
        <v>2.1828717852118755</v>
      </c>
      <c r="I41" s="3">
        <f t="shared" si="14"/>
        <v>2.2036484699092194</v>
      </c>
      <c r="J41" s="3">
        <f t="shared" si="14"/>
        <v>2.2874134806309971</v>
      </c>
      <c r="K41" s="3">
        <f t="shared" si="14"/>
        <v>0.79574706154825847</v>
      </c>
      <c r="L41" s="3">
        <f>L65*$L68</f>
        <v>2.3400000000000025</v>
      </c>
      <c r="M41" s="3">
        <f t="shared" ref="M41:N41" si="15">M65*$L68</f>
        <v>3.4128824907411599</v>
      </c>
      <c r="N41" s="3">
        <f t="shared" si="15"/>
        <v>3.2140809865066697</v>
      </c>
    </row>
    <row r="42" spans="2:14" hidden="1" outlineLevel="2" x14ac:dyDescent="0.3">
      <c r="B42" t="s">
        <v>75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</row>
    <row r="43" spans="2:14" hidden="1" outlineLevel="2" x14ac:dyDescent="0.3">
      <c r="C43" t="s">
        <v>81</v>
      </c>
      <c r="D43" s="3">
        <f>D4</f>
        <v>2.98</v>
      </c>
      <c r="E43" s="3">
        <f t="shared" ref="E43:N43" si="16">E4</f>
        <v>3.3</v>
      </c>
      <c r="F43" s="3">
        <f t="shared" si="16"/>
        <v>3.68</v>
      </c>
      <c r="G43" s="3">
        <f t="shared" si="16"/>
        <v>3.91</v>
      </c>
      <c r="H43" s="3">
        <f t="shared" si="16"/>
        <v>3.87</v>
      </c>
      <c r="I43" s="3">
        <f t="shared" si="16"/>
        <v>4.75</v>
      </c>
      <c r="J43" s="3">
        <f t="shared" si="16"/>
        <v>5.17</v>
      </c>
      <c r="K43" s="3">
        <f t="shared" si="16"/>
        <v>5.96</v>
      </c>
      <c r="L43" s="3">
        <f t="shared" si="16"/>
        <v>6.51</v>
      </c>
      <c r="M43" s="3">
        <f t="shared" si="16"/>
        <v>6.72</v>
      </c>
      <c r="N43" s="3">
        <f t="shared" si="16"/>
        <v>8.4700000000000006</v>
      </c>
    </row>
    <row r="44" spans="2:14" hidden="1" outlineLevel="2" x14ac:dyDescent="0.3">
      <c r="C44" t="s">
        <v>83</v>
      </c>
      <c r="D44" s="3">
        <f>D5*CyS!C205/(CyS!C205+CyS!C237)</f>
        <v>4.8499999999999996</v>
      </c>
      <c r="E44" s="3">
        <f>E5*CyS!D205/(CyS!D205+CyS!D237)</f>
        <v>4.82</v>
      </c>
      <c r="F44" s="3">
        <f>F5*CyS!E205/(CyS!E205+CyS!E237)</f>
        <v>4.8</v>
      </c>
      <c r="G44" s="3">
        <f>G5*CyS!F205/(CyS!F205+CyS!F237)</f>
        <v>4.78</v>
      </c>
      <c r="H44" s="3">
        <f>H5*CyS!G205/(CyS!G205+CyS!G237)</f>
        <v>4.75</v>
      </c>
      <c r="I44" s="3">
        <f>I5*CyS!H205/(CyS!H205+CyS!H237)</f>
        <v>4.7300000000000004</v>
      </c>
      <c r="J44" s="3">
        <f>J5*CyS!I205/(CyS!I205+CyS!I237)</f>
        <v>4.7</v>
      </c>
      <c r="K44" s="3">
        <f>K5*CyS!J205/(CyS!J205+CyS!J237)</f>
        <v>4.68</v>
      </c>
      <c r="L44" s="3">
        <f>L5*CyS!$K205/(CyS!$K205+CyS!$K237)</f>
        <v>4.66</v>
      </c>
      <c r="M44" s="3">
        <f>M5*CyS!$K205/(CyS!$K205+CyS!$K237)</f>
        <v>4.6420077220077216</v>
      </c>
      <c r="N44" s="3">
        <f>N5*CyS!$K205/(CyS!$K205+CyS!$K237)</f>
        <v>4.624015444015444</v>
      </c>
    </row>
    <row r="45" spans="2:14" hidden="1" outlineLevel="2" x14ac:dyDescent="0.3">
      <c r="C45" t="s">
        <v>84</v>
      </c>
      <c r="D45" s="3">
        <f>D6*CyS!C209/(CyS!C241+CyS!C209)</f>
        <v>2.08</v>
      </c>
      <c r="E45" s="3">
        <f>E6*CyS!D209/(CyS!D241+CyS!D209)</f>
        <v>2.1</v>
      </c>
      <c r="F45" s="3">
        <f>F6*CyS!E209/(CyS!E241+CyS!E209)</f>
        <v>2.13</v>
      </c>
      <c r="G45" s="3">
        <f>G6*CyS!F209/(CyS!F241+CyS!F209)</f>
        <v>2.16</v>
      </c>
      <c r="H45" s="3">
        <f>H6*CyS!G209/(CyS!G241+CyS!G209)</f>
        <v>2.19</v>
      </c>
      <c r="I45" s="3">
        <f>I6*CyS!H209/(CyS!H241+CyS!H209)</f>
        <v>2.21</v>
      </c>
      <c r="J45" s="3">
        <f>J6*CyS!I209/(CyS!I241+CyS!I209)</f>
        <v>2.2400000000000002</v>
      </c>
      <c r="K45" s="3">
        <f>K6*CyS!J209/(CyS!J241+CyS!J209)</f>
        <v>2.27</v>
      </c>
      <c r="L45" s="3">
        <f>L6*CyS!$K209/(CyS!$K241+CyS!$K209)</f>
        <v>2.2999999999999998</v>
      </c>
      <c r="M45" s="3">
        <f>M6*CyS!$K209/(CyS!$K241+CyS!$K209)</f>
        <v>2.3288401253918489</v>
      </c>
      <c r="N45" s="3">
        <f>N6*CyS!$K209/(CyS!$K241+CyS!$K209)</f>
        <v>2.357680250783698</v>
      </c>
    </row>
    <row r="46" spans="2:14" hidden="1" outlineLevel="2" x14ac:dyDescent="0.3">
      <c r="C46" t="s">
        <v>87</v>
      </c>
      <c r="D46" s="3">
        <f>(D7-D33-D37-D40)*CyS!C213/(CyS!C213+CyS!C245)</f>
        <v>18.359862705179303</v>
      </c>
      <c r="E46" s="3">
        <f>(E7-E33-E37-E40)*CyS!D213/(CyS!D213+CyS!D245)</f>
        <v>17.536594731234199</v>
      </c>
      <c r="F46" s="3">
        <f>(F7-F33-F37-F40)*CyS!E213/(CyS!E213+CyS!E245)</f>
        <v>17.339470041513017</v>
      </c>
      <c r="G46" s="3">
        <f>(G7-G33-G37-G40)*CyS!F213/(CyS!F213+CyS!F245)</f>
        <v>17.240396017567168</v>
      </c>
      <c r="H46" s="3">
        <f>(H7-H33-H37-H40)*CyS!G213/(CyS!G213+CyS!G245)</f>
        <v>17.056307862459416</v>
      </c>
      <c r="I46" s="3">
        <f>(I7-I33-I37-I40)*CyS!H213/(CyS!H213+CyS!H245)</f>
        <v>17.334976103099478</v>
      </c>
      <c r="J46" s="3">
        <f>(J7-J33-J37-J40)*CyS!I213/(CyS!I213+CyS!I245)</f>
        <v>17.203414143925063</v>
      </c>
      <c r="K46" s="3">
        <f>(K7-K33-K37-K40)*CyS!J213/(CyS!J213+CyS!J245)</f>
        <v>19.959897577031125</v>
      </c>
      <c r="L46" s="3">
        <f>(L7-L33-L37-L40)*CyS!$K213/(CyS!$K213+CyS!$K245)</f>
        <v>16.920000000000002</v>
      </c>
      <c r="M46" s="3">
        <f>(M7-M33-M37-M40)*CyS!$K213/(CyS!$K213+CyS!$K245)</f>
        <v>18.464880293188422</v>
      </c>
      <c r="N46" s="3">
        <f>(N7-N33-N37-N40)*CyS!$K213/(CyS!$K213+CyS!$K245)</f>
        <v>16.88637230494172</v>
      </c>
    </row>
    <row r="47" spans="2:14" hidden="1" outlineLevel="2" x14ac:dyDescent="0.3">
      <c r="C47" t="s">
        <v>89</v>
      </c>
      <c r="D47" s="3">
        <f>D9*CyS!C219/(CyS!C219+CyS!C251)</f>
        <v>4</v>
      </c>
      <c r="E47" s="3">
        <f>E9*CyS!D219/(CyS!D219+CyS!D251)</f>
        <v>4.7300000000000004</v>
      </c>
      <c r="F47" s="3">
        <f>F9*CyS!E219/(CyS!E219+CyS!E251)</f>
        <v>4.8</v>
      </c>
      <c r="G47" s="3">
        <f>G9*CyS!F219/(CyS!F219+CyS!F251)</f>
        <v>5.1800000000000006</v>
      </c>
      <c r="H47" s="3">
        <f>H9*CyS!G219/(CyS!G219+CyS!G251)</f>
        <v>4.96</v>
      </c>
      <c r="I47" s="3">
        <f>I9*CyS!H219/(CyS!H219+CyS!H251)</f>
        <v>4.4000000000000004</v>
      </c>
      <c r="J47" s="3">
        <f>J9*CyS!I219/(CyS!I219+CyS!I251)</f>
        <v>3.9500000000000006</v>
      </c>
      <c r="K47" s="3">
        <f>K9*CyS!J219/(CyS!J219+CyS!J251)</f>
        <v>3.4200000000000004</v>
      </c>
      <c r="L47" s="3">
        <f>L9*CyS!$K219/(CyS!$K219+CyS!$K251)</f>
        <v>4.26</v>
      </c>
      <c r="M47" s="3">
        <f>M9*CyS!$K219/(CyS!$K219+CyS!$K251)</f>
        <v>4.3176162299239218</v>
      </c>
      <c r="N47" s="3">
        <f>N9*CyS!$K219/(CyS!$K219+CyS!$K251)</f>
        <v>4.7461369399830939</v>
      </c>
    </row>
    <row r="48" spans="2:14" hidden="1" outlineLevel="2" x14ac:dyDescent="0.3">
      <c r="C48" t="s">
        <v>91</v>
      </c>
      <c r="D48" s="3">
        <f t="shared" ref="D48:K48" si="17">D65*D69</f>
        <v>7.9477141507291987E-2</v>
      </c>
      <c r="E48" s="3">
        <f t="shared" si="17"/>
        <v>7.9421285313428014E-2</v>
      </c>
      <c r="F48" s="3">
        <f t="shared" si="17"/>
        <v>7.7336753268406042E-2</v>
      </c>
      <c r="G48" s="3">
        <f t="shared" si="17"/>
        <v>7.2241093269343581E-2</v>
      </c>
      <c r="H48" s="3">
        <f t="shared" si="17"/>
        <v>8.8895231071976832E-2</v>
      </c>
      <c r="I48" s="3">
        <f t="shared" si="17"/>
        <v>9.2245749903176619E-2</v>
      </c>
      <c r="J48" s="3">
        <f t="shared" si="17"/>
        <v>9.3152585184067757E-2</v>
      </c>
      <c r="K48" s="3">
        <f t="shared" si="17"/>
        <v>3.3465997915580963E-2</v>
      </c>
      <c r="L48" s="3">
        <f>L65*$L69</f>
        <v>9.0000000000000108E-2</v>
      </c>
      <c r="M48" s="3">
        <f t="shared" ref="M48:N48" si="18">M65*$L69</f>
        <v>0.13126471118235233</v>
      </c>
      <c r="N48" s="3">
        <f t="shared" si="18"/>
        <v>0.12361849948102578</v>
      </c>
    </row>
    <row r="49" spans="2:14" hidden="1" outlineLevel="2" x14ac:dyDescent="0.3">
      <c r="B49" t="s">
        <v>62</v>
      </c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</row>
    <row r="50" spans="2:14" hidden="1" outlineLevel="2" x14ac:dyDescent="0.3">
      <c r="C50" t="s">
        <v>83</v>
      </c>
      <c r="D50" s="3">
        <f>D5-D44</f>
        <v>8.61</v>
      </c>
      <c r="E50" s="3">
        <f t="shared" ref="E50:N51" si="19">E5-E44</f>
        <v>8.58</v>
      </c>
      <c r="F50" s="3">
        <f t="shared" si="19"/>
        <v>8.5299999999999976</v>
      </c>
      <c r="G50" s="3">
        <f t="shared" si="19"/>
        <v>8.4899999999999984</v>
      </c>
      <c r="H50" s="3">
        <f t="shared" si="19"/>
        <v>8.4499999999999993</v>
      </c>
      <c r="I50" s="3">
        <f t="shared" si="19"/>
        <v>8.4</v>
      </c>
      <c r="J50" s="3">
        <f t="shared" si="19"/>
        <v>8.370000000000001</v>
      </c>
      <c r="K50" s="3">
        <f t="shared" si="19"/>
        <v>8.32</v>
      </c>
      <c r="L50" s="3">
        <f t="shared" si="19"/>
        <v>8.2899999999999991</v>
      </c>
      <c r="M50" s="3">
        <f t="shared" si="19"/>
        <v>8.2579922779922761</v>
      </c>
      <c r="N50" s="3">
        <f t="shared" si="19"/>
        <v>8.225984555984553</v>
      </c>
    </row>
    <row r="51" spans="2:14" hidden="1" outlineLevel="2" x14ac:dyDescent="0.3">
      <c r="C51" t="s">
        <v>84</v>
      </c>
      <c r="D51" s="3">
        <f>D6-D45</f>
        <v>3.6899999999999995</v>
      </c>
      <c r="E51" s="3">
        <f t="shared" si="19"/>
        <v>3.7499999999999996</v>
      </c>
      <c r="F51" s="3">
        <f t="shared" si="19"/>
        <v>3.79</v>
      </c>
      <c r="G51" s="3">
        <f t="shared" si="19"/>
        <v>3.84</v>
      </c>
      <c r="H51" s="3">
        <f t="shared" si="19"/>
        <v>3.8800000000000003</v>
      </c>
      <c r="I51" s="3">
        <f t="shared" si="19"/>
        <v>3.9400000000000004</v>
      </c>
      <c r="J51" s="3">
        <f t="shared" si="19"/>
        <v>3.9800000000000004</v>
      </c>
      <c r="K51" s="3">
        <f t="shared" si="19"/>
        <v>4.0300000000000011</v>
      </c>
      <c r="L51" s="3">
        <f t="shared" si="19"/>
        <v>4.08</v>
      </c>
      <c r="M51" s="3">
        <f t="shared" si="19"/>
        <v>4.1311598746081497</v>
      </c>
      <c r="N51" s="3">
        <f t="shared" si="19"/>
        <v>4.1823197492163002</v>
      </c>
    </row>
    <row r="52" spans="2:14" hidden="1" outlineLevel="2" x14ac:dyDescent="0.3">
      <c r="C52" t="s">
        <v>87</v>
      </c>
      <c r="D52" s="3">
        <f>(D7-D33-D37-D40)*CyS!C245/(CyS!C213+CyS!C245)</f>
        <v>40.255846954228829</v>
      </c>
      <c r="E52" s="3">
        <f>(E7-E33-E37-E40)*CyS!D245/(CyS!D213+CyS!D245)</f>
        <v>38.318857621723019</v>
      </c>
      <c r="F52" s="3">
        <f>(F7-F33-F37-F40)*CyS!E245/(CyS!E213+CyS!E245)</f>
        <v>37.955293433893317</v>
      </c>
      <c r="G52" s="3">
        <f>(G7-G33-G37-G40)*CyS!F245/(CyS!F213+CyS!F245)</f>
        <v>37.855059145606191</v>
      </c>
      <c r="H52" s="3">
        <f>(H7-H33-H37-H40)*CyS!G245/(CyS!G213+CyS!G245)</f>
        <v>37.323214851970022</v>
      </c>
      <c r="I52" s="3">
        <f>(I7-I33-I37-I40)*CyS!H245/(CyS!H213+CyS!H245)</f>
        <v>38.087277008185325</v>
      </c>
      <c r="J52" s="3">
        <f>(J7-J33-J37-J40)*CyS!I245/(CyS!I213+CyS!I245)</f>
        <v>38.05363497273747</v>
      </c>
      <c r="K52" s="3">
        <f>(K7-K33-K37-K40)*CyS!J245/(CyS!J213+CyS!J245)</f>
        <v>44.551888002842652</v>
      </c>
      <c r="L52" s="3">
        <f>(L7-L33-L37-L40)*CyS!$K245/(CyS!$K213+CyS!$K245)</f>
        <v>37.400000000000006</v>
      </c>
      <c r="M52" s="3">
        <f>(M7-M33-M37-M40)*CyS!$K245/(CyS!$K213+CyS!$K245)</f>
        <v>40.814806321823099</v>
      </c>
      <c r="N52" s="3">
        <f>(N7-N33-N37-N40)*CyS!$K245/(CyS!$K213+CyS!$K245)</f>
        <v>37.325669279244693</v>
      </c>
    </row>
    <row r="53" spans="2:14" hidden="1" outlineLevel="2" x14ac:dyDescent="0.3">
      <c r="C53" t="s">
        <v>89</v>
      </c>
      <c r="D53" s="3">
        <f>D9-D47</f>
        <v>7.1</v>
      </c>
      <c r="E53" s="3">
        <f t="shared" ref="E53:N53" si="20">E9-E47</f>
        <v>8.4</v>
      </c>
      <c r="F53" s="3">
        <f t="shared" si="20"/>
        <v>8.5399999999999991</v>
      </c>
      <c r="G53" s="3">
        <f t="shared" si="20"/>
        <v>9.1999999999999993</v>
      </c>
      <c r="H53" s="3">
        <f t="shared" si="20"/>
        <v>8.8099999999999987</v>
      </c>
      <c r="I53" s="3">
        <f t="shared" si="20"/>
        <v>7.82</v>
      </c>
      <c r="J53" s="3">
        <f t="shared" si="20"/>
        <v>7.01</v>
      </c>
      <c r="K53" s="3">
        <f t="shared" si="20"/>
        <v>6.08</v>
      </c>
      <c r="L53" s="3">
        <f t="shared" si="20"/>
        <v>7.57</v>
      </c>
      <c r="M53" s="3">
        <f t="shared" si="20"/>
        <v>7.6723837700760784</v>
      </c>
      <c r="N53" s="3">
        <f t="shared" si="20"/>
        <v>8.4338630600169058</v>
      </c>
    </row>
    <row r="54" spans="2:14" hidden="1" outlineLevel="2" x14ac:dyDescent="0.3">
      <c r="C54" t="s">
        <v>91</v>
      </c>
      <c r="D54" s="3">
        <f t="shared" ref="D54:K54" si="21">D65*D70</f>
        <v>0.71529427356562791</v>
      </c>
      <c r="E54" s="3">
        <f t="shared" si="21"/>
        <v>0.73464688914920906</v>
      </c>
      <c r="F54" s="3">
        <f t="shared" si="21"/>
        <v>0.73469915604985747</v>
      </c>
      <c r="G54" s="3">
        <f t="shared" si="21"/>
        <v>0.62608947500097778</v>
      </c>
      <c r="H54" s="3">
        <f t="shared" si="21"/>
        <v>0.79017983175090523</v>
      </c>
      <c r="I54" s="3">
        <f t="shared" si="21"/>
        <v>0.78921363806051126</v>
      </c>
      <c r="J54" s="3">
        <f t="shared" si="21"/>
        <v>0.82802297941393566</v>
      </c>
      <c r="K54" s="3">
        <f t="shared" si="21"/>
        <v>0.28632020438885936</v>
      </c>
      <c r="L54" s="3">
        <f>L65*$L70</f>
        <v>0.84000000000000097</v>
      </c>
      <c r="M54" s="3">
        <f t="shared" ref="M54:N54" si="22">M65*$L70</f>
        <v>1.2251373043686216</v>
      </c>
      <c r="N54" s="3">
        <f t="shared" si="22"/>
        <v>1.1537726618229072</v>
      </c>
    </row>
    <row r="55" spans="2:14" hidden="1" outlineLevel="2" x14ac:dyDescent="0.3"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2:14" hidden="1" outlineLevel="2" x14ac:dyDescent="0.3">
      <c r="D56" s="3">
        <f t="shared" ref="D56:N56" si="23">SUM(D26:D54)</f>
        <v>163.96</v>
      </c>
      <c r="E56" s="3">
        <f t="shared" si="23"/>
        <v>167.03000000000003</v>
      </c>
      <c r="F56" s="3">
        <f t="shared" si="23"/>
        <v>169.87</v>
      </c>
      <c r="G56" s="3">
        <f t="shared" si="23"/>
        <v>171.42999999999998</v>
      </c>
      <c r="H56" s="3">
        <f t="shared" si="23"/>
        <v>169.47</v>
      </c>
      <c r="I56" s="3">
        <f t="shared" si="23"/>
        <v>165.71</v>
      </c>
      <c r="J56" s="3">
        <f t="shared" si="23"/>
        <v>165.41</v>
      </c>
      <c r="K56" s="3">
        <f t="shared" si="23"/>
        <v>176.76</v>
      </c>
      <c r="L56" s="3">
        <f t="shared" si="23"/>
        <v>170.83</v>
      </c>
      <c r="M56" s="3">
        <f t="shared" si="23"/>
        <v>181.46751098535287</v>
      </c>
      <c r="N56" s="3">
        <f t="shared" si="23"/>
        <v>177.46580925432755</v>
      </c>
    </row>
    <row r="57" spans="2:14" hidden="1" outlineLevel="2" x14ac:dyDescent="0.3"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</row>
    <row r="58" spans="2:14" hidden="1" outlineLevel="2" x14ac:dyDescent="0.3">
      <c r="B58" t="s">
        <v>173</v>
      </c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</row>
    <row r="59" spans="2:14" hidden="1" outlineLevel="2" x14ac:dyDescent="0.3">
      <c r="C59" t="s">
        <v>87</v>
      </c>
      <c r="D59" s="3">
        <f>D40+D37+D33</f>
        <v>6.4142903405918759</v>
      </c>
      <c r="E59" s="3">
        <f t="shared" ref="E59:N59" si="24">E40+E37+E33</f>
        <v>7.4645476470427923</v>
      </c>
      <c r="F59" s="3">
        <f t="shared" si="24"/>
        <v>7.8752365245936629</v>
      </c>
      <c r="G59" s="3">
        <f t="shared" si="24"/>
        <v>10.114544836826635</v>
      </c>
      <c r="H59" s="3">
        <f t="shared" si="24"/>
        <v>10.050477285570571</v>
      </c>
      <c r="I59" s="3">
        <f t="shared" si="24"/>
        <v>7.8677468887151916</v>
      </c>
      <c r="J59" s="3">
        <f t="shared" si="24"/>
        <v>6.6329508833374735</v>
      </c>
      <c r="K59" s="3">
        <f t="shared" si="24"/>
        <v>11.688214420126229</v>
      </c>
      <c r="L59" s="3">
        <f t="shared" si="24"/>
        <v>6.8499999999999908</v>
      </c>
      <c r="M59" s="3">
        <f t="shared" si="24"/>
        <v>3.9403133849884768</v>
      </c>
      <c r="N59" s="3">
        <f t="shared" si="24"/>
        <v>4.2979584158135777</v>
      </c>
    </row>
    <row r="60" spans="2:14" hidden="1" outlineLevel="2" x14ac:dyDescent="0.3">
      <c r="C60" t="s">
        <v>115</v>
      </c>
      <c r="D60" s="3">
        <f>D34</f>
        <v>4.4000000000000004</v>
      </c>
      <c r="E60" s="3">
        <f t="shared" ref="E60:N60" si="25">E34</f>
        <v>4.46</v>
      </c>
      <c r="F60" s="3">
        <f t="shared" si="25"/>
        <v>5.22</v>
      </c>
      <c r="G60" s="3">
        <f t="shared" si="25"/>
        <v>1.97</v>
      </c>
      <c r="H60" s="3">
        <f t="shared" si="25"/>
        <v>0</v>
      </c>
      <c r="I60" s="3">
        <f t="shared" si="25"/>
        <v>0</v>
      </c>
      <c r="J60" s="3">
        <f t="shared" si="25"/>
        <v>0</v>
      </c>
      <c r="K60" s="3">
        <f t="shared" si="25"/>
        <v>0</v>
      </c>
      <c r="L60" s="3">
        <f t="shared" si="25"/>
        <v>0</v>
      </c>
      <c r="M60" s="3">
        <f t="shared" si="25"/>
        <v>0</v>
      </c>
      <c r="N60" s="3">
        <f t="shared" si="25"/>
        <v>0</v>
      </c>
    </row>
    <row r="61" spans="2:14" hidden="1" outlineLevel="2" x14ac:dyDescent="0.3">
      <c r="C61" t="s">
        <v>91</v>
      </c>
      <c r="D61" s="3">
        <f>D41+D38+D35+D31</f>
        <v>12.638596106294575</v>
      </c>
      <c r="E61" s="3">
        <f t="shared" ref="E61:N61" si="26">E41+E38+E35+E31</f>
        <v>13.112433473724362</v>
      </c>
      <c r="F61" s="3">
        <f t="shared" si="26"/>
        <v>13.285213691344341</v>
      </c>
      <c r="G61" s="3">
        <f t="shared" si="26"/>
        <v>12.458400154765961</v>
      </c>
      <c r="H61" s="3">
        <f t="shared" si="26"/>
        <v>14.023559720813916</v>
      </c>
      <c r="I61" s="3">
        <f t="shared" si="26"/>
        <v>13.880881139902613</v>
      </c>
      <c r="J61" s="3">
        <f t="shared" si="26"/>
        <v>14.346703314401278</v>
      </c>
      <c r="K61" s="3">
        <f t="shared" si="26"/>
        <v>9.3567261739331773</v>
      </c>
      <c r="L61" s="3">
        <f t="shared" si="26"/>
        <v>14.910000000000009</v>
      </c>
      <c r="M61" s="3">
        <f t="shared" si="26"/>
        <v>19.174672501807038</v>
      </c>
      <c r="N61" s="3">
        <f t="shared" si="26"/>
        <v>18.307298326996047</v>
      </c>
    </row>
    <row r="62" spans="2:14" hidden="1" outlineLevel="2" x14ac:dyDescent="0.3">
      <c r="B62" t="s">
        <v>75</v>
      </c>
      <c r="C62" t="s">
        <v>82</v>
      </c>
      <c r="D62" s="3">
        <f>D44+D45</f>
        <v>6.93</v>
      </c>
      <c r="E62" s="3">
        <f t="shared" ref="E62:N62" si="27">E44+E45</f>
        <v>6.92</v>
      </c>
      <c r="F62" s="3">
        <f t="shared" si="27"/>
        <v>6.93</v>
      </c>
      <c r="G62" s="3">
        <f t="shared" si="27"/>
        <v>6.94</v>
      </c>
      <c r="H62" s="3">
        <f t="shared" si="27"/>
        <v>6.9399999999999995</v>
      </c>
      <c r="I62" s="3">
        <f t="shared" si="27"/>
        <v>6.94</v>
      </c>
      <c r="J62" s="3">
        <f t="shared" si="27"/>
        <v>6.94</v>
      </c>
      <c r="K62" s="3">
        <f t="shared" si="27"/>
        <v>6.9499999999999993</v>
      </c>
      <c r="L62" s="3">
        <f t="shared" si="27"/>
        <v>6.96</v>
      </c>
      <c r="M62" s="3">
        <f t="shared" si="27"/>
        <v>6.9708478473995701</v>
      </c>
      <c r="N62" s="3">
        <f t="shared" si="27"/>
        <v>6.981695694799142</v>
      </c>
    </row>
    <row r="63" spans="2:14" hidden="1" outlineLevel="2" x14ac:dyDescent="0.3">
      <c r="B63" t="s">
        <v>62</v>
      </c>
      <c r="C63" t="s">
        <v>82</v>
      </c>
      <c r="D63" s="3">
        <f>D50+D51</f>
        <v>12.299999999999999</v>
      </c>
      <c r="E63" s="3">
        <f t="shared" ref="E63:N63" si="28">E50+E51</f>
        <v>12.33</v>
      </c>
      <c r="F63" s="3">
        <f t="shared" si="28"/>
        <v>12.319999999999997</v>
      </c>
      <c r="G63" s="3">
        <f t="shared" si="28"/>
        <v>12.329999999999998</v>
      </c>
      <c r="H63" s="3">
        <f t="shared" si="28"/>
        <v>12.33</v>
      </c>
      <c r="I63" s="3">
        <f t="shared" si="28"/>
        <v>12.34</v>
      </c>
      <c r="J63" s="3">
        <f t="shared" si="28"/>
        <v>12.350000000000001</v>
      </c>
      <c r="K63" s="3">
        <f t="shared" si="28"/>
        <v>12.350000000000001</v>
      </c>
      <c r="L63" s="3">
        <f t="shared" si="28"/>
        <v>12.37</v>
      </c>
      <c r="M63" s="3">
        <f t="shared" si="28"/>
        <v>12.389152152600426</v>
      </c>
      <c r="N63" s="3">
        <f t="shared" si="28"/>
        <v>12.408304305200854</v>
      </c>
    </row>
    <row r="64" spans="2:14" hidden="1" outlineLevel="2" x14ac:dyDescent="0.3"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</row>
    <row r="65" spans="1:61" hidden="1" outlineLevel="2" x14ac:dyDescent="0.3">
      <c r="B65" t="s">
        <v>91</v>
      </c>
      <c r="D65" s="3">
        <f t="shared" ref="D65:N65" si="29">D10-D27-D29-D31</f>
        <v>7.9079755799755524</v>
      </c>
      <c r="E65" s="3">
        <f t="shared" si="29"/>
        <v>8.1903200479472638</v>
      </c>
      <c r="F65" s="3">
        <f t="shared" si="29"/>
        <v>8.1880287522924906</v>
      </c>
      <c r="G65" s="3">
        <f t="shared" si="29"/>
        <v>6.9592253182800992</v>
      </c>
      <c r="H65" s="3">
        <f t="shared" si="29"/>
        <v>8.7413643887443904</v>
      </c>
      <c r="I65" s="3">
        <f t="shared" si="29"/>
        <v>8.8145938796368775</v>
      </c>
      <c r="J65" s="3">
        <f t="shared" si="29"/>
        <v>9.1600042097666652</v>
      </c>
      <c r="K65" s="3">
        <f t="shared" si="29"/>
        <v>3.1792698019801913</v>
      </c>
      <c r="L65" s="3">
        <f t="shared" si="29"/>
        <v>9.3500000000000103</v>
      </c>
      <c r="M65" s="3">
        <f t="shared" si="29"/>
        <v>13.63694499505549</v>
      </c>
      <c r="N65" s="3">
        <f t="shared" si="29"/>
        <v>12.842588557195455</v>
      </c>
    </row>
    <row r="66" spans="1:61" hidden="1" outlineLevel="2" x14ac:dyDescent="0.3">
      <c r="C66" t="s">
        <v>209</v>
      </c>
      <c r="D66" s="3">
        <f>CyS!C124/SUM(CyS!C124,CyS!C156,CyS!C188,CyS!C220,CyS!C252)</f>
        <v>0.54899497487437188</v>
      </c>
      <c r="E66" s="3">
        <f>CyS!D124/SUM(CyS!D124,CyS!D156,CyS!D188,CyS!D220,CyS!D252)</f>
        <v>0.55030303030303029</v>
      </c>
      <c r="F66" s="3">
        <f>CyS!E124/SUM(CyS!E124,CyS!E156,CyS!E188,CyS!E220,CyS!E252)</f>
        <v>0.55017709563164108</v>
      </c>
      <c r="G66" s="3">
        <f>CyS!F124/SUM(CyS!F124,CyS!F156,CyS!F188,CyS!F220,CyS!F252)</f>
        <v>0.54901960784313719</v>
      </c>
      <c r="H66" s="3">
        <f>CyS!G124/SUM(CyS!G124,CyS!G156,CyS!G188,CyS!G220,CyS!G252)</f>
        <v>0.55028248587570616</v>
      </c>
      <c r="I66" s="3">
        <f>CyS!H124/SUM(CyS!H124,CyS!H156,CyS!H188,CyS!H220,CyS!H252)</f>
        <v>0.55000000000000004</v>
      </c>
      <c r="J66" s="3">
        <f>CyS!I124/SUM(CyS!I124,CyS!I156,CyS!I188,CyS!I220,CyS!I252)</f>
        <v>0.55028248587570616</v>
      </c>
      <c r="K66" s="3">
        <f>CyS!J124/SUM(CyS!J124,CyS!J156,CyS!J188,CyS!J220,CyS!J252)</f>
        <v>0.54970760233918137</v>
      </c>
      <c r="L66" s="3">
        <f>CyS!K124/SUM(CyS!K124,CyS!K156,CyS!K188,CyS!K220,CyS!K252)</f>
        <v>0.54973262032085557</v>
      </c>
      <c r="M66" s="3"/>
      <c r="N66" s="3"/>
    </row>
    <row r="67" spans="1:61" hidden="1" outlineLevel="2" x14ac:dyDescent="0.3">
      <c r="C67" t="s">
        <v>210</v>
      </c>
      <c r="D67" s="3">
        <f>CyS!C156/SUM(CyS!C124,CyS!C156,CyS!C188,CyS!C220,CyS!C252)</f>
        <v>0.10050251256281408</v>
      </c>
      <c r="E67" s="3">
        <f>CyS!D156/SUM(CyS!D124,CyS!D156,CyS!D188,CyS!D220,CyS!D252)</f>
        <v>0.1006060606060606</v>
      </c>
      <c r="F67" s="3">
        <f>CyS!E156/SUM(CyS!E124,CyS!E156,CyS!E188,CyS!E220,CyS!E252)</f>
        <v>0.10035419126328216</v>
      </c>
      <c r="G67" s="3">
        <f>CyS!F156/SUM(CyS!F124,CyS!F156,CyS!F188,CyS!F220,CyS!F252)</f>
        <v>0.10034602076124567</v>
      </c>
      <c r="H67" s="3">
        <f>CyS!G156/SUM(CyS!G124,CyS!G156,CyS!G188,CyS!G220,CyS!G252)</f>
        <v>9.9435028248587562E-2</v>
      </c>
      <c r="I67" s="3">
        <f>CyS!H156/SUM(CyS!H124,CyS!H156,CyS!H188,CyS!H220,CyS!H252)</f>
        <v>0.1</v>
      </c>
      <c r="J67" s="3">
        <f>CyS!I156/SUM(CyS!I124,CyS!I156,CyS!I188,CyS!I220,CyS!I252)</f>
        <v>9.9435028248587562E-2</v>
      </c>
      <c r="K67" s="3">
        <f>CyS!J156/SUM(CyS!J124,CyS!J156,CyS!J188,CyS!J220,CyS!J252)</f>
        <v>9.9415204678362581E-2</v>
      </c>
      <c r="L67" s="3">
        <f>CyS!K156/SUM(CyS!K124,CyS!K156,CyS!K188,CyS!K220,CyS!K252)</f>
        <v>0.10053475935828877</v>
      </c>
      <c r="M67" s="3"/>
      <c r="N67" s="3"/>
    </row>
    <row r="68" spans="1:61" hidden="1" outlineLevel="2" x14ac:dyDescent="0.3">
      <c r="C68" t="s">
        <v>166</v>
      </c>
      <c r="D68" s="3">
        <f>CyS!C188/SUM(CyS!C124,CyS!C156,CyS!C188,CyS!C220,CyS!C252)</f>
        <v>0.25</v>
      </c>
      <c r="E68" s="3">
        <f>CyS!D188/SUM(CyS!D124,CyS!D156,CyS!D188,CyS!D220,CyS!D252)</f>
        <v>0.2496969696969697</v>
      </c>
      <c r="F68" s="3">
        <f>CyS!E188/SUM(CyS!E124,CyS!E156,CyS!E188,CyS!E220,CyS!E252)</f>
        <v>0.25029515938606844</v>
      </c>
      <c r="G68" s="3">
        <f>CyS!F188/SUM(CyS!F124,CyS!F156,CyS!F188,CyS!F220,CyS!F252)</f>
        <v>0.25028835063437138</v>
      </c>
      <c r="H68" s="3">
        <f>CyS!G188/SUM(CyS!G124,CyS!G156,CyS!G188,CyS!G220,CyS!G252)</f>
        <v>0.24971751412429374</v>
      </c>
      <c r="I68" s="3">
        <f>CyS!H188/SUM(CyS!H124,CyS!H156,CyS!H188,CyS!H220,CyS!H252)</f>
        <v>0.25</v>
      </c>
      <c r="J68" s="3">
        <f>CyS!I188/SUM(CyS!I124,CyS!I156,CyS!I188,CyS!I220,CyS!I252)</f>
        <v>0.24971751412429374</v>
      </c>
      <c r="K68" s="3">
        <f>CyS!J188/SUM(CyS!J124,CyS!J156,CyS!J188,CyS!J220,CyS!J252)</f>
        <v>0.25029239766081873</v>
      </c>
      <c r="L68" s="3">
        <f>CyS!K188/SUM(CyS!K124,CyS!K156,CyS!K188,CyS!K220,CyS!K252)</f>
        <v>0.25026737967914436</v>
      </c>
      <c r="M68" s="3"/>
      <c r="N68" s="3"/>
    </row>
    <row r="69" spans="1:61" hidden="1" outlineLevel="2" x14ac:dyDescent="0.3">
      <c r="C69" t="s">
        <v>75</v>
      </c>
      <c r="D69" s="3">
        <f>CyS!C220/SUM(CyS!C124,CyS!C156,CyS!C188,CyS!C220,CyS!C252)</f>
        <v>1.0050251256281407E-2</v>
      </c>
      <c r="E69" s="3">
        <f>CyS!D220/SUM(CyS!D124,CyS!D156,CyS!D188,CyS!D220,CyS!D252)</f>
        <v>9.696969696969697E-3</v>
      </c>
      <c r="F69" s="3">
        <f>CyS!E220/SUM(CyS!E124,CyS!E156,CyS!E188,CyS!E220,CyS!E252)</f>
        <v>9.4451003541912628E-3</v>
      </c>
      <c r="G69" s="3">
        <f>CyS!F220/SUM(CyS!F124,CyS!F156,CyS!F188,CyS!F220,CyS!F252)</f>
        <v>1.0380622837370242E-2</v>
      </c>
      <c r="H69" s="3">
        <f>CyS!G220/SUM(CyS!G124,CyS!G156,CyS!G188,CyS!G220,CyS!G252)</f>
        <v>1.0169491525423726E-2</v>
      </c>
      <c r="I69" s="3">
        <f>CyS!H220/SUM(CyS!H124,CyS!H156,CyS!H188,CyS!H220,CyS!H252)</f>
        <v>1.0465116279069767E-2</v>
      </c>
      <c r="J69" s="3">
        <f>CyS!I220/SUM(CyS!I124,CyS!I156,CyS!I188,CyS!I220,CyS!I252)</f>
        <v>1.0169491525423726E-2</v>
      </c>
      <c r="K69" s="3">
        <f>CyS!J220/SUM(CyS!J124,CyS!J156,CyS!J188,CyS!J220,CyS!J252)</f>
        <v>1.0526315789473686E-2</v>
      </c>
      <c r="L69" s="3">
        <f>CyS!K220/SUM(CyS!K124,CyS!K156,CyS!K188,CyS!K220,CyS!K252)</f>
        <v>9.6256684491978616E-3</v>
      </c>
      <c r="M69" s="3"/>
      <c r="N69" s="3"/>
    </row>
    <row r="70" spans="1:61" hidden="1" outlineLevel="2" x14ac:dyDescent="0.3">
      <c r="C70" t="s">
        <v>62</v>
      </c>
      <c r="D70" s="3">
        <f>CyS!C252/SUM(CyS!C124,CyS!C156,CyS!C188,CyS!C220,CyS!C252)</f>
        <v>9.0452261306532666E-2</v>
      </c>
      <c r="E70" s="3">
        <f>CyS!D252/SUM(CyS!D124,CyS!D156,CyS!D188,CyS!D220,CyS!D252)</f>
        <v>8.9696969696969692E-2</v>
      </c>
      <c r="F70" s="3">
        <f>CyS!E252/SUM(CyS!E124,CyS!E156,CyS!E188,CyS!E220,CyS!E252)</f>
        <v>8.9728453364816996E-2</v>
      </c>
      <c r="G70" s="3">
        <f>CyS!F252/SUM(CyS!F124,CyS!F156,CyS!F188,CyS!F220,CyS!F252)</f>
        <v>8.9965397923875437E-2</v>
      </c>
      <c r="H70" s="3">
        <f>CyS!G252/SUM(CyS!G124,CyS!G156,CyS!G188,CyS!G220,CyS!G252)</f>
        <v>9.0395480225988686E-2</v>
      </c>
      <c r="I70" s="3">
        <f>CyS!H252/SUM(CyS!H124,CyS!H156,CyS!H188,CyS!H220,CyS!H252)</f>
        <v>8.9534883720930242E-2</v>
      </c>
      <c r="J70" s="3">
        <f>CyS!I252/SUM(CyS!I124,CyS!I156,CyS!I188,CyS!I220,CyS!I252)</f>
        <v>9.0395480225988686E-2</v>
      </c>
      <c r="K70" s="3">
        <f>CyS!J252/SUM(CyS!J124,CyS!J156,CyS!J188,CyS!J220,CyS!J252)</f>
        <v>9.0058479532163754E-2</v>
      </c>
      <c r="L70" s="3">
        <f>CyS!K252/SUM(CyS!K124,CyS!K156,CyS!K188,CyS!K220,CyS!K252)</f>
        <v>8.9839572192513373E-2</v>
      </c>
      <c r="M70" s="3"/>
      <c r="N70" s="3"/>
    </row>
    <row r="71" spans="1:61" hidden="1" outlineLevel="2" x14ac:dyDescent="0.3"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</row>
    <row r="72" spans="1:61" collapsed="1" x14ac:dyDescent="0.3">
      <c r="A72" t="s">
        <v>175</v>
      </c>
    </row>
    <row r="73" spans="1:61" hidden="1" outlineLevel="1" collapsed="1" x14ac:dyDescent="0.3">
      <c r="A73" t="s">
        <v>176</v>
      </c>
      <c r="D73">
        <v>2013</v>
      </c>
      <c r="E73">
        <v>2014</v>
      </c>
      <c r="F73">
        <v>2015</v>
      </c>
      <c r="G73">
        <v>2016</v>
      </c>
      <c r="H73">
        <v>2017</v>
      </c>
      <c r="I73">
        <v>2018</v>
      </c>
      <c r="J73">
        <v>2019</v>
      </c>
      <c r="K73">
        <v>2020</v>
      </c>
      <c r="L73">
        <v>2021</v>
      </c>
      <c r="M73">
        <v>2022</v>
      </c>
      <c r="N73">
        <v>2023</v>
      </c>
      <c r="O73">
        <v>2024</v>
      </c>
      <c r="P73">
        <v>2025</v>
      </c>
      <c r="Q73">
        <v>2026</v>
      </c>
      <c r="R73">
        <v>2027</v>
      </c>
      <c r="S73">
        <v>2028</v>
      </c>
      <c r="T73">
        <v>2029</v>
      </c>
      <c r="U73">
        <v>2030</v>
      </c>
      <c r="V73">
        <v>2031</v>
      </c>
      <c r="W73">
        <v>2032</v>
      </c>
      <c r="X73">
        <v>2033</v>
      </c>
      <c r="Y73">
        <v>2034</v>
      </c>
      <c r="Z73">
        <v>2035</v>
      </c>
      <c r="AA73">
        <v>2036</v>
      </c>
      <c r="AB73">
        <v>2037</v>
      </c>
      <c r="AC73">
        <v>2038</v>
      </c>
      <c r="AD73">
        <v>2039</v>
      </c>
      <c r="AE73">
        <v>2040</v>
      </c>
      <c r="AF73">
        <v>2041</v>
      </c>
      <c r="AG73">
        <v>2042</v>
      </c>
      <c r="AH73">
        <v>2043</v>
      </c>
      <c r="AI73">
        <v>2044</v>
      </c>
      <c r="AJ73">
        <v>2045</v>
      </c>
      <c r="AK73">
        <v>2046</v>
      </c>
      <c r="AL73">
        <v>2047</v>
      </c>
      <c r="AM73">
        <v>2048</v>
      </c>
      <c r="AN73">
        <v>2049</v>
      </c>
      <c r="AO73">
        <v>2050</v>
      </c>
      <c r="AP73">
        <v>2051</v>
      </c>
      <c r="AQ73">
        <v>2052</v>
      </c>
      <c r="AR73">
        <v>2053</v>
      </c>
      <c r="AS73">
        <v>2054</v>
      </c>
      <c r="AT73">
        <v>2055</v>
      </c>
      <c r="AU73">
        <v>2056</v>
      </c>
      <c r="AV73">
        <v>2057</v>
      </c>
      <c r="AW73">
        <v>2058</v>
      </c>
      <c r="AX73">
        <v>2059</v>
      </c>
      <c r="AY73">
        <v>2060</v>
      </c>
      <c r="AZ73">
        <v>2061</v>
      </c>
      <c r="BA73">
        <v>2062</v>
      </c>
      <c r="BB73">
        <v>2063</v>
      </c>
      <c r="BC73">
        <v>2064</v>
      </c>
      <c r="BD73">
        <v>2065</v>
      </c>
      <c r="BE73">
        <v>2066</v>
      </c>
      <c r="BF73">
        <v>2067</v>
      </c>
      <c r="BG73">
        <v>2068</v>
      </c>
      <c r="BH73">
        <v>2069</v>
      </c>
      <c r="BI73">
        <v>2070</v>
      </c>
    </row>
    <row r="74" spans="1:61" hidden="1" outlineLevel="2" x14ac:dyDescent="0.3">
      <c r="C74" t="s">
        <v>177</v>
      </c>
      <c r="D74" s="3">
        <f>D11</f>
        <v>163.95999999999998</v>
      </c>
      <c r="E74" s="3">
        <f t="shared" ref="E74:N74" si="30">E11</f>
        <v>167.03</v>
      </c>
      <c r="F74" s="3">
        <f t="shared" si="30"/>
        <v>169.87</v>
      </c>
      <c r="G74" s="3">
        <f t="shared" si="30"/>
        <v>171.42999999999998</v>
      </c>
      <c r="H74" s="3">
        <f t="shared" si="30"/>
        <v>169.47</v>
      </c>
      <c r="I74" s="3">
        <f t="shared" si="30"/>
        <v>165.70999999999998</v>
      </c>
      <c r="J74" s="3">
        <f t="shared" si="30"/>
        <v>165.41</v>
      </c>
      <c r="K74" s="3">
        <f t="shared" si="30"/>
        <v>176.76</v>
      </c>
      <c r="L74" s="3">
        <f t="shared" si="30"/>
        <v>170.83</v>
      </c>
      <c r="M74" s="3">
        <f t="shared" si="30"/>
        <v>181.46751098535287</v>
      </c>
      <c r="N74" s="3">
        <f t="shared" si="30"/>
        <v>177.46580925432758</v>
      </c>
      <c r="O74" s="3">
        <f>N74*(1+AVERAGE($E76:$N76))</f>
        <v>178.97013014128339</v>
      </c>
      <c r="P74" s="3">
        <f t="shared" ref="P74:BI74" si="31">O74*(1+AVERAGE($E76:$N76))</f>
        <v>180.48720267510819</v>
      </c>
      <c r="Q74" s="3">
        <f t="shared" si="31"/>
        <v>182.01713494743277</v>
      </c>
      <c r="R74" s="3">
        <f t="shared" si="31"/>
        <v>183.56003596614605</v>
      </c>
      <c r="S74" s="3">
        <f t="shared" si="31"/>
        <v>185.11601566316196</v>
      </c>
      <c r="T74" s="3">
        <f t="shared" si="31"/>
        <v>186.68518490225213</v>
      </c>
      <c r="U74" s="3">
        <f t="shared" si="31"/>
        <v>188.26765548694488</v>
      </c>
      <c r="V74" s="3">
        <f t="shared" si="31"/>
        <v>189.86354016849126</v>
      </c>
      <c r="W74" s="3">
        <f t="shared" si="31"/>
        <v>191.4729526538986</v>
      </c>
      <c r="X74" s="3">
        <f t="shared" si="31"/>
        <v>193.0960076140322</v>
      </c>
      <c r="Y74" s="3">
        <f t="shared" si="31"/>
        <v>194.73282069178555</v>
      </c>
      <c r="Z74" s="3">
        <f t="shared" si="31"/>
        <v>196.38350851031998</v>
      </c>
      <c r="AA74" s="3">
        <f t="shared" si="31"/>
        <v>198.04818868137403</v>
      </c>
      <c r="AB74" s="3">
        <f t="shared" si="31"/>
        <v>199.72697981364331</v>
      </c>
      <c r="AC74" s="3">
        <f t="shared" si="31"/>
        <v>201.4200015212314</v>
      </c>
      <c r="AD74" s="3">
        <f t="shared" si="31"/>
        <v>203.12737443217239</v>
      </c>
      <c r="AE74" s="3">
        <f t="shared" si="31"/>
        <v>204.8492201970256</v>
      </c>
      <c r="AF74" s="3">
        <f t="shared" si="31"/>
        <v>206.58566149754321</v>
      </c>
      <c r="AG74" s="3">
        <f t="shared" si="31"/>
        <v>208.3368220554114</v>
      </c>
      <c r="AH74" s="3">
        <f t="shared" si="31"/>
        <v>210.10282664106546</v>
      </c>
      <c r="AI74" s="3">
        <f t="shared" si="31"/>
        <v>211.88380108257977</v>
      </c>
      <c r="AJ74" s="3">
        <f t="shared" si="31"/>
        <v>213.67987227463303</v>
      </c>
      <c r="AK74" s="3">
        <f t="shared" si="31"/>
        <v>215.4911681875495</v>
      </c>
      <c r="AL74" s="3">
        <f t="shared" si="31"/>
        <v>217.31781787641702</v>
      </c>
      <c r="AM74" s="3">
        <f t="shared" si="31"/>
        <v>219.15995149028203</v>
      </c>
      <c r="AN74" s="3">
        <f t="shared" si="31"/>
        <v>221.01770028142283</v>
      </c>
      <c r="AO74" s="3">
        <f t="shared" si="31"/>
        <v>222.89119661470133</v>
      </c>
      <c r="AP74" s="3">
        <f t="shared" si="31"/>
        <v>224.78057397699396</v>
      </c>
      <c r="AQ74" s="3">
        <f t="shared" si="31"/>
        <v>226.68596698670274</v>
      </c>
      <c r="AR74" s="3">
        <f t="shared" si="31"/>
        <v>228.60751140334679</v>
      </c>
      <c r="AS74" s="3">
        <f t="shared" si="31"/>
        <v>230.54534413723525</v>
      </c>
      <c r="AT74" s="3">
        <f t="shared" si="31"/>
        <v>232.49960325922214</v>
      </c>
      <c r="AU74" s="3">
        <f t="shared" si="31"/>
        <v>234.47042801054397</v>
      </c>
      <c r="AV74" s="3">
        <f t="shared" si="31"/>
        <v>236.4579588127406</v>
      </c>
      <c r="AW74" s="3">
        <f t="shared" si="31"/>
        <v>238.46233727766042</v>
      </c>
      <c r="AX74" s="3">
        <f t="shared" si="31"/>
        <v>240.48370621755012</v>
      </c>
      <c r="AY74" s="3">
        <f t="shared" si="31"/>
        <v>242.52220965523009</v>
      </c>
      <c r="AZ74" s="3">
        <f t="shared" si="31"/>
        <v>244.57799283435614</v>
      </c>
      <c r="BA74" s="3">
        <f t="shared" si="31"/>
        <v>246.65120222976805</v>
      </c>
      <c r="BB74" s="3">
        <f t="shared" si="31"/>
        <v>248.74198555792597</v>
      </c>
      <c r="BC74" s="3">
        <f t="shared" si="31"/>
        <v>250.8504917874352</v>
      </c>
      <c r="BD74" s="3">
        <f t="shared" si="31"/>
        <v>252.9768711496603</v>
      </c>
      <c r="BE74" s="3">
        <f t="shared" si="31"/>
        <v>255.12127514942895</v>
      </c>
      <c r="BF74" s="3">
        <f t="shared" si="31"/>
        <v>257.28385657582686</v>
      </c>
      <c r="BG74" s="3">
        <f t="shared" si="31"/>
        <v>259.46476951308392</v>
      </c>
      <c r="BH74" s="3">
        <f t="shared" si="31"/>
        <v>261.66416935155274</v>
      </c>
      <c r="BI74" s="3">
        <f t="shared" si="31"/>
        <v>263.88221279878024</v>
      </c>
    </row>
    <row r="75" spans="1:61" hidden="1" outlineLevel="2" x14ac:dyDescent="0.3">
      <c r="C75" t="s">
        <v>177</v>
      </c>
      <c r="D75" s="3">
        <f>D11</f>
        <v>163.95999999999998</v>
      </c>
      <c r="E75" s="3">
        <f t="shared" ref="E75:N75" si="32">E11</f>
        <v>167.03</v>
      </c>
      <c r="F75" s="3">
        <f t="shared" si="32"/>
        <v>169.87</v>
      </c>
      <c r="G75" s="3">
        <f t="shared" si="32"/>
        <v>171.42999999999998</v>
      </c>
      <c r="H75" s="3">
        <f t="shared" si="32"/>
        <v>169.47</v>
      </c>
      <c r="I75" s="3">
        <f t="shared" si="32"/>
        <v>165.70999999999998</v>
      </c>
      <c r="J75" s="3">
        <f t="shared" si="32"/>
        <v>165.41</v>
      </c>
      <c r="K75" s="3">
        <f t="shared" si="32"/>
        <v>176.76</v>
      </c>
      <c r="L75" s="3">
        <f t="shared" si="32"/>
        <v>170.83</v>
      </c>
      <c r="M75" s="3">
        <f t="shared" si="32"/>
        <v>181.46751098535287</v>
      </c>
      <c r="N75" s="3">
        <f t="shared" si="32"/>
        <v>177.46580925432758</v>
      </c>
      <c r="O75" s="3">
        <f>N75*(1+AVERAGE($E76:$J76))</f>
        <v>177.74620696258154</v>
      </c>
      <c r="P75" s="3">
        <f t="shared" ref="P75:BI75" si="33">O75*(1+AVERAGE($E76:$J76))</f>
        <v>178.02704770194737</v>
      </c>
      <c r="Q75" s="3">
        <f t="shared" si="33"/>
        <v>178.30833217241855</v>
      </c>
      <c r="R75" s="3">
        <f t="shared" si="33"/>
        <v>178.59006107509455</v>
      </c>
      <c r="S75" s="3">
        <f t="shared" si="33"/>
        <v>178.87223511218261</v>
      </c>
      <c r="T75" s="3">
        <f t="shared" si="33"/>
        <v>179.1548549869994</v>
      </c>
      <c r="U75" s="3">
        <f t="shared" si="33"/>
        <v>179.43792140397289</v>
      </c>
      <c r="V75" s="3">
        <f t="shared" si="33"/>
        <v>179.72143506864407</v>
      </c>
      <c r="W75" s="3">
        <f t="shared" si="33"/>
        <v>180.00539668766862</v>
      </c>
      <c r="X75" s="3">
        <f t="shared" si="33"/>
        <v>180.28980696881879</v>
      </c>
      <c r="Y75" s="3">
        <f t="shared" si="33"/>
        <v>180.57466662098514</v>
      </c>
      <c r="Z75" s="3">
        <f t="shared" si="33"/>
        <v>180.85997635417823</v>
      </c>
      <c r="AA75" s="3">
        <f t="shared" si="33"/>
        <v>181.14573687953046</v>
      </c>
      <c r="AB75" s="3">
        <f t="shared" si="33"/>
        <v>181.43194890929786</v>
      </c>
      <c r="AC75" s="3">
        <f t="shared" si="33"/>
        <v>181.71861315686181</v>
      </c>
      <c r="AD75" s="3">
        <f t="shared" si="33"/>
        <v>182.00573033673081</v>
      </c>
      <c r="AE75" s="3">
        <f t="shared" si="33"/>
        <v>182.29330116454233</v>
      </c>
      <c r="AF75" s="3">
        <f t="shared" si="33"/>
        <v>182.58132635706454</v>
      </c>
      <c r="AG75" s="3">
        <f t="shared" si="33"/>
        <v>182.86980663219811</v>
      </c>
      <c r="AH75" s="3">
        <f t="shared" si="33"/>
        <v>183.158742708978</v>
      </c>
      <c r="AI75" s="3">
        <f t="shared" si="33"/>
        <v>183.44813530757526</v>
      </c>
      <c r="AJ75" s="3">
        <f t="shared" si="33"/>
        <v>183.73798514929879</v>
      </c>
      <c r="AK75" s="3">
        <f t="shared" si="33"/>
        <v>184.02829295659723</v>
      </c>
      <c r="AL75" s="3">
        <f t="shared" si="33"/>
        <v>184.31905945306059</v>
      </c>
      <c r="AM75" s="3">
        <f t="shared" si="33"/>
        <v>184.61028536342226</v>
      </c>
      <c r="AN75" s="3">
        <f t="shared" si="33"/>
        <v>184.90197141356069</v>
      </c>
      <c r="AO75" s="3">
        <f t="shared" si="33"/>
        <v>185.19411833050117</v>
      </c>
      <c r="AP75" s="3">
        <f t="shared" si="33"/>
        <v>185.48672684241777</v>
      </c>
      <c r="AQ75" s="3">
        <f t="shared" si="33"/>
        <v>185.77979767863505</v>
      </c>
      <c r="AR75" s="3">
        <f t="shared" si="33"/>
        <v>186.07333156962991</v>
      </c>
      <c r="AS75" s="3">
        <f t="shared" si="33"/>
        <v>186.36732924703341</v>
      </c>
      <c r="AT75" s="3">
        <f t="shared" si="33"/>
        <v>186.66179144363258</v>
      </c>
      <c r="AU75" s="3">
        <f t="shared" si="33"/>
        <v>186.95671889337228</v>
      </c>
      <c r="AV75" s="3">
        <f t="shared" si="33"/>
        <v>187.25211233135704</v>
      </c>
      <c r="AW75" s="3">
        <f t="shared" si="33"/>
        <v>187.5479724938528</v>
      </c>
      <c r="AX75" s="3">
        <f t="shared" si="33"/>
        <v>187.84430011828883</v>
      </c>
      <c r="AY75" s="3">
        <f t="shared" si="33"/>
        <v>188.14109594325956</v>
      </c>
      <c r="AZ75" s="3">
        <f t="shared" si="33"/>
        <v>188.4383607085264</v>
      </c>
      <c r="BA75" s="3">
        <f t="shared" si="33"/>
        <v>188.7360951550196</v>
      </c>
      <c r="BB75" s="3">
        <f t="shared" si="33"/>
        <v>189.03430002484006</v>
      </c>
      <c r="BC75" s="3">
        <f t="shared" si="33"/>
        <v>189.33297606126123</v>
      </c>
      <c r="BD75" s="3">
        <f t="shared" si="33"/>
        <v>189.63212400873093</v>
      </c>
      <c r="BE75" s="3">
        <f t="shared" si="33"/>
        <v>189.93174461287319</v>
      </c>
      <c r="BF75" s="3">
        <f t="shared" si="33"/>
        <v>190.23183862049018</v>
      </c>
      <c r="BG75" s="3">
        <f t="shared" si="33"/>
        <v>190.53240677956401</v>
      </c>
      <c r="BH75" s="3">
        <f t="shared" si="33"/>
        <v>190.83344983925861</v>
      </c>
      <c r="BI75" s="3">
        <f t="shared" si="33"/>
        <v>191.13496854992158</v>
      </c>
    </row>
    <row r="76" spans="1:61" hidden="1" outlineLevel="2" x14ac:dyDescent="0.3">
      <c r="E76" s="6">
        <f>(E74-D74)/D74</f>
        <v>1.8724079043669323E-2</v>
      </c>
      <c r="F76" s="6">
        <f t="shared" ref="F76:N76" si="34">(F74-E74)/E74</f>
        <v>1.7002933604741685E-2</v>
      </c>
      <c r="G76" s="6">
        <f t="shared" si="34"/>
        <v>9.1834932595512668E-3</v>
      </c>
      <c r="H76" s="6">
        <f t="shared" si="34"/>
        <v>-1.1433238056349413E-2</v>
      </c>
      <c r="I76" s="6">
        <f t="shared" si="34"/>
        <v>-2.2186817725851297E-2</v>
      </c>
      <c r="J76" s="6">
        <f t="shared" si="34"/>
        <v>-1.810391648059761E-3</v>
      </c>
      <c r="K76" s="6">
        <f t="shared" si="34"/>
        <v>6.8617375007556949E-2</v>
      </c>
      <c r="L76" s="6">
        <f t="shared" si="34"/>
        <v>-3.3548314098212142E-2</v>
      </c>
      <c r="M76" s="6">
        <f t="shared" si="34"/>
        <v>6.2269572003470469E-2</v>
      </c>
      <c r="N76" s="6">
        <f t="shared" si="34"/>
        <v>-2.205189077260386E-2</v>
      </c>
    </row>
    <row r="77" spans="1:61" hidden="1" outlineLevel="1" collapsed="1" x14ac:dyDescent="0.3">
      <c r="A77" t="s">
        <v>178</v>
      </c>
      <c r="D77">
        <v>2013</v>
      </c>
      <c r="E77">
        <v>2014</v>
      </c>
      <c r="F77">
        <v>2015</v>
      </c>
      <c r="G77">
        <v>2016</v>
      </c>
      <c r="H77">
        <v>2017</v>
      </c>
      <c r="I77">
        <v>2018</v>
      </c>
      <c r="J77">
        <v>2019</v>
      </c>
      <c r="K77">
        <v>2020</v>
      </c>
      <c r="L77">
        <v>2021</v>
      </c>
      <c r="M77">
        <v>2022</v>
      </c>
      <c r="N77">
        <v>2023</v>
      </c>
      <c r="O77">
        <v>2024</v>
      </c>
      <c r="P77">
        <v>2025</v>
      </c>
      <c r="Q77">
        <v>2026</v>
      </c>
      <c r="R77">
        <v>2027</v>
      </c>
      <c r="S77">
        <v>2028</v>
      </c>
      <c r="T77">
        <v>2029</v>
      </c>
      <c r="U77">
        <v>2030</v>
      </c>
      <c r="V77">
        <v>2031</v>
      </c>
      <c r="W77">
        <v>2032</v>
      </c>
      <c r="X77">
        <v>2033</v>
      </c>
      <c r="Y77">
        <v>2034</v>
      </c>
      <c r="Z77">
        <v>2035</v>
      </c>
      <c r="AA77">
        <v>2036</v>
      </c>
      <c r="AB77">
        <v>2037</v>
      </c>
      <c r="AC77">
        <v>2038</v>
      </c>
      <c r="AD77">
        <v>2039</v>
      </c>
      <c r="AE77">
        <v>2040</v>
      </c>
      <c r="AF77">
        <v>2041</v>
      </c>
      <c r="AG77">
        <v>2042</v>
      </c>
      <c r="AH77">
        <v>2043</v>
      </c>
      <c r="AI77">
        <v>2044</v>
      </c>
      <c r="AJ77">
        <v>2045</v>
      </c>
      <c r="AK77">
        <v>2046</v>
      </c>
      <c r="AL77">
        <v>2047</v>
      </c>
      <c r="AM77">
        <v>2048</v>
      </c>
      <c r="AN77">
        <v>2049</v>
      </c>
      <c r="AO77">
        <v>2050</v>
      </c>
      <c r="AP77">
        <v>2051</v>
      </c>
      <c r="AQ77">
        <v>2052</v>
      </c>
      <c r="AR77">
        <v>2053</v>
      </c>
      <c r="AS77">
        <v>2054</v>
      </c>
      <c r="AT77">
        <v>2055</v>
      </c>
      <c r="AU77">
        <v>2056</v>
      </c>
      <c r="AV77">
        <v>2057</v>
      </c>
      <c r="AW77">
        <v>2058</v>
      </c>
      <c r="AX77">
        <v>2059</v>
      </c>
      <c r="AY77">
        <v>2060</v>
      </c>
      <c r="AZ77">
        <v>2061</v>
      </c>
      <c r="BA77">
        <v>2062</v>
      </c>
      <c r="BB77">
        <v>2063</v>
      </c>
      <c r="BC77">
        <v>2064</v>
      </c>
      <c r="BD77">
        <v>2065</v>
      </c>
      <c r="BE77">
        <v>2066</v>
      </c>
      <c r="BF77">
        <v>2067</v>
      </c>
      <c r="BG77">
        <v>2068</v>
      </c>
      <c r="BH77">
        <v>2069</v>
      </c>
      <c r="BI77">
        <v>2070</v>
      </c>
    </row>
    <row r="78" spans="1:61" hidden="1" outlineLevel="2" x14ac:dyDescent="0.3">
      <c r="C78" t="s">
        <v>81</v>
      </c>
      <c r="D78" s="3">
        <f>D4</f>
        <v>2.98</v>
      </c>
      <c r="E78" s="3">
        <f t="shared" ref="E78:N78" si="35">E4</f>
        <v>3.3</v>
      </c>
      <c r="F78" s="3">
        <f t="shared" si="35"/>
        <v>3.68</v>
      </c>
      <c r="G78" s="3">
        <f t="shared" si="35"/>
        <v>3.91</v>
      </c>
      <c r="H78" s="3">
        <f t="shared" si="35"/>
        <v>3.87</v>
      </c>
      <c r="I78" s="3">
        <f t="shared" si="35"/>
        <v>4.75</v>
      </c>
      <c r="J78" s="3">
        <f t="shared" si="35"/>
        <v>5.17</v>
      </c>
      <c r="K78" s="3">
        <f t="shared" si="35"/>
        <v>5.96</v>
      </c>
      <c r="L78" s="3">
        <f t="shared" si="35"/>
        <v>6.51</v>
      </c>
      <c r="M78" s="3">
        <f t="shared" si="35"/>
        <v>6.72</v>
      </c>
      <c r="N78" s="3">
        <f t="shared" si="35"/>
        <v>8.4700000000000006</v>
      </c>
      <c r="O78" s="3">
        <f t="shared" ref="O78:AD84" si="36">N78*(1+AVERAGE($E97:$N97))</f>
        <v>9.4257347875183903</v>
      </c>
      <c r="P78" s="3">
        <f t="shared" si="36"/>
        <v>10.489312430299213</v>
      </c>
      <c r="Q78" s="3">
        <f t="shared" si="36"/>
        <v>11.672901661324717</v>
      </c>
      <c r="R78" s="3">
        <f t="shared" si="36"/>
        <v>12.990044304655205</v>
      </c>
      <c r="S78" s="3">
        <f t="shared" si="36"/>
        <v>14.455810211782017</v>
      </c>
      <c r="T78" s="3">
        <f t="shared" si="36"/>
        <v>16.086969680632507</v>
      </c>
      <c r="U78" s="3">
        <f t="shared" si="36"/>
        <v>17.902185329928148</v>
      </c>
      <c r="V78" s="3">
        <f t="shared" si="36"/>
        <v>19.922225624191867</v>
      </c>
      <c r="W78" s="3">
        <f t="shared" si="36"/>
        <v>22.170202492412695</v>
      </c>
      <c r="X78" s="3">
        <f t="shared" si="36"/>
        <v>24.671835759039105</v>
      </c>
      <c r="Y78" s="3">
        <f t="shared" si="36"/>
        <v>27.455747412740855</v>
      </c>
      <c r="Z78" s="3">
        <f t="shared" si="36"/>
        <v>30.55378907976263</v>
      </c>
      <c r="AA78" s="3">
        <f t="shared" si="36"/>
        <v>34.00140644859718</v>
      </c>
      <c r="AB78" s="3">
        <f t="shared" si="36"/>
        <v>37.83804481547751</v>
      </c>
      <c r="AC78" s="3">
        <f t="shared" si="36"/>
        <v>42.107600390664246</v>
      </c>
      <c r="AD78" s="3">
        <f t="shared" si="36"/>
        <v>46.85892252906811</v>
      </c>
      <c r="AE78" s="3">
        <f t="shared" ref="P78:BI83" si="37">AD78*(1+AVERAGE($E97:$N97))</f>
        <v>52.146372631389191</v>
      </c>
      <c r="AF78" s="3">
        <f t="shared" si="37"/>
        <v>58.03044611034025</v>
      </c>
      <c r="AG78" s="3">
        <f t="shared" si="37"/>
        <v>64.578464538069099</v>
      </c>
      <c r="AH78" s="3">
        <f t="shared" si="37"/>
        <v>71.865345893860749</v>
      </c>
      <c r="AI78" s="3">
        <f t="shared" si="37"/>
        <v>79.974461724770379</v>
      </c>
      <c r="AJ78" s="3">
        <f t="shared" si="37"/>
        <v>88.998591026236838</v>
      </c>
      <c r="AK78" s="3">
        <f t="shared" si="37"/>
        <v>99.040981756330865</v>
      </c>
      <c r="AL78" s="3">
        <f t="shared" si="37"/>
        <v>110.21653212876292</v>
      </c>
      <c r="AM78" s="3">
        <f t="shared" si="37"/>
        <v>122.65310520020293</v>
      </c>
      <c r="AN78" s="3">
        <f t="shared" si="37"/>
        <v>136.49299179252719</v>
      </c>
      <c r="AO78" s="3">
        <f t="shared" si="37"/>
        <v>151.89453848775509</v>
      </c>
      <c r="AP78" s="3">
        <f t="shared" si="37"/>
        <v>169.03395932208784</v>
      </c>
      <c r="AQ78" s="3">
        <f t="shared" si="37"/>
        <v>188.10735190722215</v>
      </c>
      <c r="AR78" s="3">
        <f t="shared" si="37"/>
        <v>209.33294104602922</v>
      </c>
      <c r="AS78" s="3">
        <f t="shared" si="37"/>
        <v>232.95357551252582</v>
      </c>
      <c r="AT78" s="3">
        <f t="shared" si="37"/>
        <v>259.23950656259819</v>
      </c>
      <c r="AU78" s="3">
        <f t="shared" si="37"/>
        <v>288.49147996531093</v>
      </c>
      <c r="AV78" s="3">
        <f t="shared" si="37"/>
        <v>321.0441769317232</v>
      </c>
      <c r="AW78" s="3">
        <f t="shared" si="37"/>
        <v>357.27004330998255</v>
      </c>
      <c r="AX78" s="3">
        <f t="shared" si="37"/>
        <v>397.58355085774548</v>
      </c>
      <c r="AY78" s="3">
        <f t="shared" si="37"/>
        <v>442.44593934650982</v>
      </c>
      <c r="AZ78" s="3">
        <f t="shared" si="37"/>
        <v>492.37049375379559</v>
      </c>
      <c r="BA78" s="3">
        <f t="shared" si="37"/>
        <v>547.92841692122272</v>
      </c>
      <c r="BB78" s="3">
        <f t="shared" si="37"/>
        <v>609.75536486945077</v>
      </c>
      <c r="BC78" s="3">
        <f t="shared" si="37"/>
        <v>678.55871954261511</v>
      </c>
      <c r="BD78" s="3">
        <f t="shared" si="37"/>
        <v>755.1256821920615</v>
      </c>
      <c r="BE78" s="3">
        <f t="shared" si="37"/>
        <v>840.33227999837891</v>
      </c>
      <c r="BF78" s="3">
        <f t="shared" si="37"/>
        <v>935.1533889793817</v>
      </c>
      <c r="BG78" s="3">
        <f t="shared" si="37"/>
        <v>1040.6738878593476</v>
      </c>
      <c r="BH78" s="3">
        <f t="shared" si="37"/>
        <v>1158.1010705145056</v>
      </c>
      <c r="BI78" s="3">
        <f t="shared" si="37"/>
        <v>1288.7784590095469</v>
      </c>
    </row>
    <row r="79" spans="1:61" hidden="1" outlineLevel="2" x14ac:dyDescent="0.3">
      <c r="C79" t="s">
        <v>83</v>
      </c>
      <c r="D79" s="3">
        <f t="shared" ref="D79:N84" si="38">D5</f>
        <v>13.459999999999999</v>
      </c>
      <c r="E79" s="3">
        <f t="shared" si="38"/>
        <v>13.4</v>
      </c>
      <c r="F79" s="3">
        <f t="shared" si="38"/>
        <v>13.329999999999998</v>
      </c>
      <c r="G79" s="3">
        <f t="shared" si="38"/>
        <v>13.27</v>
      </c>
      <c r="H79" s="3">
        <f t="shared" si="38"/>
        <v>13.2</v>
      </c>
      <c r="I79" s="3">
        <f t="shared" si="38"/>
        <v>13.13</v>
      </c>
      <c r="J79" s="3">
        <f t="shared" si="38"/>
        <v>13.07</v>
      </c>
      <c r="K79" s="3">
        <f t="shared" si="38"/>
        <v>13</v>
      </c>
      <c r="L79" s="3">
        <f t="shared" si="38"/>
        <v>12.95</v>
      </c>
      <c r="M79" s="3">
        <f t="shared" si="38"/>
        <v>12.899999999999999</v>
      </c>
      <c r="N79" s="3">
        <f t="shared" si="38"/>
        <v>12.849999999999998</v>
      </c>
      <c r="O79" s="3">
        <f t="shared" si="36"/>
        <v>12.790543903204064</v>
      </c>
      <c r="P79" s="3">
        <f t="shared" si="37"/>
        <v>12.731362905820285</v>
      </c>
      <c r="Q79" s="3">
        <f t="shared" si="37"/>
        <v>12.67245573498195</v>
      </c>
      <c r="R79" s="3">
        <f t="shared" si="37"/>
        <v>12.613821123711812</v>
      </c>
      <c r="S79" s="3">
        <f t="shared" si="37"/>
        <v>12.555457810894847</v>
      </c>
      <c r="T79" s="3">
        <f t="shared" si="37"/>
        <v>12.497364541251125</v>
      </c>
      <c r="U79" s="3">
        <f t="shared" si="37"/>
        <v>12.439540065308814</v>
      </c>
      <c r="V79" s="3">
        <f t="shared" si="37"/>
        <v>12.381983139377304</v>
      </c>
      <c r="W79" s="3">
        <f t="shared" si="37"/>
        <v>12.324692525520462</v>
      </c>
      <c r="X79" s="3">
        <f t="shared" si="37"/>
        <v>12.267666991529998</v>
      </c>
      <c r="Y79" s="3">
        <f t="shared" si="37"/>
        <v>12.210905310898971</v>
      </c>
      <c r="Z79" s="3">
        <f t="shared" si="37"/>
        <v>12.154406262795407</v>
      </c>
      <c r="AA79" s="3">
        <f t="shared" si="37"/>
        <v>12.098168632036039</v>
      </c>
      <c r="AB79" s="3">
        <f t="shared" si="37"/>
        <v>12.042191209060174</v>
      </c>
      <c r="AC79" s="3">
        <f t="shared" si="37"/>
        <v>11.986472789903674</v>
      </c>
      <c r="AD79" s="3">
        <f t="shared" si="37"/>
        <v>11.931012176173065</v>
      </c>
      <c r="AE79" s="3">
        <f t="shared" si="37"/>
        <v>11.875808175019756</v>
      </c>
      <c r="AF79" s="3">
        <f t="shared" si="37"/>
        <v>11.820859599114392</v>
      </c>
      <c r="AG79" s="3">
        <f t="shared" si="37"/>
        <v>11.766165266621311</v>
      </c>
      <c r="AH79" s="3">
        <f t="shared" si="37"/>
        <v>11.711724001173124</v>
      </c>
      <c r="AI79" s="3">
        <f t="shared" si="37"/>
        <v>11.657534631845419</v>
      </c>
      <c r="AJ79" s="3">
        <f t="shared" si="37"/>
        <v>11.60359599313157</v>
      </c>
      <c r="AK79" s="3">
        <f t="shared" si="37"/>
        <v>11.549906924917677</v>
      </c>
      <c r="AL79" s="3">
        <f t="shared" si="37"/>
        <v>11.496466272457605</v>
      </c>
      <c r="AM79" s="3">
        <f t="shared" si="37"/>
        <v>11.443272886348154</v>
      </c>
      <c r="AN79" s="3">
        <f t="shared" si="37"/>
        <v>11.39032562250434</v>
      </c>
      <c r="AO79" s="3">
        <f t="shared" si="37"/>
        <v>11.337623342134782</v>
      </c>
      <c r="AP79" s="3">
        <f t="shared" si="37"/>
        <v>11.285164911717208</v>
      </c>
      <c r="AQ79" s="3">
        <f t="shared" si="37"/>
        <v>11.232949202974085</v>
      </c>
      <c r="AR79" s="3">
        <f t="shared" si="37"/>
        <v>11.180975092848339</v>
      </c>
      <c r="AS79" s="3">
        <f t="shared" si="37"/>
        <v>11.129241463479209</v>
      </c>
      <c r="AT79" s="3">
        <f t="shared" si="37"/>
        <v>11.077747202178202</v>
      </c>
      <c r="AU79" s="3">
        <f t="shared" si="37"/>
        <v>11.026491201405159</v>
      </c>
      <c r="AV79" s="3">
        <f t="shared" si="37"/>
        <v>10.975472358744438</v>
      </c>
      <c r="AW79" s="3">
        <f t="shared" si="37"/>
        <v>10.924689576881201</v>
      </c>
      <c r="AX79" s="3">
        <f t="shared" si="37"/>
        <v>10.874141763577811</v>
      </c>
      <c r="AY79" s="3">
        <f t="shared" si="37"/>
        <v>10.823827831650341</v>
      </c>
      <c r="AZ79" s="3">
        <f t="shared" si="37"/>
        <v>10.773746698945194</v>
      </c>
      <c r="BA79" s="3">
        <f t="shared" si="37"/>
        <v>10.723897288315827</v>
      </c>
      <c r="BB79" s="3">
        <f t="shared" si="37"/>
        <v>10.674278527599581</v>
      </c>
      <c r="BC79" s="3">
        <f t="shared" si="37"/>
        <v>10.624889349594623</v>
      </c>
      <c r="BD79" s="3">
        <f t="shared" si="37"/>
        <v>10.575728692036989</v>
      </c>
      <c r="BE79" s="3">
        <f t="shared" si="37"/>
        <v>10.526795497577744</v>
      </c>
      <c r="BF79" s="3">
        <f t="shared" si="37"/>
        <v>10.478088713760236</v>
      </c>
      <c r="BG79" s="3">
        <f t="shared" si="37"/>
        <v>10.429607292997456</v>
      </c>
      <c r="BH79" s="3">
        <f t="shared" si="37"/>
        <v>10.381350192549515</v>
      </c>
      <c r="BI79" s="3">
        <f t="shared" si="37"/>
        <v>10.33331637450121</v>
      </c>
    </row>
    <row r="80" spans="1:61" hidden="1" outlineLevel="2" x14ac:dyDescent="0.3">
      <c r="C80" t="s">
        <v>84</v>
      </c>
      <c r="D80" s="3">
        <f t="shared" si="38"/>
        <v>5.77</v>
      </c>
      <c r="E80" s="3">
        <f t="shared" si="38"/>
        <v>5.85</v>
      </c>
      <c r="F80" s="3">
        <f t="shared" si="38"/>
        <v>5.92</v>
      </c>
      <c r="G80" s="3">
        <f t="shared" si="38"/>
        <v>6</v>
      </c>
      <c r="H80" s="3">
        <f t="shared" si="38"/>
        <v>6.07</v>
      </c>
      <c r="I80" s="3">
        <f t="shared" si="38"/>
        <v>6.15</v>
      </c>
      <c r="J80" s="3">
        <f t="shared" si="38"/>
        <v>6.2200000000000006</v>
      </c>
      <c r="K80" s="3">
        <f t="shared" si="38"/>
        <v>6.3000000000000007</v>
      </c>
      <c r="L80" s="3">
        <f t="shared" si="38"/>
        <v>6.38</v>
      </c>
      <c r="M80" s="3">
        <f t="shared" si="38"/>
        <v>6.4599999999999991</v>
      </c>
      <c r="N80" s="3">
        <f t="shared" si="38"/>
        <v>6.5399999999999983</v>
      </c>
      <c r="O80" s="3">
        <f t="shared" si="36"/>
        <v>6.622440447792715</v>
      </c>
      <c r="P80" s="3">
        <f t="shared" si="37"/>
        <v>6.7059201046729333</v>
      </c>
      <c r="Q80" s="3">
        <f t="shared" si="37"/>
        <v>6.7904520704667277</v>
      </c>
      <c r="R80" s="3">
        <f t="shared" si="37"/>
        <v>6.8760496101309867</v>
      </c>
      <c r="S80" s="3">
        <f t="shared" si="37"/>
        <v>6.9627261558349822</v>
      </c>
      <c r="T80" s="3">
        <f t="shared" si="37"/>
        <v>7.050495309068177</v>
      </c>
      <c r="U80" s="3">
        <f t="shared" si="37"/>
        <v>7.1393708427746034</v>
      </c>
      <c r="V80" s="3">
        <f t="shared" si="37"/>
        <v>7.2293667035141453</v>
      </c>
      <c r="W80" s="3">
        <f t="shared" si="37"/>
        <v>7.3204970136510656</v>
      </c>
      <c r="X80" s="3">
        <f t="shared" si="37"/>
        <v>7.4127760735701234</v>
      </c>
      <c r="Y80" s="3">
        <f t="shared" si="37"/>
        <v>7.5062183639206213</v>
      </c>
      <c r="Z80" s="3">
        <f t="shared" si="37"/>
        <v>7.6008385478887446</v>
      </c>
      <c r="AA80" s="3">
        <f t="shared" si="37"/>
        <v>7.6966514734985445</v>
      </c>
      <c r="AB80" s="3">
        <f t="shared" si="37"/>
        <v>7.7936721759419223</v>
      </c>
      <c r="AC80" s="3">
        <f t="shared" si="37"/>
        <v>7.8919158799379909</v>
      </c>
      <c r="AD80" s="3">
        <f t="shared" si="37"/>
        <v>7.9913980021221711</v>
      </c>
      <c r="AE80" s="3">
        <f t="shared" si="37"/>
        <v>8.092134153465409</v>
      </c>
      <c r="AF80" s="3">
        <f t="shared" si="37"/>
        <v>8.1941401417238833</v>
      </c>
      <c r="AG80" s="3">
        <f t="shared" si="37"/>
        <v>8.2974319739196005</v>
      </c>
      <c r="AH80" s="3">
        <f t="shared" si="37"/>
        <v>8.4020258588522516</v>
      </c>
      <c r="AI80" s="3">
        <f t="shared" si="37"/>
        <v>8.5079382096427345</v>
      </c>
      <c r="AJ80" s="3">
        <f t="shared" si="37"/>
        <v>8.6151856463087455</v>
      </c>
      <c r="AK80" s="3">
        <f t="shared" si="37"/>
        <v>8.7237849983728246</v>
      </c>
      <c r="AL80" s="3">
        <f t="shared" si="37"/>
        <v>8.8337533075032884</v>
      </c>
      <c r="AM80" s="3">
        <f t="shared" si="37"/>
        <v>8.9451078301884515</v>
      </c>
      <c r="AN80" s="3">
        <f t="shared" si="37"/>
        <v>9.0578660404445479</v>
      </c>
      <c r="AO80" s="3">
        <f t="shared" si="37"/>
        <v>9.1720456325578024</v>
      </c>
      <c r="AP80" s="3">
        <f t="shared" si="37"/>
        <v>9.2876645238610589</v>
      </c>
      <c r="AQ80" s="3">
        <f t="shared" si="37"/>
        <v>9.4047408575454057</v>
      </c>
      <c r="AR80" s="3">
        <f t="shared" si="37"/>
        <v>9.5232930055072558</v>
      </c>
      <c r="AS80" s="3">
        <f t="shared" si="37"/>
        <v>9.6433395712313015</v>
      </c>
      <c r="AT80" s="3">
        <f t="shared" si="37"/>
        <v>9.7648993927098235</v>
      </c>
      <c r="AU80" s="3">
        <f t="shared" si="37"/>
        <v>9.887991545398787</v>
      </c>
      <c r="AV80" s="3">
        <f t="shared" si="37"/>
        <v>10.012635345211214</v>
      </c>
      <c r="AW80" s="3">
        <f t="shared" si="37"/>
        <v>10.138850351548276</v>
      </c>
      <c r="AX80" s="3">
        <f t="shared" si="37"/>
        <v>10.26665637036861</v>
      </c>
      <c r="AY80" s="3">
        <f t="shared" si="37"/>
        <v>10.396073457296305</v>
      </c>
      <c r="AZ80" s="3">
        <f t="shared" si="37"/>
        <v>10.527121920768092</v>
      </c>
      <c r="BA80" s="3">
        <f t="shared" si="37"/>
        <v>10.659822325220178</v>
      </c>
      <c r="BB80" s="3">
        <f t="shared" si="37"/>
        <v>10.794195494315277</v>
      </c>
      <c r="BC80" s="3">
        <f t="shared" si="37"/>
        <v>10.930262514210304</v>
      </c>
      <c r="BD80" s="3">
        <f t="shared" si="37"/>
        <v>11.068044736865264</v>
      </c>
      <c r="BE80" s="3">
        <f t="shared" si="37"/>
        <v>11.207563783393857</v>
      </c>
      <c r="BF80" s="3">
        <f t="shared" si="37"/>
        <v>11.348841547456306</v>
      </c>
      <c r="BG80" s="3">
        <f t="shared" si="37"/>
        <v>11.491900198694973</v>
      </c>
      <c r="BH80" s="3">
        <f t="shared" si="37"/>
        <v>11.636762186213263</v>
      </c>
      <c r="BI80" s="3">
        <f t="shared" si="37"/>
        <v>11.783450242098397</v>
      </c>
    </row>
    <row r="81" spans="3:61" hidden="1" outlineLevel="2" x14ac:dyDescent="0.3">
      <c r="C81" t="s">
        <v>87</v>
      </c>
      <c r="D81" s="3">
        <f t="shared" si="38"/>
        <v>65.03</v>
      </c>
      <c r="E81" s="3">
        <f t="shared" si="38"/>
        <v>63.32</v>
      </c>
      <c r="F81" s="3">
        <f t="shared" si="38"/>
        <v>63.17</v>
      </c>
      <c r="G81" s="3">
        <f t="shared" si="38"/>
        <v>65.209999999999994</v>
      </c>
      <c r="H81" s="3">
        <f t="shared" si="38"/>
        <v>64.430000000000007</v>
      </c>
      <c r="I81" s="3">
        <f t="shared" si="38"/>
        <v>63.29</v>
      </c>
      <c r="J81" s="3">
        <f t="shared" si="38"/>
        <v>61.89</v>
      </c>
      <c r="K81" s="3">
        <f t="shared" si="38"/>
        <v>76.2</v>
      </c>
      <c r="L81" s="3">
        <f t="shared" si="38"/>
        <v>61.17</v>
      </c>
      <c r="M81" s="3">
        <f t="shared" si="38"/>
        <v>63.22</v>
      </c>
      <c r="N81" s="3">
        <f t="shared" si="38"/>
        <v>58.51</v>
      </c>
      <c r="O81" s="3">
        <f t="shared" si="36"/>
        <v>58.18724690547576</v>
      </c>
      <c r="P81" s="3">
        <f t="shared" si="37"/>
        <v>57.866274182854191</v>
      </c>
      <c r="Q81" s="3">
        <f t="shared" si="37"/>
        <v>57.547072011240722</v>
      </c>
      <c r="R81" s="3">
        <f t="shared" si="37"/>
        <v>57.229630623914851</v>
      </c>
      <c r="S81" s="3">
        <f t="shared" si="37"/>
        <v>56.913940308031286</v>
      </c>
      <c r="T81" s="3">
        <f t="shared" si="37"/>
        <v>56.599991404322779</v>
      </c>
      <c r="U81" s="3">
        <f t="shared" si="37"/>
        <v>56.287774306804572</v>
      </c>
      <c r="V81" s="3">
        <f t="shared" si="37"/>
        <v>55.977279462480475</v>
      </c>
      <c r="W81" s="3">
        <f t="shared" si="37"/>
        <v>55.668497371050577</v>
      </c>
      <c r="X81" s="3">
        <f t="shared" si="37"/>
        <v>55.361418584620552</v>
      </c>
      <c r="Y81" s="3">
        <f t="shared" si="37"/>
        <v>55.056033707412588</v>
      </c>
      <c r="Z81" s="3">
        <f t="shared" si="37"/>
        <v>54.752333395477912</v>
      </c>
      <c r="AA81" s="3">
        <f t="shared" si="37"/>
        <v>54.450308356410865</v>
      </c>
      <c r="AB81" s="3">
        <f t="shared" si="37"/>
        <v>54.149949349064592</v>
      </c>
      <c r="AC81" s="3">
        <f t="shared" si="37"/>
        <v>53.851247183268299</v>
      </c>
      <c r="AD81" s="3">
        <f t="shared" si="37"/>
        <v>53.554192719546037</v>
      </c>
      <c r="AE81" s="3">
        <f t="shared" si="37"/>
        <v>53.258776868837089</v>
      </c>
      <c r="AF81" s="3">
        <f t="shared" si="37"/>
        <v>52.964990592217831</v>
      </c>
      <c r="AG81" s="3">
        <f t="shared" si="37"/>
        <v>52.672824900625194</v>
      </c>
      <c r="AH81" s="3">
        <f t="shared" si="37"/>
        <v>52.382270854581613</v>
      </c>
      <c r="AI81" s="3">
        <f t="shared" si="37"/>
        <v>52.093319563921504</v>
      </c>
      <c r="AJ81" s="3">
        <f t="shared" si="37"/>
        <v>51.805962187519256</v>
      </c>
      <c r="AK81" s="3">
        <f t="shared" si="37"/>
        <v>51.520189933018706</v>
      </c>
      <c r="AL81" s="3">
        <f t="shared" si="37"/>
        <v>51.235994056564117</v>
      </c>
      <c r="AM81" s="3">
        <f t="shared" si="37"/>
        <v>50.953365862532642</v>
      </c>
      <c r="AN81" s="3">
        <f t="shared" si="37"/>
        <v>50.67229670326828</v>
      </c>
      <c r="AO81" s="3">
        <f t="shared" si="37"/>
        <v>50.392777978817243</v>
      </c>
      <c r="AP81" s="3">
        <f t="shared" si="37"/>
        <v>50.114801136664859</v>
      </c>
      <c r="AQ81" s="3">
        <f t="shared" si="37"/>
        <v>49.838357671473865</v>
      </c>
      <c r="AR81" s="3">
        <f t="shared" si="37"/>
        <v>49.563439124824164</v>
      </c>
      <c r="AS81" s="3">
        <f t="shared" si="37"/>
        <v>49.290037084954051</v>
      </c>
      <c r="AT81" s="3">
        <f t="shared" si="37"/>
        <v>49.01814318650279</v>
      </c>
      <c r="AU81" s="3">
        <f t="shared" si="37"/>
        <v>48.747749110254702</v>
      </c>
      <c r="AV81" s="3">
        <f t="shared" si="37"/>
        <v>48.478846582884579</v>
      </c>
      <c r="AW81" s="3">
        <f t="shared" si="37"/>
        <v>48.211427376704584</v>
      </c>
      <c r="AX81" s="3">
        <f t="shared" si="37"/>
        <v>47.945483309412467</v>
      </c>
      <c r="AY81" s="3">
        <f t="shared" si="37"/>
        <v>47.681006243841232</v>
      </c>
      <c r="AZ81" s="3">
        <f t="shared" si="37"/>
        <v>47.417988087710157</v>
      </c>
      <c r="BA81" s="3">
        <f t="shared" si="37"/>
        <v>47.156420793377194</v>
      </c>
      <c r="BB81" s="3">
        <f t="shared" si="37"/>
        <v>46.896296357592725</v>
      </c>
      <c r="BC81" s="3">
        <f t="shared" si="37"/>
        <v>46.637606821254685</v>
      </c>
      <c r="BD81" s="3">
        <f t="shared" si="37"/>
        <v>46.38034426916505</v>
      </c>
      <c r="BE81" s="3">
        <f t="shared" si="37"/>
        <v>46.124500829787635</v>
      </c>
      <c r="BF81" s="3">
        <f t="shared" si="37"/>
        <v>45.870068675007261</v>
      </c>
      <c r="BG81" s="3">
        <f t="shared" si="37"/>
        <v>45.617040019890226</v>
      </c>
      <c r="BH81" s="3">
        <f t="shared" si="37"/>
        <v>45.365407122446108</v>
      </c>
      <c r="BI81" s="3">
        <f t="shared" si="37"/>
        <v>45.11516228339088</v>
      </c>
    </row>
    <row r="82" spans="3:61" hidden="1" outlineLevel="2" x14ac:dyDescent="0.3">
      <c r="C82" t="s">
        <v>115</v>
      </c>
      <c r="D82" s="3">
        <f t="shared" si="38"/>
        <v>4.4000000000000004</v>
      </c>
      <c r="E82" s="3">
        <f t="shared" si="38"/>
        <v>4.46</v>
      </c>
      <c r="F82" s="3">
        <f t="shared" si="38"/>
        <v>5.22</v>
      </c>
      <c r="G82" s="3">
        <f t="shared" si="38"/>
        <v>1.97</v>
      </c>
      <c r="H82" s="3">
        <f t="shared" si="38"/>
        <v>0</v>
      </c>
      <c r="I82" s="3">
        <f t="shared" si="38"/>
        <v>0</v>
      </c>
      <c r="J82" s="3">
        <f t="shared" si="38"/>
        <v>0</v>
      </c>
      <c r="K82" s="3">
        <f t="shared" si="38"/>
        <v>0</v>
      </c>
      <c r="L82" s="3">
        <f t="shared" si="38"/>
        <v>0</v>
      </c>
      <c r="M82" s="3">
        <f t="shared" si="38"/>
        <v>0</v>
      </c>
      <c r="N82" s="3">
        <f t="shared" si="38"/>
        <v>0</v>
      </c>
      <c r="O82" s="3">
        <f t="shared" si="36"/>
        <v>0</v>
      </c>
      <c r="P82" s="3">
        <f t="shared" si="37"/>
        <v>0</v>
      </c>
      <c r="Q82" s="3">
        <f t="shared" si="37"/>
        <v>0</v>
      </c>
      <c r="R82" s="3">
        <f t="shared" si="37"/>
        <v>0</v>
      </c>
      <c r="S82" s="3">
        <f t="shared" si="37"/>
        <v>0</v>
      </c>
      <c r="T82" s="3">
        <f t="shared" si="37"/>
        <v>0</v>
      </c>
      <c r="U82" s="3">
        <f t="shared" si="37"/>
        <v>0</v>
      </c>
      <c r="V82" s="3">
        <f t="shared" si="37"/>
        <v>0</v>
      </c>
      <c r="W82" s="3">
        <f t="shared" si="37"/>
        <v>0</v>
      </c>
      <c r="X82" s="3">
        <f t="shared" si="37"/>
        <v>0</v>
      </c>
      <c r="Y82" s="3">
        <f t="shared" si="37"/>
        <v>0</v>
      </c>
      <c r="Z82" s="3">
        <f t="shared" si="37"/>
        <v>0</v>
      </c>
      <c r="AA82" s="3">
        <f t="shared" si="37"/>
        <v>0</v>
      </c>
      <c r="AB82" s="3">
        <f t="shared" si="37"/>
        <v>0</v>
      </c>
      <c r="AC82" s="3">
        <f t="shared" si="37"/>
        <v>0</v>
      </c>
      <c r="AD82" s="3">
        <f t="shared" si="37"/>
        <v>0</v>
      </c>
      <c r="AE82" s="3">
        <f t="shared" si="37"/>
        <v>0</v>
      </c>
      <c r="AF82" s="3">
        <f t="shared" si="37"/>
        <v>0</v>
      </c>
      <c r="AG82" s="3">
        <f t="shared" si="37"/>
        <v>0</v>
      </c>
      <c r="AH82" s="3">
        <f t="shared" si="37"/>
        <v>0</v>
      </c>
      <c r="AI82" s="3">
        <f t="shared" si="37"/>
        <v>0</v>
      </c>
      <c r="AJ82" s="3">
        <f t="shared" si="37"/>
        <v>0</v>
      </c>
      <c r="AK82" s="3">
        <f t="shared" si="37"/>
        <v>0</v>
      </c>
      <c r="AL82" s="3">
        <f t="shared" si="37"/>
        <v>0</v>
      </c>
      <c r="AM82" s="3">
        <f t="shared" si="37"/>
        <v>0</v>
      </c>
      <c r="AN82" s="3">
        <f t="shared" si="37"/>
        <v>0</v>
      </c>
      <c r="AO82" s="3">
        <f t="shared" si="37"/>
        <v>0</v>
      </c>
      <c r="AP82" s="3">
        <f t="shared" si="37"/>
        <v>0</v>
      </c>
      <c r="AQ82" s="3">
        <f t="shared" si="37"/>
        <v>0</v>
      </c>
      <c r="AR82" s="3">
        <f t="shared" si="37"/>
        <v>0</v>
      </c>
      <c r="AS82" s="3">
        <f t="shared" si="37"/>
        <v>0</v>
      </c>
      <c r="AT82" s="3">
        <f t="shared" si="37"/>
        <v>0</v>
      </c>
      <c r="AU82" s="3">
        <f t="shared" si="37"/>
        <v>0</v>
      </c>
      <c r="AV82" s="3">
        <f t="shared" si="37"/>
        <v>0</v>
      </c>
      <c r="AW82" s="3">
        <f t="shared" si="37"/>
        <v>0</v>
      </c>
      <c r="AX82" s="3">
        <f t="shared" si="37"/>
        <v>0</v>
      </c>
      <c r="AY82" s="3">
        <f t="shared" si="37"/>
        <v>0</v>
      </c>
      <c r="AZ82" s="3">
        <f t="shared" si="37"/>
        <v>0</v>
      </c>
      <c r="BA82" s="3">
        <f t="shared" si="37"/>
        <v>0</v>
      </c>
      <c r="BB82" s="3">
        <f t="shared" si="37"/>
        <v>0</v>
      </c>
      <c r="BC82" s="3">
        <f t="shared" si="37"/>
        <v>0</v>
      </c>
      <c r="BD82" s="3">
        <f t="shared" si="37"/>
        <v>0</v>
      </c>
      <c r="BE82" s="3">
        <f t="shared" si="37"/>
        <v>0</v>
      </c>
      <c r="BF82" s="3">
        <f t="shared" si="37"/>
        <v>0</v>
      </c>
      <c r="BG82" s="3">
        <f t="shared" si="37"/>
        <v>0</v>
      </c>
      <c r="BH82" s="3">
        <f t="shared" si="37"/>
        <v>0</v>
      </c>
      <c r="BI82" s="3">
        <f t="shared" si="37"/>
        <v>0</v>
      </c>
    </row>
    <row r="83" spans="3:61" hidden="1" outlineLevel="2" x14ac:dyDescent="0.3">
      <c r="C83" t="s">
        <v>89</v>
      </c>
      <c r="D83" s="3">
        <f t="shared" si="38"/>
        <v>11.1</v>
      </c>
      <c r="E83" s="3">
        <f t="shared" si="38"/>
        <v>13.13</v>
      </c>
      <c r="F83" s="3">
        <f t="shared" si="38"/>
        <v>13.34</v>
      </c>
      <c r="G83" s="3">
        <f t="shared" si="38"/>
        <v>14.38</v>
      </c>
      <c r="H83" s="3">
        <f t="shared" si="38"/>
        <v>13.77</v>
      </c>
      <c r="I83" s="3">
        <f t="shared" si="38"/>
        <v>12.22</v>
      </c>
      <c r="J83" s="3">
        <f t="shared" si="38"/>
        <v>10.96</v>
      </c>
      <c r="K83" s="3">
        <f t="shared" si="38"/>
        <v>9.5</v>
      </c>
      <c r="L83" s="3">
        <f t="shared" si="38"/>
        <v>11.83</v>
      </c>
      <c r="M83" s="3">
        <f t="shared" si="38"/>
        <v>11.99</v>
      </c>
      <c r="N83" s="3">
        <f t="shared" si="38"/>
        <v>13.18</v>
      </c>
      <c r="O83" s="3">
        <f t="shared" si="36"/>
        <v>13.501025749697254</v>
      </c>
      <c r="P83" s="3">
        <f t="shared" si="37"/>
        <v>13.829870735507457</v>
      </c>
      <c r="Q83" s="3">
        <f t="shared" si="37"/>
        <v>14.166725410855134</v>
      </c>
      <c r="R83" s="3">
        <f t="shared" si="37"/>
        <v>14.511784868045947</v>
      </c>
      <c r="S83" s="3">
        <f t="shared" si="37"/>
        <v>14.865248951256092</v>
      </c>
      <c r="T83" s="3">
        <f t="shared" si="37"/>
        <v>15.227322372273793</v>
      </c>
      <c r="U83" s="3">
        <f t="shared" si="37"/>
        <v>15.598214829059906</v>
      </c>
      <c r="V83" s="3">
        <f t="shared" si="37"/>
        <v>15.978141127196308</v>
      </c>
      <c r="W83" s="3">
        <f t="shared" si="37"/>
        <v>16.367321304292417</v>
      </c>
      <c r="X83" s="3">
        <f t="shared" si="37"/>
        <v>16.765980757421879</v>
      </c>
      <c r="Y83" s="3">
        <f t="shared" si="37"/>
        <v>17.174350373663238</v>
      </c>
      <c r="Z83" s="3">
        <f t="shared" si="37"/>
        <v>17.592666663820182</v>
      </c>
      <c r="AA83" s="3">
        <f t="shared" si="37"/>
        <v>18.021171899398844</v>
      </c>
      <c r="AB83" s="3">
        <f t="shared" si="37"/>
        <v>18.460114252921425</v>
      </c>
      <c r="AC83" s="3">
        <f t="shared" si="37"/>
        <v>18.909747941657468</v>
      </c>
      <c r="AD83" s="3">
        <f t="shared" si="37"/>
        <v>19.370333374856003</v>
      </c>
      <c r="AE83" s="3">
        <f t="shared" si="37"/>
        <v>19.84213730456381</v>
      </c>
      <c r="AF83" s="3">
        <f t="shared" si="37"/>
        <v>20.325432980117181</v>
      </c>
      <c r="AG83" s="3">
        <f t="shared" si="37"/>
        <v>20.820500306396649</v>
      </c>
      <c r="AH83" s="3">
        <f t="shared" si="37"/>
        <v>21.32762600593632</v>
      </c>
      <c r="AI83" s="3">
        <f t="shared" si="37"/>
        <v>21.847103784981719</v>
      </c>
      <c r="AJ83" s="3">
        <f t="shared" si="37"/>
        <v>22.379234503592301</v>
      </c>
      <c r="AK83" s="3">
        <f t="shared" si="37"/>
        <v>22.924326349887171</v>
      </c>
      <c r="AL83" s="3">
        <f t="shared" si="37"/>
        <v>23.482695018534898</v>
      </c>
      <c r="AM83" s="3">
        <f t="shared" si="37"/>
        <v>24.054663893590824</v>
      </c>
      <c r="AN83" s="3">
        <f t="shared" si="37"/>
        <v>24.640564235787746</v>
      </c>
      <c r="AO83" s="3">
        <f t="shared" si="37"/>
        <v>25.240735374388436</v>
      </c>
      <c r="AP83" s="3">
        <f t="shared" si="37"/>
        <v>25.855524903711125</v>
      </c>
      <c r="AQ83" s="3">
        <f t="shared" si="37"/>
        <v>26.485288884441768</v>
      </c>
      <c r="AR83" s="3">
        <f t="shared" si="37"/>
        <v>27.130392049849679</v>
      </c>
      <c r="AS83" s="3">
        <f t="shared" si="37"/>
        <v>27.791208017025962</v>
      </c>
      <c r="AT83" s="3">
        <f t="shared" si="37"/>
        <v>28.46811950326709</v>
      </c>
      <c r="AU83" s="3">
        <f t="shared" si="37"/>
        <v>29.161518547728949</v>
      </c>
      <c r="AV83" s="3">
        <f t="shared" si="37"/>
        <v>29.871806738479712</v>
      </c>
      <c r="AW83" s="3">
        <f t="shared" si="37"/>
        <v>30.599395445083044</v>
      </c>
      <c r="AX83" s="3">
        <f t="shared" si="37"/>
        <v>31.344706056846359</v>
      </c>
      <c r="AY83" s="3">
        <f t="shared" si="37"/>
        <v>32.10817022687209</v>
      </c>
      <c r="AZ83" s="3">
        <f t="shared" si="37"/>
        <v>32.890230122053325</v>
      </c>
      <c r="BA83" s="3">
        <f t="shared" si="37"/>
        <v>33.691338679158591</v>
      </c>
      <c r="BB83" s="3">
        <f t="shared" si="37"/>
        <v>34.511959867154111</v>
      </c>
      <c r="BC83" s="3">
        <f t="shared" si="37"/>
        <v>35.352568955915466</v>
      </c>
      <c r="BD83" s="3">
        <f t="shared" ref="P83:BI84" si="39">BC83*(1+AVERAGE($E102:$N102))</f>
        <v>36.21365279148425</v>
      </c>
      <c r="BE83" s="3">
        <f t="shared" si="39"/>
        <v>37.095710078029185</v>
      </c>
      <c r="BF83" s="3">
        <f t="shared" si="39"/>
        <v>37.999251666674958</v>
      </c>
      <c r="BG83" s="3">
        <f t="shared" si="39"/>
        <v>38.924800851366079</v>
      </c>
      <c r="BH83" s="3">
        <f t="shared" si="39"/>
        <v>39.872893671937106</v>
      </c>
      <c r="BI83" s="3">
        <f t="shared" si="39"/>
        <v>40.844079224564759</v>
      </c>
    </row>
    <row r="84" spans="3:61" hidden="1" outlineLevel="2" x14ac:dyDescent="0.3">
      <c r="C84" t="s">
        <v>91</v>
      </c>
      <c r="D84" s="3">
        <f t="shared" si="38"/>
        <v>61.219999999999985</v>
      </c>
      <c r="E84" s="3">
        <f t="shared" si="38"/>
        <v>63.570000000000007</v>
      </c>
      <c r="F84" s="3">
        <f t="shared" si="38"/>
        <v>65.210000000000008</v>
      </c>
      <c r="G84" s="3">
        <f t="shared" si="38"/>
        <v>66.69</v>
      </c>
      <c r="H84" s="3">
        <f t="shared" si="38"/>
        <v>68.13</v>
      </c>
      <c r="I84" s="3">
        <f t="shared" si="38"/>
        <v>66.17</v>
      </c>
      <c r="J84" s="3">
        <f t="shared" si="38"/>
        <v>68.099999999999994</v>
      </c>
      <c r="K84" s="3">
        <f t="shared" si="38"/>
        <v>65.8</v>
      </c>
      <c r="L84" s="3">
        <f t="shared" si="38"/>
        <v>71.990000000000009</v>
      </c>
      <c r="M84" s="3">
        <f t="shared" si="38"/>
        <v>80.177510985352882</v>
      </c>
      <c r="N84" s="3">
        <f t="shared" si="38"/>
        <v>77.91580925432757</v>
      </c>
      <c r="O84" s="3">
        <f t="shared" si="36"/>
        <v>79.900272148437708</v>
      </c>
      <c r="P84" s="3">
        <f t="shared" si="39"/>
        <v>81.935277968505858</v>
      </c>
      <c r="Q84" s="3">
        <f t="shared" si="39"/>
        <v>84.022114008626545</v>
      </c>
      <c r="R84" s="3">
        <f t="shared" si="39"/>
        <v>86.162100349403076</v>
      </c>
      <c r="S84" s="3">
        <f t="shared" si="39"/>
        <v>88.356590692997727</v>
      </c>
      <c r="T84" s="3">
        <f t="shared" si="39"/>
        <v>90.606973219450055</v>
      </c>
      <c r="U84" s="3">
        <f t="shared" si="39"/>
        <v>92.914671464805082</v>
      </c>
      <c r="V84" s="3">
        <f t="shared" si="39"/>
        <v>95.281145221606863</v>
      </c>
      <c r="W84" s="3">
        <f t="shared" si="39"/>
        <v>97.707891462326884</v>
      </c>
      <c r="X84" s="3">
        <f t="shared" si="39"/>
        <v>100.1964452863117</v>
      </c>
      <c r="Y84" s="3">
        <f t="shared" si="39"/>
        <v>102.74838089084857</v>
      </c>
      <c r="Z84" s="3">
        <f t="shared" si="39"/>
        <v>105.36531256696357</v>
      </c>
      <c r="AA84" s="3">
        <f t="shared" si="39"/>
        <v>108.04889572058192</v>
      </c>
      <c r="AB84" s="3">
        <f t="shared" si="39"/>
        <v>110.80082791969672</v>
      </c>
      <c r="AC84" s="3">
        <f t="shared" si="39"/>
        <v>113.6228499682081</v>
      </c>
      <c r="AD84" s="3">
        <f t="shared" si="39"/>
        <v>116.51674700711267</v>
      </c>
      <c r="AE84" s="3">
        <f t="shared" si="39"/>
        <v>119.48434964373921</v>
      </c>
      <c r="AF84" s="3">
        <f t="shared" si="39"/>
        <v>122.52753510974541</v>
      </c>
      <c r="AG84" s="3">
        <f t="shared" si="39"/>
        <v>125.64822844860798</v>
      </c>
      <c r="AH84" s="3">
        <f t="shared" si="39"/>
        <v>128.84840373335723</v>
      </c>
      <c r="AI84" s="3">
        <f t="shared" si="39"/>
        <v>132.13008531532665</v>
      </c>
      <c r="AJ84" s="3">
        <f t="shared" si="39"/>
        <v>135.49534910470723</v>
      </c>
      <c r="AK84" s="3">
        <f t="shared" si="39"/>
        <v>138.94632388371662</v>
      </c>
      <c r="AL84" s="3">
        <f t="shared" si="39"/>
        <v>142.48519265321386</v>
      </c>
      <c r="AM84" s="3">
        <f t="shared" si="39"/>
        <v>146.1141940136115</v>
      </c>
      <c r="AN84" s="3">
        <f t="shared" si="39"/>
        <v>149.83562358095847</v>
      </c>
      <c r="AO84" s="3">
        <f t="shared" si="39"/>
        <v>153.65183543908981</v>
      </c>
      <c r="AP84" s="3">
        <f t="shared" si="39"/>
        <v>157.56524362876158</v>
      </c>
      <c r="AQ84" s="3">
        <f t="shared" si="39"/>
        <v>161.578323674713</v>
      </c>
      <c r="AR84" s="3">
        <f t="shared" si="39"/>
        <v>165.69361415162192</v>
      </c>
      <c r="AS84" s="3">
        <f t="shared" si="39"/>
        <v>169.91371828994392</v>
      </c>
      <c r="AT84" s="3">
        <f t="shared" si="39"/>
        <v>174.24130562265134</v>
      </c>
      <c r="AU84" s="3">
        <f t="shared" si="39"/>
        <v>178.67911367391341</v>
      </c>
      <c r="AV84" s="3">
        <f t="shared" si="39"/>
        <v>183.22994969078599</v>
      </c>
      <c r="AW84" s="3">
        <f t="shared" si="39"/>
        <v>187.89669241900626</v>
      </c>
      <c r="AX84" s="3">
        <f t="shared" si="39"/>
        <v>192.68229392401574</v>
      </c>
      <c r="AY84" s="3">
        <f t="shared" si="39"/>
        <v>197.58978145836352</v>
      </c>
      <c r="AZ84" s="3">
        <f t="shared" si="39"/>
        <v>202.62225937667088</v>
      </c>
      <c r="BA84" s="3">
        <f t="shared" si="39"/>
        <v>207.78291109936899</v>
      </c>
      <c r="BB84" s="3">
        <f t="shared" si="39"/>
        <v>213.07500112645141</v>
      </c>
      <c r="BC84" s="3">
        <f t="shared" si="39"/>
        <v>218.50187710251569</v>
      </c>
      <c r="BD84" s="3">
        <f t="shared" si="39"/>
        <v>224.06697193440016</v>
      </c>
      <c r="BE84" s="3">
        <f t="shared" si="39"/>
        <v>229.7738059627554</v>
      </c>
      <c r="BF84" s="3">
        <f t="shared" si="39"/>
        <v>235.62598918892428</v>
      </c>
      <c r="BG84" s="3">
        <f t="shared" si="39"/>
        <v>241.62722355853901</v>
      </c>
      <c r="BH84" s="3">
        <f t="shared" si="39"/>
        <v>247.78130530327996</v>
      </c>
      <c r="BI84" s="3">
        <f t="shared" si="39"/>
        <v>254.09212734227742</v>
      </c>
    </row>
    <row r="85" spans="3:61" hidden="1" outlineLevel="2" x14ac:dyDescent="0.3">
      <c r="C85" t="s">
        <v>179</v>
      </c>
      <c r="D85" s="3">
        <f>SUM(D78:D84)</f>
        <v>163.95999999999998</v>
      </c>
      <c r="E85" s="3">
        <f t="shared" ref="E85:BI85" si="40">SUM(E78:E84)</f>
        <v>167.03</v>
      </c>
      <c r="F85" s="3">
        <f t="shared" si="40"/>
        <v>169.87</v>
      </c>
      <c r="G85" s="3">
        <f t="shared" si="40"/>
        <v>171.42999999999998</v>
      </c>
      <c r="H85" s="3">
        <f t="shared" si="40"/>
        <v>169.47</v>
      </c>
      <c r="I85" s="3">
        <f t="shared" si="40"/>
        <v>165.70999999999998</v>
      </c>
      <c r="J85" s="3">
        <f t="shared" si="40"/>
        <v>165.41</v>
      </c>
      <c r="K85" s="3">
        <f t="shared" si="40"/>
        <v>176.76</v>
      </c>
      <c r="L85" s="3">
        <f t="shared" si="40"/>
        <v>170.83</v>
      </c>
      <c r="M85" s="3">
        <f t="shared" si="40"/>
        <v>181.46751098535287</v>
      </c>
      <c r="N85" s="3">
        <f t="shared" si="40"/>
        <v>177.46580925432758</v>
      </c>
      <c r="O85" s="3">
        <f t="shared" si="40"/>
        <v>180.42726394212588</v>
      </c>
      <c r="P85" s="3">
        <f t="shared" si="40"/>
        <v>183.55801832765994</v>
      </c>
      <c r="Q85" s="3">
        <f t="shared" si="40"/>
        <v>186.87172089749578</v>
      </c>
      <c r="R85" s="3">
        <f t="shared" si="40"/>
        <v>190.38343087986186</v>
      </c>
      <c r="S85" s="3">
        <f t="shared" si="40"/>
        <v>194.10977413079695</v>
      </c>
      <c r="T85" s="3">
        <f t="shared" si="40"/>
        <v>198.06911652699841</v>
      </c>
      <c r="U85" s="3">
        <f t="shared" si="40"/>
        <v>202.28175683868113</v>
      </c>
      <c r="V85" s="3">
        <f t="shared" si="40"/>
        <v>206.77014127836696</v>
      </c>
      <c r="W85" s="3">
        <f t="shared" si="40"/>
        <v>211.55910216925412</v>
      </c>
      <c r="X85" s="3">
        <f t="shared" si="40"/>
        <v>216.67612345249336</v>
      </c>
      <c r="Y85" s="3">
        <f t="shared" si="40"/>
        <v>222.15163605948482</v>
      </c>
      <c r="Z85" s="3">
        <f t="shared" si="40"/>
        <v>228.01934651670842</v>
      </c>
      <c r="AA85" s="3">
        <f t="shared" si="40"/>
        <v>234.3166025305234</v>
      </c>
      <c r="AB85" s="3">
        <f t="shared" si="40"/>
        <v>241.0847997221623</v>
      </c>
      <c r="AC85" s="3">
        <f t="shared" si="40"/>
        <v>248.36983415363977</v>
      </c>
      <c r="AD85" s="3">
        <f t="shared" si="40"/>
        <v>256.22260580887803</v>
      </c>
      <c r="AE85" s="3">
        <f t="shared" si="40"/>
        <v>264.69957877701449</v>
      </c>
      <c r="AF85" s="3">
        <f t="shared" si="40"/>
        <v>273.86340453325892</v>
      </c>
      <c r="AG85" s="3">
        <f t="shared" si="40"/>
        <v>283.78361543423983</v>
      </c>
      <c r="AH85" s="3">
        <f t="shared" si="40"/>
        <v>294.53739634776127</v>
      </c>
      <c r="AI85" s="3">
        <f t="shared" si="40"/>
        <v>306.21044323048841</v>
      </c>
      <c r="AJ85" s="3">
        <f t="shared" si="40"/>
        <v>318.89791846149592</v>
      </c>
      <c r="AK85" s="3">
        <f t="shared" si="40"/>
        <v>332.70551384624389</v>
      </c>
      <c r="AL85" s="3">
        <f t="shared" si="40"/>
        <v>347.7506334370367</v>
      </c>
      <c r="AM85" s="3">
        <f t="shared" si="40"/>
        <v>364.16370968647448</v>
      </c>
      <c r="AN85" s="3">
        <f t="shared" si="40"/>
        <v>382.08966797549056</v>
      </c>
      <c r="AO85" s="3">
        <f t="shared" si="40"/>
        <v>401.68955625474314</v>
      </c>
      <c r="AP85" s="3">
        <f t="shared" si="40"/>
        <v>423.14235842680364</v>
      </c>
      <c r="AQ85" s="3">
        <f t="shared" si="40"/>
        <v>446.64701219837036</v>
      </c>
      <c r="AR85" s="3">
        <f t="shared" si="40"/>
        <v>472.42465447068059</v>
      </c>
      <c r="AS85" s="3">
        <f t="shared" si="40"/>
        <v>500.72111993916025</v>
      </c>
      <c r="AT85" s="3">
        <f t="shared" si="40"/>
        <v>531.80972146990746</v>
      </c>
      <c r="AU85" s="3">
        <f t="shared" si="40"/>
        <v>565.994344044012</v>
      </c>
      <c r="AV85" s="3">
        <f t="shared" si="40"/>
        <v>603.6128876478291</v>
      </c>
      <c r="AW85" s="3">
        <f t="shared" si="40"/>
        <v>645.04109847920586</v>
      </c>
      <c r="AX85" s="3">
        <f t="shared" si="40"/>
        <v>690.69683228196641</v>
      </c>
      <c r="AY85" s="3">
        <f t="shared" si="40"/>
        <v>741.04479856453338</v>
      </c>
      <c r="AZ85" s="3">
        <f t="shared" si="40"/>
        <v>796.60183995994328</v>
      </c>
      <c r="BA85" s="3">
        <f t="shared" si="40"/>
        <v>857.94280710666339</v>
      </c>
      <c r="BB85" s="3">
        <f t="shared" si="40"/>
        <v>925.70709624256392</v>
      </c>
      <c r="BC85" s="3">
        <f t="shared" si="40"/>
        <v>1000.6059242861058</v>
      </c>
      <c r="BD85" s="3">
        <f t="shared" si="40"/>
        <v>1083.4304246160132</v>
      </c>
      <c r="BE85" s="3">
        <f t="shared" si="40"/>
        <v>1175.0606561499228</v>
      </c>
      <c r="BF85" s="3">
        <f t="shared" si="40"/>
        <v>1276.4756287712048</v>
      </c>
      <c r="BG85" s="3">
        <f t="shared" si="40"/>
        <v>1388.7644597808355</v>
      </c>
      <c r="BH85" s="3">
        <f t="shared" si="40"/>
        <v>1513.1387889909315</v>
      </c>
      <c r="BI85" s="3">
        <f t="shared" si="40"/>
        <v>1650.9465944763792</v>
      </c>
    </row>
    <row r="86" spans="3:61" hidden="1" outlineLevel="2" x14ac:dyDescent="0.3"/>
    <row r="87" spans="3:61" hidden="1" outlineLevel="2" x14ac:dyDescent="0.3">
      <c r="C87" t="s">
        <v>81</v>
      </c>
      <c r="D87" s="3">
        <f>D4</f>
        <v>2.98</v>
      </c>
      <c r="E87" s="3">
        <f t="shared" ref="E87:N87" si="41">E4</f>
        <v>3.3</v>
      </c>
      <c r="F87" s="3">
        <f t="shared" si="41"/>
        <v>3.68</v>
      </c>
      <c r="G87" s="3">
        <f t="shared" si="41"/>
        <v>3.91</v>
      </c>
      <c r="H87" s="3">
        <f t="shared" si="41"/>
        <v>3.87</v>
      </c>
      <c r="I87" s="3">
        <f t="shared" si="41"/>
        <v>4.75</v>
      </c>
      <c r="J87" s="3">
        <f t="shared" si="41"/>
        <v>5.17</v>
      </c>
      <c r="K87" s="3">
        <f t="shared" si="41"/>
        <v>5.96</v>
      </c>
      <c r="L87" s="3">
        <f t="shared" si="41"/>
        <v>6.51</v>
      </c>
      <c r="M87" s="3">
        <f t="shared" si="41"/>
        <v>6.72</v>
      </c>
      <c r="N87" s="3">
        <f t="shared" si="41"/>
        <v>8.4700000000000006</v>
      </c>
      <c r="O87" s="3">
        <f>N87*(1+AVERAGE($E97:$J97))</f>
        <v>9.3037516776896929</v>
      </c>
      <c r="P87" s="3">
        <f t="shared" ref="P87:BI92" si="42">O87*(1+AVERAGE($E97:$J97))</f>
        <v>10.219574413236572</v>
      </c>
      <c r="Q87" s="3">
        <f t="shared" si="42"/>
        <v>11.225546941254356</v>
      </c>
      <c r="R87" s="3">
        <f t="shared" si="42"/>
        <v>12.330543233492278</v>
      </c>
      <c r="S87" s="3">
        <f t="shared" si="42"/>
        <v>13.544310778681117</v>
      </c>
      <c r="T87" s="3">
        <f t="shared" si="42"/>
        <v>14.877556567922671</v>
      </c>
      <c r="U87" s="3">
        <f t="shared" si="42"/>
        <v>16.34204154412442</v>
      </c>
      <c r="V87" s="3">
        <f t="shared" si="42"/>
        <v>17.950684348644888</v>
      </c>
      <c r="W87" s="3">
        <f t="shared" si="42"/>
        <v>19.717675280328567</v>
      </c>
      <c r="X87" s="3">
        <f t="shared" si="42"/>
        <v>21.658601472195688</v>
      </c>
      <c r="Y87" s="3">
        <f t="shared" si="42"/>
        <v>23.790584390006263</v>
      </c>
      <c r="Z87" s="3">
        <f t="shared" si="42"/>
        <v>26.132430865612626</v>
      </c>
      <c r="AA87" s="3">
        <f t="shared" si="42"/>
        <v>28.704798997408897</v>
      </c>
      <c r="AB87" s="3">
        <f t="shared" si="42"/>
        <v>31.530380381332751</v>
      </c>
      <c r="AC87" s="3">
        <f t="shared" si="42"/>
        <v>34.634100279931374</v>
      </c>
      <c r="AD87" s="3">
        <f t="shared" si="42"/>
        <v>38.043337495240209</v>
      </c>
      <c r="AE87" s="3">
        <f t="shared" si="42"/>
        <v>41.788165885036157</v>
      </c>
      <c r="AF87" s="3">
        <f t="shared" si="42"/>
        <v>45.901619652949265</v>
      </c>
      <c r="AG87" s="3">
        <f t="shared" si="42"/>
        <v>50.419984752632921</v>
      </c>
      <c r="AH87" s="3">
        <f t="shared" si="42"/>
        <v>55.383118976552211</v>
      </c>
      <c r="AI87" s="3">
        <f t="shared" si="42"/>
        <v>60.834803552985292</v>
      </c>
      <c r="AJ87" s="3">
        <f t="shared" si="42"/>
        <v>66.823129352775652</v>
      </c>
      <c r="AK87" s="3">
        <f t="shared" si="42"/>
        <v>73.400921112675533</v>
      </c>
      <c r="AL87" s="3">
        <f t="shared" si="42"/>
        <v>80.626203417476233</v>
      </c>
      <c r="AM87" s="3">
        <f t="shared" si="42"/>
        <v>88.562712551486996</v>
      </c>
      <c r="AN87" s="3">
        <f t="shared" si="42"/>
        <v>97.280458734551004</v>
      </c>
      <c r="AO87" s="3">
        <f t="shared" si="42"/>
        <v>106.85634370224342</v>
      </c>
      <c r="AP87" s="3">
        <f t="shared" si="42"/>
        <v>117.37483907810314</v>
      </c>
      <c r="AQ87" s="3">
        <f t="shared" si="42"/>
        <v>128.92873152201412</v>
      </c>
      <c r="AR87" s="3">
        <f t="shared" si="42"/>
        <v>141.6199412279035</v>
      </c>
      <c r="AS87" s="3">
        <f t="shared" si="42"/>
        <v>155.56042099095899</v>
      </c>
      <c r="AT87" s="3">
        <f t="shared" si="42"/>
        <v>170.87314377529509</v>
      </c>
      <c r="AU87" s="3">
        <f t="shared" si="42"/>
        <v>187.6931874936852</v>
      </c>
      <c r="AV87" s="3">
        <f t="shared" si="42"/>
        <v>206.16892656851235</v>
      </c>
      <c r="AW87" s="3">
        <f t="shared" si="42"/>
        <v>226.46334078503892</v>
      </c>
      <c r="AX87" s="3">
        <f t="shared" si="42"/>
        <v>248.75545298276484</v>
      </c>
      <c r="AY87" s="3">
        <f t="shared" si="42"/>
        <v>273.24190826716148</v>
      </c>
      <c r="AZ87" s="3">
        <f t="shared" si="42"/>
        <v>300.13870867246004</v>
      </c>
      <c r="BA87" s="3">
        <f t="shared" si="42"/>
        <v>329.68311857745192</v>
      </c>
      <c r="BB87" s="3">
        <f t="shared" si="42"/>
        <v>362.13575768251923</v>
      </c>
      <c r="BC87" s="3">
        <f t="shared" si="42"/>
        <v>397.78290001064533</v>
      </c>
      <c r="BD87" s="3">
        <f t="shared" si="42"/>
        <v>436.93899921255166</v>
      </c>
      <c r="BE87" s="3">
        <f t="shared" si="42"/>
        <v>479.9494624524005</v>
      </c>
      <c r="BF87" s="3">
        <f t="shared" si="42"/>
        <v>527.19369734330428</v>
      </c>
      <c r="BG87" s="3">
        <f t="shared" si="42"/>
        <v>579.08845881053116</v>
      </c>
      <c r="BH87" s="3">
        <f t="shared" si="42"/>
        <v>636.09152540604691</v>
      </c>
      <c r="BI87" s="3">
        <f t="shared" si="42"/>
        <v>698.70573750421534</v>
      </c>
    </row>
    <row r="88" spans="3:61" hidden="1" outlineLevel="2" x14ac:dyDescent="0.3">
      <c r="C88" t="s">
        <v>83</v>
      </c>
      <c r="D88" s="3">
        <f t="shared" ref="D88:N88" si="43">D5</f>
        <v>13.459999999999999</v>
      </c>
      <c r="E88" s="3">
        <f t="shared" si="43"/>
        <v>13.4</v>
      </c>
      <c r="F88" s="3">
        <f t="shared" si="43"/>
        <v>13.329999999999998</v>
      </c>
      <c r="G88" s="3">
        <f t="shared" si="43"/>
        <v>13.27</v>
      </c>
      <c r="H88" s="3">
        <f t="shared" si="43"/>
        <v>13.2</v>
      </c>
      <c r="I88" s="3">
        <f t="shared" si="43"/>
        <v>13.13</v>
      </c>
      <c r="J88" s="3">
        <f t="shared" si="43"/>
        <v>13.07</v>
      </c>
      <c r="K88" s="3">
        <f t="shared" si="43"/>
        <v>13</v>
      </c>
      <c r="L88" s="3">
        <f t="shared" si="43"/>
        <v>12.95</v>
      </c>
      <c r="M88" s="3">
        <f t="shared" si="43"/>
        <v>12.899999999999999</v>
      </c>
      <c r="N88" s="3">
        <f t="shared" si="43"/>
        <v>12.849999999999998</v>
      </c>
      <c r="O88" s="3">
        <f t="shared" ref="O88:AD93" si="44">N88*(1+AVERAGE($E98:$J98))</f>
        <v>12.787183989879789</v>
      </c>
      <c r="P88" s="3">
        <f t="shared" si="44"/>
        <v>12.724675049886228</v>
      </c>
      <c r="Q88" s="3">
        <f t="shared" si="44"/>
        <v>12.662471678936033</v>
      </c>
      <c r="R88" s="3">
        <f t="shared" si="44"/>
        <v>12.600572383283822</v>
      </c>
      <c r="S88" s="3">
        <f t="shared" si="44"/>
        <v>12.538975676486253</v>
      </c>
      <c r="T88" s="3">
        <f t="shared" si="44"/>
        <v>12.477680079366314</v>
      </c>
      <c r="U88" s="3">
        <f t="shared" si="44"/>
        <v>12.416684119977816</v>
      </c>
      <c r="V88" s="3">
        <f t="shared" si="44"/>
        <v>12.355986333570037</v>
      </c>
      <c r="W88" s="3">
        <f t="shared" si="44"/>
        <v>12.295585262552551</v>
      </c>
      <c r="X88" s="3">
        <f t="shared" si="44"/>
        <v>12.235479456460226</v>
      </c>
      <c r="Y88" s="3">
        <f t="shared" si="44"/>
        <v>12.175667471918388</v>
      </c>
      <c r="Z88" s="3">
        <f t="shared" si="44"/>
        <v>12.116147872608169</v>
      </c>
      <c r="AA88" s="3">
        <f t="shared" si="44"/>
        <v>12.056919229232005</v>
      </c>
      <c r="AB88" s="3">
        <f t="shared" si="44"/>
        <v>11.997980119479323</v>
      </c>
      <c r="AC88" s="3">
        <f t="shared" si="44"/>
        <v>11.939329127992375</v>
      </c>
      <c r="AD88" s="3">
        <f t="shared" si="44"/>
        <v>11.88096484633226</v>
      </c>
      <c r="AE88" s="3">
        <f t="shared" si="42"/>
        <v>11.822885872945097</v>
      </c>
      <c r="AF88" s="3">
        <f t="shared" si="42"/>
        <v>11.765090813128367</v>
      </c>
      <c r="AG88" s="3">
        <f t="shared" si="42"/>
        <v>11.707578278997422</v>
      </c>
      <c r="AH88" s="3">
        <f t="shared" si="42"/>
        <v>11.650346889452159</v>
      </c>
      <c r="AI88" s="3">
        <f t="shared" si="42"/>
        <v>11.59339527014385</v>
      </c>
      <c r="AJ88" s="3">
        <f t="shared" si="42"/>
        <v>11.536722053442142</v>
      </c>
      <c r="AK88" s="3">
        <f t="shared" si="42"/>
        <v>11.480325878402216</v>
      </c>
      <c r="AL88" s="3">
        <f t="shared" si="42"/>
        <v>11.424205390732098</v>
      </c>
      <c r="AM88" s="3">
        <f t="shared" si="42"/>
        <v>11.368359242760148</v>
      </c>
      <c r="AN88" s="3">
        <f t="shared" si="42"/>
        <v>11.312786093402686</v>
      </c>
      <c r="AO88" s="3">
        <f t="shared" si="42"/>
        <v>11.257484608131795</v>
      </c>
      <c r="AP88" s="3">
        <f t="shared" si="42"/>
        <v>11.202453458943275</v>
      </c>
      <c r="AQ88" s="3">
        <f t="shared" si="42"/>
        <v>11.147691324324741</v>
      </c>
      <c r="AR88" s="3">
        <f t="shared" si="42"/>
        <v>11.093196889223906</v>
      </c>
      <c r="AS88" s="3">
        <f t="shared" si="42"/>
        <v>11.038968845016983</v>
      </c>
      <c r="AT88" s="3">
        <f t="shared" si="42"/>
        <v>10.985005889477275</v>
      </c>
      <c r="AU88" s="3">
        <f t="shared" si="42"/>
        <v>10.931306726743893</v>
      </c>
      <c r="AV88" s="3">
        <f t="shared" si="42"/>
        <v>10.877870067290644</v>
      </c>
      <c r="AW88" s="3">
        <f t="shared" si="42"/>
        <v>10.824694627895061</v>
      </c>
      <c r="AX88" s="3">
        <f t="shared" si="42"/>
        <v>10.771779131607589</v>
      </c>
      <c r="AY88" s="3">
        <f t="shared" si="42"/>
        <v>10.719122307720919</v>
      </c>
      <c r="AZ88" s="3">
        <f t="shared" si="42"/>
        <v>10.666722891739475</v>
      </c>
      <c r="BA88" s="3">
        <f t="shared" si="42"/>
        <v>10.61457962534905</v>
      </c>
      <c r="BB88" s="3">
        <f t="shared" si="42"/>
        <v>10.562691256386584</v>
      </c>
      <c r="BC88" s="3">
        <f t="shared" si="42"/>
        <v>10.5110565388101</v>
      </c>
      <c r="BD88" s="3">
        <f t="shared" si="42"/>
        <v>10.45967423266878</v>
      </c>
      <c r="BE88" s="3">
        <f t="shared" si="42"/>
        <v>10.408543104073184</v>
      </c>
      <c r="BF88" s="3">
        <f t="shared" si="42"/>
        <v>10.357661925165628</v>
      </c>
      <c r="BG88" s="3">
        <f t="shared" si="42"/>
        <v>10.307029474090694</v>
      </c>
      <c r="BH88" s="3">
        <f t="shared" si="42"/>
        <v>10.256644534965886</v>
      </c>
      <c r="BI88" s="3">
        <f t="shared" si="42"/>
        <v>10.206505897852439</v>
      </c>
    </row>
    <row r="89" spans="3:61" hidden="1" outlineLevel="2" x14ac:dyDescent="0.3">
      <c r="C89" t="s">
        <v>84</v>
      </c>
      <c r="D89" s="3">
        <f t="shared" ref="D89:N89" si="45">D6</f>
        <v>5.77</v>
      </c>
      <c r="E89" s="3">
        <f t="shared" si="45"/>
        <v>5.85</v>
      </c>
      <c r="F89" s="3">
        <f t="shared" si="45"/>
        <v>5.92</v>
      </c>
      <c r="G89" s="3">
        <f t="shared" si="45"/>
        <v>6</v>
      </c>
      <c r="H89" s="3">
        <f t="shared" si="45"/>
        <v>6.07</v>
      </c>
      <c r="I89" s="3">
        <f t="shared" si="45"/>
        <v>6.15</v>
      </c>
      <c r="J89" s="3">
        <f t="shared" si="45"/>
        <v>6.2200000000000006</v>
      </c>
      <c r="K89" s="3">
        <f t="shared" si="45"/>
        <v>6.3000000000000007</v>
      </c>
      <c r="L89" s="3">
        <f t="shared" si="45"/>
        <v>6.38</v>
      </c>
      <c r="M89" s="3">
        <f t="shared" si="45"/>
        <v>6.4599999999999991</v>
      </c>
      <c r="N89" s="3">
        <f t="shared" si="45"/>
        <v>6.5399999999999983</v>
      </c>
      <c r="O89" s="3">
        <f t="shared" si="44"/>
        <v>6.6223740202642922</v>
      </c>
      <c r="P89" s="3">
        <f t="shared" si="42"/>
        <v>6.7057855755766749</v>
      </c>
      <c r="Q89" s="3">
        <f t="shared" si="42"/>
        <v>6.7902477341226319</v>
      </c>
      <c r="R89" s="3">
        <f t="shared" si="42"/>
        <v>6.8757737286868812</v>
      </c>
      <c r="S89" s="3">
        <f t="shared" si="42"/>
        <v>6.9623769587265683</v>
      </c>
      <c r="T89" s="3">
        <f t="shared" si="42"/>
        <v>7.0500709924705731</v>
      </c>
      <c r="U89" s="3">
        <f t="shared" si="42"/>
        <v>7.1388695690452639</v>
      </c>
      <c r="V89" s="3">
        <f t="shared" si="42"/>
        <v>7.2287866006270196</v>
      </c>
      <c r="W89" s="3">
        <f t="shared" si="42"/>
        <v>7.3198361746218676</v>
      </c>
      <c r="X89" s="3">
        <f t="shared" si="42"/>
        <v>7.4120325558725728</v>
      </c>
      <c r="Y89" s="3">
        <f t="shared" si="42"/>
        <v>7.5053901888935286</v>
      </c>
      <c r="Z89" s="3">
        <f t="shared" si="42"/>
        <v>7.5999237001337958</v>
      </c>
      <c r="AA89" s="3">
        <f t="shared" si="42"/>
        <v>7.6956479002686438</v>
      </c>
      <c r="AB89" s="3">
        <f t="shared" si="42"/>
        <v>7.7925777865199581</v>
      </c>
      <c r="AC89" s="3">
        <f t="shared" si="42"/>
        <v>7.8907285450058726</v>
      </c>
      <c r="AD89" s="3">
        <f t="shared" si="42"/>
        <v>7.9901155531199937</v>
      </c>
      <c r="AE89" s="3">
        <f t="shared" si="42"/>
        <v>8.0907543819405987</v>
      </c>
      <c r="AF89" s="3">
        <f t="shared" si="42"/>
        <v>8.1926607986701701</v>
      </c>
      <c r="AG89" s="3">
        <f t="shared" si="42"/>
        <v>8.295850769105666</v>
      </c>
      <c r="AH89" s="3">
        <f t="shared" si="42"/>
        <v>8.4003404601398959</v>
      </c>
      <c r="AI89" s="3">
        <f t="shared" si="42"/>
        <v>8.5061462422944114</v>
      </c>
      <c r="AJ89" s="3">
        <f t="shared" si="42"/>
        <v>8.6132846922842905</v>
      </c>
      <c r="AK89" s="3">
        <f t="shared" si="42"/>
        <v>8.7217725956152314</v>
      </c>
      <c r="AL89" s="3">
        <f t="shared" si="42"/>
        <v>8.8316269492133621</v>
      </c>
      <c r="AM89" s="3">
        <f t="shared" si="42"/>
        <v>8.9428649640881606</v>
      </c>
      <c r="AN89" s="3">
        <f t="shared" si="42"/>
        <v>9.0555040680289309</v>
      </c>
      <c r="AO89" s="3">
        <f t="shared" si="42"/>
        <v>9.1695619083352327</v>
      </c>
      <c r="AP89" s="3">
        <f t="shared" si="42"/>
        <v>9.2850563545817</v>
      </c>
      <c r="AQ89" s="3">
        <f t="shared" si="42"/>
        <v>9.4020055014176975</v>
      </c>
      <c r="AR89" s="3">
        <f t="shared" si="42"/>
        <v>9.5204276714022207</v>
      </c>
      <c r="AS89" s="3">
        <f t="shared" si="42"/>
        <v>9.6403414178745184</v>
      </c>
      <c r="AT89" s="3">
        <f t="shared" si="42"/>
        <v>9.7617655278608648</v>
      </c>
      <c r="AU89" s="3">
        <f t="shared" si="42"/>
        <v>9.8847190250179437</v>
      </c>
      <c r="AV89" s="3">
        <f t="shared" si="42"/>
        <v>10.009221172613307</v>
      </c>
      <c r="AW89" s="3">
        <f t="shared" si="42"/>
        <v>10.135291476543374</v>
      </c>
      <c r="AX89" s="3">
        <f t="shared" si="42"/>
        <v>10.262949688389446</v>
      </c>
      <c r="AY89" s="3">
        <f t="shared" si="42"/>
        <v>10.392215808512201</v>
      </c>
      <c r="AZ89" s="3">
        <f t="shared" si="42"/>
        <v>10.523110089185183</v>
      </c>
      <c r="BA89" s="3">
        <f t="shared" si="42"/>
        <v>10.655653037767742</v>
      </c>
      <c r="BB89" s="3">
        <f t="shared" si="42"/>
        <v>10.78986541991795</v>
      </c>
      <c r="BC89" s="3">
        <f t="shared" si="42"/>
        <v>10.925768262845981</v>
      </c>
      <c r="BD89" s="3">
        <f t="shared" si="42"/>
        <v>11.063382858608465</v>
      </c>
      <c r="BE89" s="3">
        <f t="shared" si="42"/>
        <v>11.202730767444345</v>
      </c>
      <c r="BF89" s="3">
        <f t="shared" si="42"/>
        <v>11.343833821152737</v>
      </c>
      <c r="BG89" s="3">
        <f t="shared" si="42"/>
        <v>11.48671412651335</v>
      </c>
      <c r="BH89" s="3">
        <f t="shared" si="42"/>
        <v>11.63139406874998</v>
      </c>
      <c r="BI89" s="3">
        <f t="shared" si="42"/>
        <v>11.777896315037625</v>
      </c>
    </row>
    <row r="90" spans="3:61" hidden="1" outlineLevel="2" x14ac:dyDescent="0.3">
      <c r="C90" t="s">
        <v>87</v>
      </c>
      <c r="D90" s="3">
        <f t="shared" ref="D90:N90" si="46">D7</f>
        <v>65.03</v>
      </c>
      <c r="E90" s="3">
        <f t="shared" si="46"/>
        <v>63.32</v>
      </c>
      <c r="F90" s="3">
        <f t="shared" si="46"/>
        <v>63.17</v>
      </c>
      <c r="G90" s="3">
        <f t="shared" si="46"/>
        <v>65.209999999999994</v>
      </c>
      <c r="H90" s="3">
        <f t="shared" si="46"/>
        <v>64.430000000000007</v>
      </c>
      <c r="I90" s="3">
        <f t="shared" si="46"/>
        <v>63.29</v>
      </c>
      <c r="J90" s="3">
        <f t="shared" si="46"/>
        <v>61.89</v>
      </c>
      <c r="K90" s="3">
        <f t="shared" si="46"/>
        <v>76.2</v>
      </c>
      <c r="L90" s="3">
        <f t="shared" si="46"/>
        <v>61.17</v>
      </c>
      <c r="M90" s="3">
        <f t="shared" si="46"/>
        <v>63.22</v>
      </c>
      <c r="N90" s="3">
        <f t="shared" si="46"/>
        <v>58.51</v>
      </c>
      <c r="O90" s="3">
        <f t="shared" si="44"/>
        <v>58.040495865738627</v>
      </c>
      <c r="P90" s="3">
        <f t="shared" si="42"/>
        <v>57.574759192288887</v>
      </c>
      <c r="Q90" s="3">
        <f t="shared" si="42"/>
        <v>57.112759748264239</v>
      </c>
      <c r="R90" s="3">
        <f t="shared" si="42"/>
        <v>56.654467544865049</v>
      </c>
      <c r="S90" s="3">
        <f t="shared" si="42"/>
        <v>56.199852833932034</v>
      </c>
      <c r="T90" s="3">
        <f t="shared" si="42"/>
        <v>55.748886106015242</v>
      </c>
      <c r="U90" s="3">
        <f t="shared" si="42"/>
        <v>55.301538088458578</v>
      </c>
      <c r="V90" s="3">
        <f t="shared" si="42"/>
        <v>54.857779743499698</v>
      </c>
      <c r="W90" s="3">
        <f t="shared" si="42"/>
        <v>54.417582266385139</v>
      </c>
      <c r="X90" s="3">
        <f t="shared" si="42"/>
        <v>53.980917083500572</v>
      </c>
      <c r="Y90" s="3">
        <f t="shared" si="42"/>
        <v>53.547755850516062</v>
      </c>
      <c r="Z90" s="3">
        <f t="shared" si="42"/>
        <v>53.118070450546213</v>
      </c>
      <c r="AA90" s="3">
        <f t="shared" si="42"/>
        <v>52.691832992325089</v>
      </c>
      <c r="AB90" s="3">
        <f t="shared" si="42"/>
        <v>52.269015808395743</v>
      </c>
      <c r="AC90" s="3">
        <f t="shared" si="42"/>
        <v>51.849591453314311</v>
      </c>
      <c r="AD90" s="3">
        <f t="shared" si="42"/>
        <v>51.433532701868508</v>
      </c>
      <c r="AE90" s="3">
        <f t="shared" si="42"/>
        <v>51.020812547310406</v>
      </c>
      <c r="AF90" s="3">
        <f t="shared" si="42"/>
        <v>50.611404199603406</v>
      </c>
      <c r="AG90" s="3">
        <f t="shared" si="42"/>
        <v>50.205281083683275</v>
      </c>
      <c r="AH90" s="3">
        <f t="shared" si="42"/>
        <v>49.802416837733119</v>
      </c>
      <c r="AI90" s="3">
        <f t="shared" si="42"/>
        <v>49.402785311472243</v>
      </c>
      <c r="AJ90" s="3">
        <f t="shared" si="42"/>
        <v>49.006360564458689</v>
      </c>
      <c r="AK90" s="3">
        <f t="shared" si="42"/>
        <v>48.61311686440542</v>
      </c>
      <c r="AL90" s="3">
        <f t="shared" si="42"/>
        <v>48.22302868551003</v>
      </c>
      <c r="AM90" s="3">
        <f t="shared" si="42"/>
        <v>47.83607070679782</v>
      </c>
      <c r="AN90" s="3">
        <f t="shared" si="42"/>
        <v>47.452217810478203</v>
      </c>
      <c r="AO90" s="3">
        <f t="shared" si="42"/>
        <v>47.071445080314291</v>
      </c>
      <c r="AP90" s="3">
        <f t="shared" si="42"/>
        <v>46.693727800005547</v>
      </c>
      <c r="AQ90" s="3">
        <f t="shared" si="42"/>
        <v>46.319041451583438</v>
      </c>
      <c r="AR90" s="3">
        <f t="shared" si="42"/>
        <v>45.947361713819944</v>
      </c>
      <c r="AS90" s="3">
        <f t="shared" si="42"/>
        <v>45.578664460648845</v>
      </c>
      <c r="AT90" s="3">
        <f t="shared" si="42"/>
        <v>45.212925759599685</v>
      </c>
      <c r="AU90" s="3">
        <f t="shared" si="42"/>
        <v>44.850121870244287</v>
      </c>
      <c r="AV90" s="3">
        <f t="shared" si="42"/>
        <v>44.490229242655737</v>
      </c>
      <c r="AW90" s="3">
        <f t="shared" si="42"/>
        <v>44.133224515879753</v>
      </c>
      <c r="AX90" s="3">
        <f t="shared" si="42"/>
        <v>43.77908451641828</v>
      </c>
      <c r="AY90" s="3">
        <f t="shared" si="42"/>
        <v>43.427786256725298</v>
      </c>
      <c r="AZ90" s="3">
        <f t="shared" si="42"/>
        <v>43.079306933714676</v>
      </c>
      <c r="BA90" s="3">
        <f t="shared" si="42"/>
        <v>42.733623927279993</v>
      </c>
      <c r="BB90" s="3">
        <f t="shared" si="42"/>
        <v>42.390714798826252</v>
      </c>
      <c r="BC90" s="3">
        <f t="shared" si="42"/>
        <v>42.050557289813376</v>
      </c>
      <c r="BD90" s="3">
        <f t="shared" si="42"/>
        <v>41.713129320311381</v>
      </c>
      <c r="BE90" s="3">
        <f t="shared" si="42"/>
        <v>41.378408987567141</v>
      </c>
      <c r="BF90" s="3">
        <f t="shared" si="42"/>
        <v>41.046374564582685</v>
      </c>
      <c r="BG90" s="3">
        <f t="shared" si="42"/>
        <v>40.717004498704846</v>
      </c>
      <c r="BH90" s="3">
        <f t="shared" si="42"/>
        <v>40.390277410226282</v>
      </c>
      <c r="BI90" s="3">
        <f t="shared" si="42"/>
        <v>40.066172090997689</v>
      </c>
    </row>
    <row r="91" spans="3:61" hidden="1" outlineLevel="2" x14ac:dyDescent="0.3">
      <c r="C91" t="s">
        <v>115</v>
      </c>
      <c r="D91" s="3">
        <f t="shared" ref="D91:N91" si="47">D8</f>
        <v>4.4000000000000004</v>
      </c>
      <c r="E91" s="3">
        <f t="shared" si="47"/>
        <v>4.46</v>
      </c>
      <c r="F91" s="3">
        <f t="shared" si="47"/>
        <v>5.22</v>
      </c>
      <c r="G91" s="3">
        <f t="shared" si="47"/>
        <v>1.97</v>
      </c>
      <c r="H91" s="3">
        <f t="shared" si="47"/>
        <v>0</v>
      </c>
      <c r="I91" s="3">
        <f t="shared" si="47"/>
        <v>0</v>
      </c>
      <c r="J91" s="3">
        <f t="shared" si="47"/>
        <v>0</v>
      </c>
      <c r="K91" s="3">
        <f t="shared" si="47"/>
        <v>0</v>
      </c>
      <c r="L91" s="3">
        <f t="shared" si="47"/>
        <v>0</v>
      </c>
      <c r="M91" s="3">
        <f t="shared" si="47"/>
        <v>0</v>
      </c>
      <c r="N91" s="3">
        <f t="shared" si="47"/>
        <v>0</v>
      </c>
      <c r="O91" s="3">
        <f t="shared" si="44"/>
        <v>0</v>
      </c>
      <c r="P91" s="3">
        <f t="shared" si="42"/>
        <v>0</v>
      </c>
      <c r="Q91" s="3">
        <f t="shared" si="42"/>
        <v>0</v>
      </c>
      <c r="R91" s="3">
        <f t="shared" si="42"/>
        <v>0</v>
      </c>
      <c r="S91" s="3">
        <f t="shared" si="42"/>
        <v>0</v>
      </c>
      <c r="T91" s="3">
        <f t="shared" si="42"/>
        <v>0</v>
      </c>
      <c r="U91" s="3">
        <f t="shared" si="42"/>
        <v>0</v>
      </c>
      <c r="V91" s="3">
        <f t="shared" si="42"/>
        <v>0</v>
      </c>
      <c r="W91" s="3">
        <f t="shared" si="42"/>
        <v>0</v>
      </c>
      <c r="X91" s="3">
        <f t="shared" si="42"/>
        <v>0</v>
      </c>
      <c r="Y91" s="3">
        <f t="shared" si="42"/>
        <v>0</v>
      </c>
      <c r="Z91" s="3">
        <f t="shared" si="42"/>
        <v>0</v>
      </c>
      <c r="AA91" s="3">
        <f t="shared" si="42"/>
        <v>0</v>
      </c>
      <c r="AB91" s="3">
        <f t="shared" si="42"/>
        <v>0</v>
      </c>
      <c r="AC91" s="3">
        <f t="shared" si="42"/>
        <v>0</v>
      </c>
      <c r="AD91" s="3">
        <f t="shared" si="42"/>
        <v>0</v>
      </c>
      <c r="AE91" s="3">
        <f t="shared" si="42"/>
        <v>0</v>
      </c>
      <c r="AF91" s="3">
        <f t="shared" si="42"/>
        <v>0</v>
      </c>
      <c r="AG91" s="3">
        <f t="shared" si="42"/>
        <v>0</v>
      </c>
      <c r="AH91" s="3">
        <f t="shared" si="42"/>
        <v>0</v>
      </c>
      <c r="AI91" s="3">
        <f t="shared" si="42"/>
        <v>0</v>
      </c>
      <c r="AJ91" s="3">
        <f t="shared" si="42"/>
        <v>0</v>
      </c>
      <c r="AK91" s="3">
        <f t="shared" si="42"/>
        <v>0</v>
      </c>
      <c r="AL91" s="3">
        <f t="shared" si="42"/>
        <v>0</v>
      </c>
      <c r="AM91" s="3">
        <f t="shared" si="42"/>
        <v>0</v>
      </c>
      <c r="AN91" s="3">
        <f t="shared" si="42"/>
        <v>0</v>
      </c>
      <c r="AO91" s="3">
        <f t="shared" si="42"/>
        <v>0</v>
      </c>
      <c r="AP91" s="3">
        <f t="shared" si="42"/>
        <v>0</v>
      </c>
      <c r="AQ91" s="3">
        <f t="shared" si="42"/>
        <v>0</v>
      </c>
      <c r="AR91" s="3">
        <f t="shared" si="42"/>
        <v>0</v>
      </c>
      <c r="AS91" s="3">
        <f t="shared" si="42"/>
        <v>0</v>
      </c>
      <c r="AT91" s="3">
        <f t="shared" si="42"/>
        <v>0</v>
      </c>
      <c r="AU91" s="3">
        <f t="shared" si="42"/>
        <v>0</v>
      </c>
      <c r="AV91" s="3">
        <f t="shared" si="42"/>
        <v>0</v>
      </c>
      <c r="AW91" s="3">
        <f t="shared" si="42"/>
        <v>0</v>
      </c>
      <c r="AX91" s="3">
        <f t="shared" si="42"/>
        <v>0</v>
      </c>
      <c r="AY91" s="3">
        <f t="shared" si="42"/>
        <v>0</v>
      </c>
      <c r="AZ91" s="3">
        <f t="shared" si="42"/>
        <v>0</v>
      </c>
      <c r="BA91" s="3">
        <f t="shared" si="42"/>
        <v>0</v>
      </c>
      <c r="BB91" s="3">
        <f t="shared" si="42"/>
        <v>0</v>
      </c>
      <c r="BC91" s="3">
        <f t="shared" si="42"/>
        <v>0</v>
      </c>
      <c r="BD91" s="3">
        <f t="shared" si="42"/>
        <v>0</v>
      </c>
      <c r="BE91" s="3">
        <f t="shared" si="42"/>
        <v>0</v>
      </c>
      <c r="BF91" s="3">
        <f t="shared" si="42"/>
        <v>0</v>
      </c>
      <c r="BG91" s="3">
        <f t="shared" si="42"/>
        <v>0</v>
      </c>
      <c r="BH91" s="3">
        <f t="shared" si="42"/>
        <v>0</v>
      </c>
      <c r="BI91" s="3">
        <f t="shared" si="42"/>
        <v>0</v>
      </c>
    </row>
    <row r="92" spans="3:61" hidden="1" outlineLevel="2" x14ac:dyDescent="0.3">
      <c r="C92" t="s">
        <v>89</v>
      </c>
      <c r="D92" s="3">
        <f t="shared" ref="D92:N92" si="48">D9</f>
        <v>11.1</v>
      </c>
      <c r="E92" s="3">
        <f t="shared" si="48"/>
        <v>13.13</v>
      </c>
      <c r="F92" s="3">
        <f t="shared" si="48"/>
        <v>13.34</v>
      </c>
      <c r="G92" s="3">
        <f t="shared" si="48"/>
        <v>14.38</v>
      </c>
      <c r="H92" s="3">
        <f t="shared" si="48"/>
        <v>13.77</v>
      </c>
      <c r="I92" s="3">
        <f t="shared" si="48"/>
        <v>12.22</v>
      </c>
      <c r="J92" s="3">
        <f t="shared" si="48"/>
        <v>10.96</v>
      </c>
      <c r="K92" s="3">
        <f t="shared" si="48"/>
        <v>9.5</v>
      </c>
      <c r="L92" s="3">
        <f t="shared" si="48"/>
        <v>11.83</v>
      </c>
      <c r="M92" s="3">
        <f t="shared" si="48"/>
        <v>11.99</v>
      </c>
      <c r="N92" s="3">
        <f t="shared" si="48"/>
        <v>13.18</v>
      </c>
      <c r="O92" s="3">
        <f t="shared" si="44"/>
        <v>13.2211755971475</v>
      </c>
      <c r="P92" s="3">
        <f t="shared" si="42"/>
        <v>13.262479830850422</v>
      </c>
      <c r="Q92" s="3">
        <f t="shared" si="42"/>
        <v>13.303913102981831</v>
      </c>
      <c r="R92" s="3">
        <f t="shared" si="42"/>
        <v>13.345475816670278</v>
      </c>
      <c r="S92" s="3">
        <f t="shared" si="42"/>
        <v>13.387168376303734</v>
      </c>
      <c r="T92" s="3">
        <f t="shared" si="42"/>
        <v>13.42899118753351</v>
      </c>
      <c r="U92" s="3">
        <f t="shared" si="42"/>
        <v>13.470944657278215</v>
      </c>
      <c r="V92" s="3">
        <f t="shared" si="42"/>
        <v>13.513029193727712</v>
      </c>
      <c r="W92" s="3">
        <f t="shared" si="42"/>
        <v>13.555245206347086</v>
      </c>
      <c r="X92" s="3">
        <f t="shared" si="42"/>
        <v>13.597593105880632</v>
      </c>
      <c r="Y92" s="3">
        <f t="shared" si="42"/>
        <v>13.64007330435585</v>
      </c>
      <c r="Z92" s="3">
        <f t="shared" si="42"/>
        <v>13.682686215087454</v>
      </c>
      <c r="AA92" s="3">
        <f t="shared" si="42"/>
        <v>13.725432252681392</v>
      </c>
      <c r="AB92" s="3">
        <f t="shared" si="42"/>
        <v>13.768311833038883</v>
      </c>
      <c r="AC92" s="3">
        <f t="shared" si="42"/>
        <v>13.811325373360459</v>
      </c>
      <c r="AD92" s="3">
        <f t="shared" si="42"/>
        <v>13.854473292150031</v>
      </c>
      <c r="AE92" s="3">
        <f t="shared" si="42"/>
        <v>13.897756009218952</v>
      </c>
      <c r="AF92" s="3">
        <f t="shared" si="42"/>
        <v>13.94117394569011</v>
      </c>
      <c r="AG92" s="3">
        <f t="shared" si="42"/>
        <v>13.98472752400202</v>
      </c>
      <c r="AH92" s="3">
        <f t="shared" si="42"/>
        <v>14.028417167912936</v>
      </c>
      <c r="AI92" s="3">
        <f t="shared" si="42"/>
        <v>14.072243302504974</v>
      </c>
      <c r="AJ92" s="3">
        <f t="shared" si="42"/>
        <v>14.116206354188249</v>
      </c>
      <c r="AK92" s="3">
        <f t="shared" si="42"/>
        <v>14.16030675070502</v>
      </c>
      <c r="AL92" s="3">
        <f t="shared" si="42"/>
        <v>14.204544921133857</v>
      </c>
      <c r="AM92" s="3">
        <f t="shared" si="42"/>
        <v>14.248921295893812</v>
      </c>
      <c r="AN92" s="3">
        <f t="shared" si="42"/>
        <v>14.293436306748605</v>
      </c>
      <c r="AO92" s="3">
        <f t="shared" si="42"/>
        <v>14.338090386810832</v>
      </c>
      <c r="AP92" s="3">
        <f t="shared" si="42"/>
        <v>14.382883970546171</v>
      </c>
      <c r="AQ92" s="3">
        <f t="shared" si="42"/>
        <v>14.427817493777617</v>
      </c>
      <c r="AR92" s="3">
        <f t="shared" si="42"/>
        <v>14.472891393689716</v>
      </c>
      <c r="AS92" s="3">
        <f t="shared" si="42"/>
        <v>14.51810610883282</v>
      </c>
      <c r="AT92" s="3">
        <f t="shared" si="42"/>
        <v>14.563462079127355</v>
      </c>
      <c r="AU92" s="3">
        <f t="shared" si="42"/>
        <v>14.608959745868102</v>
      </c>
      <c r="AV92" s="3">
        <f t="shared" si="42"/>
        <v>14.654599551728491</v>
      </c>
      <c r="AW92" s="3">
        <f t="shared" si="42"/>
        <v>14.700381940764904</v>
      </c>
      <c r="AX92" s="3">
        <f t="shared" si="42"/>
        <v>14.746307358420999</v>
      </c>
      <c r="AY92" s="3">
        <f t="shared" si="42"/>
        <v>14.792376251532044</v>
      </c>
      <c r="AZ92" s="3">
        <f t="shared" si="42"/>
        <v>14.838589068329263</v>
      </c>
      <c r="BA92" s="3">
        <f t="shared" si="42"/>
        <v>14.884946258444197</v>
      </c>
      <c r="BB92" s="3">
        <f t="shared" si="42"/>
        <v>14.931448272913082</v>
      </c>
      <c r="BC92" s="3">
        <f t="shared" si="42"/>
        <v>14.978095564181231</v>
      </c>
      <c r="BD92" s="3">
        <f t="shared" ref="P92:BI93" si="49">BC92*(1+AVERAGE($E102:$J102))</f>
        <v>15.024888586107444</v>
      </c>
      <c r="BE92" s="3">
        <f t="shared" si="49"/>
        <v>15.071827793968419</v>
      </c>
      <c r="BF92" s="3">
        <f t="shared" si="49"/>
        <v>15.118913644463181</v>
      </c>
      <c r="BG92" s="3">
        <f t="shared" si="49"/>
        <v>15.166146595717526</v>
      </c>
      <c r="BH92" s="3">
        <f t="shared" si="49"/>
        <v>15.213527107288483</v>
      </c>
      <c r="BI92" s="3">
        <f t="shared" si="49"/>
        <v>15.261055640168779</v>
      </c>
    </row>
    <row r="93" spans="3:61" hidden="1" outlineLevel="2" x14ac:dyDescent="0.3">
      <c r="C93" t="s">
        <v>91</v>
      </c>
      <c r="D93" s="3">
        <f t="shared" ref="D93:N93" si="50">D10</f>
        <v>61.219999999999985</v>
      </c>
      <c r="E93" s="3">
        <f t="shared" si="50"/>
        <v>63.570000000000007</v>
      </c>
      <c r="F93" s="3">
        <f t="shared" si="50"/>
        <v>65.210000000000008</v>
      </c>
      <c r="G93" s="3">
        <f t="shared" si="50"/>
        <v>66.69</v>
      </c>
      <c r="H93" s="3">
        <f t="shared" si="50"/>
        <v>68.13</v>
      </c>
      <c r="I93" s="3">
        <f t="shared" si="50"/>
        <v>66.17</v>
      </c>
      <c r="J93" s="3">
        <f t="shared" si="50"/>
        <v>68.099999999999994</v>
      </c>
      <c r="K93" s="3">
        <f t="shared" si="50"/>
        <v>65.8</v>
      </c>
      <c r="L93" s="3">
        <f t="shared" si="50"/>
        <v>71.990000000000009</v>
      </c>
      <c r="M93" s="3">
        <f t="shared" si="50"/>
        <v>80.177510985352882</v>
      </c>
      <c r="N93" s="3">
        <f t="shared" si="50"/>
        <v>77.91580925432757</v>
      </c>
      <c r="O93" s="3">
        <f t="shared" si="44"/>
        <v>79.3296123213632</v>
      </c>
      <c r="P93" s="3">
        <f t="shared" si="49"/>
        <v>80.769069220804454</v>
      </c>
      <c r="Q93" s="3">
        <f t="shared" si="49"/>
        <v>82.234645448258505</v>
      </c>
      <c r="R93" s="3">
        <f t="shared" si="49"/>
        <v>83.726814945874011</v>
      </c>
      <c r="S93" s="3">
        <f t="shared" si="49"/>
        <v>85.246060255605897</v>
      </c>
      <c r="T93" s="3">
        <f t="shared" si="49"/>
        <v>86.792872675261094</v>
      </c>
      <c r="U93" s="3">
        <f t="shared" si="49"/>
        <v>88.36775241737584</v>
      </c>
      <c r="V93" s="3">
        <f t="shared" si="49"/>
        <v>89.971208770975764</v>
      </c>
      <c r="W93" s="3">
        <f t="shared" si="49"/>
        <v>91.603760266271223</v>
      </c>
      <c r="X93" s="3">
        <f t="shared" si="49"/>
        <v>93.265934842341068</v>
      </c>
      <c r="Y93" s="3">
        <f t="shared" si="49"/>
        <v>94.958270017859036</v>
      </c>
      <c r="Z93" s="3">
        <f t="shared" si="49"/>
        <v>96.681313064918058</v>
      </c>
      <c r="AA93" s="3">
        <f t="shared" si="49"/>
        <v>98.43562118600866</v>
      </c>
      <c r="AB93" s="3">
        <f t="shared" si="49"/>
        <v>100.22176169420862</v>
      </c>
      <c r="AC93" s="3">
        <f t="shared" si="49"/>
        <v>102.04031219664233</v>
      </c>
      <c r="AD93" s="3">
        <f t="shared" si="49"/>
        <v>103.89186078126893</v>
      </c>
      <c r="AE93" s="3">
        <f t="shared" si="49"/>
        <v>105.77700620705988</v>
      </c>
      <c r="AF93" s="3">
        <f t="shared" si="49"/>
        <v>107.69635809762735</v>
      </c>
      <c r="AG93" s="3">
        <f t="shared" si="49"/>
        <v>109.65053713836595</v>
      </c>
      <c r="AH93" s="3">
        <f t="shared" si="49"/>
        <v>111.64017527717172</v>
      </c>
      <c r="AI93" s="3">
        <f t="shared" si="49"/>
        <v>113.66591592880326</v>
      </c>
      <c r="AJ93" s="3">
        <f t="shared" si="49"/>
        <v>115.72841418295096</v>
      </c>
      <c r="AK93" s="3">
        <f t="shared" si="49"/>
        <v>117.82833701608175</v>
      </c>
      <c r="AL93" s="3">
        <f t="shared" si="49"/>
        <v>119.96636350712781</v>
      </c>
      <c r="AM93" s="3">
        <f t="shared" si="49"/>
        <v>122.14318505708903</v>
      </c>
      <c r="AN93" s="3">
        <f t="shared" si="49"/>
        <v>124.35950561262021</v>
      </c>
      <c r="AO93" s="3">
        <f t="shared" si="49"/>
        <v>126.61604189367529</v>
      </c>
      <c r="AP93" s="3">
        <f t="shared" si="49"/>
        <v>128.91352362528224</v>
      </c>
      <c r="AQ93" s="3">
        <f t="shared" si="49"/>
        <v>131.25269377352365</v>
      </c>
      <c r="AR93" s="3">
        <f t="shared" si="49"/>
        <v>133.63430878579908</v>
      </c>
      <c r="AS93" s="3">
        <f t="shared" si="49"/>
        <v>136.05913883544724</v>
      </c>
      <c r="AT93" s="3">
        <f t="shared" si="49"/>
        <v>138.52796807080679</v>
      </c>
      <c r="AU93" s="3">
        <f t="shared" si="49"/>
        <v>141.04159486879635</v>
      </c>
      <c r="AV93" s="3">
        <f t="shared" si="49"/>
        <v>143.60083209309593</v>
      </c>
      <c r="AW93" s="3">
        <f t="shared" si="49"/>
        <v>146.20650735701307</v>
      </c>
      <c r="AX93" s="3">
        <f t="shared" si="49"/>
        <v>148.85946329111871</v>
      </c>
      <c r="AY93" s="3">
        <f t="shared" si="49"/>
        <v>151.56055781573949</v>
      </c>
      <c r="AZ93" s="3">
        <f t="shared" si="49"/>
        <v>154.31066441839434</v>
      </c>
      <c r="BA93" s="3">
        <f t="shared" si="49"/>
        <v>157.11067243626542</v>
      </c>
      <c r="BB93" s="3">
        <f t="shared" si="49"/>
        <v>159.9614873437944</v>
      </c>
      <c r="BC93" s="3">
        <f t="shared" si="49"/>
        <v>162.86403104549737</v>
      </c>
      <c r="BD93" s="3">
        <f t="shared" si="49"/>
        <v>165.81924217409284</v>
      </c>
      <c r="BE93" s="3">
        <f t="shared" si="49"/>
        <v>168.82807639403947</v>
      </c>
      <c r="BF93" s="3">
        <f t="shared" si="49"/>
        <v>171.89150671058158</v>
      </c>
      <c r="BG93" s="3">
        <f t="shared" si="49"/>
        <v>175.01052378440215</v>
      </c>
      <c r="BH93" s="3">
        <f t="shared" si="49"/>
        <v>178.18613625198563</v>
      </c>
      <c r="BI93" s="3">
        <f t="shared" si="49"/>
        <v>181.41937105179352</v>
      </c>
    </row>
    <row r="94" spans="3:61" hidden="1" outlineLevel="2" x14ac:dyDescent="0.3">
      <c r="C94" t="s">
        <v>179</v>
      </c>
      <c r="D94" s="3">
        <f>SUM(D87:D93)</f>
        <v>163.95999999999998</v>
      </c>
      <c r="E94" s="3">
        <f t="shared" ref="E94" si="51">SUM(E87:E93)</f>
        <v>167.03</v>
      </c>
      <c r="F94" s="3">
        <f t="shared" ref="F94" si="52">SUM(F87:F93)</f>
        <v>169.87</v>
      </c>
      <c r="G94" s="3">
        <f t="shared" ref="G94" si="53">SUM(G87:G93)</f>
        <v>171.42999999999998</v>
      </c>
      <c r="H94" s="3">
        <f t="shared" ref="H94" si="54">SUM(H87:H93)</f>
        <v>169.47</v>
      </c>
      <c r="I94" s="3">
        <f t="shared" ref="I94" si="55">SUM(I87:I93)</f>
        <v>165.70999999999998</v>
      </c>
      <c r="J94" s="3">
        <f t="shared" ref="J94" si="56">SUM(J87:J93)</f>
        <v>165.41</v>
      </c>
      <c r="K94" s="3">
        <f t="shared" ref="K94" si="57">SUM(K87:K93)</f>
        <v>176.76</v>
      </c>
      <c r="L94" s="3">
        <f t="shared" ref="L94" si="58">SUM(L87:L93)</f>
        <v>170.83</v>
      </c>
      <c r="M94" s="3">
        <f t="shared" ref="M94" si="59">SUM(M87:M93)</f>
        <v>181.46751098535287</v>
      </c>
      <c r="N94" s="3">
        <f t="shared" ref="N94" si="60">SUM(N87:N93)</f>
        <v>177.46580925432758</v>
      </c>
      <c r="O94" s="3">
        <f t="shared" ref="O94" si="61">SUM(O87:O93)</f>
        <v>179.30459347208313</v>
      </c>
      <c r="P94" s="3">
        <f t="shared" ref="P94" si="62">SUM(P87:P93)</f>
        <v>181.25634328264323</v>
      </c>
      <c r="Q94" s="3">
        <f t="shared" ref="Q94" si="63">SUM(Q87:Q93)</f>
        <v>183.32958465381759</v>
      </c>
      <c r="R94" s="3">
        <f t="shared" ref="R94" si="64">SUM(R87:R93)</f>
        <v>185.53364765287233</v>
      </c>
      <c r="S94" s="3">
        <f t="shared" ref="S94" si="65">SUM(S87:S93)</f>
        <v>187.87874487973562</v>
      </c>
      <c r="T94" s="3">
        <f t="shared" ref="T94" si="66">SUM(T87:T93)</f>
        <v>190.3760576085694</v>
      </c>
      <c r="U94" s="3">
        <f t="shared" ref="U94" si="67">SUM(U87:U93)</f>
        <v>193.03783039626012</v>
      </c>
      <c r="V94" s="3">
        <f t="shared" ref="V94" si="68">SUM(V87:V93)</f>
        <v>195.87747499104512</v>
      </c>
      <c r="W94" s="3">
        <f t="shared" ref="W94" si="69">SUM(W87:W93)</f>
        <v>198.90968445650643</v>
      </c>
      <c r="X94" s="3">
        <f t="shared" ref="X94" si="70">SUM(X87:X93)</f>
        <v>202.15055851625075</v>
      </c>
      <c r="Y94" s="3">
        <f t="shared" ref="Y94" si="71">SUM(Y87:Y93)</f>
        <v>205.6177412235491</v>
      </c>
      <c r="Z94" s="3">
        <f t="shared" ref="Z94" si="72">SUM(Z87:Z93)</f>
        <v>209.33057216890631</v>
      </c>
      <c r="AA94" s="3">
        <f t="shared" ref="AA94" si="73">SUM(AA87:AA93)</f>
        <v>213.31025255792468</v>
      </c>
      <c r="AB94" s="3">
        <f t="shared" ref="AB94" si="74">SUM(AB87:AB93)</f>
        <v>217.58002762297525</v>
      </c>
      <c r="AC94" s="3">
        <f t="shared" ref="AC94" si="75">SUM(AC87:AC93)</f>
        <v>222.16538697624674</v>
      </c>
      <c r="AD94" s="3">
        <f t="shared" ref="AD94" si="76">SUM(AD87:AD93)</f>
        <v>227.09428466997991</v>
      </c>
      <c r="AE94" s="3">
        <f t="shared" ref="AE94" si="77">SUM(AE87:AE93)</f>
        <v>232.39738090351108</v>
      </c>
      <c r="AF94" s="3">
        <f t="shared" ref="AF94" si="78">SUM(AF87:AF93)</f>
        <v>238.10830750766868</v>
      </c>
      <c r="AG94" s="3">
        <f t="shared" ref="AG94" si="79">SUM(AG87:AG93)</f>
        <v>244.26395954678725</v>
      </c>
      <c r="AH94" s="3">
        <f t="shared" ref="AH94" si="80">SUM(AH87:AH93)</f>
        <v>250.90481560896205</v>
      </c>
      <c r="AI94" s="3">
        <f t="shared" ref="AI94" si="81">SUM(AI87:AI93)</f>
        <v>258.075289608204</v>
      </c>
      <c r="AJ94" s="3">
        <f t="shared" ref="AJ94" si="82">SUM(AJ87:AJ93)</f>
        <v>265.82411720009998</v>
      </c>
      <c r="AK94" s="3">
        <f t="shared" ref="AK94" si="83">SUM(AK87:AK93)</f>
        <v>274.20478021788517</v>
      </c>
      <c r="AL94" s="3">
        <f t="shared" ref="AL94" si="84">SUM(AL87:AL93)</f>
        <v>283.2759728711934</v>
      </c>
      <c r="AM94" s="3">
        <f t="shared" ref="AM94" si="85">SUM(AM87:AM93)</f>
        <v>293.10211381811598</v>
      </c>
      <c r="AN94" s="3">
        <f t="shared" ref="AN94" si="86">SUM(AN87:AN93)</f>
        <v>303.75390862582969</v>
      </c>
      <c r="AO94" s="3">
        <f t="shared" ref="AO94" si="87">SUM(AO87:AO93)</f>
        <v>315.30896757951086</v>
      </c>
      <c r="AP94" s="3">
        <f t="shared" ref="AP94" si="88">SUM(AP87:AP93)</f>
        <v>327.85248428746206</v>
      </c>
      <c r="AQ94" s="3">
        <f t="shared" ref="AQ94" si="89">SUM(AQ87:AQ93)</f>
        <v>341.47798106664129</v>
      </c>
      <c r="AR94" s="3">
        <f t="shared" ref="AR94" si="90">SUM(AR87:AR93)</f>
        <v>356.28812768183832</v>
      </c>
      <c r="AS94" s="3">
        <f t="shared" ref="AS94" si="91">SUM(AS87:AS93)</f>
        <v>372.39564065877937</v>
      </c>
      <c r="AT94" s="3">
        <f t="shared" ref="AT94" si="92">SUM(AT87:AT93)</f>
        <v>389.92427110216704</v>
      </c>
      <c r="AU94" s="3">
        <f t="shared" ref="AU94" si="93">SUM(AU87:AU93)</f>
        <v>409.00988973035578</v>
      </c>
      <c r="AV94" s="3">
        <f t="shared" ref="AV94" si="94">SUM(AV87:AV93)</f>
        <v>429.8016786958965</v>
      </c>
      <c r="AW94" s="3">
        <f t="shared" ref="AW94" si="95">SUM(AW87:AW93)</f>
        <v>452.46344070313512</v>
      </c>
      <c r="AX94" s="3">
        <f t="shared" ref="AX94" si="96">SUM(AX87:AX93)</f>
        <v>477.17503696871984</v>
      </c>
      <c r="AY94" s="3">
        <f t="shared" ref="AY94" si="97">SUM(AY87:AY93)</f>
        <v>504.13396670739144</v>
      </c>
      <c r="AZ94" s="3">
        <f t="shared" ref="AZ94" si="98">SUM(AZ87:AZ93)</f>
        <v>533.55710207382299</v>
      </c>
      <c r="BA94" s="3">
        <f t="shared" ref="BA94" si="99">SUM(BA87:BA93)</f>
        <v>565.68259386255841</v>
      </c>
      <c r="BB94" s="3">
        <f t="shared" ref="BB94" si="100">SUM(BB87:BB93)</f>
        <v>600.77196477435746</v>
      </c>
      <c r="BC94" s="3">
        <f t="shared" ref="BC94" si="101">SUM(BC87:BC93)</f>
        <v>639.11240871179336</v>
      </c>
      <c r="BD94" s="3">
        <f t="shared" ref="BD94" si="102">SUM(BD87:BD93)</f>
        <v>681.01931638434053</v>
      </c>
      <c r="BE94" s="3">
        <f t="shared" ref="BE94" si="103">SUM(BE87:BE93)</f>
        <v>726.83904949949306</v>
      </c>
      <c r="BF94" s="3">
        <f t="shared" ref="BF94" si="104">SUM(BF87:BF93)</f>
        <v>776.95198800925016</v>
      </c>
      <c r="BG94" s="3">
        <f t="shared" ref="BG94" si="105">SUM(BG87:BG93)</f>
        <v>831.77587728995968</v>
      </c>
      <c r="BH94" s="3">
        <f t="shared" ref="BH94" si="106">SUM(BH87:BH93)</f>
        <v>891.76950477926312</v>
      </c>
      <c r="BI94" s="3">
        <f t="shared" ref="BI94" si="107">SUM(BI87:BI93)</f>
        <v>957.43673850006553</v>
      </c>
    </row>
    <row r="95" spans="3:61" hidden="1" outlineLevel="2" x14ac:dyDescent="0.3"/>
    <row r="96" spans="3:61" hidden="1" outlineLevel="2" x14ac:dyDescent="0.3"/>
    <row r="97" spans="1:61" hidden="1" outlineLevel="2" x14ac:dyDescent="0.3">
      <c r="C97" t="s">
        <v>81</v>
      </c>
      <c r="E97" s="6">
        <f>(E78-D78)/D78</f>
        <v>0.10738255033557041</v>
      </c>
      <c r="F97" s="6">
        <f t="shared" ref="F97:N97" si="108">(F78-E78)/E78</f>
        <v>0.11515151515151525</v>
      </c>
      <c r="G97" s="6">
        <f t="shared" si="108"/>
        <v>6.2499999999999993E-2</v>
      </c>
      <c r="H97" s="6">
        <f t="shared" si="108"/>
        <v>-1.0230179028133002E-2</v>
      </c>
      <c r="I97" s="6">
        <f t="shared" si="108"/>
        <v>0.22739018087855295</v>
      </c>
      <c r="J97" s="6">
        <f t="shared" si="108"/>
        <v>8.8421052631578928E-2</v>
      </c>
      <c r="K97" s="6">
        <f t="shared" si="108"/>
        <v>0.15280464216634429</v>
      </c>
      <c r="L97" s="6">
        <f t="shared" si="108"/>
        <v>9.2281879194630836E-2</v>
      </c>
      <c r="M97" s="6">
        <f t="shared" si="108"/>
        <v>3.2258064516129024E-2</v>
      </c>
      <c r="N97" s="6">
        <f t="shared" si="108"/>
        <v>0.2604166666666668</v>
      </c>
    </row>
    <row r="98" spans="1:61" hidden="1" outlineLevel="2" x14ac:dyDescent="0.3">
      <c r="C98" t="s">
        <v>83</v>
      </c>
      <c r="E98" s="6">
        <f t="shared" ref="E98:E103" si="109">(E79-D79)/D79</f>
        <v>-4.4576523031202618E-3</v>
      </c>
      <c r="F98" s="6">
        <f t="shared" ref="F98:F103" si="110">(F79-E79)/E79</f>
        <v>-5.2238805970150791E-3</v>
      </c>
      <c r="G98" s="6">
        <f t="shared" ref="G98:G103" si="111">(G79-F79)/F79</f>
        <v>-4.5011252813202344E-3</v>
      </c>
      <c r="H98" s="6">
        <f t="shared" ref="H98:H103" si="112">(H79-G79)/G79</f>
        <v>-5.2750565184627191E-3</v>
      </c>
      <c r="I98" s="6">
        <f t="shared" ref="I98:I103" si="113">(I79-H79)/H79</f>
        <v>-5.3030303030301906E-3</v>
      </c>
      <c r="J98" s="6">
        <f t="shared" ref="J98:J103" si="114">(J79-I79)/I79</f>
        <v>-4.5696877380046073E-3</v>
      </c>
      <c r="K98" s="6">
        <f t="shared" ref="K98:K103" si="115">(K79-J79)/J79</f>
        <v>-5.3557765876052245E-3</v>
      </c>
      <c r="L98" s="6">
        <f t="shared" ref="L98:L103" si="116">(L79-K79)/K79</f>
        <v>-3.846153846153901E-3</v>
      </c>
      <c r="M98" s="6">
        <f t="shared" ref="M98:M103" si="117">(M79-L79)/L79</f>
        <v>-3.8610038610039162E-3</v>
      </c>
      <c r="N98" s="6">
        <f t="shared" ref="N98:N103" si="118">(N79-M79)/M79</f>
        <v>-3.8759689922481175E-3</v>
      </c>
    </row>
    <row r="99" spans="1:61" hidden="1" outlineLevel="2" x14ac:dyDescent="0.3">
      <c r="C99" t="s">
        <v>84</v>
      </c>
      <c r="E99" s="6">
        <f t="shared" si="109"/>
        <v>1.3864818024263445E-2</v>
      </c>
      <c r="F99" s="6">
        <f t="shared" si="110"/>
        <v>1.1965811965812015E-2</v>
      </c>
      <c r="G99" s="6">
        <f t="shared" si="111"/>
        <v>1.3513513513513526E-2</v>
      </c>
      <c r="H99" s="6">
        <f t="shared" si="112"/>
        <v>1.1666666666666714E-2</v>
      </c>
      <c r="I99" s="6">
        <f t="shared" si="113"/>
        <v>1.3179571663920933E-2</v>
      </c>
      <c r="J99" s="6">
        <f t="shared" si="114"/>
        <v>1.1382113821138257E-2</v>
      </c>
      <c r="K99" s="6">
        <f t="shared" si="115"/>
        <v>1.2861736334405155E-2</v>
      </c>
      <c r="L99" s="6">
        <f t="shared" si="116"/>
        <v>1.2698412698412567E-2</v>
      </c>
      <c r="M99" s="6">
        <f t="shared" si="117"/>
        <v>1.2539184952977929E-2</v>
      </c>
      <c r="N99" s="6">
        <f t="shared" si="118"/>
        <v>1.2383900928792446E-2</v>
      </c>
    </row>
    <row r="100" spans="1:61" hidden="1" outlineLevel="2" x14ac:dyDescent="0.3">
      <c r="C100" t="s">
        <v>87</v>
      </c>
      <c r="E100" s="6">
        <f t="shared" si="109"/>
        <v>-2.6295555897278191E-2</v>
      </c>
      <c r="F100" s="6">
        <f t="shared" si="110"/>
        <v>-2.3689197725836795E-3</v>
      </c>
      <c r="G100" s="6">
        <f t="shared" si="111"/>
        <v>3.2293810353015547E-2</v>
      </c>
      <c r="H100" s="6">
        <f t="shared" si="112"/>
        <v>-1.1961355620303435E-2</v>
      </c>
      <c r="I100" s="6">
        <f t="shared" si="113"/>
        <v>-1.7693620984013777E-2</v>
      </c>
      <c r="J100" s="6">
        <f t="shared" si="114"/>
        <v>-2.2120398167166988E-2</v>
      </c>
      <c r="K100" s="6">
        <f t="shared" si="115"/>
        <v>0.23121667474551627</v>
      </c>
      <c r="L100" s="6">
        <f t="shared" si="116"/>
        <v>-0.19724409448818897</v>
      </c>
      <c r="M100" s="6">
        <f t="shared" si="117"/>
        <v>3.3513160045774024E-2</v>
      </c>
      <c r="N100" s="6">
        <f t="shared" si="118"/>
        <v>-7.4501739955710231E-2</v>
      </c>
    </row>
    <row r="101" spans="1:61" hidden="1" outlineLevel="2" x14ac:dyDescent="0.3">
      <c r="C101" t="s">
        <v>115</v>
      </c>
      <c r="E101" s="6">
        <f t="shared" si="109"/>
        <v>1.3636363636363547E-2</v>
      </c>
      <c r="F101" s="6">
        <f t="shared" si="110"/>
        <v>0.17040358744394615</v>
      </c>
      <c r="G101" s="6">
        <f t="shared" si="111"/>
        <v>-0.62260536398467436</v>
      </c>
      <c r="H101" s="6">
        <f t="shared" si="112"/>
        <v>-1</v>
      </c>
      <c r="I101" s="6">
        <v>0</v>
      </c>
      <c r="J101" s="6">
        <v>0</v>
      </c>
      <c r="K101" s="6">
        <v>0</v>
      </c>
      <c r="L101" s="6">
        <v>0</v>
      </c>
      <c r="M101" s="6">
        <v>0</v>
      </c>
      <c r="N101" s="6">
        <v>0</v>
      </c>
    </row>
    <row r="102" spans="1:61" hidden="1" outlineLevel="2" x14ac:dyDescent="0.3">
      <c r="C102" t="s">
        <v>89</v>
      </c>
      <c r="E102" s="6">
        <f t="shared" si="109"/>
        <v>0.18288288288288299</v>
      </c>
      <c r="F102" s="6">
        <f t="shared" si="110"/>
        <v>1.5993907083015922E-2</v>
      </c>
      <c r="G102" s="6">
        <f t="shared" si="111"/>
        <v>7.796101949025494E-2</v>
      </c>
      <c r="H102" s="6">
        <f t="shared" si="112"/>
        <v>-4.2420027816411764E-2</v>
      </c>
      <c r="I102" s="6">
        <f t="shared" si="113"/>
        <v>-0.11256354393609289</v>
      </c>
      <c r="J102" s="6">
        <f t="shared" si="114"/>
        <v>-0.10310965630114564</v>
      </c>
      <c r="K102" s="6">
        <f t="shared" si="115"/>
        <v>-0.13321167883211685</v>
      </c>
      <c r="L102" s="6">
        <f t="shared" si="116"/>
        <v>0.24526315789473685</v>
      </c>
      <c r="M102" s="6">
        <f t="shared" si="117"/>
        <v>1.352493660185969E-2</v>
      </c>
      <c r="N102" s="6">
        <f t="shared" si="118"/>
        <v>9.9249374478732236E-2</v>
      </c>
    </row>
    <row r="103" spans="1:61" hidden="1" outlineLevel="2" x14ac:dyDescent="0.3">
      <c r="C103" t="s">
        <v>91</v>
      </c>
      <c r="E103" s="6">
        <f t="shared" si="109"/>
        <v>3.8386148317543667E-2</v>
      </c>
      <c r="F103" s="6">
        <f t="shared" si="110"/>
        <v>2.5798332546798811E-2</v>
      </c>
      <c r="G103" s="6">
        <f t="shared" si="111"/>
        <v>2.2695905535960584E-2</v>
      </c>
      <c r="H103" s="6">
        <f t="shared" si="112"/>
        <v>2.1592442645074192E-2</v>
      </c>
      <c r="I103" s="6">
        <f t="shared" si="113"/>
        <v>-2.8768530750036606E-2</v>
      </c>
      <c r="J103" s="6">
        <f t="shared" si="114"/>
        <v>2.9167296357865989E-2</v>
      </c>
      <c r="K103" s="6">
        <f t="shared" si="115"/>
        <v>-3.3773861967694531E-2</v>
      </c>
      <c r="L103" s="6">
        <f t="shared" si="116"/>
        <v>9.4072948328267667E-2</v>
      </c>
      <c r="M103" s="6">
        <f t="shared" si="117"/>
        <v>0.11373122635578374</v>
      </c>
      <c r="N103" s="6">
        <f t="shared" si="118"/>
        <v>-2.8208679756078828E-2</v>
      </c>
    </row>
    <row r="104" spans="1:61" hidden="1" outlineLevel="1" collapsed="1" x14ac:dyDescent="0.3">
      <c r="A104" t="s">
        <v>180</v>
      </c>
      <c r="D104">
        <v>2013</v>
      </c>
      <c r="E104">
        <v>2014</v>
      </c>
      <c r="F104">
        <v>2015</v>
      </c>
      <c r="G104">
        <v>2016</v>
      </c>
      <c r="H104">
        <v>2017</v>
      </c>
      <c r="I104">
        <v>2018</v>
      </c>
      <c r="J104">
        <v>2019</v>
      </c>
      <c r="K104">
        <v>2020</v>
      </c>
      <c r="L104">
        <v>2021</v>
      </c>
      <c r="M104">
        <v>2022</v>
      </c>
      <c r="N104">
        <v>2023</v>
      </c>
      <c r="O104">
        <v>2024</v>
      </c>
      <c r="P104">
        <v>2025</v>
      </c>
      <c r="Q104">
        <v>2026</v>
      </c>
      <c r="R104">
        <v>2027</v>
      </c>
      <c r="S104">
        <v>2028</v>
      </c>
      <c r="T104">
        <v>2029</v>
      </c>
      <c r="U104">
        <v>2030</v>
      </c>
      <c r="V104">
        <v>2031</v>
      </c>
      <c r="W104">
        <v>2032</v>
      </c>
      <c r="X104">
        <v>2033</v>
      </c>
      <c r="Y104">
        <v>2034</v>
      </c>
      <c r="Z104">
        <v>2035</v>
      </c>
      <c r="AA104">
        <v>2036</v>
      </c>
      <c r="AB104">
        <v>2037</v>
      </c>
      <c r="AC104">
        <v>2038</v>
      </c>
      <c r="AD104">
        <v>2039</v>
      </c>
      <c r="AE104">
        <v>2040</v>
      </c>
      <c r="AF104">
        <v>2041</v>
      </c>
      <c r="AG104">
        <v>2042</v>
      </c>
      <c r="AH104">
        <v>2043</v>
      </c>
      <c r="AI104">
        <v>2044</v>
      </c>
      <c r="AJ104">
        <v>2045</v>
      </c>
      <c r="AK104">
        <v>2046</v>
      </c>
      <c r="AL104">
        <v>2047</v>
      </c>
      <c r="AM104">
        <v>2048</v>
      </c>
      <c r="AN104">
        <v>2049</v>
      </c>
      <c r="AO104">
        <v>2050</v>
      </c>
      <c r="AP104">
        <v>2051</v>
      </c>
      <c r="AQ104">
        <v>2052</v>
      </c>
      <c r="AR104">
        <v>2053</v>
      </c>
      <c r="AS104">
        <v>2054</v>
      </c>
      <c r="AT104">
        <v>2055</v>
      </c>
      <c r="AU104">
        <v>2056</v>
      </c>
      <c r="AV104">
        <v>2057</v>
      </c>
      <c r="AW104">
        <v>2058</v>
      </c>
      <c r="AX104">
        <v>2059</v>
      </c>
      <c r="AY104">
        <v>2060</v>
      </c>
      <c r="AZ104">
        <v>2061</v>
      </c>
      <c r="BA104">
        <v>2062</v>
      </c>
      <c r="BB104">
        <v>2063</v>
      </c>
      <c r="BC104">
        <v>2064</v>
      </c>
      <c r="BD104">
        <v>2065</v>
      </c>
      <c r="BE104">
        <v>2066</v>
      </c>
      <c r="BF104">
        <v>2067</v>
      </c>
      <c r="BG104">
        <v>2068</v>
      </c>
      <c r="BH104">
        <v>2069</v>
      </c>
      <c r="BI104">
        <v>2070</v>
      </c>
    </row>
    <row r="105" spans="1:61" hidden="1" outlineLevel="2" x14ac:dyDescent="0.3">
      <c r="C105" t="s">
        <v>69</v>
      </c>
      <c r="D105" s="4">
        <f>D16</f>
        <v>18.057621489621493</v>
      </c>
      <c r="E105" s="4">
        <f t="shared" ref="E105:N105" si="119">E16</f>
        <v>18.75020617320947</v>
      </c>
      <c r="F105" s="4">
        <f t="shared" si="119"/>
        <v>19.30546471040644</v>
      </c>
      <c r="G105" s="4">
        <f t="shared" si="119"/>
        <v>20.229398871006481</v>
      </c>
      <c r="H105" s="4">
        <f t="shared" si="119"/>
        <v>20.106779971624494</v>
      </c>
      <c r="I105" s="4">
        <f t="shared" si="119"/>
        <v>19.417350447904763</v>
      </c>
      <c r="J105" s="4">
        <f t="shared" si="119"/>
        <v>19.955043300457056</v>
      </c>
      <c r="K105" s="4">
        <f t="shared" si="119"/>
        <v>21.198074257425741</v>
      </c>
      <c r="L105" s="4">
        <f t="shared" si="119"/>
        <v>21.21</v>
      </c>
      <c r="M105" s="4">
        <f t="shared" si="119"/>
        <v>22.530737622193609</v>
      </c>
      <c r="N105" s="4">
        <f t="shared" si="119"/>
        <v>22.033892257122798</v>
      </c>
      <c r="O105" s="3">
        <f>N105*(1+AVERAGE($E125:$N125))</f>
        <v>22.48831850600466</v>
      </c>
      <c r="P105" s="3">
        <f t="shared" ref="P105:BI110" si="120">O105*(1+AVERAGE($E125:$N125))</f>
        <v>22.952116826478008</v>
      </c>
      <c r="Q105" s="3">
        <f t="shared" si="120"/>
        <v>23.425480507830446</v>
      </c>
      <c r="R105" s="3">
        <f t="shared" si="120"/>
        <v>23.908606825741316</v>
      </c>
      <c r="S105" s="3">
        <f t="shared" si="120"/>
        <v>24.401697124496895</v>
      </c>
      <c r="T105" s="3">
        <f t="shared" si="120"/>
        <v>24.904956900901212</v>
      </c>
      <c r="U105" s="3">
        <f t="shared" si="120"/>
        <v>25.418595889917437</v>
      </c>
      <c r="V105" s="3">
        <f t="shared" si="120"/>
        <v>25.942828152075528</v>
      </c>
      <c r="W105" s="3">
        <f t="shared" si="120"/>
        <v>26.477872162682569</v>
      </c>
      <c r="X105" s="3">
        <f t="shared" si="120"/>
        <v>27.023950902873001</v>
      </c>
      <c r="Y105" s="3">
        <f t="shared" si="120"/>
        <v>27.581291952536631</v>
      </c>
      <c r="Z105" s="3">
        <f t="shared" si="120"/>
        <v>28.150127585163229</v>
      </c>
      <c r="AA105" s="3">
        <f t="shared" si="120"/>
        <v>28.730694864643155</v>
      </c>
      <c r="AB105" s="3">
        <f t="shared" si="120"/>
        <v>29.32323574406443</v>
      </c>
      <c r="AC105" s="3">
        <f t="shared" si="120"/>
        <v>29.927997166547385</v>
      </c>
      <c r="AD105" s="3">
        <f t="shared" si="120"/>
        <v>30.54523116815891</v>
      </c>
      <c r="AE105" s="3">
        <f t="shared" si="120"/>
        <v>31.175194982949222</v>
      </c>
      <c r="AF105" s="3">
        <f t="shared" si="120"/>
        <v>31.818151150154886</v>
      </c>
      <c r="AG105" s="3">
        <f t="shared" si="120"/>
        <v>32.474367623612814</v>
      </c>
      <c r="AH105" s="3">
        <f t="shared" si="120"/>
        <v>33.144117883430773</v>
      </c>
      <c r="AI105" s="3">
        <f t="shared" si="120"/>
        <v>33.827681049961043</v>
      </c>
      <c r="AJ105" s="3">
        <f t="shared" si="120"/>
        <v>34.525342000124603</v>
      </c>
      <c r="AK105" s="3">
        <f t="shared" si="120"/>
        <v>35.23739148613442</v>
      </c>
      <c r="AL105" s="3">
        <f t="shared" si="120"/>
        <v>35.964126256667271</v>
      </c>
      <c r="AM105" s="3">
        <f t="shared" si="120"/>
        <v>36.705849180534607</v>
      </c>
      <c r="AN105" s="3">
        <f t="shared" si="120"/>
        <v>37.462869372904002</v>
      </c>
      <c r="AO105" s="3">
        <f t="shared" si="120"/>
        <v>38.235502324123807</v>
      </c>
      <c r="AP105" s="3">
        <f t="shared" si="120"/>
        <v>39.024070031204637</v>
      </c>
      <c r="AQ105" s="3">
        <f t="shared" si="120"/>
        <v>39.828901132012568</v>
      </c>
      <c r="AR105" s="3">
        <f t="shared" si="120"/>
        <v>40.650331042229915</v>
      </c>
      <c r="AS105" s="3">
        <f t="shared" si="120"/>
        <v>41.488702095140681</v>
      </c>
      <c r="AT105" s="3">
        <f t="shared" si="120"/>
        <v>42.344363684298955</v>
      </c>
      <c r="AU105" s="3">
        <f t="shared" si="120"/>
        <v>43.217672409139659</v>
      </c>
      <c r="AV105" s="3">
        <f t="shared" si="120"/>
        <v>44.108992223592402</v>
      </c>
      <c r="AW105" s="3">
        <f t="shared" si="120"/>
        <v>45.018694587760343</v>
      </c>
      <c r="AX105" s="3">
        <f t="shared" si="120"/>
        <v>45.947158622727244</v>
      </c>
      <c r="AY105" s="3">
        <f t="shared" si="120"/>
        <v>46.894771268557271</v>
      </c>
      <c r="AZ105" s="3">
        <f t="shared" si="120"/>
        <v>47.861927445553398</v>
      </c>
      <c r="BA105" s="3">
        <f t="shared" si="120"/>
        <v>48.84903021884157</v>
      </c>
      <c r="BB105" s="3">
        <f t="shared" si="120"/>
        <v>49.856490966349263</v>
      </c>
      <c r="BC105" s="3">
        <f t="shared" si="120"/>
        <v>50.884729550248423</v>
      </c>
      <c r="BD105" s="3">
        <f t="shared" si="120"/>
        <v>51.934174491934222</v>
      </c>
      <c r="BE105" s="3">
        <f t="shared" si="120"/>
        <v>53.005263150612606</v>
      </c>
      <c r="BF105" s="3">
        <f t="shared" si="120"/>
        <v>54.098441905571001</v>
      </c>
      <c r="BG105" s="3">
        <f t="shared" si="120"/>
        <v>55.214166342208152</v>
      </c>
      <c r="BH105" s="3">
        <f t="shared" si="120"/>
        <v>56.352901441900663</v>
      </c>
      <c r="BI105" s="3">
        <f t="shared" si="120"/>
        <v>57.515121775785339</v>
      </c>
    </row>
    <row r="106" spans="1:61" hidden="1" outlineLevel="2" x14ac:dyDescent="0.3">
      <c r="C106" t="s">
        <v>65</v>
      </c>
      <c r="D106" s="4">
        <f t="shared" ref="D106:N106" si="121">D17</f>
        <v>29.729010989010995</v>
      </c>
      <c r="E106" s="4">
        <f t="shared" si="121"/>
        <v>30.893292178603538</v>
      </c>
      <c r="F106" s="4">
        <f t="shared" si="121"/>
        <v>31.807285688930964</v>
      </c>
      <c r="G106" s="4">
        <f t="shared" si="121"/>
        <v>33.303870405957234</v>
      </c>
      <c r="H106" s="4">
        <f t="shared" si="121"/>
        <v>33.120585244738706</v>
      </c>
      <c r="I106" s="4">
        <f t="shared" si="121"/>
        <v>31.990309024228935</v>
      </c>
      <c r="J106" s="4">
        <f t="shared" si="121"/>
        <v>32.877077820543654</v>
      </c>
      <c r="K106" s="4">
        <f t="shared" si="121"/>
        <v>34.925413366336635</v>
      </c>
      <c r="L106" s="4">
        <f t="shared" si="121"/>
        <v>34.94</v>
      </c>
      <c r="M106" s="4">
        <f t="shared" si="121"/>
        <v>37.115698845801255</v>
      </c>
      <c r="N106" s="4">
        <f t="shared" si="121"/>
        <v>36.29722750890479</v>
      </c>
      <c r="O106" s="3">
        <f t="shared" ref="O106:AD112" si="122">N106*(1+AVERAGE($E126:$N126))</f>
        <v>37.047958892492183</v>
      </c>
      <c r="P106" s="3">
        <f t="shared" si="122"/>
        <v>37.814217566977064</v>
      </c>
      <c r="Q106" s="3">
        <f t="shared" si="122"/>
        <v>38.596324681531939</v>
      </c>
      <c r="R106" s="3">
        <f t="shared" si="122"/>
        <v>39.394608027620734</v>
      </c>
      <c r="S106" s="3">
        <f t="shared" si="122"/>
        <v>40.209402176380536</v>
      </c>
      <c r="T106" s="3">
        <f t="shared" si="122"/>
        <v>41.041048618844783</v>
      </c>
      <c r="U106" s="3">
        <f t="shared" si="122"/>
        <v>41.889895909066716</v>
      </c>
      <c r="V106" s="3">
        <f t="shared" si="122"/>
        <v>42.756299810202982</v>
      </c>
      <c r="W106" s="3">
        <f t="shared" si="122"/>
        <v>43.640623443618686</v>
      </c>
      <c r="X106" s="3">
        <f t="shared" si="122"/>
        <v>44.543237441076393</v>
      </c>
      <c r="Y106" s="3">
        <f t="shared" si="122"/>
        <v>45.464520100072797</v>
      </c>
      <c r="Z106" s="3">
        <f t="shared" si="122"/>
        <v>46.404857542388221</v>
      </c>
      <c r="AA106" s="3">
        <f t="shared" si="122"/>
        <v>47.364643875915384</v>
      </c>
      <c r="AB106" s="3">
        <f t="shared" si="122"/>
        <v>48.344281359835243</v>
      </c>
      <c r="AC106" s="3">
        <f t="shared" si="122"/>
        <v>49.344180573209144</v>
      </c>
      <c r="AD106" s="3">
        <f t="shared" si="122"/>
        <v>50.364760587057958</v>
      </c>
      <c r="AE106" s="3">
        <f t="shared" si="120"/>
        <v>51.406449140000298</v>
      </c>
      <c r="AF106" s="3">
        <f t="shared" si="120"/>
        <v>52.469682817523456</v>
      </c>
      <c r="AG106" s="3">
        <f t="shared" si="120"/>
        <v>53.554907234962158</v>
      </c>
      <c r="AH106" s="3">
        <f t="shared" si="120"/>
        <v>54.662577224261874</v>
      </c>
      <c r="AI106" s="3">
        <f t="shared" si="120"/>
        <v>55.793157024604902</v>
      </c>
      <c r="AJ106" s="3">
        <f t="shared" si="120"/>
        <v>56.94712047697918</v>
      </c>
      <c r="AK106" s="3">
        <f t="shared" si="120"/>
        <v>58.12495122277133</v>
      </c>
      <c r="AL106" s="3">
        <f t="shared" si="120"/>
        <v>59.327142906467166</v>
      </c>
      <c r="AM106" s="3">
        <f t="shared" si="120"/>
        <v>60.554199382544645</v>
      </c>
      <c r="AN106" s="3">
        <f t="shared" si="120"/>
        <v>61.80663492664597</v>
      </c>
      <c r="AO106" s="3">
        <f t="shared" si="120"/>
        <v>63.084974451117326</v>
      </c>
      <c r="AP106" s="3">
        <f t="shared" si="120"/>
        <v>64.389753725006614</v>
      </c>
      <c r="AQ106" s="3">
        <f t="shared" si="120"/>
        <v>65.721519598611337</v>
      </c>
      <c r="AR106" s="3">
        <f t="shared" si="120"/>
        <v>67.080830232670849</v>
      </c>
      <c r="AS106" s="3">
        <f t="shared" si="120"/>
        <v>68.468255332298895</v>
      </c>
      <c r="AT106" s="3">
        <f t="shared" si="120"/>
        <v>69.884376385754607</v>
      </c>
      <c r="AU106" s="3">
        <f t="shared" si="120"/>
        <v>71.329786908151917</v>
      </c>
      <c r="AV106" s="3">
        <f t="shared" si="120"/>
        <v>72.805092690209619</v>
      </c>
      <c r="AW106" s="3">
        <f t="shared" si="120"/>
        <v>74.310912052146307</v>
      </c>
      <c r="AX106" s="3">
        <f t="shared" si="120"/>
        <v>75.847876102826561</v>
      </c>
      <c r="AY106" s="3">
        <f t="shared" si="120"/>
        <v>77.416629004267065</v>
      </c>
      <c r="AZ106" s="3">
        <f t="shared" si="120"/>
        <v>79.017828241613415</v>
      </c>
      <c r="BA106" s="3">
        <f t="shared" si="120"/>
        <v>80.652144898700911</v>
      </c>
      <c r="BB106" s="3">
        <f t="shared" si="120"/>
        <v>82.320263939314657</v>
      </c>
      <c r="BC106" s="3">
        <f t="shared" si="120"/>
        <v>84.022884494266961</v>
      </c>
      <c r="BD106" s="3">
        <f t="shared" si="120"/>
        <v>85.760720154412354</v>
      </c>
      <c r="BE106" s="3">
        <f t="shared" si="120"/>
        <v>87.534499269722971</v>
      </c>
      <c r="BF106" s="3">
        <f t="shared" si="120"/>
        <v>89.344965254549692</v>
      </c>
      <c r="BG106" s="3">
        <f t="shared" si="120"/>
        <v>91.192876899196946</v>
      </c>
      <c r="BH106" s="3">
        <f t="shared" si="120"/>
        <v>93.079008687941794</v>
      </c>
      <c r="BI106" s="3">
        <f t="shared" si="120"/>
        <v>95.00415112363055</v>
      </c>
    </row>
    <row r="107" spans="1:61" hidden="1" outlineLevel="2" x14ac:dyDescent="0.3">
      <c r="C107" t="s">
        <v>171</v>
      </c>
      <c r="D107" s="4">
        <f t="shared" ref="D107:N107" si="123">D18</f>
        <v>5.5253919413919412</v>
      </c>
      <c r="E107" s="4">
        <f t="shared" si="123"/>
        <v>5.7361816002397363</v>
      </c>
      <c r="F107" s="4">
        <f t="shared" si="123"/>
        <v>5.9092208483701132</v>
      </c>
      <c r="G107" s="4">
        <f t="shared" si="123"/>
        <v>6.1975054047561837</v>
      </c>
      <c r="H107" s="4">
        <f t="shared" si="123"/>
        <v>6.1612703948924086</v>
      </c>
      <c r="I107" s="4">
        <f t="shared" si="123"/>
        <v>5.9477466482294226</v>
      </c>
      <c r="J107" s="4">
        <f t="shared" si="123"/>
        <v>6.1078746692326193</v>
      </c>
      <c r="K107" s="4">
        <f t="shared" si="123"/>
        <v>6.4972425742574265</v>
      </c>
      <c r="L107" s="4">
        <f t="shared" si="123"/>
        <v>6.49</v>
      </c>
      <c r="M107" s="4">
        <f t="shared" si="123"/>
        <v>6.8941295223025234</v>
      </c>
      <c r="N107" s="4">
        <f t="shared" si="123"/>
        <v>6.7421009311045248</v>
      </c>
      <c r="O107" s="3">
        <f t="shared" si="122"/>
        <v>6.8812393715447744</v>
      </c>
      <c r="P107" s="3">
        <f t="shared" si="120"/>
        <v>7.0232492471364658</v>
      </c>
      <c r="Q107" s="3">
        <f t="shared" si="120"/>
        <v>7.1681898164123448</v>
      </c>
      <c r="R107" s="3">
        <f t="shared" si="120"/>
        <v>7.3161215608384689</v>
      </c>
      <c r="S107" s="3">
        <f t="shared" si="120"/>
        <v>7.4671062100521945</v>
      </c>
      <c r="T107" s="3">
        <f t="shared" si="120"/>
        <v>7.6212067676209987</v>
      </c>
      <c r="U107" s="3">
        <f t="shared" si="120"/>
        <v>7.7784875373329019</v>
      </c>
      <c r="V107" s="3">
        <f t="shared" si="120"/>
        <v>7.9390141500294442</v>
      </c>
      <c r="W107" s="3">
        <f t="shared" si="120"/>
        <v>8.1028535909924262</v>
      </c>
      <c r="X107" s="3">
        <f t="shared" si="120"/>
        <v>8.2700742278958348</v>
      </c>
      <c r="Y107" s="3">
        <f t="shared" si="120"/>
        <v>8.4407458393346175</v>
      </c>
      <c r="Z107" s="3">
        <f t="shared" si="120"/>
        <v>8.6149396439422183</v>
      </c>
      <c r="AA107" s="3">
        <f t="shared" si="120"/>
        <v>8.7927283301090124</v>
      </c>
      <c r="AB107" s="3">
        <f t="shared" si="120"/>
        <v>8.9741860863140559</v>
      </c>
      <c r="AC107" s="3">
        <f t="shared" si="120"/>
        <v>9.1593886320827913</v>
      </c>
      <c r="AD107" s="3">
        <f t="shared" si="120"/>
        <v>9.3484132495836398</v>
      </c>
      <c r="AE107" s="3">
        <f t="shared" si="120"/>
        <v>9.5413388158766583</v>
      </c>
      <c r="AF107" s="3">
        <f t="shared" si="120"/>
        <v>9.7382458358277226</v>
      </c>
      <c r="AG107" s="3">
        <f t="shared" si="120"/>
        <v>9.9392164757019685</v>
      </c>
      <c r="AH107" s="3">
        <f t="shared" si="120"/>
        <v>10.144334597450502</v>
      </c>
      <c r="AI107" s="3">
        <f t="shared" si="120"/>
        <v>10.353685793704708</v>
      </c>
      <c r="AJ107" s="3">
        <f t="shared" si="120"/>
        <v>10.567357423492728</v>
      </c>
      <c r="AK107" s="3">
        <f t="shared" si="120"/>
        <v>10.785438648693045</v>
      </c>
      <c r="AL107" s="3">
        <f t="shared" si="120"/>
        <v>11.008020471240352</v>
      </c>
      <c r="AM107" s="3">
        <f t="shared" si="120"/>
        <v>11.235195771099264</v>
      </c>
      <c r="AN107" s="3">
        <f t="shared" si="120"/>
        <v>11.467059345021694</v>
      </c>
      <c r="AO107" s="3">
        <f t="shared" si="120"/>
        <v>11.703707946104075</v>
      </c>
      <c r="AP107" s="3">
        <f t="shared" si="120"/>
        <v>11.945240324160938</v>
      </c>
      <c r="AQ107" s="3">
        <f t="shared" si="120"/>
        <v>12.19175726693169</v>
      </c>
      <c r="AR107" s="3">
        <f t="shared" si="120"/>
        <v>12.443361642137781</v>
      </c>
      <c r="AS107" s="3">
        <f t="shared" si="120"/>
        <v>12.700158440407817</v>
      </c>
      <c r="AT107" s="3">
        <f t="shared" si="120"/>
        <v>12.962254819088537</v>
      </c>
      <c r="AU107" s="3">
        <f t="shared" si="120"/>
        <v>13.229760146959922</v>
      </c>
      <c r="AV107" s="3">
        <f t="shared" si="120"/>
        <v>13.502786049873096</v>
      </c>
      <c r="AW107" s="3">
        <f t="shared" si="120"/>
        <v>13.78144645733008</v>
      </c>
      <c r="AX107" s="3">
        <f t="shared" si="120"/>
        <v>14.065857650024814</v>
      </c>
      <c r="AY107" s="3">
        <f t="shared" si="120"/>
        <v>14.356138308365297</v>
      </c>
      <c r="AZ107" s="3">
        <f t="shared" si="120"/>
        <v>14.652409561997098</v>
      </c>
      <c r="BA107" s="3">
        <f t="shared" si="120"/>
        <v>14.954795040348886</v>
      </c>
      <c r="BB107" s="3">
        <f t="shared" si="120"/>
        <v>15.263420924221085</v>
      </c>
      <c r="BC107" s="3">
        <f t="shared" si="120"/>
        <v>15.578415998439185</v>
      </c>
      <c r="BD107" s="3">
        <f t="shared" si="120"/>
        <v>15.899911705593654</v>
      </c>
      <c r="BE107" s="3">
        <f t="shared" si="120"/>
        <v>16.228042200888915</v>
      </c>
      <c r="BF107" s="3">
        <f t="shared" si="120"/>
        <v>16.562944408124238</v>
      </c>
      <c r="BG107" s="3">
        <f t="shared" si="120"/>
        <v>16.904758076829939</v>
      </c>
      <c r="BH107" s="3">
        <f t="shared" si="120"/>
        <v>17.253625840582696</v>
      </c>
      <c r="BI107" s="3">
        <f t="shared" si="120"/>
        <v>17.609693276524357</v>
      </c>
    </row>
    <row r="108" spans="1:61" hidden="1" outlineLevel="2" x14ac:dyDescent="0.3">
      <c r="C108" t="s">
        <v>209</v>
      </c>
      <c r="D108" s="4">
        <f t="shared" ref="D108:N108" si="124">D19</f>
        <v>13.383059829059832</v>
      </c>
      <c r="E108" s="4">
        <f t="shared" si="124"/>
        <v>14.595729097992207</v>
      </c>
      <c r="F108" s="4">
        <f t="shared" si="124"/>
        <v>15.617226527835298</v>
      </c>
      <c r="G108" s="4">
        <f t="shared" si="124"/>
        <v>13.259779005524859</v>
      </c>
      <c r="H108" s="4">
        <f t="shared" si="124"/>
        <v>12.873548711279263</v>
      </c>
      <c r="I108" s="4">
        <f t="shared" si="124"/>
        <v>10.919146275476461</v>
      </c>
      <c r="J108" s="4">
        <f t="shared" si="124"/>
        <v>9.8680971854702904</v>
      </c>
      <c r="K108" s="4">
        <f t="shared" si="124"/>
        <v>9.2208341584158404</v>
      </c>
      <c r="L108" s="4">
        <f t="shared" si="124"/>
        <v>9.94</v>
      </c>
      <c r="M108" s="4">
        <f t="shared" si="124"/>
        <v>10.558959545714496</v>
      </c>
      <c r="N108" s="4">
        <f t="shared" si="124"/>
        <v>10.326114523140058</v>
      </c>
      <c r="O108" s="3">
        <f t="shared" si="122"/>
        <v>10.104170792710828</v>
      </c>
      <c r="P108" s="3">
        <f t="shared" si="120"/>
        <v>9.886997396696005</v>
      </c>
      <c r="Q108" s="3">
        <f t="shared" si="120"/>
        <v>9.6744918041956112</v>
      </c>
      <c r="R108" s="3">
        <f t="shared" si="120"/>
        <v>9.4665536880514907</v>
      </c>
      <c r="S108" s="3">
        <f t="shared" si="120"/>
        <v>9.2630848774813135</v>
      </c>
      <c r="T108" s="3">
        <f t="shared" si="120"/>
        <v>9.0639893117306425</v>
      </c>
      <c r="U108" s="3">
        <f t="shared" si="120"/>
        <v>8.8691729947211702</v>
      </c>
      <c r="V108" s="3">
        <f t="shared" si="120"/>
        <v>8.6785439506737276</v>
      </c>
      <c r="W108" s="3">
        <f t="shared" si="120"/>
        <v>8.4920121806851032</v>
      </c>
      <c r="X108" s="3">
        <f t="shared" si="120"/>
        <v>8.3094896202381765</v>
      </c>
      <c r="Y108" s="3">
        <f t="shared" si="120"/>
        <v>8.1308900976253078</v>
      </c>
      <c r="Z108" s="3">
        <f t="shared" si="120"/>
        <v>7.9561292932653451</v>
      </c>
      <c r="AA108" s="3">
        <f t="shared" si="120"/>
        <v>7.7851246998950572</v>
      </c>
      <c r="AB108" s="3">
        <f t="shared" si="120"/>
        <v>7.6177955836161848</v>
      </c>
      <c r="AC108" s="3">
        <f t="shared" si="120"/>
        <v>7.4540629457797261</v>
      </c>
      <c r="AD108" s="3">
        <f t="shared" si="120"/>
        <v>7.2938494856894565</v>
      </c>
      <c r="AE108" s="3">
        <f t="shared" si="120"/>
        <v>7.1370795641070863</v>
      </c>
      <c r="AF108" s="3">
        <f t="shared" si="120"/>
        <v>6.9836791675418093</v>
      </c>
      <c r="AG108" s="3">
        <f t="shared" si="120"/>
        <v>6.8335758733073968</v>
      </c>
      <c r="AH108" s="3">
        <f t="shared" si="120"/>
        <v>6.6866988153303346</v>
      </c>
      <c r="AI108" s="3">
        <f t="shared" si="120"/>
        <v>6.5429786506928576</v>
      </c>
      <c r="AJ108" s="3">
        <f t="shared" si="120"/>
        <v>6.4023475268950945</v>
      </c>
      <c r="AK108" s="3">
        <f t="shared" si="120"/>
        <v>6.2647390498208582</v>
      </c>
      <c r="AL108" s="3">
        <f t="shared" si="120"/>
        <v>6.1300882523919622</v>
      </c>
      <c r="AM108" s="3">
        <f t="shared" si="120"/>
        <v>5.9983315638962633</v>
      </c>
      <c r="AN108" s="3">
        <f t="shared" si="120"/>
        <v>5.8694067799749527</v>
      </c>
      <c r="AO108" s="3">
        <f t="shared" si="120"/>
        <v>5.7432530332549208</v>
      </c>
      <c r="AP108" s="3">
        <f t="shared" si="120"/>
        <v>5.6198107646123319</v>
      </c>
      <c r="AQ108" s="3">
        <f t="shared" si="120"/>
        <v>5.4990216950538509</v>
      </c>
      <c r="AR108" s="3">
        <f t="shared" si="120"/>
        <v>5.3808287982022298</v>
      </c>
      <c r="AS108" s="3">
        <f t="shared" si="120"/>
        <v>5.2651762733732799</v>
      </c>
      <c r="AT108" s="3">
        <f t="shared" si="120"/>
        <v>5.1520095192315107</v>
      </c>
      <c r="AU108" s="3">
        <f t="shared" si="120"/>
        <v>5.0412751080120008</v>
      </c>
      <c r="AV108" s="3">
        <f t="shared" si="120"/>
        <v>4.9329207602963256</v>
      </c>
      <c r="AW108" s="3">
        <f t="shared" si="120"/>
        <v>4.8268953203306415</v>
      </c>
      <c r="AX108" s="3">
        <f t="shared" si="120"/>
        <v>4.7231487318742698</v>
      </c>
      <c r="AY108" s="3">
        <f t="shared" si="120"/>
        <v>4.6216320145673713</v>
      </c>
      <c r="AZ108" s="3">
        <f t="shared" si="120"/>
        <v>4.5222972408065703</v>
      </c>
      <c r="BA108" s="3">
        <f t="shared" si="120"/>
        <v>4.4250975131175911</v>
      </c>
      <c r="BB108" s="3">
        <f t="shared" si="120"/>
        <v>4.3299869420142434</v>
      </c>
      <c r="BC108" s="3">
        <f t="shared" si="120"/>
        <v>4.236920624333286</v>
      </c>
      <c r="BD108" s="3">
        <f t="shared" si="120"/>
        <v>4.1458546220349577</v>
      </c>
      <c r="BE108" s="3">
        <f t="shared" si="120"/>
        <v>4.0567459414591491</v>
      </c>
      <c r="BF108" s="3">
        <f t="shared" si="120"/>
        <v>3.9695525130274363</v>
      </c>
      <c r="BG108" s="3">
        <f t="shared" si="120"/>
        <v>3.8842331713813851</v>
      </c>
      <c r="BH108" s="3">
        <f t="shared" si="120"/>
        <v>3.8007476359477539</v>
      </c>
      <c r="BI108" s="3">
        <f t="shared" si="120"/>
        <v>3.7190564919214131</v>
      </c>
    </row>
    <row r="109" spans="1:61" hidden="1" outlineLevel="2" x14ac:dyDescent="0.3">
      <c r="C109" t="s">
        <v>210</v>
      </c>
      <c r="D109" s="4">
        <f t="shared" ref="D109:N109" si="125">D20</f>
        <v>1.7617191697191701</v>
      </c>
      <c r="E109" s="4">
        <f t="shared" si="125"/>
        <v>1.8219634402157627</v>
      </c>
      <c r="F109" s="4">
        <f t="shared" si="125"/>
        <v>1.8792930249068216</v>
      </c>
      <c r="G109" s="4">
        <f t="shared" si="125"/>
        <v>1.9663181599807829</v>
      </c>
      <c r="H109" s="4">
        <f t="shared" si="125"/>
        <v>1.9435552139985808</v>
      </c>
      <c r="I109" s="4">
        <f t="shared" si="125"/>
        <v>1.8829549690374554</v>
      </c>
      <c r="J109" s="4">
        <f t="shared" si="125"/>
        <v>1.9298496511907626</v>
      </c>
      <c r="K109" s="4">
        <f t="shared" si="125"/>
        <v>2.0563663366336633</v>
      </c>
      <c r="L109" s="4">
        <f t="shared" si="125"/>
        <v>2.06</v>
      </c>
      <c r="M109" s="4">
        <f t="shared" si="125"/>
        <v>2.1882753183271491</v>
      </c>
      <c r="N109" s="4">
        <f t="shared" si="125"/>
        <v>2.1400197100270142</v>
      </c>
      <c r="O109" s="3">
        <f t="shared" si="122"/>
        <v>2.1831754143040283</v>
      </c>
      <c r="P109" s="3">
        <f t="shared" si="120"/>
        <v>2.2272013978606764</v>
      </c>
      <c r="Q109" s="3">
        <f t="shared" si="120"/>
        <v>2.2721152107760791</v>
      </c>
      <c r="R109" s="3">
        <f t="shared" si="120"/>
        <v>2.3179347570448003</v>
      </c>
      <c r="S109" s="3">
        <f t="shared" si="120"/>
        <v>2.364678301713917</v>
      </c>
      <c r="T109" s="3">
        <f t="shared" si="120"/>
        <v>2.4123644781640161</v>
      </c>
      <c r="U109" s="3">
        <f t="shared" si="120"/>
        <v>2.4610122955370186</v>
      </c>
      <c r="V109" s="3">
        <f t="shared" si="120"/>
        <v>2.5106411463137954</v>
      </c>
      <c r="W109" s="3">
        <f t="shared" si="120"/>
        <v>2.5612708140445912</v>
      </c>
      <c r="X109" s="3">
        <f t="shared" si="120"/>
        <v>2.6129214812353436</v>
      </c>
      <c r="Y109" s="3">
        <f t="shared" si="120"/>
        <v>2.6656137373930342</v>
      </c>
      <c r="Z109" s="3">
        <f t="shared" si="120"/>
        <v>2.7193685872332858</v>
      </c>
      <c r="AA109" s="3">
        <f t="shared" si="120"/>
        <v>2.7742074590534713</v>
      </c>
      <c r="AB109" s="3">
        <f t="shared" si="120"/>
        <v>2.8301522132746775</v>
      </c>
      <c r="AC109" s="3">
        <f t="shared" si="120"/>
        <v>2.8872251511559259</v>
      </c>
      <c r="AD109" s="3">
        <f t="shared" si="120"/>
        <v>2.9454490236841235</v>
      </c>
      <c r="AE109" s="3">
        <f t="shared" si="120"/>
        <v>3.0048470406432886</v>
      </c>
      <c r="AF109" s="3">
        <f t="shared" si="120"/>
        <v>3.0654428798666693</v>
      </c>
      <c r="AG109" s="3">
        <f t="shared" si="120"/>
        <v>3.1272606966754384</v>
      </c>
      <c r="AH109" s="3">
        <f t="shared" si="120"/>
        <v>3.1903251335077285</v>
      </c>
      <c r="AI109" s="3">
        <f t="shared" si="120"/>
        <v>3.2546613297418499</v>
      </c>
      <c r="AJ109" s="3">
        <f t="shared" si="120"/>
        <v>3.3202949317176</v>
      </c>
      <c r="AK109" s="3">
        <f t="shared" si="120"/>
        <v>3.3872521029596654</v>
      </c>
      <c r="AL109" s="3">
        <f t="shared" si="120"/>
        <v>3.4555595346071883</v>
      </c>
      <c r="AM109" s="3">
        <f t="shared" si="120"/>
        <v>3.525244456053656</v>
      </c>
      <c r="AN109" s="3">
        <f t="shared" si="120"/>
        <v>3.5963346458013548</v>
      </c>
      <c r="AO109" s="3">
        <f t="shared" si="120"/>
        <v>3.6688584425347153</v>
      </c>
      <c r="AP109" s="3">
        <f t="shared" si="120"/>
        <v>3.7428447564169627</v>
      </c>
      <c r="AQ109" s="3">
        <f t="shared" si="120"/>
        <v>3.8183230806145771</v>
      </c>
      <c r="AR109" s="3">
        <f t="shared" si="120"/>
        <v>3.8953235030541538</v>
      </c>
      <c r="AS109" s="3">
        <f t="shared" si="120"/>
        <v>3.9738767184163555</v>
      </c>
      <c r="AT109" s="3">
        <f t="shared" si="120"/>
        <v>4.0540140403717331</v>
      </c>
      <c r="AU109" s="3">
        <f t="shared" si="120"/>
        <v>4.1357674140632952</v>
      </c>
      <c r="AV109" s="3">
        <f t="shared" si="120"/>
        <v>4.219169428840801</v>
      </c>
      <c r="AW109" s="3">
        <f t="shared" si="120"/>
        <v>4.3042533312518563</v>
      </c>
      <c r="AX109" s="3">
        <f t="shared" si="120"/>
        <v>4.3910530382949817</v>
      </c>
      <c r="AY109" s="3">
        <f t="shared" si="120"/>
        <v>4.4796031509399494</v>
      </c>
      <c r="AZ109" s="3">
        <f t="shared" si="120"/>
        <v>4.569938967920768</v>
      </c>
      <c r="BA109" s="3">
        <f t="shared" si="120"/>
        <v>4.6620964998068191</v>
      </c>
      <c r="BB109" s="3">
        <f t="shared" si="120"/>
        <v>4.7561124833577493</v>
      </c>
      <c r="BC109" s="3">
        <f t="shared" si="120"/>
        <v>4.8520243961678471</v>
      </c>
      <c r="BD109" s="3">
        <f t="shared" si="120"/>
        <v>4.9498704716057382</v>
      </c>
      <c r="BE109" s="3">
        <f t="shared" si="120"/>
        <v>5.0496897140553534</v>
      </c>
      <c r="BF109" s="3">
        <f t="shared" si="120"/>
        <v>5.1515219144642472</v>
      </c>
      <c r="BG109" s="3">
        <f t="shared" si="120"/>
        <v>5.2554076662054641</v>
      </c>
      <c r="BH109" s="3">
        <f t="shared" si="120"/>
        <v>5.3613883812592773</v>
      </c>
      <c r="BI109" s="3">
        <f t="shared" si="120"/>
        <v>5.4695063067212466</v>
      </c>
    </row>
    <row r="110" spans="1:61" hidden="1" outlineLevel="2" x14ac:dyDescent="0.3">
      <c r="C110" t="s">
        <v>166</v>
      </c>
      <c r="D110" s="4">
        <f t="shared" ref="D110:N110" si="126">D21</f>
        <v>2.7827155067155074</v>
      </c>
      <c r="E110" s="4">
        <f t="shared" si="126"/>
        <v>2.8831069823194486</v>
      </c>
      <c r="F110" s="4">
        <f t="shared" si="126"/>
        <v>2.9747098148257711</v>
      </c>
      <c r="G110" s="4">
        <f t="shared" si="126"/>
        <v>3.1193424213307703</v>
      </c>
      <c r="H110" s="4">
        <f t="shared" si="126"/>
        <v>3.0956626862142342</v>
      </c>
      <c r="I110" s="4">
        <f t="shared" si="126"/>
        <v>2.9987801358744659</v>
      </c>
      <c r="J110" s="4">
        <f t="shared" si="126"/>
        <v>3.0738326918450802</v>
      </c>
      <c r="K110" s="4">
        <f t="shared" si="126"/>
        <v>3.2704975247524755</v>
      </c>
      <c r="L110" s="4">
        <f t="shared" si="126"/>
        <v>3.2699999999999996</v>
      </c>
      <c r="M110" s="4">
        <f t="shared" si="126"/>
        <v>3.473621500451348</v>
      </c>
      <c r="N110" s="4">
        <f t="shared" si="126"/>
        <v>3.3970215785380269</v>
      </c>
      <c r="O110" s="3">
        <f t="shared" si="122"/>
        <v>3.4672230370555059</v>
      </c>
      <c r="P110" s="3">
        <f t="shared" si="120"/>
        <v>3.5388752502014267</v>
      </c>
      <c r="Q110" s="3">
        <f t="shared" si="120"/>
        <v>3.6120081986775641</v>
      </c>
      <c r="R110" s="3">
        <f t="shared" si="120"/>
        <v>3.6866524827546128</v>
      </c>
      <c r="S110" s="3">
        <f t="shared" si="120"/>
        <v>3.7628393350759461</v>
      </c>
      <c r="T110" s="3">
        <f t="shared" si="120"/>
        <v>3.8406006337259702</v>
      </c>
      <c r="U110" s="3">
        <f t="shared" si="120"/>
        <v>3.9199689155685458</v>
      </c>
      <c r="V110" s="3">
        <f t="shared" si="120"/>
        <v>4.0009773898610534</v>
      </c>
      <c r="W110" s="3">
        <f t="shared" si="120"/>
        <v>4.0836599521498043</v>
      </c>
      <c r="X110" s="3">
        <f t="shared" si="120"/>
        <v>4.1680511984526056</v>
      </c>
      <c r="Y110" s="3">
        <f t="shared" si="120"/>
        <v>4.2541864397344185</v>
      </c>
      <c r="Z110" s="3">
        <f t="shared" si="120"/>
        <v>4.3421017166821638</v>
      </c>
      <c r="AA110" s="3">
        <f t="shared" si="120"/>
        <v>4.4318338147848566</v>
      </c>
      <c r="AB110" s="3">
        <f t="shared" si="120"/>
        <v>4.5234202797253813</v>
      </c>
      <c r="AC110" s="3">
        <f t="shared" si="120"/>
        <v>4.6168994330903503</v>
      </c>
      <c r="AD110" s="3">
        <f t="shared" si="120"/>
        <v>4.7123103884046094</v>
      </c>
      <c r="AE110" s="3">
        <f t="shared" si="120"/>
        <v>4.8096930674971112</v>
      </c>
      <c r="AF110" s="3">
        <f t="shared" si="120"/>
        <v>4.9090882172049968</v>
      </c>
      <c r="AG110" s="3">
        <f t="shared" si="120"/>
        <v>5.0105374264228777</v>
      </c>
      <c r="AH110" s="3">
        <f t="shared" si="120"/>
        <v>5.1140831435044518</v>
      </c>
      <c r="AI110" s="3">
        <f t="shared" si="120"/>
        <v>5.219768694023732</v>
      </c>
      <c r="AJ110" s="3">
        <f t="shared" si="120"/>
        <v>5.3276382989033229</v>
      </c>
      <c r="AK110" s="3">
        <f t="shared" si="120"/>
        <v>5.4377370929173292</v>
      </c>
      <c r="AL110" s="3">
        <f t="shared" si="120"/>
        <v>5.5501111435766362</v>
      </c>
      <c r="AM110" s="3">
        <f t="shared" si="120"/>
        <v>5.6648074704044671</v>
      </c>
      <c r="AN110" s="3">
        <f t="shared" si="120"/>
        <v>5.7818740646102809</v>
      </c>
      <c r="AO110" s="3">
        <f t="shared" si="120"/>
        <v>5.9013599091702416</v>
      </c>
      <c r="AP110" s="3">
        <f t="shared" si="120"/>
        <v>6.0233149993226638</v>
      </c>
      <c r="AQ110" s="3">
        <f t="shared" si="120"/>
        <v>6.147790363487009</v>
      </c>
      <c r="AR110" s="3">
        <f t="shared" si="120"/>
        <v>6.2748380846151832</v>
      </c>
      <c r="AS110" s="3">
        <f t="shared" si="120"/>
        <v>6.4045113219840752</v>
      </c>
      <c r="AT110" s="3">
        <f t="shared" si="120"/>
        <v>6.5368643334384462</v>
      </c>
      <c r="AU110" s="3">
        <f t="shared" si="120"/>
        <v>6.6719524980934857</v>
      </c>
      <c r="AV110" s="3">
        <f t="shared" si="120"/>
        <v>6.8098323395065261</v>
      </c>
      <c r="AW110" s="3">
        <f t="shared" si="120"/>
        <v>6.9505615493276176</v>
      </c>
      <c r="AX110" s="3">
        <f t="shared" si="120"/>
        <v>7.094199011438854</v>
      </c>
      <c r="AY110" s="3">
        <f t="shared" si="120"/>
        <v>7.2408048265925506</v>
      </c>
      <c r="AZ110" s="3">
        <f t="shared" si="120"/>
        <v>7.3904403375585899</v>
      </c>
      <c r="BA110" s="3">
        <f t="shared" si="120"/>
        <v>7.5431681547914451</v>
      </c>
      <c r="BB110" s="3">
        <f t="shared" si="120"/>
        <v>7.6990521826276348</v>
      </c>
      <c r="BC110" s="3">
        <f t="shared" si="120"/>
        <v>7.8581576460245577</v>
      </c>
      <c r="BD110" s="3">
        <f t="shared" ref="P110:BI112" si="127">BC110*(1+AVERAGE($E130:$N130))</f>
        <v>8.0205511178519036</v>
      </c>
      <c r="BE110" s="3">
        <f t="shared" si="127"/>
        <v>8.1863005467470593</v>
      </c>
      <c r="BF110" s="3">
        <f t="shared" si="127"/>
        <v>8.3554752855461594</v>
      </c>
      <c r="BG110" s="3">
        <f t="shared" si="127"/>
        <v>8.5281461203026847</v>
      </c>
      <c r="BH110" s="3">
        <f t="shared" si="127"/>
        <v>8.7043852999057432</v>
      </c>
      <c r="BI110" s="3">
        <f t="shared" si="127"/>
        <v>8.8842665663104352</v>
      </c>
    </row>
    <row r="111" spans="1:61" hidden="1" outlineLevel="2" x14ac:dyDescent="0.3">
      <c r="C111" t="s">
        <v>75</v>
      </c>
      <c r="D111" s="4">
        <f t="shared" ref="D111:N111" si="128">D22</f>
        <v>32.241462759462756</v>
      </c>
      <c r="E111" s="4">
        <f t="shared" si="128"/>
        <v>32.44496433922685</v>
      </c>
      <c r="F111" s="4">
        <f t="shared" si="128"/>
        <v>32.812255220966698</v>
      </c>
      <c r="G111" s="4">
        <f t="shared" si="128"/>
        <v>33.427408719673309</v>
      </c>
      <c r="H111" s="4">
        <f t="shared" si="128"/>
        <v>32.920218727831639</v>
      </c>
      <c r="I111" s="4">
        <f t="shared" si="128"/>
        <v>33.504643179222029</v>
      </c>
      <c r="J111" s="4">
        <f t="shared" si="128"/>
        <v>33.344618715419777</v>
      </c>
      <c r="K111" s="4">
        <f t="shared" si="128"/>
        <v>36.71926485148515</v>
      </c>
      <c r="L111" s="4">
        <f t="shared" si="128"/>
        <v>34.74</v>
      </c>
      <c r="M111" s="4">
        <f t="shared" si="128"/>
        <v>36.903244931400565</v>
      </c>
      <c r="N111" s="4">
        <f t="shared" si="128"/>
        <v>36.08945860501867</v>
      </c>
      <c r="O111" s="3">
        <f t="shared" si="122"/>
        <v>36.528680884874426</v>
      </c>
      <c r="P111" s="3">
        <f t="shared" si="127"/>
        <v>36.97324866501139</v>
      </c>
      <c r="Q111" s="3">
        <f t="shared" si="127"/>
        <v>37.42322700217774</v>
      </c>
      <c r="R111" s="3">
        <f t="shared" si="127"/>
        <v>37.878681744886741</v>
      </c>
      <c r="S111" s="3">
        <f t="shared" si="127"/>
        <v>38.339679543052824</v>
      </c>
      <c r="T111" s="3">
        <f t="shared" si="127"/>
        <v>38.806287857744941</v>
      </c>
      <c r="U111" s="3">
        <f t="shared" si="127"/>
        <v>39.27857497105861</v>
      </c>
      <c r="V111" s="3">
        <f t="shared" si="127"/>
        <v>39.756609996108125</v>
      </c>
      <c r="W111" s="3">
        <f t="shared" si="127"/>
        <v>40.240462887140367</v>
      </c>
      <c r="X111" s="3">
        <f t="shared" si="127"/>
        <v>40.730204449771705</v>
      </c>
      <c r="Y111" s="3">
        <f t="shared" si="127"/>
        <v>41.225906351349465</v>
      </c>
      <c r="Z111" s="3">
        <f t="shared" si="127"/>
        <v>41.727641131439562</v>
      </c>
      <c r="AA111" s="3">
        <f t="shared" si="127"/>
        <v>42.235482212441674</v>
      </c>
      <c r="AB111" s="3">
        <f t="shared" si="127"/>
        <v>42.749503910333701</v>
      </c>
      <c r="AC111" s="3">
        <f t="shared" si="127"/>
        <v>43.26978144554694</v>
      </c>
      <c r="AD111" s="3">
        <f t="shared" si="127"/>
        <v>43.796390953973606</v>
      </c>
      <c r="AE111" s="3">
        <f t="shared" si="127"/>
        <v>44.329409498108355</v>
      </c>
      <c r="AF111" s="3">
        <f t="shared" si="127"/>
        <v>44.868915078325365</v>
      </c>
      <c r="AG111" s="3">
        <f t="shared" si="127"/>
        <v>45.414986644292711</v>
      </c>
      <c r="AH111" s="3">
        <f t="shared" si="127"/>
        <v>45.967704106525602</v>
      </c>
      <c r="AI111" s="3">
        <f t="shared" si="127"/>
        <v>46.52714834808026</v>
      </c>
      <c r="AJ111" s="3">
        <f t="shared" si="127"/>
        <v>47.093401236390115</v>
      </c>
      <c r="AK111" s="3">
        <f t="shared" si="127"/>
        <v>47.666545635246038</v>
      </c>
      <c r="AL111" s="3">
        <f t="shared" si="127"/>
        <v>48.24666541692239</v>
      </c>
      <c r="AM111" s="3">
        <f t="shared" si="127"/>
        <v>48.833845474450648</v>
      </c>
      <c r="AN111" s="3">
        <f t="shared" si="127"/>
        <v>49.428171734042394</v>
      </c>
      <c r="AO111" s="3">
        <f t="shared" si="127"/>
        <v>50.029731167663513</v>
      </c>
      <c r="AP111" s="3">
        <f t="shared" si="127"/>
        <v>50.638611805761421</v>
      </c>
      <c r="AQ111" s="3">
        <f t="shared" si="127"/>
        <v>51.25490275014716</v>
      </c>
      <c r="AR111" s="3">
        <f t="shared" si="127"/>
        <v>51.878694187034327</v>
      </c>
      <c r="AS111" s="3">
        <f t="shared" si="127"/>
        <v>52.510077400236646</v>
      </c>
      <c r="AT111" s="3">
        <f t="shared" si="127"/>
        <v>53.149144784526165</v>
      </c>
      <c r="AU111" s="3">
        <f t="shared" si="127"/>
        <v>53.795989859154048</v>
      </c>
      <c r="AV111" s="3">
        <f t="shared" si="127"/>
        <v>54.450707281535912</v>
      </c>
      <c r="AW111" s="3">
        <f t="shared" si="127"/>
        <v>55.113392861103705</v>
      </c>
      <c r="AX111" s="3">
        <f t="shared" si="127"/>
        <v>55.784143573326183</v>
      </c>
      <c r="AY111" s="3">
        <f t="shared" si="127"/>
        <v>56.463057573900016</v>
      </c>
      <c r="AZ111" s="3">
        <f t="shared" si="127"/>
        <v>57.15023421311362</v>
      </c>
      <c r="BA111" s="3">
        <f t="shared" si="127"/>
        <v>57.845774050385756</v>
      </c>
      <c r="BB111" s="3">
        <f t="shared" si="127"/>
        <v>58.549778868981129</v>
      </c>
      <c r="BC111" s="3">
        <f t="shared" si="127"/>
        <v>59.262351690905035</v>
      </c>
      <c r="BD111" s="3">
        <f t="shared" si="127"/>
        <v>59.983596791979316</v>
      </c>
      <c r="BE111" s="3">
        <f t="shared" si="127"/>
        <v>60.713619717101771</v>
      </c>
      <c r="BF111" s="3">
        <f t="shared" si="127"/>
        <v>61.452527295691283</v>
      </c>
      <c r="BG111" s="3">
        <f t="shared" si="127"/>
        <v>62.20042765732093</v>
      </c>
      <c r="BH111" s="3">
        <f t="shared" si="127"/>
        <v>62.957430247541339</v>
      </c>
      <c r="BI111" s="3">
        <f t="shared" si="127"/>
        <v>63.723645843896655</v>
      </c>
    </row>
    <row r="112" spans="1:61" hidden="1" outlineLevel="2" x14ac:dyDescent="0.3">
      <c r="C112" t="s">
        <v>62</v>
      </c>
      <c r="D112" s="4">
        <f t="shared" ref="D112:N112" si="129">D23</f>
        <v>60.479018315018322</v>
      </c>
      <c r="E112" s="4">
        <f t="shared" si="129"/>
        <v>59.904556188192984</v>
      </c>
      <c r="F112" s="4">
        <f t="shared" si="129"/>
        <v>59.564544163757922</v>
      </c>
      <c r="G112" s="4">
        <f t="shared" si="129"/>
        <v>59.926377011770334</v>
      </c>
      <c r="H112" s="4">
        <f t="shared" si="129"/>
        <v>59.248379049420656</v>
      </c>
      <c r="I112" s="4">
        <f t="shared" si="129"/>
        <v>59.049069320026447</v>
      </c>
      <c r="J112" s="4">
        <f t="shared" si="129"/>
        <v>58.253605965840741</v>
      </c>
      <c r="K112" s="4">
        <f t="shared" si="129"/>
        <v>62.872306930693071</v>
      </c>
      <c r="L112" s="4">
        <f t="shared" si="129"/>
        <v>58.18</v>
      </c>
      <c r="M112" s="4">
        <f t="shared" si="129"/>
        <v>61.802843699161912</v>
      </c>
      <c r="N112" s="4">
        <f t="shared" si="129"/>
        <v>60.439974140471683</v>
      </c>
      <c r="O112" s="3">
        <f t="shared" si="122"/>
        <v>60.486045132990242</v>
      </c>
      <c r="P112" s="3">
        <f t="shared" si="127"/>
        <v>60.532151243597148</v>
      </c>
      <c r="Q112" s="3">
        <f t="shared" si="127"/>
        <v>60.578292499061533</v>
      </c>
      <c r="R112" s="3">
        <f t="shared" si="127"/>
        <v>60.624468926172916</v>
      </c>
      <c r="S112" s="3">
        <f t="shared" si="127"/>
        <v>60.670680551741249</v>
      </c>
      <c r="T112" s="3">
        <f t="shared" si="127"/>
        <v>60.716927402596923</v>
      </c>
      <c r="U112" s="3">
        <f t="shared" si="127"/>
        <v>60.763209505590773</v>
      </c>
      <c r="V112" s="3">
        <f t="shared" si="127"/>
        <v>60.809526887594103</v>
      </c>
      <c r="W112" s="3">
        <f t="shared" si="127"/>
        <v>60.855879575498705</v>
      </c>
      <c r="X112" s="3">
        <f t="shared" si="127"/>
        <v>60.902267596216866</v>
      </c>
      <c r="Y112" s="3">
        <f t="shared" si="127"/>
        <v>60.948690976681384</v>
      </c>
      <c r="Z112" s="3">
        <f t="shared" si="127"/>
        <v>60.995149743845587</v>
      </c>
      <c r="AA112" s="3">
        <f t="shared" si="127"/>
        <v>61.041643924683356</v>
      </c>
      <c r="AB112" s="3">
        <f t="shared" si="127"/>
        <v>61.088173546189125</v>
      </c>
      <c r="AC112" s="3">
        <f t="shared" si="127"/>
        <v>61.134738635377914</v>
      </c>
      <c r="AD112" s="3">
        <f t="shared" si="127"/>
        <v>61.18133921928532</v>
      </c>
      <c r="AE112" s="3">
        <f t="shared" si="127"/>
        <v>61.227975324967566</v>
      </c>
      <c r="AF112" s="3">
        <f t="shared" si="127"/>
        <v>61.27464697950149</v>
      </c>
      <c r="AG112" s="3">
        <f t="shared" si="127"/>
        <v>61.321354209984563</v>
      </c>
      <c r="AH112" s="3">
        <f t="shared" si="127"/>
        <v>61.368097043534924</v>
      </c>
      <c r="AI112" s="3">
        <f t="shared" si="127"/>
        <v>61.414875507291377</v>
      </c>
      <c r="AJ112" s="3">
        <f t="shared" si="127"/>
        <v>61.46168962841341</v>
      </c>
      <c r="AK112" s="3">
        <f t="shared" si="127"/>
        <v>61.508539434081221</v>
      </c>
      <c r="AL112" s="3">
        <f t="shared" si="127"/>
        <v>61.555424951495723</v>
      </c>
      <c r="AM112" s="3">
        <f t="shared" si="127"/>
        <v>61.602346207878561</v>
      </c>
      <c r="AN112" s="3">
        <f t="shared" si="127"/>
        <v>61.649303230472128</v>
      </c>
      <c r="AO112" s="3">
        <f t="shared" si="127"/>
        <v>61.696296046539594</v>
      </c>
      <c r="AP112" s="3">
        <f t="shared" si="127"/>
        <v>61.743324683364897</v>
      </c>
      <c r="AQ112" s="3">
        <f t="shared" si="127"/>
        <v>61.79038916825278</v>
      </c>
      <c r="AR112" s="3">
        <f t="shared" si="127"/>
        <v>61.837489528528799</v>
      </c>
      <c r="AS112" s="3">
        <f t="shared" si="127"/>
        <v>61.884625791539335</v>
      </c>
      <c r="AT112" s="3">
        <f t="shared" si="127"/>
        <v>61.931797984651624</v>
      </c>
      <c r="AU112" s="3">
        <f t="shared" si="127"/>
        <v>61.979006135253748</v>
      </c>
      <c r="AV112" s="3">
        <f t="shared" si="127"/>
        <v>62.02625027075468</v>
      </c>
      <c r="AW112" s="3">
        <f t="shared" si="127"/>
        <v>62.073530418584276</v>
      </c>
      <c r="AX112" s="3">
        <f t="shared" si="127"/>
        <v>62.120846606193304</v>
      </c>
      <c r="AY112" s="3">
        <f t="shared" si="127"/>
        <v>62.168198861053455</v>
      </c>
      <c r="AZ112" s="3">
        <f t="shared" si="127"/>
        <v>62.215587210657368</v>
      </c>
      <c r="BA112" s="3">
        <f t="shared" si="127"/>
        <v>62.263011682518631</v>
      </c>
      <c r="BB112" s="3">
        <f t="shared" si="127"/>
        <v>62.310472304171803</v>
      </c>
      <c r="BC112" s="3">
        <f t="shared" si="127"/>
        <v>62.357969103172437</v>
      </c>
      <c r="BD112" s="3">
        <f t="shared" si="127"/>
        <v>62.405502107097085</v>
      </c>
      <c r="BE112" s="3">
        <f t="shared" si="127"/>
        <v>62.453071343543328</v>
      </c>
      <c r="BF112" s="3">
        <f t="shared" si="127"/>
        <v>62.500676840129778</v>
      </c>
      <c r="BG112" s="3">
        <f t="shared" si="127"/>
        <v>62.548318624496105</v>
      </c>
      <c r="BH112" s="3">
        <f t="shared" si="127"/>
        <v>62.595996724303035</v>
      </c>
      <c r="BI112" s="3">
        <f t="shared" si="127"/>
        <v>62.643711167232389</v>
      </c>
    </row>
    <row r="113" spans="3:61" hidden="1" outlineLevel="2" x14ac:dyDescent="0.3">
      <c r="C113" t="s">
        <v>179</v>
      </c>
      <c r="D113" s="4">
        <f>SUM(D105:D112)</f>
        <v>163.96</v>
      </c>
      <c r="E113" s="4">
        <f t="shared" ref="E113:BI113" si="130">SUM(E105:E112)</f>
        <v>167.03000000000003</v>
      </c>
      <c r="F113" s="4">
        <f t="shared" si="130"/>
        <v>169.87</v>
      </c>
      <c r="G113" s="4">
        <f t="shared" si="130"/>
        <v>171.42999999999995</v>
      </c>
      <c r="H113" s="4">
        <f t="shared" si="130"/>
        <v>169.46999999999997</v>
      </c>
      <c r="I113" s="4">
        <f t="shared" si="130"/>
        <v>165.70999999999998</v>
      </c>
      <c r="J113" s="4">
        <f t="shared" si="130"/>
        <v>165.41</v>
      </c>
      <c r="K113" s="4">
        <f t="shared" si="130"/>
        <v>176.76</v>
      </c>
      <c r="L113" s="4">
        <f t="shared" si="130"/>
        <v>170.83</v>
      </c>
      <c r="M113" s="4">
        <f t="shared" si="130"/>
        <v>181.46751098535285</v>
      </c>
      <c r="N113" s="4">
        <f t="shared" si="130"/>
        <v>177.46580925432758</v>
      </c>
      <c r="O113" s="4">
        <f t="shared" si="130"/>
        <v>179.18681203197667</v>
      </c>
      <c r="P113" s="4">
        <f t="shared" si="130"/>
        <v>180.9480575939582</v>
      </c>
      <c r="Q113" s="4">
        <f t="shared" si="130"/>
        <v>182.75012972066327</v>
      </c>
      <c r="R113" s="4">
        <f t="shared" si="130"/>
        <v>184.59362801311107</v>
      </c>
      <c r="S113" s="4">
        <f t="shared" si="130"/>
        <v>186.47916811999488</v>
      </c>
      <c r="T113" s="4">
        <f t="shared" si="130"/>
        <v>188.4073819713295</v>
      </c>
      <c r="U113" s="4">
        <f t="shared" si="130"/>
        <v>190.37891801879317</v>
      </c>
      <c r="V113" s="4">
        <f t="shared" si="130"/>
        <v>192.39444148285875</v>
      </c>
      <c r="W113" s="4">
        <f t="shared" si="130"/>
        <v>194.45463460681225</v>
      </c>
      <c r="X113" s="4">
        <f t="shared" si="130"/>
        <v>196.56019691775992</v>
      </c>
      <c r="Y113" s="4">
        <f t="shared" si="130"/>
        <v>198.71184549472764</v>
      </c>
      <c r="Z113" s="4">
        <f t="shared" si="130"/>
        <v>200.91031524395962</v>
      </c>
      <c r="AA113" s="4">
        <f t="shared" si="130"/>
        <v>203.15635918152594</v>
      </c>
      <c r="AB113" s="4">
        <f t="shared" si="130"/>
        <v>205.45074872335277</v>
      </c>
      <c r="AC113" s="4">
        <f t="shared" si="130"/>
        <v>207.79427398279017</v>
      </c>
      <c r="AD113" s="4">
        <f t="shared" si="130"/>
        <v>210.1877440758376</v>
      </c>
      <c r="AE113" s="4">
        <f t="shared" si="130"/>
        <v>212.63198743414955</v>
      </c>
      <c r="AF113" s="4">
        <f t="shared" si="130"/>
        <v>215.12785212594639</v>
      </c>
      <c r="AG113" s="4">
        <f t="shared" si="130"/>
        <v>217.67620618495994</v>
      </c>
      <c r="AH113" s="4">
        <f t="shared" si="130"/>
        <v>220.27793794754621</v>
      </c>
      <c r="AI113" s="4">
        <f t="shared" si="130"/>
        <v>222.93395639810072</v>
      </c>
      <c r="AJ113" s="4">
        <f t="shared" si="130"/>
        <v>225.64519152291606</v>
      </c>
      <c r="AK113" s="4">
        <f t="shared" si="130"/>
        <v>228.41259467262392</v>
      </c>
      <c r="AL113" s="4">
        <f t="shared" si="130"/>
        <v>231.2371389333687</v>
      </c>
      <c r="AM113" s="4">
        <f t="shared" si="130"/>
        <v>234.11981950686211</v>
      </c>
      <c r="AN113" s="4">
        <f t="shared" si="130"/>
        <v>237.06165409947278</v>
      </c>
      <c r="AO113" s="4">
        <f t="shared" si="130"/>
        <v>240.06368332050818</v>
      </c>
      <c r="AP113" s="4">
        <f t="shared" si="130"/>
        <v>243.12697108985046</v>
      </c>
      <c r="AQ113" s="4">
        <f t="shared" si="130"/>
        <v>246.25260505511096</v>
      </c>
      <c r="AR113" s="4">
        <f t="shared" si="130"/>
        <v>249.44169701847323</v>
      </c>
      <c r="AS113" s="4">
        <f t="shared" si="130"/>
        <v>252.69538337339708</v>
      </c>
      <c r="AT113" s="4">
        <f t="shared" si="130"/>
        <v>256.01482555136158</v>
      </c>
      <c r="AU113" s="4">
        <f t="shared" si="130"/>
        <v>259.40121047882809</v>
      </c>
      <c r="AV113" s="4">
        <f t="shared" si="130"/>
        <v>262.85575104460941</v>
      </c>
      <c r="AW113" s="4">
        <f t="shared" si="130"/>
        <v>266.37968657783483</v>
      </c>
      <c r="AX113" s="4">
        <f t="shared" si="130"/>
        <v>269.97428333670621</v>
      </c>
      <c r="AY113" s="4">
        <f t="shared" si="130"/>
        <v>273.64083500824296</v>
      </c>
      <c r="AZ113" s="4">
        <f t="shared" si="130"/>
        <v>277.38066321922082</v>
      </c>
      <c r="BA113" s="4">
        <f t="shared" si="130"/>
        <v>281.19511805851158</v>
      </c>
      <c r="BB113" s="4">
        <f t="shared" si="130"/>
        <v>285.08557861103759</v>
      </c>
      <c r="BC113" s="4">
        <f t="shared" si="130"/>
        <v>289.05345350355776</v>
      </c>
      <c r="BD113" s="4">
        <f t="shared" si="130"/>
        <v>293.10018146250928</v>
      </c>
      <c r="BE113" s="4">
        <f t="shared" si="130"/>
        <v>297.22723188413119</v>
      </c>
      <c r="BF113" s="4">
        <f t="shared" si="130"/>
        <v>301.43610541710382</v>
      </c>
      <c r="BG113" s="4">
        <f t="shared" si="130"/>
        <v>305.72833455794165</v>
      </c>
      <c r="BH113" s="4">
        <f t="shared" si="130"/>
        <v>310.10548425938225</v>
      </c>
      <c r="BI113" s="4">
        <f t="shared" si="130"/>
        <v>314.56915255202239</v>
      </c>
    </row>
    <row r="114" spans="3:61" hidden="1" outlineLevel="2" x14ac:dyDescent="0.3"/>
    <row r="115" spans="3:61" hidden="1" outlineLevel="2" x14ac:dyDescent="0.3">
      <c r="C115" t="s">
        <v>69</v>
      </c>
      <c r="D115" s="4">
        <f>D16</f>
        <v>18.057621489621493</v>
      </c>
      <c r="E115" s="4">
        <f t="shared" ref="E115:N115" si="131">E16</f>
        <v>18.75020617320947</v>
      </c>
      <c r="F115" s="4">
        <f t="shared" si="131"/>
        <v>19.30546471040644</v>
      </c>
      <c r="G115" s="4">
        <f t="shared" si="131"/>
        <v>20.229398871006481</v>
      </c>
      <c r="H115" s="4">
        <f t="shared" si="131"/>
        <v>20.106779971624494</v>
      </c>
      <c r="I115" s="4">
        <f t="shared" si="131"/>
        <v>19.417350447904763</v>
      </c>
      <c r="J115" s="4">
        <f t="shared" si="131"/>
        <v>19.955043300457056</v>
      </c>
      <c r="K115" s="4">
        <f t="shared" si="131"/>
        <v>21.198074257425741</v>
      </c>
      <c r="L115" s="4">
        <f t="shared" si="131"/>
        <v>21.21</v>
      </c>
      <c r="M115" s="4">
        <f t="shared" si="131"/>
        <v>22.530737622193609</v>
      </c>
      <c r="N115" s="4">
        <f t="shared" si="131"/>
        <v>22.033892257122798</v>
      </c>
      <c r="O115" s="3">
        <f>N115*(1+AVERAGE($E125:$J125))</f>
        <v>22.41275704901129</v>
      </c>
      <c r="P115" s="3">
        <f t="shared" ref="P115:BI120" si="132">O115*(1+AVERAGE($E125:$J125))</f>
        <v>22.798136283688994</v>
      </c>
      <c r="Q115" s="3">
        <f t="shared" si="132"/>
        <v>23.190141974638721</v>
      </c>
      <c r="R115" s="3">
        <f t="shared" si="132"/>
        <v>23.588888061374526</v>
      </c>
      <c r="S115" s="3">
        <f t="shared" si="132"/>
        <v>23.994490442559112</v>
      </c>
      <c r="T115" s="3">
        <f t="shared" si="132"/>
        <v>24.407067009690678</v>
      </c>
      <c r="U115" s="3">
        <f t="shared" si="132"/>
        <v>24.826737681369018</v>
      </c>
      <c r="V115" s="3">
        <f t="shared" si="132"/>
        <v>25.253624438150784</v>
      </c>
      <c r="W115" s="3">
        <f t="shared" si="132"/>
        <v>25.687851358004092</v>
      </c>
      <c r="X115" s="3">
        <f t="shared" si="132"/>
        <v>26.129544652372754</v>
      </c>
      <c r="Y115" s="3">
        <f t="shared" si="132"/>
        <v>26.578832702860613</v>
      </c>
      <c r="Z115" s="3">
        <f t="shared" si="132"/>
        <v>27.035846098546667</v>
      </c>
      <c r="AA115" s="3">
        <f t="shared" si="132"/>
        <v>27.500717673941793</v>
      </c>
      <c r="AB115" s="3">
        <f t="shared" si="132"/>
        <v>27.973582547598149</v>
      </c>
      <c r="AC115" s="3">
        <f t="shared" si="132"/>
        <v>28.454578161382422</v>
      </c>
      <c r="AD115" s="3">
        <f t="shared" si="132"/>
        <v>28.943844320424386</v>
      </c>
      <c r="AE115" s="3">
        <f t="shared" si="132"/>
        <v>29.441523233752356</v>
      </c>
      <c r="AF115" s="3">
        <f t="shared" si="132"/>
        <v>29.94775955562735</v>
      </c>
      <c r="AG115" s="3">
        <f t="shared" si="132"/>
        <v>30.462700427587979</v>
      </c>
      <c r="AH115" s="3">
        <f t="shared" si="132"/>
        <v>30.986495521218281</v>
      </c>
      <c r="AI115" s="3">
        <f t="shared" si="132"/>
        <v>31.519297081650937</v>
      </c>
      <c r="AJ115" s="3">
        <f t="shared" si="132"/>
        <v>32.061259971818508</v>
      </c>
      <c r="AK115" s="3">
        <f t="shared" si="132"/>
        <v>32.612541717465568</v>
      </c>
      <c r="AL115" s="3">
        <f t="shared" si="132"/>
        <v>33.173302552934757</v>
      </c>
      <c r="AM115" s="3">
        <f t="shared" si="132"/>
        <v>33.743705467740185</v>
      </c>
      <c r="AN115" s="3">
        <f t="shared" si="132"/>
        <v>34.323916253941576</v>
      </c>
      <c r="AO115" s="3">
        <f t="shared" si="132"/>
        <v>34.914103554333039</v>
      </c>
      <c r="AP115" s="3">
        <f t="shared" si="132"/>
        <v>35.514438911460402</v>
      </c>
      <c r="AQ115" s="3">
        <f t="shared" si="132"/>
        <v>36.125096817481406</v>
      </c>
      <c r="AR115" s="3">
        <f t="shared" si="132"/>
        <v>36.746254764883204</v>
      </c>
      <c r="AS115" s="3">
        <f t="shared" si="132"/>
        <v>37.378093298071931</v>
      </c>
      <c r="AT115" s="3">
        <f t="shared" si="132"/>
        <v>38.020796065849368</v>
      </c>
      <c r="AU115" s="3">
        <f t="shared" si="132"/>
        <v>38.674549874791872</v>
      </c>
      <c r="AV115" s="3">
        <f t="shared" si="132"/>
        <v>39.339544743547187</v>
      </c>
      <c r="AW115" s="3">
        <f t="shared" si="132"/>
        <v>40.015973958064833</v>
      </c>
      <c r="AX115" s="3">
        <f t="shared" si="132"/>
        <v>40.704034127776183</v>
      </c>
      <c r="AY115" s="3">
        <f t="shared" si="132"/>
        <v>41.403925242740527</v>
      </c>
      <c r="AZ115" s="3">
        <f t="shared" si="132"/>
        <v>42.115850731773754</v>
      </c>
      <c r="BA115" s="3">
        <f t="shared" si="132"/>
        <v>42.840017521576499</v>
      </c>
      <c r="BB115" s="3">
        <f t="shared" si="132"/>
        <v>43.576636096879035</v>
      </c>
      <c r="BC115" s="3">
        <f t="shared" si="132"/>
        <v>44.325920561620286</v>
      </c>
      <c r="BD115" s="3">
        <f t="shared" si="132"/>
        <v>45.088088701178805</v>
      </c>
      <c r="BE115" s="3">
        <f t="shared" si="132"/>
        <v>45.863362045673796</v>
      </c>
      <c r="BF115" s="3">
        <f t="shared" si="132"/>
        <v>46.651965934354592</v>
      </c>
      <c r="BG115" s="3">
        <f t="shared" si="132"/>
        <v>47.454129581097241</v>
      </c>
      <c r="BH115" s="3">
        <f t="shared" si="132"/>
        <v>48.270086141027321</v>
      </c>
      <c r="BI115" s="3">
        <f t="shared" si="132"/>
        <v>49.100072778288293</v>
      </c>
    </row>
    <row r="116" spans="3:61" hidden="1" outlineLevel="2" x14ac:dyDescent="0.3">
      <c r="C116" t="s">
        <v>65</v>
      </c>
      <c r="D116" s="4">
        <f t="shared" ref="D116:N116" si="133">D17</f>
        <v>29.729010989010995</v>
      </c>
      <c r="E116" s="4">
        <f t="shared" si="133"/>
        <v>30.893292178603538</v>
      </c>
      <c r="F116" s="4">
        <f t="shared" si="133"/>
        <v>31.807285688930964</v>
      </c>
      <c r="G116" s="4">
        <f t="shared" si="133"/>
        <v>33.303870405957234</v>
      </c>
      <c r="H116" s="4">
        <f t="shared" si="133"/>
        <v>33.120585244738706</v>
      </c>
      <c r="I116" s="4">
        <f t="shared" si="133"/>
        <v>31.990309024228935</v>
      </c>
      <c r="J116" s="4">
        <f t="shared" si="133"/>
        <v>32.877077820543654</v>
      </c>
      <c r="K116" s="4">
        <f t="shared" si="133"/>
        <v>34.925413366336635</v>
      </c>
      <c r="L116" s="4">
        <f t="shared" si="133"/>
        <v>34.94</v>
      </c>
      <c r="M116" s="4">
        <f t="shared" si="133"/>
        <v>37.115698845801255</v>
      </c>
      <c r="N116" s="4">
        <f t="shared" si="133"/>
        <v>36.29722750890479</v>
      </c>
      <c r="O116" s="3">
        <f t="shared" ref="O116:AD122" si="134">N116*(1+AVERAGE($E126:$J126))</f>
        <v>36.925718063732717</v>
      </c>
      <c r="P116" s="3">
        <f t="shared" si="134"/>
        <v>37.565091002825689</v>
      </c>
      <c r="Q116" s="3">
        <f t="shared" si="134"/>
        <v>38.215534755884661</v>
      </c>
      <c r="R116" s="3">
        <f t="shared" si="134"/>
        <v>38.877241015291922</v>
      </c>
      <c r="S116" s="3">
        <f t="shared" si="134"/>
        <v>39.550404792604816</v>
      </c>
      <c r="T116" s="3">
        <f t="shared" si="134"/>
        <v>40.235224476027604</v>
      </c>
      <c r="U116" s="3">
        <f t="shared" si="134"/>
        <v>40.931901888878514</v>
      </c>
      <c r="V116" s="3">
        <f t="shared" si="134"/>
        <v>41.640642349069097</v>
      </c>
      <c r="W116" s="3">
        <f t="shared" si="134"/>
        <v>42.361654729613512</v>
      </c>
      <c r="X116" s="3">
        <f t="shared" si="134"/>
        <v>43.095151520185524</v>
      </c>
      <c r="Y116" s="3">
        <f t="shared" si="134"/>
        <v>43.841348889741369</v>
      </c>
      <c r="Z116" s="3">
        <f t="shared" si="134"/>
        <v>44.60046675022695</v>
      </c>
      <c r="AA116" s="3">
        <f t="shared" si="134"/>
        <v>45.372728821388108</v>
      </c>
      <c r="AB116" s="3">
        <f t="shared" si="134"/>
        <v>46.158362696703108</v>
      </c>
      <c r="AC116" s="3">
        <f t="shared" si="134"/>
        <v>46.957599910456757</v>
      </c>
      <c r="AD116" s="3">
        <f t="shared" si="134"/>
        <v>47.770676005975908</v>
      </c>
      <c r="AE116" s="3">
        <f t="shared" si="132"/>
        <v>48.597830605046461</v>
      </c>
      <c r="AF116" s="3">
        <f t="shared" si="132"/>
        <v>49.439307478532349</v>
      </c>
      <c r="AG116" s="3">
        <f t="shared" si="132"/>
        <v>50.295354618217281</v>
      </c>
      <c r="AH116" s="3">
        <f t="shared" si="132"/>
        <v>51.166224309890445</v>
      </c>
      <c r="AI116" s="3">
        <f t="shared" si="132"/>
        <v>52.052173207697692</v>
      </c>
      <c r="AJ116" s="3">
        <f t="shared" si="132"/>
        <v>52.953462409780116</v>
      </c>
      <c r="AK116" s="3">
        <f t="shared" si="132"/>
        <v>53.87035753522234</v>
      </c>
      <c r="AL116" s="3">
        <f t="shared" si="132"/>
        <v>54.803128802333148</v>
      </c>
      <c r="AM116" s="3">
        <f t="shared" si="132"/>
        <v>55.75205110828157</v>
      </c>
      <c r="AN116" s="3">
        <f t="shared" si="132"/>
        <v>56.717404110111872</v>
      </c>
      <c r="AO116" s="3">
        <f t="shared" si="132"/>
        <v>57.699472307161322</v>
      </c>
      <c r="AP116" s="3">
        <f t="shared" si="132"/>
        <v>58.698545124905039</v>
      </c>
      <c r="AQ116" s="3">
        <f t="shared" si="132"/>
        <v>59.714917000252619</v>
      </c>
      <c r="AR116" s="3">
        <f t="shared" si="132"/>
        <v>60.748887468321698</v>
      </c>
      <c r="AS116" s="3">
        <f t="shared" si="132"/>
        <v>61.800761250713975</v>
      </c>
      <c r="AT116" s="3">
        <f t="shared" si="132"/>
        <v>62.870848345319764</v>
      </c>
      <c r="AU116" s="3">
        <f t="shared" si="132"/>
        <v>63.959464117677541</v>
      </c>
      <c r="AV116" s="3">
        <f t="shared" si="132"/>
        <v>65.066929393915345</v>
      </c>
      <c r="AW116" s="3">
        <f t="shared" si="132"/>
        <v>66.193570555301534</v>
      </c>
      <c r="AX116" s="3">
        <f t="shared" si="132"/>
        <v>67.339719634432626</v>
      </c>
      <c r="AY116" s="3">
        <f t="shared" si="132"/>
        <v>68.505714413086679</v>
      </c>
      <c r="AZ116" s="3">
        <f t="shared" si="132"/>
        <v>69.691898521771051</v>
      </c>
      <c r="BA116" s="3">
        <f t="shared" si="132"/>
        <v>70.898621540993759</v>
      </c>
      <c r="BB116" s="3">
        <f t="shared" si="132"/>
        <v>72.12623910428843</v>
      </c>
      <c r="BC116" s="3">
        <f t="shared" si="132"/>
        <v>73.375113003023117</v>
      </c>
      <c r="BD116" s="3">
        <f t="shared" si="132"/>
        <v>74.645611293023862</v>
      </c>
      <c r="BE116" s="3">
        <f t="shared" si="132"/>
        <v>75.938108403044524</v>
      </c>
      <c r="BF116" s="3">
        <f t="shared" si="132"/>
        <v>77.252985245114729</v>
      </c>
      <c r="BG116" s="3">
        <f t="shared" si="132"/>
        <v>78.590629326798492</v>
      </c>
      <c r="BH116" s="3">
        <f t="shared" si="132"/>
        <v>79.951434865396649</v>
      </c>
      <c r="BI116" s="3">
        <f t="shared" si="132"/>
        <v>81.335802904126723</v>
      </c>
    </row>
    <row r="117" spans="3:61" hidden="1" outlineLevel="2" x14ac:dyDescent="0.3">
      <c r="C117" t="s">
        <v>171</v>
      </c>
      <c r="D117" s="4">
        <f t="shared" ref="D117:N117" si="135">D18</f>
        <v>5.5253919413919412</v>
      </c>
      <c r="E117" s="4">
        <f t="shared" si="135"/>
        <v>5.7361816002397363</v>
      </c>
      <c r="F117" s="4">
        <f t="shared" si="135"/>
        <v>5.9092208483701132</v>
      </c>
      <c r="G117" s="4">
        <f t="shared" si="135"/>
        <v>6.1975054047561837</v>
      </c>
      <c r="H117" s="4">
        <f t="shared" si="135"/>
        <v>6.1612703948924086</v>
      </c>
      <c r="I117" s="4">
        <f t="shared" si="135"/>
        <v>5.9477466482294226</v>
      </c>
      <c r="J117" s="4">
        <f t="shared" si="135"/>
        <v>6.1078746692326193</v>
      </c>
      <c r="K117" s="4">
        <f t="shared" si="135"/>
        <v>6.4972425742574265</v>
      </c>
      <c r="L117" s="4">
        <f t="shared" si="135"/>
        <v>6.49</v>
      </c>
      <c r="M117" s="4">
        <f t="shared" si="135"/>
        <v>6.8941295223025234</v>
      </c>
      <c r="N117" s="4">
        <f t="shared" si="135"/>
        <v>6.7421009311045248</v>
      </c>
      <c r="O117" s="3">
        <f t="shared" si="134"/>
        <v>6.8584258271251946</v>
      </c>
      <c r="P117" s="3">
        <f t="shared" si="132"/>
        <v>6.9767577357332602</v>
      </c>
      <c r="Q117" s="3">
        <f t="shared" si="132"/>
        <v>7.0971312849375465</v>
      </c>
      <c r="R117" s="3">
        <f t="shared" si="132"/>
        <v>7.2195817002015241</v>
      </c>
      <c r="S117" s="3">
        <f t="shared" si="132"/>
        <v>7.3441448147515</v>
      </c>
      <c r="T117" s="3">
        <f t="shared" si="132"/>
        <v>7.4708570800626557</v>
      </c>
      <c r="U117" s="3">
        <f t="shared" si="132"/>
        <v>7.5997555765260127</v>
      </c>
      <c r="V117" s="3">
        <f t="shared" si="132"/>
        <v>7.7308780242994342</v>
      </c>
      <c r="W117" s="3">
        <f t="shared" si="132"/>
        <v>7.8642627943458514</v>
      </c>
      <c r="X117" s="3">
        <f t="shared" si="132"/>
        <v>7.9999489196619304</v>
      </c>
      <c r="Y117" s="3">
        <f t="shared" si="132"/>
        <v>8.1379761067004797</v>
      </c>
      <c r="Z117" s="3">
        <f t="shared" si="132"/>
        <v>8.2783847469899303</v>
      </c>
      <c r="AA117" s="3">
        <f t="shared" si="132"/>
        <v>8.4212159289542949</v>
      </c>
      <c r="AB117" s="3">
        <f t="shared" si="132"/>
        <v>8.5665114499370603</v>
      </c>
      <c r="AC117" s="3">
        <f t="shared" si="132"/>
        <v>8.7143138284325357</v>
      </c>
      <c r="AD117" s="3">
        <f t="shared" si="132"/>
        <v>8.8646663165282344</v>
      </c>
      <c r="AE117" s="3">
        <f t="shared" si="132"/>
        <v>9.0176129125619351</v>
      </c>
      <c r="AF117" s="3">
        <f t="shared" si="132"/>
        <v>9.1731983739971099</v>
      </c>
      <c r="AG117" s="3">
        <f t="shared" si="132"/>
        <v>9.3314682305205086</v>
      </c>
      <c r="AH117" s="3">
        <f t="shared" si="132"/>
        <v>9.4924687973657242</v>
      </c>
      <c r="AI117" s="3">
        <f t="shared" si="132"/>
        <v>9.6562471888666241</v>
      </c>
      <c r="AJ117" s="3">
        <f t="shared" si="132"/>
        <v>9.8228513322446407</v>
      </c>
      <c r="AK117" s="3">
        <f t="shared" si="132"/>
        <v>9.9923299816339277</v>
      </c>
      <c r="AL117" s="3">
        <f t="shared" si="132"/>
        <v>10.164732732348513</v>
      </c>
      <c r="AM117" s="3">
        <f t="shared" si="132"/>
        <v>10.340110035395597</v>
      </c>
      <c r="AN117" s="3">
        <f t="shared" si="132"/>
        <v>10.518513212239261</v>
      </c>
      <c r="AO117" s="3">
        <f t="shared" si="132"/>
        <v>10.699994469818909</v>
      </c>
      <c r="AP117" s="3">
        <f t="shared" si="132"/>
        <v>10.88460691582682</v>
      </c>
      <c r="AQ117" s="3">
        <f t="shared" si="132"/>
        <v>11.072404574249296</v>
      </c>
      <c r="AR117" s="3">
        <f t="shared" si="132"/>
        <v>11.263442401175944</v>
      </c>
      <c r="AS117" s="3">
        <f t="shared" si="132"/>
        <v>11.457776300881735</v>
      </c>
      <c r="AT117" s="3">
        <f t="shared" si="132"/>
        <v>11.655463142186528</v>
      </c>
      <c r="AU117" s="3">
        <f t="shared" si="132"/>
        <v>11.856560775096851</v>
      </c>
      <c r="AV117" s="3">
        <f t="shared" si="132"/>
        <v>12.061128047734808</v>
      </c>
      <c r="AW117" s="3">
        <f t="shared" si="132"/>
        <v>12.269224823559089</v>
      </c>
      <c r="AX117" s="3">
        <f t="shared" si="132"/>
        <v>12.480911998883075</v>
      </c>
      <c r="AY117" s="3">
        <f t="shared" si="132"/>
        <v>12.69625152069521</v>
      </c>
      <c r="AZ117" s="3">
        <f t="shared" si="132"/>
        <v>12.915306404786834</v>
      </c>
      <c r="BA117" s="3">
        <f t="shared" si="132"/>
        <v>13.138140754192783</v>
      </c>
      <c r="BB117" s="3">
        <f t="shared" si="132"/>
        <v>13.364819777950148</v>
      </c>
      <c r="BC117" s="3">
        <f t="shared" si="132"/>
        <v>13.595409810180701</v>
      </c>
      <c r="BD117" s="3">
        <f t="shared" si="132"/>
        <v>13.829978329502552</v>
      </c>
      <c r="BE117" s="3">
        <f t="shared" si="132"/>
        <v>14.068593978776724</v>
      </c>
      <c r="BF117" s="3">
        <f t="shared" si="132"/>
        <v>14.311326585194426</v>
      </c>
      <c r="BG117" s="3">
        <f t="shared" si="132"/>
        <v>14.558247180710911</v>
      </c>
      <c r="BH117" s="3">
        <f t="shared" si="132"/>
        <v>14.809428022831879</v>
      </c>
      <c r="BI117" s="3">
        <f t="shared" si="132"/>
        <v>15.064942615758522</v>
      </c>
    </row>
    <row r="118" spans="3:61" hidden="1" outlineLevel="2" x14ac:dyDescent="0.3">
      <c r="C118" t="s">
        <v>209</v>
      </c>
      <c r="D118" s="4">
        <f t="shared" ref="D118:N118" si="136">D19</f>
        <v>13.383059829059832</v>
      </c>
      <c r="E118" s="4">
        <f t="shared" si="136"/>
        <v>14.595729097992207</v>
      </c>
      <c r="F118" s="4">
        <f t="shared" si="136"/>
        <v>15.617226527835298</v>
      </c>
      <c r="G118" s="4">
        <f t="shared" si="136"/>
        <v>13.259779005524859</v>
      </c>
      <c r="H118" s="4">
        <f t="shared" si="136"/>
        <v>12.873548711279263</v>
      </c>
      <c r="I118" s="4">
        <f t="shared" si="136"/>
        <v>10.919146275476461</v>
      </c>
      <c r="J118" s="4">
        <f t="shared" si="136"/>
        <v>9.8680971854702904</v>
      </c>
      <c r="K118" s="4">
        <f t="shared" si="136"/>
        <v>9.2208341584158404</v>
      </c>
      <c r="L118" s="4">
        <f t="shared" si="136"/>
        <v>9.94</v>
      </c>
      <c r="M118" s="4">
        <f t="shared" si="136"/>
        <v>10.558959545714496</v>
      </c>
      <c r="N118" s="4">
        <f t="shared" si="136"/>
        <v>10.326114523140058</v>
      </c>
      <c r="O118" s="3">
        <f t="shared" si="134"/>
        <v>9.8656486499865483</v>
      </c>
      <c r="P118" s="3">
        <f t="shared" si="132"/>
        <v>9.4257160393553434</v>
      </c>
      <c r="Q118" s="3">
        <f t="shared" si="132"/>
        <v>9.0054010644988587</v>
      </c>
      <c r="R118" s="3">
        <f t="shared" si="132"/>
        <v>8.6038289286321099</v>
      </c>
      <c r="S118" s="3">
        <f t="shared" si="132"/>
        <v>8.2201638442280984</v>
      </c>
      <c r="T118" s="3">
        <f t="shared" si="132"/>
        <v>7.8536072935027255</v>
      </c>
      <c r="U118" s="3">
        <f t="shared" si="132"/>
        <v>7.5033963664687864</v>
      </c>
      <c r="V118" s="3">
        <f t="shared" si="132"/>
        <v>7.1688021731000813</v>
      </c>
      <c r="W118" s="3">
        <f t="shared" si="132"/>
        <v>6.8491283263008773</v>
      </c>
      <c r="X118" s="3">
        <f t="shared" si="132"/>
        <v>6.5437094925233552</v>
      </c>
      <c r="Y118" s="3">
        <f t="shared" si="132"/>
        <v>6.2519100070164475</v>
      </c>
      <c r="Z118" s="3">
        <f t="shared" si="132"/>
        <v>5.9731225508240104</v>
      </c>
      <c r="AA118" s="3">
        <f t="shared" si="132"/>
        <v>5.7067668867787775</v>
      </c>
      <c r="AB118" s="3">
        <f t="shared" si="132"/>
        <v>5.4522886518613278</v>
      </c>
      <c r="AC118" s="3">
        <f t="shared" si="132"/>
        <v>5.209158203410631</v>
      </c>
      <c r="AD118" s="3">
        <f t="shared" si="132"/>
        <v>4.9768695167847881</v>
      </c>
      <c r="AE118" s="3">
        <f t="shared" si="132"/>
        <v>4.7549391321776922</v>
      </c>
      <c r="AF118" s="3">
        <f t="shared" si="132"/>
        <v>4.5429051483996199</v>
      </c>
      <c r="AG118" s="3">
        <f t="shared" si="132"/>
        <v>4.3403262615275331</v>
      </c>
      <c r="AH118" s="3">
        <f t="shared" si="132"/>
        <v>4.1467808464242308</v>
      </c>
      <c r="AI118" s="3">
        <f t="shared" si="132"/>
        <v>3.9618660792147402</v>
      </c>
      <c r="AJ118" s="3">
        <f t="shared" si="132"/>
        <v>3.7851970988935597</v>
      </c>
      <c r="AK118" s="3">
        <f t="shared" si="132"/>
        <v>3.6164062063178166</v>
      </c>
      <c r="AL118" s="3">
        <f t="shared" si="132"/>
        <v>3.4551420989192163</v>
      </c>
      <c r="AM118" s="3">
        <f t="shared" si="132"/>
        <v>3.3010691395419958</v>
      </c>
      <c r="AN118" s="3">
        <f t="shared" si="132"/>
        <v>3.1538666578851213</v>
      </c>
      <c r="AO118" s="3">
        <f t="shared" si="132"/>
        <v>3.0132282830948327</v>
      </c>
      <c r="AP118" s="3">
        <f t="shared" si="132"/>
        <v>2.8788613061184631</v>
      </c>
      <c r="AQ118" s="3">
        <f t="shared" si="132"/>
        <v>2.7504860704924123</v>
      </c>
      <c r="AR118" s="3">
        <f t="shared" si="132"/>
        <v>2.6278353902963221</v>
      </c>
      <c r="AS118" s="3">
        <f t="shared" si="132"/>
        <v>2.5106539940620554</v>
      </c>
      <c r="AT118" s="3">
        <f t="shared" si="132"/>
        <v>2.3986979934800878</v>
      </c>
      <c r="AU118" s="3">
        <f t="shared" si="132"/>
        <v>2.2917343757975379</v>
      </c>
      <c r="AV118" s="3">
        <f t="shared" si="132"/>
        <v>2.1895405188513695</v>
      </c>
      <c r="AW118" s="3">
        <f t="shared" si="132"/>
        <v>2.0919037277274124</v>
      </c>
      <c r="AX118" s="3">
        <f t="shared" si="132"/>
        <v>1.9986207920808521</v>
      </c>
      <c r="AY118" s="3">
        <f t="shared" si="132"/>
        <v>1.9094975631968463</v>
      </c>
      <c r="AZ118" s="3">
        <f t="shared" si="132"/>
        <v>1.8243485499110086</v>
      </c>
      <c r="BA118" s="3">
        <f t="shared" si="132"/>
        <v>1.7429965325487546</v>
      </c>
      <c r="BB118" s="3">
        <f t="shared" si="132"/>
        <v>1.6652721940800057</v>
      </c>
      <c r="BC118" s="3">
        <f t="shared" si="132"/>
        <v>1.5910137677215757</v>
      </c>
      <c r="BD118" s="3">
        <f t="shared" si="132"/>
        <v>1.5200667002538024</v>
      </c>
      <c r="BE118" s="3">
        <f t="shared" si="132"/>
        <v>1.4522833303506864</v>
      </c>
      <c r="BF118" s="3">
        <f t="shared" si="132"/>
        <v>1.387522581254049</v>
      </c>
      <c r="BG118" s="3">
        <f t="shared" si="132"/>
        <v>1.3256496671520783</v>
      </c>
      <c r="BH118" s="3">
        <f t="shared" si="132"/>
        <v>1.2665358126511483</v>
      </c>
      <c r="BI118" s="3">
        <f t="shared" si="132"/>
        <v>1.2100579847570552</v>
      </c>
    </row>
    <row r="119" spans="3:61" hidden="1" outlineLevel="2" x14ac:dyDescent="0.3">
      <c r="C119" t="s">
        <v>210</v>
      </c>
      <c r="D119" s="4">
        <f t="shared" ref="D119:N119" si="137">D20</f>
        <v>1.7617191697191701</v>
      </c>
      <c r="E119" s="4">
        <f t="shared" si="137"/>
        <v>1.8219634402157627</v>
      </c>
      <c r="F119" s="4">
        <f t="shared" si="137"/>
        <v>1.8792930249068216</v>
      </c>
      <c r="G119" s="4">
        <f t="shared" si="137"/>
        <v>1.9663181599807829</v>
      </c>
      <c r="H119" s="4">
        <f t="shared" si="137"/>
        <v>1.9435552139985808</v>
      </c>
      <c r="I119" s="4">
        <f t="shared" si="137"/>
        <v>1.8829549690374554</v>
      </c>
      <c r="J119" s="4">
        <f t="shared" si="137"/>
        <v>1.9298496511907626</v>
      </c>
      <c r="K119" s="4">
        <f t="shared" si="137"/>
        <v>2.0563663366336633</v>
      </c>
      <c r="L119" s="4">
        <f t="shared" si="137"/>
        <v>2.06</v>
      </c>
      <c r="M119" s="4">
        <f t="shared" si="137"/>
        <v>2.1882753183271491</v>
      </c>
      <c r="N119" s="4">
        <f t="shared" si="137"/>
        <v>2.1400197100270142</v>
      </c>
      <c r="O119" s="3">
        <f t="shared" si="134"/>
        <v>2.1735887033511458</v>
      </c>
      <c r="P119" s="3">
        <f t="shared" si="132"/>
        <v>2.2076842700089321</v>
      </c>
      <c r="Q119" s="3">
        <f t="shared" si="132"/>
        <v>2.2423146699881848</v>
      </c>
      <c r="R119" s="3">
        <f t="shared" si="132"/>
        <v>2.277488292845371</v>
      </c>
      <c r="S119" s="3">
        <f t="shared" si="132"/>
        <v>2.3132136597380661</v>
      </c>
      <c r="T119" s="3">
        <f t="shared" si="132"/>
        <v>2.3494994254892876</v>
      </c>
      <c r="U119" s="3">
        <f t="shared" si="132"/>
        <v>2.386354380684212</v>
      </c>
      <c r="V119" s="3">
        <f t="shared" si="132"/>
        <v>2.4237874537997812</v>
      </c>
      <c r="W119" s="3">
        <f t="shared" si="132"/>
        <v>2.4618077133677136</v>
      </c>
      <c r="X119" s="3">
        <f t="shared" si="132"/>
        <v>2.5004243701714461</v>
      </c>
      <c r="Y119" s="3">
        <f t="shared" si="132"/>
        <v>2.5396467794775366</v>
      </c>
      <c r="Z119" s="3">
        <f t="shared" si="132"/>
        <v>2.5794844433020709</v>
      </c>
      <c r="AA119" s="3">
        <f t="shared" si="132"/>
        <v>2.6199470127126188</v>
      </c>
      <c r="AB119" s="3">
        <f t="shared" si="132"/>
        <v>2.6610442901663007</v>
      </c>
      <c r="AC119" s="3">
        <f t="shared" si="132"/>
        <v>2.7027862318845304</v>
      </c>
      <c r="AD119" s="3">
        <f t="shared" si="132"/>
        <v>2.7451829502650078</v>
      </c>
      <c r="AE119" s="3">
        <f t="shared" si="132"/>
        <v>2.7882447163315467</v>
      </c>
      <c r="AF119" s="3">
        <f t="shared" si="132"/>
        <v>2.8319819622223319</v>
      </c>
      <c r="AG119" s="3">
        <f t="shared" si="132"/>
        <v>2.8764052837172085</v>
      </c>
      <c r="AH119" s="3">
        <f t="shared" si="132"/>
        <v>2.9215254428046129</v>
      </c>
      <c r="AI119" s="3">
        <f t="shared" si="132"/>
        <v>2.9673533702887718</v>
      </c>
      <c r="AJ119" s="3">
        <f t="shared" si="132"/>
        <v>3.0139001684377971</v>
      </c>
      <c r="AK119" s="3">
        <f t="shared" si="132"/>
        <v>3.0611771136733203</v>
      </c>
      <c r="AL119" s="3">
        <f t="shared" si="132"/>
        <v>3.1091956593023169</v>
      </c>
      <c r="AM119" s="3">
        <f t="shared" si="132"/>
        <v>3.1579674382917826</v>
      </c>
      <c r="AN119" s="3">
        <f t="shared" si="132"/>
        <v>3.2075042660869357</v>
      </c>
      <c r="AO119" s="3">
        <f t="shared" si="132"/>
        <v>3.257818143473624</v>
      </c>
      <c r="AP119" s="3">
        <f t="shared" si="132"/>
        <v>3.308921259485635</v>
      </c>
      <c r="AQ119" s="3">
        <f t="shared" si="132"/>
        <v>3.3608259943576084</v>
      </c>
      <c r="AR119" s="3">
        <f t="shared" si="132"/>
        <v>3.413544922524272</v>
      </c>
      <c r="AS119" s="3">
        <f t="shared" si="132"/>
        <v>3.4670908156667206</v>
      </c>
      <c r="AT119" s="3">
        <f t="shared" si="132"/>
        <v>3.5214766458064837</v>
      </c>
      <c r="AU119" s="3">
        <f t="shared" si="132"/>
        <v>3.5767155884481245</v>
      </c>
      <c r="AV119" s="3">
        <f t="shared" si="132"/>
        <v>3.6328210257711371</v>
      </c>
      <c r="AW119" s="3">
        <f t="shared" si="132"/>
        <v>3.689806549871911</v>
      </c>
      <c r="AX119" s="3">
        <f t="shared" si="132"/>
        <v>3.7476859660565514</v>
      </c>
      <c r="AY119" s="3">
        <f t="shared" si="132"/>
        <v>3.80647329618535</v>
      </c>
      <c r="AZ119" s="3">
        <f t="shared" si="132"/>
        <v>3.8661827820697199</v>
      </c>
      <c r="BA119" s="3">
        <f t="shared" si="132"/>
        <v>3.9268288889224143</v>
      </c>
      <c r="BB119" s="3">
        <f t="shared" si="132"/>
        <v>3.9884263088618686</v>
      </c>
      <c r="BC119" s="3">
        <f t="shared" si="132"/>
        <v>4.0509899644715102</v>
      </c>
      <c r="BD119" s="3">
        <f t="shared" si="132"/>
        <v>4.1145350124149012</v>
      </c>
      <c r="BE119" s="3">
        <f t="shared" si="132"/>
        <v>4.1790768471075905</v>
      </c>
      <c r="BF119" s="3">
        <f t="shared" si="132"/>
        <v>4.2446311044465643</v>
      </c>
      <c r="BG119" s="3">
        <f t="shared" si="132"/>
        <v>4.3112136655981947</v>
      </c>
      <c r="BH119" s="3">
        <f t="shared" si="132"/>
        <v>4.3788406608456096</v>
      </c>
      <c r="BI119" s="3">
        <f t="shared" si="132"/>
        <v>4.4475284734964129</v>
      </c>
    </row>
    <row r="120" spans="3:61" hidden="1" outlineLevel="2" x14ac:dyDescent="0.3">
      <c r="C120" t="s">
        <v>166</v>
      </c>
      <c r="D120" s="4">
        <f t="shared" ref="D120:N120" si="138">D21</f>
        <v>2.7827155067155074</v>
      </c>
      <c r="E120" s="4">
        <f t="shared" si="138"/>
        <v>2.8831069823194486</v>
      </c>
      <c r="F120" s="4">
        <f t="shared" si="138"/>
        <v>2.9747098148257711</v>
      </c>
      <c r="G120" s="4">
        <f t="shared" si="138"/>
        <v>3.1193424213307703</v>
      </c>
      <c r="H120" s="4">
        <f t="shared" si="138"/>
        <v>3.0956626862142342</v>
      </c>
      <c r="I120" s="4">
        <f t="shared" si="138"/>
        <v>2.9987801358744659</v>
      </c>
      <c r="J120" s="4">
        <f t="shared" si="138"/>
        <v>3.0738326918450802</v>
      </c>
      <c r="K120" s="4">
        <f t="shared" si="138"/>
        <v>3.2704975247524755</v>
      </c>
      <c r="L120" s="4">
        <f t="shared" si="138"/>
        <v>3.2699999999999996</v>
      </c>
      <c r="M120" s="4">
        <f t="shared" si="138"/>
        <v>3.473621500451348</v>
      </c>
      <c r="N120" s="4">
        <f t="shared" si="138"/>
        <v>3.3970215785380269</v>
      </c>
      <c r="O120" s="3">
        <f t="shared" si="134"/>
        <v>3.4551163221370254</v>
      </c>
      <c r="P120" s="3">
        <f t="shared" si="132"/>
        <v>3.5142045828968085</v>
      </c>
      <c r="Q120" s="3">
        <f t="shared" si="132"/>
        <v>3.5743033516204612</v>
      </c>
      <c r="R120" s="3">
        <f t="shared" si="132"/>
        <v>3.6354299096821845</v>
      </c>
      <c r="S120" s="3">
        <f t="shared" si="132"/>
        <v>3.6976018339965453</v>
      </c>
      <c r="T120" s="3">
        <f t="shared" si="132"/>
        <v>3.7608370020727113</v>
      </c>
      <c r="U120" s="3">
        <f t="shared" si="132"/>
        <v>3.8251535971551216</v>
      </c>
      <c r="V120" s="3">
        <f t="shared" si="132"/>
        <v>3.8905701134520685</v>
      </c>
      <c r="W120" s="3">
        <f t="shared" si="132"/>
        <v>3.9571053614537006</v>
      </c>
      <c r="X120" s="3">
        <f t="shared" si="132"/>
        <v>4.0247784733409704</v>
      </c>
      <c r="Y120" s="3">
        <f t="shared" si="132"/>
        <v>4.0936089084870844</v>
      </c>
      <c r="Z120" s="3">
        <f t="shared" si="132"/>
        <v>4.1636164590530367</v>
      </c>
      <c r="AA120" s="3">
        <f t="shared" si="132"/>
        <v>4.2348212556788374</v>
      </c>
      <c r="AB120" s="3">
        <f t="shared" si="132"/>
        <v>4.3072437732720665</v>
      </c>
      <c r="AC120" s="3">
        <f t="shared" si="132"/>
        <v>4.3809048368954286</v>
      </c>
      <c r="AD120" s="3">
        <f t="shared" si="132"/>
        <v>4.4558256277549866</v>
      </c>
      <c r="AE120" s="3">
        <f t="shared" si="132"/>
        <v>4.5320276892908096</v>
      </c>
      <c r="AF120" s="3">
        <f t="shared" si="132"/>
        <v>4.6095329333717796</v>
      </c>
      <c r="AG120" s="3">
        <f t="shared" si="132"/>
        <v>4.688363646596339</v>
      </c>
      <c r="AH120" s="3">
        <f t="shared" si="132"/>
        <v>4.7685424967009942</v>
      </c>
      <c r="AI120" s="3">
        <f t="shared" si="132"/>
        <v>4.8500925390784095</v>
      </c>
      <c r="AJ120" s="3">
        <f t="shared" si="132"/>
        <v>4.9330372234069788</v>
      </c>
      <c r="AK120" s="3">
        <f t="shared" si="132"/>
        <v>5.0174004003937673</v>
      </c>
      <c r="AL120" s="3">
        <f t="shared" si="132"/>
        <v>5.1032063286327727</v>
      </c>
      <c r="AM120" s="3">
        <f t="shared" si="132"/>
        <v>5.1904796815804737</v>
      </c>
      <c r="AN120" s="3">
        <f t="shared" si="132"/>
        <v>5.2792455546506716</v>
      </c>
      <c r="AO120" s="3">
        <f t="shared" si="132"/>
        <v>5.3695294724306626</v>
      </c>
      <c r="AP120" s="3">
        <f t="shared" si="132"/>
        <v>5.4613573960208255</v>
      </c>
      <c r="AQ120" s="3">
        <f t="shared" si="132"/>
        <v>5.5547557304997222</v>
      </c>
      <c r="AR120" s="3">
        <f t="shared" si="132"/>
        <v>5.6497513325168658</v>
      </c>
      <c r="AS120" s="3">
        <f t="shared" si="132"/>
        <v>5.7463715180153407</v>
      </c>
      <c r="AT120" s="3">
        <f t="shared" si="132"/>
        <v>5.8446440700864875</v>
      </c>
      <c r="AU120" s="3">
        <f t="shared" si="132"/>
        <v>5.9445972469589199</v>
      </c>
      <c r="AV120" s="3">
        <f t="shared" si="132"/>
        <v>6.0462597901241644</v>
      </c>
      <c r="AW120" s="3">
        <f t="shared" si="132"/>
        <v>6.1496609326012655</v>
      </c>
      <c r="AX120" s="3">
        <f t="shared" si="132"/>
        <v>6.254830407342725</v>
      </c>
      <c r="AY120" s="3">
        <f t="shared" si="132"/>
        <v>6.3617984557842009</v>
      </c>
      <c r="AZ120" s="3">
        <f t="shared" si="132"/>
        <v>6.4705958365404177</v>
      </c>
      <c r="BA120" s="3">
        <f t="shared" si="132"/>
        <v>6.5812538342497939</v>
      </c>
      <c r="BB120" s="3">
        <f t="shared" si="132"/>
        <v>6.6938042685703234</v>
      </c>
      <c r="BC120" s="3">
        <f t="shared" si="132"/>
        <v>6.8082795033293069</v>
      </c>
      <c r="BD120" s="3">
        <f t="shared" ref="P120:BI122" si="139">BC120*(1+AVERAGE($E130:$J130))</f>
        <v>6.9247124558295541</v>
      </c>
      <c r="BE120" s="3">
        <f t="shared" si="139"/>
        <v>7.0431366063147394</v>
      </c>
      <c r="BF120" s="3">
        <f t="shared" si="139"/>
        <v>7.1635860075966322</v>
      </c>
      <c r="BG120" s="3">
        <f t="shared" si="139"/>
        <v>7.2860952948469668</v>
      </c>
      <c r="BH120" s="3">
        <f t="shared" si="139"/>
        <v>7.4106996955567705</v>
      </c>
      <c r="BI120" s="3">
        <f t="shared" si="139"/>
        <v>7.5374350396660148</v>
      </c>
    </row>
    <row r="121" spans="3:61" hidden="1" outlineLevel="2" x14ac:dyDescent="0.3">
      <c r="C121" t="s">
        <v>75</v>
      </c>
      <c r="D121" s="4">
        <f t="shared" ref="D121:N121" si="140">D22</f>
        <v>32.241462759462756</v>
      </c>
      <c r="E121" s="4">
        <f t="shared" si="140"/>
        <v>32.44496433922685</v>
      </c>
      <c r="F121" s="4">
        <f t="shared" si="140"/>
        <v>32.812255220966698</v>
      </c>
      <c r="G121" s="4">
        <f t="shared" si="140"/>
        <v>33.427408719673309</v>
      </c>
      <c r="H121" s="4">
        <f t="shared" si="140"/>
        <v>32.920218727831639</v>
      </c>
      <c r="I121" s="4">
        <f t="shared" si="140"/>
        <v>33.504643179222029</v>
      </c>
      <c r="J121" s="4">
        <f t="shared" si="140"/>
        <v>33.344618715419777</v>
      </c>
      <c r="K121" s="4">
        <f t="shared" si="140"/>
        <v>36.71926485148515</v>
      </c>
      <c r="L121" s="4">
        <f t="shared" si="140"/>
        <v>34.74</v>
      </c>
      <c r="M121" s="4">
        <f t="shared" si="140"/>
        <v>36.903244931400565</v>
      </c>
      <c r="N121" s="4">
        <f t="shared" si="140"/>
        <v>36.08945860501867</v>
      </c>
      <c r="O121" s="3">
        <f t="shared" si="134"/>
        <v>36.295069790078792</v>
      </c>
      <c r="P121" s="3">
        <f t="shared" si="139"/>
        <v>36.501852396408616</v>
      </c>
      <c r="Q121" s="3">
        <f t="shared" si="139"/>
        <v>36.70981309790475</v>
      </c>
      <c r="R121" s="3">
        <f t="shared" si="139"/>
        <v>36.918958606486754</v>
      </c>
      <c r="S121" s="3">
        <f t="shared" si="139"/>
        <v>37.129295672313773</v>
      </c>
      <c r="T121" s="3">
        <f t="shared" si="139"/>
        <v>37.340831084002396</v>
      </c>
      <c r="U121" s="3">
        <f t="shared" si="139"/>
        <v>37.553571668845748</v>
      </c>
      <c r="V121" s="3">
        <f t="shared" si="139"/>
        <v>37.767524293033851</v>
      </c>
      <c r="W121" s="3">
        <f t="shared" si="139"/>
        <v>37.982695861875229</v>
      </c>
      <c r="X121" s="3">
        <f t="shared" si="139"/>
        <v>38.199093320019763</v>
      </c>
      <c r="Y121" s="3">
        <f t="shared" si="139"/>
        <v>38.416723651682851</v>
      </c>
      <c r="Z121" s="3">
        <f t="shared" si="139"/>
        <v>38.635593880870807</v>
      </c>
      <c r="AA121" s="3">
        <f t="shared" si="139"/>
        <v>38.855711071607573</v>
      </c>
      <c r="AB121" s="3">
        <f t="shared" si="139"/>
        <v>39.077082328162696</v>
      </c>
      <c r="AC121" s="3">
        <f t="shared" si="139"/>
        <v>39.299714795280622</v>
      </c>
      <c r="AD121" s="3">
        <f t="shared" si="139"/>
        <v>39.523615658411302</v>
      </c>
      <c r="AE121" s="3">
        <f t="shared" si="139"/>
        <v>39.74879214394209</v>
      </c>
      <c r="AF121" s="3">
        <f t="shared" si="139"/>
        <v>39.975251519430977</v>
      </c>
      <c r="AG121" s="3">
        <f t="shared" si="139"/>
        <v>40.203001093841152</v>
      </c>
      <c r="AH121" s="3">
        <f t="shared" si="139"/>
        <v>40.432048217776909</v>
      </c>
      <c r="AI121" s="3">
        <f t="shared" si="139"/>
        <v>40.662400283720871</v>
      </c>
      <c r="AJ121" s="3">
        <f t="shared" si="139"/>
        <v>40.894064726272589</v>
      </c>
      <c r="AK121" s="3">
        <f t="shared" si="139"/>
        <v>41.127049022388491</v>
      </c>
      <c r="AL121" s="3">
        <f t="shared" si="139"/>
        <v>41.361360691623204</v>
      </c>
      <c r="AM121" s="3">
        <f t="shared" si="139"/>
        <v>41.597007296372247</v>
      </c>
      <c r="AN121" s="3">
        <f t="shared" si="139"/>
        <v>41.83399644211611</v>
      </c>
      <c r="AO121" s="3">
        <f t="shared" si="139"/>
        <v>42.0723357776657</v>
      </c>
      <c r="AP121" s="3">
        <f t="shared" si="139"/>
        <v>42.312032995409233</v>
      </c>
      <c r="AQ121" s="3">
        <f t="shared" si="139"/>
        <v>42.553095831560491</v>
      </c>
      <c r="AR121" s="3">
        <f t="shared" si="139"/>
        <v>42.795532066408512</v>
      </c>
      <c r="AS121" s="3">
        <f t="shared" si="139"/>
        <v>43.039349524568699</v>
      </c>
      <c r="AT121" s="3">
        <f t="shared" si="139"/>
        <v>43.284556075235351</v>
      </c>
      <c r="AU121" s="3">
        <f t="shared" si="139"/>
        <v>43.531159632435653</v>
      </c>
      <c r="AV121" s="3">
        <f t="shared" si="139"/>
        <v>43.779168155285092</v>
      </c>
      <c r="AW121" s="3">
        <f t="shared" si="139"/>
        <v>44.028589648244335</v>
      </c>
      <c r="AX121" s="3">
        <f t="shared" si="139"/>
        <v>44.279432161377592</v>
      </c>
      <c r="AY121" s="3">
        <f t="shared" si="139"/>
        <v>44.531703790612397</v>
      </c>
      <c r="AZ121" s="3">
        <f t="shared" si="139"/>
        <v>44.785412678000945</v>
      </c>
      <c r="BA121" s="3">
        <f t="shared" si="139"/>
        <v>45.040567011982837</v>
      </c>
      <c r="BB121" s="3">
        <f t="shared" si="139"/>
        <v>45.297175027649381</v>
      </c>
      <c r="BC121" s="3">
        <f t="shared" si="139"/>
        <v>45.555245007009383</v>
      </c>
      <c r="BD121" s="3">
        <f t="shared" si="139"/>
        <v>45.814785279256441</v>
      </c>
      <c r="BE121" s="3">
        <f t="shared" si="139"/>
        <v>46.075804221037771</v>
      </c>
      <c r="BF121" s="3">
        <f t="shared" si="139"/>
        <v>46.338310256724561</v>
      </c>
      <c r="BG121" s="3">
        <f t="shared" si="139"/>
        <v>46.602311858683862</v>
      </c>
      <c r="BH121" s="3">
        <f t="shared" si="139"/>
        <v>46.86781754755205</v>
      </c>
      <c r="BI121" s="3">
        <f t="shared" si="139"/>
        <v>47.13483589250982</v>
      </c>
    </row>
    <row r="122" spans="3:61" hidden="1" outlineLevel="2" x14ac:dyDescent="0.3">
      <c r="C122" t="s">
        <v>62</v>
      </c>
      <c r="D122" s="4">
        <f t="shared" ref="D122:N122" si="141">D23</f>
        <v>60.479018315018322</v>
      </c>
      <c r="E122" s="4">
        <f t="shared" si="141"/>
        <v>59.904556188192984</v>
      </c>
      <c r="F122" s="4">
        <f t="shared" si="141"/>
        <v>59.564544163757922</v>
      </c>
      <c r="G122" s="4">
        <f t="shared" si="141"/>
        <v>59.926377011770334</v>
      </c>
      <c r="H122" s="4">
        <f t="shared" si="141"/>
        <v>59.248379049420656</v>
      </c>
      <c r="I122" s="4">
        <f t="shared" si="141"/>
        <v>59.049069320026447</v>
      </c>
      <c r="J122" s="4">
        <f t="shared" si="141"/>
        <v>58.253605965840741</v>
      </c>
      <c r="K122" s="4">
        <f t="shared" si="141"/>
        <v>62.872306930693071</v>
      </c>
      <c r="L122" s="4">
        <f t="shared" si="141"/>
        <v>58.18</v>
      </c>
      <c r="M122" s="4">
        <f t="shared" si="141"/>
        <v>61.802843699161912</v>
      </c>
      <c r="N122" s="4">
        <f t="shared" si="141"/>
        <v>60.439974140471683</v>
      </c>
      <c r="O122" s="3">
        <f t="shared" si="134"/>
        <v>60.064754309049128</v>
      </c>
      <c r="P122" s="3">
        <f t="shared" si="139"/>
        <v>59.691863894935153</v>
      </c>
      <c r="Q122" s="3">
        <f t="shared" si="139"/>
        <v>59.321288436780584</v>
      </c>
      <c r="R122" s="3">
        <f t="shared" si="139"/>
        <v>58.953013563014338</v>
      </c>
      <c r="S122" s="3">
        <f t="shared" si="139"/>
        <v>58.58702499128605</v>
      </c>
      <c r="T122" s="3">
        <f t="shared" si="139"/>
        <v>58.223308527912202</v>
      </c>
      <c r="U122" s="3">
        <f t="shared" si="139"/>
        <v>57.861850067325641</v>
      </c>
      <c r="V122" s="3">
        <f t="shared" si="139"/>
        <v>57.502635591528552</v>
      </c>
      <c r="W122" s="3">
        <f t="shared" si="139"/>
        <v>57.145651169548827</v>
      </c>
      <c r="X122" s="3">
        <f t="shared" si="139"/>
        <v>56.790882956899772</v>
      </c>
      <c r="Y122" s="3">
        <f t="shared" si="139"/>
        <v>56.438317195043219</v>
      </c>
      <c r="Z122" s="3">
        <f t="shared" si="139"/>
        <v>56.087940210855919</v>
      </c>
      <c r="AA122" s="3">
        <f t="shared" si="139"/>
        <v>55.739738416099307</v>
      </c>
      <c r="AB122" s="3">
        <f t="shared" si="139"/>
        <v>55.393698306892489</v>
      </c>
      <c r="AC122" s="3">
        <f t="shared" si="139"/>
        <v>55.049806463188574</v>
      </c>
      <c r="AD122" s="3">
        <f t="shared" si="139"/>
        <v>54.708049548254188</v>
      </c>
      <c r="AE122" s="3">
        <f t="shared" si="139"/>
        <v>54.368414308152275</v>
      </c>
      <c r="AF122" s="3">
        <f t="shared" si="139"/>
        <v>54.030887571228078</v>
      </c>
      <c r="AG122" s="3">
        <f t="shared" si="139"/>
        <v>53.695456247598315</v>
      </c>
      <c r="AH122" s="3">
        <f t="shared" si="139"/>
        <v>53.362107328643539</v>
      </c>
      <c r="AI122" s="3">
        <f t="shared" si="139"/>
        <v>53.03082788650363</v>
      </c>
      <c r="AJ122" s="3">
        <f t="shared" si="139"/>
        <v>52.701605073576445</v>
      </c>
      <c r="AK122" s="3">
        <f t="shared" si="139"/>
        <v>52.37442612201955</v>
      </c>
      <c r="AL122" s="3">
        <f t="shared" si="139"/>
        <v>52.049278343255068</v>
      </c>
      <c r="AM122" s="3">
        <f t="shared" si="139"/>
        <v>51.726149127477591</v>
      </c>
      <c r="AN122" s="3">
        <f t="shared" si="139"/>
        <v>51.40502594316515</v>
      </c>
      <c r="AO122" s="3">
        <f t="shared" si="139"/>
        <v>51.085896336593223</v>
      </c>
      <c r="AP122" s="3">
        <f t="shared" si="139"/>
        <v>50.768747931351747</v>
      </c>
      <c r="AQ122" s="3">
        <f t="shared" si="139"/>
        <v>50.453568427865164</v>
      </c>
      <c r="AR122" s="3">
        <f t="shared" si="139"/>
        <v>50.140345602915389</v>
      </c>
      <c r="AS122" s="3">
        <f t="shared" si="139"/>
        <v>49.829067309167797</v>
      </c>
      <c r="AT122" s="3">
        <f t="shared" si="139"/>
        <v>49.51972147470012</v>
      </c>
      <c r="AU122" s="3">
        <f t="shared" si="139"/>
        <v>49.212296102534275</v>
      </c>
      <c r="AV122" s="3">
        <f t="shared" si="139"/>
        <v>48.906779270171093</v>
      </c>
      <c r="AW122" s="3">
        <f t="shared" si="139"/>
        <v>48.603159129127953</v>
      </c>
      <c r="AX122" s="3">
        <f t="shared" si="139"/>
        <v>48.301423904479286</v>
      </c>
      <c r="AY122" s="3">
        <f t="shared" si="139"/>
        <v>48.001561894399899</v>
      </c>
      <c r="AZ122" s="3">
        <f t="shared" si="139"/>
        <v>47.703561469711175</v>
      </c>
      <c r="BA122" s="3">
        <f t="shared" si="139"/>
        <v>47.407411073430069</v>
      </c>
      <c r="BB122" s="3">
        <f t="shared" si="139"/>
        <v>47.113099220320905</v>
      </c>
      <c r="BC122" s="3">
        <f t="shared" si="139"/>
        <v>46.820614496449963</v>
      </c>
      <c r="BD122" s="3">
        <f t="shared" si="139"/>
        <v>46.529945558742817</v>
      </c>
      <c r="BE122" s="3">
        <f t="shared" si="139"/>
        <v>46.241081134544444</v>
      </c>
      <c r="BF122" s="3">
        <f t="shared" si="139"/>
        <v>45.954010021182036</v>
      </c>
      <c r="BG122" s="3">
        <f t="shared" si="139"/>
        <v>45.668721085530557</v>
      </c>
      <c r="BH122" s="3">
        <f t="shared" si="139"/>
        <v>45.385203263580962</v>
      </c>
      <c r="BI122" s="3">
        <f t="shared" si="139"/>
        <v>45.103445560011131</v>
      </c>
    </row>
    <row r="123" spans="3:61" hidden="1" outlineLevel="2" x14ac:dyDescent="0.3">
      <c r="C123" t="s">
        <v>179</v>
      </c>
      <c r="D123" s="4">
        <f>SUM(D115:D122)</f>
        <v>163.96</v>
      </c>
      <c r="E123" s="4">
        <f t="shared" ref="E123" si="142">SUM(E115:E122)</f>
        <v>167.03000000000003</v>
      </c>
      <c r="F123" s="4">
        <f t="shared" ref="F123" si="143">SUM(F115:F122)</f>
        <v>169.87</v>
      </c>
      <c r="G123" s="4">
        <f t="shared" ref="G123" si="144">SUM(G115:G122)</f>
        <v>171.42999999999995</v>
      </c>
      <c r="H123" s="4">
        <f t="shared" ref="H123" si="145">SUM(H115:H122)</f>
        <v>169.46999999999997</v>
      </c>
      <c r="I123" s="4">
        <f t="shared" ref="I123" si="146">SUM(I115:I122)</f>
        <v>165.70999999999998</v>
      </c>
      <c r="J123" s="4">
        <f t="shared" ref="J123" si="147">SUM(J115:J122)</f>
        <v>165.41</v>
      </c>
      <c r="K123" s="4">
        <f t="shared" ref="K123" si="148">SUM(K115:K122)</f>
        <v>176.76</v>
      </c>
      <c r="L123" s="4">
        <f t="shared" ref="L123" si="149">SUM(L115:L122)</f>
        <v>170.83</v>
      </c>
      <c r="M123" s="4">
        <f t="shared" ref="M123" si="150">SUM(M115:M122)</f>
        <v>181.46751098535285</v>
      </c>
      <c r="N123" s="4">
        <f t="shared" ref="N123" si="151">SUM(N115:N122)</f>
        <v>177.46580925432758</v>
      </c>
      <c r="O123" s="4">
        <f t="shared" ref="O123" si="152">SUM(O115:O122)</f>
        <v>178.05107871447186</v>
      </c>
      <c r="P123" s="4">
        <f t="shared" ref="P123" si="153">SUM(P115:P122)</f>
        <v>178.68130620585279</v>
      </c>
      <c r="Q123" s="4">
        <f t="shared" ref="Q123" si="154">SUM(Q115:Q122)</f>
        <v>179.35592863625376</v>
      </c>
      <c r="R123" s="4">
        <f t="shared" ref="R123" si="155">SUM(R115:R122)</f>
        <v>180.07443007752875</v>
      </c>
      <c r="S123" s="4">
        <f t="shared" ref="S123" si="156">SUM(S115:S122)</f>
        <v>180.83634005147795</v>
      </c>
      <c r="T123" s="4">
        <f t="shared" ref="T123" si="157">SUM(T115:T122)</f>
        <v>181.64123189876025</v>
      </c>
      <c r="U123" s="4">
        <f t="shared" ref="U123" si="158">SUM(U115:U122)</f>
        <v>182.48872122725305</v>
      </c>
      <c r="V123" s="4">
        <f t="shared" ref="V123" si="159">SUM(V115:V122)</f>
        <v>183.37846443643363</v>
      </c>
      <c r="W123" s="4">
        <f t="shared" ref="W123" si="160">SUM(W115:W122)</f>
        <v>184.31015731450981</v>
      </c>
      <c r="X123" s="4">
        <f t="shared" ref="X123" si="161">SUM(X115:X122)</f>
        <v>185.28353370517553</v>
      </c>
      <c r="Y123" s="4">
        <f t="shared" ref="Y123" si="162">SUM(Y115:Y122)</f>
        <v>186.29836424100961</v>
      </c>
      <c r="Z123" s="4">
        <f t="shared" ref="Z123" si="163">SUM(Z115:Z122)</f>
        <v>187.35445514066939</v>
      </c>
      <c r="AA123" s="4">
        <f t="shared" ref="AA123" si="164">SUM(AA115:AA122)</f>
        <v>188.4516470671613</v>
      </c>
      <c r="AB123" s="4">
        <f t="shared" ref="AB123" si="165">SUM(AB115:AB122)</f>
        <v>189.5898140445932</v>
      </c>
      <c r="AC123" s="4">
        <f t="shared" ref="AC123" si="166">SUM(AC115:AC122)</f>
        <v>190.76886243093151</v>
      </c>
      <c r="AD123" s="4">
        <f t="shared" ref="AD123" si="167">SUM(AD115:AD122)</f>
        <v>191.98872994439878</v>
      </c>
      <c r="AE123" s="4">
        <f t="shared" ref="AE123" si="168">SUM(AE115:AE122)</f>
        <v>193.24938474125517</v>
      </c>
      <c r="AF123" s="4">
        <f t="shared" ref="AF123" si="169">SUM(AF115:AF122)</f>
        <v>194.55082454280961</v>
      </c>
      <c r="AG123" s="4">
        <f t="shared" ref="AG123" si="170">SUM(AG115:AG122)</f>
        <v>195.89307580960633</v>
      </c>
      <c r="AH123" s="4">
        <f t="shared" ref="AH123" si="171">SUM(AH115:AH122)</f>
        <v>197.27619296082472</v>
      </c>
      <c r="AI123" s="4">
        <f t="shared" ref="AI123" si="172">SUM(AI115:AI122)</f>
        <v>198.70025763702168</v>
      </c>
      <c r="AJ123" s="4">
        <f t="shared" ref="AJ123" si="173">SUM(AJ115:AJ122)</f>
        <v>200.16537800443064</v>
      </c>
      <c r="AK123" s="4">
        <f t="shared" ref="AK123" si="174">SUM(AK115:AK122)</f>
        <v>201.67168809911476</v>
      </c>
      <c r="AL123" s="4">
        <f t="shared" ref="AL123" si="175">SUM(AL115:AL122)</f>
        <v>203.219347209349</v>
      </c>
      <c r="AM123" s="4">
        <f t="shared" ref="AM123" si="176">SUM(AM115:AM122)</f>
        <v>204.80853929468142</v>
      </c>
      <c r="AN123" s="4">
        <f t="shared" ref="AN123" si="177">SUM(AN115:AN122)</f>
        <v>206.43947244019671</v>
      </c>
      <c r="AO123" s="4">
        <f t="shared" ref="AO123" si="178">SUM(AO115:AO122)</f>
        <v>208.11237834457131</v>
      </c>
      <c r="AP123" s="4">
        <f t="shared" ref="AP123" si="179">SUM(AP115:AP122)</f>
        <v>209.82751184057818</v>
      </c>
      <c r="AQ123" s="4">
        <f t="shared" ref="AQ123" si="180">SUM(AQ115:AQ122)</f>
        <v>211.58515044675869</v>
      </c>
      <c r="AR123" s="4">
        <f t="shared" ref="AR123" si="181">SUM(AR115:AR122)</f>
        <v>213.38559394904217</v>
      </c>
      <c r="AS123" s="4">
        <f t="shared" ref="AS123" si="182">SUM(AS115:AS122)</f>
        <v>215.22916401114827</v>
      </c>
      <c r="AT123" s="4">
        <f t="shared" ref="AT123" si="183">SUM(AT115:AT122)</f>
        <v>217.1162038126642</v>
      </c>
      <c r="AU123" s="4">
        <f t="shared" ref="AU123" si="184">SUM(AU115:AU122)</f>
        <v>219.04707771374078</v>
      </c>
      <c r="AV123" s="4">
        <f t="shared" ref="AV123" si="185">SUM(AV115:AV122)</f>
        <v>221.02217094540018</v>
      </c>
      <c r="AW123" s="4">
        <f t="shared" ref="AW123" si="186">SUM(AW115:AW122)</f>
        <v>223.04188932449836</v>
      </c>
      <c r="AX123" s="4">
        <f t="shared" ref="AX123" si="187">SUM(AX115:AX122)</f>
        <v>225.10665899242892</v>
      </c>
      <c r="AY123" s="4">
        <f t="shared" ref="AY123" si="188">SUM(AY115:AY122)</f>
        <v>227.21692617670112</v>
      </c>
      <c r="AZ123" s="4">
        <f t="shared" ref="AZ123" si="189">SUM(AZ115:AZ122)</f>
        <v>229.37315697456489</v>
      </c>
      <c r="BA123" s="4">
        <f t="shared" ref="BA123" si="190">SUM(BA115:BA122)</f>
        <v>231.5758371578969</v>
      </c>
      <c r="BB123" s="4">
        <f t="shared" ref="BB123" si="191">SUM(BB115:BB122)</f>
        <v>233.82547199860011</v>
      </c>
      <c r="BC123" s="4">
        <f t="shared" ref="BC123" si="192">SUM(BC115:BC122)</f>
        <v>236.12258611380585</v>
      </c>
      <c r="BD123" s="4">
        <f t="shared" ref="BD123" si="193">SUM(BD115:BD122)</f>
        <v>238.46772333020274</v>
      </c>
      <c r="BE123" s="4">
        <f t="shared" ref="BE123" si="194">SUM(BE115:BE122)</f>
        <v>240.86144656685025</v>
      </c>
      <c r="BF123" s="4">
        <f t="shared" ref="BF123" si="195">SUM(BF115:BF122)</f>
        <v>243.30433773586756</v>
      </c>
      <c r="BG123" s="4">
        <f t="shared" ref="BG123" si="196">SUM(BG115:BG122)</f>
        <v>245.7969976604183</v>
      </c>
      <c r="BH123" s="4">
        <f t="shared" ref="BH123" si="197">SUM(BH115:BH122)</f>
        <v>248.34004600944237</v>
      </c>
      <c r="BI123" s="4">
        <f t="shared" ref="BI123" si="198">SUM(BI115:BI122)</f>
        <v>250.93412124861396</v>
      </c>
    </row>
    <row r="124" spans="3:61" hidden="1" outlineLevel="2" x14ac:dyDescent="0.3"/>
    <row r="125" spans="3:61" hidden="1" outlineLevel="2" x14ac:dyDescent="0.3">
      <c r="C125" t="s">
        <v>69</v>
      </c>
      <c r="D125" s="3"/>
      <c r="E125" s="6">
        <f>(E105-D105)/D105</f>
        <v>3.8354147803243976E-2</v>
      </c>
      <c r="F125" s="6">
        <f t="shared" ref="F125:N125" si="199">(F105-E105)/E105</f>
        <v>2.9613463023693585E-2</v>
      </c>
      <c r="G125" s="6">
        <f t="shared" si="199"/>
        <v>4.7858685323539624E-2</v>
      </c>
      <c r="H125" s="6">
        <f t="shared" si="199"/>
        <v>-6.061420814522012E-3</v>
      </c>
      <c r="I125" s="6">
        <f t="shared" si="199"/>
        <v>-3.4288410411447395E-2</v>
      </c>
      <c r="J125" s="6">
        <f t="shared" si="199"/>
        <v>2.7691360569243546E-2</v>
      </c>
      <c r="K125" s="6">
        <f t="shared" si="199"/>
        <v>6.2291569016049896E-2</v>
      </c>
      <c r="L125" s="6">
        <f t="shared" si="199"/>
        <v>5.6258613067561942E-4</v>
      </c>
      <c r="M125" s="6">
        <f t="shared" si="199"/>
        <v>6.2269572003470434E-2</v>
      </c>
      <c r="N125" s="6">
        <f t="shared" si="199"/>
        <v>-2.2051890772603926E-2</v>
      </c>
    </row>
    <row r="126" spans="3:61" hidden="1" outlineLevel="2" x14ac:dyDescent="0.3">
      <c r="C126" t="s">
        <v>65</v>
      </c>
      <c r="D126" s="3"/>
      <c r="E126" s="6">
        <f t="shared" ref="E126:N126" si="200">(E106-D106)/D106</f>
        <v>3.9163132269112728E-2</v>
      </c>
      <c r="F126" s="6">
        <f t="shared" si="200"/>
        <v>2.958550047186137E-2</v>
      </c>
      <c r="G126" s="6">
        <f t="shared" si="200"/>
        <v>4.7051632498999622E-2</v>
      </c>
      <c r="H126" s="6">
        <f t="shared" si="200"/>
        <v>-5.5034192417990806E-3</v>
      </c>
      <c r="I126" s="6">
        <f t="shared" si="200"/>
        <v>-3.4126094456296427E-2</v>
      </c>
      <c r="J126" s="6">
        <f t="shared" si="200"/>
        <v>2.7719919668268752E-2</v>
      </c>
      <c r="K126" s="6">
        <f t="shared" si="200"/>
        <v>6.2302846894533075E-2</v>
      </c>
      <c r="L126" s="6">
        <f t="shared" si="200"/>
        <v>4.176509955762654E-4</v>
      </c>
      <c r="M126" s="6">
        <f t="shared" si="200"/>
        <v>6.2269572003470441E-2</v>
      </c>
      <c r="N126" s="6">
        <f t="shared" si="200"/>
        <v>-2.205189077260377E-2</v>
      </c>
    </row>
    <row r="127" spans="3:61" hidden="1" outlineLevel="2" x14ac:dyDescent="0.3">
      <c r="C127" t="s">
        <v>171</v>
      </c>
      <c r="D127" s="3"/>
      <c r="E127" s="6">
        <f t="shared" ref="E127:N127" si="201">(E107-D107)/D107</f>
        <v>3.8149268157562331E-2</v>
      </c>
      <c r="F127" s="6">
        <f t="shared" si="201"/>
        <v>3.0166277881290386E-2</v>
      </c>
      <c r="G127" s="6">
        <f t="shared" si="201"/>
        <v>4.8785544453899612E-2</v>
      </c>
      <c r="H127" s="6">
        <f t="shared" si="201"/>
        <v>-5.8467088767630805E-3</v>
      </c>
      <c r="I127" s="6">
        <f t="shared" si="201"/>
        <v>-3.4655798719691586E-2</v>
      </c>
      <c r="J127" s="6">
        <f t="shared" si="201"/>
        <v>2.6922468368901539E-2</v>
      </c>
      <c r="K127" s="6">
        <f t="shared" si="201"/>
        <v>6.3748509278715518E-2</v>
      </c>
      <c r="L127" s="6">
        <f t="shared" si="201"/>
        <v>-1.114715077150095E-3</v>
      </c>
      <c r="M127" s="6">
        <f t="shared" si="201"/>
        <v>6.2269572003470441E-2</v>
      </c>
      <c r="N127" s="6">
        <f t="shared" si="201"/>
        <v>-2.2051890772603822E-2</v>
      </c>
    </row>
    <row r="128" spans="3:61" hidden="1" outlineLevel="2" x14ac:dyDescent="0.3">
      <c r="C128" t="s">
        <v>209</v>
      </c>
      <c r="D128" s="3"/>
      <c r="E128" s="6">
        <f t="shared" ref="E128:N128" si="202">(E108-D108)/D108</f>
        <v>9.0612257915727024E-2</v>
      </c>
      <c r="F128" s="6">
        <f t="shared" si="202"/>
        <v>6.9986050233256825E-2</v>
      </c>
      <c r="G128" s="6">
        <f t="shared" si="202"/>
        <v>-0.15095174025353683</v>
      </c>
      <c r="H128" s="6">
        <f t="shared" si="202"/>
        <v>-2.9127958624700179E-2</v>
      </c>
      <c r="I128" s="6">
        <f t="shared" si="202"/>
        <v>-0.15181536028915138</v>
      </c>
      <c r="J128" s="6">
        <f t="shared" si="202"/>
        <v>-9.6257442064563561E-2</v>
      </c>
      <c r="K128" s="6">
        <f t="shared" si="202"/>
        <v>-6.55914726911562E-2</v>
      </c>
      <c r="L128" s="6">
        <f t="shared" si="202"/>
        <v>7.7993577286907131E-2</v>
      </c>
      <c r="M128" s="6">
        <f t="shared" si="202"/>
        <v>6.2269572003470434E-2</v>
      </c>
      <c r="N128" s="6">
        <f t="shared" si="202"/>
        <v>-2.2051890772603736E-2</v>
      </c>
    </row>
    <row r="129" spans="1:61" hidden="1" outlineLevel="2" x14ac:dyDescent="0.3">
      <c r="C129" t="s">
        <v>210</v>
      </c>
      <c r="D129" s="3"/>
      <c r="E129" s="6">
        <f t="shared" ref="E129:N129" si="203">(E109-D109)/D109</f>
        <v>3.4196296170289152E-2</v>
      </c>
      <c r="F129" s="6">
        <f t="shared" si="203"/>
        <v>3.1465826056460117E-2</v>
      </c>
      <c r="G129" s="6">
        <f t="shared" si="203"/>
        <v>4.6307379381816255E-2</v>
      </c>
      <c r="H129" s="6">
        <f t="shared" si="203"/>
        <v>-1.1576430735107762E-2</v>
      </c>
      <c r="I129" s="6">
        <f t="shared" si="203"/>
        <v>-3.1180099502524154E-2</v>
      </c>
      <c r="J129" s="6">
        <f t="shared" si="203"/>
        <v>2.4904834647893455E-2</v>
      </c>
      <c r="K129" s="6">
        <f t="shared" si="203"/>
        <v>6.5557793771570214E-2</v>
      </c>
      <c r="L129" s="6">
        <f t="shared" si="203"/>
        <v>1.7670311469332694E-3</v>
      </c>
      <c r="M129" s="6">
        <f t="shared" si="203"/>
        <v>6.2269572003470386E-2</v>
      </c>
      <c r="N129" s="6">
        <f t="shared" si="203"/>
        <v>-2.2051890772603694E-2</v>
      </c>
    </row>
    <row r="130" spans="1:61" hidden="1" outlineLevel="2" x14ac:dyDescent="0.3">
      <c r="C130" t="s">
        <v>166</v>
      </c>
      <c r="D130" s="3"/>
      <c r="E130" s="6">
        <f t="shared" ref="E130:N130" si="204">(E110-D110)/D110</f>
        <v>3.6076801728982789E-2</v>
      </c>
      <c r="F130" s="6">
        <f t="shared" si="204"/>
        <v>3.1772262724926142E-2</v>
      </c>
      <c r="G130" s="6">
        <f t="shared" si="204"/>
        <v>4.8620744714042083E-2</v>
      </c>
      <c r="H130" s="6">
        <f t="shared" si="204"/>
        <v>-7.591258643042424E-3</v>
      </c>
      <c r="I130" s="6">
        <f t="shared" si="204"/>
        <v>-3.1296223187109735E-2</v>
      </c>
      <c r="J130" s="6">
        <f t="shared" si="204"/>
        <v>2.5027695452814004E-2</v>
      </c>
      <c r="K130" s="6">
        <f t="shared" si="204"/>
        <v>6.3980330949420142E-2</v>
      </c>
      <c r="L130" s="6">
        <f t="shared" si="204"/>
        <v>-1.5212509678127369E-4</v>
      </c>
      <c r="M130" s="6">
        <f t="shared" si="204"/>
        <v>6.2269572003470469E-2</v>
      </c>
      <c r="N130" s="6">
        <f t="shared" si="204"/>
        <v>-2.2051890772603756E-2</v>
      </c>
    </row>
    <row r="131" spans="1:61" hidden="1" outlineLevel="2" x14ac:dyDescent="0.3">
      <c r="C131" t="s">
        <v>75</v>
      </c>
      <c r="D131" s="3"/>
      <c r="E131" s="6">
        <f t="shared" ref="E131:N131" si="205">(E111-D111)/D111</f>
        <v>6.3117973673315047E-3</v>
      </c>
      <c r="F131" s="6">
        <f t="shared" si="205"/>
        <v>1.1320427968409976E-2</v>
      </c>
      <c r="G131" s="6">
        <f t="shared" si="205"/>
        <v>1.8747675055067064E-2</v>
      </c>
      <c r="H131" s="6">
        <f t="shared" si="205"/>
        <v>-1.5172877924670534E-2</v>
      </c>
      <c r="I131" s="6">
        <f t="shared" si="205"/>
        <v>1.775275116554138E-2</v>
      </c>
      <c r="J131" s="6">
        <f t="shared" si="205"/>
        <v>-4.7761876748322199E-3</v>
      </c>
      <c r="K131" s="6">
        <f t="shared" si="205"/>
        <v>0.10120511992853624</v>
      </c>
      <c r="L131" s="6">
        <f t="shared" si="205"/>
        <v>-5.3902627394379718E-2</v>
      </c>
      <c r="M131" s="6">
        <f t="shared" si="205"/>
        <v>6.2269572003470421E-2</v>
      </c>
      <c r="N131" s="6">
        <f t="shared" si="205"/>
        <v>-2.2051890772603916E-2</v>
      </c>
    </row>
    <row r="132" spans="1:61" hidden="1" outlineLevel="2" x14ac:dyDescent="0.3">
      <c r="C132" t="s">
        <v>62</v>
      </c>
      <c r="D132" s="3"/>
      <c r="E132" s="6">
        <f t="shared" ref="E132:N132" si="206">(E112-D112)/D112</f>
        <v>-9.4985359027014195E-3</v>
      </c>
      <c r="F132" s="6">
        <f t="shared" si="206"/>
        <v>-5.6758958929083447E-3</v>
      </c>
      <c r="G132" s="6">
        <f t="shared" si="206"/>
        <v>6.074634719232341E-3</v>
      </c>
      <c r="H132" s="6">
        <f t="shared" si="206"/>
        <v>-1.1313848694983026E-2</v>
      </c>
      <c r="I132" s="6">
        <f t="shared" si="206"/>
        <v>-3.3639693202063632E-3</v>
      </c>
      <c r="J132" s="6">
        <f t="shared" si="206"/>
        <v>-1.3471225937102543E-2</v>
      </c>
      <c r="K132" s="6">
        <f t="shared" si="206"/>
        <v>7.9286095483268176E-2</v>
      </c>
      <c r="L132" s="6">
        <f t="shared" si="206"/>
        <v>-7.4632332735390314E-2</v>
      </c>
      <c r="M132" s="6">
        <f t="shared" si="206"/>
        <v>6.2269572003470469E-2</v>
      </c>
      <c r="N132" s="6">
        <f t="shared" si="206"/>
        <v>-2.2051890772603878E-2</v>
      </c>
    </row>
    <row r="133" spans="1:61" hidden="1" outlineLevel="1" collapsed="1" x14ac:dyDescent="0.3">
      <c r="A133" t="s">
        <v>181</v>
      </c>
      <c r="D133">
        <v>2013</v>
      </c>
      <c r="E133">
        <v>2014</v>
      </c>
      <c r="F133">
        <v>2015</v>
      </c>
      <c r="G133">
        <v>2016</v>
      </c>
      <c r="H133">
        <v>2017</v>
      </c>
      <c r="I133">
        <v>2018</v>
      </c>
      <c r="J133">
        <v>2019</v>
      </c>
      <c r="K133">
        <v>2020</v>
      </c>
      <c r="L133">
        <v>2021</v>
      </c>
      <c r="M133">
        <v>2022</v>
      </c>
      <c r="N133">
        <v>2023</v>
      </c>
      <c r="O133">
        <v>2024</v>
      </c>
      <c r="P133">
        <v>2025</v>
      </c>
      <c r="Q133">
        <v>2026</v>
      </c>
      <c r="R133">
        <v>2027</v>
      </c>
      <c r="S133">
        <v>2028</v>
      </c>
      <c r="T133">
        <v>2029</v>
      </c>
      <c r="U133">
        <v>2030</v>
      </c>
      <c r="V133">
        <v>2031</v>
      </c>
      <c r="W133">
        <v>2032</v>
      </c>
      <c r="X133">
        <v>2033</v>
      </c>
      <c r="Y133">
        <v>2034</v>
      </c>
      <c r="Z133">
        <v>2035</v>
      </c>
      <c r="AA133">
        <v>2036</v>
      </c>
      <c r="AB133">
        <v>2037</v>
      </c>
      <c r="AC133">
        <v>2038</v>
      </c>
      <c r="AD133">
        <v>2039</v>
      </c>
      <c r="AE133">
        <v>2040</v>
      </c>
      <c r="AF133">
        <v>2041</v>
      </c>
      <c r="AG133">
        <v>2042</v>
      </c>
      <c r="AH133">
        <v>2043</v>
      </c>
      <c r="AI133">
        <v>2044</v>
      </c>
      <c r="AJ133">
        <v>2045</v>
      </c>
      <c r="AK133">
        <v>2046</v>
      </c>
      <c r="AL133">
        <v>2047</v>
      </c>
      <c r="AM133">
        <v>2048</v>
      </c>
      <c r="AN133">
        <v>2049</v>
      </c>
      <c r="AO133">
        <v>2050</v>
      </c>
      <c r="AP133">
        <v>2051</v>
      </c>
      <c r="AQ133">
        <v>2052</v>
      </c>
      <c r="AR133">
        <v>2053</v>
      </c>
      <c r="AS133">
        <v>2054</v>
      </c>
      <c r="AT133">
        <v>2055</v>
      </c>
      <c r="AU133">
        <v>2056</v>
      </c>
      <c r="AV133">
        <v>2057</v>
      </c>
      <c r="AW133">
        <v>2058</v>
      </c>
      <c r="AX133">
        <v>2059</v>
      </c>
      <c r="AY133">
        <v>2060</v>
      </c>
      <c r="AZ133">
        <v>2061</v>
      </c>
      <c r="BA133">
        <v>2062</v>
      </c>
      <c r="BB133">
        <v>2063</v>
      </c>
      <c r="BC133">
        <v>2064</v>
      </c>
      <c r="BD133">
        <v>2065</v>
      </c>
      <c r="BE133">
        <v>2066</v>
      </c>
      <c r="BF133">
        <v>2067</v>
      </c>
      <c r="BG133">
        <v>2068</v>
      </c>
      <c r="BH133">
        <v>2069</v>
      </c>
      <c r="BI133">
        <v>2070</v>
      </c>
    </row>
    <row r="134" spans="1:61" hidden="1" outlineLevel="2" x14ac:dyDescent="0.3">
      <c r="D134" s="11" cm="1">
        <f t="array" ref="D134:BI134">TRANSPOSE('Pob&amp;Viv'!B65:B122)</f>
        <v>117688241</v>
      </c>
      <c r="E134" s="11">
        <v>119216240</v>
      </c>
      <c r="F134" s="11">
        <v>120653293</v>
      </c>
      <c r="G134" s="11">
        <v>122038924</v>
      </c>
      <c r="H134" s="11">
        <v>123388002</v>
      </c>
      <c r="I134" s="11">
        <v>124692044</v>
      </c>
      <c r="J134" s="11">
        <v>125960168</v>
      </c>
      <c r="K134" s="11">
        <v>127191826</v>
      </c>
      <c r="L134" s="11">
        <v>128389290</v>
      </c>
      <c r="M134" s="11">
        <v>129960600</v>
      </c>
      <c r="N134" s="11">
        <v>131135337</v>
      </c>
      <c r="O134" s="11">
        <v>132274416</v>
      </c>
      <c r="P134" s="11">
        <v>133367428</v>
      </c>
      <c r="Q134" s="11">
        <v>134407258</v>
      </c>
      <c r="R134" s="11">
        <v>135391662</v>
      </c>
      <c r="S134" s="11">
        <v>136321595</v>
      </c>
      <c r="T134" s="11">
        <v>137200808</v>
      </c>
      <c r="U134" s="11">
        <v>138033990</v>
      </c>
      <c r="V134" s="11">
        <v>138825843</v>
      </c>
      <c r="W134" s="11">
        <v>139580548</v>
      </c>
      <c r="X134" s="11">
        <v>140301983</v>
      </c>
      <c r="Y134" s="11">
        <v>140993393</v>
      </c>
      <c r="Z134" s="11">
        <v>141656637</v>
      </c>
      <c r="AA134" s="11">
        <v>142291504</v>
      </c>
      <c r="AB134" s="11">
        <v>142895488</v>
      </c>
      <c r="AC134" s="11">
        <v>143464237</v>
      </c>
      <c r="AD134" s="11">
        <v>143992746</v>
      </c>
      <c r="AE134" s="11">
        <v>144476530</v>
      </c>
      <c r="AF134" s="11">
        <v>144912929</v>
      </c>
      <c r="AG134" s="11">
        <v>145301351</v>
      </c>
      <c r="AH134" s="11">
        <v>145642911</v>
      </c>
      <c r="AI134" s="11">
        <v>145939797</v>
      </c>
      <c r="AJ134" s="11">
        <v>146194887</v>
      </c>
      <c r="AK134" s="11">
        <v>146411280</v>
      </c>
      <c r="AL134" s="11">
        <v>146592205</v>
      </c>
      <c r="AM134" s="11">
        <v>146740307</v>
      </c>
      <c r="AN134" s="11">
        <v>146857365</v>
      </c>
      <c r="AO134" s="11">
        <v>146943948</v>
      </c>
      <c r="AP134" s="11">
        <v>146999649</v>
      </c>
      <c r="AQ134" s="11">
        <v>147022927</v>
      </c>
      <c r="AR134" s="11">
        <v>147011306</v>
      </c>
      <c r="AS134" s="11">
        <v>146961870</v>
      </c>
      <c r="AT134" s="11">
        <v>146872208</v>
      </c>
      <c r="AU134" s="11">
        <v>146741137</v>
      </c>
      <c r="AV134" s="11">
        <v>146568916</v>
      </c>
      <c r="AW134" s="11">
        <v>146356973</v>
      </c>
      <c r="AX134" s="11">
        <v>146107409</v>
      </c>
      <c r="AY134" s="11">
        <v>145822700</v>
      </c>
      <c r="AZ134" s="11">
        <v>145505553</v>
      </c>
      <c r="BA134" s="11">
        <v>145158569</v>
      </c>
      <c r="BB134" s="11">
        <v>144784066</v>
      </c>
      <c r="BC134" s="11">
        <v>144383681</v>
      </c>
      <c r="BD134" s="11">
        <v>143958301</v>
      </c>
      <c r="BE134" s="11">
        <v>143507972</v>
      </c>
      <c r="BF134" s="11">
        <v>143032072</v>
      </c>
      <c r="BG134" s="11">
        <v>142529549</v>
      </c>
      <c r="BH134" s="11">
        <v>141999271</v>
      </c>
      <c r="BI134" s="11">
        <v>141440479</v>
      </c>
    </row>
    <row r="135" spans="1:61" hidden="1" outlineLevel="2" x14ac:dyDescent="0.3">
      <c r="D135" s="3">
        <f>D11</f>
        <v>163.95999999999998</v>
      </c>
      <c r="E135" s="3">
        <f t="shared" ref="E135:N135" si="207">E11</f>
        <v>167.03</v>
      </c>
      <c r="F135" s="3">
        <f t="shared" si="207"/>
        <v>169.87</v>
      </c>
      <c r="G135" s="3">
        <f t="shared" si="207"/>
        <v>171.42999999999998</v>
      </c>
      <c r="H135" s="3">
        <f t="shared" si="207"/>
        <v>169.47</v>
      </c>
      <c r="I135" s="3">
        <f t="shared" si="207"/>
        <v>165.70999999999998</v>
      </c>
      <c r="J135" s="3">
        <f t="shared" si="207"/>
        <v>165.41</v>
      </c>
      <c r="K135" s="3">
        <f t="shared" si="207"/>
        <v>176.76</v>
      </c>
      <c r="L135" s="3">
        <f t="shared" si="207"/>
        <v>170.83</v>
      </c>
      <c r="M135" s="3">
        <f t="shared" si="207"/>
        <v>181.46751098535287</v>
      </c>
      <c r="N135" s="3">
        <f t="shared" si="207"/>
        <v>177.46580925432758</v>
      </c>
      <c r="O135" s="11">
        <f>O134*AVERAGE($D138:$N138)/1000000</f>
        <v>181.48528254373994</v>
      </c>
      <c r="P135" s="11">
        <f t="shared" ref="P135:BI135" si="208">P134*AVERAGE($D138:$N138)/1000000</f>
        <v>182.98493453724183</v>
      </c>
      <c r="Q135" s="11">
        <f t="shared" si="208"/>
        <v>184.41161890338151</v>
      </c>
      <c r="R135" s="11">
        <f t="shared" si="208"/>
        <v>185.76225679300327</v>
      </c>
      <c r="S135" s="11">
        <f t="shared" si="208"/>
        <v>187.03815850064524</v>
      </c>
      <c r="T135" s="11">
        <f t="shared" si="208"/>
        <v>188.24447053396491</v>
      </c>
      <c r="U135" s="11">
        <f t="shared" si="208"/>
        <v>189.38762637054296</v>
      </c>
      <c r="V135" s="11">
        <f t="shared" si="208"/>
        <v>190.47407732443045</v>
      </c>
      <c r="W135" s="11">
        <f t="shared" si="208"/>
        <v>191.50955987883594</v>
      </c>
      <c r="X135" s="11">
        <f t="shared" si="208"/>
        <v>192.49939479000986</v>
      </c>
      <c r="Y135" s="11">
        <f t="shared" si="208"/>
        <v>193.4480343153098</v>
      </c>
      <c r="Z135" s="11">
        <f t="shared" si="208"/>
        <v>194.35802906996773</v>
      </c>
      <c r="AA135" s="11">
        <f t="shared" si="208"/>
        <v>195.22908955435267</v>
      </c>
      <c r="AB135" s="11">
        <f t="shared" si="208"/>
        <v>196.05777744583349</v>
      </c>
      <c r="AC135" s="11">
        <f t="shared" si="208"/>
        <v>196.83812164301727</v>
      </c>
      <c r="AD135" s="11">
        <f t="shared" si="208"/>
        <v>197.56325510489478</v>
      </c>
      <c r="AE135" s="11">
        <f t="shared" si="208"/>
        <v>198.22702424926314</v>
      </c>
      <c r="AF135" s="11">
        <f t="shared" si="208"/>
        <v>198.82577945992159</v>
      </c>
      <c r="AG135" s="11">
        <f t="shared" si="208"/>
        <v>199.35870849146011</v>
      </c>
      <c r="AH135" s="11">
        <f t="shared" si="208"/>
        <v>199.82734116420343</v>
      </c>
      <c r="AI135" s="11">
        <f t="shared" si="208"/>
        <v>200.23467949328199</v>
      </c>
      <c r="AJ135" s="11">
        <f t="shared" si="208"/>
        <v>200.58467219878054</v>
      </c>
      <c r="AK135" s="11">
        <f t="shared" si="208"/>
        <v>200.88157122077649</v>
      </c>
      <c r="AL135" s="11">
        <f t="shared" si="208"/>
        <v>201.12980686404882</v>
      </c>
      <c r="AM135" s="11">
        <f t="shared" si="208"/>
        <v>201.3330081642556</v>
      </c>
      <c r="AN135" s="11">
        <f t="shared" si="208"/>
        <v>201.49361597373556</v>
      </c>
      <c r="AO135" s="11">
        <f t="shared" si="208"/>
        <v>201.61241098106703</v>
      </c>
      <c r="AP135" s="11">
        <f t="shared" si="208"/>
        <v>201.68883476753052</v>
      </c>
      <c r="AQ135" s="11">
        <f t="shared" si="208"/>
        <v>201.72077302539481</v>
      </c>
      <c r="AR135" s="11">
        <f t="shared" si="208"/>
        <v>201.70482859311366</v>
      </c>
      <c r="AS135" s="11">
        <f t="shared" si="208"/>
        <v>201.63700061322803</v>
      </c>
      <c r="AT135" s="11">
        <f t="shared" si="208"/>
        <v>201.5139811065425</v>
      </c>
      <c r="AU135" s="11">
        <f t="shared" si="208"/>
        <v>201.33414695427308</v>
      </c>
      <c r="AV135" s="11">
        <f t="shared" si="208"/>
        <v>201.0978535137867</v>
      </c>
      <c r="AW135" s="11">
        <f t="shared" si="208"/>
        <v>200.80706005272793</v>
      </c>
      <c r="AX135" s="11">
        <f t="shared" si="208"/>
        <v>200.4646492190808</v>
      </c>
      <c r="AY135" s="11">
        <f t="shared" si="208"/>
        <v>200.07401817439154</v>
      </c>
      <c r="AZ135" s="11">
        <f t="shared" si="208"/>
        <v>199.63888102056049</v>
      </c>
      <c r="BA135" s="11">
        <f t="shared" si="208"/>
        <v>199.16280642365467</v>
      </c>
      <c r="BB135" s="11">
        <f t="shared" si="208"/>
        <v>198.64897476350598</v>
      </c>
      <c r="BC135" s="11">
        <f t="shared" si="208"/>
        <v>198.09963206331761</v>
      </c>
      <c r="BD135" s="11">
        <f t="shared" si="208"/>
        <v>197.51599531916861</v>
      </c>
      <c r="BE135" s="11">
        <f t="shared" si="208"/>
        <v>196.89812764472245</v>
      </c>
      <c r="BF135" s="11">
        <f t="shared" si="208"/>
        <v>196.24517563348422</v>
      </c>
      <c r="BG135" s="11">
        <f t="shared" si="208"/>
        <v>195.55569590340755</v>
      </c>
      <c r="BH135" s="11">
        <f t="shared" si="208"/>
        <v>194.82813530955298</v>
      </c>
      <c r="BI135" s="11">
        <f t="shared" si="208"/>
        <v>194.06145247647072</v>
      </c>
    </row>
    <row r="136" spans="1:61" hidden="1" outlineLevel="2" x14ac:dyDescent="0.3">
      <c r="D136" s="3">
        <f>D11</f>
        <v>163.95999999999998</v>
      </c>
      <c r="E136" s="3">
        <f t="shared" ref="E136:N136" si="209">E11</f>
        <v>167.03</v>
      </c>
      <c r="F136" s="3">
        <f t="shared" si="209"/>
        <v>169.87</v>
      </c>
      <c r="G136" s="3">
        <f t="shared" si="209"/>
        <v>171.42999999999998</v>
      </c>
      <c r="H136" s="3">
        <f t="shared" si="209"/>
        <v>169.47</v>
      </c>
      <c r="I136" s="3">
        <f t="shared" si="209"/>
        <v>165.70999999999998</v>
      </c>
      <c r="J136" s="3">
        <f t="shared" si="209"/>
        <v>165.41</v>
      </c>
      <c r="K136" s="3">
        <f t="shared" si="209"/>
        <v>176.76</v>
      </c>
      <c r="L136" s="3">
        <f t="shared" si="209"/>
        <v>170.83</v>
      </c>
      <c r="M136" s="3">
        <f t="shared" si="209"/>
        <v>181.46751098535287</v>
      </c>
      <c r="N136" s="3">
        <f t="shared" si="209"/>
        <v>177.46580925432758</v>
      </c>
      <c r="O136" s="11">
        <f>O134*O138/1000000</f>
        <v>178.5792895424272</v>
      </c>
      <c r="P136" s="11">
        <f t="shared" ref="P136:BI136" si="210">P134*P138/1000000</f>
        <v>179.62438525994762</v>
      </c>
      <c r="Q136" s="11">
        <f t="shared" si="210"/>
        <v>180.59200559812385</v>
      </c>
      <c r="R136" s="11">
        <f t="shared" si="210"/>
        <v>181.4796780918806</v>
      </c>
      <c r="S136" s="11">
        <f t="shared" si="210"/>
        <v>182.28923422220856</v>
      </c>
      <c r="T136" s="11">
        <f t="shared" si="210"/>
        <v>183.02622050742369</v>
      </c>
      <c r="U136" s="11">
        <f t="shared" si="210"/>
        <v>183.69738134270258</v>
      </c>
      <c r="V136" s="11">
        <f t="shared" si="210"/>
        <v>184.30941631361702</v>
      </c>
      <c r="W136" s="11">
        <f t="shared" si="210"/>
        <v>184.86827309659881</v>
      </c>
      <c r="X136" s="11">
        <f t="shared" si="210"/>
        <v>185.37944411545084</v>
      </c>
      <c r="Y136" s="11">
        <f t="shared" si="210"/>
        <v>185.84753666948319</v>
      </c>
      <c r="Z136" s="11">
        <f t="shared" si="210"/>
        <v>186.27529303100772</v>
      </c>
      <c r="AA136" s="11">
        <f t="shared" si="210"/>
        <v>186.66271519248846</v>
      </c>
      <c r="AB136" s="11">
        <f t="shared" si="210"/>
        <v>187.00680302134768</v>
      </c>
      <c r="AC136" s="11">
        <f t="shared" si="210"/>
        <v>187.30217635794796</v>
      </c>
      <c r="AD136" s="11">
        <f t="shared" si="210"/>
        <v>187.54265746500229</v>
      </c>
      <c r="AE136" s="11">
        <f t="shared" si="210"/>
        <v>187.72280499182159</v>
      </c>
      <c r="AF136" s="11">
        <f t="shared" si="210"/>
        <v>187.83959710211786</v>
      </c>
      <c r="AG136" s="11">
        <f t="shared" si="210"/>
        <v>187.89271709433783</v>
      </c>
      <c r="AH136" s="11">
        <f t="shared" si="210"/>
        <v>187.88405553869083</v>
      </c>
      <c r="AI136" s="11">
        <f t="shared" si="210"/>
        <v>187.81686798921075</v>
      </c>
      <c r="AJ136" s="11">
        <f t="shared" si="210"/>
        <v>187.69526684242385</v>
      </c>
      <c r="AK136" s="11">
        <f t="shared" si="210"/>
        <v>187.52361021997564</v>
      </c>
      <c r="AL136" s="11">
        <f t="shared" si="210"/>
        <v>187.30638252949262</v>
      </c>
      <c r="AM136" s="11">
        <f t="shared" si="210"/>
        <v>187.04728258975734</v>
      </c>
      <c r="AN136" s="11">
        <f t="shared" si="210"/>
        <v>186.74887417267058</v>
      </c>
      <c r="AO136" s="11">
        <f t="shared" si="210"/>
        <v>186.41216297227956</v>
      </c>
      <c r="AP136" s="11">
        <f t="shared" si="210"/>
        <v>186.03691123323995</v>
      </c>
      <c r="AQ136" s="11">
        <f t="shared" si="210"/>
        <v>185.62145308487891</v>
      </c>
      <c r="AR136" s="11">
        <f t="shared" si="210"/>
        <v>185.16296227796036</v>
      </c>
      <c r="AS136" s="11">
        <f t="shared" si="210"/>
        <v>184.65808812778326</v>
      </c>
      <c r="AT136" s="11">
        <f t="shared" si="210"/>
        <v>184.10414650784716</v>
      </c>
      <c r="AU136" s="11">
        <f t="shared" si="210"/>
        <v>183.50001619068013</v>
      </c>
      <c r="AV136" s="11">
        <f t="shared" si="210"/>
        <v>182.84638728929158</v>
      </c>
      <c r="AW136" s="11">
        <f t="shared" si="210"/>
        <v>182.14539991563259</v>
      </c>
      <c r="AX136" s="11">
        <f t="shared" si="210"/>
        <v>181.40001100203202</v>
      </c>
      <c r="AY136" s="11">
        <f t="shared" si="210"/>
        <v>180.61361532193237</v>
      </c>
      <c r="AZ136" s="11">
        <f t="shared" si="210"/>
        <v>179.78986216303949</v>
      </c>
      <c r="BA136" s="11">
        <f t="shared" si="210"/>
        <v>178.93223668752839</v>
      </c>
      <c r="BB136" s="11">
        <f t="shared" si="210"/>
        <v>178.04384403094971</v>
      </c>
      <c r="BC136" s="11">
        <f t="shared" si="210"/>
        <v>177.1269253935352</v>
      </c>
      <c r="BD136" s="11">
        <f t="shared" si="210"/>
        <v>176.18278375115236</v>
      </c>
      <c r="BE136" s="11">
        <f t="shared" si="210"/>
        <v>175.21168384512353</v>
      </c>
      <c r="BF136" s="11">
        <f t="shared" si="210"/>
        <v>174.21307523878994</v>
      </c>
      <c r="BG136" s="11">
        <f t="shared" si="210"/>
        <v>173.18589124326647</v>
      </c>
      <c r="BH136" s="11">
        <f t="shared" si="210"/>
        <v>172.12897938874289</v>
      </c>
      <c r="BI136" s="11">
        <f t="shared" si="210"/>
        <v>171.04165032043448</v>
      </c>
    </row>
    <row r="137" spans="1:61" hidden="1" outlineLevel="2" x14ac:dyDescent="0.3">
      <c r="D137" s="3">
        <f>D11</f>
        <v>163.95999999999998</v>
      </c>
      <c r="E137" s="3">
        <f t="shared" ref="E137:N137" si="211">E11</f>
        <v>167.03</v>
      </c>
      <c r="F137" s="3">
        <f t="shared" si="211"/>
        <v>169.87</v>
      </c>
      <c r="G137" s="3">
        <f t="shared" si="211"/>
        <v>171.42999999999998</v>
      </c>
      <c r="H137" s="3">
        <f t="shared" si="211"/>
        <v>169.47</v>
      </c>
      <c r="I137" s="3">
        <f t="shared" si="211"/>
        <v>165.70999999999998</v>
      </c>
      <c r="J137" s="3">
        <f t="shared" si="211"/>
        <v>165.41</v>
      </c>
      <c r="K137" s="3">
        <f t="shared" si="211"/>
        <v>176.76</v>
      </c>
      <c r="L137" s="3">
        <f t="shared" si="211"/>
        <v>170.83</v>
      </c>
      <c r="M137" s="3">
        <f t="shared" si="211"/>
        <v>181.46751098535287</v>
      </c>
      <c r="N137" s="3">
        <f t="shared" si="211"/>
        <v>177.46580925432758</v>
      </c>
      <c r="O137" s="11">
        <f>O134*O139/1000000</f>
        <v>177.26998795199199</v>
      </c>
      <c r="P137" s="11">
        <f t="shared" ref="P137:BI137" si="212">P134*P139/1000000</f>
        <v>177.00011295625234</v>
      </c>
      <c r="Q137" s="11">
        <f t="shared" si="212"/>
        <v>176.64888242064848</v>
      </c>
      <c r="R137" s="11">
        <f t="shared" si="212"/>
        <v>176.21565869208328</v>
      </c>
      <c r="S137" s="11">
        <f t="shared" si="212"/>
        <v>175.70399743578233</v>
      </c>
      <c r="T137" s="11">
        <f t="shared" si="212"/>
        <v>175.1209311041691</v>
      </c>
      <c r="U137" s="11">
        <f t="shared" si="212"/>
        <v>174.47444911417389</v>
      </c>
      <c r="V137" s="11">
        <f t="shared" si="212"/>
        <v>173.77228765640069</v>
      </c>
      <c r="W137" s="11">
        <f t="shared" si="212"/>
        <v>173.02127318234713</v>
      </c>
      <c r="X137" s="11">
        <f t="shared" si="212"/>
        <v>172.2276274605367</v>
      </c>
      <c r="Y137" s="11">
        <f t="shared" si="212"/>
        <v>171.39658985269978</v>
      </c>
      <c r="Z137" s="11">
        <f t="shared" si="212"/>
        <v>170.53155309969645</v>
      </c>
      <c r="AA137" s="11">
        <f t="shared" si="212"/>
        <v>169.6333329723937</v>
      </c>
      <c r="AB137" s="11">
        <f t="shared" si="212"/>
        <v>168.70002485956735</v>
      </c>
      <c r="AC137" s="11">
        <f t="shared" si="212"/>
        <v>167.72766028173248</v>
      </c>
      <c r="AD137" s="11">
        <f t="shared" si="212"/>
        <v>166.71169039526546</v>
      </c>
      <c r="AE137" s="11">
        <f t="shared" si="212"/>
        <v>165.64836313320876</v>
      </c>
      <c r="AF137" s="11">
        <f t="shared" si="212"/>
        <v>164.53617092396874</v>
      </c>
      <c r="AG137" s="11">
        <f t="shared" si="212"/>
        <v>163.37601896188502</v>
      </c>
      <c r="AH137" s="11">
        <f t="shared" si="212"/>
        <v>162.17070803953754</v>
      </c>
      <c r="AI137" s="11">
        <f t="shared" si="212"/>
        <v>160.92414309096978</v>
      </c>
      <c r="AJ137" s="11">
        <f t="shared" si="212"/>
        <v>159.64085922063026</v>
      </c>
      <c r="AK137" s="11">
        <f t="shared" si="212"/>
        <v>158.32548073012228</v>
      </c>
      <c r="AL137" s="11">
        <f t="shared" si="212"/>
        <v>156.98261548438049</v>
      </c>
      <c r="AM137" s="11">
        <f t="shared" si="212"/>
        <v>155.61609454318994</v>
      </c>
      <c r="AN137" s="11">
        <f t="shared" si="212"/>
        <v>154.22870969868094</v>
      </c>
      <c r="AO137" s="11">
        <f t="shared" si="212"/>
        <v>152.82190283469996</v>
      </c>
      <c r="AP137" s="11">
        <f t="shared" si="212"/>
        <v>151.39607006476828</v>
      </c>
      <c r="AQ137" s="11">
        <f t="shared" si="212"/>
        <v>149.95045021380753</v>
      </c>
      <c r="AR137" s="11">
        <f t="shared" si="212"/>
        <v>148.48338182320035</v>
      </c>
      <c r="AS137" s="11">
        <f t="shared" si="212"/>
        <v>146.99284288328533</v>
      </c>
      <c r="AT137" s="11">
        <f t="shared" si="212"/>
        <v>145.47740615145588</v>
      </c>
      <c r="AU137" s="11">
        <f t="shared" si="212"/>
        <v>143.9369216251807</v>
      </c>
      <c r="AV137" s="11">
        <f t="shared" si="212"/>
        <v>142.3726640456276</v>
      </c>
      <c r="AW137" s="11">
        <f t="shared" si="212"/>
        <v>140.78700157096529</v>
      </c>
      <c r="AX137" s="11">
        <f t="shared" si="212"/>
        <v>139.18286930603287</v>
      </c>
      <c r="AY137" s="11">
        <f t="shared" si="212"/>
        <v>137.56345871094248</v>
      </c>
      <c r="AZ137" s="11">
        <f t="shared" si="212"/>
        <v>135.93206812329998</v>
      </c>
      <c r="BA137" s="11">
        <f t="shared" si="212"/>
        <v>134.29178302081382</v>
      </c>
      <c r="BB137" s="11">
        <f t="shared" si="212"/>
        <v>132.64532128234603</v>
      </c>
      <c r="BC137" s="11">
        <f t="shared" si="212"/>
        <v>130.99468719677009</v>
      </c>
      <c r="BD137" s="11">
        <f t="shared" si="212"/>
        <v>129.3411416792174</v>
      </c>
      <c r="BE137" s="11">
        <f t="shared" si="212"/>
        <v>127.68515560783587</v>
      </c>
      <c r="BF137" s="11">
        <f t="shared" si="212"/>
        <v>126.02659950542699</v>
      </c>
      <c r="BG137" s="11">
        <f t="shared" si="212"/>
        <v>124.36497998607882</v>
      </c>
      <c r="BH137" s="11">
        <f t="shared" si="212"/>
        <v>122.69976005147561</v>
      </c>
      <c r="BI137" s="11">
        <f t="shared" si="212"/>
        <v>121.03074939036861</v>
      </c>
    </row>
    <row r="138" spans="1:61" hidden="1" outlineLevel="2" x14ac:dyDescent="0.3">
      <c r="D138" s="3">
        <f>D135/D134*1000000</f>
        <v>1.3931723221184009</v>
      </c>
      <c r="E138" s="3">
        <f t="shared" ref="E138:N138" si="213">E135/E134*1000000</f>
        <v>1.4010675055680335</v>
      </c>
      <c r="F138" s="3">
        <f t="shared" si="213"/>
        <v>1.4079184726437597</v>
      </c>
      <c r="G138" s="3">
        <f t="shared" si="213"/>
        <v>1.4047157610140841</v>
      </c>
      <c r="H138" s="3">
        <f t="shared" si="213"/>
        <v>1.373472276502216</v>
      </c>
      <c r="I138" s="3">
        <f t="shared" si="213"/>
        <v>1.3289540750490865</v>
      </c>
      <c r="J138" s="3">
        <f t="shared" si="213"/>
        <v>1.3131929134930973</v>
      </c>
      <c r="K138" s="3">
        <f t="shared" si="213"/>
        <v>1.3897119457975231</v>
      </c>
      <c r="L138" s="3">
        <f t="shared" si="213"/>
        <v>1.3305626972467877</v>
      </c>
      <c r="M138" s="3">
        <f t="shared" si="213"/>
        <v>1.3963271251852705</v>
      </c>
      <c r="N138" s="3">
        <f t="shared" si="213"/>
        <v>1.3533027276570584</v>
      </c>
      <c r="O138" s="3">
        <f>N138*(1+AVERAGE($E140:$N140))</f>
        <v>1.3500667396061474</v>
      </c>
      <c r="P138" s="3">
        <f t="shared" ref="P138:BI138" si="214">O138*(1+AVERAGE($E140:$N140))</f>
        <v>1.346838489379488</v>
      </c>
      <c r="Q138" s="3">
        <f t="shared" si="214"/>
        <v>1.3436179584745629</v>
      </c>
      <c r="R138" s="3">
        <f t="shared" si="214"/>
        <v>1.340405128433098</v>
      </c>
      <c r="S138" s="3">
        <f t="shared" si="214"/>
        <v>1.337199980840956</v>
      </c>
      <c r="T138" s="3">
        <f t="shared" si="214"/>
        <v>1.3340024973280311</v>
      </c>
      <c r="U138" s="3">
        <f t="shared" si="214"/>
        <v>1.330812659568144</v>
      </c>
      <c r="V138" s="3">
        <f t="shared" si="214"/>
        <v>1.3276304492789359</v>
      </c>
      <c r="W138" s="3">
        <f t="shared" si="214"/>
        <v>1.3244558482217652</v>
      </c>
      <c r="X138" s="3">
        <f t="shared" si="214"/>
        <v>1.3212888382016015</v>
      </c>
      <c r="Y138" s="3">
        <f t="shared" si="214"/>
        <v>1.3181294010669222</v>
      </c>
      <c r="Z138" s="3">
        <f t="shared" si="214"/>
        <v>1.3149775187096084</v>
      </c>
      <c r="AA138" s="3">
        <f t="shared" si="214"/>
        <v>1.3118331730648407</v>
      </c>
      <c r="AB138" s="3">
        <f t="shared" si="214"/>
        <v>1.3086963461109959</v>
      </c>
      <c r="AC138" s="3">
        <f t="shared" si="214"/>
        <v>1.3055670198695439</v>
      </c>
      <c r="AD138" s="3">
        <f t="shared" si="214"/>
        <v>1.3024451764049441</v>
      </c>
      <c r="AE138" s="3">
        <f t="shared" si="214"/>
        <v>1.2993307978245434</v>
      </c>
      <c r="AF138" s="3">
        <f t="shared" si="214"/>
        <v>1.2962238662784731</v>
      </c>
      <c r="AG138" s="3">
        <f t="shared" si="214"/>
        <v>1.2931243639595464</v>
      </c>
      <c r="AH138" s="3">
        <f t="shared" si="214"/>
        <v>1.2900322731031573</v>
      </c>
      <c r="AI138" s="3">
        <f t="shared" si="214"/>
        <v>1.2869475759871776</v>
      </c>
      <c r="AJ138" s="3">
        <f t="shared" si="214"/>
        <v>1.2838702549318559</v>
      </c>
      <c r="AK138" s="3">
        <f t="shared" si="214"/>
        <v>1.2808002922997166</v>
      </c>
      <c r="AL138" s="3">
        <f t="shared" si="214"/>
        <v>1.2777376704954579</v>
      </c>
      <c r="AM138" s="3">
        <f t="shared" si="214"/>
        <v>1.2746823719658522</v>
      </c>
      <c r="AN138" s="3">
        <f t="shared" si="214"/>
        <v>1.2716343791996443</v>
      </c>
      <c r="AO138" s="3">
        <f t="shared" si="214"/>
        <v>1.2685936747274515</v>
      </c>
      <c r="AP138" s="3">
        <f t="shared" si="214"/>
        <v>1.2655602411216638</v>
      </c>
      <c r="AQ138" s="3">
        <f t="shared" si="214"/>
        <v>1.2625340609963434</v>
      </c>
      <c r="AR138" s="3">
        <f t="shared" si="214"/>
        <v>1.2595151170071257</v>
      </c>
      <c r="AS138" s="3">
        <f t="shared" si="214"/>
        <v>1.2565033918511195</v>
      </c>
      <c r="AT138" s="3">
        <f t="shared" si="214"/>
        <v>1.2534988682668076</v>
      </c>
      <c r="AU138" s="3">
        <f t="shared" si="214"/>
        <v>1.2505015290339485</v>
      </c>
      <c r="AV138" s="3">
        <f t="shared" si="214"/>
        <v>1.2475113569734773</v>
      </c>
      <c r="AW138" s="3">
        <f t="shared" si="214"/>
        <v>1.244528334947407</v>
      </c>
      <c r="AX138" s="3">
        <f t="shared" si="214"/>
        <v>1.2415524458587313</v>
      </c>
      <c r="AY138" s="3">
        <f t="shared" si="214"/>
        <v>1.2385836726513251</v>
      </c>
      <c r="AZ138" s="3">
        <f t="shared" si="214"/>
        <v>1.2356219983098478</v>
      </c>
      <c r="BA138" s="3">
        <f t="shared" si="214"/>
        <v>1.2326674058596458</v>
      </c>
      <c r="BB138" s="3">
        <f t="shared" si="214"/>
        <v>1.2297198783666548</v>
      </c>
      <c r="BC138" s="3">
        <f t="shared" si="214"/>
        <v>1.2267793989373024</v>
      </c>
      <c r="BD138" s="3">
        <f t="shared" si="214"/>
        <v>1.2238459507184123</v>
      </c>
      <c r="BE138" s="3">
        <f t="shared" si="214"/>
        <v>1.2209195168971068</v>
      </c>
      <c r="BF138" s="3">
        <f t="shared" si="214"/>
        <v>1.2180000807007112</v>
      </c>
      <c r="BG138" s="3">
        <f t="shared" si="214"/>
        <v>1.2150876253966569</v>
      </c>
      <c r="BH138" s="3">
        <f t="shared" si="214"/>
        <v>1.212182134292386</v>
      </c>
      <c r="BI138" s="3">
        <f t="shared" si="214"/>
        <v>1.2092835907352553</v>
      </c>
    </row>
    <row r="139" spans="1:61" hidden="1" outlineLevel="2" x14ac:dyDescent="0.3">
      <c r="D139" s="3">
        <f>D135/D134*1000000</f>
        <v>1.3931723221184009</v>
      </c>
      <c r="E139" s="3">
        <f t="shared" ref="E139:N139" si="215">E135/E134*1000000</f>
        <v>1.4010675055680335</v>
      </c>
      <c r="F139" s="3">
        <f t="shared" si="215"/>
        <v>1.4079184726437597</v>
      </c>
      <c r="G139" s="3">
        <f t="shared" si="215"/>
        <v>1.4047157610140841</v>
      </c>
      <c r="H139" s="3">
        <f t="shared" si="215"/>
        <v>1.373472276502216</v>
      </c>
      <c r="I139" s="3">
        <f t="shared" si="215"/>
        <v>1.3289540750490865</v>
      </c>
      <c r="J139" s="3">
        <f t="shared" si="215"/>
        <v>1.3131929134930973</v>
      </c>
      <c r="K139" s="3">
        <f t="shared" si="215"/>
        <v>1.3897119457975231</v>
      </c>
      <c r="L139" s="3">
        <f t="shared" si="215"/>
        <v>1.3305626972467877</v>
      </c>
      <c r="M139" s="3">
        <f t="shared" si="215"/>
        <v>1.3963271251852705</v>
      </c>
      <c r="N139" s="3">
        <f t="shared" si="215"/>
        <v>1.3533027276570584</v>
      </c>
      <c r="O139" s="3">
        <f>N139*(1+AVERAGE($E140:$J140))</f>
        <v>1.340168365982368</v>
      </c>
      <c r="P139" s="3">
        <f t="shared" ref="P139:BI139" si="216">O139*(1+AVERAGE($E140:$J140))</f>
        <v>1.3271614787101715</v>
      </c>
      <c r="Q139" s="3">
        <f t="shared" si="216"/>
        <v>1.3142808286487659</v>
      </c>
      <c r="R139" s="3">
        <f t="shared" si="216"/>
        <v>1.301525190613904</v>
      </c>
      <c r="S139" s="3">
        <f t="shared" si="216"/>
        <v>1.2888933513122578</v>
      </c>
      <c r="T139" s="3">
        <f t="shared" si="216"/>
        <v>1.276384109226012</v>
      </c>
      <c r="U139" s="3">
        <f t="shared" si="216"/>
        <v>1.2639962744985773</v>
      </c>
      <c r="V139" s="3">
        <f t="shared" si="216"/>
        <v>1.2517286688214144</v>
      </c>
      <c r="W139" s="3">
        <f t="shared" si="216"/>
        <v>1.2395801253219547</v>
      </c>
      <c r="X139" s="3">
        <f t="shared" si="216"/>
        <v>1.2275494884526092</v>
      </c>
      <c r="Y139" s="3">
        <f t="shared" si="216"/>
        <v>1.2156356138808559</v>
      </c>
      <c r="Z139" s="3">
        <f t="shared" si="216"/>
        <v>1.203837368380392</v>
      </c>
      <c r="AA139" s="3">
        <f t="shared" si="216"/>
        <v>1.1921536297233437</v>
      </c>
      <c r="AB139" s="3">
        <f t="shared" si="216"/>
        <v>1.1805832865735224</v>
      </c>
      <c r="AC139" s="3">
        <f t="shared" si="216"/>
        <v>1.1691252383807156</v>
      </c>
      <c r="AD139" s="3">
        <f t="shared" si="216"/>
        <v>1.1577783952760055</v>
      </c>
      <c r="AE139" s="3">
        <f t="shared" si="216"/>
        <v>1.1465416779681015</v>
      </c>
      <c r="AF139" s="3">
        <f t="shared" si="216"/>
        <v>1.1354140176406808</v>
      </c>
      <c r="AG139" s="3">
        <f t="shared" si="216"/>
        <v>1.1243943558507246</v>
      </c>
      <c r="AH139" s="3">
        <f t="shared" si="216"/>
        <v>1.1134816444278399</v>
      </c>
      <c r="AI139" s="3">
        <f t="shared" si="216"/>
        <v>1.1026748453745607</v>
      </c>
      <c r="AJ139" s="3">
        <f t="shared" si="216"/>
        <v>1.0919729307676147</v>
      </c>
      <c r="AK139" s="3">
        <f t="shared" si="216"/>
        <v>1.0813748826601493</v>
      </c>
      <c r="AL139" s="3">
        <f t="shared" si="216"/>
        <v>1.0708796929849065</v>
      </c>
      <c r="AM139" s="3">
        <f t="shared" si="216"/>
        <v>1.060486363458337</v>
      </c>
      <c r="AN139" s="3">
        <f t="shared" si="216"/>
        <v>1.0501939054856455</v>
      </c>
      <c r="AO139" s="3">
        <f t="shared" si="216"/>
        <v>1.0400013400667576</v>
      </c>
      <c r="AP139" s="3">
        <f t="shared" si="216"/>
        <v>1.0299076977031985</v>
      </c>
      <c r="AQ139" s="3">
        <f t="shared" si="216"/>
        <v>1.0199120183058763</v>
      </c>
      <c r="AR139" s="3">
        <f t="shared" si="216"/>
        <v>1.0100133511037603</v>
      </c>
      <c r="AS139" s="3">
        <f t="shared" si="216"/>
        <v>1.0002107545534453</v>
      </c>
      <c r="AT139" s="3">
        <f t="shared" si="216"/>
        <v>0.99050329624959332</v>
      </c>
      <c r="AU139" s="3">
        <f t="shared" si="216"/>
        <v>0.9808900528362452</v>
      </c>
      <c r="AV139" s="3">
        <f t="shared" si="216"/>
        <v>0.97137010991899253</v>
      </c>
      <c r="AW139" s="3">
        <f t="shared" si="216"/>
        <v>0.96194256197800221</v>
      </c>
      <c r="AX139" s="3">
        <f t="shared" si="216"/>
        <v>0.95260651228188487</v>
      </c>
      <c r="AY139" s="3">
        <f t="shared" si="216"/>
        <v>0.94336107280239956</v>
      </c>
      <c r="AZ139" s="3">
        <f t="shared" si="216"/>
        <v>0.934205364129986</v>
      </c>
      <c r="BA139" s="3">
        <f t="shared" si="216"/>
        <v>0.92513851539011671</v>
      </c>
      <c r="BB139" s="3">
        <f t="shared" si="216"/>
        <v>0.91615966416046102</v>
      </c>
      <c r="BC139" s="3">
        <f t="shared" si="216"/>
        <v>0.90726795638885316</v>
      </c>
      <c r="BD139" s="3">
        <f t="shared" si="216"/>
        <v>0.89846254631205602</v>
      </c>
      <c r="BE139" s="3">
        <f t="shared" si="216"/>
        <v>0.88974259637531405</v>
      </c>
      <c r="BF139" s="3">
        <f t="shared" si="216"/>
        <v>0.88110727715268633</v>
      </c>
      <c r="BG139" s="3">
        <f t="shared" si="216"/>
        <v>0.87255576726815309</v>
      </c>
      <c r="BH139" s="3">
        <f t="shared" si="216"/>
        <v>0.86408725331748792</v>
      </c>
      <c r="BI139" s="3">
        <f t="shared" si="216"/>
        <v>0.8557009297908883</v>
      </c>
    </row>
    <row r="140" spans="1:61" hidden="1" outlineLevel="2" x14ac:dyDescent="0.3">
      <c r="D140" s="3"/>
      <c r="E140" s="6">
        <f>(E138-D138)/D138</f>
        <v>5.6670544801144824E-3</v>
      </c>
      <c r="F140" s="6">
        <f t="shared" ref="F140:N140" si="217">(F138-E138)/E138</f>
        <v>4.8898194044894412E-3</v>
      </c>
      <c r="G140" s="6">
        <f t="shared" si="217"/>
        <v>-2.2747848628348302E-3</v>
      </c>
      <c r="H140" s="6">
        <f t="shared" si="217"/>
        <v>-2.2241855170268027E-2</v>
      </c>
      <c r="I140" s="6">
        <f t="shared" si="217"/>
        <v>-3.2412886823243961E-2</v>
      </c>
      <c r="J140" s="6">
        <f t="shared" si="217"/>
        <v>-1.185982409166924E-2</v>
      </c>
      <c r="K140" s="6">
        <f t="shared" si="217"/>
        <v>5.8269452658623426E-2</v>
      </c>
      <c r="L140" s="6">
        <f t="shared" si="217"/>
        <v>-4.2562236533694814E-2</v>
      </c>
      <c r="M140" s="6">
        <f t="shared" si="217"/>
        <v>4.9426027104595038E-2</v>
      </c>
      <c r="N140" s="6">
        <f t="shared" si="217"/>
        <v>-3.0812548687331003E-2</v>
      </c>
    </row>
    <row r="141" spans="1:61" x14ac:dyDescent="0.3">
      <c r="D141">
        <v>2013</v>
      </c>
      <c r="E141">
        <v>2014</v>
      </c>
      <c r="F141">
        <v>2015</v>
      </c>
      <c r="G141">
        <v>2016</v>
      </c>
      <c r="H141">
        <v>2017</v>
      </c>
      <c r="I141">
        <v>2018</v>
      </c>
      <c r="J141">
        <v>2019</v>
      </c>
      <c r="K141">
        <v>2020</v>
      </c>
      <c r="L141">
        <v>2021</v>
      </c>
      <c r="M141">
        <v>2022</v>
      </c>
      <c r="N141">
        <v>2023</v>
      </c>
      <c r="O141">
        <v>2024</v>
      </c>
      <c r="P141">
        <v>2025</v>
      </c>
      <c r="Q141">
        <v>2026</v>
      </c>
      <c r="R141">
        <v>2027</v>
      </c>
      <c r="S141">
        <v>2028</v>
      </c>
      <c r="T141">
        <v>2029</v>
      </c>
      <c r="U141">
        <v>2030</v>
      </c>
      <c r="V141">
        <v>2031</v>
      </c>
      <c r="W141">
        <v>2032</v>
      </c>
      <c r="X141">
        <v>2033</v>
      </c>
      <c r="Y141">
        <v>2034</v>
      </c>
      <c r="Z141">
        <v>2035</v>
      </c>
      <c r="AA141">
        <v>2036</v>
      </c>
      <c r="AB141">
        <v>2037</v>
      </c>
      <c r="AC141">
        <v>2038</v>
      </c>
      <c r="AD141">
        <v>2039</v>
      </c>
      <c r="AE141">
        <v>2040</v>
      </c>
      <c r="AF141">
        <v>2041</v>
      </c>
      <c r="AG141">
        <v>2042</v>
      </c>
      <c r="AH141">
        <v>2043</v>
      </c>
      <c r="AI141">
        <v>2044</v>
      </c>
      <c r="AJ141">
        <v>2045</v>
      </c>
      <c r="AK141">
        <v>2046</v>
      </c>
      <c r="AL141">
        <v>2047</v>
      </c>
      <c r="AM141">
        <v>2048</v>
      </c>
      <c r="AN141">
        <v>2049</v>
      </c>
      <c r="AO141">
        <v>2050</v>
      </c>
      <c r="AP141">
        <v>2051</v>
      </c>
      <c r="AQ141">
        <v>2052</v>
      </c>
      <c r="AR141">
        <v>2053</v>
      </c>
      <c r="AS141">
        <v>2054</v>
      </c>
      <c r="AT141">
        <v>2055</v>
      </c>
      <c r="AU141">
        <v>2056</v>
      </c>
      <c r="AV141">
        <v>2057</v>
      </c>
      <c r="AW141">
        <v>2058</v>
      </c>
      <c r="AX141">
        <v>2059</v>
      </c>
      <c r="AY141">
        <v>2060</v>
      </c>
      <c r="AZ141">
        <v>2061</v>
      </c>
      <c r="BA141">
        <v>2062</v>
      </c>
      <c r="BB141">
        <v>2063</v>
      </c>
      <c r="BC141">
        <v>2064</v>
      </c>
      <c r="BD141">
        <v>2065</v>
      </c>
      <c r="BE141">
        <v>2066</v>
      </c>
      <c r="BF141">
        <v>2067</v>
      </c>
      <c r="BG141">
        <v>2068</v>
      </c>
      <c r="BH141">
        <v>2069</v>
      </c>
      <c r="BI141">
        <v>2070</v>
      </c>
    </row>
    <row r="142" spans="1:61" x14ac:dyDescent="0.3">
      <c r="A142" s="11">
        <f>BI142</f>
        <v>263.88221279878024</v>
      </c>
      <c r="C142" t="s">
        <v>183</v>
      </c>
      <c r="D142" s="3">
        <f>D74</f>
        <v>163.95999999999998</v>
      </c>
      <c r="E142" s="3">
        <f t="shared" ref="E142:BI142" si="218">E74</f>
        <v>167.03</v>
      </c>
      <c r="F142" s="3">
        <f t="shared" si="218"/>
        <v>169.87</v>
      </c>
      <c r="G142" s="3">
        <f t="shared" si="218"/>
        <v>171.42999999999998</v>
      </c>
      <c r="H142" s="3">
        <f t="shared" si="218"/>
        <v>169.47</v>
      </c>
      <c r="I142" s="3">
        <f t="shared" si="218"/>
        <v>165.70999999999998</v>
      </c>
      <c r="J142" s="3">
        <f t="shared" si="218"/>
        <v>165.41</v>
      </c>
      <c r="K142" s="3">
        <f t="shared" si="218"/>
        <v>176.76</v>
      </c>
      <c r="L142" s="3">
        <f t="shared" si="218"/>
        <v>170.83</v>
      </c>
      <c r="M142" s="3">
        <f t="shared" si="218"/>
        <v>181.46751098535287</v>
      </c>
      <c r="N142" s="3">
        <f t="shared" si="218"/>
        <v>177.46580925432758</v>
      </c>
      <c r="O142" s="3">
        <f t="shared" si="218"/>
        <v>178.97013014128339</v>
      </c>
      <c r="P142" s="3">
        <f t="shared" si="218"/>
        <v>180.48720267510819</v>
      </c>
      <c r="Q142" s="3">
        <f t="shared" si="218"/>
        <v>182.01713494743277</v>
      </c>
      <c r="R142" s="3">
        <f t="shared" si="218"/>
        <v>183.56003596614605</v>
      </c>
      <c r="S142" s="3">
        <f t="shared" si="218"/>
        <v>185.11601566316196</v>
      </c>
      <c r="T142" s="3">
        <f t="shared" si="218"/>
        <v>186.68518490225213</v>
      </c>
      <c r="U142" s="3">
        <f t="shared" si="218"/>
        <v>188.26765548694488</v>
      </c>
      <c r="V142" s="3">
        <f t="shared" si="218"/>
        <v>189.86354016849126</v>
      </c>
      <c r="W142" s="3">
        <f t="shared" si="218"/>
        <v>191.4729526538986</v>
      </c>
      <c r="X142" s="3">
        <f t="shared" si="218"/>
        <v>193.0960076140322</v>
      </c>
      <c r="Y142" s="3">
        <f t="shared" si="218"/>
        <v>194.73282069178555</v>
      </c>
      <c r="Z142" s="3">
        <f t="shared" si="218"/>
        <v>196.38350851031998</v>
      </c>
      <c r="AA142" s="3">
        <f t="shared" si="218"/>
        <v>198.04818868137403</v>
      </c>
      <c r="AB142" s="3">
        <f t="shared" si="218"/>
        <v>199.72697981364331</v>
      </c>
      <c r="AC142" s="3">
        <f t="shared" si="218"/>
        <v>201.4200015212314</v>
      </c>
      <c r="AD142" s="3">
        <f t="shared" si="218"/>
        <v>203.12737443217239</v>
      </c>
      <c r="AE142" s="3">
        <f t="shared" si="218"/>
        <v>204.8492201970256</v>
      </c>
      <c r="AF142" s="3">
        <f t="shared" si="218"/>
        <v>206.58566149754321</v>
      </c>
      <c r="AG142" s="3">
        <f t="shared" si="218"/>
        <v>208.3368220554114</v>
      </c>
      <c r="AH142" s="3">
        <f t="shared" si="218"/>
        <v>210.10282664106546</v>
      </c>
      <c r="AI142" s="3">
        <f t="shared" si="218"/>
        <v>211.88380108257977</v>
      </c>
      <c r="AJ142" s="3">
        <f t="shared" si="218"/>
        <v>213.67987227463303</v>
      </c>
      <c r="AK142" s="3">
        <f t="shared" si="218"/>
        <v>215.4911681875495</v>
      </c>
      <c r="AL142" s="3">
        <f t="shared" si="218"/>
        <v>217.31781787641702</v>
      </c>
      <c r="AM142" s="3">
        <f t="shared" si="218"/>
        <v>219.15995149028203</v>
      </c>
      <c r="AN142" s="3">
        <f t="shared" si="218"/>
        <v>221.01770028142283</v>
      </c>
      <c r="AO142" s="3">
        <f t="shared" si="218"/>
        <v>222.89119661470133</v>
      </c>
      <c r="AP142" s="3">
        <f t="shared" si="218"/>
        <v>224.78057397699396</v>
      </c>
      <c r="AQ142" s="3">
        <f t="shared" si="218"/>
        <v>226.68596698670274</v>
      </c>
      <c r="AR142" s="3">
        <f t="shared" si="218"/>
        <v>228.60751140334679</v>
      </c>
      <c r="AS142" s="3">
        <f t="shared" si="218"/>
        <v>230.54534413723525</v>
      </c>
      <c r="AT142" s="3">
        <f t="shared" si="218"/>
        <v>232.49960325922214</v>
      </c>
      <c r="AU142" s="3">
        <f t="shared" si="218"/>
        <v>234.47042801054397</v>
      </c>
      <c r="AV142" s="3">
        <f t="shared" si="218"/>
        <v>236.4579588127406</v>
      </c>
      <c r="AW142" s="3">
        <f t="shared" si="218"/>
        <v>238.46233727766042</v>
      </c>
      <c r="AX142" s="3">
        <f t="shared" si="218"/>
        <v>240.48370621755012</v>
      </c>
      <c r="AY142" s="3">
        <f t="shared" si="218"/>
        <v>242.52220965523009</v>
      </c>
      <c r="AZ142" s="3">
        <f t="shared" si="218"/>
        <v>244.57799283435614</v>
      </c>
      <c r="BA142" s="3">
        <f t="shared" si="218"/>
        <v>246.65120222976805</v>
      </c>
      <c r="BB142" s="3">
        <f t="shared" si="218"/>
        <v>248.74198555792597</v>
      </c>
      <c r="BC142" s="3">
        <f t="shared" si="218"/>
        <v>250.8504917874352</v>
      </c>
      <c r="BD142" s="3">
        <f t="shared" si="218"/>
        <v>252.9768711496603</v>
      </c>
      <c r="BE142" s="3">
        <f t="shared" si="218"/>
        <v>255.12127514942895</v>
      </c>
      <c r="BF142" s="3">
        <f t="shared" si="218"/>
        <v>257.28385657582686</v>
      </c>
      <c r="BG142" s="3">
        <f t="shared" si="218"/>
        <v>259.46476951308392</v>
      </c>
      <c r="BH142" s="3">
        <f t="shared" si="218"/>
        <v>261.66416935155274</v>
      </c>
      <c r="BI142" s="3">
        <f t="shared" si="218"/>
        <v>263.88221279878024</v>
      </c>
    </row>
    <row r="143" spans="1:61" x14ac:dyDescent="0.3">
      <c r="A143" s="11">
        <f t="shared" ref="A143:A151" si="219">BI143</f>
        <v>191.13496854992158</v>
      </c>
      <c r="B143">
        <v>1</v>
      </c>
      <c r="C143" t="s">
        <v>184</v>
      </c>
      <c r="D143" s="3">
        <f>D75</f>
        <v>163.95999999999998</v>
      </c>
      <c r="E143" s="3">
        <f t="shared" ref="E143:BI143" si="220">E75</f>
        <v>167.03</v>
      </c>
      <c r="F143" s="3">
        <f t="shared" si="220"/>
        <v>169.87</v>
      </c>
      <c r="G143" s="3">
        <f t="shared" si="220"/>
        <v>171.42999999999998</v>
      </c>
      <c r="H143" s="3">
        <f t="shared" si="220"/>
        <v>169.47</v>
      </c>
      <c r="I143" s="3">
        <f t="shared" si="220"/>
        <v>165.70999999999998</v>
      </c>
      <c r="J143" s="3">
        <f t="shared" si="220"/>
        <v>165.41</v>
      </c>
      <c r="K143" s="3">
        <f t="shared" si="220"/>
        <v>176.76</v>
      </c>
      <c r="L143" s="3">
        <f t="shared" si="220"/>
        <v>170.83</v>
      </c>
      <c r="M143" s="3">
        <f t="shared" si="220"/>
        <v>181.46751098535287</v>
      </c>
      <c r="N143" s="3">
        <f t="shared" si="220"/>
        <v>177.46580925432758</v>
      </c>
      <c r="O143" s="3">
        <f t="shared" si="220"/>
        <v>177.74620696258154</v>
      </c>
      <c r="P143" s="3">
        <f t="shared" si="220"/>
        <v>178.02704770194737</v>
      </c>
      <c r="Q143" s="3">
        <f t="shared" si="220"/>
        <v>178.30833217241855</v>
      </c>
      <c r="R143" s="3">
        <f t="shared" si="220"/>
        <v>178.59006107509455</v>
      </c>
      <c r="S143" s="3">
        <f t="shared" si="220"/>
        <v>178.87223511218261</v>
      </c>
      <c r="T143" s="3">
        <f t="shared" si="220"/>
        <v>179.1548549869994</v>
      </c>
      <c r="U143" s="3">
        <f t="shared" si="220"/>
        <v>179.43792140397289</v>
      </c>
      <c r="V143" s="3">
        <f t="shared" si="220"/>
        <v>179.72143506864407</v>
      </c>
      <c r="W143" s="3">
        <f t="shared" si="220"/>
        <v>180.00539668766862</v>
      </c>
      <c r="X143" s="3">
        <f t="shared" si="220"/>
        <v>180.28980696881879</v>
      </c>
      <c r="Y143" s="3">
        <f t="shared" si="220"/>
        <v>180.57466662098514</v>
      </c>
      <c r="Z143" s="3">
        <f t="shared" si="220"/>
        <v>180.85997635417823</v>
      </c>
      <c r="AA143" s="3">
        <f t="shared" si="220"/>
        <v>181.14573687953046</v>
      </c>
      <c r="AB143" s="3">
        <f t="shared" si="220"/>
        <v>181.43194890929786</v>
      </c>
      <c r="AC143" s="3">
        <f t="shared" si="220"/>
        <v>181.71861315686181</v>
      </c>
      <c r="AD143" s="3">
        <f t="shared" si="220"/>
        <v>182.00573033673081</v>
      </c>
      <c r="AE143" s="3">
        <f t="shared" si="220"/>
        <v>182.29330116454233</v>
      </c>
      <c r="AF143" s="3">
        <f t="shared" si="220"/>
        <v>182.58132635706454</v>
      </c>
      <c r="AG143" s="3">
        <f t="shared" si="220"/>
        <v>182.86980663219811</v>
      </c>
      <c r="AH143" s="3">
        <f t="shared" si="220"/>
        <v>183.158742708978</v>
      </c>
      <c r="AI143" s="3">
        <f t="shared" si="220"/>
        <v>183.44813530757526</v>
      </c>
      <c r="AJ143" s="3">
        <f t="shared" si="220"/>
        <v>183.73798514929879</v>
      </c>
      <c r="AK143" s="3">
        <f t="shared" si="220"/>
        <v>184.02829295659723</v>
      </c>
      <c r="AL143" s="3">
        <f t="shared" si="220"/>
        <v>184.31905945306059</v>
      </c>
      <c r="AM143" s="3">
        <f t="shared" si="220"/>
        <v>184.61028536342226</v>
      </c>
      <c r="AN143" s="3">
        <f t="shared" si="220"/>
        <v>184.90197141356069</v>
      </c>
      <c r="AO143" s="3">
        <f t="shared" si="220"/>
        <v>185.19411833050117</v>
      </c>
      <c r="AP143" s="3">
        <f t="shared" si="220"/>
        <v>185.48672684241777</v>
      </c>
      <c r="AQ143" s="3">
        <f t="shared" si="220"/>
        <v>185.77979767863505</v>
      </c>
      <c r="AR143" s="3">
        <f t="shared" si="220"/>
        <v>186.07333156962991</v>
      </c>
      <c r="AS143" s="3">
        <f t="shared" si="220"/>
        <v>186.36732924703341</v>
      </c>
      <c r="AT143" s="3">
        <f t="shared" si="220"/>
        <v>186.66179144363258</v>
      </c>
      <c r="AU143" s="3">
        <f t="shared" si="220"/>
        <v>186.95671889337228</v>
      </c>
      <c r="AV143" s="3">
        <f t="shared" si="220"/>
        <v>187.25211233135704</v>
      </c>
      <c r="AW143" s="3">
        <f t="shared" si="220"/>
        <v>187.5479724938528</v>
      </c>
      <c r="AX143" s="3">
        <f t="shared" si="220"/>
        <v>187.84430011828883</v>
      </c>
      <c r="AY143" s="3">
        <f t="shared" si="220"/>
        <v>188.14109594325956</v>
      </c>
      <c r="AZ143" s="3">
        <f t="shared" si="220"/>
        <v>188.4383607085264</v>
      </c>
      <c r="BA143" s="3">
        <f t="shared" si="220"/>
        <v>188.7360951550196</v>
      </c>
      <c r="BB143" s="3">
        <f t="shared" si="220"/>
        <v>189.03430002484006</v>
      </c>
      <c r="BC143" s="3">
        <f t="shared" si="220"/>
        <v>189.33297606126123</v>
      </c>
      <c r="BD143" s="3">
        <f t="shared" si="220"/>
        <v>189.63212400873093</v>
      </c>
      <c r="BE143" s="3">
        <f t="shared" si="220"/>
        <v>189.93174461287319</v>
      </c>
      <c r="BF143" s="3">
        <f t="shared" si="220"/>
        <v>190.23183862049018</v>
      </c>
      <c r="BG143" s="3">
        <f t="shared" si="220"/>
        <v>190.53240677956401</v>
      </c>
      <c r="BH143" s="3">
        <f t="shared" si="220"/>
        <v>190.83344983925861</v>
      </c>
      <c r="BI143" s="3">
        <f t="shared" si="220"/>
        <v>191.13496854992158</v>
      </c>
    </row>
    <row r="144" spans="1:61" x14ac:dyDescent="0.3">
      <c r="A144" s="11">
        <f t="shared" si="219"/>
        <v>362.16813546683238</v>
      </c>
      <c r="C144" t="s">
        <v>185</v>
      </c>
      <c r="D144" s="3">
        <f t="shared" ref="D144:N144" si="221">D85</f>
        <v>163.95999999999998</v>
      </c>
      <c r="E144" s="3">
        <f t="shared" si="221"/>
        <v>167.03</v>
      </c>
      <c r="F144" s="3">
        <f t="shared" si="221"/>
        <v>169.87</v>
      </c>
      <c r="G144" s="3">
        <f t="shared" si="221"/>
        <v>171.42999999999998</v>
      </c>
      <c r="H144" s="3">
        <f t="shared" si="221"/>
        <v>169.47</v>
      </c>
      <c r="I144" s="3">
        <f t="shared" si="221"/>
        <v>165.70999999999998</v>
      </c>
      <c r="J144" s="3">
        <f t="shared" si="221"/>
        <v>165.41</v>
      </c>
      <c r="K144" s="3">
        <f t="shared" si="221"/>
        <v>176.76</v>
      </c>
      <c r="L144" s="3">
        <f t="shared" si="221"/>
        <v>170.83</v>
      </c>
      <c r="M144" s="3">
        <f t="shared" si="221"/>
        <v>181.46751098535287</v>
      </c>
      <c r="N144" s="3">
        <f t="shared" si="221"/>
        <v>177.46580925432758</v>
      </c>
      <c r="O144" s="3">
        <f>O85-O78</f>
        <v>171.00152915460748</v>
      </c>
      <c r="P144" s="3">
        <f t="shared" ref="P144:BI144" si="222">P85-P78</f>
        <v>173.06870589736073</v>
      </c>
      <c r="Q144" s="3">
        <f t="shared" si="222"/>
        <v>175.19881923617106</v>
      </c>
      <c r="R144" s="3">
        <f t="shared" si="222"/>
        <v>177.39338657520665</v>
      </c>
      <c r="S144" s="3">
        <f t="shared" si="222"/>
        <v>179.65396391901493</v>
      </c>
      <c r="T144" s="3">
        <f t="shared" si="222"/>
        <v>181.98214684636591</v>
      </c>
      <c r="U144" s="3">
        <f t="shared" si="222"/>
        <v>184.37957150875297</v>
      </c>
      <c r="V144" s="3">
        <f t="shared" si="222"/>
        <v>186.8479156541751</v>
      </c>
      <c r="W144" s="3">
        <f t="shared" si="222"/>
        <v>189.38889967684142</v>
      </c>
      <c r="X144" s="3">
        <f t="shared" si="222"/>
        <v>192.00428769345424</v>
      </c>
      <c r="Y144" s="3">
        <f t="shared" si="222"/>
        <v>194.69588864674395</v>
      </c>
      <c r="Z144" s="3">
        <f t="shared" si="222"/>
        <v>197.4655574369458</v>
      </c>
      <c r="AA144" s="3">
        <f t="shared" si="222"/>
        <v>200.31519608192622</v>
      </c>
      <c r="AB144" s="3">
        <f t="shared" si="222"/>
        <v>203.2467549066848</v>
      </c>
      <c r="AC144" s="3">
        <f t="shared" si="222"/>
        <v>206.26223376297554</v>
      </c>
      <c r="AD144" s="3">
        <f t="shared" si="222"/>
        <v>209.36368327980992</v>
      </c>
      <c r="AE144" s="3">
        <f t="shared" si="222"/>
        <v>212.5532061456253</v>
      </c>
      <c r="AF144" s="3">
        <f t="shared" si="222"/>
        <v>215.83295842291867</v>
      </c>
      <c r="AG144" s="3">
        <f t="shared" si="222"/>
        <v>219.20515089617072</v>
      </c>
      <c r="AH144" s="3">
        <f t="shared" si="222"/>
        <v>222.67205045390051</v>
      </c>
      <c r="AI144" s="3">
        <f t="shared" si="222"/>
        <v>226.23598150571803</v>
      </c>
      <c r="AJ144" s="3">
        <f t="shared" si="222"/>
        <v>229.89932743525907</v>
      </c>
      <c r="AK144" s="3">
        <f t="shared" si="222"/>
        <v>233.66453208991302</v>
      </c>
      <c r="AL144" s="3">
        <f t="shared" si="222"/>
        <v>237.53410130827376</v>
      </c>
      <c r="AM144" s="3">
        <f t="shared" si="222"/>
        <v>241.51060448627155</v>
      </c>
      <c r="AN144" s="3">
        <f t="shared" si="222"/>
        <v>245.59667618296336</v>
      </c>
      <c r="AO144" s="3">
        <f t="shared" si="222"/>
        <v>249.79501776698805</v>
      </c>
      <c r="AP144" s="3">
        <f t="shared" si="222"/>
        <v>254.1083991047158</v>
      </c>
      <c r="AQ144" s="3">
        <f t="shared" si="222"/>
        <v>258.53966029114821</v>
      </c>
      <c r="AR144" s="3">
        <f t="shared" si="222"/>
        <v>263.0917134246514</v>
      </c>
      <c r="AS144" s="3">
        <f t="shared" si="222"/>
        <v>267.76754442663446</v>
      </c>
      <c r="AT144" s="3">
        <f t="shared" si="222"/>
        <v>272.57021490730926</v>
      </c>
      <c r="AU144" s="3">
        <f t="shared" si="222"/>
        <v>277.50286407870107</v>
      </c>
      <c r="AV144" s="3">
        <f t="shared" si="222"/>
        <v>282.5687107161059</v>
      </c>
      <c r="AW144" s="3">
        <f t="shared" si="222"/>
        <v>287.7710551692233</v>
      </c>
      <c r="AX144" s="3">
        <f t="shared" si="222"/>
        <v>293.11328142422093</v>
      </c>
      <c r="AY144" s="3">
        <f t="shared" si="222"/>
        <v>298.59885921802356</v>
      </c>
      <c r="AZ144" s="3">
        <f t="shared" si="222"/>
        <v>304.23134620614769</v>
      </c>
      <c r="BA144" s="3">
        <f t="shared" si="222"/>
        <v>310.01439018544067</v>
      </c>
      <c r="BB144" s="3">
        <f t="shared" si="222"/>
        <v>315.95173137311315</v>
      </c>
      <c r="BC144" s="3">
        <f t="shared" si="222"/>
        <v>322.04720474349074</v>
      </c>
      <c r="BD144" s="3">
        <f t="shared" si="222"/>
        <v>328.30474242395167</v>
      </c>
      <c r="BE144" s="3">
        <f t="shared" si="222"/>
        <v>334.7283761515439</v>
      </c>
      <c r="BF144" s="3">
        <f t="shared" si="222"/>
        <v>341.32223979182311</v>
      </c>
      <c r="BG144" s="3">
        <f t="shared" si="222"/>
        <v>348.09057192148794</v>
      </c>
      <c r="BH144" s="3">
        <f t="shared" si="222"/>
        <v>355.03771847642588</v>
      </c>
      <c r="BI144" s="3">
        <f t="shared" si="222"/>
        <v>362.16813546683238</v>
      </c>
    </row>
    <row r="145" spans="1:61" x14ac:dyDescent="0.3">
      <c r="A145" s="11">
        <f t="shared" si="219"/>
        <v>258.7310009958502</v>
      </c>
      <c r="B145">
        <v>1</v>
      </c>
      <c r="C145" t="s">
        <v>186</v>
      </c>
      <c r="D145" s="3">
        <f t="shared" ref="D145:N145" si="223">D94</f>
        <v>163.95999999999998</v>
      </c>
      <c r="E145" s="3">
        <f t="shared" si="223"/>
        <v>167.03</v>
      </c>
      <c r="F145" s="3">
        <f t="shared" si="223"/>
        <v>169.87</v>
      </c>
      <c r="G145" s="3">
        <f t="shared" si="223"/>
        <v>171.42999999999998</v>
      </c>
      <c r="H145" s="3">
        <f t="shared" si="223"/>
        <v>169.47</v>
      </c>
      <c r="I145" s="3">
        <f t="shared" si="223"/>
        <v>165.70999999999998</v>
      </c>
      <c r="J145" s="3">
        <f t="shared" si="223"/>
        <v>165.41</v>
      </c>
      <c r="K145" s="3">
        <f t="shared" si="223"/>
        <v>176.76</v>
      </c>
      <c r="L145" s="3">
        <f t="shared" si="223"/>
        <v>170.83</v>
      </c>
      <c r="M145" s="3">
        <f t="shared" si="223"/>
        <v>181.46751098535287</v>
      </c>
      <c r="N145" s="3">
        <f t="shared" si="223"/>
        <v>177.46580925432758</v>
      </c>
      <c r="O145" s="3">
        <f>O94-O87</f>
        <v>170.00084179439344</v>
      </c>
      <c r="P145" s="3">
        <f t="shared" ref="P145:BI145" si="224">P94-P87</f>
        <v>171.03676886940667</v>
      </c>
      <c r="Q145" s="3">
        <f t="shared" si="224"/>
        <v>172.10403771256324</v>
      </c>
      <c r="R145" s="3">
        <f t="shared" si="224"/>
        <v>173.20310441938005</v>
      </c>
      <c r="S145" s="3">
        <f t="shared" si="224"/>
        <v>174.33443410105451</v>
      </c>
      <c r="T145" s="3">
        <f t="shared" si="224"/>
        <v>175.49850104064672</v>
      </c>
      <c r="U145" s="3">
        <f t="shared" si="224"/>
        <v>176.69578885213571</v>
      </c>
      <c r="V145" s="3">
        <f t="shared" si="224"/>
        <v>177.92679064240022</v>
      </c>
      <c r="W145" s="3">
        <f t="shared" si="224"/>
        <v>179.19200917617786</v>
      </c>
      <c r="X145" s="3">
        <f t="shared" si="224"/>
        <v>180.49195704405506</v>
      </c>
      <c r="Y145" s="3">
        <f t="shared" si="224"/>
        <v>181.82715683354283</v>
      </c>
      <c r="Z145" s="3">
        <f t="shared" si="224"/>
        <v>183.19814130329368</v>
      </c>
      <c r="AA145" s="3">
        <f t="shared" si="224"/>
        <v>184.6054535605158</v>
      </c>
      <c r="AB145" s="3">
        <f t="shared" si="224"/>
        <v>186.0496472416425</v>
      </c>
      <c r="AC145" s="3">
        <f t="shared" si="224"/>
        <v>187.53128669631536</v>
      </c>
      <c r="AD145" s="3">
        <f t="shared" si="224"/>
        <v>189.05094717473969</v>
      </c>
      <c r="AE145" s="3">
        <f t="shared" si="224"/>
        <v>190.60921501847491</v>
      </c>
      <c r="AF145" s="3">
        <f t="shared" si="224"/>
        <v>192.20668785471941</v>
      </c>
      <c r="AG145" s="3">
        <f t="shared" si="224"/>
        <v>193.84397479415432</v>
      </c>
      <c r="AH145" s="3">
        <f t="shared" si="224"/>
        <v>195.52169663240983</v>
      </c>
      <c r="AI145" s="3">
        <f t="shared" si="224"/>
        <v>197.2404860552187</v>
      </c>
      <c r="AJ145" s="3">
        <f t="shared" si="224"/>
        <v>199.00098784732432</v>
      </c>
      <c r="AK145" s="3">
        <f t="shared" si="224"/>
        <v>200.80385910520965</v>
      </c>
      <c r="AL145" s="3">
        <f t="shared" si="224"/>
        <v>202.64976945371717</v>
      </c>
      <c r="AM145" s="3">
        <f t="shared" si="224"/>
        <v>204.539401266629</v>
      </c>
      <c r="AN145" s="3">
        <f t="shared" si="224"/>
        <v>206.47344989127868</v>
      </c>
      <c r="AO145" s="3">
        <f t="shared" si="224"/>
        <v>208.45262387726746</v>
      </c>
      <c r="AP145" s="3">
        <f t="shared" si="224"/>
        <v>210.47764520935891</v>
      </c>
      <c r="AQ145" s="3">
        <f t="shared" si="224"/>
        <v>212.54924954462717</v>
      </c>
      <c r="AR145" s="3">
        <f t="shared" si="224"/>
        <v>214.66818645393482</v>
      </c>
      <c r="AS145" s="3">
        <f t="shared" si="224"/>
        <v>216.83521966782038</v>
      </c>
      <c r="AT145" s="3">
        <f t="shared" si="224"/>
        <v>219.05112732687195</v>
      </c>
      <c r="AU145" s="3">
        <f t="shared" si="224"/>
        <v>221.31670223667058</v>
      </c>
      <c r="AV145" s="3">
        <f t="shared" si="224"/>
        <v>223.63275212738415</v>
      </c>
      <c r="AW145" s="3">
        <f t="shared" si="224"/>
        <v>226.0000999180962</v>
      </c>
      <c r="AX145" s="3">
        <f t="shared" si="224"/>
        <v>228.419583985955</v>
      </c>
      <c r="AY145" s="3">
        <f t="shared" si="224"/>
        <v>230.89205844022996</v>
      </c>
      <c r="AZ145" s="3">
        <f t="shared" si="224"/>
        <v>233.41839340136295</v>
      </c>
      <c r="BA145" s="3">
        <f t="shared" si="224"/>
        <v>235.99947528510648</v>
      </c>
      <c r="BB145" s="3">
        <f t="shared" si="224"/>
        <v>238.63620709183823</v>
      </c>
      <c r="BC145" s="3">
        <f t="shared" si="224"/>
        <v>241.32950870114803</v>
      </c>
      <c r="BD145" s="3">
        <f t="shared" si="224"/>
        <v>244.08031717178886</v>
      </c>
      <c r="BE145" s="3">
        <f t="shared" si="224"/>
        <v>246.88958704709256</v>
      </c>
      <c r="BF145" s="3">
        <f t="shared" si="224"/>
        <v>249.75829066594588</v>
      </c>
      <c r="BG145" s="3">
        <f t="shared" si="224"/>
        <v>252.68741847942852</v>
      </c>
      <c r="BH145" s="3">
        <f t="shared" si="224"/>
        <v>255.6779793732162</v>
      </c>
      <c r="BI145" s="3">
        <f t="shared" si="224"/>
        <v>258.7310009958502</v>
      </c>
    </row>
    <row r="146" spans="1:61" x14ac:dyDescent="0.3">
      <c r="A146" s="11">
        <f t="shared" si="219"/>
        <v>314.56915255202239</v>
      </c>
      <c r="C146" t="s">
        <v>187</v>
      </c>
      <c r="D146" s="4">
        <f>D113</f>
        <v>163.96</v>
      </c>
      <c r="E146" s="4">
        <f t="shared" ref="E146:BI146" si="225">E113</f>
        <v>167.03000000000003</v>
      </c>
      <c r="F146" s="4">
        <f t="shared" si="225"/>
        <v>169.87</v>
      </c>
      <c r="G146" s="4">
        <f t="shared" si="225"/>
        <v>171.42999999999995</v>
      </c>
      <c r="H146" s="4">
        <f t="shared" si="225"/>
        <v>169.46999999999997</v>
      </c>
      <c r="I146" s="4">
        <f t="shared" si="225"/>
        <v>165.70999999999998</v>
      </c>
      <c r="J146" s="4">
        <f t="shared" si="225"/>
        <v>165.41</v>
      </c>
      <c r="K146" s="4">
        <f t="shared" si="225"/>
        <v>176.76</v>
      </c>
      <c r="L146" s="4">
        <f t="shared" si="225"/>
        <v>170.83</v>
      </c>
      <c r="M146" s="4">
        <f t="shared" si="225"/>
        <v>181.46751098535285</v>
      </c>
      <c r="N146" s="4">
        <f t="shared" si="225"/>
        <v>177.46580925432758</v>
      </c>
      <c r="O146" s="4">
        <f t="shared" si="225"/>
        <v>179.18681203197667</v>
      </c>
      <c r="P146" s="4">
        <f t="shared" si="225"/>
        <v>180.9480575939582</v>
      </c>
      <c r="Q146" s="4">
        <f t="shared" si="225"/>
        <v>182.75012972066327</v>
      </c>
      <c r="R146" s="4">
        <f t="shared" si="225"/>
        <v>184.59362801311107</v>
      </c>
      <c r="S146" s="4">
        <f t="shared" si="225"/>
        <v>186.47916811999488</v>
      </c>
      <c r="T146" s="4">
        <f t="shared" si="225"/>
        <v>188.4073819713295</v>
      </c>
      <c r="U146" s="4">
        <f t="shared" si="225"/>
        <v>190.37891801879317</v>
      </c>
      <c r="V146" s="4">
        <f t="shared" si="225"/>
        <v>192.39444148285875</v>
      </c>
      <c r="W146" s="4">
        <f t="shared" si="225"/>
        <v>194.45463460681225</v>
      </c>
      <c r="X146" s="4">
        <f t="shared" si="225"/>
        <v>196.56019691775992</v>
      </c>
      <c r="Y146" s="4">
        <f t="shared" si="225"/>
        <v>198.71184549472764</v>
      </c>
      <c r="Z146" s="4">
        <f t="shared" si="225"/>
        <v>200.91031524395962</v>
      </c>
      <c r="AA146" s="4">
        <f t="shared" si="225"/>
        <v>203.15635918152594</v>
      </c>
      <c r="AB146" s="4">
        <f t="shared" si="225"/>
        <v>205.45074872335277</v>
      </c>
      <c r="AC146" s="4">
        <f t="shared" si="225"/>
        <v>207.79427398279017</v>
      </c>
      <c r="AD146" s="4">
        <f t="shared" si="225"/>
        <v>210.1877440758376</v>
      </c>
      <c r="AE146" s="4">
        <f t="shared" si="225"/>
        <v>212.63198743414955</v>
      </c>
      <c r="AF146" s="4">
        <f t="shared" si="225"/>
        <v>215.12785212594639</v>
      </c>
      <c r="AG146" s="4">
        <f t="shared" si="225"/>
        <v>217.67620618495994</v>
      </c>
      <c r="AH146" s="4">
        <f t="shared" si="225"/>
        <v>220.27793794754621</v>
      </c>
      <c r="AI146" s="4">
        <f t="shared" si="225"/>
        <v>222.93395639810072</v>
      </c>
      <c r="AJ146" s="4">
        <f t="shared" si="225"/>
        <v>225.64519152291606</v>
      </c>
      <c r="AK146" s="4">
        <f t="shared" si="225"/>
        <v>228.41259467262392</v>
      </c>
      <c r="AL146" s="4">
        <f t="shared" si="225"/>
        <v>231.2371389333687</v>
      </c>
      <c r="AM146" s="4">
        <f t="shared" si="225"/>
        <v>234.11981950686211</v>
      </c>
      <c r="AN146" s="4">
        <f t="shared" si="225"/>
        <v>237.06165409947278</v>
      </c>
      <c r="AO146" s="4">
        <f t="shared" si="225"/>
        <v>240.06368332050818</v>
      </c>
      <c r="AP146" s="4">
        <f t="shared" si="225"/>
        <v>243.12697108985046</v>
      </c>
      <c r="AQ146" s="4">
        <f t="shared" si="225"/>
        <v>246.25260505511096</v>
      </c>
      <c r="AR146" s="4">
        <f t="shared" si="225"/>
        <v>249.44169701847323</v>
      </c>
      <c r="AS146" s="4">
        <f t="shared" si="225"/>
        <v>252.69538337339708</v>
      </c>
      <c r="AT146" s="4">
        <f t="shared" si="225"/>
        <v>256.01482555136158</v>
      </c>
      <c r="AU146" s="4">
        <f t="shared" si="225"/>
        <v>259.40121047882809</v>
      </c>
      <c r="AV146" s="4">
        <f t="shared" si="225"/>
        <v>262.85575104460941</v>
      </c>
      <c r="AW146" s="4">
        <f t="shared" si="225"/>
        <v>266.37968657783483</v>
      </c>
      <c r="AX146" s="4">
        <f t="shared" si="225"/>
        <v>269.97428333670621</v>
      </c>
      <c r="AY146" s="4">
        <f t="shared" si="225"/>
        <v>273.64083500824296</v>
      </c>
      <c r="AZ146" s="4">
        <f t="shared" si="225"/>
        <v>277.38066321922082</v>
      </c>
      <c r="BA146" s="4">
        <f t="shared" si="225"/>
        <v>281.19511805851158</v>
      </c>
      <c r="BB146" s="4">
        <f t="shared" si="225"/>
        <v>285.08557861103759</v>
      </c>
      <c r="BC146" s="4">
        <f t="shared" si="225"/>
        <v>289.05345350355776</v>
      </c>
      <c r="BD146" s="4">
        <f t="shared" si="225"/>
        <v>293.10018146250928</v>
      </c>
      <c r="BE146" s="4">
        <f t="shared" si="225"/>
        <v>297.22723188413119</v>
      </c>
      <c r="BF146" s="4">
        <f t="shared" si="225"/>
        <v>301.43610541710382</v>
      </c>
      <c r="BG146" s="4">
        <f t="shared" si="225"/>
        <v>305.72833455794165</v>
      </c>
      <c r="BH146" s="4">
        <f t="shared" si="225"/>
        <v>310.10548425938225</v>
      </c>
      <c r="BI146" s="4">
        <f t="shared" si="225"/>
        <v>314.56915255202239</v>
      </c>
    </row>
    <row r="147" spans="1:61" x14ac:dyDescent="0.3">
      <c r="A147" s="11">
        <f t="shared" si="219"/>
        <v>250.93412124861396</v>
      </c>
      <c r="B147">
        <v>1</v>
      </c>
      <c r="C147" t="s">
        <v>188</v>
      </c>
      <c r="D147" s="4">
        <f>D123</f>
        <v>163.96</v>
      </c>
      <c r="E147" s="4">
        <f t="shared" ref="E147:BI147" si="226">E123</f>
        <v>167.03000000000003</v>
      </c>
      <c r="F147" s="4">
        <f t="shared" si="226"/>
        <v>169.87</v>
      </c>
      <c r="G147" s="4">
        <f t="shared" si="226"/>
        <v>171.42999999999995</v>
      </c>
      <c r="H147" s="4">
        <f t="shared" si="226"/>
        <v>169.46999999999997</v>
      </c>
      <c r="I147" s="4">
        <f t="shared" si="226"/>
        <v>165.70999999999998</v>
      </c>
      <c r="J147" s="4">
        <f t="shared" si="226"/>
        <v>165.41</v>
      </c>
      <c r="K147" s="4">
        <f t="shared" si="226"/>
        <v>176.76</v>
      </c>
      <c r="L147" s="4">
        <f t="shared" si="226"/>
        <v>170.83</v>
      </c>
      <c r="M147" s="4">
        <f t="shared" si="226"/>
        <v>181.46751098535285</v>
      </c>
      <c r="N147" s="4">
        <f t="shared" si="226"/>
        <v>177.46580925432758</v>
      </c>
      <c r="O147" s="4">
        <f t="shared" si="226"/>
        <v>178.05107871447186</v>
      </c>
      <c r="P147" s="4">
        <f t="shared" si="226"/>
        <v>178.68130620585279</v>
      </c>
      <c r="Q147" s="4">
        <f t="shared" si="226"/>
        <v>179.35592863625376</v>
      </c>
      <c r="R147" s="4">
        <f t="shared" si="226"/>
        <v>180.07443007752875</v>
      </c>
      <c r="S147" s="4">
        <f t="shared" si="226"/>
        <v>180.83634005147795</v>
      </c>
      <c r="T147" s="4">
        <f t="shared" si="226"/>
        <v>181.64123189876025</v>
      </c>
      <c r="U147" s="4">
        <f t="shared" si="226"/>
        <v>182.48872122725305</v>
      </c>
      <c r="V147" s="4">
        <f t="shared" si="226"/>
        <v>183.37846443643363</v>
      </c>
      <c r="W147" s="4">
        <f t="shared" si="226"/>
        <v>184.31015731450981</v>
      </c>
      <c r="X147" s="4">
        <f t="shared" si="226"/>
        <v>185.28353370517553</v>
      </c>
      <c r="Y147" s="4">
        <f t="shared" si="226"/>
        <v>186.29836424100961</v>
      </c>
      <c r="Z147" s="4">
        <f t="shared" si="226"/>
        <v>187.35445514066939</v>
      </c>
      <c r="AA147" s="4">
        <f t="shared" si="226"/>
        <v>188.4516470671613</v>
      </c>
      <c r="AB147" s="4">
        <f t="shared" si="226"/>
        <v>189.5898140445932</v>
      </c>
      <c r="AC147" s="4">
        <f t="shared" si="226"/>
        <v>190.76886243093151</v>
      </c>
      <c r="AD147" s="4">
        <f t="shared" si="226"/>
        <v>191.98872994439878</v>
      </c>
      <c r="AE147" s="4">
        <f t="shared" si="226"/>
        <v>193.24938474125517</v>
      </c>
      <c r="AF147" s="4">
        <f t="shared" si="226"/>
        <v>194.55082454280961</v>
      </c>
      <c r="AG147" s="4">
        <f t="shared" si="226"/>
        <v>195.89307580960633</v>
      </c>
      <c r="AH147" s="4">
        <f t="shared" si="226"/>
        <v>197.27619296082472</v>
      </c>
      <c r="AI147" s="4">
        <f t="shared" si="226"/>
        <v>198.70025763702168</v>
      </c>
      <c r="AJ147" s="4">
        <f t="shared" si="226"/>
        <v>200.16537800443064</v>
      </c>
      <c r="AK147" s="4">
        <f t="shared" si="226"/>
        <v>201.67168809911476</v>
      </c>
      <c r="AL147" s="4">
        <f t="shared" si="226"/>
        <v>203.219347209349</v>
      </c>
      <c r="AM147" s="4">
        <f t="shared" si="226"/>
        <v>204.80853929468142</v>
      </c>
      <c r="AN147" s="4">
        <f t="shared" si="226"/>
        <v>206.43947244019671</v>
      </c>
      <c r="AO147" s="4">
        <f t="shared" si="226"/>
        <v>208.11237834457131</v>
      </c>
      <c r="AP147" s="4">
        <f t="shared" si="226"/>
        <v>209.82751184057818</v>
      </c>
      <c r="AQ147" s="4">
        <f t="shared" si="226"/>
        <v>211.58515044675869</v>
      </c>
      <c r="AR147" s="4">
        <f t="shared" si="226"/>
        <v>213.38559394904217</v>
      </c>
      <c r="AS147" s="4">
        <f t="shared" si="226"/>
        <v>215.22916401114827</v>
      </c>
      <c r="AT147" s="4">
        <f t="shared" si="226"/>
        <v>217.1162038126642</v>
      </c>
      <c r="AU147" s="4">
        <f t="shared" si="226"/>
        <v>219.04707771374078</v>
      </c>
      <c r="AV147" s="4">
        <f t="shared" si="226"/>
        <v>221.02217094540018</v>
      </c>
      <c r="AW147" s="4">
        <f t="shared" si="226"/>
        <v>223.04188932449836</v>
      </c>
      <c r="AX147" s="4">
        <f t="shared" si="226"/>
        <v>225.10665899242892</v>
      </c>
      <c r="AY147" s="4">
        <f t="shared" si="226"/>
        <v>227.21692617670112</v>
      </c>
      <c r="AZ147" s="4">
        <f t="shared" si="226"/>
        <v>229.37315697456489</v>
      </c>
      <c r="BA147" s="4">
        <f t="shared" si="226"/>
        <v>231.5758371578969</v>
      </c>
      <c r="BB147" s="4">
        <f t="shared" si="226"/>
        <v>233.82547199860011</v>
      </c>
      <c r="BC147" s="4">
        <f t="shared" si="226"/>
        <v>236.12258611380585</v>
      </c>
      <c r="BD147" s="4">
        <f t="shared" si="226"/>
        <v>238.46772333020274</v>
      </c>
      <c r="BE147" s="4">
        <f t="shared" si="226"/>
        <v>240.86144656685025</v>
      </c>
      <c r="BF147" s="4">
        <f t="shared" si="226"/>
        <v>243.30433773586756</v>
      </c>
      <c r="BG147" s="4">
        <f t="shared" si="226"/>
        <v>245.7969976604183</v>
      </c>
      <c r="BH147" s="4">
        <f t="shared" si="226"/>
        <v>248.34004600944237</v>
      </c>
      <c r="BI147" s="4">
        <f t="shared" si="226"/>
        <v>250.93412124861396</v>
      </c>
    </row>
    <row r="148" spans="1:61" x14ac:dyDescent="0.3">
      <c r="A148" s="11">
        <f t="shared" si="219"/>
        <v>194.06145247647072</v>
      </c>
      <c r="C148" t="s">
        <v>211</v>
      </c>
      <c r="D148" s="3">
        <f>D135</f>
        <v>163.95999999999998</v>
      </c>
      <c r="E148" s="3">
        <f t="shared" ref="E148:BI150" si="227">E135</f>
        <v>167.03</v>
      </c>
      <c r="F148" s="3">
        <f t="shared" si="227"/>
        <v>169.87</v>
      </c>
      <c r="G148" s="3">
        <f t="shared" si="227"/>
        <v>171.42999999999998</v>
      </c>
      <c r="H148" s="3">
        <f t="shared" si="227"/>
        <v>169.47</v>
      </c>
      <c r="I148" s="3">
        <f t="shared" si="227"/>
        <v>165.70999999999998</v>
      </c>
      <c r="J148" s="3">
        <f t="shared" si="227"/>
        <v>165.41</v>
      </c>
      <c r="K148" s="3">
        <f t="shared" si="227"/>
        <v>176.76</v>
      </c>
      <c r="L148" s="3">
        <f t="shared" si="227"/>
        <v>170.83</v>
      </c>
      <c r="M148" s="3">
        <f t="shared" si="227"/>
        <v>181.46751098535287</v>
      </c>
      <c r="N148" s="3">
        <f t="shared" si="227"/>
        <v>177.46580925432758</v>
      </c>
      <c r="O148" s="3">
        <f t="shared" si="227"/>
        <v>181.48528254373994</v>
      </c>
      <c r="P148" s="3">
        <f t="shared" si="227"/>
        <v>182.98493453724183</v>
      </c>
      <c r="Q148" s="3">
        <f t="shared" si="227"/>
        <v>184.41161890338151</v>
      </c>
      <c r="R148" s="3">
        <f t="shared" si="227"/>
        <v>185.76225679300327</v>
      </c>
      <c r="S148" s="3">
        <f t="shared" si="227"/>
        <v>187.03815850064524</v>
      </c>
      <c r="T148" s="3">
        <f t="shared" si="227"/>
        <v>188.24447053396491</v>
      </c>
      <c r="U148" s="3">
        <f t="shared" si="227"/>
        <v>189.38762637054296</v>
      </c>
      <c r="V148" s="3">
        <f t="shared" si="227"/>
        <v>190.47407732443045</v>
      </c>
      <c r="W148" s="3">
        <f t="shared" si="227"/>
        <v>191.50955987883594</v>
      </c>
      <c r="X148" s="3">
        <f t="shared" si="227"/>
        <v>192.49939479000986</v>
      </c>
      <c r="Y148" s="3">
        <f t="shared" si="227"/>
        <v>193.4480343153098</v>
      </c>
      <c r="Z148" s="3">
        <f t="shared" si="227"/>
        <v>194.35802906996773</v>
      </c>
      <c r="AA148" s="3">
        <f t="shared" si="227"/>
        <v>195.22908955435267</v>
      </c>
      <c r="AB148" s="3">
        <f t="shared" si="227"/>
        <v>196.05777744583349</v>
      </c>
      <c r="AC148" s="3">
        <f t="shared" si="227"/>
        <v>196.83812164301727</v>
      </c>
      <c r="AD148" s="3">
        <f t="shared" si="227"/>
        <v>197.56325510489478</v>
      </c>
      <c r="AE148" s="3">
        <f t="shared" si="227"/>
        <v>198.22702424926314</v>
      </c>
      <c r="AF148" s="3">
        <f t="shared" si="227"/>
        <v>198.82577945992159</v>
      </c>
      <c r="AG148" s="3">
        <f t="shared" si="227"/>
        <v>199.35870849146011</v>
      </c>
      <c r="AH148" s="3">
        <f t="shared" si="227"/>
        <v>199.82734116420343</v>
      </c>
      <c r="AI148" s="3">
        <f t="shared" si="227"/>
        <v>200.23467949328199</v>
      </c>
      <c r="AJ148" s="3">
        <f t="shared" si="227"/>
        <v>200.58467219878054</v>
      </c>
      <c r="AK148" s="3">
        <f t="shared" si="227"/>
        <v>200.88157122077649</v>
      </c>
      <c r="AL148" s="3">
        <f t="shared" si="227"/>
        <v>201.12980686404882</v>
      </c>
      <c r="AM148" s="3">
        <f t="shared" si="227"/>
        <v>201.3330081642556</v>
      </c>
      <c r="AN148" s="3">
        <f t="shared" si="227"/>
        <v>201.49361597373556</v>
      </c>
      <c r="AO148" s="3">
        <f t="shared" si="227"/>
        <v>201.61241098106703</v>
      </c>
      <c r="AP148" s="3">
        <f t="shared" si="227"/>
        <v>201.68883476753052</v>
      </c>
      <c r="AQ148" s="3">
        <f t="shared" si="227"/>
        <v>201.72077302539481</v>
      </c>
      <c r="AR148" s="3">
        <f t="shared" si="227"/>
        <v>201.70482859311366</v>
      </c>
      <c r="AS148" s="3">
        <f t="shared" si="227"/>
        <v>201.63700061322803</v>
      </c>
      <c r="AT148" s="3">
        <f t="shared" si="227"/>
        <v>201.5139811065425</v>
      </c>
      <c r="AU148" s="3">
        <f t="shared" si="227"/>
        <v>201.33414695427308</v>
      </c>
      <c r="AV148" s="3">
        <f t="shared" si="227"/>
        <v>201.0978535137867</v>
      </c>
      <c r="AW148" s="3">
        <f t="shared" si="227"/>
        <v>200.80706005272793</v>
      </c>
      <c r="AX148" s="3">
        <f t="shared" si="227"/>
        <v>200.4646492190808</v>
      </c>
      <c r="AY148" s="3">
        <f t="shared" si="227"/>
        <v>200.07401817439154</v>
      </c>
      <c r="AZ148" s="3">
        <f t="shared" si="227"/>
        <v>199.63888102056049</v>
      </c>
      <c r="BA148" s="3">
        <f t="shared" si="227"/>
        <v>199.16280642365467</v>
      </c>
      <c r="BB148" s="3">
        <f t="shared" si="227"/>
        <v>198.64897476350598</v>
      </c>
      <c r="BC148" s="3">
        <f t="shared" si="227"/>
        <v>198.09963206331761</v>
      </c>
      <c r="BD148" s="3">
        <f t="shared" si="227"/>
        <v>197.51599531916861</v>
      </c>
      <c r="BE148" s="3">
        <f t="shared" si="227"/>
        <v>196.89812764472245</v>
      </c>
      <c r="BF148" s="3">
        <f t="shared" si="227"/>
        <v>196.24517563348422</v>
      </c>
      <c r="BG148" s="3">
        <f t="shared" si="227"/>
        <v>195.55569590340755</v>
      </c>
      <c r="BH148" s="3">
        <f t="shared" si="227"/>
        <v>194.82813530955298</v>
      </c>
      <c r="BI148" s="3">
        <f t="shared" si="227"/>
        <v>194.06145247647072</v>
      </c>
    </row>
    <row r="149" spans="1:61" x14ac:dyDescent="0.3">
      <c r="A149" s="11">
        <f t="shared" si="219"/>
        <v>171.04165032043448</v>
      </c>
      <c r="C149" t="s">
        <v>189</v>
      </c>
      <c r="D149" s="3">
        <f t="shared" ref="D149:S150" si="228">D136</f>
        <v>163.95999999999998</v>
      </c>
      <c r="E149" s="3">
        <f t="shared" si="228"/>
        <v>167.03</v>
      </c>
      <c r="F149" s="3">
        <f t="shared" si="228"/>
        <v>169.87</v>
      </c>
      <c r="G149" s="3">
        <f t="shared" si="228"/>
        <v>171.42999999999998</v>
      </c>
      <c r="H149" s="3">
        <f t="shared" si="228"/>
        <v>169.47</v>
      </c>
      <c r="I149" s="3">
        <f t="shared" si="228"/>
        <v>165.70999999999998</v>
      </c>
      <c r="J149" s="3">
        <f t="shared" si="228"/>
        <v>165.41</v>
      </c>
      <c r="K149" s="3">
        <f t="shared" si="228"/>
        <v>176.76</v>
      </c>
      <c r="L149" s="3">
        <f t="shared" si="228"/>
        <v>170.83</v>
      </c>
      <c r="M149" s="3">
        <f t="shared" si="228"/>
        <v>181.46751098535287</v>
      </c>
      <c r="N149" s="3">
        <f t="shared" si="228"/>
        <v>177.46580925432758</v>
      </c>
      <c r="O149" s="3">
        <f t="shared" si="228"/>
        <v>178.5792895424272</v>
      </c>
      <c r="P149" s="3">
        <f t="shared" si="228"/>
        <v>179.62438525994762</v>
      </c>
      <c r="Q149" s="3">
        <f t="shared" si="228"/>
        <v>180.59200559812385</v>
      </c>
      <c r="R149" s="3">
        <f t="shared" si="228"/>
        <v>181.4796780918806</v>
      </c>
      <c r="S149" s="3">
        <f t="shared" si="228"/>
        <v>182.28923422220856</v>
      </c>
      <c r="T149" s="3">
        <f t="shared" si="227"/>
        <v>183.02622050742369</v>
      </c>
      <c r="U149" s="3">
        <f t="shared" si="227"/>
        <v>183.69738134270258</v>
      </c>
      <c r="V149" s="3">
        <f t="shared" si="227"/>
        <v>184.30941631361702</v>
      </c>
      <c r="W149" s="3">
        <f t="shared" si="227"/>
        <v>184.86827309659881</v>
      </c>
      <c r="X149" s="3">
        <f t="shared" si="227"/>
        <v>185.37944411545084</v>
      </c>
      <c r="Y149" s="3">
        <f t="shared" si="227"/>
        <v>185.84753666948319</v>
      </c>
      <c r="Z149" s="3">
        <f t="shared" si="227"/>
        <v>186.27529303100772</v>
      </c>
      <c r="AA149" s="3">
        <f t="shared" si="227"/>
        <v>186.66271519248846</v>
      </c>
      <c r="AB149" s="3">
        <f t="shared" si="227"/>
        <v>187.00680302134768</v>
      </c>
      <c r="AC149" s="3">
        <f t="shared" si="227"/>
        <v>187.30217635794796</v>
      </c>
      <c r="AD149" s="3">
        <f t="shared" si="227"/>
        <v>187.54265746500229</v>
      </c>
      <c r="AE149" s="3">
        <f t="shared" si="227"/>
        <v>187.72280499182159</v>
      </c>
      <c r="AF149" s="3">
        <f t="shared" si="227"/>
        <v>187.83959710211786</v>
      </c>
      <c r="AG149" s="3">
        <f t="shared" si="227"/>
        <v>187.89271709433783</v>
      </c>
      <c r="AH149" s="3">
        <f t="shared" si="227"/>
        <v>187.88405553869083</v>
      </c>
      <c r="AI149" s="3">
        <f t="shared" si="227"/>
        <v>187.81686798921075</v>
      </c>
      <c r="AJ149" s="3">
        <f t="shared" si="227"/>
        <v>187.69526684242385</v>
      </c>
      <c r="AK149" s="3">
        <f t="shared" si="227"/>
        <v>187.52361021997564</v>
      </c>
      <c r="AL149" s="3">
        <f t="shared" si="227"/>
        <v>187.30638252949262</v>
      </c>
      <c r="AM149" s="3">
        <f t="shared" si="227"/>
        <v>187.04728258975734</v>
      </c>
      <c r="AN149" s="3">
        <f t="shared" si="227"/>
        <v>186.74887417267058</v>
      </c>
      <c r="AO149" s="3">
        <f t="shared" si="227"/>
        <v>186.41216297227956</v>
      </c>
      <c r="AP149" s="3">
        <f t="shared" si="227"/>
        <v>186.03691123323995</v>
      </c>
      <c r="AQ149" s="3">
        <f t="shared" si="227"/>
        <v>185.62145308487891</v>
      </c>
      <c r="AR149" s="3">
        <f t="shared" si="227"/>
        <v>185.16296227796036</v>
      </c>
      <c r="AS149" s="3">
        <f t="shared" si="227"/>
        <v>184.65808812778326</v>
      </c>
      <c r="AT149" s="3">
        <f t="shared" si="227"/>
        <v>184.10414650784716</v>
      </c>
      <c r="AU149" s="3">
        <f t="shared" si="227"/>
        <v>183.50001619068013</v>
      </c>
      <c r="AV149" s="3">
        <f t="shared" si="227"/>
        <v>182.84638728929158</v>
      </c>
      <c r="AW149" s="3">
        <f t="shared" si="227"/>
        <v>182.14539991563259</v>
      </c>
      <c r="AX149" s="3">
        <f t="shared" si="227"/>
        <v>181.40001100203202</v>
      </c>
      <c r="AY149" s="3">
        <f t="shared" si="227"/>
        <v>180.61361532193237</v>
      </c>
      <c r="AZ149" s="3">
        <f t="shared" si="227"/>
        <v>179.78986216303949</v>
      </c>
      <c r="BA149" s="3">
        <f t="shared" si="227"/>
        <v>178.93223668752839</v>
      </c>
      <c r="BB149" s="3">
        <f t="shared" si="227"/>
        <v>178.04384403094971</v>
      </c>
      <c r="BC149" s="3">
        <f t="shared" si="227"/>
        <v>177.1269253935352</v>
      </c>
      <c r="BD149" s="3">
        <f t="shared" si="227"/>
        <v>176.18278375115236</v>
      </c>
      <c r="BE149" s="3">
        <f t="shared" si="227"/>
        <v>175.21168384512353</v>
      </c>
      <c r="BF149" s="3">
        <f t="shared" si="227"/>
        <v>174.21307523878994</v>
      </c>
      <c r="BG149" s="3">
        <f t="shared" si="227"/>
        <v>173.18589124326647</v>
      </c>
      <c r="BH149" s="3">
        <f t="shared" si="227"/>
        <v>172.12897938874289</v>
      </c>
      <c r="BI149" s="3">
        <f t="shared" si="227"/>
        <v>171.04165032043448</v>
      </c>
    </row>
    <row r="150" spans="1:61" x14ac:dyDescent="0.3">
      <c r="A150" s="11">
        <f t="shared" si="219"/>
        <v>121.03074939036861</v>
      </c>
      <c r="B150">
        <v>1</v>
      </c>
      <c r="C150" t="s">
        <v>190</v>
      </c>
      <c r="D150" s="3">
        <f t="shared" si="228"/>
        <v>163.95999999999998</v>
      </c>
      <c r="E150" s="3">
        <f t="shared" si="227"/>
        <v>167.03</v>
      </c>
      <c r="F150" s="3">
        <f t="shared" si="227"/>
        <v>169.87</v>
      </c>
      <c r="G150" s="3">
        <f t="shared" si="227"/>
        <v>171.42999999999998</v>
      </c>
      <c r="H150" s="3">
        <f t="shared" si="227"/>
        <v>169.47</v>
      </c>
      <c r="I150" s="3">
        <f t="shared" si="227"/>
        <v>165.70999999999998</v>
      </c>
      <c r="J150" s="3">
        <f t="shared" si="227"/>
        <v>165.41</v>
      </c>
      <c r="K150" s="3">
        <f t="shared" si="227"/>
        <v>176.76</v>
      </c>
      <c r="L150" s="3">
        <f t="shared" si="227"/>
        <v>170.83</v>
      </c>
      <c r="M150" s="3">
        <f t="shared" si="227"/>
        <v>181.46751098535287</v>
      </c>
      <c r="N150" s="3">
        <f t="shared" si="227"/>
        <v>177.46580925432758</v>
      </c>
      <c r="O150" s="3">
        <f t="shared" si="227"/>
        <v>177.26998795199199</v>
      </c>
      <c r="P150" s="3">
        <f t="shared" si="227"/>
        <v>177.00011295625234</v>
      </c>
      <c r="Q150" s="3">
        <f t="shared" si="227"/>
        <v>176.64888242064848</v>
      </c>
      <c r="R150" s="3">
        <f t="shared" si="227"/>
        <v>176.21565869208328</v>
      </c>
      <c r="S150" s="3">
        <f t="shared" si="227"/>
        <v>175.70399743578233</v>
      </c>
      <c r="T150" s="3">
        <f t="shared" si="227"/>
        <v>175.1209311041691</v>
      </c>
      <c r="U150" s="3">
        <f t="shared" si="227"/>
        <v>174.47444911417389</v>
      </c>
      <c r="V150" s="3">
        <f t="shared" si="227"/>
        <v>173.77228765640069</v>
      </c>
      <c r="W150" s="3">
        <f t="shared" si="227"/>
        <v>173.02127318234713</v>
      </c>
      <c r="X150" s="3">
        <f t="shared" si="227"/>
        <v>172.2276274605367</v>
      </c>
      <c r="Y150" s="3">
        <f t="shared" si="227"/>
        <v>171.39658985269978</v>
      </c>
      <c r="Z150" s="3">
        <f t="shared" si="227"/>
        <v>170.53155309969645</v>
      </c>
      <c r="AA150" s="3">
        <f t="shared" si="227"/>
        <v>169.6333329723937</v>
      </c>
      <c r="AB150" s="3">
        <f t="shared" si="227"/>
        <v>168.70002485956735</v>
      </c>
      <c r="AC150" s="3">
        <f t="shared" si="227"/>
        <v>167.72766028173248</v>
      </c>
      <c r="AD150" s="3">
        <f t="shared" si="227"/>
        <v>166.71169039526546</v>
      </c>
      <c r="AE150" s="3">
        <f t="shared" si="227"/>
        <v>165.64836313320876</v>
      </c>
      <c r="AF150" s="3">
        <f t="shared" si="227"/>
        <v>164.53617092396874</v>
      </c>
      <c r="AG150" s="3">
        <f t="shared" si="227"/>
        <v>163.37601896188502</v>
      </c>
      <c r="AH150" s="3">
        <f t="shared" si="227"/>
        <v>162.17070803953754</v>
      </c>
      <c r="AI150" s="3">
        <f t="shared" si="227"/>
        <v>160.92414309096978</v>
      </c>
      <c r="AJ150" s="3">
        <f t="shared" si="227"/>
        <v>159.64085922063026</v>
      </c>
      <c r="AK150" s="3">
        <f t="shared" si="227"/>
        <v>158.32548073012228</v>
      </c>
      <c r="AL150" s="3">
        <f t="shared" si="227"/>
        <v>156.98261548438049</v>
      </c>
      <c r="AM150" s="3">
        <f t="shared" si="227"/>
        <v>155.61609454318994</v>
      </c>
      <c r="AN150" s="3">
        <f t="shared" si="227"/>
        <v>154.22870969868094</v>
      </c>
      <c r="AO150" s="3">
        <f t="shared" si="227"/>
        <v>152.82190283469996</v>
      </c>
      <c r="AP150" s="3">
        <f t="shared" si="227"/>
        <v>151.39607006476828</v>
      </c>
      <c r="AQ150" s="3">
        <f t="shared" si="227"/>
        <v>149.95045021380753</v>
      </c>
      <c r="AR150" s="3">
        <f t="shared" si="227"/>
        <v>148.48338182320035</v>
      </c>
      <c r="AS150" s="3">
        <f t="shared" si="227"/>
        <v>146.99284288328533</v>
      </c>
      <c r="AT150" s="3">
        <f t="shared" si="227"/>
        <v>145.47740615145588</v>
      </c>
      <c r="AU150" s="3">
        <f t="shared" si="227"/>
        <v>143.9369216251807</v>
      </c>
      <c r="AV150" s="3">
        <f t="shared" si="227"/>
        <v>142.3726640456276</v>
      </c>
      <c r="AW150" s="3">
        <f t="shared" si="227"/>
        <v>140.78700157096529</v>
      </c>
      <c r="AX150" s="3">
        <f t="shared" si="227"/>
        <v>139.18286930603287</v>
      </c>
      <c r="AY150" s="3">
        <f t="shared" si="227"/>
        <v>137.56345871094248</v>
      </c>
      <c r="AZ150" s="3">
        <f t="shared" si="227"/>
        <v>135.93206812329998</v>
      </c>
      <c r="BA150" s="3">
        <f t="shared" si="227"/>
        <v>134.29178302081382</v>
      </c>
      <c r="BB150" s="3">
        <f t="shared" si="227"/>
        <v>132.64532128234603</v>
      </c>
      <c r="BC150" s="3">
        <f t="shared" si="227"/>
        <v>130.99468719677009</v>
      </c>
      <c r="BD150" s="3">
        <f t="shared" si="227"/>
        <v>129.3411416792174</v>
      </c>
      <c r="BE150" s="3">
        <f t="shared" si="227"/>
        <v>127.68515560783587</v>
      </c>
      <c r="BF150" s="3">
        <f t="shared" si="227"/>
        <v>126.02659950542699</v>
      </c>
      <c r="BG150" s="3">
        <f t="shared" si="227"/>
        <v>124.36497998607882</v>
      </c>
      <c r="BH150" s="3">
        <f t="shared" si="227"/>
        <v>122.69976005147561</v>
      </c>
      <c r="BI150" s="3">
        <f t="shared" si="227"/>
        <v>121.03074939036861</v>
      </c>
    </row>
    <row r="151" spans="1:61" x14ac:dyDescent="0.3">
      <c r="A151" s="11">
        <f t="shared" si="219"/>
        <v>205.45771004618859</v>
      </c>
      <c r="B151">
        <f>SUM(B142:B150)</f>
        <v>4</v>
      </c>
      <c r="C151" s="11" t="s">
        <v>193</v>
      </c>
      <c r="D151" s="3">
        <f>(D142*$B142/$B151)+(D143*$B143/$B151)+(D144*$B144/$B151)+(D145*$B145/$B151)+(D146*$B146/$B151)+(D147*$B147/$B151)+(D148*$B148/$B151)+(D149*$B149/$B151)+(D150*$B150/$B151)</f>
        <v>163.95999999999998</v>
      </c>
      <c r="E151" s="3">
        <f t="shared" ref="E151:BI151" si="229">(E142*$B142/$B151)+(E143*$B143/$B151)+(E144*$B144/$B151)+(E145*$B145/$B151)+(E146*$B146/$B151)+(E147*$B147/$B151)+(E148*$B148/$B151)+(E149*$B149/$B151)+(E150*$B150/$B151)</f>
        <v>167.03</v>
      </c>
      <c r="F151" s="3">
        <f t="shared" si="229"/>
        <v>169.87</v>
      </c>
      <c r="G151" s="3">
        <f t="shared" si="229"/>
        <v>171.42999999999998</v>
      </c>
      <c r="H151" s="3">
        <f t="shared" si="229"/>
        <v>169.47</v>
      </c>
      <c r="I151" s="3">
        <f t="shared" si="229"/>
        <v>165.70999999999998</v>
      </c>
      <c r="J151" s="3">
        <f t="shared" si="229"/>
        <v>165.41</v>
      </c>
      <c r="K151" s="3">
        <f t="shared" si="229"/>
        <v>176.76</v>
      </c>
      <c r="L151" s="3">
        <f t="shared" si="229"/>
        <v>170.83</v>
      </c>
      <c r="M151" s="3">
        <f t="shared" si="229"/>
        <v>181.46751098535287</v>
      </c>
      <c r="N151" s="3">
        <f t="shared" si="229"/>
        <v>177.46580925432758</v>
      </c>
      <c r="O151" s="3">
        <f t="shared" si="229"/>
        <v>175.76702885585971</v>
      </c>
      <c r="P151" s="3">
        <f t="shared" si="229"/>
        <v>176.18630893336478</v>
      </c>
      <c r="Q151" s="3">
        <f t="shared" si="229"/>
        <v>176.604295235471</v>
      </c>
      <c r="R151" s="3">
        <f t="shared" si="229"/>
        <v>177.02081356602164</v>
      </c>
      <c r="S151" s="3">
        <f t="shared" si="229"/>
        <v>177.43675167512433</v>
      </c>
      <c r="T151" s="3">
        <f t="shared" si="229"/>
        <v>177.85387975764388</v>
      </c>
      <c r="U151" s="3">
        <f t="shared" si="229"/>
        <v>178.27422014938389</v>
      </c>
      <c r="V151" s="3">
        <f t="shared" si="229"/>
        <v>178.69974445096966</v>
      </c>
      <c r="W151" s="3">
        <f t="shared" si="229"/>
        <v>179.13220909017588</v>
      </c>
      <c r="X151" s="3">
        <f t="shared" si="229"/>
        <v>179.57323129464652</v>
      </c>
      <c r="Y151" s="3">
        <f t="shared" si="229"/>
        <v>180.02419438705934</v>
      </c>
      <c r="Z151" s="3">
        <f t="shared" si="229"/>
        <v>180.48603147445945</v>
      </c>
      <c r="AA151" s="3">
        <f t="shared" si="229"/>
        <v>180.95904261990029</v>
      </c>
      <c r="AB151" s="3">
        <f t="shared" si="229"/>
        <v>181.44285876377523</v>
      </c>
      <c r="AC151" s="3">
        <f t="shared" si="229"/>
        <v>181.93660564146029</v>
      </c>
      <c r="AD151" s="3">
        <f t="shared" si="229"/>
        <v>182.43927446278369</v>
      </c>
      <c r="AE151" s="3">
        <f t="shared" si="229"/>
        <v>182.95006601437029</v>
      </c>
      <c r="AF151" s="3">
        <f t="shared" si="229"/>
        <v>183.46875241964057</v>
      </c>
      <c r="AG151" s="3">
        <f t="shared" si="229"/>
        <v>183.99571904946094</v>
      </c>
      <c r="AH151" s="3">
        <f t="shared" si="229"/>
        <v>184.53183508543751</v>
      </c>
      <c r="AI151" s="3">
        <f t="shared" si="229"/>
        <v>185.07825552269634</v>
      </c>
      <c r="AJ151" s="3">
        <f t="shared" si="229"/>
        <v>185.63630255542103</v>
      </c>
      <c r="AK151" s="3">
        <f t="shared" si="229"/>
        <v>186.20733022276099</v>
      </c>
      <c r="AL151" s="3">
        <f t="shared" si="229"/>
        <v>186.7926979001268</v>
      </c>
      <c r="AM151" s="3">
        <f t="shared" si="229"/>
        <v>187.39358011698067</v>
      </c>
      <c r="AN151" s="3">
        <f t="shared" si="229"/>
        <v>188.01090086092927</v>
      </c>
      <c r="AO151" s="3">
        <f t="shared" si="229"/>
        <v>188.64525584675997</v>
      </c>
      <c r="AP151" s="3">
        <f t="shared" si="229"/>
        <v>189.29698848928078</v>
      </c>
      <c r="AQ151" s="3">
        <f t="shared" si="229"/>
        <v>189.9661619709571</v>
      </c>
      <c r="AR151" s="3">
        <f t="shared" si="229"/>
        <v>190.6526234489518</v>
      </c>
      <c r="AS151" s="3">
        <f t="shared" si="229"/>
        <v>191.35613895232186</v>
      </c>
      <c r="AT151" s="3">
        <f t="shared" si="229"/>
        <v>192.07663218365616</v>
      </c>
      <c r="AU151" s="3">
        <f t="shared" si="229"/>
        <v>192.81435511724109</v>
      </c>
      <c r="AV151" s="3">
        <f t="shared" si="229"/>
        <v>193.56992486244224</v>
      </c>
      <c r="AW151" s="3">
        <f t="shared" si="229"/>
        <v>194.34424082685314</v>
      </c>
      <c r="AX151" s="3">
        <f t="shared" si="229"/>
        <v>195.13835310067643</v>
      </c>
      <c r="AY151" s="3">
        <f t="shared" si="229"/>
        <v>195.95338481778327</v>
      </c>
      <c r="AZ151" s="3">
        <f t="shared" si="229"/>
        <v>196.79049480193856</v>
      </c>
      <c r="BA151" s="3">
        <f t="shared" si="229"/>
        <v>197.65079765470918</v>
      </c>
      <c r="BB151" s="3">
        <f t="shared" si="229"/>
        <v>198.53532509940612</v>
      </c>
      <c r="BC151" s="3">
        <f t="shared" si="229"/>
        <v>199.44493951824629</v>
      </c>
      <c r="BD151" s="3">
        <f t="shared" si="229"/>
        <v>200.38032654748497</v>
      </c>
      <c r="BE151" s="3">
        <f t="shared" si="229"/>
        <v>201.34198345866298</v>
      </c>
      <c r="BF151" s="3">
        <f t="shared" si="229"/>
        <v>202.33026663193266</v>
      </c>
      <c r="BG151" s="3">
        <f t="shared" si="229"/>
        <v>203.34545072637241</v>
      </c>
      <c r="BH151" s="3">
        <f t="shared" si="229"/>
        <v>204.38780881834822</v>
      </c>
      <c r="BI151" s="3">
        <f t="shared" si="229"/>
        <v>205.45771004618859</v>
      </c>
    </row>
    <row r="153" spans="1:61" s="7" customFormat="1" x14ac:dyDescent="0.3"/>
    <row r="155" spans="1:61" x14ac:dyDescent="0.3">
      <c r="D155">
        <v>2013</v>
      </c>
      <c r="E155">
        <v>2014</v>
      </c>
      <c r="F155">
        <v>2015</v>
      </c>
      <c r="G155">
        <v>2016</v>
      </c>
      <c r="H155">
        <v>2017</v>
      </c>
      <c r="I155">
        <v>2018</v>
      </c>
      <c r="J155">
        <v>2019</v>
      </c>
      <c r="K155">
        <v>2020</v>
      </c>
      <c r="L155">
        <v>2021</v>
      </c>
      <c r="M155">
        <v>2022</v>
      </c>
      <c r="N155">
        <v>2023</v>
      </c>
      <c r="O155">
        <v>2024</v>
      </c>
      <c r="P155">
        <v>2025</v>
      </c>
      <c r="Q155">
        <v>2026</v>
      </c>
      <c r="R155">
        <v>2027</v>
      </c>
      <c r="S155">
        <v>2028</v>
      </c>
      <c r="T155">
        <v>2029</v>
      </c>
      <c r="U155">
        <v>2030</v>
      </c>
      <c r="V155">
        <v>2031</v>
      </c>
      <c r="W155">
        <v>2032</v>
      </c>
      <c r="X155">
        <v>2033</v>
      </c>
      <c r="Y155">
        <v>2034</v>
      </c>
      <c r="Z155">
        <v>2035</v>
      </c>
      <c r="AA155">
        <v>2036</v>
      </c>
      <c r="AB155">
        <v>2037</v>
      </c>
      <c r="AC155">
        <v>2038</v>
      </c>
      <c r="AD155">
        <v>2039</v>
      </c>
      <c r="AE155">
        <v>2040</v>
      </c>
      <c r="AF155">
        <v>2041</v>
      </c>
      <c r="AG155">
        <v>2042</v>
      </c>
      <c r="AH155">
        <v>2043</v>
      </c>
      <c r="AI155">
        <v>2044</v>
      </c>
      <c r="AJ155">
        <v>2045</v>
      </c>
      <c r="AK155">
        <v>2046</v>
      </c>
      <c r="AL155">
        <v>2047</v>
      </c>
      <c r="AM155">
        <v>2048</v>
      </c>
      <c r="AN155">
        <v>2049</v>
      </c>
      <c r="AO155">
        <v>2050</v>
      </c>
      <c r="AP155">
        <v>2051</v>
      </c>
      <c r="AQ155">
        <v>2052</v>
      </c>
      <c r="AR155">
        <v>2053</v>
      </c>
      <c r="AS155">
        <v>2054</v>
      </c>
      <c r="AT155">
        <v>2055</v>
      </c>
      <c r="AU155">
        <v>2056</v>
      </c>
      <c r="AV155">
        <v>2057</v>
      </c>
      <c r="AW155">
        <v>2058</v>
      </c>
      <c r="AX155">
        <v>2059</v>
      </c>
      <c r="AY155">
        <v>2060</v>
      </c>
      <c r="AZ155">
        <v>2061</v>
      </c>
      <c r="BA155">
        <v>2062</v>
      </c>
      <c r="BB155">
        <v>2063</v>
      </c>
      <c r="BC155">
        <v>2064</v>
      </c>
      <c r="BD155">
        <v>2065</v>
      </c>
      <c r="BE155">
        <v>2066</v>
      </c>
      <c r="BF155">
        <v>2067</v>
      </c>
      <c r="BG155">
        <v>2068</v>
      </c>
      <c r="BH155">
        <v>2069</v>
      </c>
      <c r="BI155">
        <v>2070</v>
      </c>
    </row>
    <row r="156" spans="1:61" x14ac:dyDescent="0.3">
      <c r="C156" t="s">
        <v>117</v>
      </c>
      <c r="D156" s="3">
        <f>D151</f>
        <v>163.95999999999998</v>
      </c>
      <c r="E156" s="3">
        <f t="shared" ref="E156:BI156" si="230">E151</f>
        <v>167.03</v>
      </c>
      <c r="F156" s="3">
        <f t="shared" si="230"/>
        <v>169.87</v>
      </c>
      <c r="G156" s="3">
        <f t="shared" si="230"/>
        <v>171.42999999999998</v>
      </c>
      <c r="H156" s="3">
        <f t="shared" si="230"/>
        <v>169.47</v>
      </c>
      <c r="I156" s="3">
        <f t="shared" si="230"/>
        <v>165.70999999999998</v>
      </c>
      <c r="J156" s="3">
        <f t="shared" si="230"/>
        <v>165.41</v>
      </c>
      <c r="K156" s="3">
        <f t="shared" si="230"/>
        <v>176.76</v>
      </c>
      <c r="L156" s="3">
        <f t="shared" si="230"/>
        <v>170.83</v>
      </c>
      <c r="M156" s="3">
        <f t="shared" si="230"/>
        <v>181.46751098535287</v>
      </c>
      <c r="N156" s="3">
        <f t="shared" si="230"/>
        <v>177.46580925432758</v>
      </c>
      <c r="O156" s="3">
        <f t="shared" si="230"/>
        <v>175.76702885585971</v>
      </c>
      <c r="P156" s="3">
        <f t="shared" si="230"/>
        <v>176.18630893336478</v>
      </c>
      <c r="Q156" s="3">
        <f t="shared" si="230"/>
        <v>176.604295235471</v>
      </c>
      <c r="R156" s="3">
        <f t="shared" si="230"/>
        <v>177.02081356602164</v>
      </c>
      <c r="S156" s="3">
        <f t="shared" si="230"/>
        <v>177.43675167512433</v>
      </c>
      <c r="T156" s="3">
        <f t="shared" si="230"/>
        <v>177.85387975764388</v>
      </c>
      <c r="U156" s="3">
        <f t="shared" si="230"/>
        <v>178.27422014938389</v>
      </c>
      <c r="V156" s="3">
        <f t="shared" si="230"/>
        <v>178.69974445096966</v>
      </c>
      <c r="W156" s="3">
        <f t="shared" si="230"/>
        <v>179.13220909017588</v>
      </c>
      <c r="X156" s="3">
        <f t="shared" si="230"/>
        <v>179.57323129464652</v>
      </c>
      <c r="Y156" s="3">
        <f t="shared" si="230"/>
        <v>180.02419438705934</v>
      </c>
      <c r="Z156" s="3">
        <f t="shared" si="230"/>
        <v>180.48603147445945</v>
      </c>
      <c r="AA156" s="3">
        <f t="shared" si="230"/>
        <v>180.95904261990029</v>
      </c>
      <c r="AB156" s="3">
        <f t="shared" si="230"/>
        <v>181.44285876377523</v>
      </c>
      <c r="AC156" s="3">
        <f t="shared" si="230"/>
        <v>181.93660564146029</v>
      </c>
      <c r="AD156" s="3">
        <f t="shared" si="230"/>
        <v>182.43927446278369</v>
      </c>
      <c r="AE156" s="3">
        <f t="shared" si="230"/>
        <v>182.95006601437029</v>
      </c>
      <c r="AF156" s="3">
        <f t="shared" si="230"/>
        <v>183.46875241964057</v>
      </c>
      <c r="AG156" s="3">
        <f t="shared" si="230"/>
        <v>183.99571904946094</v>
      </c>
      <c r="AH156" s="3">
        <f t="shared" si="230"/>
        <v>184.53183508543751</v>
      </c>
      <c r="AI156" s="3">
        <f t="shared" si="230"/>
        <v>185.07825552269634</v>
      </c>
      <c r="AJ156" s="3">
        <f t="shared" si="230"/>
        <v>185.63630255542103</v>
      </c>
      <c r="AK156" s="3">
        <f t="shared" si="230"/>
        <v>186.20733022276099</v>
      </c>
      <c r="AL156" s="3">
        <f t="shared" si="230"/>
        <v>186.7926979001268</v>
      </c>
      <c r="AM156" s="3">
        <f t="shared" si="230"/>
        <v>187.39358011698067</v>
      </c>
      <c r="AN156" s="3">
        <f t="shared" si="230"/>
        <v>188.01090086092927</v>
      </c>
      <c r="AO156" s="3">
        <f t="shared" si="230"/>
        <v>188.64525584675997</v>
      </c>
      <c r="AP156" s="3">
        <f t="shared" si="230"/>
        <v>189.29698848928078</v>
      </c>
      <c r="AQ156" s="3">
        <f t="shared" si="230"/>
        <v>189.9661619709571</v>
      </c>
      <c r="AR156" s="3">
        <f t="shared" si="230"/>
        <v>190.6526234489518</v>
      </c>
      <c r="AS156" s="3">
        <f t="shared" si="230"/>
        <v>191.35613895232186</v>
      </c>
      <c r="AT156" s="3">
        <f t="shared" si="230"/>
        <v>192.07663218365616</v>
      </c>
      <c r="AU156" s="3">
        <f t="shared" si="230"/>
        <v>192.81435511724109</v>
      </c>
      <c r="AV156" s="3">
        <f t="shared" si="230"/>
        <v>193.56992486244224</v>
      </c>
      <c r="AW156" s="3">
        <f t="shared" si="230"/>
        <v>194.34424082685314</v>
      </c>
      <c r="AX156" s="3">
        <f t="shared" si="230"/>
        <v>195.13835310067643</v>
      </c>
      <c r="AY156" s="3">
        <f t="shared" si="230"/>
        <v>195.95338481778327</v>
      </c>
      <c r="AZ156" s="3">
        <f t="shared" si="230"/>
        <v>196.79049480193856</v>
      </c>
      <c r="BA156" s="3">
        <f t="shared" si="230"/>
        <v>197.65079765470918</v>
      </c>
      <c r="BB156" s="3">
        <f t="shared" si="230"/>
        <v>198.53532509940612</v>
      </c>
      <c r="BC156" s="3">
        <f t="shared" si="230"/>
        <v>199.44493951824629</v>
      </c>
      <c r="BD156" s="3">
        <f t="shared" si="230"/>
        <v>200.38032654748497</v>
      </c>
      <c r="BE156" s="3">
        <f t="shared" si="230"/>
        <v>201.34198345866298</v>
      </c>
      <c r="BF156" s="3">
        <f t="shared" si="230"/>
        <v>202.33026663193266</v>
      </c>
      <c r="BG156" s="3">
        <f t="shared" si="230"/>
        <v>203.34545072637241</v>
      </c>
      <c r="BH156" s="3">
        <f t="shared" si="230"/>
        <v>204.38780881834822</v>
      </c>
      <c r="BI156" s="3">
        <f t="shared" si="230"/>
        <v>205.45771004618859</v>
      </c>
    </row>
    <row r="157" spans="1:61" x14ac:dyDescent="0.3">
      <c r="D157" s="3">
        <f t="shared" ref="D157:BH157" si="231">SUM(D250:D316)</f>
        <v>163.95999999999998</v>
      </c>
      <c r="E157" s="3">
        <f t="shared" si="231"/>
        <v>167.03</v>
      </c>
      <c r="F157" s="3">
        <f t="shared" si="231"/>
        <v>169.87</v>
      </c>
      <c r="G157" s="3">
        <f t="shared" si="231"/>
        <v>171.43</v>
      </c>
      <c r="H157" s="3">
        <f t="shared" si="231"/>
        <v>169.46999999999997</v>
      </c>
      <c r="I157" s="3">
        <f t="shared" si="231"/>
        <v>165.71</v>
      </c>
      <c r="J157" s="3">
        <f t="shared" si="231"/>
        <v>165.41000000000003</v>
      </c>
      <c r="K157" s="3">
        <f t="shared" si="231"/>
        <v>176.76000000000002</v>
      </c>
      <c r="L157" s="3">
        <f t="shared" si="231"/>
        <v>170.83000000000004</v>
      </c>
      <c r="M157" s="3">
        <f t="shared" si="231"/>
        <v>181.46751098535287</v>
      </c>
      <c r="N157" s="3">
        <f t="shared" si="231"/>
        <v>177.46580925432755</v>
      </c>
      <c r="O157" s="3">
        <f t="shared" si="231"/>
        <v>175.76702885585971</v>
      </c>
      <c r="P157" s="3">
        <f t="shared" si="231"/>
        <v>176.18630893336478</v>
      </c>
      <c r="Q157" s="3">
        <f t="shared" si="231"/>
        <v>176.60429523547097</v>
      </c>
      <c r="R157" s="3">
        <f t="shared" si="231"/>
        <v>177.02081356602164</v>
      </c>
      <c r="S157" s="3">
        <f t="shared" si="231"/>
        <v>177.43675167512436</v>
      </c>
      <c r="T157" s="3">
        <f t="shared" si="231"/>
        <v>177.85387975764388</v>
      </c>
      <c r="U157" s="3">
        <f t="shared" si="231"/>
        <v>178.27422014938389</v>
      </c>
      <c r="V157" s="3">
        <f t="shared" si="231"/>
        <v>178.69974445096969</v>
      </c>
      <c r="W157" s="3">
        <f t="shared" si="231"/>
        <v>179.13220909017588</v>
      </c>
      <c r="X157" s="3">
        <f t="shared" si="231"/>
        <v>179.57323129464652</v>
      </c>
      <c r="Y157" s="3">
        <f t="shared" si="231"/>
        <v>180.02419438705934</v>
      </c>
      <c r="Z157" s="3">
        <f t="shared" si="231"/>
        <v>180.48603147445945</v>
      </c>
      <c r="AA157" s="3">
        <f t="shared" si="231"/>
        <v>180.95904261990029</v>
      </c>
      <c r="AB157" s="3">
        <f t="shared" si="231"/>
        <v>181.44285876377523</v>
      </c>
      <c r="AC157" s="3">
        <f t="shared" si="231"/>
        <v>181.93660564146029</v>
      </c>
      <c r="AD157" s="3">
        <f t="shared" si="231"/>
        <v>182.43927446278369</v>
      </c>
      <c r="AE157" s="3">
        <f t="shared" si="231"/>
        <v>182.95006601437029</v>
      </c>
      <c r="AF157" s="3">
        <f t="shared" si="231"/>
        <v>183.46875241964057</v>
      </c>
      <c r="AG157" s="3">
        <f t="shared" si="231"/>
        <v>183.99571904946089</v>
      </c>
      <c r="AH157" s="3">
        <f t="shared" si="231"/>
        <v>184.53183508543751</v>
      </c>
      <c r="AI157" s="3">
        <f t="shared" si="231"/>
        <v>185.07825552269637</v>
      </c>
      <c r="AJ157" s="3">
        <f t="shared" si="231"/>
        <v>185.63630255542103</v>
      </c>
      <c r="AK157" s="3">
        <f t="shared" si="231"/>
        <v>186.20733022276102</v>
      </c>
      <c r="AL157" s="3">
        <f t="shared" si="231"/>
        <v>186.7926979001268</v>
      </c>
      <c r="AM157" s="3">
        <f t="shared" si="231"/>
        <v>187.39358011698067</v>
      </c>
      <c r="AN157" s="3">
        <f t="shared" si="231"/>
        <v>188.01090086092927</v>
      </c>
      <c r="AO157" s="3">
        <f t="shared" si="231"/>
        <v>188.64525584676002</v>
      </c>
      <c r="AP157" s="3">
        <f t="shared" si="231"/>
        <v>189.29698848928078</v>
      </c>
      <c r="AQ157" s="3">
        <f t="shared" si="231"/>
        <v>189.96616197095713</v>
      </c>
      <c r="AR157" s="3">
        <f t="shared" si="231"/>
        <v>190.65262344895183</v>
      </c>
      <c r="AS157" s="3">
        <f t="shared" si="231"/>
        <v>191.35613895232186</v>
      </c>
      <c r="AT157" s="3">
        <f t="shared" si="231"/>
        <v>192.07663218365616</v>
      </c>
      <c r="AU157" s="3">
        <f t="shared" si="231"/>
        <v>192.81435511724109</v>
      </c>
      <c r="AV157" s="3">
        <f t="shared" si="231"/>
        <v>193.56992486244224</v>
      </c>
      <c r="AW157" s="3">
        <f t="shared" si="231"/>
        <v>194.34424082685314</v>
      </c>
      <c r="AX157" s="3">
        <f t="shared" si="231"/>
        <v>195.1383531006764</v>
      </c>
      <c r="AY157" s="3">
        <f t="shared" si="231"/>
        <v>195.95338481778327</v>
      </c>
      <c r="AZ157" s="3">
        <f t="shared" si="231"/>
        <v>196.79049480193856</v>
      </c>
      <c r="BA157" s="3">
        <f t="shared" si="231"/>
        <v>197.65079765470918</v>
      </c>
      <c r="BB157" s="3">
        <f t="shared" si="231"/>
        <v>198.53532509940612</v>
      </c>
      <c r="BC157" s="3">
        <f t="shared" si="231"/>
        <v>199.44493951824629</v>
      </c>
      <c r="BD157" s="3">
        <f t="shared" si="231"/>
        <v>200.38032654748497</v>
      </c>
      <c r="BE157" s="3">
        <f t="shared" si="231"/>
        <v>201.34198345866304</v>
      </c>
      <c r="BF157" s="3">
        <f t="shared" si="231"/>
        <v>202.33026663193266</v>
      </c>
      <c r="BG157" s="3">
        <f t="shared" si="231"/>
        <v>203.34545072637241</v>
      </c>
      <c r="BH157" s="3">
        <f t="shared" si="231"/>
        <v>204.38780881834825</v>
      </c>
      <c r="BI157" s="3">
        <f t="shared" ref="BI157" si="232">SUM(BI250:BI316)</f>
        <v>205.45771004618859</v>
      </c>
    </row>
    <row r="158" spans="1:61" collapsed="1" x14ac:dyDescent="0.3">
      <c r="A158" t="s">
        <v>165</v>
      </c>
    </row>
    <row r="159" spans="1:61" hidden="1" outlineLevel="1" x14ac:dyDescent="0.3">
      <c r="C159" t="s">
        <v>69</v>
      </c>
      <c r="D159" s="4">
        <f t="shared" ref="D159:D166" si="233">D16</f>
        <v>18.057621489621493</v>
      </c>
      <c r="E159" s="4">
        <f t="shared" ref="E159:N159" si="234">E16</f>
        <v>18.75020617320947</v>
      </c>
      <c r="F159" s="4">
        <f t="shared" si="234"/>
        <v>19.30546471040644</v>
      </c>
      <c r="G159" s="4">
        <f t="shared" si="234"/>
        <v>20.229398871006481</v>
      </c>
      <c r="H159" s="4">
        <f t="shared" si="234"/>
        <v>20.106779971624494</v>
      </c>
      <c r="I159" s="4">
        <f t="shared" si="234"/>
        <v>19.417350447904763</v>
      </c>
      <c r="J159" s="4">
        <f t="shared" si="234"/>
        <v>19.955043300457056</v>
      </c>
      <c r="K159" s="4">
        <f t="shared" si="234"/>
        <v>21.198074257425741</v>
      </c>
      <c r="L159" s="4">
        <f t="shared" si="234"/>
        <v>21.21</v>
      </c>
      <c r="M159" s="4">
        <f t="shared" si="234"/>
        <v>22.530737622193609</v>
      </c>
      <c r="N159" s="4">
        <f t="shared" si="234"/>
        <v>22.033892257122798</v>
      </c>
      <c r="O159" s="4">
        <f t="shared" ref="O159:BI159" si="235">O115/O$123*O$156</f>
        <v>22.125244864651005</v>
      </c>
      <c r="P159" s="4">
        <f t="shared" si="235"/>
        <v>22.479796950641568</v>
      </c>
      <c r="Q159" s="4">
        <f t="shared" si="235"/>
        <v>22.83436466796422</v>
      </c>
      <c r="R159" s="4">
        <f t="shared" si="235"/>
        <v>23.18887892048043</v>
      </c>
      <c r="S159" s="4">
        <f t="shared" si="235"/>
        <v>23.543411910545959</v>
      </c>
      <c r="T159" s="4">
        <f t="shared" si="235"/>
        <v>23.898161864469884</v>
      </c>
      <c r="U159" s="4">
        <f t="shared" si="235"/>
        <v>24.253374505746748</v>
      </c>
      <c r="V159" s="4">
        <f t="shared" si="235"/>
        <v>24.609303210315794</v>
      </c>
      <c r="W159" s="4">
        <f t="shared" si="235"/>
        <v>24.966185410428775</v>
      </c>
      <c r="X159" s="4">
        <f t="shared" si="235"/>
        <v>25.32425127939613</v>
      </c>
      <c r="Y159" s="4">
        <f t="shared" si="235"/>
        <v>25.683708842933736</v>
      </c>
      <c r="Z159" s="4">
        <f t="shared" si="235"/>
        <v>26.044710632673468</v>
      </c>
      <c r="AA159" s="4">
        <f t="shared" si="235"/>
        <v>26.407323146733376</v>
      </c>
      <c r="AB159" s="4">
        <f t="shared" si="235"/>
        <v>26.771516248793997</v>
      </c>
      <c r="AC159" s="4">
        <f t="shared" si="235"/>
        <v>27.137182135873282</v>
      </c>
      <c r="AD159" s="4">
        <f t="shared" si="235"/>
        <v>27.504187144272759</v>
      </c>
      <c r="AE159" s="4">
        <f t="shared" si="235"/>
        <v>27.87242311995174</v>
      </c>
      <c r="AF159" s="4">
        <f t="shared" si="235"/>
        <v>28.241864799834328</v>
      </c>
      <c r="AG159" s="4">
        <f t="shared" si="235"/>
        <v>28.612580849003695</v>
      </c>
      <c r="AH159" s="4">
        <f t="shared" si="235"/>
        <v>28.98471830573385</v>
      </c>
      <c r="AI159" s="4">
        <f t="shared" si="235"/>
        <v>29.358474863329363</v>
      </c>
      <c r="AJ159" s="4">
        <f t="shared" si="235"/>
        <v>29.734081966486578</v>
      </c>
      <c r="AK159" s="4">
        <f t="shared" si="235"/>
        <v>30.111784069577268</v>
      </c>
      <c r="AL159" s="4">
        <f t="shared" si="235"/>
        <v>30.49183440067058</v>
      </c>
      <c r="AM159" s="4">
        <f t="shared" si="235"/>
        <v>30.874463514993572</v>
      </c>
      <c r="AN159" s="4">
        <f t="shared" si="235"/>
        <v>31.259866825362533</v>
      </c>
      <c r="AO159" s="4">
        <f t="shared" si="235"/>
        <v>31.648189550562769</v>
      </c>
      <c r="AP159" s="4">
        <f t="shared" si="235"/>
        <v>32.039537021883895</v>
      </c>
      <c r="AQ159" s="4">
        <f t="shared" si="235"/>
        <v>32.433967973442478</v>
      </c>
      <c r="AR159" s="4">
        <f t="shared" si="235"/>
        <v>32.831503491850299</v>
      </c>
      <c r="AS159" s="4">
        <f t="shared" si="235"/>
        <v>33.232148848323462</v>
      </c>
      <c r="AT159" s="4">
        <f t="shared" si="235"/>
        <v>33.635934734614118</v>
      </c>
      <c r="AU159" s="4">
        <f t="shared" si="235"/>
        <v>34.042948535942948</v>
      </c>
      <c r="AV159" s="4">
        <f t="shared" si="235"/>
        <v>34.453343244068755</v>
      </c>
      <c r="AW159" s="4">
        <f t="shared" si="235"/>
        <v>34.867325162014055</v>
      </c>
      <c r="AX159" s="4">
        <f t="shared" si="235"/>
        <v>35.285132033855646</v>
      </c>
      <c r="AY159" s="4">
        <f t="shared" si="235"/>
        <v>35.707019862367098</v>
      </c>
      <c r="AZ159" s="4">
        <f t="shared" si="235"/>
        <v>36.133256453497722</v>
      </c>
      <c r="BA159" s="4">
        <f t="shared" si="235"/>
        <v>36.56410676778836</v>
      </c>
      <c r="BB159" s="4">
        <f t="shared" si="235"/>
        <v>36.999825298264298</v>
      </c>
      <c r="BC159" s="4">
        <f t="shared" si="235"/>
        <v>37.440639165462912</v>
      </c>
      <c r="BD159" s="4">
        <f t="shared" si="235"/>
        <v>37.886745473029357</v>
      </c>
      <c r="BE159" s="4">
        <f t="shared" si="235"/>
        <v>38.338307827922968</v>
      </c>
      <c r="BF159" s="4">
        <f t="shared" si="235"/>
        <v>38.795464126286745</v>
      </c>
      <c r="BG159" s="4">
        <f t="shared" si="235"/>
        <v>39.258337003071588</v>
      </c>
      <c r="BH159" s="4">
        <f t="shared" si="235"/>
        <v>39.72704884439932</v>
      </c>
      <c r="BI159" s="4">
        <f t="shared" si="235"/>
        <v>40.201740863027553</v>
      </c>
    </row>
    <row r="160" spans="1:61" hidden="1" outlineLevel="1" x14ac:dyDescent="0.3">
      <c r="C160" t="s">
        <v>65</v>
      </c>
      <c r="D160" s="4">
        <f t="shared" si="233"/>
        <v>29.729010989010995</v>
      </c>
      <c r="E160" s="4">
        <f t="shared" ref="E160:N160" si="236">E17</f>
        <v>30.893292178603538</v>
      </c>
      <c r="F160" s="4">
        <f t="shared" si="236"/>
        <v>31.807285688930964</v>
      </c>
      <c r="G160" s="4">
        <f t="shared" si="236"/>
        <v>33.303870405957234</v>
      </c>
      <c r="H160" s="4">
        <f t="shared" si="236"/>
        <v>33.120585244738706</v>
      </c>
      <c r="I160" s="4">
        <f t="shared" si="236"/>
        <v>31.990309024228935</v>
      </c>
      <c r="J160" s="4">
        <f t="shared" si="236"/>
        <v>32.877077820543654</v>
      </c>
      <c r="K160" s="4">
        <f t="shared" si="236"/>
        <v>34.925413366336635</v>
      </c>
      <c r="L160" s="4">
        <f t="shared" si="236"/>
        <v>34.94</v>
      </c>
      <c r="M160" s="4">
        <f t="shared" si="236"/>
        <v>37.115698845801255</v>
      </c>
      <c r="N160" s="4">
        <f t="shared" si="236"/>
        <v>36.29722750890479</v>
      </c>
      <c r="O160" s="4">
        <f t="shared" ref="O160:BI160" si="237">O116/O$123*O$156</f>
        <v>36.452032749768001</v>
      </c>
      <c r="P160" s="4">
        <f t="shared" si="237"/>
        <v>37.04055487992072</v>
      </c>
      <c r="Q160" s="4">
        <f t="shared" si="237"/>
        <v>37.629241664473511</v>
      </c>
      <c r="R160" s="4">
        <f t="shared" si="237"/>
        <v>38.217979258722572</v>
      </c>
      <c r="S160" s="4">
        <f t="shared" si="237"/>
        <v>38.806886668013568</v>
      </c>
      <c r="T160" s="4">
        <f t="shared" si="237"/>
        <v>39.396290705458846</v>
      </c>
      <c r="U160" s="4">
        <f t="shared" si="237"/>
        <v>39.986596647711913</v>
      </c>
      <c r="V160" s="4">
        <f t="shared" si="237"/>
        <v>40.578222581486841</v>
      </c>
      <c r="W160" s="4">
        <f t="shared" si="237"/>
        <v>41.171560498872054</v>
      </c>
      <c r="X160" s="4">
        <f t="shared" si="237"/>
        <v>41.76699060546872</v>
      </c>
      <c r="Y160" s="4">
        <f t="shared" si="237"/>
        <v>42.364856754766514</v>
      </c>
      <c r="Z160" s="4">
        <f t="shared" si="237"/>
        <v>42.965411415560546</v>
      </c>
      <c r="AA160" s="4">
        <f t="shared" si="237"/>
        <v>43.568765231564221</v>
      </c>
      <c r="AB160" s="4">
        <f t="shared" si="237"/>
        <v>44.174869445122802</v>
      </c>
      <c r="AC160" s="4">
        <f t="shared" si="237"/>
        <v>44.783547104661139</v>
      </c>
      <c r="AD160" s="4">
        <f t="shared" si="237"/>
        <v>45.394578492450819</v>
      </c>
      <c r="AE160" s="4">
        <f t="shared" si="237"/>
        <v>46.007785894132141</v>
      </c>
      <c r="AF160" s="4">
        <f t="shared" si="237"/>
        <v>46.623128351642727</v>
      </c>
      <c r="AG160" s="4">
        <f t="shared" si="237"/>
        <v>47.240719967156203</v>
      </c>
      <c r="AH160" s="4">
        <f t="shared" si="237"/>
        <v>47.86080430988531</v>
      </c>
      <c r="AI160" s="4">
        <f t="shared" si="237"/>
        <v>48.48370871790442</v>
      </c>
      <c r="AJ160" s="4">
        <f t="shared" si="237"/>
        <v>49.109816429100285</v>
      </c>
      <c r="AK160" s="4">
        <f t="shared" si="237"/>
        <v>49.7395323524511</v>
      </c>
      <c r="AL160" s="4">
        <f t="shared" si="237"/>
        <v>50.373276082864095</v>
      </c>
      <c r="AM160" s="4">
        <f t="shared" si="237"/>
        <v>51.011429953189804</v>
      </c>
      <c r="AN160" s="4">
        <f t="shared" si="237"/>
        <v>51.654318407176731</v>
      </c>
      <c r="AO160" s="4">
        <f t="shared" si="237"/>
        <v>52.302183090645656</v>
      </c>
      <c r="AP160" s="4">
        <f t="shared" si="237"/>
        <v>52.955199837135233</v>
      </c>
      <c r="AQ160" s="4">
        <f t="shared" si="237"/>
        <v>53.613467537773637</v>
      </c>
      <c r="AR160" s="4">
        <f t="shared" si="237"/>
        <v>54.277022891275976</v>
      </c>
      <c r="AS160" s="4">
        <f t="shared" si="237"/>
        <v>54.945876464206037</v>
      </c>
      <c r="AT160" s="4">
        <f t="shared" si="237"/>
        <v>55.620080862863851</v>
      </c>
      <c r="AU160" s="4">
        <f t="shared" si="237"/>
        <v>56.299782476946113</v>
      </c>
      <c r="AV160" s="4">
        <f t="shared" si="237"/>
        <v>56.985236277139862</v>
      </c>
      <c r="AW160" s="4">
        <f t="shared" si="237"/>
        <v>57.676785540821861</v>
      </c>
      <c r="AX160" s="4">
        <f t="shared" si="237"/>
        <v>58.374825722798491</v>
      </c>
      <c r="AY160" s="4">
        <f t="shared" si="237"/>
        <v>59.079782675016347</v>
      </c>
      <c r="AZ160" s="4">
        <f t="shared" si="237"/>
        <v>59.792101982127903</v>
      </c>
      <c r="BA160" s="4">
        <f t="shared" si="237"/>
        <v>60.512224730260051</v>
      </c>
      <c r="BB160" s="4">
        <f t="shared" si="237"/>
        <v>61.24057488849261</v>
      </c>
      <c r="BC160" s="4">
        <f t="shared" si="237"/>
        <v>61.977531314937515</v>
      </c>
      <c r="BD160" s="4">
        <f t="shared" si="237"/>
        <v>62.723423352020291</v>
      </c>
      <c r="BE160" s="4">
        <f t="shared" si="237"/>
        <v>63.478525035447674</v>
      </c>
      <c r="BF160" s="4">
        <f t="shared" si="237"/>
        <v>64.243067954363809</v>
      </c>
      <c r="BG160" s="4">
        <f t="shared" si="237"/>
        <v>65.017258532204579</v>
      </c>
      <c r="BH160" s="4">
        <f t="shared" si="237"/>
        <v>65.801302877265272</v>
      </c>
      <c r="BI160" s="4">
        <f t="shared" si="237"/>
        <v>66.595438381588039</v>
      </c>
    </row>
    <row r="161" spans="1:61" hidden="1" outlineLevel="1" x14ac:dyDescent="0.3">
      <c r="C161" t="s">
        <v>171</v>
      </c>
      <c r="D161" s="4">
        <f t="shared" si="233"/>
        <v>5.5253919413919412</v>
      </c>
      <c r="E161" s="4">
        <f t="shared" ref="E161:N161" si="238">E18</f>
        <v>5.7361816002397363</v>
      </c>
      <c r="F161" s="4">
        <f t="shared" si="238"/>
        <v>5.9092208483701132</v>
      </c>
      <c r="G161" s="4">
        <f t="shared" si="238"/>
        <v>6.1975054047561837</v>
      </c>
      <c r="H161" s="4">
        <f t="shared" si="238"/>
        <v>6.1612703948924086</v>
      </c>
      <c r="I161" s="4">
        <f t="shared" si="238"/>
        <v>5.9477466482294226</v>
      </c>
      <c r="J161" s="4">
        <f t="shared" si="238"/>
        <v>6.1078746692326193</v>
      </c>
      <c r="K161" s="4">
        <f t="shared" si="238"/>
        <v>6.4972425742574265</v>
      </c>
      <c r="L161" s="4">
        <f t="shared" si="238"/>
        <v>6.49</v>
      </c>
      <c r="M161" s="4">
        <f t="shared" si="238"/>
        <v>6.8941295223025234</v>
      </c>
      <c r="N161" s="4">
        <f t="shared" si="238"/>
        <v>6.7421009311045248</v>
      </c>
      <c r="O161" s="4">
        <f t="shared" ref="O161:BI161" si="239">O117/O$123*O$156</f>
        <v>6.7704455315052607</v>
      </c>
      <c r="P161" s="4">
        <f t="shared" si="239"/>
        <v>6.8793385266895895</v>
      </c>
      <c r="Q161" s="4">
        <f t="shared" si="239"/>
        <v>6.9882488875623245</v>
      </c>
      <c r="R161" s="4">
        <f t="shared" si="239"/>
        <v>7.0971554685793095</v>
      </c>
      <c r="S161" s="4">
        <f t="shared" si="239"/>
        <v>7.2060803674209479</v>
      </c>
      <c r="T161" s="4">
        <f t="shared" si="239"/>
        <v>7.3150842620610685</v>
      </c>
      <c r="U161" s="4">
        <f t="shared" si="239"/>
        <v>7.4242423839658818</v>
      </c>
      <c r="V161" s="4">
        <f t="shared" si="239"/>
        <v>7.533632324655068</v>
      </c>
      <c r="W161" s="4">
        <f t="shared" si="239"/>
        <v>7.6433268124933056</v>
      </c>
      <c r="X161" s="4">
        <f t="shared" si="239"/>
        <v>7.7533963702446451</v>
      </c>
      <c r="Y161" s="4">
        <f t="shared" si="239"/>
        <v>7.863904755785267</v>
      </c>
      <c r="Z161" s="4">
        <f t="shared" si="239"/>
        <v>7.9748987494377204</v>
      </c>
      <c r="AA161" s="4">
        <f t="shared" si="239"/>
        <v>8.0863987973314462</v>
      </c>
      <c r="AB161" s="4">
        <f t="shared" si="239"/>
        <v>8.198395757398659</v>
      </c>
      <c r="AC161" s="4">
        <f t="shared" si="239"/>
        <v>8.3108566997587072</v>
      </c>
      <c r="AD161" s="4">
        <f t="shared" si="239"/>
        <v>8.4237407665046717</v>
      </c>
      <c r="AE161" s="4">
        <f t="shared" si="239"/>
        <v>8.537014903587675</v>
      </c>
      <c r="AF161" s="4">
        <f t="shared" si="239"/>
        <v>8.6506714393533368</v>
      </c>
      <c r="AG161" s="4">
        <f t="shared" si="239"/>
        <v>8.7647314728498689</v>
      </c>
      <c r="AH161" s="4">
        <f t="shared" si="239"/>
        <v>8.8792401170119906</v>
      </c>
      <c r="AI161" s="4">
        <f t="shared" si="239"/>
        <v>8.9942580138778485</v>
      </c>
      <c r="AJ161" s="4">
        <f t="shared" si="239"/>
        <v>9.1098561601853252</v>
      </c>
      <c r="AK161" s="4">
        <f t="shared" si="239"/>
        <v>9.226109555201722</v>
      </c>
      <c r="AL161" s="4">
        <f t="shared" si="239"/>
        <v>9.3430959039206947</v>
      </c>
      <c r="AM161" s="4">
        <f t="shared" si="239"/>
        <v>9.4608859816550588</v>
      </c>
      <c r="AN161" s="4">
        <f t="shared" si="239"/>
        <v>9.5795398107480541</v>
      </c>
      <c r="AO161" s="4">
        <f t="shared" si="239"/>
        <v>9.6991020446456702</v>
      </c>
      <c r="AP161" s="4">
        <f t="shared" si="239"/>
        <v>9.8196051222352327</v>
      </c>
      <c r="AQ161" s="4">
        <f t="shared" si="239"/>
        <v>9.9410672077815949</v>
      </c>
      <c r="AR161" s="4">
        <f t="shared" si="239"/>
        <v>10.063494930042786</v>
      </c>
      <c r="AS161" s="4">
        <f t="shared" si="239"/>
        <v>10.186890071285038</v>
      </c>
      <c r="AT161" s="4">
        <f t="shared" si="239"/>
        <v>10.311262206958959</v>
      </c>
      <c r="AU161" s="4">
        <f t="shared" si="239"/>
        <v>10.436638295381687</v>
      </c>
      <c r="AV161" s="4">
        <f t="shared" si="239"/>
        <v>10.563065415428676</v>
      </c>
      <c r="AW161" s="4">
        <f t="shared" si="239"/>
        <v>10.690607002523583</v>
      </c>
      <c r="AX161" s="4">
        <f t="shared" si="239"/>
        <v>10.819336147396816</v>
      </c>
      <c r="AY161" s="4">
        <f t="shared" si="239"/>
        <v>10.94933155659097</v>
      </c>
      <c r="AZ161" s="4">
        <f t="shared" si="239"/>
        <v>11.08067557442428</v>
      </c>
      <c r="BA161" s="4">
        <f t="shared" si="239"/>
        <v>11.213449691625112</v>
      </c>
      <c r="BB161" s="4">
        <f t="shared" si="239"/>
        <v>11.347732207405491</v>
      </c>
      <c r="BC161" s="4">
        <f t="shared" si="239"/>
        <v>11.483593043531897</v>
      </c>
      <c r="BD161" s="4">
        <f t="shared" si="239"/>
        <v>11.621092930773885</v>
      </c>
      <c r="BE161" s="4">
        <f t="shared" si="239"/>
        <v>11.760282338814779</v>
      </c>
      <c r="BF161" s="4">
        <f t="shared" si="239"/>
        <v>11.90120386173529</v>
      </c>
      <c r="BG161" s="4">
        <f t="shared" si="239"/>
        <v>12.043895421527838</v>
      </c>
      <c r="BH161" s="4">
        <f t="shared" si="239"/>
        <v>12.188394872587578</v>
      </c>
      <c r="BI161" s="4">
        <f t="shared" si="239"/>
        <v>12.334745854448364</v>
      </c>
    </row>
    <row r="162" spans="1:61" hidden="1" outlineLevel="1" x14ac:dyDescent="0.3">
      <c r="C162" t="s">
        <v>209</v>
      </c>
      <c r="D162" s="4">
        <f t="shared" si="233"/>
        <v>13.383059829059832</v>
      </c>
      <c r="E162" s="4">
        <f t="shared" ref="E162:N162" si="240">E19</f>
        <v>14.595729097992207</v>
      </c>
      <c r="F162" s="4">
        <f t="shared" si="240"/>
        <v>15.617226527835298</v>
      </c>
      <c r="G162" s="4">
        <f t="shared" si="240"/>
        <v>13.259779005524859</v>
      </c>
      <c r="H162" s="4">
        <f t="shared" si="240"/>
        <v>12.873548711279263</v>
      </c>
      <c r="I162" s="4">
        <f t="shared" si="240"/>
        <v>10.919146275476461</v>
      </c>
      <c r="J162" s="4">
        <f t="shared" si="240"/>
        <v>9.8680971854702904</v>
      </c>
      <c r="K162" s="4">
        <f t="shared" si="240"/>
        <v>9.2208341584158404</v>
      </c>
      <c r="L162" s="4">
        <f t="shared" si="240"/>
        <v>9.94</v>
      </c>
      <c r="M162" s="4">
        <f t="shared" si="240"/>
        <v>10.558959545714496</v>
      </c>
      <c r="N162" s="4">
        <f t="shared" si="240"/>
        <v>10.326114523140058</v>
      </c>
      <c r="O162" s="4">
        <f t="shared" ref="O162:BI162" si="241">O118/O$123*O$156</f>
        <v>9.7390915206121473</v>
      </c>
      <c r="P162" s="4">
        <f t="shared" si="241"/>
        <v>9.2941010634588466</v>
      </c>
      <c r="Q162" s="4">
        <f t="shared" si="241"/>
        <v>8.8672424736737163</v>
      </c>
      <c r="R162" s="4">
        <f t="shared" si="241"/>
        <v>8.4579292910914443</v>
      </c>
      <c r="S162" s="4">
        <f t="shared" si="241"/>
        <v>8.0656308922307005</v>
      </c>
      <c r="T162" s="4">
        <f t="shared" si="241"/>
        <v>7.689853854442628</v>
      </c>
      <c r="U162" s="4">
        <f t="shared" si="241"/>
        <v>7.3301085497670515</v>
      </c>
      <c r="V162" s="4">
        <f t="shared" si="241"/>
        <v>6.9858972823747729</v>
      </c>
      <c r="W162" s="4">
        <f t="shared" si="241"/>
        <v>6.6567111943742425</v>
      </c>
      <c r="X162" s="4">
        <f t="shared" si="241"/>
        <v>6.3420371725836047</v>
      </c>
      <c r="Y162" s="4">
        <f t="shared" si="241"/>
        <v>6.0413577273147991</v>
      </c>
      <c r="Z162" s="4">
        <f t="shared" si="241"/>
        <v>5.7541475803145081</v>
      </c>
      <c r="AA162" s="4">
        <f t="shared" si="241"/>
        <v>5.4798728923732938</v>
      </c>
      <c r="AB162" s="4">
        <f t="shared" si="241"/>
        <v>5.2179957282215712</v>
      </c>
      <c r="AC162" s="4">
        <f t="shared" si="241"/>
        <v>4.9679835047558081</v>
      </c>
      <c r="AD162" s="4">
        <f t="shared" si="241"/>
        <v>4.7293216846692907</v>
      </c>
      <c r="AE162" s="4">
        <f t="shared" si="241"/>
        <v>4.501522368575543</v>
      </c>
      <c r="AF162" s="4">
        <f t="shared" si="241"/>
        <v>4.284130596188958</v>
      </c>
      <c r="AG162" s="4">
        <f t="shared" si="241"/>
        <v>4.0767211811774242</v>
      </c>
      <c r="AH162" s="4">
        <f t="shared" si="241"/>
        <v>3.8788921653600843</v>
      </c>
      <c r="AI162" s="4">
        <f t="shared" si="241"/>
        <v>3.6902582375866491</v>
      </c>
      <c r="AJ162" s="4">
        <f t="shared" si="241"/>
        <v>3.5104472156346302</v>
      </c>
      <c r="AK162" s="4">
        <f t="shared" si="241"/>
        <v>3.3390970791522814</v>
      </c>
      <c r="AL162" s="4">
        <f t="shared" si="241"/>
        <v>3.1758556611274078</v>
      </c>
      <c r="AM162" s="4">
        <f t="shared" si="241"/>
        <v>3.0203777948067208</v>
      </c>
      <c r="AN162" s="4">
        <f t="shared" si="241"/>
        <v>2.8723252609357659</v>
      </c>
      <c r="AO162" s="4">
        <f t="shared" si="241"/>
        <v>2.7313667015422185</v>
      </c>
      <c r="AP162" s="4">
        <f t="shared" si="241"/>
        <v>2.5971798013817642</v>
      </c>
      <c r="AQ162" s="4">
        <f t="shared" si="241"/>
        <v>2.4694515719216308</v>
      </c>
      <c r="AR162" s="4">
        <f t="shared" si="241"/>
        <v>2.3478797320855542</v>
      </c>
      <c r="AS162" s="4">
        <f t="shared" si="241"/>
        <v>2.2321745138779407</v>
      </c>
      <c r="AT162" s="4">
        <f t="shared" si="241"/>
        <v>2.1220610167396203</v>
      </c>
      <c r="AU162" s="4">
        <f t="shared" si="241"/>
        <v>2.0172799855694961</v>
      </c>
      <c r="AV162" s="4">
        <f t="shared" si="241"/>
        <v>1.9175867828301818</v>
      </c>
      <c r="AW162" s="4">
        <f t="shared" si="241"/>
        <v>1.8227492740458673</v>
      </c>
      <c r="AX162" s="4">
        <f t="shared" si="241"/>
        <v>1.7325456811677178</v>
      </c>
      <c r="AY162" s="4">
        <f t="shared" si="241"/>
        <v>1.646763368846677</v>
      </c>
      <c r="AZ162" s="4">
        <f t="shared" si="241"/>
        <v>1.5651982061178915</v>
      </c>
      <c r="BA162" s="4">
        <f t="shared" si="241"/>
        <v>1.487653717225937</v>
      </c>
      <c r="BB162" s="4">
        <f t="shared" si="241"/>
        <v>1.4139407208495003</v>
      </c>
      <c r="BC162" s="4">
        <f t="shared" si="241"/>
        <v>1.3438767120862625</v>
      </c>
      <c r="BD162" s="4">
        <f t="shared" si="241"/>
        <v>1.2772859048478085</v>
      </c>
      <c r="BE162" s="4">
        <f t="shared" si="241"/>
        <v>1.2139992117651079</v>
      </c>
      <c r="BF162" s="4">
        <f t="shared" si="241"/>
        <v>1.1538545364025923</v>
      </c>
      <c r="BG162" s="4">
        <f t="shared" si="241"/>
        <v>1.096696996456902</v>
      </c>
      <c r="BH162" s="4">
        <f t="shared" si="241"/>
        <v>1.0423791236951436</v>
      </c>
      <c r="BI162" s="4">
        <f t="shared" si="241"/>
        <v>0.99076100665071909</v>
      </c>
    </row>
    <row r="163" spans="1:61" hidden="1" outlineLevel="1" x14ac:dyDescent="0.3">
      <c r="C163" t="s">
        <v>210</v>
      </c>
      <c r="D163" s="4">
        <f t="shared" si="233"/>
        <v>1.7617191697191701</v>
      </c>
      <c r="E163" s="4">
        <f t="shared" ref="E163:N163" si="242">E20</f>
        <v>1.8219634402157627</v>
      </c>
      <c r="F163" s="4">
        <f t="shared" si="242"/>
        <v>1.8792930249068216</v>
      </c>
      <c r="G163" s="4">
        <f t="shared" si="242"/>
        <v>1.9663181599807829</v>
      </c>
      <c r="H163" s="4">
        <f t="shared" si="242"/>
        <v>1.9435552139985808</v>
      </c>
      <c r="I163" s="4">
        <f t="shared" si="242"/>
        <v>1.8829549690374554</v>
      </c>
      <c r="J163" s="4">
        <f t="shared" si="242"/>
        <v>1.9298496511907626</v>
      </c>
      <c r="K163" s="4">
        <f t="shared" si="242"/>
        <v>2.0563663366336633</v>
      </c>
      <c r="L163" s="4">
        <f t="shared" si="242"/>
        <v>2.06</v>
      </c>
      <c r="M163" s="4">
        <f t="shared" si="242"/>
        <v>2.1882753183271491</v>
      </c>
      <c r="N163" s="4">
        <f t="shared" si="242"/>
        <v>2.1400197100270142</v>
      </c>
      <c r="O163" s="4">
        <f t="shared" ref="O163:BI163" si="243">O119/O$123*O$156</f>
        <v>2.1457057778085744</v>
      </c>
      <c r="P163" s="4">
        <f t="shared" si="243"/>
        <v>2.176857507270578</v>
      </c>
      <c r="Q163" s="4">
        <f t="shared" si="243"/>
        <v>2.2079136441179004</v>
      </c>
      <c r="R163" s="4">
        <f t="shared" si="243"/>
        <v>2.2388677299325659</v>
      </c>
      <c r="S163" s="4">
        <f t="shared" si="243"/>
        <v>2.2697269674757181</v>
      </c>
      <c r="T163" s="4">
        <f t="shared" si="243"/>
        <v>2.3005106491709344</v>
      </c>
      <c r="U163" s="4">
        <f t="shared" si="243"/>
        <v>2.3312425192939012</v>
      </c>
      <c r="V163" s="4">
        <f t="shared" si="243"/>
        <v>2.3619469163328484</v>
      </c>
      <c r="W163" s="4">
        <f t="shared" si="243"/>
        <v>2.3926465067157543</v>
      </c>
      <c r="X163" s="4">
        <f t="shared" si="243"/>
        <v>2.4233631277457968</v>
      </c>
      <c r="Y163" s="4">
        <f t="shared" si="243"/>
        <v>2.4541163706175522</v>
      </c>
      <c r="Z163" s="4">
        <f t="shared" si="243"/>
        <v>2.4849204150077129</v>
      </c>
      <c r="AA163" s="4">
        <f t="shared" si="243"/>
        <v>2.5157811593250767</v>
      </c>
      <c r="AB163" s="4">
        <f t="shared" si="243"/>
        <v>2.5466952733612014</v>
      </c>
      <c r="AC163" s="4">
        <f t="shared" si="243"/>
        <v>2.5776520682539519</v>
      </c>
      <c r="AD163" s="4">
        <f t="shared" si="243"/>
        <v>2.6086384646588137</v>
      </c>
      <c r="AE163" s="4">
        <f t="shared" si="243"/>
        <v>2.6396438757104961</v>
      </c>
      <c r="AF163" s="4">
        <f t="shared" si="243"/>
        <v>2.6706656150384331</v>
      </c>
      <c r="AG163" s="4">
        <f t="shared" si="243"/>
        <v>2.7017098805963156</v>
      </c>
      <c r="AH163" s="4">
        <f t="shared" si="243"/>
        <v>2.7327902222676634</v>
      </c>
      <c r="AI163" s="4">
        <f t="shared" si="243"/>
        <v>2.7639248777205125</v>
      </c>
      <c r="AJ163" s="4">
        <f t="shared" si="243"/>
        <v>2.7951351483350386</v>
      </c>
      <c r="AK163" s="4">
        <f t="shared" si="243"/>
        <v>2.8264434291638598</v>
      </c>
      <c r="AL163" s="4">
        <f t="shared" si="243"/>
        <v>2.857872803331813</v>
      </c>
      <c r="AM163" s="4">
        <f t="shared" si="243"/>
        <v>2.8894440934558978</v>
      </c>
      <c r="AN163" s="4">
        <f t="shared" si="243"/>
        <v>2.9211747126362884</v>
      </c>
      <c r="AO163" s="4">
        <f t="shared" si="243"/>
        <v>2.9530772848131726</v>
      </c>
      <c r="AP163" s="4">
        <f t="shared" si="243"/>
        <v>2.9851606401580377</v>
      </c>
      <c r="AQ163" s="4">
        <f t="shared" si="243"/>
        <v>3.0174292186964808</v>
      </c>
      <c r="AR163" s="4">
        <f t="shared" si="243"/>
        <v>3.049883934036882</v>
      </c>
      <c r="AS163" s="4">
        <f t="shared" si="243"/>
        <v>3.0825242244990325</v>
      </c>
      <c r="AT163" s="4">
        <f t="shared" si="243"/>
        <v>3.1153518832869982</v>
      </c>
      <c r="AU163" s="4">
        <f t="shared" si="243"/>
        <v>3.1483739332311917</v>
      </c>
      <c r="AV163" s="4">
        <f t="shared" si="243"/>
        <v>3.1816034110484521</v>
      </c>
      <c r="AW163" s="4">
        <f t="shared" si="243"/>
        <v>3.2150581888657053</v>
      </c>
      <c r="AX163" s="4">
        <f t="shared" si="243"/>
        <v>3.2487589244500739</v>
      </c>
      <c r="AY163" s="4">
        <f t="shared" si="243"/>
        <v>3.2827278282338974</v>
      </c>
      <c r="AZ163" s="4">
        <f t="shared" si="243"/>
        <v>3.3169880587317526</v>
      </c>
      <c r="BA163" s="4">
        <f t="shared" si="243"/>
        <v>3.3515623722861432</v>
      </c>
      <c r="BB163" s="4">
        <f t="shared" si="243"/>
        <v>3.3864724279040743</v>
      </c>
      <c r="BC163" s="4">
        <f t="shared" si="243"/>
        <v>3.4217372499199605</v>
      </c>
      <c r="BD163" s="4">
        <f t="shared" si="243"/>
        <v>3.4573730057259109</v>
      </c>
      <c r="BE163" s="4">
        <f t="shared" si="243"/>
        <v>3.4933927094441977</v>
      </c>
      <c r="BF163" s="4">
        <f t="shared" si="243"/>
        <v>3.5298069533359686</v>
      </c>
      <c r="BG163" s="4">
        <f t="shared" si="243"/>
        <v>3.5666248748079568</v>
      </c>
      <c r="BH163" s="4">
        <f t="shared" si="243"/>
        <v>3.6038555288054233</v>
      </c>
      <c r="BI163" s="4">
        <f t="shared" si="243"/>
        <v>3.6415096160815197</v>
      </c>
    </row>
    <row r="164" spans="1:61" hidden="1" outlineLevel="1" x14ac:dyDescent="0.3">
      <c r="C164" t="s">
        <v>166</v>
      </c>
      <c r="D164" s="4">
        <f t="shared" si="233"/>
        <v>2.7827155067155074</v>
      </c>
      <c r="E164" s="4">
        <f t="shared" ref="E164:N164" si="244">E21</f>
        <v>2.8831069823194486</v>
      </c>
      <c r="F164" s="4">
        <f t="shared" si="244"/>
        <v>2.9747098148257711</v>
      </c>
      <c r="G164" s="4">
        <f t="shared" si="244"/>
        <v>3.1193424213307703</v>
      </c>
      <c r="H164" s="4">
        <f t="shared" si="244"/>
        <v>3.0956626862142342</v>
      </c>
      <c r="I164" s="4">
        <f t="shared" si="244"/>
        <v>2.9987801358744659</v>
      </c>
      <c r="J164" s="4">
        <f t="shared" si="244"/>
        <v>3.0738326918450802</v>
      </c>
      <c r="K164" s="4">
        <f t="shared" si="244"/>
        <v>3.2704975247524755</v>
      </c>
      <c r="L164" s="4">
        <f t="shared" si="244"/>
        <v>3.2699999999999996</v>
      </c>
      <c r="M164" s="4">
        <f t="shared" si="244"/>
        <v>3.473621500451348</v>
      </c>
      <c r="N164" s="4">
        <f t="shared" si="244"/>
        <v>3.3970215785380269</v>
      </c>
      <c r="O164" s="4">
        <f t="shared" ref="O164:BI164" si="245">O120/O$123*O$156</f>
        <v>3.4107938838567105</v>
      </c>
      <c r="P164" s="4">
        <f t="shared" si="245"/>
        <v>3.4651343637705212</v>
      </c>
      <c r="Q164" s="4">
        <f t="shared" si="245"/>
        <v>3.519467291493366</v>
      </c>
      <c r="R164" s="4">
        <f t="shared" si="245"/>
        <v>3.5737820188969533</v>
      </c>
      <c r="S164" s="4">
        <f t="shared" si="245"/>
        <v>3.6280896761434271</v>
      </c>
      <c r="T164" s="4">
        <f t="shared" si="245"/>
        <v>3.6824208081100505</v>
      </c>
      <c r="U164" s="4">
        <f t="shared" si="245"/>
        <v>3.7368132665866929</v>
      </c>
      <c r="V164" s="4">
        <f t="shared" si="245"/>
        <v>3.7913060684585691</v>
      </c>
      <c r="W164" s="4">
        <f t="shared" si="245"/>
        <v>3.8459357602858302</v>
      </c>
      <c r="X164" s="4">
        <f t="shared" si="245"/>
        <v>3.9007377571555026</v>
      </c>
      <c r="Y164" s="4">
        <f t="shared" si="245"/>
        <v>3.955744050080356</v>
      </c>
      <c r="Z164" s="4">
        <f t="shared" si="245"/>
        <v>4.0109780720826844</v>
      </c>
      <c r="AA164" s="4">
        <f t="shared" si="245"/>
        <v>4.0664499993514962</v>
      </c>
      <c r="AB164" s="4">
        <f t="shared" si="245"/>
        <v>4.1221551250170734</v>
      </c>
      <c r="AC164" s="4">
        <f t="shared" si="245"/>
        <v>4.1780767862553194</v>
      </c>
      <c r="AD164" s="4">
        <f t="shared" si="245"/>
        <v>4.234194345135383</v>
      </c>
      <c r="AE164" s="4">
        <f t="shared" si="245"/>
        <v>4.2904910980433391</v>
      </c>
      <c r="AF164" s="4">
        <f t="shared" si="245"/>
        <v>4.3469631059665588</v>
      </c>
      <c r="AG164" s="4">
        <f t="shared" si="245"/>
        <v>4.4036208873419689</v>
      </c>
      <c r="AH164" s="4">
        <f t="shared" si="245"/>
        <v>4.460487017680177</v>
      </c>
      <c r="AI164" s="4">
        <f t="shared" si="245"/>
        <v>4.5175918588694781</v>
      </c>
      <c r="AJ164" s="4">
        <f t="shared" si="245"/>
        <v>4.5749709547735167</v>
      </c>
      <c r="AK164" s="4">
        <f t="shared" si="245"/>
        <v>4.6326618377725399</v>
      </c>
      <c r="AL164" s="4">
        <f t="shared" si="245"/>
        <v>4.690703376211137</v>
      </c>
      <c r="AM164" s="4">
        <f t="shared" si="245"/>
        <v>4.7491309366565524</v>
      </c>
      <c r="AN164" s="4">
        <f t="shared" si="245"/>
        <v>4.807974467593457</v>
      </c>
      <c r="AO164" s="4">
        <f t="shared" si="245"/>
        <v>4.8672561870696782</v>
      </c>
      <c r="AP164" s="4">
        <f t="shared" si="245"/>
        <v>4.9269921711499522</v>
      </c>
      <c r="AQ164" s="4">
        <f t="shared" si="245"/>
        <v>4.9871913250109534</v>
      </c>
      <c r="AR164" s="4">
        <f t="shared" si="245"/>
        <v>5.047856762231941</v>
      </c>
      <c r="AS164" s="4">
        <f t="shared" si="245"/>
        <v>5.1089891638293583</v>
      </c>
      <c r="AT164" s="4">
        <f t="shared" si="245"/>
        <v>5.1705931182502924</v>
      </c>
      <c r="AU164" s="4">
        <f t="shared" si="245"/>
        <v>5.2326819264944247</v>
      </c>
      <c r="AV164" s="4">
        <f t="shared" si="245"/>
        <v>5.2952789680192831</v>
      </c>
      <c r="AW164" s="4">
        <f t="shared" si="245"/>
        <v>5.358415806593861</v>
      </c>
      <c r="AX164" s="4">
        <f t="shared" si="245"/>
        <v>5.422128825846702</v>
      </c>
      <c r="AY164" s="4">
        <f t="shared" si="245"/>
        <v>5.4864572015642787</v>
      </c>
      <c r="AZ164" s="4">
        <f t="shared" si="245"/>
        <v>5.5514419085985454</v>
      </c>
      <c r="BA164" s="4">
        <f t="shared" si="245"/>
        <v>5.6171234696677725</v>
      </c>
      <c r="BB164" s="4">
        <f t="shared" si="245"/>
        <v>5.6835407847283541</v>
      </c>
      <c r="BC164" s="4">
        <f t="shared" si="245"/>
        <v>5.7507285351785997</v>
      </c>
      <c r="BD164" s="4">
        <f t="shared" si="245"/>
        <v>5.8187167796507469</v>
      </c>
      <c r="BE164" s="4">
        <f t="shared" si="245"/>
        <v>5.8875304217362281</v>
      </c>
      <c r="BF164" s="4">
        <f t="shared" si="245"/>
        <v>5.9571904078886417</v>
      </c>
      <c r="BG164" s="4">
        <f t="shared" si="245"/>
        <v>6.0277153336626981</v>
      </c>
      <c r="BH164" s="4">
        <f t="shared" si="245"/>
        <v>6.0991237495706123</v>
      </c>
      <c r="BI164" s="4">
        <f t="shared" si="245"/>
        <v>6.1714370894079273</v>
      </c>
    </row>
    <row r="165" spans="1:61" hidden="1" outlineLevel="1" x14ac:dyDescent="0.3">
      <c r="C165" t="s">
        <v>75</v>
      </c>
      <c r="D165" s="4">
        <f t="shared" si="233"/>
        <v>32.241462759462756</v>
      </c>
      <c r="E165" s="4">
        <f t="shared" ref="E165:N165" si="246">E22</f>
        <v>32.44496433922685</v>
      </c>
      <c r="F165" s="4">
        <f t="shared" si="246"/>
        <v>32.812255220966698</v>
      </c>
      <c r="G165" s="4">
        <f t="shared" si="246"/>
        <v>33.427408719673309</v>
      </c>
      <c r="H165" s="4">
        <f t="shared" si="246"/>
        <v>32.920218727831639</v>
      </c>
      <c r="I165" s="4">
        <f t="shared" si="246"/>
        <v>33.504643179222029</v>
      </c>
      <c r="J165" s="4">
        <f t="shared" si="246"/>
        <v>33.344618715419777</v>
      </c>
      <c r="K165" s="4">
        <f t="shared" si="246"/>
        <v>36.71926485148515</v>
      </c>
      <c r="L165" s="4">
        <f t="shared" si="246"/>
        <v>34.74</v>
      </c>
      <c r="M165" s="4">
        <f t="shared" si="246"/>
        <v>36.903244931400565</v>
      </c>
      <c r="N165" s="4">
        <f t="shared" si="246"/>
        <v>36.08945860501867</v>
      </c>
      <c r="O165" s="4">
        <f t="shared" ref="O165:BI165" si="247">O121/O$123*O$156</f>
        <v>35.829474469787087</v>
      </c>
      <c r="P165" s="4">
        <f t="shared" si="247"/>
        <v>35.992162691852293</v>
      </c>
      <c r="Q165" s="4">
        <f t="shared" si="247"/>
        <v>36.146620408236004</v>
      </c>
      <c r="R165" s="4">
        <f t="shared" si="247"/>
        <v>36.292904471316774</v>
      </c>
      <c r="S165" s="4">
        <f t="shared" si="247"/>
        <v>36.431292594205345</v>
      </c>
      <c r="T165" s="4">
        <f t="shared" si="247"/>
        <v>36.562247526300666</v>
      </c>
      <c r="U165" s="4">
        <f t="shared" si="247"/>
        <v>36.686287558289159</v>
      </c>
      <c r="V165" s="4">
        <f t="shared" si="247"/>
        <v>36.803923298476683</v>
      </c>
      <c r="W165" s="4">
        <f t="shared" si="247"/>
        <v>36.91562264432158</v>
      </c>
      <c r="X165" s="4">
        <f t="shared" si="247"/>
        <v>37.021825322678893</v>
      </c>
      <c r="Y165" s="4">
        <f t="shared" si="247"/>
        <v>37.122922439820847</v>
      </c>
      <c r="Z165" s="4">
        <f t="shared" si="247"/>
        <v>37.219211082980003</v>
      </c>
      <c r="AA165" s="4">
        <f t="shared" si="247"/>
        <v>37.310856048542362</v>
      </c>
      <c r="AB165" s="4">
        <f t="shared" si="247"/>
        <v>37.397882188446843</v>
      </c>
      <c r="AC165" s="4">
        <f t="shared" si="247"/>
        <v>37.4802083601014</v>
      </c>
      <c r="AD165" s="4">
        <f t="shared" si="247"/>
        <v>37.557724179719976</v>
      </c>
      <c r="AE165" s="4">
        <f t="shared" si="247"/>
        <v>37.630361185689409</v>
      </c>
      <c r="AF165" s="4">
        <f t="shared" si="247"/>
        <v>37.698167258692337</v>
      </c>
      <c r="AG165" s="4">
        <f t="shared" si="247"/>
        <v>37.76131475620447</v>
      </c>
      <c r="AH165" s="4">
        <f t="shared" si="247"/>
        <v>37.820073177156644</v>
      </c>
      <c r="AI165" s="4">
        <f t="shared" si="247"/>
        <v>37.874767750046765</v>
      </c>
      <c r="AJ165" s="4">
        <f t="shared" si="247"/>
        <v>37.925754433313003</v>
      </c>
      <c r="AK165" s="4">
        <f t="shared" si="247"/>
        <v>37.973391657414247</v>
      </c>
      <c r="AL165" s="4">
        <f t="shared" si="247"/>
        <v>38.018034495748651</v>
      </c>
      <c r="AM165" s="4">
        <f t="shared" si="247"/>
        <v>38.059995673343423</v>
      </c>
      <c r="AN165" s="4">
        <f t="shared" si="247"/>
        <v>38.099532345848431</v>
      </c>
      <c r="AO165" s="4">
        <f t="shared" si="247"/>
        <v>38.136830735304372</v>
      </c>
      <c r="AP165" s="4">
        <f t="shared" si="247"/>
        <v>38.17202211774547</v>
      </c>
      <c r="AQ165" s="4">
        <f t="shared" si="247"/>
        <v>38.205177811559011</v>
      </c>
      <c r="AR165" s="4">
        <f t="shared" si="247"/>
        <v>38.2363228433451</v>
      </c>
      <c r="AS165" s="4">
        <f t="shared" si="247"/>
        <v>38.265463632123392</v>
      </c>
      <c r="AT165" s="4">
        <f t="shared" si="247"/>
        <v>38.292635973266194</v>
      </c>
      <c r="AU165" s="4">
        <f t="shared" si="247"/>
        <v>38.317938589450719</v>
      </c>
      <c r="AV165" s="4">
        <f t="shared" si="247"/>
        <v>38.341539466880903</v>
      </c>
      <c r="AW165" s="4">
        <f t="shared" si="247"/>
        <v>38.363658305530876</v>
      </c>
      <c r="AX165" s="4">
        <f t="shared" si="247"/>
        <v>38.384539608377203</v>
      </c>
      <c r="AY165" s="4">
        <f t="shared" si="247"/>
        <v>38.404436836221002</v>
      </c>
      <c r="AZ165" s="4">
        <f t="shared" si="247"/>
        <v>38.423604736757085</v>
      </c>
      <c r="BA165" s="4">
        <f t="shared" si="247"/>
        <v>38.442283555986336</v>
      </c>
      <c r="BB165" s="4">
        <f t="shared" si="247"/>
        <v>38.460691614696756</v>
      </c>
      <c r="BC165" s="4">
        <f t="shared" si="247"/>
        <v>38.479008868650716</v>
      </c>
      <c r="BD165" s="4">
        <f t="shared" si="247"/>
        <v>38.497376109253885</v>
      </c>
      <c r="BE165" s="4">
        <f t="shared" si="247"/>
        <v>38.515893446409173</v>
      </c>
      <c r="BF165" s="4">
        <f t="shared" si="247"/>
        <v>38.53463015400304</v>
      </c>
      <c r="BG165" s="4">
        <f t="shared" si="247"/>
        <v>38.553636537445215</v>
      </c>
      <c r="BH165" s="4">
        <f t="shared" si="247"/>
        <v>38.572959482652564</v>
      </c>
      <c r="BI165" s="4">
        <f t="shared" si="247"/>
        <v>38.592660885218123</v>
      </c>
    </row>
    <row r="166" spans="1:61" hidden="1" outlineLevel="1" x14ac:dyDescent="0.3">
      <c r="C166" t="s">
        <v>62</v>
      </c>
      <c r="D166" s="4">
        <f t="shared" si="233"/>
        <v>60.479018315018322</v>
      </c>
      <c r="E166" s="4">
        <f t="shared" ref="E166:N166" si="248">E23</f>
        <v>59.904556188192984</v>
      </c>
      <c r="F166" s="4">
        <f t="shared" si="248"/>
        <v>59.564544163757922</v>
      </c>
      <c r="G166" s="4">
        <f t="shared" si="248"/>
        <v>59.926377011770334</v>
      </c>
      <c r="H166" s="4">
        <f t="shared" si="248"/>
        <v>59.248379049420656</v>
      </c>
      <c r="I166" s="4">
        <f t="shared" si="248"/>
        <v>59.049069320026447</v>
      </c>
      <c r="J166" s="4">
        <f t="shared" si="248"/>
        <v>58.253605965840741</v>
      </c>
      <c r="K166" s="4">
        <f t="shared" si="248"/>
        <v>62.872306930693071</v>
      </c>
      <c r="L166" s="4">
        <f t="shared" si="248"/>
        <v>58.18</v>
      </c>
      <c r="M166" s="4">
        <f t="shared" si="248"/>
        <v>61.802843699161912</v>
      </c>
      <c r="N166" s="4">
        <f t="shared" si="248"/>
        <v>60.439974140471683</v>
      </c>
      <c r="O166" s="4">
        <f t="shared" ref="O166:BI166" si="249">O122/O$123*O$156</f>
        <v>59.294240057870901</v>
      </c>
      <c r="P166" s="4">
        <f t="shared" si="249"/>
        <v>58.858362949760682</v>
      </c>
      <c r="Q166" s="4">
        <f t="shared" si="249"/>
        <v>58.411196197949955</v>
      </c>
      <c r="R166" s="4">
        <f t="shared" si="249"/>
        <v>57.953316407001587</v>
      </c>
      <c r="S166" s="4">
        <f t="shared" si="249"/>
        <v>57.485632599088675</v>
      </c>
      <c r="T166" s="4">
        <f t="shared" si="249"/>
        <v>57.009310087629814</v>
      </c>
      <c r="U166" s="4">
        <f t="shared" si="249"/>
        <v>56.525554718022541</v>
      </c>
      <c r="V166" s="4">
        <f t="shared" si="249"/>
        <v>56.035512768869104</v>
      </c>
      <c r="W166" s="4">
        <f t="shared" si="249"/>
        <v>55.540220262684329</v>
      </c>
      <c r="X166" s="4">
        <f t="shared" si="249"/>
        <v>55.040629659373216</v>
      </c>
      <c r="Y166" s="4">
        <f t="shared" si="249"/>
        <v>54.53758344574026</v>
      </c>
      <c r="Z166" s="4">
        <f t="shared" si="249"/>
        <v>54.031753526402824</v>
      </c>
      <c r="AA166" s="4">
        <f t="shared" si="249"/>
        <v>53.523595344679016</v>
      </c>
      <c r="AB166" s="4">
        <f t="shared" si="249"/>
        <v>53.01334899741309</v>
      </c>
      <c r="AC166" s="4">
        <f t="shared" si="249"/>
        <v>52.501098981800681</v>
      </c>
      <c r="AD166" s="4">
        <f t="shared" si="249"/>
        <v>51.986889385371988</v>
      </c>
      <c r="AE166" s="4">
        <f t="shared" si="249"/>
        <v>51.47082356867994</v>
      </c>
      <c r="AF166" s="4">
        <f t="shared" si="249"/>
        <v>50.953161252923884</v>
      </c>
      <c r="AG166" s="4">
        <f t="shared" si="249"/>
        <v>50.434320055130975</v>
      </c>
      <c r="AH166" s="4">
        <f t="shared" si="249"/>
        <v>49.914829770341797</v>
      </c>
      <c r="AI166" s="4">
        <f t="shared" si="249"/>
        <v>49.395271203361311</v>
      </c>
      <c r="AJ166" s="4">
        <f t="shared" si="249"/>
        <v>48.876240247592648</v>
      </c>
      <c r="AK166" s="4">
        <f t="shared" si="249"/>
        <v>48.358310242027976</v>
      </c>
      <c r="AL166" s="4">
        <f t="shared" si="249"/>
        <v>47.84202517625242</v>
      </c>
      <c r="AM166" s="4">
        <f t="shared" si="249"/>
        <v>47.327852168879652</v>
      </c>
      <c r="AN166" s="4">
        <f t="shared" si="249"/>
        <v>46.816169030628004</v>
      </c>
      <c r="AO166" s="4">
        <f t="shared" si="249"/>
        <v>46.307250252176431</v>
      </c>
      <c r="AP166" s="4">
        <f t="shared" si="249"/>
        <v>45.801291777591182</v>
      </c>
      <c r="AQ166" s="4">
        <f t="shared" si="249"/>
        <v>45.298409324771342</v>
      </c>
      <c r="AR166" s="4">
        <f t="shared" si="249"/>
        <v>44.798658864083279</v>
      </c>
      <c r="AS166" s="4">
        <f t="shared" si="249"/>
        <v>44.302072034177577</v>
      </c>
      <c r="AT166" s="4">
        <f t="shared" si="249"/>
        <v>43.808712387676117</v>
      </c>
      <c r="AU166" s="4">
        <f t="shared" si="249"/>
        <v>43.318711374224513</v>
      </c>
      <c r="AV166" s="4">
        <f t="shared" si="249"/>
        <v>42.832271297026125</v>
      </c>
      <c r="AW166" s="4">
        <f t="shared" si="249"/>
        <v>42.349641546457306</v>
      </c>
      <c r="AX166" s="4">
        <f t="shared" si="249"/>
        <v>41.871086156783754</v>
      </c>
      <c r="AY166" s="4">
        <f t="shared" si="249"/>
        <v>41.396865488942993</v>
      </c>
      <c r="AZ166" s="4">
        <f t="shared" si="249"/>
        <v>40.927227881683393</v>
      </c>
      <c r="BA166" s="4">
        <f t="shared" si="249"/>
        <v>40.462393349869487</v>
      </c>
      <c r="BB166" s="4">
        <f t="shared" si="249"/>
        <v>40.002547157065024</v>
      </c>
      <c r="BC166" s="4">
        <f t="shared" si="249"/>
        <v>39.547824628478423</v>
      </c>
      <c r="BD166" s="4">
        <f t="shared" si="249"/>
        <v>39.098312992183068</v>
      </c>
      <c r="BE166" s="4">
        <f t="shared" si="249"/>
        <v>38.654052467122867</v>
      </c>
      <c r="BF166" s="4">
        <f t="shared" si="249"/>
        <v>38.215048637916603</v>
      </c>
      <c r="BG166" s="4">
        <f t="shared" si="249"/>
        <v>37.781286027195627</v>
      </c>
      <c r="BH166" s="4">
        <f t="shared" si="249"/>
        <v>37.352744339372315</v>
      </c>
      <c r="BI166" s="4">
        <f t="shared" si="249"/>
        <v>36.929416349766363</v>
      </c>
    </row>
    <row r="167" spans="1:61" hidden="1" outlineLevel="1" x14ac:dyDescent="0.3">
      <c r="C167" t="s">
        <v>179</v>
      </c>
      <c r="D167" s="4">
        <f>SUM(D159:D166)</f>
        <v>163.96</v>
      </c>
      <c r="E167" s="4">
        <f t="shared" ref="E167:BI167" si="250">SUM(E159:E166)</f>
        <v>167.03000000000003</v>
      </c>
      <c r="F167" s="4">
        <f t="shared" si="250"/>
        <v>169.87</v>
      </c>
      <c r="G167" s="4">
        <f t="shared" si="250"/>
        <v>171.42999999999995</v>
      </c>
      <c r="H167" s="4">
        <f t="shared" si="250"/>
        <v>169.46999999999997</v>
      </c>
      <c r="I167" s="4">
        <f t="shared" si="250"/>
        <v>165.70999999999998</v>
      </c>
      <c r="J167" s="4">
        <f t="shared" si="250"/>
        <v>165.41</v>
      </c>
      <c r="K167" s="4">
        <f t="shared" si="250"/>
        <v>176.76</v>
      </c>
      <c r="L167" s="4">
        <f t="shared" si="250"/>
        <v>170.83</v>
      </c>
      <c r="M167" s="4">
        <f t="shared" si="250"/>
        <v>181.46751098535285</v>
      </c>
      <c r="N167" s="4">
        <f t="shared" si="250"/>
        <v>177.46580925432758</v>
      </c>
      <c r="O167" s="4">
        <f t="shared" si="250"/>
        <v>175.76702885585968</v>
      </c>
      <c r="P167" s="4">
        <f t="shared" si="250"/>
        <v>176.18630893336481</v>
      </c>
      <c r="Q167" s="4">
        <f t="shared" si="250"/>
        <v>176.604295235471</v>
      </c>
      <c r="R167" s="4">
        <f t="shared" si="250"/>
        <v>177.02081356602162</v>
      </c>
      <c r="S167" s="4">
        <f t="shared" si="250"/>
        <v>177.43675167512436</v>
      </c>
      <c r="T167" s="4">
        <f t="shared" si="250"/>
        <v>177.85387975764388</v>
      </c>
      <c r="U167" s="4">
        <f t="shared" si="250"/>
        <v>178.27422014938386</v>
      </c>
      <c r="V167" s="4">
        <f t="shared" si="250"/>
        <v>178.69974445096969</v>
      </c>
      <c r="W167" s="4">
        <f t="shared" si="250"/>
        <v>179.13220909017585</v>
      </c>
      <c r="X167" s="4">
        <f t="shared" si="250"/>
        <v>179.57323129464649</v>
      </c>
      <c r="Y167" s="4">
        <f t="shared" si="250"/>
        <v>180.02419438705934</v>
      </c>
      <c r="Z167" s="4">
        <f t="shared" si="250"/>
        <v>180.48603147445942</v>
      </c>
      <c r="AA167" s="4">
        <f t="shared" si="250"/>
        <v>180.95904261990026</v>
      </c>
      <c r="AB167" s="4">
        <f t="shared" si="250"/>
        <v>181.44285876377521</v>
      </c>
      <c r="AC167" s="4">
        <f t="shared" si="250"/>
        <v>181.93660564146029</v>
      </c>
      <c r="AD167" s="4">
        <f t="shared" si="250"/>
        <v>182.43927446278371</v>
      </c>
      <c r="AE167" s="4">
        <f t="shared" si="250"/>
        <v>182.95006601437026</v>
      </c>
      <c r="AF167" s="4">
        <f t="shared" si="250"/>
        <v>183.46875241964054</v>
      </c>
      <c r="AG167" s="4">
        <f t="shared" si="250"/>
        <v>183.99571904946092</v>
      </c>
      <c r="AH167" s="4">
        <f t="shared" si="250"/>
        <v>184.53183508543754</v>
      </c>
      <c r="AI167" s="4">
        <f t="shared" si="250"/>
        <v>185.07825552269637</v>
      </c>
      <c r="AJ167" s="4">
        <f t="shared" si="250"/>
        <v>185.63630255542103</v>
      </c>
      <c r="AK167" s="4">
        <f t="shared" si="250"/>
        <v>186.20733022276099</v>
      </c>
      <c r="AL167" s="4">
        <f t="shared" si="250"/>
        <v>186.79269790012683</v>
      </c>
      <c r="AM167" s="4">
        <f t="shared" si="250"/>
        <v>187.39358011698067</v>
      </c>
      <c r="AN167" s="4">
        <f t="shared" si="250"/>
        <v>188.01090086092927</v>
      </c>
      <c r="AO167" s="4">
        <f t="shared" si="250"/>
        <v>188.64525584675997</v>
      </c>
      <c r="AP167" s="4">
        <f t="shared" si="250"/>
        <v>189.29698848928078</v>
      </c>
      <c r="AQ167" s="4">
        <f t="shared" si="250"/>
        <v>189.96616197095713</v>
      </c>
      <c r="AR167" s="4">
        <f t="shared" si="250"/>
        <v>190.65262344895183</v>
      </c>
      <c r="AS167" s="4">
        <f t="shared" si="250"/>
        <v>191.35613895232183</v>
      </c>
      <c r="AT167" s="4">
        <f t="shared" si="250"/>
        <v>192.07663218365616</v>
      </c>
      <c r="AU167" s="4">
        <f t="shared" si="250"/>
        <v>192.81435511724109</v>
      </c>
      <c r="AV167" s="4">
        <f t="shared" si="250"/>
        <v>193.56992486244226</v>
      </c>
      <c r="AW167" s="4">
        <f t="shared" si="250"/>
        <v>194.34424082685308</v>
      </c>
      <c r="AX167" s="4">
        <f t="shared" si="250"/>
        <v>195.1383531006764</v>
      </c>
      <c r="AY167" s="4">
        <f t="shared" si="250"/>
        <v>195.95338481778327</v>
      </c>
      <c r="AZ167" s="4">
        <f t="shared" si="250"/>
        <v>196.79049480193856</v>
      </c>
      <c r="BA167" s="4">
        <f t="shared" si="250"/>
        <v>197.65079765470921</v>
      </c>
      <c r="BB167" s="4">
        <f t="shared" si="250"/>
        <v>198.53532509940612</v>
      </c>
      <c r="BC167" s="4">
        <f t="shared" si="250"/>
        <v>199.44493951824626</v>
      </c>
      <c r="BD167" s="4">
        <f t="shared" si="250"/>
        <v>200.38032654748497</v>
      </c>
      <c r="BE167" s="4">
        <f t="shared" si="250"/>
        <v>201.34198345866298</v>
      </c>
      <c r="BF167" s="4">
        <f t="shared" si="250"/>
        <v>202.33026663193269</v>
      </c>
      <c r="BG167" s="4">
        <f t="shared" si="250"/>
        <v>203.34545072637241</v>
      </c>
      <c r="BH167" s="4">
        <f t="shared" si="250"/>
        <v>204.38780881834825</v>
      </c>
      <c r="BI167" s="4">
        <f t="shared" si="250"/>
        <v>205.45771004618859</v>
      </c>
    </row>
    <row r="168" spans="1:61" hidden="1" outlineLevel="1" x14ac:dyDescent="0.3"/>
    <row r="169" spans="1:61" s="1" customFormat="1" collapsed="1" x14ac:dyDescent="0.3">
      <c r="A169" s="1" t="s">
        <v>69</v>
      </c>
    </row>
    <row r="170" spans="1:61" hidden="1" outlineLevel="1" x14ac:dyDescent="0.3">
      <c r="C170" t="s">
        <v>91</v>
      </c>
      <c r="D170" s="3">
        <f>D27</f>
        <v>18.057621489621493</v>
      </c>
      <c r="E170" s="3">
        <f t="shared" ref="E170:N170" si="251">E27</f>
        <v>18.75020617320947</v>
      </c>
      <c r="F170" s="3">
        <f t="shared" si="251"/>
        <v>19.30546471040644</v>
      </c>
      <c r="G170" s="3">
        <f t="shared" si="251"/>
        <v>20.229398871006481</v>
      </c>
      <c r="H170" s="3">
        <f t="shared" si="251"/>
        <v>20.106779971624494</v>
      </c>
      <c r="I170" s="3">
        <f t="shared" si="251"/>
        <v>19.417350447904763</v>
      </c>
      <c r="J170" s="3">
        <f t="shared" si="251"/>
        <v>19.955043300457056</v>
      </c>
      <c r="K170" s="3">
        <f t="shared" si="251"/>
        <v>21.198074257425741</v>
      </c>
      <c r="L170" s="3">
        <f t="shared" si="251"/>
        <v>21.21</v>
      </c>
      <c r="M170" s="3">
        <f t="shared" si="251"/>
        <v>22.530737622193609</v>
      </c>
      <c r="N170" s="3">
        <f t="shared" si="251"/>
        <v>22.033892257122798</v>
      </c>
      <c r="O170" s="4">
        <f>O159</f>
        <v>22.125244864651005</v>
      </c>
      <c r="P170" s="4">
        <f t="shared" ref="P170:BI170" si="252">P159</f>
        <v>22.479796950641568</v>
      </c>
      <c r="Q170" s="4">
        <f t="shared" si="252"/>
        <v>22.83436466796422</v>
      </c>
      <c r="R170" s="4">
        <f t="shared" si="252"/>
        <v>23.18887892048043</v>
      </c>
      <c r="S170" s="4">
        <f t="shared" si="252"/>
        <v>23.543411910545959</v>
      </c>
      <c r="T170" s="4">
        <f t="shared" si="252"/>
        <v>23.898161864469884</v>
      </c>
      <c r="U170" s="4">
        <f t="shared" si="252"/>
        <v>24.253374505746748</v>
      </c>
      <c r="V170" s="4">
        <f t="shared" si="252"/>
        <v>24.609303210315794</v>
      </c>
      <c r="W170" s="4">
        <f t="shared" si="252"/>
        <v>24.966185410428775</v>
      </c>
      <c r="X170" s="4">
        <f t="shared" si="252"/>
        <v>25.32425127939613</v>
      </c>
      <c r="Y170" s="4">
        <f t="shared" si="252"/>
        <v>25.683708842933736</v>
      </c>
      <c r="Z170" s="4">
        <f t="shared" si="252"/>
        <v>26.044710632673468</v>
      </c>
      <c r="AA170" s="4">
        <f t="shared" si="252"/>
        <v>26.407323146733376</v>
      </c>
      <c r="AB170" s="4">
        <f t="shared" si="252"/>
        <v>26.771516248793997</v>
      </c>
      <c r="AC170" s="4">
        <f t="shared" si="252"/>
        <v>27.137182135873282</v>
      </c>
      <c r="AD170" s="4">
        <f t="shared" si="252"/>
        <v>27.504187144272759</v>
      </c>
      <c r="AE170" s="4">
        <f t="shared" si="252"/>
        <v>27.87242311995174</v>
      </c>
      <c r="AF170" s="4">
        <f t="shared" si="252"/>
        <v>28.241864799834328</v>
      </c>
      <c r="AG170" s="4">
        <f t="shared" si="252"/>
        <v>28.612580849003695</v>
      </c>
      <c r="AH170" s="4">
        <f t="shared" si="252"/>
        <v>28.98471830573385</v>
      </c>
      <c r="AI170" s="4">
        <f t="shared" si="252"/>
        <v>29.358474863329363</v>
      </c>
      <c r="AJ170" s="4">
        <f t="shared" si="252"/>
        <v>29.734081966486578</v>
      </c>
      <c r="AK170" s="4">
        <f t="shared" si="252"/>
        <v>30.111784069577268</v>
      </c>
      <c r="AL170" s="4">
        <f t="shared" si="252"/>
        <v>30.49183440067058</v>
      </c>
      <c r="AM170" s="4">
        <f t="shared" si="252"/>
        <v>30.874463514993572</v>
      </c>
      <c r="AN170" s="4">
        <f t="shared" si="252"/>
        <v>31.259866825362533</v>
      </c>
      <c r="AO170" s="4">
        <f t="shared" si="252"/>
        <v>31.648189550562769</v>
      </c>
      <c r="AP170" s="4">
        <f t="shared" si="252"/>
        <v>32.039537021883895</v>
      </c>
      <c r="AQ170" s="4">
        <f t="shared" si="252"/>
        <v>32.433967973442478</v>
      </c>
      <c r="AR170" s="4">
        <f t="shared" si="252"/>
        <v>32.831503491850299</v>
      </c>
      <c r="AS170" s="4">
        <f t="shared" si="252"/>
        <v>33.232148848323462</v>
      </c>
      <c r="AT170" s="4">
        <f t="shared" si="252"/>
        <v>33.635934734614118</v>
      </c>
      <c r="AU170" s="4">
        <f t="shared" si="252"/>
        <v>34.042948535942948</v>
      </c>
      <c r="AV170" s="4">
        <f t="shared" si="252"/>
        <v>34.453343244068755</v>
      </c>
      <c r="AW170" s="4">
        <f t="shared" si="252"/>
        <v>34.867325162014055</v>
      </c>
      <c r="AX170" s="4">
        <f t="shared" si="252"/>
        <v>35.285132033855646</v>
      </c>
      <c r="AY170" s="4">
        <f t="shared" si="252"/>
        <v>35.707019862367098</v>
      </c>
      <c r="AZ170" s="4">
        <f t="shared" si="252"/>
        <v>36.133256453497722</v>
      </c>
      <c r="BA170" s="4">
        <f t="shared" si="252"/>
        <v>36.56410676778836</v>
      </c>
      <c r="BB170" s="4">
        <f t="shared" si="252"/>
        <v>36.999825298264298</v>
      </c>
      <c r="BC170" s="4">
        <f t="shared" si="252"/>
        <v>37.440639165462912</v>
      </c>
      <c r="BD170" s="4">
        <f t="shared" si="252"/>
        <v>37.886745473029357</v>
      </c>
      <c r="BE170" s="4">
        <f t="shared" si="252"/>
        <v>38.338307827922968</v>
      </c>
      <c r="BF170" s="4">
        <f t="shared" si="252"/>
        <v>38.795464126286745</v>
      </c>
      <c r="BG170" s="4">
        <f t="shared" si="252"/>
        <v>39.258337003071588</v>
      </c>
      <c r="BH170" s="4">
        <f t="shared" si="252"/>
        <v>39.72704884439932</v>
      </c>
      <c r="BI170" s="4">
        <f t="shared" si="252"/>
        <v>40.201740863027553</v>
      </c>
    </row>
    <row r="171" spans="1:61" s="1" customFormat="1" collapsed="1" x14ac:dyDescent="0.3">
      <c r="A171" s="1" t="s">
        <v>65</v>
      </c>
    </row>
    <row r="172" spans="1:61" hidden="1" outlineLevel="1" x14ac:dyDescent="0.3">
      <c r="C172" t="s">
        <v>91</v>
      </c>
      <c r="D172" s="3">
        <f>D29</f>
        <v>29.729010989010995</v>
      </c>
      <c r="E172" s="3">
        <f t="shared" ref="E172:N172" si="253">E29</f>
        <v>30.893292178603538</v>
      </c>
      <c r="F172" s="3">
        <f t="shared" si="253"/>
        <v>31.807285688930964</v>
      </c>
      <c r="G172" s="3">
        <f t="shared" si="253"/>
        <v>33.303870405957234</v>
      </c>
      <c r="H172" s="3">
        <f t="shared" si="253"/>
        <v>33.120585244738706</v>
      </c>
      <c r="I172" s="3">
        <f t="shared" si="253"/>
        <v>31.990309024228935</v>
      </c>
      <c r="J172" s="3">
        <f t="shared" si="253"/>
        <v>32.877077820543654</v>
      </c>
      <c r="K172" s="3">
        <f t="shared" si="253"/>
        <v>34.925413366336635</v>
      </c>
      <c r="L172" s="3">
        <f t="shared" si="253"/>
        <v>34.94</v>
      </c>
      <c r="M172" s="3">
        <f t="shared" si="253"/>
        <v>37.115698845801255</v>
      </c>
      <c r="N172" s="3">
        <f t="shared" si="253"/>
        <v>36.29722750890479</v>
      </c>
      <c r="O172" s="4">
        <f>O160</f>
        <v>36.452032749768001</v>
      </c>
      <c r="P172" s="4">
        <f t="shared" ref="P172:BI172" si="254">P160</f>
        <v>37.04055487992072</v>
      </c>
      <c r="Q172" s="4">
        <f t="shared" si="254"/>
        <v>37.629241664473511</v>
      </c>
      <c r="R172" s="4">
        <f t="shared" si="254"/>
        <v>38.217979258722572</v>
      </c>
      <c r="S172" s="4">
        <f t="shared" si="254"/>
        <v>38.806886668013568</v>
      </c>
      <c r="T172" s="4">
        <f t="shared" si="254"/>
        <v>39.396290705458846</v>
      </c>
      <c r="U172" s="4">
        <f t="shared" si="254"/>
        <v>39.986596647711913</v>
      </c>
      <c r="V172" s="4">
        <f t="shared" si="254"/>
        <v>40.578222581486841</v>
      </c>
      <c r="W172" s="4">
        <f t="shared" si="254"/>
        <v>41.171560498872054</v>
      </c>
      <c r="X172" s="4">
        <f t="shared" si="254"/>
        <v>41.76699060546872</v>
      </c>
      <c r="Y172" s="4">
        <f t="shared" si="254"/>
        <v>42.364856754766514</v>
      </c>
      <c r="Z172" s="4">
        <f t="shared" si="254"/>
        <v>42.965411415560546</v>
      </c>
      <c r="AA172" s="4">
        <f t="shared" si="254"/>
        <v>43.568765231564221</v>
      </c>
      <c r="AB172" s="4">
        <f t="shared" si="254"/>
        <v>44.174869445122802</v>
      </c>
      <c r="AC172" s="4">
        <f t="shared" si="254"/>
        <v>44.783547104661139</v>
      </c>
      <c r="AD172" s="4">
        <f t="shared" si="254"/>
        <v>45.394578492450819</v>
      </c>
      <c r="AE172" s="4">
        <f t="shared" si="254"/>
        <v>46.007785894132141</v>
      </c>
      <c r="AF172" s="4">
        <f t="shared" si="254"/>
        <v>46.623128351642727</v>
      </c>
      <c r="AG172" s="4">
        <f t="shared" si="254"/>
        <v>47.240719967156203</v>
      </c>
      <c r="AH172" s="4">
        <f t="shared" si="254"/>
        <v>47.86080430988531</v>
      </c>
      <c r="AI172" s="4">
        <f t="shared" si="254"/>
        <v>48.48370871790442</v>
      </c>
      <c r="AJ172" s="4">
        <f t="shared" si="254"/>
        <v>49.109816429100285</v>
      </c>
      <c r="AK172" s="4">
        <f t="shared" si="254"/>
        <v>49.7395323524511</v>
      </c>
      <c r="AL172" s="4">
        <f t="shared" si="254"/>
        <v>50.373276082864095</v>
      </c>
      <c r="AM172" s="4">
        <f t="shared" si="254"/>
        <v>51.011429953189804</v>
      </c>
      <c r="AN172" s="4">
        <f t="shared" si="254"/>
        <v>51.654318407176731</v>
      </c>
      <c r="AO172" s="4">
        <f t="shared" si="254"/>
        <v>52.302183090645656</v>
      </c>
      <c r="AP172" s="4">
        <f t="shared" si="254"/>
        <v>52.955199837135233</v>
      </c>
      <c r="AQ172" s="4">
        <f t="shared" si="254"/>
        <v>53.613467537773637</v>
      </c>
      <c r="AR172" s="4">
        <f t="shared" si="254"/>
        <v>54.277022891275976</v>
      </c>
      <c r="AS172" s="4">
        <f t="shared" si="254"/>
        <v>54.945876464206037</v>
      </c>
      <c r="AT172" s="4">
        <f t="shared" si="254"/>
        <v>55.620080862863851</v>
      </c>
      <c r="AU172" s="4">
        <f t="shared" si="254"/>
        <v>56.299782476946113</v>
      </c>
      <c r="AV172" s="4">
        <f t="shared" si="254"/>
        <v>56.985236277139862</v>
      </c>
      <c r="AW172" s="4">
        <f t="shared" si="254"/>
        <v>57.676785540821861</v>
      </c>
      <c r="AX172" s="4">
        <f t="shared" si="254"/>
        <v>58.374825722798491</v>
      </c>
      <c r="AY172" s="4">
        <f t="shared" si="254"/>
        <v>59.079782675016347</v>
      </c>
      <c r="AZ172" s="4">
        <f t="shared" si="254"/>
        <v>59.792101982127903</v>
      </c>
      <c r="BA172" s="4">
        <f t="shared" si="254"/>
        <v>60.512224730260051</v>
      </c>
      <c r="BB172" s="4">
        <f t="shared" si="254"/>
        <v>61.24057488849261</v>
      </c>
      <c r="BC172" s="4">
        <f t="shared" si="254"/>
        <v>61.977531314937515</v>
      </c>
      <c r="BD172" s="4">
        <f t="shared" si="254"/>
        <v>62.723423352020291</v>
      </c>
      <c r="BE172" s="4">
        <f t="shared" si="254"/>
        <v>63.478525035447674</v>
      </c>
      <c r="BF172" s="4">
        <f t="shared" si="254"/>
        <v>64.243067954363809</v>
      </c>
      <c r="BG172" s="4">
        <f t="shared" si="254"/>
        <v>65.017258532204579</v>
      </c>
      <c r="BH172" s="4">
        <f t="shared" si="254"/>
        <v>65.801302877265272</v>
      </c>
      <c r="BI172" s="4">
        <f t="shared" si="254"/>
        <v>66.595438381588039</v>
      </c>
    </row>
    <row r="173" spans="1:61" x14ac:dyDescent="0.3">
      <c r="A173" t="s">
        <v>171</v>
      </c>
    </row>
    <row r="174" spans="1:61" outlineLevel="1" x14ac:dyDescent="0.3">
      <c r="C174" t="s">
        <v>91</v>
      </c>
      <c r="D174" s="3">
        <f>D31</f>
        <v>5.5253919413919412</v>
      </c>
      <c r="E174" s="3">
        <f t="shared" ref="E174:N174" si="255">E31</f>
        <v>5.7361816002397363</v>
      </c>
      <c r="F174" s="3">
        <f t="shared" si="255"/>
        <v>5.9092208483701132</v>
      </c>
      <c r="G174" s="3">
        <f t="shared" si="255"/>
        <v>6.1975054047561837</v>
      </c>
      <c r="H174" s="3">
        <f t="shared" si="255"/>
        <v>6.1612703948924086</v>
      </c>
      <c r="I174" s="3">
        <f t="shared" si="255"/>
        <v>5.9477466482294226</v>
      </c>
      <c r="J174" s="3">
        <f t="shared" si="255"/>
        <v>6.1078746692326193</v>
      </c>
      <c r="K174" s="3">
        <f t="shared" si="255"/>
        <v>6.4972425742574265</v>
      </c>
      <c r="L174" s="3">
        <f t="shared" si="255"/>
        <v>6.49</v>
      </c>
      <c r="M174" s="3">
        <f t="shared" si="255"/>
        <v>6.8941295223025234</v>
      </c>
      <c r="N174" s="3">
        <f t="shared" si="255"/>
        <v>6.7421009311045248</v>
      </c>
      <c r="O174" s="4">
        <f>O161</f>
        <v>6.7704455315052607</v>
      </c>
      <c r="P174" s="4">
        <f t="shared" ref="P174:BI174" si="256">P161</f>
        <v>6.8793385266895895</v>
      </c>
      <c r="Q174" s="4">
        <f t="shared" si="256"/>
        <v>6.9882488875623245</v>
      </c>
      <c r="R174" s="4">
        <f t="shared" si="256"/>
        <v>7.0971554685793095</v>
      </c>
      <c r="S174" s="4">
        <f t="shared" si="256"/>
        <v>7.2060803674209479</v>
      </c>
      <c r="T174" s="4">
        <f t="shared" si="256"/>
        <v>7.3150842620610685</v>
      </c>
      <c r="U174" s="4">
        <f t="shared" si="256"/>
        <v>7.4242423839658818</v>
      </c>
      <c r="V174" s="4">
        <f t="shared" si="256"/>
        <v>7.533632324655068</v>
      </c>
      <c r="W174" s="4">
        <f t="shared" si="256"/>
        <v>7.6433268124933056</v>
      </c>
      <c r="X174" s="4">
        <f t="shared" si="256"/>
        <v>7.7533963702446451</v>
      </c>
      <c r="Y174" s="4">
        <f t="shared" si="256"/>
        <v>7.863904755785267</v>
      </c>
      <c r="Z174" s="4">
        <f t="shared" si="256"/>
        <v>7.9748987494377204</v>
      </c>
      <c r="AA174" s="4">
        <f t="shared" si="256"/>
        <v>8.0863987973314462</v>
      </c>
      <c r="AB174" s="4">
        <f t="shared" si="256"/>
        <v>8.198395757398659</v>
      </c>
      <c r="AC174" s="4">
        <f t="shared" si="256"/>
        <v>8.3108566997587072</v>
      </c>
      <c r="AD174" s="4">
        <f t="shared" si="256"/>
        <v>8.4237407665046717</v>
      </c>
      <c r="AE174" s="4">
        <f t="shared" si="256"/>
        <v>8.537014903587675</v>
      </c>
      <c r="AF174" s="4">
        <f t="shared" si="256"/>
        <v>8.6506714393533368</v>
      </c>
      <c r="AG174" s="4">
        <f t="shared" si="256"/>
        <v>8.7647314728498689</v>
      </c>
      <c r="AH174" s="4">
        <f t="shared" si="256"/>
        <v>8.8792401170119906</v>
      </c>
      <c r="AI174" s="4">
        <f t="shared" si="256"/>
        <v>8.9942580138778485</v>
      </c>
      <c r="AJ174" s="4">
        <f t="shared" si="256"/>
        <v>9.1098561601853252</v>
      </c>
      <c r="AK174" s="4">
        <f t="shared" si="256"/>
        <v>9.226109555201722</v>
      </c>
      <c r="AL174" s="4">
        <f t="shared" si="256"/>
        <v>9.3430959039206947</v>
      </c>
      <c r="AM174" s="4">
        <f t="shared" si="256"/>
        <v>9.4608859816550588</v>
      </c>
      <c r="AN174" s="4">
        <f t="shared" si="256"/>
        <v>9.5795398107480541</v>
      </c>
      <c r="AO174" s="4">
        <f t="shared" si="256"/>
        <v>9.6991020446456702</v>
      </c>
      <c r="AP174" s="4">
        <f t="shared" si="256"/>
        <v>9.8196051222352327</v>
      </c>
      <c r="AQ174" s="4">
        <f t="shared" si="256"/>
        <v>9.9410672077815949</v>
      </c>
      <c r="AR174" s="4">
        <f t="shared" si="256"/>
        <v>10.063494930042786</v>
      </c>
      <c r="AS174" s="4">
        <f t="shared" si="256"/>
        <v>10.186890071285038</v>
      </c>
      <c r="AT174" s="4">
        <f t="shared" si="256"/>
        <v>10.311262206958959</v>
      </c>
      <c r="AU174" s="4">
        <f t="shared" si="256"/>
        <v>10.436638295381687</v>
      </c>
      <c r="AV174" s="4">
        <f t="shared" si="256"/>
        <v>10.563065415428676</v>
      </c>
      <c r="AW174" s="4">
        <f t="shared" si="256"/>
        <v>10.690607002523583</v>
      </c>
      <c r="AX174" s="4">
        <f t="shared" si="256"/>
        <v>10.819336147396816</v>
      </c>
      <c r="AY174" s="4">
        <f t="shared" si="256"/>
        <v>10.94933155659097</v>
      </c>
      <c r="AZ174" s="4">
        <f t="shared" si="256"/>
        <v>11.08067557442428</v>
      </c>
      <c r="BA174" s="4">
        <f t="shared" si="256"/>
        <v>11.213449691625112</v>
      </c>
      <c r="BB174" s="4">
        <f t="shared" si="256"/>
        <v>11.347732207405491</v>
      </c>
      <c r="BC174" s="4">
        <f t="shared" si="256"/>
        <v>11.483593043531897</v>
      </c>
      <c r="BD174" s="4">
        <f t="shared" si="256"/>
        <v>11.621092930773885</v>
      </c>
      <c r="BE174" s="4">
        <f t="shared" si="256"/>
        <v>11.760282338814779</v>
      </c>
      <c r="BF174" s="4">
        <f t="shared" si="256"/>
        <v>11.90120386173529</v>
      </c>
      <c r="BG174" s="4">
        <f t="shared" si="256"/>
        <v>12.043895421527838</v>
      </c>
      <c r="BH174" s="4">
        <f t="shared" si="256"/>
        <v>12.188394872587578</v>
      </c>
      <c r="BI174" s="4">
        <f t="shared" si="256"/>
        <v>12.334745854448364</v>
      </c>
    </row>
    <row r="175" spans="1:61" collapsed="1" x14ac:dyDescent="0.3">
      <c r="A175" t="s">
        <v>209</v>
      </c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</row>
    <row r="176" spans="1:61" hidden="1" outlineLevel="1" x14ac:dyDescent="0.3">
      <c r="C176" t="s">
        <v>87</v>
      </c>
      <c r="D176" s="3">
        <f t="shared" ref="D176:N178" si="257">D33</f>
        <v>4.6416209742240069</v>
      </c>
      <c r="E176" s="3">
        <f t="shared" si="257"/>
        <v>5.6285711564551679</v>
      </c>
      <c r="F176" s="3">
        <f t="shared" si="257"/>
        <v>5.8923606499506445</v>
      </c>
      <c r="G176" s="3">
        <f t="shared" si="257"/>
        <v>7.4690278503906864</v>
      </c>
      <c r="H176" s="3">
        <f t="shared" si="257"/>
        <v>8.0633289854956267</v>
      </c>
      <c r="I176" s="3">
        <f t="shared" si="257"/>
        <v>6.0711196416761775</v>
      </c>
      <c r="J176" s="3">
        <f t="shared" si="257"/>
        <v>4.8275072982879568</v>
      </c>
      <c r="K176" s="3">
        <f t="shared" si="257"/>
        <v>7.4731653783799459</v>
      </c>
      <c r="L176" s="3">
        <f t="shared" si="257"/>
        <v>4.7999999999999945</v>
      </c>
      <c r="M176" s="3">
        <f t="shared" si="257"/>
        <v>3.062286040411264</v>
      </c>
      <c r="N176" s="3">
        <f t="shared" si="257"/>
        <v>3.2661246638903645</v>
      </c>
      <c r="O176" s="3">
        <f t="shared" ref="O176:BI176" si="258">O184/SUM(O$184:O$186)*O$162</f>
        <v>2.964806146887303</v>
      </c>
      <c r="P176" s="3">
        <f t="shared" si="258"/>
        <v>2.7252049744679092</v>
      </c>
      <c r="Q176" s="3">
        <f t="shared" si="258"/>
        <v>2.5061393584354446</v>
      </c>
      <c r="R176" s="3">
        <f t="shared" si="258"/>
        <v>2.3056698721885227</v>
      </c>
      <c r="S176" s="3">
        <f t="shared" si="258"/>
        <v>2.1220791649886372</v>
      </c>
      <c r="T176" s="3">
        <f t="shared" si="258"/>
        <v>1.9538384288758868</v>
      </c>
      <c r="U176" s="3">
        <f t="shared" si="258"/>
        <v>1.7995754691219177</v>
      </c>
      <c r="V176" s="3">
        <f t="shared" si="258"/>
        <v>1.6580529578979117</v>
      </c>
      <c r="W176" s="3">
        <f t="shared" si="258"/>
        <v>1.5281519296622796</v>
      </c>
      <c r="X176" s="3">
        <f t="shared" si="258"/>
        <v>1.4088598166128046</v>
      </c>
      <c r="Y176" s="3">
        <f t="shared" si="258"/>
        <v>1.2992585008691486</v>
      </c>
      <c r="Z176" s="3">
        <f t="shared" si="258"/>
        <v>1.1985132597059638</v>
      </c>
      <c r="AA176" s="3">
        <f t="shared" si="258"/>
        <v>1.1058637121262531</v>
      </c>
      <c r="AB176" s="3">
        <f t="shared" si="258"/>
        <v>1.0206169435043473</v>
      </c>
      <c r="AC176" s="3">
        <f t="shared" si="258"/>
        <v>0.9421423752468252</v>
      </c>
      <c r="AD176" s="3">
        <f t="shared" si="258"/>
        <v>0.86986774733485195</v>
      </c>
      <c r="AE176" s="3">
        <f t="shared" si="258"/>
        <v>0.8032747065273832</v>
      </c>
      <c r="AF176" s="3">
        <f t="shared" si="258"/>
        <v>0.74189441922098687</v>
      </c>
      <c r="AG176" s="3">
        <f t="shared" si="258"/>
        <v>0.68530202787306094</v>
      </c>
      <c r="AH176" s="3">
        <f t="shared" si="258"/>
        <v>0.63311121082726596</v>
      </c>
      <c r="AI176" s="3">
        <f t="shared" si="258"/>
        <v>0.58496940289631538</v>
      </c>
      <c r="AJ176" s="3">
        <f t="shared" si="258"/>
        <v>0.54055407080912266</v>
      </c>
      <c r="AK176" s="3">
        <f t="shared" si="258"/>
        <v>0.49956950164507291</v>
      </c>
      <c r="AL176" s="3">
        <f t="shared" si="258"/>
        <v>0.46174434193564423</v>
      </c>
      <c r="AM176" s="3">
        <f t="shared" si="258"/>
        <v>0.42682903270271844</v>
      </c>
      <c r="AN176" s="3">
        <f t="shared" si="258"/>
        <v>0.39459391477068462</v>
      </c>
      <c r="AO176" s="3">
        <f t="shared" si="258"/>
        <v>0.36482751813054315</v>
      </c>
      <c r="AP176" s="3">
        <f t="shared" si="258"/>
        <v>0.33733531362784713</v>
      </c>
      <c r="AQ176" s="3">
        <f t="shared" si="258"/>
        <v>0.31193832542436817</v>
      </c>
      <c r="AR176" s="3">
        <f t="shared" si="258"/>
        <v>0.28847200691329278</v>
      </c>
      <c r="AS176" s="3">
        <f t="shared" si="258"/>
        <v>0.26678526011476883</v>
      </c>
      <c r="AT176" s="3">
        <f t="shared" si="258"/>
        <v>0.24673959338955859</v>
      </c>
      <c r="AU176" s="3">
        <f t="shared" si="258"/>
        <v>0.22820815713289824</v>
      </c>
      <c r="AV176" s="3">
        <f t="shared" si="258"/>
        <v>0.21107466002943454</v>
      </c>
      <c r="AW176" s="3">
        <f t="shared" si="258"/>
        <v>0.19523227227427864</v>
      </c>
      <c r="AX176" s="3">
        <f t="shared" si="258"/>
        <v>0.18058263715056788</v>
      </c>
      <c r="AY176" s="3">
        <f t="shared" si="258"/>
        <v>0.16703507838097678</v>
      </c>
      <c r="AZ176" s="3">
        <f t="shared" si="258"/>
        <v>0.1545059402991063</v>
      </c>
      <c r="BA176" s="3">
        <f t="shared" si="258"/>
        <v>0.14291796731057924</v>
      </c>
      <c r="BB176" s="3">
        <f t="shared" si="258"/>
        <v>0.13219978614458841</v>
      </c>
      <c r="BC176" s="3">
        <f t="shared" si="258"/>
        <v>0.12228540911931517</v>
      </c>
      <c r="BD176" s="3">
        <f t="shared" si="258"/>
        <v>0.11311383995302275</v>
      </c>
      <c r="BE176" s="3">
        <f t="shared" si="258"/>
        <v>0.10462870481444576</v>
      </c>
      <c r="BF176" s="3">
        <f t="shared" si="258"/>
        <v>9.6777938291629922E-2</v>
      </c>
      <c r="BG176" s="3">
        <f t="shared" si="258"/>
        <v>8.9513485667837608E-2</v>
      </c>
      <c r="BH176" s="3">
        <f t="shared" si="258"/>
        <v>8.2791024266598387E-2</v>
      </c>
      <c r="BI176" s="3">
        <f t="shared" si="258"/>
        <v>7.656969976852003E-2</v>
      </c>
    </row>
    <row r="177" spans="1:61" hidden="1" outlineLevel="1" x14ac:dyDescent="0.3">
      <c r="C177" t="s">
        <v>115</v>
      </c>
      <c r="D177" s="3">
        <f t="shared" si="257"/>
        <v>4.4000000000000004</v>
      </c>
      <c r="E177" s="3">
        <f t="shared" si="257"/>
        <v>4.46</v>
      </c>
      <c r="F177" s="3">
        <f t="shared" si="257"/>
        <v>5.22</v>
      </c>
      <c r="G177" s="3">
        <f t="shared" si="257"/>
        <v>1.97</v>
      </c>
      <c r="H177" s="3">
        <f t="shared" si="257"/>
        <v>0</v>
      </c>
      <c r="I177" s="3">
        <f t="shared" si="257"/>
        <v>0</v>
      </c>
      <c r="J177" s="3">
        <f t="shared" si="257"/>
        <v>0</v>
      </c>
      <c r="K177" s="3">
        <f t="shared" si="257"/>
        <v>0</v>
      </c>
      <c r="L177" s="3">
        <f t="shared" si="257"/>
        <v>0</v>
      </c>
      <c r="M177" s="3">
        <f t="shared" si="257"/>
        <v>0</v>
      </c>
      <c r="N177" s="3">
        <f t="shared" si="257"/>
        <v>0</v>
      </c>
      <c r="O177" s="3">
        <f t="shared" ref="O177:BI177" si="259">O185/SUM(O$184:O$186)*O$162</f>
        <v>0</v>
      </c>
      <c r="P177" s="3">
        <f t="shared" si="259"/>
        <v>0</v>
      </c>
      <c r="Q177" s="3">
        <f t="shared" si="259"/>
        <v>0</v>
      </c>
      <c r="R177" s="3">
        <f t="shared" si="259"/>
        <v>0</v>
      </c>
      <c r="S177" s="3">
        <f t="shared" si="259"/>
        <v>0</v>
      </c>
      <c r="T177" s="3">
        <f t="shared" si="259"/>
        <v>0</v>
      </c>
      <c r="U177" s="3">
        <f t="shared" si="259"/>
        <v>0</v>
      </c>
      <c r="V177" s="3">
        <f t="shared" si="259"/>
        <v>0</v>
      </c>
      <c r="W177" s="3">
        <f t="shared" si="259"/>
        <v>0</v>
      </c>
      <c r="X177" s="3">
        <f t="shared" si="259"/>
        <v>0</v>
      </c>
      <c r="Y177" s="3">
        <f t="shared" si="259"/>
        <v>0</v>
      </c>
      <c r="Z177" s="3">
        <f t="shared" si="259"/>
        <v>0</v>
      </c>
      <c r="AA177" s="3">
        <f t="shared" si="259"/>
        <v>0</v>
      </c>
      <c r="AB177" s="3">
        <f t="shared" si="259"/>
        <v>0</v>
      </c>
      <c r="AC177" s="3">
        <f t="shared" si="259"/>
        <v>0</v>
      </c>
      <c r="AD177" s="3">
        <f t="shared" si="259"/>
        <v>0</v>
      </c>
      <c r="AE177" s="3">
        <f t="shared" si="259"/>
        <v>0</v>
      </c>
      <c r="AF177" s="3">
        <f t="shared" si="259"/>
        <v>0</v>
      </c>
      <c r="AG177" s="3">
        <f t="shared" si="259"/>
        <v>0</v>
      </c>
      <c r="AH177" s="3">
        <f t="shared" si="259"/>
        <v>0</v>
      </c>
      <c r="AI177" s="3">
        <f t="shared" si="259"/>
        <v>0</v>
      </c>
      <c r="AJ177" s="3">
        <f t="shared" si="259"/>
        <v>0</v>
      </c>
      <c r="AK177" s="3">
        <f t="shared" si="259"/>
        <v>0</v>
      </c>
      <c r="AL177" s="3">
        <f t="shared" si="259"/>
        <v>0</v>
      </c>
      <c r="AM177" s="3">
        <f t="shared" si="259"/>
        <v>0</v>
      </c>
      <c r="AN177" s="3">
        <f t="shared" si="259"/>
        <v>0</v>
      </c>
      <c r="AO177" s="3">
        <f t="shared" si="259"/>
        <v>0</v>
      </c>
      <c r="AP177" s="3">
        <f t="shared" si="259"/>
        <v>0</v>
      </c>
      <c r="AQ177" s="3">
        <f t="shared" si="259"/>
        <v>0</v>
      </c>
      <c r="AR177" s="3">
        <f t="shared" si="259"/>
        <v>0</v>
      </c>
      <c r="AS177" s="3">
        <f t="shared" si="259"/>
        <v>0</v>
      </c>
      <c r="AT177" s="3">
        <f t="shared" si="259"/>
        <v>0</v>
      </c>
      <c r="AU177" s="3">
        <f t="shared" si="259"/>
        <v>0</v>
      </c>
      <c r="AV177" s="3">
        <f t="shared" si="259"/>
        <v>0</v>
      </c>
      <c r="AW177" s="3">
        <f t="shared" si="259"/>
        <v>0</v>
      </c>
      <c r="AX177" s="3">
        <f t="shared" si="259"/>
        <v>0</v>
      </c>
      <c r="AY177" s="3">
        <f t="shared" si="259"/>
        <v>0</v>
      </c>
      <c r="AZ177" s="3">
        <f t="shared" si="259"/>
        <v>0</v>
      </c>
      <c r="BA177" s="3">
        <f t="shared" si="259"/>
        <v>0</v>
      </c>
      <c r="BB177" s="3">
        <f t="shared" si="259"/>
        <v>0</v>
      </c>
      <c r="BC177" s="3">
        <f t="shared" si="259"/>
        <v>0</v>
      </c>
      <c r="BD177" s="3">
        <f t="shared" si="259"/>
        <v>0</v>
      </c>
      <c r="BE177" s="3">
        <f t="shared" si="259"/>
        <v>0</v>
      </c>
      <c r="BF177" s="3">
        <f t="shared" si="259"/>
        <v>0</v>
      </c>
      <c r="BG177" s="3">
        <f t="shared" si="259"/>
        <v>0</v>
      </c>
      <c r="BH177" s="3">
        <f t="shared" si="259"/>
        <v>0</v>
      </c>
      <c r="BI177" s="3">
        <f t="shared" si="259"/>
        <v>0</v>
      </c>
    </row>
    <row r="178" spans="1:61" hidden="1" outlineLevel="1" x14ac:dyDescent="0.3">
      <c r="C178" t="s">
        <v>91</v>
      </c>
      <c r="D178" s="3">
        <f t="shared" si="257"/>
        <v>4.3414388548358245</v>
      </c>
      <c r="E178" s="3">
        <f t="shared" si="257"/>
        <v>4.5071579415370397</v>
      </c>
      <c r="F178" s="3">
        <f t="shared" si="257"/>
        <v>4.5048658778846526</v>
      </c>
      <c r="G178" s="3">
        <f t="shared" si="257"/>
        <v>3.8207511551341717</v>
      </c>
      <c r="H178" s="3">
        <f t="shared" si="257"/>
        <v>4.8102197257836359</v>
      </c>
      <c r="I178" s="3">
        <f t="shared" si="257"/>
        <v>4.8480266338002833</v>
      </c>
      <c r="J178" s="3">
        <f t="shared" si="257"/>
        <v>5.0405898871823336</v>
      </c>
      <c r="K178" s="3">
        <f t="shared" si="257"/>
        <v>1.7476687800358948</v>
      </c>
      <c r="L178" s="3">
        <f t="shared" si="257"/>
        <v>5.140000000000005</v>
      </c>
      <c r="M178" s="3">
        <f t="shared" si="257"/>
        <v>7.4966735053032316</v>
      </c>
      <c r="N178" s="3">
        <f t="shared" si="257"/>
        <v>7.0599898592496935</v>
      </c>
      <c r="O178" s="3">
        <f t="shared" ref="O178:BI178" si="260">O186/SUM(O$184:O$186)*O$162</f>
        <v>6.7742853737248447</v>
      </c>
      <c r="P178" s="3">
        <f t="shared" si="260"/>
        <v>6.5688960889909369</v>
      </c>
      <c r="Q178" s="3">
        <f t="shared" si="260"/>
        <v>6.3611031152382713</v>
      </c>
      <c r="R178" s="3">
        <f t="shared" si="260"/>
        <v>6.1522594189029212</v>
      </c>
      <c r="S178" s="3">
        <f t="shared" si="260"/>
        <v>5.9435517272420633</v>
      </c>
      <c r="T178" s="3">
        <f t="shared" si="260"/>
        <v>5.7360154255667402</v>
      </c>
      <c r="U178" s="3">
        <f t="shared" si="260"/>
        <v>5.5305330806451334</v>
      </c>
      <c r="V178" s="3">
        <f t="shared" si="260"/>
        <v>5.3278443244768621</v>
      </c>
      <c r="W178" s="3">
        <f t="shared" si="260"/>
        <v>5.1285592647119636</v>
      </c>
      <c r="X178" s="3">
        <f t="shared" si="260"/>
        <v>4.9331773559708001</v>
      </c>
      <c r="Y178" s="3">
        <f t="shared" si="260"/>
        <v>4.7420992264456503</v>
      </c>
      <c r="Z178" s="3">
        <f t="shared" si="260"/>
        <v>4.5556343206085446</v>
      </c>
      <c r="AA178" s="3">
        <f t="shared" si="260"/>
        <v>4.3740091802470404</v>
      </c>
      <c r="AB178" s="3">
        <f t="shared" si="260"/>
        <v>4.1973787847172241</v>
      </c>
      <c r="AC178" s="3">
        <f t="shared" si="260"/>
        <v>4.0258411295089829</v>
      </c>
      <c r="AD178" s="3">
        <f t="shared" si="260"/>
        <v>3.8594539373344388</v>
      </c>
      <c r="AE178" s="3">
        <f t="shared" si="260"/>
        <v>3.6982476620481597</v>
      </c>
      <c r="AF178" s="3">
        <f t="shared" si="260"/>
        <v>3.5422361769679709</v>
      </c>
      <c r="AG178" s="3">
        <f t="shared" si="260"/>
        <v>3.3914191533043634</v>
      </c>
      <c r="AH178" s="3">
        <f t="shared" si="260"/>
        <v>3.245780954532818</v>
      </c>
      <c r="AI178" s="3">
        <f t="shared" si="260"/>
        <v>3.1052888346903336</v>
      </c>
      <c r="AJ178" s="3">
        <f t="shared" si="260"/>
        <v>2.9698931448255075</v>
      </c>
      <c r="AK178" s="3">
        <f t="shared" si="260"/>
        <v>2.8395275775072086</v>
      </c>
      <c r="AL178" s="3">
        <f t="shared" si="260"/>
        <v>2.7141113191917636</v>
      </c>
      <c r="AM178" s="3">
        <f t="shared" si="260"/>
        <v>2.5935487621040023</v>
      </c>
      <c r="AN178" s="3">
        <f t="shared" si="260"/>
        <v>2.4777313461650814</v>
      </c>
      <c r="AO178" s="3">
        <f t="shared" si="260"/>
        <v>2.3665391834116756</v>
      </c>
      <c r="AP178" s="3">
        <f t="shared" si="260"/>
        <v>2.259844487753917</v>
      </c>
      <c r="AQ178" s="3">
        <f t="shared" si="260"/>
        <v>2.1575132464972628</v>
      </c>
      <c r="AR178" s="3">
        <f t="shared" si="260"/>
        <v>2.0594077251722611</v>
      </c>
      <c r="AS178" s="3">
        <f t="shared" si="260"/>
        <v>1.9653892537631719</v>
      </c>
      <c r="AT178" s="3">
        <f t="shared" si="260"/>
        <v>1.8753214233500619</v>
      </c>
      <c r="AU178" s="3">
        <f t="shared" si="260"/>
        <v>1.7890718284365978</v>
      </c>
      <c r="AV178" s="3">
        <f t="shared" si="260"/>
        <v>1.7065121228007474</v>
      </c>
      <c r="AW178" s="3">
        <f t="shared" si="260"/>
        <v>1.6275170017715885</v>
      </c>
      <c r="AX178" s="3">
        <f t="shared" si="260"/>
        <v>1.5519630440171501</v>
      </c>
      <c r="AY178" s="3">
        <f t="shared" si="260"/>
        <v>1.4797282904657003</v>
      </c>
      <c r="AZ178" s="3">
        <f t="shared" si="260"/>
        <v>1.4106922658187853</v>
      </c>
      <c r="BA178" s="3">
        <f t="shared" si="260"/>
        <v>1.3447357499153578</v>
      </c>
      <c r="BB178" s="3">
        <f t="shared" si="260"/>
        <v>1.2817409347049118</v>
      </c>
      <c r="BC178" s="3">
        <f t="shared" si="260"/>
        <v>1.2215913029669474</v>
      </c>
      <c r="BD178" s="3">
        <f t="shared" si="260"/>
        <v>1.1641720648947855</v>
      </c>
      <c r="BE178" s="3">
        <f t="shared" si="260"/>
        <v>1.1093705069506621</v>
      </c>
      <c r="BF178" s="3">
        <f t="shared" si="260"/>
        <v>1.0570765981109624</v>
      </c>
      <c r="BG178" s="3">
        <f t="shared" si="260"/>
        <v>1.0071835107890643</v>
      </c>
      <c r="BH178" s="3">
        <f t="shared" si="260"/>
        <v>0.95958809942854528</v>
      </c>
      <c r="BI178" s="3">
        <f t="shared" si="260"/>
        <v>0.91419130688219907</v>
      </c>
    </row>
    <row r="179" spans="1:61" hidden="1" outlineLevel="1" x14ac:dyDescent="0.3"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</row>
    <row r="180" spans="1:61" hidden="1" outlineLevel="1" x14ac:dyDescent="0.3">
      <c r="A180" s="16">
        <f>(N180-D180)/11</f>
        <v>-2.7755034607851044E-3</v>
      </c>
      <c r="C180" t="s">
        <v>87</v>
      </c>
      <c r="D180" s="3">
        <f>D176/SUM(D$176:D$178)</f>
        <v>0.34682808218082095</v>
      </c>
      <c r="E180" s="3">
        <f t="shared" ref="E180:N180" si="261">E176/SUM(E$176:E$178)</f>
        <v>0.38563138015691428</v>
      </c>
      <c r="F180" s="3">
        <f t="shared" si="261"/>
        <v>0.37729878858121318</v>
      </c>
      <c r="G180" s="3">
        <f t="shared" si="261"/>
        <v>0.56328448967955036</v>
      </c>
      <c r="H180" s="3">
        <f t="shared" si="261"/>
        <v>0.62634858237891133</v>
      </c>
      <c r="I180" s="3">
        <f t="shared" si="261"/>
        <v>0.55600680570709382</v>
      </c>
      <c r="J180" s="3">
        <f t="shared" si="261"/>
        <v>0.48920346116938745</v>
      </c>
      <c r="K180" s="3">
        <f t="shared" si="261"/>
        <v>0.81046521930547899</v>
      </c>
      <c r="L180" s="3">
        <f t="shared" si="261"/>
        <v>0.48289738430583445</v>
      </c>
      <c r="M180" s="3">
        <f t="shared" si="261"/>
        <v>0.29001778320612437</v>
      </c>
      <c r="N180" s="3">
        <f t="shared" si="261"/>
        <v>0.3162975441121848</v>
      </c>
      <c r="O180" s="15">
        <f>N180+$A180</f>
        <v>0.31352204065139971</v>
      </c>
      <c r="P180" s="15">
        <f t="shared" ref="P180:BI182" si="262">O180+$A180</f>
        <v>0.31074653719061462</v>
      </c>
      <c r="Q180" s="15">
        <f t="shared" si="262"/>
        <v>0.30797103372982954</v>
      </c>
      <c r="R180" s="15">
        <f t="shared" si="262"/>
        <v>0.30519553026904445</v>
      </c>
      <c r="S180" s="15">
        <f t="shared" si="262"/>
        <v>0.30242002680825936</v>
      </c>
      <c r="T180" s="15">
        <f t="shared" si="262"/>
        <v>0.29964452334747427</v>
      </c>
      <c r="U180" s="15">
        <f t="shared" si="262"/>
        <v>0.29686901988668918</v>
      </c>
      <c r="V180" s="15">
        <f t="shared" si="262"/>
        <v>0.29409351642590409</v>
      </c>
      <c r="W180" s="15">
        <f t="shared" si="262"/>
        <v>0.291318012965119</v>
      </c>
      <c r="X180" s="15">
        <f t="shared" si="262"/>
        <v>0.28854250950433391</v>
      </c>
      <c r="Y180" s="15">
        <f t="shared" si="262"/>
        <v>0.28576700604354882</v>
      </c>
      <c r="Z180" s="15">
        <f t="shared" si="262"/>
        <v>0.28299150258276373</v>
      </c>
      <c r="AA180" s="15">
        <f t="shared" si="262"/>
        <v>0.28021599912197864</v>
      </c>
      <c r="AB180" s="15">
        <f t="shared" si="262"/>
        <v>0.27744049566119355</v>
      </c>
      <c r="AC180" s="15">
        <f t="shared" si="262"/>
        <v>0.27466499220040846</v>
      </c>
      <c r="AD180" s="15">
        <f t="shared" si="262"/>
        <v>0.27188948873962338</v>
      </c>
      <c r="AE180" s="15">
        <f t="shared" si="262"/>
        <v>0.26911398527883829</v>
      </c>
      <c r="AF180" s="15">
        <f t="shared" si="262"/>
        <v>0.2663384818180532</v>
      </c>
      <c r="AG180" s="15">
        <f t="shared" si="262"/>
        <v>0.26356297835726811</v>
      </c>
      <c r="AH180" s="15">
        <f t="shared" si="262"/>
        <v>0.26078747489648302</v>
      </c>
      <c r="AI180" s="15">
        <f t="shared" si="262"/>
        <v>0.25801197143569793</v>
      </c>
      <c r="AJ180" s="15">
        <f t="shared" si="262"/>
        <v>0.25523646797491284</v>
      </c>
      <c r="AK180" s="15">
        <f t="shared" si="262"/>
        <v>0.25246096451412775</v>
      </c>
      <c r="AL180" s="15">
        <f t="shared" si="262"/>
        <v>0.24968546105334263</v>
      </c>
      <c r="AM180" s="15">
        <f t="shared" si="262"/>
        <v>0.24690995759255752</v>
      </c>
      <c r="AN180" s="15">
        <f t="shared" si="262"/>
        <v>0.2441344541317724</v>
      </c>
      <c r="AO180" s="15">
        <f t="shared" si="262"/>
        <v>0.24135895067098728</v>
      </c>
      <c r="AP180" s="15">
        <f t="shared" si="262"/>
        <v>0.23858344721020217</v>
      </c>
      <c r="AQ180" s="15">
        <f t="shared" si="262"/>
        <v>0.23580794374941705</v>
      </c>
      <c r="AR180" s="15">
        <f t="shared" si="262"/>
        <v>0.23303244028863193</v>
      </c>
      <c r="AS180" s="15">
        <f t="shared" si="262"/>
        <v>0.23025693682784681</v>
      </c>
      <c r="AT180" s="15">
        <f t="shared" si="262"/>
        <v>0.2274814333670617</v>
      </c>
      <c r="AU180" s="15">
        <f t="shared" si="262"/>
        <v>0.22470592990627658</v>
      </c>
      <c r="AV180" s="15">
        <f t="shared" si="262"/>
        <v>0.22193042644549146</v>
      </c>
      <c r="AW180" s="15">
        <f t="shared" si="262"/>
        <v>0.21915492298470635</v>
      </c>
      <c r="AX180" s="15">
        <f t="shared" si="262"/>
        <v>0.21637941952392123</v>
      </c>
      <c r="AY180" s="15">
        <f t="shared" si="262"/>
        <v>0.21360391606313611</v>
      </c>
      <c r="AZ180" s="15">
        <f t="shared" si="262"/>
        <v>0.210828412602351</v>
      </c>
      <c r="BA180" s="15">
        <f t="shared" si="262"/>
        <v>0.20805290914156588</v>
      </c>
      <c r="BB180" s="15">
        <f t="shared" si="262"/>
        <v>0.20527740568078076</v>
      </c>
      <c r="BC180" s="15">
        <f t="shared" si="262"/>
        <v>0.20250190221999564</v>
      </c>
      <c r="BD180" s="15">
        <f t="shared" si="262"/>
        <v>0.19972639875921053</v>
      </c>
      <c r="BE180" s="15">
        <f t="shared" si="262"/>
        <v>0.19695089529842541</v>
      </c>
      <c r="BF180" s="15">
        <f t="shared" si="262"/>
        <v>0.19417539183764029</v>
      </c>
      <c r="BG180" s="15">
        <f t="shared" si="262"/>
        <v>0.19139988837685518</v>
      </c>
      <c r="BH180" s="15">
        <f t="shared" si="262"/>
        <v>0.18862438491607006</v>
      </c>
      <c r="BI180" s="15">
        <f t="shared" si="262"/>
        <v>0.18584888145528494</v>
      </c>
    </row>
    <row r="181" spans="1:61" hidden="1" outlineLevel="1" x14ac:dyDescent="0.3">
      <c r="A181" s="16">
        <f t="shared" ref="A181" si="263">(N181-D181)/11</f>
        <v>-2.9888531106424879E-2</v>
      </c>
      <c r="C181" t="s">
        <v>115</v>
      </c>
      <c r="D181" s="3">
        <f t="shared" ref="D181:N182" si="264">D177/SUM(D$176:D$178)</f>
        <v>0.32877384217067368</v>
      </c>
      <c r="E181" s="3">
        <f t="shared" si="264"/>
        <v>0.30556883935407647</v>
      </c>
      <c r="F181" s="3">
        <f t="shared" si="264"/>
        <v>0.33424628826995334</v>
      </c>
      <c r="G181" s="3">
        <f t="shared" si="264"/>
        <v>0.14856959525337293</v>
      </c>
      <c r="H181" s="3">
        <f t="shared" si="264"/>
        <v>0</v>
      </c>
      <c r="I181" s="3">
        <f t="shared" si="264"/>
        <v>0</v>
      </c>
      <c r="J181" s="3">
        <f t="shared" si="264"/>
        <v>0</v>
      </c>
      <c r="K181" s="3">
        <f t="shared" si="264"/>
        <v>0</v>
      </c>
      <c r="L181" s="3">
        <f t="shared" si="264"/>
        <v>0</v>
      </c>
      <c r="M181" s="3">
        <f t="shared" si="264"/>
        <v>0</v>
      </c>
      <c r="N181" s="3">
        <f t="shared" si="264"/>
        <v>0</v>
      </c>
      <c r="O181" s="15">
        <f t="shared" ref="O181:AD182" si="265">N181+$A181</f>
        <v>-2.9888531106424879E-2</v>
      </c>
      <c r="P181" s="15">
        <f t="shared" si="265"/>
        <v>-5.9777062212849758E-2</v>
      </c>
      <c r="Q181" s="15">
        <f t="shared" si="265"/>
        <v>-8.9665593319274636E-2</v>
      </c>
      <c r="R181" s="15">
        <f t="shared" si="265"/>
        <v>-0.11955412442569952</v>
      </c>
      <c r="S181" s="15">
        <f t="shared" si="265"/>
        <v>-0.14944265553212438</v>
      </c>
      <c r="T181" s="15">
        <f t="shared" si="265"/>
        <v>-0.17933118663854924</v>
      </c>
      <c r="U181" s="15">
        <f t="shared" si="265"/>
        <v>-0.20921971774497411</v>
      </c>
      <c r="V181" s="15">
        <f t="shared" si="265"/>
        <v>-0.23910824885139897</v>
      </c>
      <c r="W181" s="15">
        <f t="shared" si="265"/>
        <v>-0.26899677995782384</v>
      </c>
      <c r="X181" s="15">
        <f t="shared" si="265"/>
        <v>-0.2988853110642487</v>
      </c>
      <c r="Y181" s="15">
        <f t="shared" si="265"/>
        <v>-0.32877384217067357</v>
      </c>
      <c r="Z181" s="15">
        <f t="shared" si="265"/>
        <v>-0.35866237327709843</v>
      </c>
      <c r="AA181" s="15">
        <f t="shared" si="265"/>
        <v>-0.3885509043835233</v>
      </c>
      <c r="AB181" s="15">
        <f t="shared" si="265"/>
        <v>-0.41843943548994816</v>
      </c>
      <c r="AC181" s="15">
        <f t="shared" si="265"/>
        <v>-0.44832796659637303</v>
      </c>
      <c r="AD181" s="15">
        <f t="shared" si="265"/>
        <v>-0.47821649770279789</v>
      </c>
      <c r="AE181" s="15">
        <f t="shared" si="262"/>
        <v>-0.50810502880922281</v>
      </c>
      <c r="AF181" s="15">
        <f t="shared" si="262"/>
        <v>-0.53799355991564768</v>
      </c>
      <c r="AG181" s="15">
        <f t="shared" si="262"/>
        <v>-0.56788209102207254</v>
      </c>
      <c r="AH181" s="15">
        <f t="shared" si="262"/>
        <v>-0.59777062212849741</v>
      </c>
      <c r="AI181" s="15">
        <f t="shared" si="262"/>
        <v>-0.62765915323492227</v>
      </c>
      <c r="AJ181" s="15">
        <f t="shared" si="262"/>
        <v>-0.65754768434134714</v>
      </c>
      <c r="AK181" s="15">
        <f t="shared" si="262"/>
        <v>-0.687436215447772</v>
      </c>
      <c r="AL181" s="15">
        <f t="shared" si="262"/>
        <v>-0.71732474655419687</v>
      </c>
      <c r="AM181" s="15">
        <f t="shared" si="262"/>
        <v>-0.74721327766062173</v>
      </c>
      <c r="AN181" s="15">
        <f t="shared" si="262"/>
        <v>-0.7771018087670466</v>
      </c>
      <c r="AO181" s="15">
        <f t="shared" si="262"/>
        <v>-0.80699033987347146</v>
      </c>
      <c r="AP181" s="15">
        <f t="shared" si="262"/>
        <v>-0.83687887097989633</v>
      </c>
      <c r="AQ181" s="15">
        <f t="shared" si="262"/>
        <v>-0.86676740208632119</v>
      </c>
      <c r="AR181" s="15">
        <f t="shared" si="262"/>
        <v>-0.89665593319274606</v>
      </c>
      <c r="AS181" s="15">
        <f t="shared" si="262"/>
        <v>-0.92654446429917092</v>
      </c>
      <c r="AT181" s="15">
        <f t="shared" si="262"/>
        <v>-0.95643299540559579</v>
      </c>
      <c r="AU181" s="15">
        <f t="shared" si="262"/>
        <v>-0.98632152651202065</v>
      </c>
      <c r="AV181" s="15">
        <f t="shared" si="262"/>
        <v>-1.0162100576184456</v>
      </c>
      <c r="AW181" s="15">
        <f t="shared" si="262"/>
        <v>-1.0460985887248706</v>
      </c>
      <c r="AX181" s="15">
        <f t="shared" si="262"/>
        <v>-1.0759871198312956</v>
      </c>
      <c r="AY181" s="15">
        <f t="shared" si="262"/>
        <v>-1.1058756509377206</v>
      </c>
      <c r="AZ181" s="15">
        <f t="shared" si="262"/>
        <v>-1.1357641820441455</v>
      </c>
      <c r="BA181" s="15">
        <f t="shared" si="262"/>
        <v>-1.1656527131505705</v>
      </c>
      <c r="BB181" s="15">
        <f t="shared" si="262"/>
        <v>-1.1955412442569955</v>
      </c>
      <c r="BC181" s="15">
        <f t="shared" si="262"/>
        <v>-1.2254297753634205</v>
      </c>
      <c r="BD181" s="15">
        <f t="shared" si="262"/>
        <v>-1.2553183064698454</v>
      </c>
      <c r="BE181" s="15">
        <f t="shared" si="262"/>
        <v>-1.2852068375762704</v>
      </c>
      <c r="BF181" s="15">
        <f t="shared" si="262"/>
        <v>-1.3150953686826954</v>
      </c>
      <c r="BG181" s="15">
        <f t="shared" si="262"/>
        <v>-1.3449838997891204</v>
      </c>
      <c r="BH181" s="15">
        <f t="shared" si="262"/>
        <v>-1.3748724308955453</v>
      </c>
      <c r="BI181" s="15">
        <f t="shared" si="262"/>
        <v>-1.4047609620019703</v>
      </c>
    </row>
    <row r="182" spans="1:61" hidden="1" outlineLevel="1" x14ac:dyDescent="0.3">
      <c r="A182" s="16">
        <f>(N182-D182)/11</f>
        <v>3.2664034567209982E-2</v>
      </c>
      <c r="C182" t="s">
        <v>91</v>
      </c>
      <c r="D182" s="3">
        <f t="shared" si="264"/>
        <v>0.32439807564850537</v>
      </c>
      <c r="E182" s="3">
        <f t="shared" si="264"/>
        <v>0.30879978048900936</v>
      </c>
      <c r="F182" s="3">
        <f t="shared" si="264"/>
        <v>0.28845492314883336</v>
      </c>
      <c r="G182" s="3">
        <f t="shared" si="264"/>
        <v>0.28814591506707665</v>
      </c>
      <c r="H182" s="3">
        <f t="shared" si="264"/>
        <v>0.37365141762108867</v>
      </c>
      <c r="I182" s="3">
        <f t="shared" si="264"/>
        <v>0.44399319429290618</v>
      </c>
      <c r="J182" s="3">
        <f t="shared" si="264"/>
        <v>0.5107965388306126</v>
      </c>
      <c r="K182" s="3">
        <f t="shared" si="264"/>
        <v>0.18953478069452104</v>
      </c>
      <c r="L182" s="3">
        <f t="shared" si="264"/>
        <v>0.51710261569416549</v>
      </c>
      <c r="M182" s="3">
        <f t="shared" si="264"/>
        <v>0.70998221679387563</v>
      </c>
      <c r="N182" s="3">
        <f t="shared" si="264"/>
        <v>0.6837024558878152</v>
      </c>
      <c r="O182" s="15">
        <f t="shared" si="265"/>
        <v>0.71636649045502521</v>
      </c>
      <c r="P182" s="15">
        <f t="shared" si="262"/>
        <v>0.74903052502223522</v>
      </c>
      <c r="Q182" s="15">
        <f t="shared" si="262"/>
        <v>0.78169455958944523</v>
      </c>
      <c r="R182" s="15">
        <f t="shared" si="262"/>
        <v>0.81435859415665524</v>
      </c>
      <c r="S182" s="15">
        <f t="shared" si="262"/>
        <v>0.84702262872386525</v>
      </c>
      <c r="T182" s="15">
        <f t="shared" si="262"/>
        <v>0.87968666329107525</v>
      </c>
      <c r="U182" s="15">
        <f t="shared" si="262"/>
        <v>0.91235069785828526</v>
      </c>
      <c r="V182" s="15">
        <f t="shared" si="262"/>
        <v>0.94501473242549527</v>
      </c>
      <c r="W182" s="15">
        <f t="shared" si="262"/>
        <v>0.97767876699270528</v>
      </c>
      <c r="X182" s="15">
        <f t="shared" si="262"/>
        <v>1.0103428015599152</v>
      </c>
      <c r="Y182" s="15">
        <f t="shared" si="262"/>
        <v>1.0430068361271252</v>
      </c>
      <c r="Z182" s="15">
        <f t="shared" si="262"/>
        <v>1.0756708706943352</v>
      </c>
      <c r="AA182" s="15">
        <f t="shared" si="262"/>
        <v>1.1083349052615452</v>
      </c>
      <c r="AB182" s="15">
        <f t="shared" si="262"/>
        <v>1.1409989398287552</v>
      </c>
      <c r="AC182" s="15">
        <f t="shared" si="262"/>
        <v>1.1736629743959652</v>
      </c>
      <c r="AD182" s="15">
        <f t="shared" si="262"/>
        <v>1.2063270089631752</v>
      </c>
      <c r="AE182" s="15">
        <f t="shared" si="262"/>
        <v>1.2389910435303852</v>
      </c>
      <c r="AF182" s="15">
        <f t="shared" si="262"/>
        <v>1.2716550780975953</v>
      </c>
      <c r="AG182" s="15">
        <f t="shared" si="262"/>
        <v>1.3043191126648053</v>
      </c>
      <c r="AH182" s="15">
        <f t="shared" si="262"/>
        <v>1.3369831472320153</v>
      </c>
      <c r="AI182" s="15">
        <f t="shared" si="262"/>
        <v>1.3696471817992253</v>
      </c>
      <c r="AJ182" s="15">
        <f t="shared" si="262"/>
        <v>1.4023112163664353</v>
      </c>
      <c r="AK182" s="15">
        <f t="shared" si="262"/>
        <v>1.4349752509336453</v>
      </c>
      <c r="AL182" s="15">
        <f t="shared" si="262"/>
        <v>1.4676392855008553</v>
      </c>
      <c r="AM182" s="15">
        <f t="shared" si="262"/>
        <v>1.5003033200680653</v>
      </c>
      <c r="AN182" s="15">
        <f t="shared" si="262"/>
        <v>1.5329673546352753</v>
      </c>
      <c r="AO182" s="15">
        <f t="shared" si="262"/>
        <v>1.5656313892024853</v>
      </c>
      <c r="AP182" s="15">
        <f t="shared" si="262"/>
        <v>1.5982954237696954</v>
      </c>
      <c r="AQ182" s="15">
        <f t="shared" si="262"/>
        <v>1.6309594583369054</v>
      </c>
      <c r="AR182" s="15">
        <f t="shared" si="262"/>
        <v>1.6636234929041154</v>
      </c>
      <c r="AS182" s="15">
        <f t="shared" si="262"/>
        <v>1.6962875274713254</v>
      </c>
      <c r="AT182" s="15">
        <f t="shared" si="262"/>
        <v>1.7289515620385354</v>
      </c>
      <c r="AU182" s="15">
        <f t="shared" si="262"/>
        <v>1.7616155966057454</v>
      </c>
      <c r="AV182" s="15">
        <f t="shared" si="262"/>
        <v>1.7942796311729554</v>
      </c>
      <c r="AW182" s="15">
        <f t="shared" si="262"/>
        <v>1.8269436657401654</v>
      </c>
      <c r="AX182" s="15">
        <f t="shared" si="262"/>
        <v>1.8596077003073754</v>
      </c>
      <c r="AY182" s="15">
        <f t="shared" si="262"/>
        <v>1.8922717348745854</v>
      </c>
      <c r="AZ182" s="15">
        <f t="shared" si="262"/>
        <v>1.9249357694417955</v>
      </c>
      <c r="BA182" s="15">
        <f t="shared" si="262"/>
        <v>1.9575998040090055</v>
      </c>
      <c r="BB182" s="15">
        <f t="shared" si="262"/>
        <v>1.9902638385762155</v>
      </c>
      <c r="BC182" s="15">
        <f t="shared" si="262"/>
        <v>2.0229278731434253</v>
      </c>
      <c r="BD182" s="15">
        <f t="shared" si="262"/>
        <v>2.0555919077106353</v>
      </c>
      <c r="BE182" s="15">
        <f t="shared" si="262"/>
        <v>2.0882559422778453</v>
      </c>
      <c r="BF182" s="15">
        <f t="shared" si="262"/>
        <v>2.1209199768450553</v>
      </c>
      <c r="BG182" s="15">
        <f t="shared" si="262"/>
        <v>2.1535840114122653</v>
      </c>
      <c r="BH182" s="15">
        <f t="shared" si="262"/>
        <v>2.1862480459794753</v>
      </c>
      <c r="BI182" s="15">
        <f t="shared" si="262"/>
        <v>2.2189120805466853</v>
      </c>
    </row>
    <row r="183" spans="1:61" hidden="1" outlineLevel="1" x14ac:dyDescent="0.3"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</row>
    <row r="184" spans="1:61" hidden="1" outlineLevel="1" x14ac:dyDescent="0.3">
      <c r="C184" t="s">
        <v>87</v>
      </c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15">
        <f>IF(O180&gt;0,O180*O$162,0)</f>
        <v>3.0534198476330641</v>
      </c>
      <c r="P184" s="15">
        <f t="shared" ref="P184:BI186" si="266">IF(P180&gt;0,P180*P$162,0)</f>
        <v>2.8881097217694456</v>
      </c>
      <c r="Q184" s="15">
        <f t="shared" si="266"/>
        <v>2.7308538309503452</v>
      </c>
      <c r="R184" s="15">
        <f t="shared" si="266"/>
        <v>2.5813222149727366</v>
      </c>
      <c r="S184" s="15">
        <f t="shared" si="266"/>
        <v>2.4392083106539331</v>
      </c>
      <c r="T184" s="15">
        <f t="shared" si="266"/>
        <v>2.304222592826199</v>
      </c>
      <c r="U184" s="15">
        <f t="shared" si="266"/>
        <v>2.1760821408323854</v>
      </c>
      <c r="V184" s="15">
        <f t="shared" si="266"/>
        <v>2.0545070971637642</v>
      </c>
      <c r="W184" s="15">
        <f t="shared" si="266"/>
        <v>1.9392198780277683</v>
      </c>
      <c r="X184" s="15">
        <f t="shared" si="266"/>
        <v>1.8299473211470436</v>
      </c>
      <c r="Y184" s="15">
        <f t="shared" si="266"/>
        <v>1.7264207101728086</v>
      </c>
      <c r="Z184" s="15">
        <f t="shared" si="266"/>
        <v>1.6283748698361769</v>
      </c>
      <c r="AA184" s="15">
        <f t="shared" si="266"/>
        <v>1.5355480575978295</v>
      </c>
      <c r="AB184" s="15">
        <f t="shared" si="266"/>
        <v>1.4476833211957834</v>
      </c>
      <c r="AC184" s="15">
        <f t="shared" si="266"/>
        <v>1.364531150585512</v>
      </c>
      <c r="AD184" s="15">
        <f t="shared" si="266"/>
        <v>1.2858528549299477</v>
      </c>
      <c r="AE184" s="15">
        <f t="shared" si="266"/>
        <v>1.2114226244291999</v>
      </c>
      <c r="AF184" s="15">
        <f t="shared" si="266"/>
        <v>1.1410288388992382</v>
      </c>
      <c r="AG184" s="15">
        <f t="shared" si="266"/>
        <v>1.074472776443282</v>
      </c>
      <c r="AH184" s="15">
        <f t="shared" si="266"/>
        <v>1.0115664932000077</v>
      </c>
      <c r="AI184" s="15">
        <f t="shared" si="266"/>
        <v>0.9521308029865555</v>
      </c>
      <c r="AJ184" s="15">
        <f t="shared" si="266"/>
        <v>0.89599414833095026</v>
      </c>
      <c r="AK184" s="15">
        <f t="shared" si="266"/>
        <v>0.84299166920909174</v>
      </c>
      <c r="AL184" s="15">
        <f t="shared" si="266"/>
        <v>0.79296498498746515</v>
      </c>
      <c r="AM184" s="15">
        <f t="shared" si="266"/>
        <v>0.74576135322922976</v>
      </c>
      <c r="AN184" s="15">
        <f t="shared" si="266"/>
        <v>0.70123355966745393</v>
      </c>
      <c r="AO184" s="15">
        <f t="shared" si="266"/>
        <v>0.6592398009819056</v>
      </c>
      <c r="AP184" s="15">
        <f t="shared" si="266"/>
        <v>0.6196441100383695</v>
      </c>
      <c r="AQ184" s="15">
        <f t="shared" si="266"/>
        <v>0.58231629736360546</v>
      </c>
      <c r="AR184" s="15">
        <f t="shared" si="266"/>
        <v>0.54713214347211603</v>
      </c>
      <c r="AS184" s="15">
        <f t="shared" si="266"/>
        <v>0.5139736660307227</v>
      </c>
      <c r="AT184" s="15">
        <f t="shared" si="266"/>
        <v>0.48272948178029312</v>
      </c>
      <c r="AU184" s="15">
        <f t="shared" si="266"/>
        <v>0.45329477503871379</v>
      </c>
      <c r="AV184" s="15">
        <f t="shared" si="266"/>
        <v>0.4255708524597403</v>
      </c>
      <c r="AW184" s="15">
        <f t="shared" si="266"/>
        <v>0.39946447677395147</v>
      </c>
      <c r="AX184" s="15">
        <f t="shared" si="266"/>
        <v>0.37488722878974751</v>
      </c>
      <c r="AY184" s="15">
        <f t="shared" si="266"/>
        <v>0.35175510441497282</v>
      </c>
      <c r="AZ184" s="15">
        <f t="shared" si="266"/>
        <v>0.32998825320388248</v>
      </c>
      <c r="BA184" s="15">
        <f t="shared" si="266"/>
        <v>0.3095106836641206</v>
      </c>
      <c r="BB184" s="15">
        <f t="shared" si="266"/>
        <v>0.29025008296239846</v>
      </c>
      <c r="BC184" s="15">
        <f t="shared" si="266"/>
        <v>0.27213759054662157</v>
      </c>
      <c r="BD184" s="15">
        <f t="shared" si="266"/>
        <v>0.25510771396115245</v>
      </c>
      <c r="BE184" s="15">
        <f t="shared" si="266"/>
        <v>0.23909823164872077</v>
      </c>
      <c r="BF184" s="15">
        <f t="shared" si="266"/>
        <v>0.22405015672961215</v>
      </c>
      <c r="BG184" s="15">
        <f t="shared" si="266"/>
        <v>0.20990768270508336</v>
      </c>
      <c r="BH184" s="15">
        <f t="shared" si="266"/>
        <v>0.19661812105634857</v>
      </c>
      <c r="BI184" s="15">
        <f t="shared" si="266"/>
        <v>0.18413182487554827</v>
      </c>
    </row>
    <row r="185" spans="1:61" hidden="1" outlineLevel="1" x14ac:dyDescent="0.3">
      <c r="C185" t="s">
        <v>115</v>
      </c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15">
        <f t="shared" ref="O185:AD186" si="267">IF(O181&gt;0,O181*O$162,0)</f>
        <v>0</v>
      </c>
      <c r="P185" s="15">
        <f t="shared" si="267"/>
        <v>0</v>
      </c>
      <c r="Q185" s="15">
        <f t="shared" si="267"/>
        <v>0</v>
      </c>
      <c r="R185" s="15">
        <f t="shared" si="267"/>
        <v>0</v>
      </c>
      <c r="S185" s="15">
        <f t="shared" si="267"/>
        <v>0</v>
      </c>
      <c r="T185" s="15">
        <f t="shared" si="267"/>
        <v>0</v>
      </c>
      <c r="U185" s="15">
        <f t="shared" si="267"/>
        <v>0</v>
      </c>
      <c r="V185" s="15">
        <f t="shared" si="267"/>
        <v>0</v>
      </c>
      <c r="W185" s="15">
        <f t="shared" si="267"/>
        <v>0</v>
      </c>
      <c r="X185" s="15">
        <f t="shared" si="267"/>
        <v>0</v>
      </c>
      <c r="Y185" s="15">
        <f t="shared" si="267"/>
        <v>0</v>
      </c>
      <c r="Z185" s="15">
        <f t="shared" si="267"/>
        <v>0</v>
      </c>
      <c r="AA185" s="15">
        <f t="shared" si="267"/>
        <v>0</v>
      </c>
      <c r="AB185" s="15">
        <f t="shared" si="267"/>
        <v>0</v>
      </c>
      <c r="AC185" s="15">
        <f t="shared" si="267"/>
        <v>0</v>
      </c>
      <c r="AD185" s="15">
        <f t="shared" si="267"/>
        <v>0</v>
      </c>
      <c r="AE185" s="15">
        <f t="shared" si="266"/>
        <v>0</v>
      </c>
      <c r="AF185" s="15">
        <f t="shared" si="266"/>
        <v>0</v>
      </c>
      <c r="AG185" s="15">
        <f t="shared" si="266"/>
        <v>0</v>
      </c>
      <c r="AH185" s="15">
        <f t="shared" si="266"/>
        <v>0</v>
      </c>
      <c r="AI185" s="15">
        <f t="shared" si="266"/>
        <v>0</v>
      </c>
      <c r="AJ185" s="15">
        <f t="shared" si="266"/>
        <v>0</v>
      </c>
      <c r="AK185" s="15">
        <f t="shared" si="266"/>
        <v>0</v>
      </c>
      <c r="AL185" s="15">
        <f t="shared" si="266"/>
        <v>0</v>
      </c>
      <c r="AM185" s="15">
        <f t="shared" si="266"/>
        <v>0</v>
      </c>
      <c r="AN185" s="15">
        <f t="shared" si="266"/>
        <v>0</v>
      </c>
      <c r="AO185" s="15">
        <f t="shared" si="266"/>
        <v>0</v>
      </c>
      <c r="AP185" s="15">
        <f t="shared" si="266"/>
        <v>0</v>
      </c>
      <c r="AQ185" s="15">
        <f t="shared" si="266"/>
        <v>0</v>
      </c>
      <c r="AR185" s="15">
        <f t="shared" si="266"/>
        <v>0</v>
      </c>
      <c r="AS185" s="15">
        <f t="shared" si="266"/>
        <v>0</v>
      </c>
      <c r="AT185" s="15">
        <f t="shared" si="266"/>
        <v>0</v>
      </c>
      <c r="AU185" s="15">
        <f t="shared" si="266"/>
        <v>0</v>
      </c>
      <c r="AV185" s="15">
        <f t="shared" si="266"/>
        <v>0</v>
      </c>
      <c r="AW185" s="15">
        <f t="shared" si="266"/>
        <v>0</v>
      </c>
      <c r="AX185" s="15">
        <f t="shared" si="266"/>
        <v>0</v>
      </c>
      <c r="AY185" s="15">
        <f t="shared" si="266"/>
        <v>0</v>
      </c>
      <c r="AZ185" s="15">
        <f t="shared" si="266"/>
        <v>0</v>
      </c>
      <c r="BA185" s="15">
        <f t="shared" si="266"/>
        <v>0</v>
      </c>
      <c r="BB185" s="15">
        <f t="shared" si="266"/>
        <v>0</v>
      </c>
      <c r="BC185" s="15">
        <f t="shared" si="266"/>
        <v>0</v>
      </c>
      <c r="BD185" s="15">
        <f t="shared" si="266"/>
        <v>0</v>
      </c>
      <c r="BE185" s="15">
        <f t="shared" si="266"/>
        <v>0</v>
      </c>
      <c r="BF185" s="15">
        <f t="shared" si="266"/>
        <v>0</v>
      </c>
      <c r="BG185" s="15">
        <f t="shared" si="266"/>
        <v>0</v>
      </c>
      <c r="BH185" s="15">
        <f t="shared" si="266"/>
        <v>0</v>
      </c>
      <c r="BI185" s="15">
        <f t="shared" si="266"/>
        <v>0</v>
      </c>
    </row>
    <row r="186" spans="1:61" hidden="1" outlineLevel="1" x14ac:dyDescent="0.3">
      <c r="C186" t="s">
        <v>91</v>
      </c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15">
        <f t="shared" si="267"/>
        <v>6.9767588128412186</v>
      </c>
      <c r="P186" s="15">
        <f t="shared" si="266"/>
        <v>6.9615653991722946</v>
      </c>
      <c r="Q186" s="15">
        <f t="shared" si="266"/>
        <v>6.9314752002311986</v>
      </c>
      <c r="R186" s="15">
        <f t="shared" si="266"/>
        <v>6.8877874069696245</v>
      </c>
      <c r="S186" s="15">
        <f t="shared" si="266"/>
        <v>6.8317718806536627</v>
      </c>
      <c r="T186" s="15">
        <f t="shared" si="266"/>
        <v>6.7646618784106494</v>
      </c>
      <c r="U186" s="15">
        <f t="shared" si="266"/>
        <v>6.6876296507569526</v>
      </c>
      <c r="V186" s="15">
        <f t="shared" si="266"/>
        <v>6.6017758510553906</v>
      </c>
      <c r="W186" s="15">
        <f t="shared" si="266"/>
        <v>6.508125192742348</v>
      </c>
      <c r="X186" s="15">
        <f t="shared" si="266"/>
        <v>6.4076316045452426</v>
      </c>
      <c r="Y186" s="15">
        <f t="shared" si="266"/>
        <v>6.3011774090787682</v>
      </c>
      <c r="Z186" s="15">
        <f t="shared" si="266"/>
        <v>6.1895689378206091</v>
      </c>
      <c r="AA186" s="15">
        <f t="shared" si="266"/>
        <v>6.0735344030138645</v>
      </c>
      <c r="AB186" s="15">
        <f t="shared" si="266"/>
        <v>5.9537275939317862</v>
      </c>
      <c r="AC186" s="15">
        <f t="shared" si="266"/>
        <v>5.830738296941794</v>
      </c>
      <c r="AD186" s="15">
        <f t="shared" si="266"/>
        <v>5.7051084822917906</v>
      </c>
      <c r="AE186" s="15">
        <f t="shared" si="266"/>
        <v>5.5773458969167837</v>
      </c>
      <c r="AF186" s="15">
        <f t="shared" si="266"/>
        <v>5.4479364278769671</v>
      </c>
      <c r="AG186" s="15">
        <f t="shared" si="266"/>
        <v>5.3173453536151545</v>
      </c>
      <c r="AH186" s="15">
        <f t="shared" si="266"/>
        <v>5.1860134550167318</v>
      </c>
      <c r="AI186" s="15">
        <f t="shared" si="266"/>
        <v>5.0543517952219297</v>
      </c>
      <c r="AJ186" s="15">
        <f t="shared" si="266"/>
        <v>4.9227395049467644</v>
      </c>
      <c r="AK186" s="15">
        <f t="shared" si="266"/>
        <v>4.7915216690483469</v>
      </c>
      <c r="AL186" s="15">
        <f t="shared" si="266"/>
        <v>4.6610105333508756</v>
      </c>
      <c r="AM186" s="15">
        <f t="shared" si="266"/>
        <v>4.5314828334083845</v>
      </c>
      <c r="AN186" s="15">
        <f t="shared" si="266"/>
        <v>4.4031808569087776</v>
      </c>
      <c r="AO186" s="15">
        <f t="shared" si="266"/>
        <v>4.2763134433569538</v>
      </c>
      <c r="AP186" s="15">
        <f t="shared" si="266"/>
        <v>4.1510605912555603</v>
      </c>
      <c r="AQ186" s="15">
        <f t="shared" si="266"/>
        <v>4.027575398130522</v>
      </c>
      <c r="AR186" s="15">
        <f t="shared" si="266"/>
        <v>3.9059878808109483</v>
      </c>
      <c r="AS186" s="15">
        <f t="shared" si="266"/>
        <v>3.7864097870305198</v>
      </c>
      <c r="AT186" s="15">
        <f t="shared" si="266"/>
        <v>3.6689407096330493</v>
      </c>
      <c r="AU186" s="15">
        <f t="shared" si="266"/>
        <v>3.5536718852998375</v>
      </c>
      <c r="AV186" s="15">
        <f t="shared" si="266"/>
        <v>3.4406869054386728</v>
      </c>
      <c r="AW186" s="15">
        <f t="shared" si="266"/>
        <v>3.3300602404505821</v>
      </c>
      <c r="AX186" s="15">
        <f t="shared" si="266"/>
        <v>3.2218552898337749</v>
      </c>
      <c r="AY186" s="15">
        <f t="shared" si="266"/>
        <v>3.1161237768954182</v>
      </c>
      <c r="AZ186" s="15">
        <f t="shared" si="266"/>
        <v>3.0129060132224614</v>
      </c>
      <c r="BA186" s="15">
        <f t="shared" si="266"/>
        <v>2.9122306252747627</v>
      </c>
      <c r="BB186" s="15">
        <f t="shared" si="266"/>
        <v>2.8141150865971474</v>
      </c>
      <c r="BC186" s="15">
        <f t="shared" si="266"/>
        <v>2.7185656589476421</v>
      </c>
      <c r="BD186" s="15">
        <f t="shared" si="266"/>
        <v>2.6255785698380114</v>
      </c>
      <c r="BE186" s="15">
        <f t="shared" si="266"/>
        <v>2.5351410678891071</v>
      </c>
      <c r="BF186" s="15">
        <f t="shared" si="266"/>
        <v>2.4472331366295479</v>
      </c>
      <c r="BG186" s="15">
        <f t="shared" si="266"/>
        <v>2.3618291169334378</v>
      </c>
      <c r="BH186" s="15">
        <f t="shared" si="266"/>
        <v>2.2788993223483054</v>
      </c>
      <c r="BI186" s="15">
        <f t="shared" si="266"/>
        <v>2.1984115665918753</v>
      </c>
    </row>
    <row r="187" spans="1:61" hidden="1" outlineLevel="1" x14ac:dyDescent="0.3"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</row>
    <row r="188" spans="1:61" collapsed="1" x14ac:dyDescent="0.3">
      <c r="A188" t="s">
        <v>210</v>
      </c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</row>
    <row r="189" spans="1:61" hidden="1" outlineLevel="1" x14ac:dyDescent="0.3">
      <c r="C189" t="s">
        <v>87</v>
      </c>
      <c r="D189" s="3">
        <f t="shared" ref="D189:N189" si="268">D37</f>
        <v>0.96694775464625016</v>
      </c>
      <c r="E189" s="3">
        <f t="shared" si="268"/>
        <v>0.99796760508894711</v>
      </c>
      <c r="F189" s="3">
        <f t="shared" si="268"/>
        <v>1.0575900214300074</v>
      </c>
      <c r="G189" s="3">
        <f t="shared" si="268"/>
        <v>1.2679875917104615</v>
      </c>
      <c r="H189" s="3">
        <f t="shared" si="268"/>
        <v>1.074357399072585</v>
      </c>
      <c r="I189" s="3">
        <f t="shared" si="268"/>
        <v>1.0014955810737676</v>
      </c>
      <c r="J189" s="3">
        <f t="shared" si="268"/>
        <v>1.0190243738354332</v>
      </c>
      <c r="K189" s="3">
        <f t="shared" si="268"/>
        <v>1.7402985785420653</v>
      </c>
      <c r="L189" s="3">
        <f t="shared" si="268"/>
        <v>1.119999999999999</v>
      </c>
      <c r="M189" s="3">
        <f t="shared" si="268"/>
        <v>0.81728833486702479</v>
      </c>
      <c r="N189" s="3">
        <f t="shared" si="268"/>
        <v>0.8488931598918561</v>
      </c>
      <c r="O189" s="3">
        <f t="shared" ref="O189:BI189" si="269">O195/SUM(O$195:O$196)*O$163</f>
        <v>0.82146174984658415</v>
      </c>
      <c r="P189" s="3">
        <f t="shared" si="269"/>
        <v>0.80326994104738381</v>
      </c>
      <c r="Q189" s="3">
        <f t="shared" si="269"/>
        <v>0.78418218061417455</v>
      </c>
      <c r="R189" s="3">
        <f t="shared" si="269"/>
        <v>0.76420023179114416</v>
      </c>
      <c r="S189" s="3">
        <f t="shared" si="269"/>
        <v>0.74333068925121426</v>
      </c>
      <c r="T189" s="3">
        <f t="shared" si="269"/>
        <v>0.72158354112356227</v>
      </c>
      <c r="U189" s="3">
        <f t="shared" si="269"/>
        <v>0.69896904263999049</v>
      </c>
      <c r="V189" s="3">
        <f t="shared" si="269"/>
        <v>0.675496304915296</v>
      </c>
      <c r="W189" s="3">
        <f t="shared" si="269"/>
        <v>0.65117263706180639</v>
      </c>
      <c r="X189" s="3">
        <f t="shared" si="269"/>
        <v>0.62600387960574455</v>
      </c>
      <c r="Y189" s="3">
        <f t="shared" si="269"/>
        <v>0.59999411541306769</v>
      </c>
      <c r="Z189" s="3">
        <f t="shared" si="269"/>
        <v>0.5731450949703959</v>
      </c>
      <c r="AA189" s="3">
        <f t="shared" si="269"/>
        <v>0.54545598853924648</v>
      </c>
      <c r="AB189" s="3">
        <f t="shared" si="269"/>
        <v>0.51692376674252782</v>
      </c>
      <c r="AC189" s="3">
        <f t="shared" si="269"/>
        <v>0.48754419266770116</v>
      </c>
      <c r="AD189" s="3">
        <f t="shared" si="269"/>
        <v>0.45731320187679203</v>
      </c>
      <c r="AE189" s="3">
        <f t="shared" si="269"/>
        <v>0.42622785623434589</v>
      </c>
      <c r="AF189" s="3">
        <f t="shared" si="269"/>
        <v>0.39428696990277867</v>
      </c>
      <c r="AG189" s="3">
        <f t="shared" si="269"/>
        <v>0.36149069444260518</v>
      </c>
      <c r="AH189" s="3">
        <f t="shared" si="269"/>
        <v>0.32783972038266385</v>
      </c>
      <c r="AI189" s="3">
        <f t="shared" si="269"/>
        <v>0.29333448588672018</v>
      </c>
      <c r="AJ189" s="3">
        <f t="shared" si="269"/>
        <v>0.25797470257159916</v>
      </c>
      <c r="AK189" s="3">
        <f t="shared" si="269"/>
        <v>0.22175898900039714</v>
      </c>
      <c r="AL189" s="3">
        <f t="shared" si="269"/>
        <v>0.18468476881373483</v>
      </c>
      <c r="AM189" s="3">
        <f t="shared" si="269"/>
        <v>0.14674807337915854</v>
      </c>
      <c r="AN189" s="3">
        <f t="shared" si="269"/>
        <v>0.10794365570919033</v>
      </c>
      <c r="AO189" s="3">
        <f t="shared" si="269"/>
        <v>6.8265194430644618E-2</v>
      </c>
      <c r="AP189" s="3">
        <f t="shared" si="269"/>
        <v>2.7705634325322522E-2</v>
      </c>
      <c r="AQ189" s="3">
        <f t="shared" si="269"/>
        <v>0</v>
      </c>
      <c r="AR189" s="3">
        <f t="shared" si="269"/>
        <v>0</v>
      </c>
      <c r="AS189" s="3">
        <f t="shared" si="269"/>
        <v>0</v>
      </c>
      <c r="AT189" s="3">
        <f t="shared" si="269"/>
        <v>0</v>
      </c>
      <c r="AU189" s="3">
        <f t="shared" si="269"/>
        <v>0</v>
      </c>
      <c r="AV189" s="3">
        <f t="shared" si="269"/>
        <v>0</v>
      </c>
      <c r="AW189" s="3">
        <f t="shared" si="269"/>
        <v>0</v>
      </c>
      <c r="AX189" s="3">
        <f t="shared" si="269"/>
        <v>0</v>
      </c>
      <c r="AY189" s="3">
        <f t="shared" si="269"/>
        <v>0</v>
      </c>
      <c r="AZ189" s="3">
        <f t="shared" si="269"/>
        <v>0</v>
      </c>
      <c r="BA189" s="3">
        <f t="shared" si="269"/>
        <v>0</v>
      </c>
      <c r="BB189" s="3">
        <f t="shared" si="269"/>
        <v>0</v>
      </c>
      <c r="BC189" s="3">
        <f t="shared" si="269"/>
        <v>0</v>
      </c>
      <c r="BD189" s="3">
        <f t="shared" si="269"/>
        <v>0</v>
      </c>
      <c r="BE189" s="3">
        <f t="shared" si="269"/>
        <v>0</v>
      </c>
      <c r="BF189" s="3">
        <f t="shared" si="269"/>
        <v>0</v>
      </c>
      <c r="BG189" s="3">
        <f t="shared" si="269"/>
        <v>0</v>
      </c>
      <c r="BH189" s="3">
        <f t="shared" si="269"/>
        <v>0</v>
      </c>
      <c r="BI189" s="3">
        <f t="shared" si="269"/>
        <v>0</v>
      </c>
    </row>
    <row r="190" spans="1:61" hidden="1" outlineLevel="1" x14ac:dyDescent="0.3">
      <c r="C190" t="s">
        <v>91</v>
      </c>
      <c r="D190" s="3">
        <f t="shared" ref="D190:N190" si="270">D38</f>
        <v>0.79477141507291993</v>
      </c>
      <c r="E190" s="3">
        <f t="shared" si="270"/>
        <v>0.82399583512681562</v>
      </c>
      <c r="F190" s="3">
        <f t="shared" si="270"/>
        <v>0.82170300347681413</v>
      </c>
      <c r="G190" s="3">
        <f t="shared" si="270"/>
        <v>0.69833056827032136</v>
      </c>
      <c r="H190" s="3">
        <f t="shared" si="270"/>
        <v>0.86919781492599579</v>
      </c>
      <c r="I190" s="3">
        <f t="shared" si="270"/>
        <v>0.88145938796368783</v>
      </c>
      <c r="J190" s="3">
        <f t="shared" si="270"/>
        <v>0.91082527735532937</v>
      </c>
      <c r="K190" s="3">
        <f t="shared" si="270"/>
        <v>0.31606775809159798</v>
      </c>
      <c r="L190" s="3">
        <f t="shared" si="270"/>
        <v>0.94000000000000106</v>
      </c>
      <c r="M190" s="3">
        <f t="shared" si="270"/>
        <v>1.3709869834601243</v>
      </c>
      <c r="N190" s="3">
        <f t="shared" si="270"/>
        <v>1.2911265501351581</v>
      </c>
      <c r="O190" s="3">
        <f t="shared" ref="O190:BI190" si="271">O196/SUM(O$195:O$196)*O$163</f>
        <v>1.3242440279619903</v>
      </c>
      <c r="P190" s="3">
        <f t="shared" si="271"/>
        <v>1.373587566223194</v>
      </c>
      <c r="Q190" s="3">
        <f t="shared" si="271"/>
        <v>1.4237314635037259</v>
      </c>
      <c r="R190" s="3">
        <f t="shared" si="271"/>
        <v>1.4746674981414218</v>
      </c>
      <c r="S190" s="3">
        <f t="shared" si="271"/>
        <v>1.5263962782245042</v>
      </c>
      <c r="T190" s="3">
        <f t="shared" si="271"/>
        <v>1.5789271080473721</v>
      </c>
      <c r="U190" s="3">
        <f t="shared" si="271"/>
        <v>1.6322734766539106</v>
      </c>
      <c r="V190" s="3">
        <f t="shared" si="271"/>
        <v>1.6864506114175524</v>
      </c>
      <c r="W190" s="3">
        <f t="shared" si="271"/>
        <v>1.7414738696539476</v>
      </c>
      <c r="X190" s="3">
        <f t="shared" si="271"/>
        <v>1.7973592481400524</v>
      </c>
      <c r="Y190" s="3">
        <f t="shared" si="271"/>
        <v>1.8541222552044847</v>
      </c>
      <c r="Z190" s="3">
        <f t="shared" si="271"/>
        <v>1.9117753200373169</v>
      </c>
      <c r="AA190" s="3">
        <f t="shared" si="271"/>
        <v>1.9703251707858302</v>
      </c>
      <c r="AB190" s="3">
        <f t="shared" si="271"/>
        <v>2.0297715066186734</v>
      </c>
      <c r="AC190" s="3">
        <f t="shared" si="271"/>
        <v>2.0901078755862508</v>
      </c>
      <c r="AD190" s="3">
        <f t="shared" si="271"/>
        <v>2.1513252627820214</v>
      </c>
      <c r="AE190" s="3">
        <f t="shared" si="271"/>
        <v>2.2134160194761501</v>
      </c>
      <c r="AF190" s="3">
        <f t="shared" si="271"/>
        <v>2.2763786451356545</v>
      </c>
      <c r="AG190" s="3">
        <f t="shared" si="271"/>
        <v>2.3402191861537105</v>
      </c>
      <c r="AH190" s="3">
        <f t="shared" si="271"/>
        <v>2.4049505018849997</v>
      </c>
      <c r="AI190" s="3">
        <f t="shared" si="271"/>
        <v>2.4705903918337926</v>
      </c>
      <c r="AJ190" s="3">
        <f t="shared" si="271"/>
        <v>2.5371604457634396</v>
      </c>
      <c r="AK190" s="3">
        <f t="shared" si="271"/>
        <v>2.6046844401634623</v>
      </c>
      <c r="AL190" s="3">
        <f t="shared" si="271"/>
        <v>2.6731880345180783</v>
      </c>
      <c r="AM190" s="3">
        <f t="shared" si="271"/>
        <v>2.7426960200767394</v>
      </c>
      <c r="AN190" s="3">
        <f t="shared" si="271"/>
        <v>2.8132310569270977</v>
      </c>
      <c r="AO190" s="3">
        <f t="shared" si="271"/>
        <v>2.8848120903825278</v>
      </c>
      <c r="AP190" s="3">
        <f t="shared" si="271"/>
        <v>2.9574550058327151</v>
      </c>
      <c r="AQ190" s="3">
        <f t="shared" si="271"/>
        <v>3.0174292186964808</v>
      </c>
      <c r="AR190" s="3">
        <f t="shared" si="271"/>
        <v>3.049883934036882</v>
      </c>
      <c r="AS190" s="3">
        <f t="shared" si="271"/>
        <v>3.0825242244990325</v>
      </c>
      <c r="AT190" s="3">
        <f t="shared" si="271"/>
        <v>3.1153518832869982</v>
      </c>
      <c r="AU190" s="3">
        <f t="shared" si="271"/>
        <v>3.1483739332311917</v>
      </c>
      <c r="AV190" s="3">
        <f t="shared" si="271"/>
        <v>3.1816034110484521</v>
      </c>
      <c r="AW190" s="3">
        <f t="shared" si="271"/>
        <v>3.2150581888657053</v>
      </c>
      <c r="AX190" s="3">
        <f t="shared" si="271"/>
        <v>3.2487589244500739</v>
      </c>
      <c r="AY190" s="3">
        <f t="shared" si="271"/>
        <v>3.2827278282338974</v>
      </c>
      <c r="AZ190" s="3">
        <f t="shared" si="271"/>
        <v>3.3169880587317526</v>
      </c>
      <c r="BA190" s="3">
        <f t="shared" si="271"/>
        <v>3.3515623722861432</v>
      </c>
      <c r="BB190" s="3">
        <f t="shared" si="271"/>
        <v>3.3864724279040743</v>
      </c>
      <c r="BC190" s="3">
        <f t="shared" si="271"/>
        <v>3.4217372499199605</v>
      </c>
      <c r="BD190" s="3">
        <f t="shared" si="271"/>
        <v>3.4573730057259109</v>
      </c>
      <c r="BE190" s="3">
        <f t="shared" si="271"/>
        <v>3.4933927094441977</v>
      </c>
      <c r="BF190" s="3">
        <f t="shared" si="271"/>
        <v>3.5298069533359686</v>
      </c>
      <c r="BG190" s="3">
        <f t="shared" si="271"/>
        <v>3.5666248748079568</v>
      </c>
      <c r="BH190" s="3">
        <f t="shared" si="271"/>
        <v>3.6038555288054233</v>
      </c>
      <c r="BI190" s="3">
        <f t="shared" si="271"/>
        <v>3.6415096160815197</v>
      </c>
    </row>
    <row r="191" spans="1:61" hidden="1" outlineLevel="1" x14ac:dyDescent="0.3"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</row>
    <row r="192" spans="1:61" hidden="1" outlineLevel="1" x14ac:dyDescent="0.3">
      <c r="A192" s="16">
        <f>(N192-D192)/11</f>
        <v>-1.3835509754044855E-2</v>
      </c>
      <c r="C192" t="s">
        <v>87</v>
      </c>
      <c r="D192" s="3">
        <f>D189/SUM(D$189:D$190)</f>
        <v>0.54886600047633483</v>
      </c>
      <c r="E192" s="3">
        <f t="shared" ref="E192:N192" si="272">E189/SUM(E$189:E$190)</f>
        <v>0.54774293658206696</v>
      </c>
      <c r="F192" s="3">
        <f t="shared" si="272"/>
        <v>0.56275950978025069</v>
      </c>
      <c r="G192" s="3">
        <f t="shared" si="272"/>
        <v>0.64485372587051415</v>
      </c>
      <c r="H192" s="3">
        <f t="shared" si="272"/>
        <v>0.5527794586613527</v>
      </c>
      <c r="I192" s="3">
        <f t="shared" si="272"/>
        <v>0.53187441948530523</v>
      </c>
      <c r="J192" s="3">
        <f t="shared" si="272"/>
        <v>0.52803303781031397</v>
      </c>
      <c r="K192" s="3">
        <f t="shared" si="272"/>
        <v>0.84629793220160809</v>
      </c>
      <c r="L192" s="3">
        <f t="shared" si="272"/>
        <v>0.54368932038834905</v>
      </c>
      <c r="M192" s="3">
        <f t="shared" si="272"/>
        <v>0.37348514970767471</v>
      </c>
      <c r="N192" s="3">
        <f t="shared" si="272"/>
        <v>0.39667539318184142</v>
      </c>
      <c r="O192" s="15">
        <f>N192+$A192</f>
        <v>0.38283988342779657</v>
      </c>
      <c r="P192" s="15">
        <f t="shared" ref="P192:BI192" si="273">O192+$A192</f>
        <v>0.36900437367375172</v>
      </c>
      <c r="Q192" s="15">
        <f t="shared" si="273"/>
        <v>0.35516886391970687</v>
      </c>
      <c r="R192" s="15">
        <f t="shared" si="273"/>
        <v>0.34133335416566202</v>
      </c>
      <c r="S192" s="15">
        <f t="shared" si="273"/>
        <v>0.32749784441161717</v>
      </c>
      <c r="T192" s="15">
        <f t="shared" si="273"/>
        <v>0.31366233465757232</v>
      </c>
      <c r="U192" s="15">
        <f t="shared" si="273"/>
        <v>0.29982682490352747</v>
      </c>
      <c r="V192" s="15">
        <f t="shared" si="273"/>
        <v>0.28599131514948262</v>
      </c>
      <c r="W192" s="15">
        <f t="shared" si="273"/>
        <v>0.27215580539543777</v>
      </c>
      <c r="X192" s="15">
        <f t="shared" si="273"/>
        <v>0.25832029564139292</v>
      </c>
      <c r="Y192" s="15">
        <f t="shared" si="273"/>
        <v>0.24448478588734807</v>
      </c>
      <c r="Z192" s="15">
        <f t="shared" si="273"/>
        <v>0.23064927613330322</v>
      </c>
      <c r="AA192" s="15">
        <f t="shared" si="273"/>
        <v>0.21681376637925837</v>
      </c>
      <c r="AB192" s="15">
        <f t="shared" si="273"/>
        <v>0.20297825662521352</v>
      </c>
      <c r="AC192" s="15">
        <f t="shared" si="273"/>
        <v>0.18914274687116867</v>
      </c>
      <c r="AD192" s="15">
        <f t="shared" si="273"/>
        <v>0.17530723711712382</v>
      </c>
      <c r="AE192" s="15">
        <f t="shared" si="273"/>
        <v>0.16147172736307897</v>
      </c>
      <c r="AF192" s="15">
        <f t="shared" si="273"/>
        <v>0.14763621760903411</v>
      </c>
      <c r="AG192" s="15">
        <f t="shared" si="273"/>
        <v>0.13380070785498926</v>
      </c>
      <c r="AH192" s="15">
        <f t="shared" si="273"/>
        <v>0.11996519810094441</v>
      </c>
      <c r="AI192" s="15">
        <f t="shared" si="273"/>
        <v>0.10612968834689956</v>
      </c>
      <c r="AJ192" s="15">
        <f t="shared" si="273"/>
        <v>9.2294178592854714E-2</v>
      </c>
      <c r="AK192" s="15">
        <f t="shared" si="273"/>
        <v>7.8458668838809864E-2</v>
      </c>
      <c r="AL192" s="15">
        <f t="shared" si="273"/>
        <v>6.4623159084765014E-2</v>
      </c>
      <c r="AM192" s="15">
        <f t="shared" si="273"/>
        <v>5.0787649330720157E-2</v>
      </c>
      <c r="AN192" s="15">
        <f t="shared" si="273"/>
        <v>3.69521395766753E-2</v>
      </c>
      <c r="AO192" s="15">
        <f t="shared" si="273"/>
        <v>2.3116629822630443E-2</v>
      </c>
      <c r="AP192" s="15">
        <f t="shared" si="273"/>
        <v>9.2811200685855872E-3</v>
      </c>
      <c r="AQ192" s="15">
        <f t="shared" si="273"/>
        <v>-4.5543896854592682E-3</v>
      </c>
      <c r="AR192" s="15">
        <f t="shared" si="273"/>
        <v>-1.8389899439504122E-2</v>
      </c>
      <c r="AS192" s="15">
        <f t="shared" si="273"/>
        <v>-3.2225409193548979E-2</v>
      </c>
      <c r="AT192" s="15">
        <f t="shared" si="273"/>
        <v>-4.6060918947593836E-2</v>
      </c>
      <c r="AU192" s="15">
        <f t="shared" si="273"/>
        <v>-5.9896428701638693E-2</v>
      </c>
      <c r="AV192" s="15">
        <f t="shared" si="273"/>
        <v>-7.3731938455683543E-2</v>
      </c>
      <c r="AW192" s="15">
        <f t="shared" si="273"/>
        <v>-8.7567448209728393E-2</v>
      </c>
      <c r="AX192" s="15">
        <f t="shared" si="273"/>
        <v>-0.10140295796377324</v>
      </c>
      <c r="AY192" s="15">
        <f t="shared" si="273"/>
        <v>-0.11523846771781809</v>
      </c>
      <c r="AZ192" s="15">
        <f t="shared" si="273"/>
        <v>-0.12907397747186294</v>
      </c>
      <c r="BA192" s="15">
        <f t="shared" si="273"/>
        <v>-0.14290948722590779</v>
      </c>
      <c r="BB192" s="15">
        <f t="shared" si="273"/>
        <v>-0.15674499697995264</v>
      </c>
      <c r="BC192" s="15">
        <f t="shared" si="273"/>
        <v>-0.17058050673399749</v>
      </c>
      <c r="BD192" s="15">
        <f t="shared" si="273"/>
        <v>-0.18441601648804234</v>
      </c>
      <c r="BE192" s="15">
        <f t="shared" si="273"/>
        <v>-0.19825152624208719</v>
      </c>
      <c r="BF192" s="15">
        <f t="shared" si="273"/>
        <v>-0.21208703599613205</v>
      </c>
      <c r="BG192" s="15">
        <f t="shared" si="273"/>
        <v>-0.2259225457501769</v>
      </c>
      <c r="BH192" s="15">
        <f t="shared" si="273"/>
        <v>-0.23975805550422175</v>
      </c>
      <c r="BI192" s="15">
        <f t="shared" si="273"/>
        <v>-0.2535935652582666</v>
      </c>
    </row>
    <row r="193" spans="1:61" hidden="1" outlineLevel="1" x14ac:dyDescent="0.3">
      <c r="A193" s="16">
        <f t="shared" ref="A193" si="274">(N193-D193)/11</f>
        <v>1.3835509754044855E-2</v>
      </c>
      <c r="C193" t="s">
        <v>91</v>
      </c>
      <c r="D193" s="3">
        <f>D190/SUM(D$189:D$190)</f>
        <v>0.45113399952366517</v>
      </c>
      <c r="E193" s="3">
        <f t="shared" ref="E193:N193" si="275">E190/SUM(E$189:E$190)</f>
        <v>0.45225706341793304</v>
      </c>
      <c r="F193" s="3">
        <f t="shared" si="275"/>
        <v>0.43724049021974926</v>
      </c>
      <c r="G193" s="3">
        <f t="shared" si="275"/>
        <v>0.35514627412948585</v>
      </c>
      <c r="H193" s="3">
        <f t="shared" si="275"/>
        <v>0.4472205413386473</v>
      </c>
      <c r="I193" s="3">
        <f t="shared" si="275"/>
        <v>0.46812558051469472</v>
      </c>
      <c r="J193" s="3">
        <f t="shared" si="275"/>
        <v>0.47196696218968598</v>
      </c>
      <c r="K193" s="3">
        <f t="shared" si="275"/>
        <v>0.15370206779839185</v>
      </c>
      <c r="L193" s="3">
        <f t="shared" si="275"/>
        <v>0.456310679611651</v>
      </c>
      <c r="M193" s="3">
        <f t="shared" si="275"/>
        <v>0.62651485029232534</v>
      </c>
      <c r="N193" s="3">
        <f t="shared" si="275"/>
        <v>0.60332460681815858</v>
      </c>
      <c r="O193" s="15">
        <f t="shared" ref="O193:BI193" si="276">N193+$A193</f>
        <v>0.61716011657220349</v>
      </c>
      <c r="P193" s="15">
        <f t="shared" si="276"/>
        <v>0.63099562632624839</v>
      </c>
      <c r="Q193" s="15">
        <f t="shared" si="276"/>
        <v>0.6448311360802933</v>
      </c>
      <c r="R193" s="15">
        <f t="shared" si="276"/>
        <v>0.6586666458343382</v>
      </c>
      <c r="S193" s="15">
        <f t="shared" si="276"/>
        <v>0.67250215558838311</v>
      </c>
      <c r="T193" s="15">
        <f t="shared" si="276"/>
        <v>0.68633766534242802</v>
      </c>
      <c r="U193" s="15">
        <f t="shared" si="276"/>
        <v>0.70017317509647292</v>
      </c>
      <c r="V193" s="15">
        <f t="shared" si="276"/>
        <v>0.71400868485051783</v>
      </c>
      <c r="W193" s="15">
        <f t="shared" si="276"/>
        <v>0.72784419460456273</v>
      </c>
      <c r="X193" s="15">
        <f t="shared" si="276"/>
        <v>0.74167970435860764</v>
      </c>
      <c r="Y193" s="15">
        <f t="shared" si="276"/>
        <v>0.75551521411265254</v>
      </c>
      <c r="Z193" s="15">
        <f t="shared" si="276"/>
        <v>0.76935072386669745</v>
      </c>
      <c r="AA193" s="15">
        <f t="shared" si="276"/>
        <v>0.78318623362074236</v>
      </c>
      <c r="AB193" s="15">
        <f t="shared" si="276"/>
        <v>0.79702174337478726</v>
      </c>
      <c r="AC193" s="15">
        <f t="shared" si="276"/>
        <v>0.81085725312883217</v>
      </c>
      <c r="AD193" s="15">
        <f t="shared" si="276"/>
        <v>0.82469276288287707</v>
      </c>
      <c r="AE193" s="15">
        <f t="shared" si="276"/>
        <v>0.83852827263692198</v>
      </c>
      <c r="AF193" s="15">
        <f t="shared" si="276"/>
        <v>0.85236378239096688</v>
      </c>
      <c r="AG193" s="15">
        <f t="shared" si="276"/>
        <v>0.86619929214501179</v>
      </c>
      <c r="AH193" s="15">
        <f t="shared" si="276"/>
        <v>0.8800348018990567</v>
      </c>
      <c r="AI193" s="15">
        <f t="shared" si="276"/>
        <v>0.8938703116531016</v>
      </c>
      <c r="AJ193" s="15">
        <f t="shared" si="276"/>
        <v>0.90770582140714651</v>
      </c>
      <c r="AK193" s="15">
        <f t="shared" si="276"/>
        <v>0.92154133116119141</v>
      </c>
      <c r="AL193" s="15">
        <f t="shared" si="276"/>
        <v>0.93537684091523632</v>
      </c>
      <c r="AM193" s="15">
        <f t="shared" si="276"/>
        <v>0.94921235066928122</v>
      </c>
      <c r="AN193" s="15">
        <f t="shared" si="276"/>
        <v>0.96304786042332613</v>
      </c>
      <c r="AO193" s="15">
        <f t="shared" si="276"/>
        <v>0.97688337017737104</v>
      </c>
      <c r="AP193" s="15">
        <f t="shared" si="276"/>
        <v>0.99071887993141594</v>
      </c>
      <c r="AQ193" s="15">
        <f t="shared" si="276"/>
        <v>1.0045543896854607</v>
      </c>
      <c r="AR193" s="15">
        <f t="shared" si="276"/>
        <v>1.0183898994395055</v>
      </c>
      <c r="AS193" s="15">
        <f t="shared" si="276"/>
        <v>1.0322254091935503</v>
      </c>
      <c r="AT193" s="15">
        <f t="shared" si="276"/>
        <v>1.0460609189475951</v>
      </c>
      <c r="AU193" s="15">
        <f t="shared" si="276"/>
        <v>1.0598964287016399</v>
      </c>
      <c r="AV193" s="15">
        <f t="shared" si="276"/>
        <v>1.0737319384556847</v>
      </c>
      <c r="AW193" s="15">
        <f t="shared" si="276"/>
        <v>1.0875674482097295</v>
      </c>
      <c r="AX193" s="15">
        <f t="shared" si="276"/>
        <v>1.1014029579637743</v>
      </c>
      <c r="AY193" s="15">
        <f t="shared" si="276"/>
        <v>1.1152384677178191</v>
      </c>
      <c r="AZ193" s="15">
        <f t="shared" si="276"/>
        <v>1.1290739774718639</v>
      </c>
      <c r="BA193" s="15">
        <f t="shared" si="276"/>
        <v>1.1429094872259087</v>
      </c>
      <c r="BB193" s="15">
        <f t="shared" si="276"/>
        <v>1.1567449969799535</v>
      </c>
      <c r="BC193" s="15">
        <f t="shared" si="276"/>
        <v>1.1705805067339983</v>
      </c>
      <c r="BD193" s="15">
        <f t="shared" si="276"/>
        <v>1.1844160164880431</v>
      </c>
      <c r="BE193" s="15">
        <f t="shared" si="276"/>
        <v>1.1982515262420879</v>
      </c>
      <c r="BF193" s="15">
        <f t="shared" si="276"/>
        <v>1.2120870359961327</v>
      </c>
      <c r="BG193" s="15">
        <f t="shared" si="276"/>
        <v>1.2259225457501775</v>
      </c>
      <c r="BH193" s="15">
        <f t="shared" si="276"/>
        <v>1.2397580555042222</v>
      </c>
      <c r="BI193" s="15">
        <f t="shared" si="276"/>
        <v>1.253593565258267</v>
      </c>
    </row>
    <row r="194" spans="1:61" hidden="1" outlineLevel="1" x14ac:dyDescent="0.3"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</row>
    <row r="195" spans="1:61" hidden="1" outlineLevel="1" x14ac:dyDescent="0.3">
      <c r="C195" t="s">
        <v>87</v>
      </c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15">
        <f>IF(O192&gt;0,O192*O$163,0)</f>
        <v>0.82146174984658415</v>
      </c>
      <c r="P195" s="15">
        <f t="shared" ref="P195:BI195" si="277">IF(P192&gt;0,P192*P$163,0)</f>
        <v>0.80326994104738403</v>
      </c>
      <c r="Q195" s="15">
        <f t="shared" si="277"/>
        <v>0.78418218061417466</v>
      </c>
      <c r="R195" s="15">
        <f t="shared" si="277"/>
        <v>0.76420023179114427</v>
      </c>
      <c r="S195" s="15">
        <f t="shared" si="277"/>
        <v>0.74333068925121437</v>
      </c>
      <c r="T195" s="15">
        <f t="shared" si="277"/>
        <v>0.7215835411235626</v>
      </c>
      <c r="U195" s="15">
        <f t="shared" si="277"/>
        <v>0.69896904263999082</v>
      </c>
      <c r="V195" s="15">
        <f t="shared" si="277"/>
        <v>0.67549630491529633</v>
      </c>
      <c r="W195" s="15">
        <f t="shared" si="277"/>
        <v>0.65117263706180684</v>
      </c>
      <c r="X195" s="15">
        <f t="shared" si="277"/>
        <v>0.62600387960574488</v>
      </c>
      <c r="Y195" s="15">
        <f t="shared" si="277"/>
        <v>0.59999411541306802</v>
      </c>
      <c r="Z195" s="15">
        <f t="shared" si="277"/>
        <v>0.57314509497039634</v>
      </c>
      <c r="AA195" s="15">
        <f t="shared" si="277"/>
        <v>0.54545598853924693</v>
      </c>
      <c r="AB195" s="15">
        <f t="shared" si="277"/>
        <v>0.51692376674252827</v>
      </c>
      <c r="AC195" s="15">
        <f t="shared" si="277"/>
        <v>0.4875441926677016</v>
      </c>
      <c r="AD195" s="15">
        <f t="shared" si="277"/>
        <v>0.45731320187679247</v>
      </c>
      <c r="AE195" s="15">
        <f t="shared" si="277"/>
        <v>0.42622785623434634</v>
      </c>
      <c r="AF195" s="15">
        <f t="shared" si="277"/>
        <v>0.39428696990277906</v>
      </c>
      <c r="AG195" s="15">
        <f t="shared" si="277"/>
        <v>0.36149069444260556</v>
      </c>
      <c r="AH195" s="15">
        <f t="shared" si="277"/>
        <v>0.32783972038266418</v>
      </c>
      <c r="AI195" s="15">
        <f t="shared" si="277"/>
        <v>0.29333448588672051</v>
      </c>
      <c r="AJ195" s="15">
        <f t="shared" si="277"/>
        <v>0.25797470257159949</v>
      </c>
      <c r="AK195" s="15">
        <f t="shared" si="277"/>
        <v>0.22175898900039742</v>
      </c>
      <c r="AL195" s="15">
        <f t="shared" si="277"/>
        <v>0.18468476881373511</v>
      </c>
      <c r="AM195" s="15">
        <f t="shared" si="277"/>
        <v>0.14674807337915874</v>
      </c>
      <c r="AN195" s="15">
        <f t="shared" si="277"/>
        <v>0.10794365570919048</v>
      </c>
      <c r="AO195" s="15">
        <f t="shared" si="277"/>
        <v>6.8265194430644716E-2</v>
      </c>
      <c r="AP195" s="15">
        <f t="shared" si="277"/>
        <v>2.7705634325322564E-2</v>
      </c>
      <c r="AQ195" s="15">
        <f t="shared" si="277"/>
        <v>0</v>
      </c>
      <c r="AR195" s="15">
        <f t="shared" si="277"/>
        <v>0</v>
      </c>
      <c r="AS195" s="15">
        <f t="shared" si="277"/>
        <v>0</v>
      </c>
      <c r="AT195" s="15">
        <f t="shared" si="277"/>
        <v>0</v>
      </c>
      <c r="AU195" s="15">
        <f t="shared" si="277"/>
        <v>0</v>
      </c>
      <c r="AV195" s="15">
        <f t="shared" si="277"/>
        <v>0</v>
      </c>
      <c r="AW195" s="15">
        <f t="shared" si="277"/>
        <v>0</v>
      </c>
      <c r="AX195" s="15">
        <f t="shared" si="277"/>
        <v>0</v>
      </c>
      <c r="AY195" s="15">
        <f t="shared" si="277"/>
        <v>0</v>
      </c>
      <c r="AZ195" s="15">
        <f t="shared" si="277"/>
        <v>0</v>
      </c>
      <c r="BA195" s="15">
        <f t="shared" si="277"/>
        <v>0</v>
      </c>
      <c r="BB195" s="15">
        <f t="shared" si="277"/>
        <v>0</v>
      </c>
      <c r="BC195" s="15">
        <f t="shared" si="277"/>
        <v>0</v>
      </c>
      <c r="BD195" s="15">
        <f t="shared" si="277"/>
        <v>0</v>
      </c>
      <c r="BE195" s="15">
        <f t="shared" si="277"/>
        <v>0</v>
      </c>
      <c r="BF195" s="15">
        <f t="shared" si="277"/>
        <v>0</v>
      </c>
      <c r="BG195" s="15">
        <f t="shared" si="277"/>
        <v>0</v>
      </c>
      <c r="BH195" s="15">
        <f t="shared" si="277"/>
        <v>0</v>
      </c>
      <c r="BI195" s="15">
        <f t="shared" si="277"/>
        <v>0</v>
      </c>
    </row>
    <row r="196" spans="1:61" hidden="1" outlineLevel="1" x14ac:dyDescent="0.3">
      <c r="C196" t="s">
        <v>91</v>
      </c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15">
        <f>IF(O193&gt;0,O193*O$163,0)</f>
        <v>1.3242440279619903</v>
      </c>
      <c r="P196" s="15">
        <f t="shared" ref="P196:BI196" si="278">IF(P193&gt;0,P193*P$163,0)</f>
        <v>1.3735875662231942</v>
      </c>
      <c r="Q196" s="15">
        <f t="shared" si="278"/>
        <v>1.4237314635037261</v>
      </c>
      <c r="R196" s="15">
        <f t="shared" si="278"/>
        <v>1.4746674981414221</v>
      </c>
      <c r="S196" s="15">
        <f t="shared" si="278"/>
        <v>1.5263962782245044</v>
      </c>
      <c r="T196" s="15">
        <f t="shared" si="278"/>
        <v>1.5789271080473726</v>
      </c>
      <c r="U196" s="15">
        <f t="shared" si="278"/>
        <v>1.6322734766539113</v>
      </c>
      <c r="V196" s="15">
        <f t="shared" si="278"/>
        <v>1.686450611417553</v>
      </c>
      <c r="W196" s="15">
        <f t="shared" si="278"/>
        <v>1.7414738696539487</v>
      </c>
      <c r="X196" s="15">
        <f t="shared" si="278"/>
        <v>1.7973592481400533</v>
      </c>
      <c r="Y196" s="15">
        <f t="shared" si="278"/>
        <v>1.8541222552044856</v>
      </c>
      <c r="Z196" s="15">
        <f t="shared" si="278"/>
        <v>1.9117753200373182</v>
      </c>
      <c r="AA196" s="15">
        <f t="shared" si="278"/>
        <v>1.9703251707858316</v>
      </c>
      <c r="AB196" s="15">
        <f t="shared" si="278"/>
        <v>2.0297715066186752</v>
      </c>
      <c r="AC196" s="15">
        <f t="shared" si="278"/>
        <v>2.0901078755862526</v>
      </c>
      <c r="AD196" s="15">
        <f t="shared" si="278"/>
        <v>2.1513252627820236</v>
      </c>
      <c r="AE196" s="15">
        <f t="shared" si="278"/>
        <v>2.2134160194761523</v>
      </c>
      <c r="AF196" s="15">
        <f t="shared" si="278"/>
        <v>2.2763786451356567</v>
      </c>
      <c r="AG196" s="15">
        <f t="shared" si="278"/>
        <v>2.3402191861537127</v>
      </c>
      <c r="AH196" s="15">
        <f t="shared" si="278"/>
        <v>2.4049505018850024</v>
      </c>
      <c r="AI196" s="15">
        <f t="shared" si="278"/>
        <v>2.4705903918337953</v>
      </c>
      <c r="AJ196" s="15">
        <f t="shared" si="278"/>
        <v>2.5371604457634427</v>
      </c>
      <c r="AK196" s="15">
        <f t="shared" si="278"/>
        <v>2.6046844401634659</v>
      </c>
      <c r="AL196" s="15">
        <f t="shared" si="278"/>
        <v>2.6731880345180818</v>
      </c>
      <c r="AM196" s="15">
        <f t="shared" si="278"/>
        <v>2.742696020076743</v>
      </c>
      <c r="AN196" s="15">
        <f t="shared" si="278"/>
        <v>2.8132310569271022</v>
      </c>
      <c r="AO196" s="15">
        <f t="shared" si="278"/>
        <v>2.8848120903825323</v>
      </c>
      <c r="AP196" s="15">
        <f t="shared" si="278"/>
        <v>2.9574550058327196</v>
      </c>
      <c r="AQ196" s="15">
        <f t="shared" si="278"/>
        <v>3.03117176720672</v>
      </c>
      <c r="AR196" s="15">
        <f t="shared" si="278"/>
        <v>3.1059709928859838</v>
      </c>
      <c r="AS196" s="15">
        <f t="shared" si="278"/>
        <v>3.181859828982545</v>
      </c>
      <c r="AT196" s="15">
        <f t="shared" si="278"/>
        <v>3.2588478538763184</v>
      </c>
      <c r="AU196" s="15">
        <f t="shared" si="278"/>
        <v>3.3369502880490756</v>
      </c>
      <c r="AV196" s="15">
        <f t="shared" si="278"/>
        <v>3.4161891979422729</v>
      </c>
      <c r="AW196" s="15">
        <f t="shared" si="278"/>
        <v>3.4965926303104697</v>
      </c>
      <c r="AX196" s="15">
        <f t="shared" si="278"/>
        <v>3.5781926891005211</v>
      </c>
      <c r="AY196" s="15">
        <f t="shared" si="278"/>
        <v>3.6610243530942159</v>
      </c>
      <c r="AZ196" s="15">
        <f t="shared" si="278"/>
        <v>3.7451249006989364</v>
      </c>
      <c r="BA196" s="15">
        <f t="shared" si="278"/>
        <v>3.8305324323152061</v>
      </c>
      <c r="BB196" s="15">
        <f t="shared" si="278"/>
        <v>3.9172850383885942</v>
      </c>
      <c r="BC196" s="15">
        <f t="shared" si="278"/>
        <v>4.0054189239219049</v>
      </c>
      <c r="BD196" s="15">
        <f t="shared" si="278"/>
        <v>4.0949679629551756</v>
      </c>
      <c r="BE196" s="15">
        <f t="shared" si="278"/>
        <v>4.1859631458544921</v>
      </c>
      <c r="BF196" s="15">
        <f t="shared" si="278"/>
        <v>4.2784332477075333</v>
      </c>
      <c r="BG196" s="15">
        <f t="shared" si="278"/>
        <v>4.3724058462604782</v>
      </c>
      <c r="BH196" s="15">
        <f t="shared" si="278"/>
        <v>4.4679089227099524</v>
      </c>
      <c r="BI196" s="15">
        <f t="shared" si="278"/>
        <v>4.5649730225458951</v>
      </c>
    </row>
    <row r="197" spans="1:61" hidden="1" outlineLevel="1" x14ac:dyDescent="0.3"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</row>
    <row r="198" spans="1:61" collapsed="1" x14ac:dyDescent="0.3">
      <c r="A198" t="s">
        <v>166</v>
      </c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</row>
    <row r="199" spans="1:61" hidden="1" outlineLevel="1" x14ac:dyDescent="0.3">
      <c r="C199" t="s">
        <v>87</v>
      </c>
      <c r="D199" s="3">
        <f t="shared" ref="D199:N199" si="279">D40</f>
        <v>0.80572161172161927</v>
      </c>
      <c r="E199" s="3">
        <f t="shared" si="279"/>
        <v>0.83800888549867736</v>
      </c>
      <c r="F199" s="3">
        <f t="shared" si="279"/>
        <v>0.92528585321301104</v>
      </c>
      <c r="G199" s="3">
        <f t="shared" si="279"/>
        <v>1.3775293947254861</v>
      </c>
      <c r="H199" s="3">
        <f t="shared" si="279"/>
        <v>0.91279090100235871</v>
      </c>
      <c r="I199" s="3">
        <f t="shared" si="279"/>
        <v>0.79513166596524654</v>
      </c>
      <c r="J199" s="3">
        <f t="shared" si="279"/>
        <v>0.78641921121408309</v>
      </c>
      <c r="K199" s="3">
        <f t="shared" si="279"/>
        <v>2.474750463204217</v>
      </c>
      <c r="L199" s="3">
        <f t="shared" si="279"/>
        <v>0.92999999999999705</v>
      </c>
      <c r="M199" s="3">
        <f t="shared" si="279"/>
        <v>6.0739009710188085E-2</v>
      </c>
      <c r="N199" s="3">
        <f t="shared" si="279"/>
        <v>0.18294059203135715</v>
      </c>
      <c r="O199" s="3">
        <f t="shared" ref="O199:BI199" si="280">O205/SUM(O$205:O$206)*O$164</f>
        <v>0.11060078912069948</v>
      </c>
      <c r="P199" s="3">
        <f t="shared" si="280"/>
        <v>3.8117057418591997E-2</v>
      </c>
      <c r="Q199" s="3">
        <f t="shared" si="280"/>
        <v>0</v>
      </c>
      <c r="R199" s="3">
        <f t="shared" si="280"/>
        <v>0</v>
      </c>
      <c r="S199" s="3">
        <f t="shared" si="280"/>
        <v>0</v>
      </c>
      <c r="T199" s="3">
        <f t="shared" si="280"/>
        <v>0</v>
      </c>
      <c r="U199" s="3">
        <f t="shared" si="280"/>
        <v>0</v>
      </c>
      <c r="V199" s="3">
        <f t="shared" si="280"/>
        <v>0</v>
      </c>
      <c r="W199" s="3">
        <f t="shared" si="280"/>
        <v>0</v>
      </c>
      <c r="X199" s="3">
        <f t="shared" si="280"/>
        <v>0</v>
      </c>
      <c r="Y199" s="3">
        <f t="shared" si="280"/>
        <v>0</v>
      </c>
      <c r="Z199" s="3">
        <f t="shared" si="280"/>
        <v>0</v>
      </c>
      <c r="AA199" s="3">
        <f t="shared" si="280"/>
        <v>0</v>
      </c>
      <c r="AB199" s="3">
        <f t="shared" si="280"/>
        <v>0</v>
      </c>
      <c r="AC199" s="3">
        <f t="shared" si="280"/>
        <v>0</v>
      </c>
      <c r="AD199" s="3">
        <f t="shared" si="280"/>
        <v>0</v>
      </c>
      <c r="AE199" s="3">
        <f t="shared" si="280"/>
        <v>0</v>
      </c>
      <c r="AF199" s="3">
        <f t="shared" si="280"/>
        <v>0</v>
      </c>
      <c r="AG199" s="3">
        <f t="shared" si="280"/>
        <v>0</v>
      </c>
      <c r="AH199" s="3">
        <f t="shared" si="280"/>
        <v>0</v>
      </c>
      <c r="AI199" s="3">
        <f t="shared" si="280"/>
        <v>0</v>
      </c>
      <c r="AJ199" s="3">
        <f t="shared" si="280"/>
        <v>0</v>
      </c>
      <c r="AK199" s="3">
        <f t="shared" si="280"/>
        <v>0</v>
      </c>
      <c r="AL199" s="3">
        <f t="shared" si="280"/>
        <v>0</v>
      </c>
      <c r="AM199" s="3">
        <f t="shared" si="280"/>
        <v>0</v>
      </c>
      <c r="AN199" s="3">
        <f t="shared" si="280"/>
        <v>0</v>
      </c>
      <c r="AO199" s="3">
        <f t="shared" si="280"/>
        <v>0</v>
      </c>
      <c r="AP199" s="3">
        <f t="shared" si="280"/>
        <v>0</v>
      </c>
      <c r="AQ199" s="3">
        <f t="shared" si="280"/>
        <v>0</v>
      </c>
      <c r="AR199" s="3">
        <f t="shared" si="280"/>
        <v>0</v>
      </c>
      <c r="AS199" s="3">
        <f t="shared" si="280"/>
        <v>0</v>
      </c>
      <c r="AT199" s="3">
        <f t="shared" si="280"/>
        <v>0</v>
      </c>
      <c r="AU199" s="3">
        <f t="shared" si="280"/>
        <v>0</v>
      </c>
      <c r="AV199" s="3">
        <f t="shared" si="280"/>
        <v>0</v>
      </c>
      <c r="AW199" s="3">
        <f t="shared" si="280"/>
        <v>0</v>
      </c>
      <c r="AX199" s="3">
        <f t="shared" si="280"/>
        <v>0</v>
      </c>
      <c r="AY199" s="3">
        <f t="shared" si="280"/>
        <v>0</v>
      </c>
      <c r="AZ199" s="3">
        <f t="shared" si="280"/>
        <v>0</v>
      </c>
      <c r="BA199" s="3">
        <f t="shared" si="280"/>
        <v>0</v>
      </c>
      <c r="BB199" s="3">
        <f t="shared" si="280"/>
        <v>0</v>
      </c>
      <c r="BC199" s="3">
        <f t="shared" si="280"/>
        <v>0</v>
      </c>
      <c r="BD199" s="3">
        <f t="shared" si="280"/>
        <v>0</v>
      </c>
      <c r="BE199" s="3">
        <f t="shared" si="280"/>
        <v>0</v>
      </c>
      <c r="BF199" s="3">
        <f t="shared" si="280"/>
        <v>0</v>
      </c>
      <c r="BG199" s="3">
        <f t="shared" si="280"/>
        <v>0</v>
      </c>
      <c r="BH199" s="3">
        <f t="shared" si="280"/>
        <v>0</v>
      </c>
      <c r="BI199" s="3">
        <f t="shared" si="280"/>
        <v>0</v>
      </c>
    </row>
    <row r="200" spans="1:61" hidden="1" outlineLevel="1" x14ac:dyDescent="0.3">
      <c r="C200" t="s">
        <v>91</v>
      </c>
      <c r="D200" s="3">
        <f t="shared" ref="D200:N200" si="281">D41</f>
        <v>1.9769938949938881</v>
      </c>
      <c r="E200" s="3">
        <f t="shared" si="281"/>
        <v>2.0450980968207713</v>
      </c>
      <c r="F200" s="3">
        <f t="shared" si="281"/>
        <v>2.0494239616127601</v>
      </c>
      <c r="G200" s="3">
        <f t="shared" si="281"/>
        <v>1.7418130266052843</v>
      </c>
      <c r="H200" s="3">
        <f t="shared" si="281"/>
        <v>2.1828717852118755</v>
      </c>
      <c r="I200" s="3">
        <f t="shared" si="281"/>
        <v>2.2036484699092194</v>
      </c>
      <c r="J200" s="3">
        <f t="shared" si="281"/>
        <v>2.2874134806309971</v>
      </c>
      <c r="K200" s="3">
        <f t="shared" si="281"/>
        <v>0.79574706154825847</v>
      </c>
      <c r="L200" s="3">
        <f t="shared" si="281"/>
        <v>2.3400000000000025</v>
      </c>
      <c r="M200" s="3">
        <f t="shared" si="281"/>
        <v>3.4128824907411599</v>
      </c>
      <c r="N200" s="3">
        <f t="shared" si="281"/>
        <v>3.2140809865066697</v>
      </c>
      <c r="O200" s="3">
        <f t="shared" ref="O200:BI200" si="282">O206/SUM(O$205:O$206)*O$164</f>
        <v>3.3001930947360107</v>
      </c>
      <c r="P200" s="3">
        <f t="shared" si="282"/>
        <v>3.4270173063519294</v>
      </c>
      <c r="Q200" s="3">
        <f t="shared" si="282"/>
        <v>3.519467291493366</v>
      </c>
      <c r="R200" s="3">
        <f t="shared" si="282"/>
        <v>3.5737820188969533</v>
      </c>
      <c r="S200" s="3">
        <f t="shared" si="282"/>
        <v>3.6280896761434271</v>
      </c>
      <c r="T200" s="3">
        <f t="shared" si="282"/>
        <v>3.6824208081100505</v>
      </c>
      <c r="U200" s="3">
        <f t="shared" si="282"/>
        <v>3.7368132665866929</v>
      </c>
      <c r="V200" s="3">
        <f t="shared" si="282"/>
        <v>3.7913060684585691</v>
      </c>
      <c r="W200" s="3">
        <f t="shared" si="282"/>
        <v>3.8459357602858302</v>
      </c>
      <c r="X200" s="3">
        <f t="shared" si="282"/>
        <v>3.9007377571555026</v>
      </c>
      <c r="Y200" s="3">
        <f t="shared" si="282"/>
        <v>3.955744050080356</v>
      </c>
      <c r="Z200" s="3">
        <f t="shared" si="282"/>
        <v>4.0109780720826844</v>
      </c>
      <c r="AA200" s="3">
        <f t="shared" si="282"/>
        <v>4.0664499993514962</v>
      </c>
      <c r="AB200" s="3">
        <f t="shared" si="282"/>
        <v>4.1221551250170734</v>
      </c>
      <c r="AC200" s="3">
        <f t="shared" si="282"/>
        <v>4.1780767862553194</v>
      </c>
      <c r="AD200" s="3">
        <f t="shared" si="282"/>
        <v>4.234194345135383</v>
      </c>
      <c r="AE200" s="3">
        <f t="shared" si="282"/>
        <v>4.2904910980433391</v>
      </c>
      <c r="AF200" s="3">
        <f t="shared" si="282"/>
        <v>4.3469631059665588</v>
      </c>
      <c r="AG200" s="3">
        <f t="shared" si="282"/>
        <v>4.4036208873419689</v>
      </c>
      <c r="AH200" s="3">
        <f t="shared" si="282"/>
        <v>4.460487017680177</v>
      </c>
      <c r="AI200" s="3">
        <f t="shared" si="282"/>
        <v>4.5175918588694781</v>
      </c>
      <c r="AJ200" s="3">
        <f t="shared" si="282"/>
        <v>4.5749709547735167</v>
      </c>
      <c r="AK200" s="3">
        <f t="shared" si="282"/>
        <v>4.6326618377725399</v>
      </c>
      <c r="AL200" s="3">
        <f t="shared" si="282"/>
        <v>4.690703376211137</v>
      </c>
      <c r="AM200" s="3">
        <f t="shared" si="282"/>
        <v>4.7491309366565524</v>
      </c>
      <c r="AN200" s="3">
        <f t="shared" si="282"/>
        <v>4.807974467593457</v>
      </c>
      <c r="AO200" s="3">
        <f t="shared" si="282"/>
        <v>4.8672561870696782</v>
      </c>
      <c r="AP200" s="3">
        <f t="shared" si="282"/>
        <v>4.9269921711499522</v>
      </c>
      <c r="AQ200" s="3">
        <f t="shared" si="282"/>
        <v>4.9871913250109534</v>
      </c>
      <c r="AR200" s="3">
        <f t="shared" si="282"/>
        <v>5.047856762231941</v>
      </c>
      <c r="AS200" s="3">
        <f t="shared" si="282"/>
        <v>5.1089891638293583</v>
      </c>
      <c r="AT200" s="3">
        <f t="shared" si="282"/>
        <v>5.1705931182502924</v>
      </c>
      <c r="AU200" s="3">
        <f t="shared" si="282"/>
        <v>5.2326819264944247</v>
      </c>
      <c r="AV200" s="3">
        <f t="shared" si="282"/>
        <v>5.2952789680192831</v>
      </c>
      <c r="AW200" s="3">
        <f t="shared" si="282"/>
        <v>5.358415806593861</v>
      </c>
      <c r="AX200" s="3">
        <f t="shared" si="282"/>
        <v>5.422128825846702</v>
      </c>
      <c r="AY200" s="3">
        <f t="shared" si="282"/>
        <v>5.4864572015642787</v>
      </c>
      <c r="AZ200" s="3">
        <f t="shared" si="282"/>
        <v>5.5514419085985454</v>
      </c>
      <c r="BA200" s="3">
        <f t="shared" si="282"/>
        <v>5.6171234696677725</v>
      </c>
      <c r="BB200" s="3">
        <f t="shared" si="282"/>
        <v>5.6835407847283541</v>
      </c>
      <c r="BC200" s="3">
        <f t="shared" si="282"/>
        <v>5.7507285351785997</v>
      </c>
      <c r="BD200" s="3">
        <f t="shared" si="282"/>
        <v>5.8187167796507469</v>
      </c>
      <c r="BE200" s="3">
        <f t="shared" si="282"/>
        <v>5.8875304217362281</v>
      </c>
      <c r="BF200" s="3">
        <f t="shared" si="282"/>
        <v>5.9571904078886417</v>
      </c>
      <c r="BG200" s="3">
        <f t="shared" si="282"/>
        <v>6.0277153336626981</v>
      </c>
      <c r="BH200" s="3">
        <f t="shared" si="282"/>
        <v>6.0991237495706123</v>
      </c>
      <c r="BI200" s="3">
        <f t="shared" si="282"/>
        <v>6.1714370894079273</v>
      </c>
    </row>
    <row r="201" spans="1:61" hidden="1" outlineLevel="1" x14ac:dyDescent="0.3"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</row>
    <row r="202" spans="1:61" hidden="1" outlineLevel="1" x14ac:dyDescent="0.3">
      <c r="A202" s="16">
        <f>(N202-D202)/11</f>
        <v>-2.142653251887015E-2</v>
      </c>
      <c r="C202" t="s">
        <v>87</v>
      </c>
      <c r="D202" s="3">
        <f>D199/SUM(D$199:D$200)</f>
        <v>0.28954508995877482</v>
      </c>
      <c r="E202" s="3">
        <f t="shared" ref="E202:N202" si="283">E199/SUM(E$199:E$200)</f>
        <v>0.29066173771481152</v>
      </c>
      <c r="F202" s="3">
        <f t="shared" si="283"/>
        <v>0.31105079514023287</v>
      </c>
      <c r="G202" s="3">
        <f t="shared" si="283"/>
        <v>0.44160890619305787</v>
      </c>
      <c r="H202" s="3">
        <f t="shared" si="283"/>
        <v>0.29486122795847447</v>
      </c>
      <c r="I202" s="3">
        <f t="shared" si="283"/>
        <v>0.26515170500600255</v>
      </c>
      <c r="J202" s="3">
        <f t="shared" si="283"/>
        <v>0.25584320620327317</v>
      </c>
      <c r="K202" s="3">
        <f t="shared" si="283"/>
        <v>0.75668929405213847</v>
      </c>
      <c r="L202" s="3">
        <f t="shared" si="283"/>
        <v>0.28440366972476977</v>
      </c>
      <c r="M202" s="3">
        <f t="shared" si="283"/>
        <v>1.7485788161518436E-2</v>
      </c>
      <c r="N202" s="3">
        <f t="shared" si="283"/>
        <v>5.3853232251203163E-2</v>
      </c>
      <c r="O202" s="15">
        <f>N202+$A202</f>
        <v>3.2426699732333017E-2</v>
      </c>
      <c r="P202" s="15">
        <f t="shared" ref="P202:BI202" si="284">O202+$A202</f>
        <v>1.1000167213462867E-2</v>
      </c>
      <c r="Q202" s="15">
        <f t="shared" si="284"/>
        <v>-1.0426365305407283E-2</v>
      </c>
      <c r="R202" s="15">
        <f t="shared" si="284"/>
        <v>-3.1852897824277429E-2</v>
      </c>
      <c r="S202" s="15">
        <f t="shared" si="284"/>
        <v>-5.3279430343147582E-2</v>
      </c>
      <c r="T202" s="15">
        <f t="shared" si="284"/>
        <v>-7.4705962862017736E-2</v>
      </c>
      <c r="U202" s="15">
        <f t="shared" si="284"/>
        <v>-9.6132495380887889E-2</v>
      </c>
      <c r="V202" s="15">
        <f t="shared" si="284"/>
        <v>-0.11755902789975804</v>
      </c>
      <c r="W202" s="15">
        <f t="shared" si="284"/>
        <v>-0.1389855604186282</v>
      </c>
      <c r="X202" s="15">
        <f t="shared" si="284"/>
        <v>-0.16041209293749834</v>
      </c>
      <c r="Y202" s="15">
        <f t="shared" si="284"/>
        <v>-0.18183862545636847</v>
      </c>
      <c r="Z202" s="15">
        <f t="shared" si="284"/>
        <v>-0.20326515797523861</v>
      </c>
      <c r="AA202" s="15">
        <f t="shared" si="284"/>
        <v>-0.22469169049410875</v>
      </c>
      <c r="AB202" s="15">
        <f t="shared" si="284"/>
        <v>-0.24611822301297889</v>
      </c>
      <c r="AC202" s="15">
        <f t="shared" si="284"/>
        <v>-0.26754475553184903</v>
      </c>
      <c r="AD202" s="15">
        <f t="shared" si="284"/>
        <v>-0.2889712880507192</v>
      </c>
      <c r="AE202" s="15">
        <f t="shared" si="284"/>
        <v>-0.31039782056958937</v>
      </c>
      <c r="AF202" s="15">
        <f t="shared" si="284"/>
        <v>-0.33182435308845953</v>
      </c>
      <c r="AG202" s="15">
        <f t="shared" si="284"/>
        <v>-0.3532508856073297</v>
      </c>
      <c r="AH202" s="15">
        <f t="shared" si="284"/>
        <v>-0.37467741812619987</v>
      </c>
      <c r="AI202" s="15">
        <f t="shared" si="284"/>
        <v>-0.39610395064507004</v>
      </c>
      <c r="AJ202" s="15">
        <f t="shared" si="284"/>
        <v>-0.4175304831639402</v>
      </c>
      <c r="AK202" s="15">
        <f t="shared" si="284"/>
        <v>-0.43895701568281037</v>
      </c>
      <c r="AL202" s="15">
        <f t="shared" si="284"/>
        <v>-0.46038354820168054</v>
      </c>
      <c r="AM202" s="15">
        <f t="shared" si="284"/>
        <v>-0.4818100807205507</v>
      </c>
      <c r="AN202" s="15">
        <f t="shared" si="284"/>
        <v>-0.50323661323942082</v>
      </c>
      <c r="AO202" s="15">
        <f t="shared" si="284"/>
        <v>-0.52466314575829098</v>
      </c>
      <c r="AP202" s="15">
        <f t="shared" si="284"/>
        <v>-0.54608967827716115</v>
      </c>
      <c r="AQ202" s="15">
        <f t="shared" si="284"/>
        <v>-0.56751621079603132</v>
      </c>
      <c r="AR202" s="15">
        <f t="shared" si="284"/>
        <v>-0.58894274331490148</v>
      </c>
      <c r="AS202" s="15">
        <f t="shared" si="284"/>
        <v>-0.61036927583377165</v>
      </c>
      <c r="AT202" s="15">
        <f t="shared" si="284"/>
        <v>-0.63179580835264182</v>
      </c>
      <c r="AU202" s="15">
        <f t="shared" si="284"/>
        <v>-0.65322234087151199</v>
      </c>
      <c r="AV202" s="15">
        <f t="shared" si="284"/>
        <v>-0.67464887339038215</v>
      </c>
      <c r="AW202" s="15">
        <f t="shared" si="284"/>
        <v>-0.69607540590925232</v>
      </c>
      <c r="AX202" s="15">
        <f t="shared" si="284"/>
        <v>-0.71750193842812249</v>
      </c>
      <c r="AY202" s="15">
        <f t="shared" si="284"/>
        <v>-0.73892847094699265</v>
      </c>
      <c r="AZ202" s="15">
        <f t="shared" si="284"/>
        <v>-0.76035500346586282</v>
      </c>
      <c r="BA202" s="15">
        <f t="shared" si="284"/>
        <v>-0.78178153598473299</v>
      </c>
      <c r="BB202" s="15">
        <f t="shared" si="284"/>
        <v>-0.80320806850360316</v>
      </c>
      <c r="BC202" s="15">
        <f t="shared" si="284"/>
        <v>-0.82463460102247332</v>
      </c>
      <c r="BD202" s="15">
        <f t="shared" si="284"/>
        <v>-0.84606113354134349</v>
      </c>
      <c r="BE202" s="15">
        <f t="shared" si="284"/>
        <v>-0.86748766606021366</v>
      </c>
      <c r="BF202" s="15">
        <f t="shared" si="284"/>
        <v>-0.88891419857908383</v>
      </c>
      <c r="BG202" s="15">
        <f t="shared" si="284"/>
        <v>-0.91034073109795399</v>
      </c>
      <c r="BH202" s="15">
        <f t="shared" si="284"/>
        <v>-0.93176726361682416</v>
      </c>
      <c r="BI202" s="15">
        <f t="shared" si="284"/>
        <v>-0.95319379613569433</v>
      </c>
    </row>
    <row r="203" spans="1:61" hidden="1" outlineLevel="1" x14ac:dyDescent="0.3">
      <c r="A203" s="16">
        <f t="shared" ref="A203" si="285">(N203-D203)/11</f>
        <v>2.1426532518870146E-2</v>
      </c>
      <c r="C203" t="s">
        <v>91</v>
      </c>
      <c r="D203" s="3">
        <f>D200/SUM(D$199:D$200)</f>
        <v>0.71045491004122518</v>
      </c>
      <c r="E203" s="3">
        <f t="shared" ref="E203:N203" si="286">E200/SUM(E$199:E$200)</f>
        <v>0.70933826228518848</v>
      </c>
      <c r="F203" s="3">
        <f t="shared" si="286"/>
        <v>0.68894920485976707</v>
      </c>
      <c r="G203" s="3">
        <f t="shared" si="286"/>
        <v>0.55839109380694218</v>
      </c>
      <c r="H203" s="3">
        <f t="shared" si="286"/>
        <v>0.70513877204152553</v>
      </c>
      <c r="I203" s="3">
        <f t="shared" si="286"/>
        <v>0.73484829499399751</v>
      </c>
      <c r="J203" s="3">
        <f t="shared" si="286"/>
        <v>0.74415679379672683</v>
      </c>
      <c r="K203" s="3">
        <f t="shared" si="286"/>
        <v>0.2433107059478615</v>
      </c>
      <c r="L203" s="3">
        <f t="shared" si="286"/>
        <v>0.71559633027523017</v>
      </c>
      <c r="M203" s="3">
        <f t="shared" si="286"/>
        <v>0.98251421183848153</v>
      </c>
      <c r="N203" s="3">
        <f t="shared" si="286"/>
        <v>0.9461467677487968</v>
      </c>
      <c r="O203" s="15">
        <f t="shared" ref="O203:BI203" si="287">N203+$A203</f>
        <v>0.96757330026766697</v>
      </c>
      <c r="P203" s="15">
        <f t="shared" si="287"/>
        <v>0.98899983278653714</v>
      </c>
      <c r="Q203" s="15">
        <f t="shared" si="287"/>
        <v>1.0104263653054073</v>
      </c>
      <c r="R203" s="15">
        <f t="shared" si="287"/>
        <v>1.0318528978242774</v>
      </c>
      <c r="S203" s="15">
        <f t="shared" si="287"/>
        <v>1.0532794303431474</v>
      </c>
      <c r="T203" s="15">
        <f t="shared" si="287"/>
        <v>1.0747059628620175</v>
      </c>
      <c r="U203" s="15">
        <f t="shared" si="287"/>
        <v>1.0961324953808875</v>
      </c>
      <c r="V203" s="15">
        <f t="shared" si="287"/>
        <v>1.1175590278997576</v>
      </c>
      <c r="W203" s="15">
        <f t="shared" si="287"/>
        <v>1.1389855604186276</v>
      </c>
      <c r="X203" s="15">
        <f t="shared" si="287"/>
        <v>1.1604120929374977</v>
      </c>
      <c r="Y203" s="15">
        <f t="shared" si="287"/>
        <v>1.1818386254563678</v>
      </c>
      <c r="Z203" s="15">
        <f t="shared" si="287"/>
        <v>1.2032651579752378</v>
      </c>
      <c r="AA203" s="15">
        <f t="shared" si="287"/>
        <v>1.2246916904941079</v>
      </c>
      <c r="AB203" s="15">
        <f t="shared" si="287"/>
        <v>1.2461182230129779</v>
      </c>
      <c r="AC203" s="15">
        <f t="shared" si="287"/>
        <v>1.267544755531848</v>
      </c>
      <c r="AD203" s="15">
        <f t="shared" si="287"/>
        <v>1.288971288050718</v>
      </c>
      <c r="AE203" s="15">
        <f t="shared" si="287"/>
        <v>1.3103978205695881</v>
      </c>
      <c r="AF203" s="15">
        <f t="shared" si="287"/>
        <v>1.3318243530884581</v>
      </c>
      <c r="AG203" s="15">
        <f t="shared" si="287"/>
        <v>1.3532508856073282</v>
      </c>
      <c r="AH203" s="15">
        <f t="shared" si="287"/>
        <v>1.3746774181261983</v>
      </c>
      <c r="AI203" s="15">
        <f t="shared" si="287"/>
        <v>1.3961039506450683</v>
      </c>
      <c r="AJ203" s="15">
        <f t="shared" si="287"/>
        <v>1.4175304831639384</v>
      </c>
      <c r="AK203" s="15">
        <f t="shared" si="287"/>
        <v>1.4389570156828084</v>
      </c>
      <c r="AL203" s="15">
        <f t="shared" si="287"/>
        <v>1.4603835482016785</v>
      </c>
      <c r="AM203" s="15">
        <f t="shared" si="287"/>
        <v>1.4818100807205485</v>
      </c>
      <c r="AN203" s="15">
        <f t="shared" si="287"/>
        <v>1.5032366132394186</v>
      </c>
      <c r="AO203" s="15">
        <f t="shared" si="287"/>
        <v>1.5246631457582887</v>
      </c>
      <c r="AP203" s="15">
        <f t="shared" si="287"/>
        <v>1.5460896782771587</v>
      </c>
      <c r="AQ203" s="15">
        <f t="shared" si="287"/>
        <v>1.5675162107960288</v>
      </c>
      <c r="AR203" s="15">
        <f t="shared" si="287"/>
        <v>1.5889427433148988</v>
      </c>
      <c r="AS203" s="15">
        <f t="shared" si="287"/>
        <v>1.6103692758337689</v>
      </c>
      <c r="AT203" s="15">
        <f t="shared" si="287"/>
        <v>1.6317958083526389</v>
      </c>
      <c r="AU203" s="15">
        <f t="shared" si="287"/>
        <v>1.653222340871509</v>
      </c>
      <c r="AV203" s="15">
        <f t="shared" si="287"/>
        <v>1.674648873390379</v>
      </c>
      <c r="AW203" s="15">
        <f t="shared" si="287"/>
        <v>1.6960754059092491</v>
      </c>
      <c r="AX203" s="15">
        <f t="shared" si="287"/>
        <v>1.7175019384281192</v>
      </c>
      <c r="AY203" s="15">
        <f t="shared" si="287"/>
        <v>1.7389284709469892</v>
      </c>
      <c r="AZ203" s="15">
        <f t="shared" si="287"/>
        <v>1.7603550034658593</v>
      </c>
      <c r="BA203" s="15">
        <f t="shared" si="287"/>
        <v>1.7817815359847293</v>
      </c>
      <c r="BB203" s="15">
        <f t="shared" si="287"/>
        <v>1.8032080685035994</v>
      </c>
      <c r="BC203" s="15">
        <f t="shared" si="287"/>
        <v>1.8246346010224694</v>
      </c>
      <c r="BD203" s="15">
        <f t="shared" si="287"/>
        <v>1.8460611335413395</v>
      </c>
      <c r="BE203" s="15">
        <f t="shared" si="287"/>
        <v>1.8674876660602096</v>
      </c>
      <c r="BF203" s="15">
        <f t="shared" si="287"/>
        <v>1.8889141985790796</v>
      </c>
      <c r="BG203" s="15">
        <f t="shared" si="287"/>
        <v>1.9103407310979497</v>
      </c>
      <c r="BH203" s="15">
        <f t="shared" si="287"/>
        <v>1.9317672636168197</v>
      </c>
      <c r="BI203" s="15">
        <f t="shared" si="287"/>
        <v>1.9531937961356898</v>
      </c>
    </row>
    <row r="204" spans="1:61" hidden="1" outlineLevel="1" x14ac:dyDescent="0.3"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</row>
    <row r="205" spans="1:61" hidden="1" outlineLevel="1" x14ac:dyDescent="0.3">
      <c r="C205" t="s">
        <v>87</v>
      </c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15">
        <f>IF(O202&gt;0,O202*O$164,0)</f>
        <v>0.11060078912069948</v>
      </c>
      <c r="P205" s="15">
        <f t="shared" ref="P205:BI205" si="288">IF(P202&gt;0,P202*P$164,0)</f>
        <v>3.8117057418591997E-2</v>
      </c>
      <c r="Q205" s="15">
        <f t="shared" si="288"/>
        <v>0</v>
      </c>
      <c r="R205" s="15">
        <f t="shared" si="288"/>
        <v>0</v>
      </c>
      <c r="S205" s="15">
        <f t="shared" si="288"/>
        <v>0</v>
      </c>
      <c r="T205" s="15">
        <f t="shared" si="288"/>
        <v>0</v>
      </c>
      <c r="U205" s="15">
        <f t="shared" si="288"/>
        <v>0</v>
      </c>
      <c r="V205" s="15">
        <f t="shared" si="288"/>
        <v>0</v>
      </c>
      <c r="W205" s="15">
        <f t="shared" si="288"/>
        <v>0</v>
      </c>
      <c r="X205" s="15">
        <f t="shared" si="288"/>
        <v>0</v>
      </c>
      <c r="Y205" s="15">
        <f t="shared" si="288"/>
        <v>0</v>
      </c>
      <c r="Z205" s="15">
        <f t="shared" si="288"/>
        <v>0</v>
      </c>
      <c r="AA205" s="15">
        <f t="shared" si="288"/>
        <v>0</v>
      </c>
      <c r="AB205" s="15">
        <f t="shared" si="288"/>
        <v>0</v>
      </c>
      <c r="AC205" s="15">
        <f t="shared" si="288"/>
        <v>0</v>
      </c>
      <c r="AD205" s="15">
        <f t="shared" si="288"/>
        <v>0</v>
      </c>
      <c r="AE205" s="15">
        <f t="shared" si="288"/>
        <v>0</v>
      </c>
      <c r="AF205" s="15">
        <f t="shared" si="288"/>
        <v>0</v>
      </c>
      <c r="AG205" s="15">
        <f t="shared" si="288"/>
        <v>0</v>
      </c>
      <c r="AH205" s="15">
        <f t="shared" si="288"/>
        <v>0</v>
      </c>
      <c r="AI205" s="15">
        <f t="shared" si="288"/>
        <v>0</v>
      </c>
      <c r="AJ205" s="15">
        <f t="shared" si="288"/>
        <v>0</v>
      </c>
      <c r="AK205" s="15">
        <f t="shared" si="288"/>
        <v>0</v>
      </c>
      <c r="AL205" s="15">
        <f t="shared" si="288"/>
        <v>0</v>
      </c>
      <c r="AM205" s="15">
        <f t="shared" si="288"/>
        <v>0</v>
      </c>
      <c r="AN205" s="15">
        <f t="shared" si="288"/>
        <v>0</v>
      </c>
      <c r="AO205" s="15">
        <f t="shared" si="288"/>
        <v>0</v>
      </c>
      <c r="AP205" s="15">
        <f t="shared" si="288"/>
        <v>0</v>
      </c>
      <c r="AQ205" s="15">
        <f t="shared" si="288"/>
        <v>0</v>
      </c>
      <c r="AR205" s="15">
        <f t="shared" si="288"/>
        <v>0</v>
      </c>
      <c r="AS205" s="15">
        <f t="shared" si="288"/>
        <v>0</v>
      </c>
      <c r="AT205" s="15">
        <f t="shared" si="288"/>
        <v>0</v>
      </c>
      <c r="AU205" s="15">
        <f t="shared" si="288"/>
        <v>0</v>
      </c>
      <c r="AV205" s="15">
        <f t="shared" si="288"/>
        <v>0</v>
      </c>
      <c r="AW205" s="15">
        <f t="shared" si="288"/>
        <v>0</v>
      </c>
      <c r="AX205" s="15">
        <f t="shared" si="288"/>
        <v>0</v>
      </c>
      <c r="AY205" s="15">
        <f t="shared" si="288"/>
        <v>0</v>
      </c>
      <c r="AZ205" s="15">
        <f t="shared" si="288"/>
        <v>0</v>
      </c>
      <c r="BA205" s="15">
        <f t="shared" si="288"/>
        <v>0</v>
      </c>
      <c r="BB205" s="15">
        <f t="shared" si="288"/>
        <v>0</v>
      </c>
      <c r="BC205" s="15">
        <f t="shared" si="288"/>
        <v>0</v>
      </c>
      <c r="BD205" s="15">
        <f t="shared" si="288"/>
        <v>0</v>
      </c>
      <c r="BE205" s="15">
        <f t="shared" si="288"/>
        <v>0</v>
      </c>
      <c r="BF205" s="15">
        <f t="shared" si="288"/>
        <v>0</v>
      </c>
      <c r="BG205" s="15">
        <f t="shared" si="288"/>
        <v>0</v>
      </c>
      <c r="BH205" s="15">
        <f t="shared" si="288"/>
        <v>0</v>
      </c>
      <c r="BI205" s="15">
        <f t="shared" si="288"/>
        <v>0</v>
      </c>
    </row>
    <row r="206" spans="1:61" hidden="1" outlineLevel="1" x14ac:dyDescent="0.3">
      <c r="C206" t="s">
        <v>91</v>
      </c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15">
        <f>IF(O203&gt;0,O203*O$164,0)</f>
        <v>3.3001930947360107</v>
      </c>
      <c r="P206" s="15">
        <f t="shared" ref="P206:BI206" si="289">IF(P203&gt;0,P203*P$164,0)</f>
        <v>3.4270173063519294</v>
      </c>
      <c r="Q206" s="15">
        <f t="shared" si="289"/>
        <v>3.5561625431549082</v>
      </c>
      <c r="R206" s="15">
        <f t="shared" si="289"/>
        <v>3.6876173323911177</v>
      </c>
      <c r="S206" s="15">
        <f t="shared" si="289"/>
        <v>3.8213922273222032</v>
      </c>
      <c r="T206" s="15">
        <f t="shared" si="289"/>
        <v>3.9575196002430402</v>
      </c>
      <c r="U206" s="15">
        <f t="shared" si="289"/>
        <v>4.0960424506760775</v>
      </c>
      <c r="V206" s="15">
        <f t="shared" si="289"/>
        <v>4.23700832433701</v>
      </c>
      <c r="W206" s="15">
        <f t="shared" si="289"/>
        <v>4.3804652972631972</v>
      </c>
      <c r="X206" s="15">
        <f t="shared" si="289"/>
        <v>4.5264632647811371</v>
      </c>
      <c r="Y206" s="15">
        <f t="shared" si="289"/>
        <v>4.6750511108041728</v>
      </c>
      <c r="Z206" s="15">
        <f t="shared" si="289"/>
        <v>4.8262701635397862</v>
      </c>
      <c r="AA206" s="15">
        <f t="shared" si="289"/>
        <v>4.9801475240155479</v>
      </c>
      <c r="AB206" s="15">
        <f t="shared" si="289"/>
        <v>5.1366926193701152</v>
      </c>
      <c r="AC206" s="15">
        <f t="shared" si="289"/>
        <v>5.2958993186272876</v>
      </c>
      <c r="AD206" s="15">
        <f t="shared" si="289"/>
        <v>5.4577549389062208</v>
      </c>
      <c r="AE206" s="15">
        <f t="shared" si="289"/>
        <v>5.6222501840492107</v>
      </c>
      <c r="AF206" s="15">
        <f t="shared" si="289"/>
        <v>5.7893913265033072</v>
      </c>
      <c r="AG206" s="15">
        <f t="shared" si="289"/>
        <v>5.9592038656744482</v>
      </c>
      <c r="AH206" s="15">
        <f t="shared" si="289"/>
        <v>6.131730777050012</v>
      </c>
      <c r="AI206" s="15">
        <f t="shared" si="289"/>
        <v>6.3070278415696759</v>
      </c>
      <c r="AJ206" s="15">
        <f t="shared" si="289"/>
        <v>6.485160787981088</v>
      </c>
      <c r="AK206" s="15">
        <f t="shared" si="289"/>
        <v>6.6662012527488086</v>
      </c>
      <c r="AL206" s="15">
        <f t="shared" si="289"/>
        <v>6.8502260401128128</v>
      </c>
      <c r="AM206" s="15">
        <f t="shared" si="289"/>
        <v>7.0373100965995006</v>
      </c>
      <c r="AN206" s="15">
        <f t="shared" si="289"/>
        <v>7.2275232552067852</v>
      </c>
      <c r="AO206" s="15">
        <f t="shared" si="289"/>
        <v>7.4209261293891489</v>
      </c>
      <c r="AP206" s="15">
        <f t="shared" si="289"/>
        <v>7.6175717407673096</v>
      </c>
      <c r="AQ206" s="15">
        <f t="shared" si="289"/>
        <v>7.8175032482959956</v>
      </c>
      <c r="AR206" s="15">
        <f t="shared" si="289"/>
        <v>8.0207553716414832</v>
      </c>
      <c r="AS206" s="15">
        <f t="shared" si="289"/>
        <v>8.2273591799984569</v>
      </c>
      <c r="AT206" s="15">
        <f t="shared" si="289"/>
        <v>8.4373521770578286</v>
      </c>
      <c r="AU206" s="15">
        <f t="shared" si="289"/>
        <v>8.6507866635551505</v>
      </c>
      <c r="AV206" s="15">
        <f t="shared" si="289"/>
        <v>8.8677329580812607</v>
      </c>
      <c r="AW206" s="15">
        <f t="shared" si="289"/>
        <v>9.0882772641992187</v>
      </c>
      <c r="AX206" s="15">
        <f t="shared" si="289"/>
        <v>9.3125167687986927</v>
      </c>
      <c r="AY206" s="15">
        <f t="shared" si="289"/>
        <v>9.5405566324322688</v>
      </c>
      <c r="AZ206" s="15">
        <f t="shared" si="289"/>
        <v>9.7725085402515095</v>
      </c>
      <c r="BA206" s="15">
        <f t="shared" si="289"/>
        <v>10.008486883600517</v>
      </c>
      <c r="BB206" s="15">
        <f t="shared" si="289"/>
        <v>10.248606600691447</v>
      </c>
      <c r="BC206" s="15">
        <f t="shared" si="289"/>
        <v>10.492978266374134</v>
      </c>
      <c r="BD206" s="15">
        <f t="shared" si="289"/>
        <v>10.741706893998071</v>
      </c>
      <c r="BE206" s="15">
        <f t="shared" si="289"/>
        <v>10.99489044614667</v>
      </c>
      <c r="BF206" s="15">
        <f t="shared" si="289"/>
        <v>11.252621545099954</v>
      </c>
      <c r="BG206" s="15">
        <f t="shared" si="289"/>
        <v>11.51499011735952</v>
      </c>
      <c r="BH206" s="15">
        <f t="shared" si="289"/>
        <v>11.782087596168379</v>
      </c>
      <c r="BI206" s="15">
        <f t="shared" si="289"/>
        <v>12.054012636273262</v>
      </c>
    </row>
    <row r="207" spans="1:61" hidden="1" outlineLevel="1" x14ac:dyDescent="0.3"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</row>
    <row r="208" spans="1:61" s="1" customFormat="1" collapsed="1" x14ac:dyDescent="0.3">
      <c r="A208" s="1" t="s">
        <v>75</v>
      </c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</row>
    <row r="209" spans="1:61" hidden="1" outlineLevel="1" x14ac:dyDescent="0.3">
      <c r="C209" t="s">
        <v>81</v>
      </c>
      <c r="D209" s="3">
        <f t="shared" ref="D209:N209" si="290">D43</f>
        <v>2.98</v>
      </c>
      <c r="E209" s="3">
        <f t="shared" si="290"/>
        <v>3.3</v>
      </c>
      <c r="F209" s="3">
        <f t="shared" si="290"/>
        <v>3.68</v>
      </c>
      <c r="G209" s="3">
        <f t="shared" si="290"/>
        <v>3.91</v>
      </c>
      <c r="H209" s="3">
        <f t="shared" si="290"/>
        <v>3.87</v>
      </c>
      <c r="I209" s="3">
        <f t="shared" si="290"/>
        <v>4.75</v>
      </c>
      <c r="J209" s="3">
        <f t="shared" si="290"/>
        <v>5.17</v>
      </c>
      <c r="K209" s="3">
        <f t="shared" si="290"/>
        <v>5.96</v>
      </c>
      <c r="L209" s="3">
        <f t="shared" si="290"/>
        <v>6.51</v>
      </c>
      <c r="M209" s="3">
        <f t="shared" si="290"/>
        <v>6.72</v>
      </c>
      <c r="N209" s="3">
        <f t="shared" si="290"/>
        <v>8.4700000000000006</v>
      </c>
      <c r="O209" s="3">
        <f t="shared" ref="O209:BI209" si="291">O223/SUM(O$223:O$228)*O$165</f>
        <v>8.5976544584519505</v>
      </c>
      <c r="P209" s="3">
        <f t="shared" si="291"/>
        <v>9.0801197477214952</v>
      </c>
      <c r="Q209" s="3">
        <f t="shared" si="291"/>
        <v>9.5644159065671293</v>
      </c>
      <c r="R209" s="3">
        <f t="shared" si="291"/>
        <v>10.050254476958049</v>
      </c>
      <c r="S209" s="3">
        <f t="shared" si="291"/>
        <v>10.537413684487884</v>
      </c>
      <c r="T209" s="3">
        <f t="shared" si="291"/>
        <v>11.025741240242828</v>
      </c>
      <c r="U209" s="3">
        <f t="shared" si="291"/>
        <v>11.515125093109241</v>
      </c>
      <c r="V209" s="3">
        <f t="shared" si="291"/>
        <v>12.005476227517885</v>
      </c>
      <c r="W209" s="3">
        <f t="shared" si="291"/>
        <v>12.496716332331589</v>
      </c>
      <c r="X209" s="3">
        <f t="shared" si="291"/>
        <v>12.988780271154758</v>
      </c>
      <c r="Y209" s="3">
        <f t="shared" si="291"/>
        <v>13.481606920371888</v>
      </c>
      <c r="Z209" s="3">
        <f t="shared" si="291"/>
        <v>13.975119127825355</v>
      </c>
      <c r="AA209" s="3">
        <f t="shared" si="291"/>
        <v>14.469203079340659</v>
      </c>
      <c r="AB209" s="3">
        <f t="shared" si="291"/>
        <v>14.963697087182837</v>
      </c>
      <c r="AC209" s="3">
        <f t="shared" si="291"/>
        <v>15.458396971775503</v>
      </c>
      <c r="AD209" s="3">
        <f t="shared" si="291"/>
        <v>15.953082134268453</v>
      </c>
      <c r="AE209" s="3">
        <f t="shared" si="291"/>
        <v>16.447544859477784</v>
      </c>
      <c r="AF209" s="3">
        <f t="shared" si="291"/>
        <v>16.941626342851272</v>
      </c>
      <c r="AG209" s="3">
        <f t="shared" si="291"/>
        <v>17.435227613080073</v>
      </c>
      <c r="AH209" s="3">
        <f t="shared" si="291"/>
        <v>17.928304241823955</v>
      </c>
      <c r="AI209" s="3">
        <f t="shared" si="291"/>
        <v>18.420852186493512</v>
      </c>
      <c r="AJ209" s="3">
        <f t="shared" si="291"/>
        <v>18.912898756346657</v>
      </c>
      <c r="AK209" s="3">
        <f t="shared" si="291"/>
        <v>19.404490065604687</v>
      </c>
      <c r="AL209" s="3">
        <f t="shared" si="291"/>
        <v>19.895688135241048</v>
      </c>
      <c r="AM209" s="3">
        <f t="shared" si="291"/>
        <v>20.386549800783555</v>
      </c>
      <c r="AN209" s="3">
        <f t="shared" si="291"/>
        <v>20.877116859020024</v>
      </c>
      <c r="AO209" s="3">
        <f t="shared" si="291"/>
        <v>21.367404036588272</v>
      </c>
      <c r="AP209" s="3">
        <f t="shared" si="291"/>
        <v>21.857403774979897</v>
      </c>
      <c r="AQ209" s="3">
        <f t="shared" si="291"/>
        <v>22.347079914419684</v>
      </c>
      <c r="AR209" s="3">
        <f t="shared" si="291"/>
        <v>22.836372162286253</v>
      </c>
      <c r="AS209" s="3">
        <f t="shared" si="291"/>
        <v>23.325210116785506</v>
      </c>
      <c r="AT209" s="3">
        <f t="shared" si="291"/>
        <v>23.813541961111188</v>
      </c>
      <c r="AU209" s="3">
        <f t="shared" si="291"/>
        <v>24.301357551160699</v>
      </c>
      <c r="AV209" s="3">
        <f t="shared" si="291"/>
        <v>24.788696388399007</v>
      </c>
      <c r="AW209" s="3">
        <f t="shared" si="291"/>
        <v>25.275640323981872</v>
      </c>
      <c r="AX209" s="3">
        <f t="shared" si="291"/>
        <v>25.762298682823669</v>
      </c>
      <c r="AY209" s="3">
        <f t="shared" si="291"/>
        <v>26.248798961555455</v>
      </c>
      <c r="AZ209" s="3">
        <f t="shared" si="291"/>
        <v>26.735282042869613</v>
      </c>
      <c r="BA209" s="3">
        <f t="shared" si="291"/>
        <v>27.221891094520345</v>
      </c>
      <c r="BB209" s="3">
        <f t="shared" si="291"/>
        <v>27.70876532778518</v>
      </c>
      <c r="BC209" s="3">
        <f t="shared" si="291"/>
        <v>28.196026600361872</v>
      </c>
      <c r="BD209" s="3">
        <f t="shared" si="291"/>
        <v>28.683776457497515</v>
      </c>
      <c r="BE209" s="3">
        <f t="shared" si="291"/>
        <v>29.172092570354664</v>
      </c>
      <c r="BF209" s="3">
        <f t="shared" si="291"/>
        <v>29.631316606387507</v>
      </c>
      <c r="BG209" s="3">
        <f t="shared" si="291"/>
        <v>29.812566527115958</v>
      </c>
      <c r="BH209" s="3">
        <f t="shared" si="291"/>
        <v>29.990853192104225</v>
      </c>
      <c r="BI209" s="3">
        <f t="shared" si="291"/>
        <v>30.166325365491808</v>
      </c>
    </row>
    <row r="210" spans="1:61" hidden="1" outlineLevel="1" x14ac:dyDescent="0.3">
      <c r="C210" t="s">
        <v>83</v>
      </c>
      <c r="D210" s="3">
        <f t="shared" ref="D210:N210" si="292">D44</f>
        <v>4.8499999999999996</v>
      </c>
      <c r="E210" s="3">
        <f t="shared" si="292"/>
        <v>4.82</v>
      </c>
      <c r="F210" s="3">
        <f t="shared" si="292"/>
        <v>4.8</v>
      </c>
      <c r="G210" s="3">
        <f t="shared" si="292"/>
        <v>4.78</v>
      </c>
      <c r="H210" s="3">
        <f t="shared" si="292"/>
        <v>4.75</v>
      </c>
      <c r="I210" s="3">
        <f t="shared" si="292"/>
        <v>4.7300000000000004</v>
      </c>
      <c r="J210" s="3">
        <f t="shared" si="292"/>
        <v>4.7</v>
      </c>
      <c r="K210" s="3">
        <f t="shared" si="292"/>
        <v>4.68</v>
      </c>
      <c r="L210" s="3">
        <f t="shared" si="292"/>
        <v>4.66</v>
      </c>
      <c r="M210" s="3">
        <f t="shared" si="292"/>
        <v>4.6420077220077216</v>
      </c>
      <c r="N210" s="3">
        <f t="shared" si="292"/>
        <v>4.624015444015444</v>
      </c>
      <c r="O210" s="3">
        <f t="shared" ref="O210:BI210" si="293">O224/SUM(O$223:O$228)*O$165</f>
        <v>4.3691714319543493</v>
      </c>
      <c r="P210" s="3">
        <f t="shared" si="293"/>
        <v>4.3050816317046197</v>
      </c>
      <c r="Q210" s="3">
        <f t="shared" si="293"/>
        <v>4.2392678282381082</v>
      </c>
      <c r="R210" s="3">
        <f t="shared" si="293"/>
        <v>4.1717941337009901</v>
      </c>
      <c r="S210" s="3">
        <f t="shared" si="293"/>
        <v>4.1027490024207136</v>
      </c>
      <c r="T210" s="3">
        <f t="shared" si="293"/>
        <v>4.0322387049573303</v>
      </c>
      <c r="U210" s="3">
        <f t="shared" si="293"/>
        <v>3.9603711914223356</v>
      </c>
      <c r="V210" s="3">
        <f t="shared" si="293"/>
        <v>3.8872487661916031</v>
      </c>
      <c r="W210" s="3">
        <f t="shared" si="293"/>
        <v>3.8129645594336381</v>
      </c>
      <c r="X210" s="3">
        <f t="shared" si="293"/>
        <v>3.7376044930238081</v>
      </c>
      <c r="Y210" s="3">
        <f t="shared" si="293"/>
        <v>3.6612455921156375</v>
      </c>
      <c r="Z210" s="3">
        <f t="shared" si="293"/>
        <v>3.583952180465118</v>
      </c>
      <c r="AA210" s="3">
        <f t="shared" si="293"/>
        <v>3.505773380559924</v>
      </c>
      <c r="AB210" s="3">
        <f t="shared" si="293"/>
        <v>3.426743954741494</v>
      </c>
      <c r="AC210" s="3">
        <f t="shared" si="293"/>
        <v>3.3468889684998024</v>
      </c>
      <c r="AD210" s="3">
        <f t="shared" si="293"/>
        <v>3.2662317011971682</v>
      </c>
      <c r="AE210" s="3">
        <f t="shared" si="293"/>
        <v>3.1848000098249525</v>
      </c>
      <c r="AF210" s="3">
        <f t="shared" si="293"/>
        <v>3.1026319651408567</v>
      </c>
      <c r="AG210" s="3">
        <f t="shared" si="293"/>
        <v>3.0197751457173814</v>
      </c>
      <c r="AH210" s="3">
        <f t="shared" si="293"/>
        <v>2.9362830643645967</v>
      </c>
      <c r="AI210" s="3">
        <f t="shared" si="293"/>
        <v>2.8522109169517393</v>
      </c>
      <c r="AJ210" s="3">
        <f t="shared" si="293"/>
        <v>2.7676131083049826</v>
      </c>
      <c r="AK210" s="3">
        <f t="shared" si="293"/>
        <v>2.682540897704103</v>
      </c>
      <c r="AL210" s="3">
        <f t="shared" si="293"/>
        <v>2.5970419718713229</v>
      </c>
      <c r="AM210" s="3">
        <f t="shared" si="293"/>
        <v>2.5111579115071865</v>
      </c>
      <c r="AN210" s="3">
        <f t="shared" si="293"/>
        <v>2.4249238435638558</v>
      </c>
      <c r="AO210" s="3">
        <f t="shared" si="293"/>
        <v>2.3383681470830173</v>
      </c>
      <c r="AP210" s="3">
        <f t="shared" si="293"/>
        <v>2.2515142232335754</v>
      </c>
      <c r="AQ210" s="3">
        <f t="shared" si="293"/>
        <v>2.1643808520257695</v>
      </c>
      <c r="AR210" s="3">
        <f t="shared" si="293"/>
        <v>2.076983633699133</v>
      </c>
      <c r="AS210" s="3">
        <f t="shared" si="293"/>
        <v>1.9893369676923813</v>
      </c>
      <c r="AT210" s="3">
        <f t="shared" si="293"/>
        <v>1.9014566522815535</v>
      </c>
      <c r="AU210" s="3">
        <f t="shared" si="293"/>
        <v>1.8133611298406627</v>
      </c>
      <c r="AV210" s="3">
        <f t="shared" si="293"/>
        <v>1.7250710382350591</v>
      </c>
      <c r="AW210" s="3">
        <f t="shared" si="293"/>
        <v>1.6366076545792687</v>
      </c>
      <c r="AX210" s="3">
        <f t="shared" si="293"/>
        <v>1.5479912070203394</v>
      </c>
      <c r="AY210" s="3">
        <f t="shared" si="293"/>
        <v>1.4592399834888903</v>
      </c>
      <c r="AZ210" s="3">
        <f t="shared" si="293"/>
        <v>1.3703699536751204</v>
      </c>
      <c r="BA210" s="3">
        <f t="shared" si="293"/>
        <v>1.2813942277445474</v>
      </c>
      <c r="BB210" s="3">
        <f t="shared" si="293"/>
        <v>1.1923229952802699</v>
      </c>
      <c r="BC210" s="3">
        <f t="shared" si="293"/>
        <v>1.1031633095985893</v>
      </c>
      <c r="BD210" s="3">
        <f t="shared" si="293"/>
        <v>1.013919514005474</v>
      </c>
      <c r="BE210" s="3">
        <f t="shared" si="293"/>
        <v>0.92459366200505999</v>
      </c>
      <c r="BF210" s="3">
        <f t="shared" si="293"/>
        <v>0.83434943723482169</v>
      </c>
      <c r="BG210" s="3">
        <f t="shared" si="293"/>
        <v>0.73733503907711884</v>
      </c>
      <c r="BH210" s="3">
        <f t="shared" si="293"/>
        <v>0.64220233307223684</v>
      </c>
      <c r="BI210" s="3">
        <f t="shared" si="293"/>
        <v>0.54889350900866918</v>
      </c>
    </row>
    <row r="211" spans="1:61" hidden="1" outlineLevel="1" x14ac:dyDescent="0.3">
      <c r="C211" t="s">
        <v>84</v>
      </c>
      <c r="D211" s="3">
        <f t="shared" ref="D211:N211" si="294">D45</f>
        <v>2.08</v>
      </c>
      <c r="E211" s="3">
        <f t="shared" si="294"/>
        <v>2.1</v>
      </c>
      <c r="F211" s="3">
        <f t="shared" si="294"/>
        <v>2.13</v>
      </c>
      <c r="G211" s="3">
        <f t="shared" si="294"/>
        <v>2.16</v>
      </c>
      <c r="H211" s="3">
        <f t="shared" si="294"/>
        <v>2.19</v>
      </c>
      <c r="I211" s="3">
        <f t="shared" si="294"/>
        <v>2.21</v>
      </c>
      <c r="J211" s="3">
        <f t="shared" si="294"/>
        <v>2.2400000000000002</v>
      </c>
      <c r="K211" s="3">
        <f t="shared" si="294"/>
        <v>2.27</v>
      </c>
      <c r="L211" s="3">
        <f t="shared" si="294"/>
        <v>2.2999999999999998</v>
      </c>
      <c r="M211" s="3">
        <f t="shared" si="294"/>
        <v>2.3288401253918489</v>
      </c>
      <c r="N211" s="3">
        <f t="shared" si="294"/>
        <v>2.357680250783698</v>
      </c>
      <c r="O211" s="3">
        <f t="shared" ref="O211:BI211" si="295">O225/SUM(O$223:O$228)*O$165</f>
        <v>2.2673022904899525</v>
      </c>
      <c r="P211" s="3">
        <f t="shared" si="295"/>
        <v>2.2745448271948083</v>
      </c>
      <c r="Q211" s="3">
        <f t="shared" si="295"/>
        <v>2.2812403358915061</v>
      </c>
      <c r="R211" s="3">
        <f t="shared" si="295"/>
        <v>2.2873944938000368</v>
      </c>
      <c r="S211" s="3">
        <f t="shared" si="295"/>
        <v>2.2930268600790646</v>
      </c>
      <c r="T211" s="3">
        <f t="shared" si="295"/>
        <v>2.2981685303789159</v>
      </c>
      <c r="U211" s="3">
        <f t="shared" si="295"/>
        <v>2.3028539297808637</v>
      </c>
      <c r="V211" s="3">
        <f t="shared" si="295"/>
        <v>2.3071168259616419</v>
      </c>
      <c r="W211" s="3">
        <f t="shared" si="295"/>
        <v>2.3109881396024927</v>
      </c>
      <c r="X211" s="3">
        <f t="shared" si="295"/>
        <v>2.3144968715141188</v>
      </c>
      <c r="Y211" s="3">
        <f t="shared" si="295"/>
        <v>2.3176688378432639</v>
      </c>
      <c r="Z211" s="3">
        <f t="shared" si="295"/>
        <v>2.3205238602106637</v>
      </c>
      <c r="AA211" s="3">
        <f t="shared" si="295"/>
        <v>2.323073422674228</v>
      </c>
      <c r="AB211" s="3">
        <f t="shared" si="295"/>
        <v>2.3253202519413487</v>
      </c>
      <c r="AC211" s="3">
        <f t="shared" si="295"/>
        <v>2.3272604847650102</v>
      </c>
      <c r="AD211" s="3">
        <f t="shared" si="295"/>
        <v>2.3288884722294037</v>
      </c>
      <c r="AE211" s="3">
        <f t="shared" si="295"/>
        <v>2.3302011988294775</v>
      </c>
      <c r="AF211" s="3">
        <f t="shared" si="295"/>
        <v>2.3312028667323497</v>
      </c>
      <c r="AG211" s="3">
        <f t="shared" si="295"/>
        <v>2.3319053487796153</v>
      </c>
      <c r="AH211" s="3">
        <f t="shared" si="295"/>
        <v>2.3323264499608132</v>
      </c>
      <c r="AI211" s="3">
        <f t="shared" si="295"/>
        <v>2.3324873159033794</v>
      </c>
      <c r="AJ211" s="3">
        <f t="shared" si="295"/>
        <v>2.332410871779131</v>
      </c>
      <c r="AK211" s="3">
        <f t="shared" si="295"/>
        <v>2.3321200738251102</v>
      </c>
      <c r="AL211" s="3">
        <f t="shared" si="295"/>
        <v>2.3316375507990807</v>
      </c>
      <c r="AM211" s="3">
        <f t="shared" si="295"/>
        <v>2.3309832173815148</v>
      </c>
      <c r="AN211" s="3">
        <f t="shared" si="295"/>
        <v>2.3301734835341974</v>
      </c>
      <c r="AO211" s="3">
        <f t="shared" si="295"/>
        <v>2.3292203396880802</v>
      </c>
      <c r="AP211" s="3">
        <f t="shared" si="295"/>
        <v>2.3281323619146503</v>
      </c>
      <c r="AQ211" s="3">
        <f t="shared" si="295"/>
        <v>2.3269144299876623</v>
      </c>
      <c r="AR211" s="3">
        <f t="shared" si="295"/>
        <v>2.3255685839779234</v>
      </c>
      <c r="AS211" s="3">
        <f t="shared" si="295"/>
        <v>2.324095725314181</v>
      </c>
      <c r="AT211" s="3">
        <f t="shared" si="295"/>
        <v>2.3224985349619063</v>
      </c>
      <c r="AU211" s="3">
        <f t="shared" si="295"/>
        <v>2.3207834930303171</v>
      </c>
      <c r="AV211" s="3">
        <f t="shared" si="295"/>
        <v>2.3189612353140134</v>
      </c>
      <c r="AW211" s="3">
        <f t="shared" si="295"/>
        <v>2.3170454639717457</v>
      </c>
      <c r="AX211" s="3">
        <f t="shared" si="295"/>
        <v>2.315051302553337</v>
      </c>
      <c r="AY211" s="3">
        <f t="shared" si="295"/>
        <v>2.312994331170402</v>
      </c>
      <c r="AZ211" s="3">
        <f t="shared" si="295"/>
        <v>2.3108901213492024</v>
      </c>
      <c r="BA211" s="3">
        <f t="shared" si="295"/>
        <v>2.3087532872594498</v>
      </c>
      <c r="BB211" s="3">
        <f t="shared" si="295"/>
        <v>2.3065970466540819</v>
      </c>
      <c r="BC211" s="3">
        <f t="shared" si="295"/>
        <v>2.3044322456183752</v>
      </c>
      <c r="BD211" s="3">
        <f t="shared" si="295"/>
        <v>2.3022673270357283</v>
      </c>
      <c r="BE211" s="3">
        <f t="shared" si="295"/>
        <v>2.3001082565934059</v>
      </c>
      <c r="BF211" s="3">
        <f t="shared" si="295"/>
        <v>2.2956568164582034</v>
      </c>
      <c r="BG211" s="3">
        <f t="shared" si="295"/>
        <v>2.2700796733261881</v>
      </c>
      <c r="BH211" s="3">
        <f t="shared" si="295"/>
        <v>2.2450353779497121</v>
      </c>
      <c r="BI211" s="3">
        <f t="shared" si="295"/>
        <v>2.2205114015474128</v>
      </c>
    </row>
    <row r="212" spans="1:61" hidden="1" outlineLevel="1" x14ac:dyDescent="0.3">
      <c r="C212" t="s">
        <v>87</v>
      </c>
      <c r="D212" s="3">
        <f t="shared" ref="D212:N212" si="296">D46</f>
        <v>18.359862705179303</v>
      </c>
      <c r="E212" s="3">
        <f t="shared" si="296"/>
        <v>17.536594731234199</v>
      </c>
      <c r="F212" s="3">
        <f t="shared" si="296"/>
        <v>17.339470041513017</v>
      </c>
      <c r="G212" s="3">
        <f t="shared" si="296"/>
        <v>17.240396017567168</v>
      </c>
      <c r="H212" s="3">
        <f t="shared" si="296"/>
        <v>17.056307862459416</v>
      </c>
      <c r="I212" s="3">
        <f t="shared" si="296"/>
        <v>17.334976103099478</v>
      </c>
      <c r="J212" s="3">
        <f t="shared" si="296"/>
        <v>17.203414143925063</v>
      </c>
      <c r="K212" s="3">
        <f t="shared" si="296"/>
        <v>19.959897577031125</v>
      </c>
      <c r="L212" s="3">
        <f t="shared" si="296"/>
        <v>16.920000000000002</v>
      </c>
      <c r="M212" s="3">
        <f t="shared" si="296"/>
        <v>18.464880293188422</v>
      </c>
      <c r="N212" s="3">
        <f t="shared" si="296"/>
        <v>16.88637230494172</v>
      </c>
      <c r="O212" s="3">
        <f t="shared" ref="O212:BI212" si="297">O226/SUM(O$223:O$228)*O$165</f>
        <v>15.89044254811061</v>
      </c>
      <c r="P212" s="3">
        <f t="shared" si="297"/>
        <v>15.590532500376003</v>
      </c>
      <c r="Q212" s="3">
        <f t="shared" si="297"/>
        <v>15.283778848681093</v>
      </c>
      <c r="R212" s="3">
        <f t="shared" si="297"/>
        <v>14.970460288239556</v>
      </c>
      <c r="S212" s="3">
        <f t="shared" si="297"/>
        <v>14.650941983195089</v>
      </c>
      <c r="T212" s="3">
        <f t="shared" si="297"/>
        <v>14.325650114510966</v>
      </c>
      <c r="U212" s="3">
        <f t="shared" si="297"/>
        <v>13.995012916572524</v>
      </c>
      <c r="V212" s="3">
        <f t="shared" si="297"/>
        <v>13.659434341568902</v>
      </c>
      <c r="W212" s="3">
        <f t="shared" si="297"/>
        <v>13.319281818179631</v>
      </c>
      <c r="X212" s="3">
        <f t="shared" si="297"/>
        <v>12.974893555015878</v>
      </c>
      <c r="Y212" s="3">
        <f t="shared" si="297"/>
        <v>12.626573041037643</v>
      </c>
      <c r="Z212" s="3">
        <f t="shared" si="297"/>
        <v>12.274576586565306</v>
      </c>
      <c r="AA212" s="3">
        <f t="shared" si="297"/>
        <v>11.91910595671966</v>
      </c>
      <c r="AB212" s="3">
        <f t="shared" si="297"/>
        <v>11.560312843231344</v>
      </c>
      <c r="AC212" s="3">
        <f t="shared" si="297"/>
        <v>11.198316241232739</v>
      </c>
      <c r="AD212" s="3">
        <f t="shared" si="297"/>
        <v>10.833230066652424</v>
      </c>
      <c r="AE212" s="3">
        <f t="shared" si="297"/>
        <v>10.465184458468133</v>
      </c>
      <c r="AF212" s="3">
        <f t="shared" si="297"/>
        <v>10.094343539180972</v>
      </c>
      <c r="AG212" s="3">
        <f t="shared" si="297"/>
        <v>9.7209014955412059</v>
      </c>
      <c r="AH212" s="3">
        <f t="shared" si="297"/>
        <v>9.3450693903981055</v>
      </c>
      <c r="AI212" s="3">
        <f t="shared" si="297"/>
        <v>8.9670603372940914</v>
      </c>
      <c r="AJ212" s="3">
        <f t="shared" si="297"/>
        <v>8.587080959621721</v>
      </c>
      <c r="AK212" s="3">
        <f t="shared" si="297"/>
        <v>8.2053236963012051</v>
      </c>
      <c r="AL212" s="3">
        <f t="shared" si="297"/>
        <v>7.8219654747140979</v>
      </c>
      <c r="AM212" s="3">
        <f t="shared" si="297"/>
        <v>7.4371602650734632</v>
      </c>
      <c r="AN212" s="3">
        <f t="shared" si="297"/>
        <v>7.0510388224705265</v>
      </c>
      <c r="AO212" s="3">
        <f t="shared" si="297"/>
        <v>6.6637088744509647</v>
      </c>
      <c r="AP212" s="3">
        <f t="shared" si="297"/>
        <v>6.2752614156030662</v>
      </c>
      <c r="AQ212" s="3">
        <f t="shared" si="297"/>
        <v>5.8857727754526792</v>
      </c>
      <c r="AR212" s="3">
        <f t="shared" si="297"/>
        <v>5.4953096815230316</v>
      </c>
      <c r="AS212" s="3">
        <f t="shared" si="297"/>
        <v>5.1039353445834248</v>
      </c>
      <c r="AT212" s="3">
        <f t="shared" si="297"/>
        <v>4.7117163245937403</v>
      </c>
      <c r="AU212" s="3">
        <f t="shared" si="297"/>
        <v>4.3187247937892552</v>
      </c>
      <c r="AV212" s="3">
        <f t="shared" si="297"/>
        <v>3.9250359328224951</v>
      </c>
      <c r="AW212" s="3">
        <f t="shared" si="297"/>
        <v>3.5307227356093391</v>
      </c>
      <c r="AX212" s="3">
        <f t="shared" si="297"/>
        <v>3.1358511379258749</v>
      </c>
      <c r="AY212" s="3">
        <f t="shared" si="297"/>
        <v>2.7404776047393273</v>
      </c>
      <c r="AZ212" s="3">
        <f t="shared" si="297"/>
        <v>2.3446481991202912</v>
      </c>
      <c r="BA212" s="3">
        <f t="shared" si="297"/>
        <v>1.948397715503295</v>
      </c>
      <c r="BB212" s="3">
        <f t="shared" si="297"/>
        <v>1.5517501297180318</v>
      </c>
      <c r="BC212" s="3">
        <f t="shared" si="297"/>
        <v>1.1547192388858702</v>
      </c>
      <c r="BD212" s="3">
        <f t="shared" si="297"/>
        <v>0.7573106286538398</v>
      </c>
      <c r="BE212" s="3">
        <f t="shared" si="297"/>
        <v>0.35952368330588075</v>
      </c>
      <c r="BF212" s="3">
        <f t="shared" si="297"/>
        <v>0</v>
      </c>
      <c r="BG212" s="3">
        <f t="shared" si="297"/>
        <v>0</v>
      </c>
      <c r="BH212" s="3">
        <f t="shared" si="297"/>
        <v>0</v>
      </c>
      <c r="BI212" s="3">
        <f t="shared" si="297"/>
        <v>0</v>
      </c>
    </row>
    <row r="213" spans="1:61" hidden="1" outlineLevel="1" x14ac:dyDescent="0.3">
      <c r="C213" t="s">
        <v>89</v>
      </c>
      <c r="D213" s="3">
        <f t="shared" ref="D213:N213" si="298">D47</f>
        <v>4</v>
      </c>
      <c r="E213" s="3">
        <f t="shared" si="298"/>
        <v>4.7300000000000004</v>
      </c>
      <c r="F213" s="3">
        <f t="shared" si="298"/>
        <v>4.8</v>
      </c>
      <c r="G213" s="3">
        <f t="shared" si="298"/>
        <v>5.1800000000000006</v>
      </c>
      <c r="H213" s="3">
        <f t="shared" si="298"/>
        <v>4.96</v>
      </c>
      <c r="I213" s="3">
        <f t="shared" si="298"/>
        <v>4.4000000000000004</v>
      </c>
      <c r="J213" s="3">
        <f t="shared" si="298"/>
        <v>3.9500000000000006</v>
      </c>
      <c r="K213" s="3">
        <f t="shared" si="298"/>
        <v>3.4200000000000004</v>
      </c>
      <c r="L213" s="3">
        <f t="shared" si="298"/>
        <v>4.26</v>
      </c>
      <c r="M213" s="3">
        <f t="shared" si="298"/>
        <v>4.3176162299239218</v>
      </c>
      <c r="N213" s="3">
        <f t="shared" si="298"/>
        <v>4.7461369399830939</v>
      </c>
      <c r="O213" s="3">
        <f t="shared" ref="O213:BI213" si="299">O227/SUM(O$223:O$228)*O$165</f>
        <v>4.5830453822582014</v>
      </c>
      <c r="P213" s="3">
        <f t="shared" si="299"/>
        <v>4.6166402549673267</v>
      </c>
      <c r="Q213" s="3">
        <f t="shared" si="299"/>
        <v>4.6492920729473264</v>
      </c>
      <c r="R213" s="3">
        <f t="shared" si="299"/>
        <v>4.6809993981109805</v>
      </c>
      <c r="S213" s="3">
        <f t="shared" si="299"/>
        <v>4.7117894378593217</v>
      </c>
      <c r="T213" s="3">
        <f t="shared" si="299"/>
        <v>4.7417137913186638</v>
      </c>
      <c r="U213" s="3">
        <f t="shared" si="299"/>
        <v>4.7708319379304207</v>
      </c>
      <c r="V213" s="3">
        <f t="shared" si="299"/>
        <v>4.7992030917794333</v>
      </c>
      <c r="W213" s="3">
        <f t="shared" si="299"/>
        <v>4.8268816078218437</v>
      </c>
      <c r="X213" s="3">
        <f t="shared" si="299"/>
        <v>4.8539188123937151</v>
      </c>
      <c r="Y213" s="3">
        <f t="shared" si="299"/>
        <v>4.8803602647238735</v>
      </c>
      <c r="Z213" s="3">
        <f t="shared" si="299"/>
        <v>4.9062396861513706</v>
      </c>
      <c r="AA213" s="3">
        <f t="shared" si="299"/>
        <v>4.9315737345525843</v>
      </c>
      <c r="AB213" s="3">
        <f t="shared" si="299"/>
        <v>4.9563607550466555</v>
      </c>
      <c r="AC213" s="3">
        <f t="shared" si="299"/>
        <v>4.9805850429027503</v>
      </c>
      <c r="AD213" s="3">
        <f t="shared" si="299"/>
        <v>5.0042268819730511</v>
      </c>
      <c r="AE213" s="3">
        <f t="shared" si="299"/>
        <v>5.0272719999111306</v>
      </c>
      <c r="AF213" s="3">
        <f t="shared" si="299"/>
        <v>5.0497216113073433</v>
      </c>
      <c r="AG213" s="3">
        <f t="shared" si="299"/>
        <v>5.0715937168385095</v>
      </c>
      <c r="AH213" s="3">
        <f t="shared" si="299"/>
        <v>5.0929196433222828</v>
      </c>
      <c r="AI213" s="3">
        <f t="shared" si="299"/>
        <v>5.1137386249378798</v>
      </c>
      <c r="AJ213" s="3">
        <f t="shared" si="299"/>
        <v>5.1340945179505617</v>
      </c>
      <c r="AK213" s="3">
        <f t="shared" si="299"/>
        <v>5.1540320199147569</v>
      </c>
      <c r="AL213" s="3">
        <f t="shared" si="299"/>
        <v>5.1735958808275484</v>
      </c>
      <c r="AM213" s="3">
        <f t="shared" si="299"/>
        <v>5.1928255772741139</v>
      </c>
      <c r="AN213" s="3">
        <f t="shared" si="299"/>
        <v>5.2117534286711482</v>
      </c>
      <c r="AO213" s="3">
        <f t="shared" si="299"/>
        <v>5.2304023913926443</v>
      </c>
      <c r="AP213" s="3">
        <f t="shared" si="299"/>
        <v>5.2487881311382152</v>
      </c>
      <c r="AQ213" s="3">
        <f t="shared" si="299"/>
        <v>5.2669182344461465</v>
      </c>
      <c r="AR213" s="3">
        <f t="shared" si="299"/>
        <v>5.2847939910166675</v>
      </c>
      <c r="AS213" s="3">
        <f t="shared" si="299"/>
        <v>5.3024141476720912</v>
      </c>
      <c r="AT213" s="3">
        <f t="shared" si="299"/>
        <v>5.3197815414474947</v>
      </c>
      <c r="AU213" s="3">
        <f t="shared" si="299"/>
        <v>5.3369078247292103</v>
      </c>
      <c r="AV213" s="3">
        <f t="shared" si="299"/>
        <v>5.3538144617759285</v>
      </c>
      <c r="AW213" s="3">
        <f t="shared" si="299"/>
        <v>5.3705303949448844</v>
      </c>
      <c r="AX213" s="3">
        <f t="shared" si="299"/>
        <v>5.3870883597407433</v>
      </c>
      <c r="AY213" s="3">
        <f t="shared" si="299"/>
        <v>5.4035226994435508</v>
      </c>
      <c r="AZ213" s="3">
        <f t="shared" si="299"/>
        <v>5.419868298990032</v>
      </c>
      <c r="BA213" s="3">
        <f t="shared" si="299"/>
        <v>5.4361583545806598</v>
      </c>
      <c r="BB213" s="3">
        <f t="shared" si="299"/>
        <v>5.452423295519969</v>
      </c>
      <c r="BC213" s="3">
        <f t="shared" si="299"/>
        <v>5.468688408827405</v>
      </c>
      <c r="BD213" s="3">
        <f t="shared" si="299"/>
        <v>5.4849736572120875</v>
      </c>
      <c r="BE213" s="3">
        <f t="shared" si="299"/>
        <v>5.5012933928171828</v>
      </c>
      <c r="BF213" s="3">
        <f t="shared" si="299"/>
        <v>5.5121295884100512</v>
      </c>
      <c r="BG213" s="3">
        <f t="shared" si="299"/>
        <v>5.4720201003029469</v>
      </c>
      <c r="BH213" s="3">
        <f t="shared" si="299"/>
        <v>5.4327800690899437</v>
      </c>
      <c r="BI213" s="3">
        <f t="shared" si="299"/>
        <v>5.3943923461581296</v>
      </c>
    </row>
    <row r="214" spans="1:61" hidden="1" outlineLevel="1" x14ac:dyDescent="0.3">
      <c r="C214" t="s">
        <v>91</v>
      </c>
      <c r="D214" s="3">
        <f t="shared" ref="D214:N214" si="300">D48</f>
        <v>7.9477141507291987E-2</v>
      </c>
      <c r="E214" s="3">
        <f t="shared" si="300"/>
        <v>7.9421285313428014E-2</v>
      </c>
      <c r="F214" s="3">
        <f t="shared" si="300"/>
        <v>7.7336753268406042E-2</v>
      </c>
      <c r="G214" s="3">
        <f t="shared" si="300"/>
        <v>7.2241093269343581E-2</v>
      </c>
      <c r="H214" s="3">
        <f t="shared" si="300"/>
        <v>8.8895231071976832E-2</v>
      </c>
      <c r="I214" s="3">
        <f t="shared" si="300"/>
        <v>9.2245749903176619E-2</v>
      </c>
      <c r="J214" s="3">
        <f t="shared" si="300"/>
        <v>9.3152585184067757E-2</v>
      </c>
      <c r="K214" s="3">
        <f t="shared" si="300"/>
        <v>3.3465997915580963E-2</v>
      </c>
      <c r="L214" s="3">
        <f t="shared" si="300"/>
        <v>9.0000000000000108E-2</v>
      </c>
      <c r="M214" s="3">
        <f t="shared" si="300"/>
        <v>0.13126471118235233</v>
      </c>
      <c r="N214" s="3">
        <f t="shared" si="300"/>
        <v>0.12361849948102578</v>
      </c>
      <c r="O214" s="3">
        <f t="shared" ref="O214:BI214" si="301">O228/SUM(O$223:O$228)*O$165</f>
        <v>0.12185835852202878</v>
      </c>
      <c r="P214" s="3">
        <f t="shared" si="301"/>
        <v>0.12524372988804042</v>
      </c>
      <c r="Q214" s="3">
        <f t="shared" si="301"/>
        <v>0.12862541591083901</v>
      </c>
      <c r="R214" s="3">
        <f t="shared" si="301"/>
        <v>0.13200168050716665</v>
      </c>
      <c r="S214" s="3">
        <f t="shared" si="301"/>
        <v>0.13537162616327494</v>
      </c>
      <c r="T214" s="3">
        <f t="shared" si="301"/>
        <v>0.13873514489195979</v>
      </c>
      <c r="U214" s="3">
        <f t="shared" si="301"/>
        <v>0.14209248947377223</v>
      </c>
      <c r="V214" s="3">
        <f t="shared" si="301"/>
        <v>0.14544404545721942</v>
      </c>
      <c r="W214" s="3">
        <f t="shared" si="301"/>
        <v>0.14879018695239277</v>
      </c>
      <c r="X214" s="3">
        <f t="shared" si="301"/>
        <v>0.1521313195766211</v>
      </c>
      <c r="Y214" s="3">
        <f t="shared" si="301"/>
        <v>0.15546778372853948</v>
      </c>
      <c r="Z214" s="3">
        <f t="shared" si="301"/>
        <v>0.15879964176219019</v>
      </c>
      <c r="AA214" s="3">
        <f t="shared" si="301"/>
        <v>0.16212647469530289</v>
      </c>
      <c r="AB214" s="3">
        <f t="shared" si="301"/>
        <v>0.1654472963031576</v>
      </c>
      <c r="AC214" s="3">
        <f t="shared" si="301"/>
        <v>0.16876065092559472</v>
      </c>
      <c r="AD214" s="3">
        <f t="shared" si="301"/>
        <v>0.17206492339947849</v>
      </c>
      <c r="AE214" s="3">
        <f t="shared" si="301"/>
        <v>0.17535865917793353</v>
      </c>
      <c r="AF214" s="3">
        <f t="shared" si="301"/>
        <v>0.17864093347953927</v>
      </c>
      <c r="AG214" s="3">
        <f t="shared" si="301"/>
        <v>0.18191143624768227</v>
      </c>
      <c r="AH214" s="3">
        <f t="shared" si="301"/>
        <v>0.18517038728688959</v>
      </c>
      <c r="AI214" s="3">
        <f t="shared" si="301"/>
        <v>0.18841836846616808</v>
      </c>
      <c r="AJ214" s="3">
        <f t="shared" si="301"/>
        <v>0.19165621930995227</v>
      </c>
      <c r="AK214" s="3">
        <f t="shared" si="301"/>
        <v>0.19488490406439027</v>
      </c>
      <c r="AL214" s="3">
        <f t="shared" si="301"/>
        <v>0.19810548229555558</v>
      </c>
      <c r="AM214" s="3">
        <f t="shared" si="301"/>
        <v>0.20131890132358596</v>
      </c>
      <c r="AN214" s="3">
        <f t="shared" si="301"/>
        <v>0.20452590858868142</v>
      </c>
      <c r="AO214" s="3">
        <f t="shared" si="301"/>
        <v>0.20772694610139714</v>
      </c>
      <c r="AP214" s="3">
        <f t="shared" si="301"/>
        <v>0.21092221087607266</v>
      </c>
      <c r="AQ214" s="3">
        <f t="shared" si="301"/>
        <v>0.21411160522706793</v>
      </c>
      <c r="AR214" s="3">
        <f t="shared" si="301"/>
        <v>0.21729479084208581</v>
      </c>
      <c r="AS214" s="3">
        <f t="shared" si="301"/>
        <v>0.22047133007580388</v>
      </c>
      <c r="AT214" s="3">
        <f t="shared" si="301"/>
        <v>0.22364095887031091</v>
      </c>
      <c r="AU214" s="3">
        <f t="shared" si="301"/>
        <v>0.22680379690057409</v>
      </c>
      <c r="AV214" s="3">
        <f t="shared" si="301"/>
        <v>0.22996041033439565</v>
      </c>
      <c r="AW214" s="3">
        <f t="shared" si="301"/>
        <v>0.2331117324437682</v>
      </c>
      <c r="AX214" s="3">
        <f t="shared" si="301"/>
        <v>0.23625891831323964</v>
      </c>
      <c r="AY214" s="3">
        <f t="shared" si="301"/>
        <v>0.23940325582337413</v>
      </c>
      <c r="AZ214" s="3">
        <f t="shared" si="301"/>
        <v>0.24254612075282772</v>
      </c>
      <c r="BA214" s="3">
        <f t="shared" si="301"/>
        <v>0.24568887637804102</v>
      </c>
      <c r="BB214" s="3">
        <f t="shared" si="301"/>
        <v>0.24883281973922897</v>
      </c>
      <c r="BC214" s="3">
        <f t="shared" si="301"/>
        <v>0.2519790653586042</v>
      </c>
      <c r="BD214" s="3">
        <f t="shared" si="301"/>
        <v>0.25512852484923748</v>
      </c>
      <c r="BE214" s="3">
        <f t="shared" si="301"/>
        <v>0.25828188133298269</v>
      </c>
      <c r="BF214" s="3">
        <f t="shared" si="301"/>
        <v>0.26117770551245062</v>
      </c>
      <c r="BG214" s="3">
        <f t="shared" si="301"/>
        <v>0.26163519762300536</v>
      </c>
      <c r="BH214" s="3">
        <f t="shared" si="301"/>
        <v>0.26208851043644904</v>
      </c>
      <c r="BI214" s="3">
        <f t="shared" si="301"/>
        <v>0.26253826301209587</v>
      </c>
    </row>
    <row r="215" spans="1:61" hidden="1" outlineLevel="1" x14ac:dyDescent="0.3"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</row>
    <row r="216" spans="1:61" hidden="1" outlineLevel="1" x14ac:dyDescent="0.3">
      <c r="A216" s="16">
        <f>(N216-D216)/11</f>
        <v>1.2320086592154061E-2</v>
      </c>
      <c r="C216" t="s">
        <v>81</v>
      </c>
      <c r="D216" s="3">
        <f>D209/SUM(D$209:D$214)</f>
        <v>9.2119345066178485E-2</v>
      </c>
      <c r="E216" s="3">
        <f t="shared" ref="E216:N216" si="302">E209/SUM(E$209:E$214)</f>
        <v>0.10133262841617423</v>
      </c>
      <c r="F216" s="3">
        <f t="shared" si="302"/>
        <v>0.11210350196428552</v>
      </c>
      <c r="G216" s="3">
        <f t="shared" si="302"/>
        <v>0.11726726914258476</v>
      </c>
      <c r="H216" s="3">
        <f t="shared" si="302"/>
        <v>0.11757484798143461</v>
      </c>
      <c r="I216" s="3">
        <f t="shared" si="302"/>
        <v>0.1417181895573624</v>
      </c>
      <c r="J216" s="3">
        <f t="shared" si="302"/>
        <v>0.15499197030635403</v>
      </c>
      <c r="K216" s="3">
        <f t="shared" si="302"/>
        <v>0.1640817207828954</v>
      </c>
      <c r="L216" s="3">
        <f t="shared" si="302"/>
        <v>0.18739205526770292</v>
      </c>
      <c r="M216" s="3">
        <f t="shared" si="302"/>
        <v>0.18358343849547157</v>
      </c>
      <c r="N216" s="3">
        <f t="shared" si="302"/>
        <v>0.22764029757987314</v>
      </c>
      <c r="O216" s="15">
        <f>N216+$A216</f>
        <v>0.2399603841720272</v>
      </c>
      <c r="P216" s="15">
        <f t="shared" ref="P216:BI221" si="303">O216+$A216</f>
        <v>0.25228047076418125</v>
      </c>
      <c r="Q216" s="15">
        <f t="shared" si="303"/>
        <v>0.26460055735633531</v>
      </c>
      <c r="R216" s="15">
        <f t="shared" si="303"/>
        <v>0.27692064394848936</v>
      </c>
      <c r="S216" s="15">
        <f t="shared" si="303"/>
        <v>0.28924073054064342</v>
      </c>
      <c r="T216" s="15">
        <f t="shared" si="303"/>
        <v>0.30156081713279748</v>
      </c>
      <c r="U216" s="15">
        <f t="shared" si="303"/>
        <v>0.31388090372495153</v>
      </c>
      <c r="V216" s="15">
        <f t="shared" si="303"/>
        <v>0.32620099031710559</v>
      </c>
      <c r="W216" s="15">
        <f t="shared" si="303"/>
        <v>0.33852107690925964</v>
      </c>
      <c r="X216" s="15">
        <f t="shared" si="303"/>
        <v>0.3508411635014137</v>
      </c>
      <c r="Y216" s="15">
        <f t="shared" si="303"/>
        <v>0.36316125009356776</v>
      </c>
      <c r="Z216" s="15">
        <f t="shared" si="303"/>
        <v>0.37548133668572181</v>
      </c>
      <c r="AA216" s="15">
        <f t="shared" si="303"/>
        <v>0.38780142327787587</v>
      </c>
      <c r="AB216" s="15">
        <f t="shared" si="303"/>
        <v>0.40012150987002992</v>
      </c>
      <c r="AC216" s="15">
        <f t="shared" si="303"/>
        <v>0.41244159646218398</v>
      </c>
      <c r="AD216" s="15">
        <f t="shared" si="303"/>
        <v>0.42476168305433804</v>
      </c>
      <c r="AE216" s="15">
        <f t="shared" si="303"/>
        <v>0.43708176964649209</v>
      </c>
      <c r="AF216" s="15">
        <f t="shared" si="303"/>
        <v>0.44940185623864615</v>
      </c>
      <c r="AG216" s="15">
        <f t="shared" si="303"/>
        <v>0.4617219428308002</v>
      </c>
      <c r="AH216" s="15">
        <f t="shared" si="303"/>
        <v>0.47404202942295426</v>
      </c>
      <c r="AI216" s="15">
        <f t="shared" si="303"/>
        <v>0.48636211601510831</v>
      </c>
      <c r="AJ216" s="15">
        <f t="shared" si="303"/>
        <v>0.49868220260726237</v>
      </c>
      <c r="AK216" s="15">
        <f t="shared" si="303"/>
        <v>0.51100228919941648</v>
      </c>
      <c r="AL216" s="15">
        <f t="shared" si="303"/>
        <v>0.52332237579157059</v>
      </c>
      <c r="AM216" s="15">
        <f t="shared" si="303"/>
        <v>0.5356424623837247</v>
      </c>
      <c r="AN216" s="15">
        <f t="shared" si="303"/>
        <v>0.54796254897587882</v>
      </c>
      <c r="AO216" s="15">
        <f t="shared" si="303"/>
        <v>0.56028263556803293</v>
      </c>
      <c r="AP216" s="15">
        <f t="shared" si="303"/>
        <v>0.57260272216018704</v>
      </c>
      <c r="AQ216" s="15">
        <f t="shared" si="303"/>
        <v>0.58492280875234115</v>
      </c>
      <c r="AR216" s="15">
        <f t="shared" si="303"/>
        <v>0.59724289534449526</v>
      </c>
      <c r="AS216" s="15">
        <f t="shared" si="303"/>
        <v>0.60956298193664937</v>
      </c>
      <c r="AT216" s="15">
        <f t="shared" si="303"/>
        <v>0.62188306852880348</v>
      </c>
      <c r="AU216" s="15">
        <f t="shared" si="303"/>
        <v>0.6342031551209576</v>
      </c>
      <c r="AV216" s="15">
        <f t="shared" si="303"/>
        <v>0.64652324171311171</v>
      </c>
      <c r="AW216" s="15">
        <f t="shared" si="303"/>
        <v>0.65884332830526582</v>
      </c>
      <c r="AX216" s="15">
        <f t="shared" si="303"/>
        <v>0.67116341489741993</v>
      </c>
      <c r="AY216" s="15">
        <f t="shared" si="303"/>
        <v>0.68348350148957404</v>
      </c>
      <c r="AZ216" s="15">
        <f t="shared" si="303"/>
        <v>0.69580358808172815</v>
      </c>
      <c r="BA216" s="15">
        <f t="shared" si="303"/>
        <v>0.70812367467388226</v>
      </c>
      <c r="BB216" s="15">
        <f t="shared" si="303"/>
        <v>0.72044376126603638</v>
      </c>
      <c r="BC216" s="15">
        <f t="shared" si="303"/>
        <v>0.73276384785819049</v>
      </c>
      <c r="BD216" s="15">
        <f t="shared" si="303"/>
        <v>0.7450839344503446</v>
      </c>
      <c r="BE216" s="15">
        <f t="shared" si="303"/>
        <v>0.75740402104249871</v>
      </c>
      <c r="BF216" s="15">
        <f t="shared" si="303"/>
        <v>0.76972410763465282</v>
      </c>
      <c r="BG216" s="15">
        <f t="shared" si="303"/>
        <v>0.78204419422680693</v>
      </c>
      <c r="BH216" s="15">
        <f t="shared" si="303"/>
        <v>0.79436428081896104</v>
      </c>
      <c r="BI216" s="15">
        <f t="shared" si="303"/>
        <v>0.80668436741111516</v>
      </c>
    </row>
    <row r="217" spans="1:61" hidden="1" outlineLevel="1" x14ac:dyDescent="0.3">
      <c r="A217" s="16">
        <f t="shared" ref="A217:A221" si="304">(N217-D217)/11</f>
        <v>-2.331856848277834E-3</v>
      </c>
      <c r="C217" t="s">
        <v>83</v>
      </c>
      <c r="D217" s="3">
        <f t="shared" ref="D217:N221" si="305">D210/SUM(D$209:D$214)</f>
        <v>0.14992577972180055</v>
      </c>
      <c r="E217" s="3">
        <f t="shared" si="305"/>
        <v>0.14800705120180602</v>
      </c>
      <c r="F217" s="3">
        <f t="shared" si="305"/>
        <v>0.14622195908385066</v>
      </c>
      <c r="G217" s="3">
        <f t="shared" si="305"/>
        <v>0.1433599863175333</v>
      </c>
      <c r="H217" s="3">
        <f t="shared" si="305"/>
        <v>0.1443102139307014</v>
      </c>
      <c r="I217" s="3">
        <f t="shared" si="305"/>
        <v>0.14112148139080508</v>
      </c>
      <c r="J217" s="3">
        <f t="shared" si="305"/>
        <v>0.1409017911875946</v>
      </c>
      <c r="K217" s="3">
        <f t="shared" si="305"/>
        <v>0.12884269350066282</v>
      </c>
      <c r="L217" s="3">
        <f t="shared" si="305"/>
        <v>0.13413932066781808</v>
      </c>
      <c r="M217" s="3">
        <f t="shared" si="305"/>
        <v>0.12681484213224831</v>
      </c>
      <c r="N217" s="3">
        <f t="shared" si="305"/>
        <v>0.12427535439074437</v>
      </c>
      <c r="O217" s="15">
        <f t="shared" ref="O217:AD221" si="306">N217+$A217</f>
        <v>0.12194349754246654</v>
      </c>
      <c r="P217" s="15">
        <f t="shared" si="306"/>
        <v>0.11961164069418871</v>
      </c>
      <c r="Q217" s="15">
        <f t="shared" si="306"/>
        <v>0.11727978384591088</v>
      </c>
      <c r="R217" s="15">
        <f t="shared" si="306"/>
        <v>0.11494792699763305</v>
      </c>
      <c r="S217" s="15">
        <f t="shared" si="306"/>
        <v>0.11261607014935522</v>
      </c>
      <c r="T217" s="15">
        <f t="shared" si="306"/>
        <v>0.11028421330107739</v>
      </c>
      <c r="U217" s="15">
        <f t="shared" si="306"/>
        <v>0.10795235645279956</v>
      </c>
      <c r="V217" s="15">
        <f t="shared" si="306"/>
        <v>0.10562049960452173</v>
      </c>
      <c r="W217" s="15">
        <f t="shared" si="306"/>
        <v>0.1032886427562439</v>
      </c>
      <c r="X217" s="15">
        <f t="shared" si="306"/>
        <v>0.10095678590796607</v>
      </c>
      <c r="Y217" s="15">
        <f t="shared" si="306"/>
        <v>9.8624929059688241E-2</v>
      </c>
      <c r="Z217" s="15">
        <f t="shared" si="306"/>
        <v>9.629307221141041E-2</v>
      </c>
      <c r="AA217" s="15">
        <f t="shared" si="306"/>
        <v>9.396121536313258E-2</v>
      </c>
      <c r="AB217" s="15">
        <f t="shared" si="306"/>
        <v>9.162935851485475E-2</v>
      </c>
      <c r="AC217" s="15">
        <f t="shared" si="306"/>
        <v>8.929750166657692E-2</v>
      </c>
      <c r="AD217" s="15">
        <f t="shared" si="306"/>
        <v>8.696564481829909E-2</v>
      </c>
      <c r="AE217" s="15">
        <f t="shared" si="303"/>
        <v>8.463378797002126E-2</v>
      </c>
      <c r="AF217" s="15">
        <f t="shared" si="303"/>
        <v>8.230193112174343E-2</v>
      </c>
      <c r="AG217" s="15">
        <f t="shared" si="303"/>
        <v>7.9970074273465599E-2</v>
      </c>
      <c r="AH217" s="15">
        <f t="shared" si="303"/>
        <v>7.7638217425187769E-2</v>
      </c>
      <c r="AI217" s="15">
        <f t="shared" si="303"/>
        <v>7.5306360576909939E-2</v>
      </c>
      <c r="AJ217" s="15">
        <f t="shared" si="303"/>
        <v>7.2974503728632109E-2</v>
      </c>
      <c r="AK217" s="15">
        <f t="shared" si="303"/>
        <v>7.0642646880354279E-2</v>
      </c>
      <c r="AL217" s="15">
        <f t="shared" si="303"/>
        <v>6.8310790032076449E-2</v>
      </c>
      <c r="AM217" s="15">
        <f t="shared" si="303"/>
        <v>6.5978933183798619E-2</v>
      </c>
      <c r="AN217" s="15">
        <f t="shared" si="303"/>
        <v>6.3647076335520789E-2</v>
      </c>
      <c r="AO217" s="15">
        <f t="shared" si="303"/>
        <v>6.1315219487242952E-2</v>
      </c>
      <c r="AP217" s="15">
        <f t="shared" si="303"/>
        <v>5.8983362638965114E-2</v>
      </c>
      <c r="AQ217" s="15">
        <f t="shared" si="303"/>
        <v>5.6651505790687277E-2</v>
      </c>
      <c r="AR217" s="15">
        <f t="shared" si="303"/>
        <v>5.431964894240944E-2</v>
      </c>
      <c r="AS217" s="15">
        <f t="shared" si="303"/>
        <v>5.1987792094131603E-2</v>
      </c>
      <c r="AT217" s="15">
        <f t="shared" si="303"/>
        <v>4.9655935245853766E-2</v>
      </c>
      <c r="AU217" s="15">
        <f t="shared" si="303"/>
        <v>4.7324078397575929E-2</v>
      </c>
      <c r="AV217" s="15">
        <f t="shared" si="303"/>
        <v>4.4992221549298092E-2</v>
      </c>
      <c r="AW217" s="15">
        <f t="shared" si="303"/>
        <v>4.2660364701020255E-2</v>
      </c>
      <c r="AX217" s="15">
        <f t="shared" si="303"/>
        <v>4.0328507852742418E-2</v>
      </c>
      <c r="AY217" s="15">
        <f t="shared" si="303"/>
        <v>3.7996651004464581E-2</v>
      </c>
      <c r="AZ217" s="15">
        <f t="shared" si="303"/>
        <v>3.5664794156186744E-2</v>
      </c>
      <c r="BA217" s="15">
        <f t="shared" si="303"/>
        <v>3.3332937307908907E-2</v>
      </c>
      <c r="BB217" s="15">
        <f t="shared" si="303"/>
        <v>3.1001080459631073E-2</v>
      </c>
      <c r="BC217" s="15">
        <f t="shared" si="303"/>
        <v>2.8669223611353239E-2</v>
      </c>
      <c r="BD217" s="15">
        <f t="shared" si="303"/>
        <v>2.6337366763075406E-2</v>
      </c>
      <c r="BE217" s="15">
        <f t="shared" si="303"/>
        <v>2.4005509914797572E-2</v>
      </c>
      <c r="BF217" s="15">
        <f t="shared" si="303"/>
        <v>2.1673653066519739E-2</v>
      </c>
      <c r="BG217" s="15">
        <f t="shared" si="303"/>
        <v>1.9341796218241905E-2</v>
      </c>
      <c r="BH217" s="15">
        <f t="shared" si="303"/>
        <v>1.7009939369964071E-2</v>
      </c>
      <c r="BI217" s="15">
        <f t="shared" si="303"/>
        <v>1.4678082521686238E-2</v>
      </c>
    </row>
    <row r="218" spans="1:61" hidden="1" outlineLevel="1" x14ac:dyDescent="0.3">
      <c r="A218" s="16">
        <f t="shared" si="304"/>
        <v>-8.4808287426768603E-5</v>
      </c>
      <c r="C218" t="s">
        <v>84</v>
      </c>
      <c r="D218" s="3">
        <f t="shared" si="305"/>
        <v>6.4298066354916528E-2</v>
      </c>
      <c r="E218" s="3">
        <f t="shared" si="305"/>
        <v>6.4484399901201792E-2</v>
      </c>
      <c r="F218" s="3">
        <f t="shared" si="305"/>
        <v>6.4885994343458736E-2</v>
      </c>
      <c r="G218" s="3">
        <f t="shared" si="305"/>
        <v>6.478191850332049E-2</v>
      </c>
      <c r="H218" s="3">
        <f t="shared" si="305"/>
        <v>6.6534603896470743E-2</v>
      </c>
      <c r="I218" s="3">
        <f t="shared" si="305"/>
        <v>6.593625240458334E-2</v>
      </c>
      <c r="J218" s="3">
        <f t="shared" si="305"/>
        <v>6.7153194097917424E-2</v>
      </c>
      <c r="K218" s="3">
        <f t="shared" si="305"/>
        <v>6.2494212445834328E-2</v>
      </c>
      <c r="L218" s="3">
        <f t="shared" si="305"/>
        <v>6.6206102475532519E-2</v>
      </c>
      <c r="M218" s="3">
        <f t="shared" si="305"/>
        <v>6.362149969131857E-2</v>
      </c>
      <c r="N218" s="3">
        <f t="shared" si="305"/>
        <v>6.3365175193222073E-2</v>
      </c>
      <c r="O218" s="15">
        <f t="shared" si="306"/>
        <v>6.3280366905795304E-2</v>
      </c>
      <c r="P218" s="15">
        <f t="shared" si="303"/>
        <v>6.3195558618368536E-2</v>
      </c>
      <c r="Q218" s="15">
        <f t="shared" si="303"/>
        <v>6.3110750330941767E-2</v>
      </c>
      <c r="R218" s="15">
        <f t="shared" si="303"/>
        <v>6.3025942043514999E-2</v>
      </c>
      <c r="S218" s="15">
        <f t="shared" si="303"/>
        <v>6.294113375608823E-2</v>
      </c>
      <c r="T218" s="15">
        <f t="shared" si="303"/>
        <v>6.2856325468661461E-2</v>
      </c>
      <c r="U218" s="15">
        <f t="shared" si="303"/>
        <v>6.2771517181234693E-2</v>
      </c>
      <c r="V218" s="15">
        <f t="shared" si="303"/>
        <v>6.2686708893807924E-2</v>
      </c>
      <c r="W218" s="15">
        <f t="shared" si="303"/>
        <v>6.2601900606381156E-2</v>
      </c>
      <c r="X218" s="15">
        <f t="shared" si="303"/>
        <v>6.2517092318954387E-2</v>
      </c>
      <c r="Y218" s="15">
        <f t="shared" si="303"/>
        <v>6.2432284031527618E-2</v>
      </c>
      <c r="Z218" s="15">
        <f t="shared" si="303"/>
        <v>6.234747574410085E-2</v>
      </c>
      <c r="AA218" s="15">
        <f t="shared" si="303"/>
        <v>6.2262667456674081E-2</v>
      </c>
      <c r="AB218" s="15">
        <f t="shared" si="303"/>
        <v>6.2177859169247313E-2</v>
      </c>
      <c r="AC218" s="15">
        <f t="shared" si="303"/>
        <v>6.2093050881820544E-2</v>
      </c>
      <c r="AD218" s="15">
        <f t="shared" si="303"/>
        <v>6.2008242594393775E-2</v>
      </c>
      <c r="AE218" s="15">
        <f t="shared" si="303"/>
        <v>6.1923434306967007E-2</v>
      </c>
      <c r="AF218" s="15">
        <f t="shared" si="303"/>
        <v>6.1838626019540238E-2</v>
      </c>
      <c r="AG218" s="15">
        <f t="shared" si="303"/>
        <v>6.175381773211347E-2</v>
      </c>
      <c r="AH218" s="15">
        <f t="shared" si="303"/>
        <v>6.1669009444686701E-2</v>
      </c>
      <c r="AI218" s="15">
        <f t="shared" si="303"/>
        <v>6.1584201157259932E-2</v>
      </c>
      <c r="AJ218" s="15">
        <f t="shared" si="303"/>
        <v>6.1499392869833164E-2</v>
      </c>
      <c r="AK218" s="15">
        <f t="shared" si="303"/>
        <v>6.1414584582406395E-2</v>
      </c>
      <c r="AL218" s="15">
        <f t="shared" si="303"/>
        <v>6.1329776294979627E-2</v>
      </c>
      <c r="AM218" s="15">
        <f t="shared" si="303"/>
        <v>6.1244968007552858E-2</v>
      </c>
      <c r="AN218" s="15">
        <f t="shared" si="303"/>
        <v>6.1160159720126089E-2</v>
      </c>
      <c r="AO218" s="15">
        <f t="shared" si="303"/>
        <v>6.1075351432699321E-2</v>
      </c>
      <c r="AP218" s="15">
        <f t="shared" si="303"/>
        <v>6.0990543145272552E-2</v>
      </c>
      <c r="AQ218" s="15">
        <f t="shared" si="303"/>
        <v>6.0905734857845784E-2</v>
      </c>
      <c r="AR218" s="15">
        <f t="shared" si="303"/>
        <v>6.0820926570419015E-2</v>
      </c>
      <c r="AS218" s="15">
        <f t="shared" si="303"/>
        <v>6.0736118282992246E-2</v>
      </c>
      <c r="AT218" s="15">
        <f t="shared" si="303"/>
        <v>6.0651309995565478E-2</v>
      </c>
      <c r="AU218" s="15">
        <f t="shared" si="303"/>
        <v>6.0566501708138709E-2</v>
      </c>
      <c r="AV218" s="15">
        <f t="shared" si="303"/>
        <v>6.0481693420711941E-2</v>
      </c>
      <c r="AW218" s="15">
        <f t="shared" si="303"/>
        <v>6.0396885133285172E-2</v>
      </c>
      <c r="AX218" s="15">
        <f t="shared" si="303"/>
        <v>6.0312076845858403E-2</v>
      </c>
      <c r="AY218" s="15">
        <f t="shared" si="303"/>
        <v>6.0227268558431635E-2</v>
      </c>
      <c r="AZ218" s="15">
        <f t="shared" si="303"/>
        <v>6.0142460271004866E-2</v>
      </c>
      <c r="BA218" s="15">
        <f t="shared" si="303"/>
        <v>6.0057651983578098E-2</v>
      </c>
      <c r="BB218" s="15">
        <f t="shared" si="303"/>
        <v>5.9972843696151329E-2</v>
      </c>
      <c r="BC218" s="15">
        <f t="shared" si="303"/>
        <v>5.988803540872456E-2</v>
      </c>
      <c r="BD218" s="15">
        <f t="shared" si="303"/>
        <v>5.9803227121297792E-2</v>
      </c>
      <c r="BE218" s="15">
        <f t="shared" si="303"/>
        <v>5.9718418833871023E-2</v>
      </c>
      <c r="BF218" s="15">
        <f t="shared" si="303"/>
        <v>5.9633610546444255E-2</v>
      </c>
      <c r="BG218" s="15">
        <f t="shared" si="303"/>
        <v>5.9548802259017486E-2</v>
      </c>
      <c r="BH218" s="15">
        <f t="shared" si="303"/>
        <v>5.9463993971590717E-2</v>
      </c>
      <c r="BI218" s="15">
        <f t="shared" si="303"/>
        <v>5.9379185684163949E-2</v>
      </c>
    </row>
    <row r="219" spans="1:61" hidden="1" outlineLevel="1" x14ac:dyDescent="0.3">
      <c r="A219" s="16">
        <f t="shared" si="304"/>
        <v>-1.0337322546254439E-2</v>
      </c>
      <c r="C219" t="s">
        <v>87</v>
      </c>
      <c r="D219" s="3">
        <f t="shared" si="305"/>
        <v>0.56754984157921928</v>
      </c>
      <c r="E219" s="3">
        <f t="shared" si="305"/>
        <v>0.53849370835914967</v>
      </c>
      <c r="F219" s="3">
        <f t="shared" si="305"/>
        <v>0.52821068311370234</v>
      </c>
      <c r="G219" s="3">
        <f t="shared" si="305"/>
        <v>0.51706756008102184</v>
      </c>
      <c r="H219" s="3">
        <f t="shared" si="305"/>
        <v>0.51818935505250996</v>
      </c>
      <c r="I219" s="3">
        <f t="shared" si="305"/>
        <v>0.51719609038976821</v>
      </c>
      <c r="J219" s="3">
        <f t="shared" si="305"/>
        <v>0.51574295051511498</v>
      </c>
      <c r="K219" s="3">
        <f t="shared" si="305"/>
        <v>0.54950576192778722</v>
      </c>
      <c r="L219" s="3">
        <f t="shared" si="305"/>
        <v>0.48704663212435234</v>
      </c>
      <c r="M219" s="3">
        <f t="shared" si="305"/>
        <v>0.50444140113553593</v>
      </c>
      <c r="N219" s="3">
        <f t="shared" si="305"/>
        <v>0.45383929357042047</v>
      </c>
      <c r="O219" s="15">
        <f t="shared" si="306"/>
        <v>0.44350197102416605</v>
      </c>
      <c r="P219" s="15">
        <f t="shared" si="303"/>
        <v>0.43316464847791164</v>
      </c>
      <c r="Q219" s="15">
        <f t="shared" si="303"/>
        <v>0.42282732593165723</v>
      </c>
      <c r="R219" s="15">
        <f t="shared" si="303"/>
        <v>0.41249000338540281</v>
      </c>
      <c r="S219" s="15">
        <f t="shared" si="303"/>
        <v>0.4021526808391484</v>
      </c>
      <c r="T219" s="15">
        <f t="shared" si="303"/>
        <v>0.39181535829289399</v>
      </c>
      <c r="U219" s="15">
        <f t="shared" si="303"/>
        <v>0.38147803574663958</v>
      </c>
      <c r="V219" s="15">
        <f t="shared" si="303"/>
        <v>0.37114071320038516</v>
      </c>
      <c r="W219" s="15">
        <f t="shared" si="303"/>
        <v>0.36080339065413075</v>
      </c>
      <c r="X219" s="15">
        <f t="shared" si="303"/>
        <v>0.35046606810787634</v>
      </c>
      <c r="Y219" s="15">
        <f t="shared" si="303"/>
        <v>0.34012874556162193</v>
      </c>
      <c r="Z219" s="15">
        <f t="shared" si="303"/>
        <v>0.32979142301536751</v>
      </c>
      <c r="AA219" s="15">
        <f t="shared" si="303"/>
        <v>0.3194541004691131</v>
      </c>
      <c r="AB219" s="15">
        <f t="shared" si="303"/>
        <v>0.30911677792285869</v>
      </c>
      <c r="AC219" s="15">
        <f t="shared" si="303"/>
        <v>0.29877945537660427</v>
      </c>
      <c r="AD219" s="15">
        <f t="shared" si="303"/>
        <v>0.28844213283034986</v>
      </c>
      <c r="AE219" s="15">
        <f t="shared" si="303"/>
        <v>0.27810481028409545</v>
      </c>
      <c r="AF219" s="15">
        <f t="shared" si="303"/>
        <v>0.26776748773784104</v>
      </c>
      <c r="AG219" s="15">
        <f t="shared" si="303"/>
        <v>0.25743016519158662</v>
      </c>
      <c r="AH219" s="15">
        <f t="shared" si="303"/>
        <v>0.24709284264533218</v>
      </c>
      <c r="AI219" s="15">
        <f t="shared" si="303"/>
        <v>0.23675552009907774</v>
      </c>
      <c r="AJ219" s="15">
        <f t="shared" si="303"/>
        <v>0.2264181975528233</v>
      </c>
      <c r="AK219" s="15">
        <f t="shared" si="303"/>
        <v>0.21608087500656886</v>
      </c>
      <c r="AL219" s="15">
        <f t="shared" si="303"/>
        <v>0.20574355246031442</v>
      </c>
      <c r="AM219" s="15">
        <f t="shared" si="303"/>
        <v>0.19540622991405998</v>
      </c>
      <c r="AN219" s="15">
        <f t="shared" si="303"/>
        <v>0.18506890736780554</v>
      </c>
      <c r="AO219" s="15">
        <f t="shared" si="303"/>
        <v>0.1747315848215511</v>
      </c>
      <c r="AP219" s="15">
        <f t="shared" si="303"/>
        <v>0.16439426227529666</v>
      </c>
      <c r="AQ219" s="15">
        <f t="shared" si="303"/>
        <v>0.15405693972904222</v>
      </c>
      <c r="AR219" s="15">
        <f t="shared" si="303"/>
        <v>0.14371961718278778</v>
      </c>
      <c r="AS219" s="15">
        <f t="shared" si="303"/>
        <v>0.13338229463653334</v>
      </c>
      <c r="AT219" s="15">
        <f t="shared" si="303"/>
        <v>0.1230449720902789</v>
      </c>
      <c r="AU219" s="15">
        <f t="shared" si="303"/>
        <v>0.11270764954402446</v>
      </c>
      <c r="AV219" s="15">
        <f t="shared" si="303"/>
        <v>0.10237032699777002</v>
      </c>
      <c r="AW219" s="15">
        <f t="shared" si="303"/>
        <v>9.2033004451515577E-2</v>
      </c>
      <c r="AX219" s="15">
        <f t="shared" si="303"/>
        <v>8.1695681905261136E-2</v>
      </c>
      <c r="AY219" s="15">
        <f t="shared" si="303"/>
        <v>7.1358359359006696E-2</v>
      </c>
      <c r="AZ219" s="15">
        <f t="shared" si="303"/>
        <v>6.1021036812752255E-2</v>
      </c>
      <c r="BA219" s="15">
        <f t="shared" si="303"/>
        <v>5.0683714266497815E-2</v>
      </c>
      <c r="BB219" s="15">
        <f t="shared" si="303"/>
        <v>4.0346391720243374E-2</v>
      </c>
      <c r="BC219" s="15">
        <f t="shared" si="303"/>
        <v>3.0009069173988934E-2</v>
      </c>
      <c r="BD219" s="15">
        <f t="shared" si="303"/>
        <v>1.9671746627734493E-2</v>
      </c>
      <c r="BE219" s="15">
        <f t="shared" si="303"/>
        <v>9.3344240814800545E-3</v>
      </c>
      <c r="BF219" s="15">
        <f t="shared" si="303"/>
        <v>-1.0028984647743842E-3</v>
      </c>
      <c r="BG219" s="15">
        <f t="shared" si="303"/>
        <v>-1.1340221011028823E-2</v>
      </c>
      <c r="BH219" s="15">
        <f t="shared" si="303"/>
        <v>-2.1677543557283262E-2</v>
      </c>
      <c r="BI219" s="15">
        <f t="shared" si="303"/>
        <v>-3.2014866103537702E-2</v>
      </c>
    </row>
    <row r="220" spans="1:61" hidden="1" outlineLevel="1" x14ac:dyDescent="0.3">
      <c r="A220" s="16">
        <f t="shared" si="304"/>
        <v>3.552156762163174E-4</v>
      </c>
      <c r="C220" t="s">
        <v>89</v>
      </c>
      <c r="D220" s="3">
        <f t="shared" si="305"/>
        <v>0.1236501276056087</v>
      </c>
      <c r="E220" s="3">
        <f t="shared" si="305"/>
        <v>0.14524343406318307</v>
      </c>
      <c r="F220" s="3">
        <f t="shared" si="305"/>
        <v>0.14622195908385066</v>
      </c>
      <c r="G220" s="3">
        <f t="shared" si="305"/>
        <v>0.15535663789222229</v>
      </c>
      <c r="H220" s="3">
        <f t="shared" si="305"/>
        <v>0.15069024444132187</v>
      </c>
      <c r="I220" s="3">
        <f t="shared" si="305"/>
        <v>0.13127579664260938</v>
      </c>
      <c r="J220" s="3">
        <f t="shared" si="305"/>
        <v>0.11841746280659547</v>
      </c>
      <c r="K220" s="3">
        <f t="shared" si="305"/>
        <v>9.4154276019715169E-2</v>
      </c>
      <c r="L220" s="3">
        <f t="shared" si="305"/>
        <v>0.12262521588946458</v>
      </c>
      <c r="M220" s="3">
        <f t="shared" si="305"/>
        <v>0.11795280261804883</v>
      </c>
      <c r="N220" s="3">
        <f t="shared" si="305"/>
        <v>0.12755750004398819</v>
      </c>
      <c r="O220" s="15">
        <f t="shared" si="306"/>
        <v>0.12791271572020452</v>
      </c>
      <c r="P220" s="15">
        <f t="shared" si="303"/>
        <v>0.12826793139642084</v>
      </c>
      <c r="Q220" s="15">
        <f t="shared" si="303"/>
        <v>0.12862314707263717</v>
      </c>
      <c r="R220" s="15">
        <f t="shared" si="303"/>
        <v>0.12897836274885349</v>
      </c>
      <c r="S220" s="15">
        <f t="shared" si="303"/>
        <v>0.12933357842506982</v>
      </c>
      <c r="T220" s="15">
        <f t="shared" si="303"/>
        <v>0.12968879410128614</v>
      </c>
      <c r="U220" s="15">
        <f t="shared" si="303"/>
        <v>0.13004400977750247</v>
      </c>
      <c r="V220" s="15">
        <f t="shared" si="303"/>
        <v>0.13039922545371879</v>
      </c>
      <c r="W220" s="15">
        <f t="shared" si="303"/>
        <v>0.13075444112993512</v>
      </c>
      <c r="X220" s="15">
        <f t="shared" si="303"/>
        <v>0.13110965680615144</v>
      </c>
      <c r="Y220" s="15">
        <f t="shared" si="303"/>
        <v>0.13146487248236777</v>
      </c>
      <c r="Z220" s="15">
        <f t="shared" si="303"/>
        <v>0.13182008815858409</v>
      </c>
      <c r="AA220" s="15">
        <f t="shared" si="303"/>
        <v>0.13217530383480042</v>
      </c>
      <c r="AB220" s="15">
        <f t="shared" si="303"/>
        <v>0.13253051951101674</v>
      </c>
      <c r="AC220" s="15">
        <f t="shared" si="303"/>
        <v>0.13288573518723307</v>
      </c>
      <c r="AD220" s="15">
        <f t="shared" si="303"/>
        <v>0.13324095086344939</v>
      </c>
      <c r="AE220" s="15">
        <f t="shared" si="303"/>
        <v>0.13359616653966572</v>
      </c>
      <c r="AF220" s="15">
        <f t="shared" si="303"/>
        <v>0.13395138221588204</v>
      </c>
      <c r="AG220" s="15">
        <f t="shared" si="303"/>
        <v>0.13430659789209837</v>
      </c>
      <c r="AH220" s="15">
        <f t="shared" si="303"/>
        <v>0.13466181356831469</v>
      </c>
      <c r="AI220" s="15">
        <f t="shared" si="303"/>
        <v>0.13501702924453102</v>
      </c>
      <c r="AJ220" s="15">
        <f t="shared" si="303"/>
        <v>0.13537224492074734</v>
      </c>
      <c r="AK220" s="15">
        <f t="shared" si="303"/>
        <v>0.13572746059696367</v>
      </c>
      <c r="AL220" s="15">
        <f t="shared" si="303"/>
        <v>0.13608267627317999</v>
      </c>
      <c r="AM220" s="15">
        <f t="shared" si="303"/>
        <v>0.13643789194939632</v>
      </c>
      <c r="AN220" s="15">
        <f t="shared" si="303"/>
        <v>0.13679310762561264</v>
      </c>
      <c r="AO220" s="15">
        <f t="shared" si="303"/>
        <v>0.13714832330182897</v>
      </c>
      <c r="AP220" s="15">
        <f t="shared" si="303"/>
        <v>0.13750353897804529</v>
      </c>
      <c r="AQ220" s="15">
        <f t="shared" si="303"/>
        <v>0.13785875465426162</v>
      </c>
      <c r="AR220" s="15">
        <f t="shared" si="303"/>
        <v>0.13821397033047794</v>
      </c>
      <c r="AS220" s="15">
        <f t="shared" si="303"/>
        <v>0.13856918600669427</v>
      </c>
      <c r="AT220" s="15">
        <f t="shared" si="303"/>
        <v>0.13892440168291059</v>
      </c>
      <c r="AU220" s="15">
        <f t="shared" si="303"/>
        <v>0.13927961735912692</v>
      </c>
      <c r="AV220" s="15">
        <f t="shared" si="303"/>
        <v>0.13963483303534324</v>
      </c>
      <c r="AW220" s="15">
        <f t="shared" si="303"/>
        <v>0.13999004871155957</v>
      </c>
      <c r="AX220" s="15">
        <f t="shared" si="303"/>
        <v>0.14034526438777589</v>
      </c>
      <c r="AY220" s="15">
        <f t="shared" si="303"/>
        <v>0.14070048006399222</v>
      </c>
      <c r="AZ220" s="15">
        <f t="shared" si="303"/>
        <v>0.14105569574020854</v>
      </c>
      <c r="BA220" s="15">
        <f t="shared" si="303"/>
        <v>0.14141091141642487</v>
      </c>
      <c r="BB220" s="15">
        <f t="shared" si="303"/>
        <v>0.14176612709264119</v>
      </c>
      <c r="BC220" s="15">
        <f t="shared" si="303"/>
        <v>0.14212134276885752</v>
      </c>
      <c r="BD220" s="15">
        <f t="shared" si="303"/>
        <v>0.14247655844507384</v>
      </c>
      <c r="BE220" s="15">
        <f t="shared" si="303"/>
        <v>0.14283177412129017</v>
      </c>
      <c r="BF220" s="15">
        <f t="shared" si="303"/>
        <v>0.14318698979750649</v>
      </c>
      <c r="BG220" s="15">
        <f t="shared" si="303"/>
        <v>0.14354220547372282</v>
      </c>
      <c r="BH220" s="15">
        <f t="shared" si="303"/>
        <v>0.14389742114993914</v>
      </c>
      <c r="BI220" s="15">
        <f t="shared" si="303"/>
        <v>0.14425263682615547</v>
      </c>
    </row>
    <row r="221" spans="1:61" hidden="1" outlineLevel="1" x14ac:dyDescent="0.3">
      <c r="A221" s="16">
        <f t="shared" si="304"/>
        <v>7.8685413588674847E-5</v>
      </c>
      <c r="C221" t="s">
        <v>91</v>
      </c>
      <c r="D221" s="3">
        <f t="shared" si="305"/>
        <v>2.4568396722764187E-3</v>
      </c>
      <c r="E221" s="3">
        <f t="shared" si="305"/>
        <v>2.4387780584850171E-3</v>
      </c>
      <c r="F221" s="3">
        <f t="shared" si="305"/>
        <v>2.3559024108522342E-3</v>
      </c>
      <c r="G221" s="3">
        <f t="shared" si="305"/>
        <v>2.16662806331731E-3</v>
      </c>
      <c r="H221" s="3">
        <f t="shared" si="305"/>
        <v>2.7007346975612863E-3</v>
      </c>
      <c r="I221" s="3">
        <f t="shared" si="305"/>
        <v>2.7521896148714584E-3</v>
      </c>
      <c r="J221" s="3">
        <f t="shared" si="305"/>
        <v>2.7926310864234325E-3</v>
      </c>
      <c r="K221" s="3">
        <f t="shared" si="305"/>
        <v>9.213353231049187E-4</v>
      </c>
      <c r="L221" s="3">
        <f t="shared" si="305"/>
        <v>2.5906735751295368E-3</v>
      </c>
      <c r="M221" s="3">
        <f t="shared" si="305"/>
        <v>3.5860159273766695E-3</v>
      </c>
      <c r="N221" s="3">
        <f t="shared" si="305"/>
        <v>3.322379221751842E-3</v>
      </c>
      <c r="O221" s="15">
        <f t="shared" si="306"/>
        <v>3.4010646353405168E-3</v>
      </c>
      <c r="P221" s="15">
        <f t="shared" si="303"/>
        <v>3.4797500489291916E-3</v>
      </c>
      <c r="Q221" s="15">
        <f t="shared" si="303"/>
        <v>3.5584354625178664E-3</v>
      </c>
      <c r="R221" s="15">
        <f t="shared" si="303"/>
        <v>3.6371208761065412E-3</v>
      </c>
      <c r="S221" s="15">
        <f t="shared" si="303"/>
        <v>3.715806289695216E-3</v>
      </c>
      <c r="T221" s="15">
        <f t="shared" si="303"/>
        <v>3.7944917032838909E-3</v>
      </c>
      <c r="U221" s="15">
        <f t="shared" si="303"/>
        <v>3.8731771168725657E-3</v>
      </c>
      <c r="V221" s="15">
        <f t="shared" si="303"/>
        <v>3.9518625304612405E-3</v>
      </c>
      <c r="W221" s="15">
        <f t="shared" si="303"/>
        <v>4.0305479440499153E-3</v>
      </c>
      <c r="X221" s="15">
        <f t="shared" si="303"/>
        <v>4.1092333576385901E-3</v>
      </c>
      <c r="Y221" s="15">
        <f t="shared" si="303"/>
        <v>4.1879187712272649E-3</v>
      </c>
      <c r="Z221" s="15">
        <f t="shared" si="303"/>
        <v>4.2666041848159397E-3</v>
      </c>
      <c r="AA221" s="15">
        <f t="shared" si="303"/>
        <v>4.3452895984046145E-3</v>
      </c>
      <c r="AB221" s="15">
        <f t="shared" si="303"/>
        <v>4.4239750119932893E-3</v>
      </c>
      <c r="AC221" s="15">
        <f t="shared" si="303"/>
        <v>4.5026604255819641E-3</v>
      </c>
      <c r="AD221" s="15">
        <f t="shared" si="303"/>
        <v>4.5813458391706389E-3</v>
      </c>
      <c r="AE221" s="15">
        <f t="shared" si="303"/>
        <v>4.6600312527593137E-3</v>
      </c>
      <c r="AF221" s="15">
        <f t="shared" si="303"/>
        <v>4.7387166663479885E-3</v>
      </c>
      <c r="AG221" s="15">
        <f t="shared" si="303"/>
        <v>4.8174020799366633E-3</v>
      </c>
      <c r="AH221" s="15">
        <f t="shared" si="303"/>
        <v>4.8960874935253381E-3</v>
      </c>
      <c r="AI221" s="15">
        <f t="shared" si="303"/>
        <v>4.9747729071140129E-3</v>
      </c>
      <c r="AJ221" s="15">
        <f t="shared" si="303"/>
        <v>5.0534583207026878E-3</v>
      </c>
      <c r="AK221" s="15">
        <f t="shared" si="303"/>
        <v>5.1321437342913626E-3</v>
      </c>
      <c r="AL221" s="15">
        <f t="shared" si="303"/>
        <v>5.2108291478800374E-3</v>
      </c>
      <c r="AM221" s="15">
        <f t="shared" si="303"/>
        <v>5.2895145614687122E-3</v>
      </c>
      <c r="AN221" s="15">
        <f t="shared" si="303"/>
        <v>5.368199975057387E-3</v>
      </c>
      <c r="AO221" s="15">
        <f t="shared" si="303"/>
        <v>5.4468853886460618E-3</v>
      </c>
      <c r="AP221" s="15">
        <f t="shared" si="303"/>
        <v>5.5255708022347366E-3</v>
      </c>
      <c r="AQ221" s="15">
        <f t="shared" si="303"/>
        <v>5.6042562158234114E-3</v>
      </c>
      <c r="AR221" s="15">
        <f t="shared" si="303"/>
        <v>5.6829416294120862E-3</v>
      </c>
      <c r="AS221" s="15">
        <f t="shared" si="303"/>
        <v>5.761627043000761E-3</v>
      </c>
      <c r="AT221" s="15">
        <f t="shared" si="303"/>
        <v>5.8403124565894358E-3</v>
      </c>
      <c r="AU221" s="15">
        <f t="shared" si="303"/>
        <v>5.9189978701781106E-3</v>
      </c>
      <c r="AV221" s="15">
        <f t="shared" si="303"/>
        <v>5.9976832837667854E-3</v>
      </c>
      <c r="AW221" s="15">
        <f t="shared" si="303"/>
        <v>6.0763686973554602E-3</v>
      </c>
      <c r="AX221" s="15">
        <f t="shared" si="303"/>
        <v>6.155054110944135E-3</v>
      </c>
      <c r="AY221" s="15">
        <f t="shared" si="303"/>
        <v>6.2337395245328098E-3</v>
      </c>
      <c r="AZ221" s="15">
        <f t="shared" si="303"/>
        <v>6.3124249381214846E-3</v>
      </c>
      <c r="BA221" s="15">
        <f t="shared" si="303"/>
        <v>6.3911103517101595E-3</v>
      </c>
      <c r="BB221" s="15">
        <f t="shared" si="303"/>
        <v>6.4697957652988343E-3</v>
      </c>
      <c r="BC221" s="15">
        <f t="shared" si="303"/>
        <v>6.5484811788875091E-3</v>
      </c>
      <c r="BD221" s="15">
        <f t="shared" ref="BD221:BI221" si="307">BC221+$A221</f>
        <v>6.6271665924761839E-3</v>
      </c>
      <c r="BE221" s="15">
        <f t="shared" si="307"/>
        <v>6.7058520060648587E-3</v>
      </c>
      <c r="BF221" s="15">
        <f t="shared" si="307"/>
        <v>6.7845374196535335E-3</v>
      </c>
      <c r="BG221" s="15">
        <f t="shared" si="307"/>
        <v>6.8632228332422083E-3</v>
      </c>
      <c r="BH221" s="15">
        <f t="shared" si="307"/>
        <v>6.9419082468308831E-3</v>
      </c>
      <c r="BI221" s="15">
        <f t="shared" si="307"/>
        <v>7.0205936604195579E-3</v>
      </c>
    </row>
    <row r="222" spans="1:61" hidden="1" outlineLevel="1" x14ac:dyDescent="0.3"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</row>
    <row r="223" spans="1:61" hidden="1" outlineLevel="1" x14ac:dyDescent="0.3">
      <c r="C223" t="s">
        <v>81</v>
      </c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15">
        <f>IF(O216&gt;0,O216*O$165,0)</f>
        <v>8.5976544584519505</v>
      </c>
      <c r="P223" s="15">
        <f t="shared" ref="P223:BI228" si="308">IF(P216&gt;0,P216*P$165,0)</f>
        <v>9.080119747721497</v>
      </c>
      <c r="Q223" s="15">
        <f t="shared" si="308"/>
        <v>9.564415906567131</v>
      </c>
      <c r="R223" s="15">
        <f t="shared" si="308"/>
        <v>10.050254476958051</v>
      </c>
      <c r="S223" s="15">
        <f t="shared" si="308"/>
        <v>10.537413684487886</v>
      </c>
      <c r="T223" s="15">
        <f t="shared" si="308"/>
        <v>11.025741240242832</v>
      </c>
      <c r="U223" s="15">
        <f t="shared" si="308"/>
        <v>11.515125093109246</v>
      </c>
      <c r="V223" s="15">
        <f t="shared" si="308"/>
        <v>12.005476227517889</v>
      </c>
      <c r="W223" s="15">
        <f t="shared" si="308"/>
        <v>12.496716332331593</v>
      </c>
      <c r="X223" s="15">
        <f t="shared" si="308"/>
        <v>12.988780271154763</v>
      </c>
      <c r="Y223" s="15">
        <f t="shared" si="308"/>
        <v>13.481606920371897</v>
      </c>
      <c r="Z223" s="15">
        <f t="shared" si="308"/>
        <v>13.975119127825364</v>
      </c>
      <c r="AA223" s="15">
        <f t="shared" si="308"/>
        <v>14.469203079340671</v>
      </c>
      <c r="AB223" s="15">
        <f t="shared" si="308"/>
        <v>14.963697087182849</v>
      </c>
      <c r="AC223" s="15">
        <f t="shared" si="308"/>
        <v>15.458396971775516</v>
      </c>
      <c r="AD223" s="15">
        <f t="shared" si="308"/>
        <v>15.953082134268465</v>
      </c>
      <c r="AE223" s="15">
        <f t="shared" si="308"/>
        <v>16.447544859477794</v>
      </c>
      <c r="AF223" s="15">
        <f t="shared" si="308"/>
        <v>16.94162634285129</v>
      </c>
      <c r="AG223" s="15">
        <f t="shared" si="308"/>
        <v>17.435227613080091</v>
      </c>
      <c r="AH223" s="15">
        <f t="shared" si="308"/>
        <v>17.928304241823973</v>
      </c>
      <c r="AI223" s="15">
        <f t="shared" si="308"/>
        <v>18.420852186493526</v>
      </c>
      <c r="AJ223" s="15">
        <f t="shared" si="308"/>
        <v>18.912898756346674</v>
      </c>
      <c r="AK223" s="15">
        <f t="shared" si="308"/>
        <v>19.404490065604705</v>
      </c>
      <c r="AL223" s="15">
        <f t="shared" si="308"/>
        <v>19.89568813524107</v>
      </c>
      <c r="AM223" s="15">
        <f t="shared" si="308"/>
        <v>20.38654980078358</v>
      </c>
      <c r="AN223" s="15">
        <f t="shared" si="308"/>
        <v>20.877116859020049</v>
      </c>
      <c r="AO223" s="15">
        <f t="shared" si="308"/>
        <v>21.367404036588297</v>
      </c>
      <c r="AP223" s="15">
        <f t="shared" si="308"/>
        <v>21.857403774979925</v>
      </c>
      <c r="AQ223" s="15">
        <f t="shared" si="308"/>
        <v>22.347079914419719</v>
      </c>
      <c r="AR223" s="15">
        <f t="shared" si="308"/>
        <v>22.836372162286292</v>
      </c>
      <c r="AS223" s="15">
        <f t="shared" si="308"/>
        <v>23.325210116785545</v>
      </c>
      <c r="AT223" s="15">
        <f t="shared" si="308"/>
        <v>23.813541961111227</v>
      </c>
      <c r="AU223" s="15">
        <f t="shared" si="308"/>
        <v>24.301357551160741</v>
      </c>
      <c r="AV223" s="15">
        <f t="shared" si="308"/>
        <v>24.788696388399053</v>
      </c>
      <c r="AW223" s="15">
        <f t="shared" si="308"/>
        <v>25.275640323981918</v>
      </c>
      <c r="AX223" s="15">
        <f t="shared" si="308"/>
        <v>25.762298682823719</v>
      </c>
      <c r="AY223" s="15">
        <f t="shared" si="308"/>
        <v>26.248798961555508</v>
      </c>
      <c r="AZ223" s="15">
        <f t="shared" si="308"/>
        <v>26.735282042869667</v>
      </c>
      <c r="BA223" s="15">
        <f t="shared" si="308"/>
        <v>27.221891094520402</v>
      </c>
      <c r="BB223" s="15">
        <f t="shared" si="308"/>
        <v>27.708765327785237</v>
      </c>
      <c r="BC223" s="15">
        <f t="shared" si="308"/>
        <v>28.196026600361936</v>
      </c>
      <c r="BD223" s="15">
        <f t="shared" si="308"/>
        <v>28.683776457497583</v>
      </c>
      <c r="BE223" s="15">
        <f t="shared" si="308"/>
        <v>29.172092570354732</v>
      </c>
      <c r="BF223" s="15">
        <f t="shared" si="308"/>
        <v>29.661033808321374</v>
      </c>
      <c r="BG223" s="15">
        <f t="shared" si="308"/>
        <v>30.150647620439525</v>
      </c>
      <c r="BH223" s="15">
        <f t="shared" si="308"/>
        <v>30.640981218496229</v>
      </c>
      <c r="BI223" s="15">
        <f t="shared" si="308"/>
        <v>31.132096232903869</v>
      </c>
    </row>
    <row r="224" spans="1:61" hidden="1" outlineLevel="1" x14ac:dyDescent="0.3">
      <c r="C224" t="s">
        <v>83</v>
      </c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15">
        <f t="shared" ref="O224:AD228" si="309">IF(O217&gt;0,O217*O$165,0)</f>
        <v>4.3691714319543493</v>
      </c>
      <c r="P224" s="15">
        <f t="shared" si="309"/>
        <v>4.3050816317046205</v>
      </c>
      <c r="Q224" s="15">
        <f t="shared" si="309"/>
        <v>4.2392678282381091</v>
      </c>
      <c r="R224" s="15">
        <f t="shared" si="309"/>
        <v>4.1717941337009909</v>
      </c>
      <c r="S224" s="15">
        <f t="shared" si="309"/>
        <v>4.1027490024207145</v>
      </c>
      <c r="T224" s="15">
        <f t="shared" si="309"/>
        <v>4.0322387049573321</v>
      </c>
      <c r="U224" s="15">
        <f t="shared" si="309"/>
        <v>3.960371191422337</v>
      </c>
      <c r="V224" s="15">
        <f t="shared" si="309"/>
        <v>3.8872487661916044</v>
      </c>
      <c r="W224" s="15">
        <f t="shared" si="309"/>
        <v>3.8129645594336394</v>
      </c>
      <c r="X224" s="15">
        <f t="shared" si="309"/>
        <v>3.7376044930238099</v>
      </c>
      <c r="Y224" s="15">
        <f t="shared" si="309"/>
        <v>3.6612455921156397</v>
      </c>
      <c r="Z224" s="15">
        <f t="shared" si="309"/>
        <v>3.5839521804651202</v>
      </c>
      <c r="AA224" s="15">
        <f t="shared" si="309"/>
        <v>3.5057733805599267</v>
      </c>
      <c r="AB224" s="15">
        <f t="shared" si="309"/>
        <v>3.4267439547414966</v>
      </c>
      <c r="AC224" s="15">
        <f t="shared" si="309"/>
        <v>3.3468889684998051</v>
      </c>
      <c r="AD224" s="15">
        <f t="shared" si="309"/>
        <v>3.2662317011971709</v>
      </c>
      <c r="AE224" s="15">
        <f t="shared" si="308"/>
        <v>3.1848000098249551</v>
      </c>
      <c r="AF224" s="15">
        <f t="shared" si="308"/>
        <v>3.1026319651408598</v>
      </c>
      <c r="AG224" s="15">
        <f t="shared" si="308"/>
        <v>3.019775145717384</v>
      </c>
      <c r="AH224" s="15">
        <f t="shared" si="308"/>
        <v>2.9362830643645994</v>
      </c>
      <c r="AI224" s="15">
        <f t="shared" si="308"/>
        <v>2.8522109169517416</v>
      </c>
      <c r="AJ224" s="15">
        <f t="shared" si="308"/>
        <v>2.7676131083049853</v>
      </c>
      <c r="AK224" s="15">
        <f t="shared" si="308"/>
        <v>2.6825408977041056</v>
      </c>
      <c r="AL224" s="15">
        <f t="shared" si="308"/>
        <v>2.5970419718713256</v>
      </c>
      <c r="AM224" s="15">
        <f t="shared" si="308"/>
        <v>2.51115791150719</v>
      </c>
      <c r="AN224" s="15">
        <f t="shared" si="308"/>
        <v>2.4249238435638585</v>
      </c>
      <c r="AO224" s="15">
        <f t="shared" si="308"/>
        <v>2.3383681470830204</v>
      </c>
      <c r="AP224" s="15">
        <f t="shared" si="308"/>
        <v>2.2515142232335781</v>
      </c>
      <c r="AQ224" s="15">
        <f t="shared" si="308"/>
        <v>2.1643808520257726</v>
      </c>
      <c r="AR224" s="15">
        <f t="shared" si="308"/>
        <v>2.0769836336991365</v>
      </c>
      <c r="AS224" s="15">
        <f t="shared" si="308"/>
        <v>1.9893369676923849</v>
      </c>
      <c r="AT224" s="15">
        <f t="shared" si="308"/>
        <v>1.9014566522815566</v>
      </c>
      <c r="AU224" s="15">
        <f t="shared" si="308"/>
        <v>1.8133611298406658</v>
      </c>
      <c r="AV224" s="15">
        <f t="shared" si="308"/>
        <v>1.7250710382350622</v>
      </c>
      <c r="AW224" s="15">
        <f t="shared" si="308"/>
        <v>1.6366076545792718</v>
      </c>
      <c r="AX224" s="15">
        <f t="shared" si="308"/>
        <v>1.5479912070203423</v>
      </c>
      <c r="AY224" s="15">
        <f t="shared" si="308"/>
        <v>1.4592399834888934</v>
      </c>
      <c r="AZ224" s="15">
        <f t="shared" si="308"/>
        <v>1.3703699536751233</v>
      </c>
      <c r="BA224" s="15">
        <f t="shared" si="308"/>
        <v>1.28139422774455</v>
      </c>
      <c r="BB224" s="15">
        <f t="shared" si="308"/>
        <v>1.1923229952802723</v>
      </c>
      <c r="BC224" s="15">
        <f t="shared" si="308"/>
        <v>1.1031633095985918</v>
      </c>
      <c r="BD224" s="15">
        <f t="shared" si="308"/>
        <v>1.0139195140054764</v>
      </c>
      <c r="BE224" s="15">
        <f t="shared" si="308"/>
        <v>0.92459366200506221</v>
      </c>
      <c r="BF224" s="15">
        <f t="shared" si="308"/>
        <v>0.83518620500451202</v>
      </c>
      <c r="BG224" s="15">
        <f t="shared" si="308"/>
        <v>0.74569658137943073</v>
      </c>
      <c r="BH224" s="15">
        <f t="shared" si="308"/>
        <v>0.65612370212000082</v>
      </c>
      <c r="BI224" s="15">
        <f t="shared" si="308"/>
        <v>0.56646626120468424</v>
      </c>
    </row>
    <row r="225" spans="1:64" hidden="1" outlineLevel="1" x14ac:dyDescent="0.3">
      <c r="C225" t="s">
        <v>84</v>
      </c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15">
        <f t="shared" si="309"/>
        <v>2.2673022904899525</v>
      </c>
      <c r="P225" s="15">
        <f t="shared" si="308"/>
        <v>2.2745448271948088</v>
      </c>
      <c r="Q225" s="15">
        <f t="shared" si="308"/>
        <v>2.281240335891507</v>
      </c>
      <c r="R225" s="15">
        <f t="shared" si="308"/>
        <v>2.2873944938000372</v>
      </c>
      <c r="S225" s="15">
        <f t="shared" si="308"/>
        <v>2.2930268600790651</v>
      </c>
      <c r="T225" s="15">
        <f t="shared" si="308"/>
        <v>2.2981685303789172</v>
      </c>
      <c r="U225" s="15">
        <f t="shared" si="308"/>
        <v>2.3028539297808646</v>
      </c>
      <c r="V225" s="15">
        <f t="shared" si="308"/>
        <v>2.3071168259616428</v>
      </c>
      <c r="W225" s="15">
        <f t="shared" si="308"/>
        <v>2.3109881396024932</v>
      </c>
      <c r="X225" s="15">
        <f t="shared" si="308"/>
        <v>2.3144968715141196</v>
      </c>
      <c r="Y225" s="15">
        <f t="shared" si="308"/>
        <v>2.3176688378432653</v>
      </c>
      <c r="Z225" s="15">
        <f t="shared" si="308"/>
        <v>2.320523860210665</v>
      </c>
      <c r="AA225" s="15">
        <f t="shared" si="308"/>
        <v>2.3230734226742298</v>
      </c>
      <c r="AB225" s="15">
        <f t="shared" si="308"/>
        <v>2.3253202519413505</v>
      </c>
      <c r="AC225" s="15">
        <f t="shared" si="308"/>
        <v>2.327260484765012</v>
      </c>
      <c r="AD225" s="15">
        <f t="shared" si="308"/>
        <v>2.3288884722294054</v>
      </c>
      <c r="AE225" s="15">
        <f t="shared" si="308"/>
        <v>2.3302011988294793</v>
      </c>
      <c r="AF225" s="15">
        <f t="shared" si="308"/>
        <v>2.3312028667323519</v>
      </c>
      <c r="AG225" s="15">
        <f t="shared" si="308"/>
        <v>2.3319053487796175</v>
      </c>
      <c r="AH225" s="15">
        <f t="shared" si="308"/>
        <v>2.3323264499608154</v>
      </c>
      <c r="AI225" s="15">
        <f t="shared" si="308"/>
        <v>2.3324873159033812</v>
      </c>
      <c r="AJ225" s="15">
        <f t="shared" si="308"/>
        <v>2.3324108717791332</v>
      </c>
      <c r="AK225" s="15">
        <f t="shared" si="308"/>
        <v>2.3321200738251124</v>
      </c>
      <c r="AL225" s="15">
        <f t="shared" si="308"/>
        <v>2.3316375507990834</v>
      </c>
      <c r="AM225" s="15">
        <f t="shared" si="308"/>
        <v>2.3309832173815179</v>
      </c>
      <c r="AN225" s="15">
        <f t="shared" si="308"/>
        <v>2.3301734835342001</v>
      </c>
      <c r="AO225" s="15">
        <f t="shared" si="308"/>
        <v>2.3292203396880833</v>
      </c>
      <c r="AP225" s="15">
        <f t="shared" si="308"/>
        <v>2.3281323619146534</v>
      </c>
      <c r="AQ225" s="15">
        <f t="shared" si="308"/>
        <v>2.3269144299876658</v>
      </c>
      <c r="AR225" s="15">
        <f t="shared" si="308"/>
        <v>2.3255685839779274</v>
      </c>
      <c r="AS225" s="15">
        <f t="shared" si="308"/>
        <v>2.3240957253141845</v>
      </c>
      <c r="AT225" s="15">
        <f t="shared" si="308"/>
        <v>2.3224985349619103</v>
      </c>
      <c r="AU225" s="15">
        <f t="shared" si="308"/>
        <v>2.3207834930303211</v>
      </c>
      <c r="AV225" s="15">
        <f t="shared" si="308"/>
        <v>2.3189612353140179</v>
      </c>
      <c r="AW225" s="15">
        <f t="shared" si="308"/>
        <v>2.3170454639717502</v>
      </c>
      <c r="AX225" s="15">
        <f t="shared" si="308"/>
        <v>2.3150513025533415</v>
      </c>
      <c r="AY225" s="15">
        <f t="shared" si="308"/>
        <v>2.3129943311704069</v>
      </c>
      <c r="AZ225" s="15">
        <f t="shared" si="308"/>
        <v>2.3108901213492072</v>
      </c>
      <c r="BA225" s="15">
        <f t="shared" si="308"/>
        <v>2.3087532872594543</v>
      </c>
      <c r="BB225" s="15">
        <f t="shared" si="308"/>
        <v>2.3065970466540868</v>
      </c>
      <c r="BC225" s="15">
        <f t="shared" si="308"/>
        <v>2.3044322456183806</v>
      </c>
      <c r="BD225" s="15">
        <f t="shared" si="308"/>
        <v>2.3022673270357337</v>
      </c>
      <c r="BE225" s="15">
        <f t="shared" si="308"/>
        <v>2.3001082565934112</v>
      </c>
      <c r="BF225" s="15">
        <f t="shared" si="308"/>
        <v>2.2979591271550843</v>
      </c>
      <c r="BG225" s="15">
        <f t="shared" si="308"/>
        <v>2.2958228785343566</v>
      </c>
      <c r="BH225" s="15">
        <f t="shared" si="308"/>
        <v>2.2937022301428649</v>
      </c>
      <c r="BI225" s="15">
        <f t="shared" si="308"/>
        <v>2.291600776749338</v>
      </c>
    </row>
    <row r="226" spans="1:64" hidden="1" outlineLevel="1" x14ac:dyDescent="0.3">
      <c r="C226" t="s">
        <v>87</v>
      </c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15">
        <f t="shared" si="309"/>
        <v>15.89044254811061</v>
      </c>
      <c r="P226" s="15">
        <f t="shared" si="308"/>
        <v>15.590532500376005</v>
      </c>
      <c r="Q226" s="15">
        <f t="shared" si="308"/>
        <v>15.283778848681097</v>
      </c>
      <c r="R226" s="15">
        <f t="shared" si="308"/>
        <v>14.970460288239558</v>
      </c>
      <c r="S226" s="15">
        <f t="shared" si="308"/>
        <v>14.650941983195093</v>
      </c>
      <c r="T226" s="15">
        <f t="shared" si="308"/>
        <v>14.325650114510973</v>
      </c>
      <c r="U226" s="15">
        <f t="shared" si="308"/>
        <v>13.995012916572531</v>
      </c>
      <c r="V226" s="15">
        <f t="shared" si="308"/>
        <v>13.659434341568907</v>
      </c>
      <c r="W226" s="15">
        <f t="shared" si="308"/>
        <v>13.319281818179634</v>
      </c>
      <c r="X226" s="15">
        <f t="shared" si="308"/>
        <v>12.974893555015882</v>
      </c>
      <c r="Y226" s="15">
        <f t="shared" si="308"/>
        <v>12.62657304103765</v>
      </c>
      <c r="Z226" s="15">
        <f t="shared" si="308"/>
        <v>12.274576586565313</v>
      </c>
      <c r="AA226" s="15">
        <f t="shared" si="308"/>
        <v>11.919105956719669</v>
      </c>
      <c r="AB226" s="15">
        <f t="shared" si="308"/>
        <v>11.560312843231355</v>
      </c>
      <c r="AC226" s="15">
        <f t="shared" si="308"/>
        <v>11.198316241232748</v>
      </c>
      <c r="AD226" s="15">
        <f t="shared" si="308"/>
        <v>10.833230066652431</v>
      </c>
      <c r="AE226" s="15">
        <f t="shared" si="308"/>
        <v>10.465184458468142</v>
      </c>
      <c r="AF226" s="15">
        <f t="shared" si="308"/>
        <v>10.094343539180981</v>
      </c>
      <c r="AG226" s="15">
        <f t="shared" si="308"/>
        <v>9.7209014955412147</v>
      </c>
      <c r="AH226" s="15">
        <f t="shared" si="308"/>
        <v>9.3450693903981144</v>
      </c>
      <c r="AI226" s="15">
        <f t="shared" si="308"/>
        <v>8.9670603372940985</v>
      </c>
      <c r="AJ226" s="15">
        <f t="shared" si="308"/>
        <v>8.5870809596217281</v>
      </c>
      <c r="AK226" s="15">
        <f t="shared" si="308"/>
        <v>8.2053236963012122</v>
      </c>
      <c r="AL226" s="15">
        <f t="shared" si="308"/>
        <v>7.8219654747141059</v>
      </c>
      <c r="AM226" s="15">
        <f t="shared" si="308"/>
        <v>7.4371602650734729</v>
      </c>
      <c r="AN226" s="15">
        <f t="shared" si="308"/>
        <v>7.0510388224705345</v>
      </c>
      <c r="AO226" s="15">
        <f t="shared" si="308"/>
        <v>6.6637088744509727</v>
      </c>
      <c r="AP226" s="15">
        <f t="shared" si="308"/>
        <v>6.2752614156030742</v>
      </c>
      <c r="AQ226" s="15">
        <f t="shared" si="308"/>
        <v>5.8857727754526881</v>
      </c>
      <c r="AR226" s="15">
        <f t="shared" si="308"/>
        <v>5.4953096815230413</v>
      </c>
      <c r="AS226" s="15">
        <f t="shared" si="308"/>
        <v>5.1039353445834337</v>
      </c>
      <c r="AT226" s="15">
        <f t="shared" si="308"/>
        <v>4.7117163245937483</v>
      </c>
      <c r="AU226" s="15">
        <f t="shared" si="308"/>
        <v>4.3187247937892623</v>
      </c>
      <c r="AV226" s="15">
        <f t="shared" si="308"/>
        <v>3.9250359328225026</v>
      </c>
      <c r="AW226" s="15">
        <f t="shared" si="308"/>
        <v>3.5307227356093458</v>
      </c>
      <c r="AX226" s="15">
        <f t="shared" si="308"/>
        <v>3.1358511379258807</v>
      </c>
      <c r="AY226" s="15">
        <f t="shared" si="308"/>
        <v>2.7404776047393327</v>
      </c>
      <c r="AZ226" s="15">
        <f t="shared" si="308"/>
        <v>2.3446481991202961</v>
      </c>
      <c r="BA226" s="15">
        <f t="shared" si="308"/>
        <v>1.948397715503299</v>
      </c>
      <c r="BB226" s="15">
        <f t="shared" si="308"/>
        <v>1.5517501297180349</v>
      </c>
      <c r="BC226" s="15">
        <f t="shared" si="308"/>
        <v>1.1547192388858729</v>
      </c>
      <c r="BD226" s="15">
        <f t="shared" si="308"/>
        <v>0.75731062865384158</v>
      </c>
      <c r="BE226" s="15">
        <f t="shared" si="308"/>
        <v>0.35952368330588158</v>
      </c>
      <c r="BF226" s="15">
        <f t="shared" si="308"/>
        <v>0</v>
      </c>
      <c r="BG226" s="15">
        <f t="shared" si="308"/>
        <v>0</v>
      </c>
      <c r="BH226" s="15">
        <f t="shared" si="308"/>
        <v>0</v>
      </c>
      <c r="BI226" s="15">
        <f t="shared" si="308"/>
        <v>0</v>
      </c>
    </row>
    <row r="227" spans="1:64" hidden="1" outlineLevel="1" x14ac:dyDescent="0.3">
      <c r="C227" t="s">
        <v>89</v>
      </c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15">
        <f t="shared" si="309"/>
        <v>4.5830453822582014</v>
      </c>
      <c r="P227" s="15">
        <f t="shared" si="308"/>
        <v>4.6166402549673276</v>
      </c>
      <c r="Q227" s="15">
        <f t="shared" si="308"/>
        <v>4.6492920729473273</v>
      </c>
      <c r="R227" s="15">
        <f t="shared" si="308"/>
        <v>4.6809993981109814</v>
      </c>
      <c r="S227" s="15">
        <f t="shared" si="308"/>
        <v>4.7117894378593226</v>
      </c>
      <c r="T227" s="15">
        <f t="shared" si="308"/>
        <v>4.7417137913186655</v>
      </c>
      <c r="U227" s="15">
        <f t="shared" si="308"/>
        <v>4.7708319379304225</v>
      </c>
      <c r="V227" s="15">
        <f t="shared" si="308"/>
        <v>4.799203091779435</v>
      </c>
      <c r="W227" s="15">
        <f t="shared" si="308"/>
        <v>4.8268816078218455</v>
      </c>
      <c r="X227" s="15">
        <f t="shared" si="308"/>
        <v>4.8539188123937169</v>
      </c>
      <c r="Y227" s="15">
        <f t="shared" si="308"/>
        <v>4.8803602647238762</v>
      </c>
      <c r="Z227" s="15">
        <f t="shared" si="308"/>
        <v>4.9062396861513742</v>
      </c>
      <c r="AA227" s="15">
        <f t="shared" si="308"/>
        <v>4.9315737345525879</v>
      </c>
      <c r="AB227" s="15">
        <f t="shared" si="308"/>
        <v>4.95636075504666</v>
      </c>
      <c r="AC227" s="15">
        <f t="shared" si="308"/>
        <v>4.9805850429027538</v>
      </c>
      <c r="AD227" s="15">
        <f t="shared" si="308"/>
        <v>5.0042268819730547</v>
      </c>
      <c r="AE227" s="15">
        <f t="shared" si="308"/>
        <v>5.027271999911135</v>
      </c>
      <c r="AF227" s="15">
        <f t="shared" si="308"/>
        <v>5.0497216113073478</v>
      </c>
      <c r="AG227" s="15">
        <f t="shared" si="308"/>
        <v>5.0715937168385139</v>
      </c>
      <c r="AH227" s="15">
        <f t="shared" si="308"/>
        <v>5.0929196433222872</v>
      </c>
      <c r="AI227" s="15">
        <f t="shared" si="308"/>
        <v>5.1137386249378842</v>
      </c>
      <c r="AJ227" s="15">
        <f t="shared" si="308"/>
        <v>5.134094517950567</v>
      </c>
      <c r="AK227" s="15">
        <f t="shared" si="308"/>
        <v>5.1540320199147613</v>
      </c>
      <c r="AL227" s="15">
        <f t="shared" si="308"/>
        <v>5.1735958808275537</v>
      </c>
      <c r="AM227" s="15">
        <f t="shared" si="308"/>
        <v>5.192825577274121</v>
      </c>
      <c r="AN227" s="15">
        <f t="shared" si="308"/>
        <v>5.2117534286711544</v>
      </c>
      <c r="AO227" s="15">
        <f t="shared" si="308"/>
        <v>5.2304023913926514</v>
      </c>
      <c r="AP227" s="15">
        <f t="shared" si="308"/>
        <v>5.2487881311382214</v>
      </c>
      <c r="AQ227" s="15">
        <f t="shared" si="308"/>
        <v>5.2669182344461536</v>
      </c>
      <c r="AR227" s="15">
        <f t="shared" si="308"/>
        <v>5.2847939910166755</v>
      </c>
      <c r="AS227" s="15">
        <f t="shared" si="308"/>
        <v>5.302414147672101</v>
      </c>
      <c r="AT227" s="15">
        <f t="shared" si="308"/>
        <v>5.3197815414475045</v>
      </c>
      <c r="AU227" s="15">
        <f t="shared" si="308"/>
        <v>5.3369078247292192</v>
      </c>
      <c r="AV227" s="15">
        <f t="shared" si="308"/>
        <v>5.3538144617759382</v>
      </c>
      <c r="AW227" s="15">
        <f t="shared" si="308"/>
        <v>5.3705303949448941</v>
      </c>
      <c r="AX227" s="15">
        <f t="shared" si="308"/>
        <v>5.387088359740754</v>
      </c>
      <c r="AY227" s="15">
        <f t="shared" si="308"/>
        <v>5.4035226994435615</v>
      </c>
      <c r="AZ227" s="15">
        <f t="shared" si="308"/>
        <v>5.4198682989900435</v>
      </c>
      <c r="BA227" s="15">
        <f t="shared" si="308"/>
        <v>5.4361583545806704</v>
      </c>
      <c r="BB227" s="15">
        <f t="shared" si="308"/>
        <v>5.4524232955199796</v>
      </c>
      <c r="BC227" s="15">
        <f t="shared" si="308"/>
        <v>5.4686884088274166</v>
      </c>
      <c r="BD227" s="15">
        <f t="shared" si="308"/>
        <v>5.4849736572121008</v>
      </c>
      <c r="BE227" s="15">
        <f t="shared" si="308"/>
        <v>5.5012933928171952</v>
      </c>
      <c r="BF227" s="15">
        <f t="shared" si="308"/>
        <v>5.5176576947119189</v>
      </c>
      <c r="BG227" s="15">
        <f t="shared" si="308"/>
        <v>5.5340740176171881</v>
      </c>
      <c r="BH227" s="15">
        <f t="shared" si="308"/>
        <v>5.5505493956747944</v>
      </c>
      <c r="BI227" s="15">
        <f t="shared" si="308"/>
        <v>5.5670930948303452</v>
      </c>
    </row>
    <row r="228" spans="1:64" hidden="1" outlineLevel="1" x14ac:dyDescent="0.3">
      <c r="C228" t="s">
        <v>91</v>
      </c>
      <c r="O228" s="15">
        <f t="shared" si="309"/>
        <v>0.12185835852202878</v>
      </c>
      <c r="P228" s="15">
        <f t="shared" si="308"/>
        <v>0.12524372988804044</v>
      </c>
      <c r="Q228" s="15">
        <f t="shared" si="308"/>
        <v>0.12862541591083904</v>
      </c>
      <c r="R228" s="15">
        <f t="shared" si="308"/>
        <v>0.13200168050716668</v>
      </c>
      <c r="S228" s="15">
        <f t="shared" si="308"/>
        <v>0.13537162616327497</v>
      </c>
      <c r="T228" s="15">
        <f t="shared" si="308"/>
        <v>0.13873514489195984</v>
      </c>
      <c r="U228" s="15">
        <f t="shared" si="308"/>
        <v>0.14209248947377229</v>
      </c>
      <c r="V228" s="15">
        <f t="shared" si="308"/>
        <v>0.14544404545721948</v>
      </c>
      <c r="W228" s="15">
        <f t="shared" si="308"/>
        <v>0.14879018695239285</v>
      </c>
      <c r="X228" s="15">
        <f t="shared" si="308"/>
        <v>0.15213131957662115</v>
      </c>
      <c r="Y228" s="15">
        <f t="shared" si="308"/>
        <v>0.15546778372853959</v>
      </c>
      <c r="Z228" s="15">
        <f t="shared" si="308"/>
        <v>0.15879964176219027</v>
      </c>
      <c r="AA228" s="15">
        <f t="shared" si="308"/>
        <v>0.16212647469530303</v>
      </c>
      <c r="AB228" s="15">
        <f t="shared" si="308"/>
        <v>0.16544729630315774</v>
      </c>
      <c r="AC228" s="15">
        <f t="shared" si="308"/>
        <v>0.16876065092559486</v>
      </c>
      <c r="AD228" s="15">
        <f t="shared" si="308"/>
        <v>0.1720649233994786</v>
      </c>
      <c r="AE228" s="15">
        <f t="shared" si="308"/>
        <v>0.17535865917793367</v>
      </c>
      <c r="AF228" s="15">
        <f t="shared" si="308"/>
        <v>0.17864093347953944</v>
      </c>
      <c r="AG228" s="15">
        <f t="shared" si="308"/>
        <v>0.18191143624768244</v>
      </c>
      <c r="AH228" s="15">
        <f t="shared" si="308"/>
        <v>0.18517038728688975</v>
      </c>
      <c r="AI228" s="15">
        <f t="shared" si="308"/>
        <v>0.18841836846616822</v>
      </c>
      <c r="AJ228" s="15">
        <f t="shared" si="308"/>
        <v>0.19165621930995244</v>
      </c>
      <c r="AK228" s="15">
        <f t="shared" si="308"/>
        <v>0.19488490406439044</v>
      </c>
      <c r="AL228" s="15">
        <f t="shared" si="308"/>
        <v>0.1981054822955558</v>
      </c>
      <c r="AM228" s="15">
        <f t="shared" si="308"/>
        <v>0.20131890132358621</v>
      </c>
      <c r="AN228" s="15">
        <f t="shared" si="308"/>
        <v>0.20452590858868167</v>
      </c>
      <c r="AO228" s="15">
        <f t="shared" si="308"/>
        <v>0.20772694610139741</v>
      </c>
      <c r="AP228" s="15">
        <f t="shared" si="308"/>
        <v>0.21092221087607294</v>
      </c>
      <c r="AQ228" s="15">
        <f t="shared" si="308"/>
        <v>0.21411160522706826</v>
      </c>
      <c r="AR228" s="15">
        <f t="shared" si="308"/>
        <v>0.21729479084208617</v>
      </c>
      <c r="AS228" s="15">
        <f t="shared" si="308"/>
        <v>0.22047133007580427</v>
      </c>
      <c r="AT228" s="15">
        <f t="shared" si="308"/>
        <v>0.2236409588703113</v>
      </c>
      <c r="AU228" s="15">
        <f t="shared" si="308"/>
        <v>0.22680379690057445</v>
      </c>
      <c r="AV228" s="15">
        <f t="shared" si="308"/>
        <v>0.22996041033439607</v>
      </c>
      <c r="AW228" s="15">
        <f t="shared" si="308"/>
        <v>0.23311173244376862</v>
      </c>
      <c r="AX228" s="15">
        <f t="shared" si="308"/>
        <v>0.23625891831324008</v>
      </c>
      <c r="AY228" s="15">
        <f t="shared" si="308"/>
        <v>0.23940325582337463</v>
      </c>
      <c r="AZ228" s="15">
        <f t="shared" si="308"/>
        <v>0.24254612075282822</v>
      </c>
      <c r="BA228" s="15">
        <f t="shared" si="308"/>
        <v>0.24568887637804152</v>
      </c>
      <c r="BB228" s="15">
        <f t="shared" si="308"/>
        <v>0.24883281973922947</v>
      </c>
      <c r="BC228" s="15">
        <f t="shared" si="308"/>
        <v>0.25197906535860476</v>
      </c>
      <c r="BD228" s="15">
        <f t="shared" ref="BD228:BI228" si="310">IF(BD221&gt;0,BD221*BD$165,0)</f>
        <v>0.25512852484923809</v>
      </c>
      <c r="BE228" s="15">
        <f t="shared" si="310"/>
        <v>0.2582818813329833</v>
      </c>
      <c r="BF228" s="15">
        <f t="shared" si="310"/>
        <v>0.26143964023234301</v>
      </c>
      <c r="BG228" s="15">
        <f t="shared" si="310"/>
        <v>0.26460219858831507</v>
      </c>
      <c r="BH228" s="15">
        <f t="shared" si="310"/>
        <v>0.26776994553729933</v>
      </c>
      <c r="BI228" s="15">
        <f t="shared" si="310"/>
        <v>0.27094339034948423</v>
      </c>
    </row>
    <row r="229" spans="1:64" hidden="1" outlineLevel="1" x14ac:dyDescent="0.3"/>
    <row r="230" spans="1:64" s="1" customFormat="1" collapsed="1" x14ac:dyDescent="0.3">
      <c r="A230" s="1" t="s">
        <v>62</v>
      </c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</row>
    <row r="231" spans="1:64" hidden="1" outlineLevel="1" x14ac:dyDescent="0.3">
      <c r="C231" t="s">
        <v>83</v>
      </c>
      <c r="D231" s="3">
        <f t="shared" ref="D231:N231" si="311">D50</f>
        <v>8.61</v>
      </c>
      <c r="E231" s="3">
        <f t="shared" si="311"/>
        <v>8.58</v>
      </c>
      <c r="F231" s="3">
        <f t="shared" si="311"/>
        <v>8.5299999999999976</v>
      </c>
      <c r="G231" s="3">
        <f t="shared" si="311"/>
        <v>8.4899999999999984</v>
      </c>
      <c r="H231" s="3">
        <f t="shared" si="311"/>
        <v>8.4499999999999993</v>
      </c>
      <c r="I231" s="3">
        <f t="shared" si="311"/>
        <v>8.4</v>
      </c>
      <c r="J231" s="3">
        <f t="shared" si="311"/>
        <v>8.370000000000001</v>
      </c>
      <c r="K231" s="3">
        <f t="shared" si="311"/>
        <v>8.32</v>
      </c>
      <c r="L231" s="3">
        <f t="shared" si="311"/>
        <v>8.2899999999999991</v>
      </c>
      <c r="M231" s="3">
        <f t="shared" si="311"/>
        <v>8.2579922779922761</v>
      </c>
      <c r="N231" s="3">
        <f t="shared" si="311"/>
        <v>8.225984555984553</v>
      </c>
      <c r="O231" s="3">
        <f t="shared" ref="O231:BI231" si="312">O243/SUM(O$243:O$247)*O$166</f>
        <v>8.2008961115254433</v>
      </c>
      <c r="P231" s="3">
        <f t="shared" si="312"/>
        <v>8.1194739235228877</v>
      </c>
      <c r="Q231" s="3">
        <f t="shared" si="312"/>
        <v>8.0368114471229504</v>
      </c>
      <c r="R231" s="3">
        <f t="shared" si="312"/>
        <v>7.9529999731374543</v>
      </c>
      <c r="S231" s="3">
        <f t="shared" si="312"/>
        <v>7.868175462792407</v>
      </c>
      <c r="T231" s="3">
        <f t="shared" si="312"/>
        <v>7.7825075586212522</v>
      </c>
      <c r="U231" s="3">
        <f t="shared" si="312"/>
        <v>7.6961697478331814</v>
      </c>
      <c r="V231" s="3">
        <f t="shared" si="312"/>
        <v>7.6093256966526095</v>
      </c>
      <c r="W231" s="3">
        <f t="shared" si="312"/>
        <v>7.5221224921404648</v>
      </c>
      <c r="X231" s="3">
        <f t="shared" si="312"/>
        <v>7.4346944458260626</v>
      </c>
      <c r="Y231" s="3">
        <f t="shared" si="312"/>
        <v>7.3471596857965746</v>
      </c>
      <c r="Z231" s="3">
        <f t="shared" si="312"/>
        <v>7.2596122108286165</v>
      </c>
      <c r="AA231" s="3">
        <f t="shared" si="312"/>
        <v>7.1721160489161413</v>
      </c>
      <c r="AB231" s="3">
        <f t="shared" si="312"/>
        <v>7.0847057949239671</v>
      </c>
      <c r="AC231" s="3">
        <f t="shared" si="312"/>
        <v>6.9973949603663241</v>
      </c>
      <c r="AD231" s="3">
        <f t="shared" si="312"/>
        <v>6.9101915640559639</v>
      </c>
      <c r="AE231" s="3">
        <f t="shared" si="312"/>
        <v>6.8231114188683764</v>
      </c>
      <c r="AF231" s="3">
        <f t="shared" si="312"/>
        <v>6.7361908606462393</v>
      </c>
      <c r="AG231" s="3">
        <f t="shared" si="312"/>
        <v>6.6494866698504351</v>
      </c>
      <c r="AH231" s="3">
        <f t="shared" si="312"/>
        <v>6.5630697768257038</v>
      </c>
      <c r="AI231" s="3">
        <f t="shared" si="312"/>
        <v>6.4770170396152604</v>
      </c>
      <c r="AJ231" s="3">
        <f t="shared" si="312"/>
        <v>6.3914064550615475</v>
      </c>
      <c r="AK231" s="3">
        <f t="shared" si="312"/>
        <v>6.3063122227629762</v>
      </c>
      <c r="AL231" s="3">
        <f t="shared" si="312"/>
        <v>6.2218039018896736</v>
      </c>
      <c r="AM231" s="3">
        <f t="shared" si="312"/>
        <v>6.1379403008191655</v>
      </c>
      <c r="AN231" s="3">
        <f t="shared" si="312"/>
        <v>6.0547680066863618</v>
      </c>
      <c r="AO231" s="3">
        <f t="shared" si="312"/>
        <v>5.9723197385722973</v>
      </c>
      <c r="AP231" s="3">
        <f t="shared" si="312"/>
        <v>5.89061771919281</v>
      </c>
      <c r="AQ231" s="3">
        <f t="shared" si="312"/>
        <v>5.809673600524814</v>
      </c>
      <c r="AR231" s="3">
        <f t="shared" si="312"/>
        <v>5.7294912269565694</v>
      </c>
      <c r="AS231" s="3">
        <f t="shared" si="312"/>
        <v>5.6500712593290769</v>
      </c>
      <c r="AT231" s="3">
        <f t="shared" si="312"/>
        <v>5.5714183717285408</v>
      </c>
      <c r="AU231" s="3">
        <f t="shared" si="312"/>
        <v>5.4935457574431101</v>
      </c>
      <c r="AV231" s="3">
        <f t="shared" si="312"/>
        <v>5.4164753809268573</v>
      </c>
      <c r="AW231" s="3">
        <f t="shared" si="312"/>
        <v>5.3402348536680133</v>
      </c>
      <c r="AX231" s="3">
        <f t="shared" si="312"/>
        <v>5.2648532702361157</v>
      </c>
      <c r="AY231" s="3">
        <f t="shared" si="312"/>
        <v>5.1903588853665612</v>
      </c>
      <c r="AZ231" s="3">
        <f t="shared" si="312"/>
        <v>5.1167780767702373</v>
      </c>
      <c r="BA231" s="3">
        <f t="shared" si="312"/>
        <v>5.044133334513953</v>
      </c>
      <c r="BB231" s="3">
        <f t="shared" si="312"/>
        <v>4.9724425129293781</v>
      </c>
      <c r="BC231" s="3">
        <f t="shared" si="312"/>
        <v>4.901717010666089</v>
      </c>
      <c r="BD231" s="3">
        <f t="shared" si="312"/>
        <v>4.8319620879057119</v>
      </c>
      <c r="BE231" s="3">
        <f t="shared" si="312"/>
        <v>4.7631770867933643</v>
      </c>
      <c r="BF231" s="3">
        <f t="shared" si="312"/>
        <v>4.6953570362965467</v>
      </c>
      <c r="BG231" s="3">
        <f t="shared" si="312"/>
        <v>4.628494377107403</v>
      </c>
      <c r="BH231" s="3">
        <f t="shared" si="312"/>
        <v>4.5625809836123246</v>
      </c>
      <c r="BI231" s="3">
        <f t="shared" si="312"/>
        <v>4.4976103512487526</v>
      </c>
    </row>
    <row r="232" spans="1:64" hidden="1" outlineLevel="1" x14ac:dyDescent="0.3">
      <c r="C232" t="s">
        <v>84</v>
      </c>
      <c r="D232" s="3">
        <f t="shared" ref="D232:N232" si="313">D51</f>
        <v>3.6899999999999995</v>
      </c>
      <c r="E232" s="3">
        <f t="shared" si="313"/>
        <v>3.7499999999999996</v>
      </c>
      <c r="F232" s="3">
        <f t="shared" si="313"/>
        <v>3.79</v>
      </c>
      <c r="G232" s="3">
        <f t="shared" si="313"/>
        <v>3.84</v>
      </c>
      <c r="H232" s="3">
        <f t="shared" si="313"/>
        <v>3.8800000000000003</v>
      </c>
      <c r="I232" s="3">
        <f t="shared" si="313"/>
        <v>3.9400000000000004</v>
      </c>
      <c r="J232" s="3">
        <f t="shared" si="313"/>
        <v>3.9800000000000004</v>
      </c>
      <c r="K232" s="3">
        <f t="shared" si="313"/>
        <v>4.0300000000000011</v>
      </c>
      <c r="L232" s="3">
        <f t="shared" si="313"/>
        <v>4.08</v>
      </c>
      <c r="M232" s="3">
        <f t="shared" si="313"/>
        <v>4.1311598746081497</v>
      </c>
      <c r="N232" s="3">
        <f t="shared" si="313"/>
        <v>4.1823197492163002</v>
      </c>
      <c r="O232" s="3">
        <f t="shared" ref="O232:BI232" si="314">O244/SUM(O$243:O$247)*O$166</f>
        <v>4.2309549147726688</v>
      </c>
      <c r="P232" s="3">
        <f t="shared" si="314"/>
        <v>4.2500458568399084</v>
      </c>
      <c r="Q232" s="3">
        <f t="shared" si="314"/>
        <v>4.2675685565802306</v>
      </c>
      <c r="R232" s="3">
        <f t="shared" si="314"/>
        <v>4.2835367502517805</v>
      </c>
      <c r="S232" s="3">
        <f t="shared" si="314"/>
        <v>4.2979909946249579</v>
      </c>
      <c r="T232" s="3">
        <f t="shared" si="314"/>
        <v>4.3109943277635683</v>
      </c>
      <c r="U232" s="3">
        <f t="shared" si="314"/>
        <v>4.3226168622990739</v>
      </c>
      <c r="V232" s="3">
        <f t="shared" si="314"/>
        <v>4.3329282181483695</v>
      </c>
      <c r="W232" s="3">
        <f t="shared" si="314"/>
        <v>4.3419933057677547</v>
      </c>
      <c r="X232" s="3">
        <f t="shared" si="314"/>
        <v>4.3498739656254823</v>
      </c>
      <c r="Y232" s="3">
        <f t="shared" si="314"/>
        <v>4.3566265021508173</v>
      </c>
      <c r="Z232" s="3">
        <f t="shared" si="314"/>
        <v>4.3622963214988717</v>
      </c>
      <c r="AA232" s="3">
        <f t="shared" si="314"/>
        <v>4.3669134609967308</v>
      </c>
      <c r="AB232" s="3">
        <f t="shared" si="314"/>
        <v>4.3704917580850529</v>
      </c>
      <c r="AC232" s="3">
        <f t="shared" si="314"/>
        <v>4.3730329086647659</v>
      </c>
      <c r="AD232" s="3">
        <f t="shared" si="314"/>
        <v>4.3745354965178587</v>
      </c>
      <c r="AE232" s="3">
        <f t="shared" si="314"/>
        <v>4.3750032940013339</v>
      </c>
      <c r="AF232" s="3">
        <f t="shared" si="314"/>
        <v>4.3744538499911627</v>
      </c>
      <c r="AG232" s="3">
        <f t="shared" si="314"/>
        <v>4.3729192896943614</v>
      </c>
      <c r="AH232" s="3">
        <f t="shared" si="314"/>
        <v>4.3704429849379762</v>
      </c>
      <c r="AI232" s="3">
        <f t="shared" si="314"/>
        <v>4.3670746245504164</v>
      </c>
      <c r="AJ232" s="3">
        <f t="shared" si="314"/>
        <v>4.3628672254100351</v>
      </c>
      <c r="AK232" s="3">
        <f t="shared" si="314"/>
        <v>4.3578738045310725</v>
      </c>
      <c r="AL232" s="3">
        <f t="shared" si="314"/>
        <v>4.3521466647594567</v>
      </c>
      <c r="AM232" s="3">
        <f t="shared" si="314"/>
        <v>4.3457329061103724</v>
      </c>
      <c r="AN232" s="3">
        <f t="shared" si="314"/>
        <v>4.3386729454114814</v>
      </c>
      <c r="AO232" s="3">
        <f t="shared" si="314"/>
        <v>4.3309988249842784</v>
      </c>
      <c r="AP232" s="3">
        <f t="shared" si="314"/>
        <v>4.3227361102208368</v>
      </c>
      <c r="AQ232" s="3">
        <f t="shared" si="314"/>
        <v>4.313903394721077</v>
      </c>
      <c r="AR232" s="3">
        <f t="shared" si="314"/>
        <v>4.3045139259230956</v>
      </c>
      <c r="AS232" s="3">
        <f t="shared" si="314"/>
        <v>4.2945787835046261</v>
      </c>
      <c r="AT232" s="3">
        <f t="shared" si="314"/>
        <v>4.2841122759759704</v>
      </c>
      <c r="AU232" s="3">
        <f t="shared" si="314"/>
        <v>4.2731356262736133</v>
      </c>
      <c r="AV232" s="3">
        <f t="shared" si="314"/>
        <v>4.2616775554312429</v>
      </c>
      <c r="AW232" s="3">
        <f t="shared" si="314"/>
        <v>4.2497721997425089</v>
      </c>
      <c r="AX232" s="3">
        <f t="shared" si="314"/>
        <v>4.2374560281959024</v>
      </c>
      <c r="AY232" s="3">
        <f t="shared" si="314"/>
        <v>4.2247660355470256</v>
      </c>
      <c r="AZ232" s="3">
        <f t="shared" si="314"/>
        <v>4.2117388674914213</v>
      </c>
      <c r="BA232" s="3">
        <f t="shared" si="314"/>
        <v>4.1984090779269492</v>
      </c>
      <c r="BB232" s="3">
        <f t="shared" si="314"/>
        <v>4.1848083357891195</v>
      </c>
      <c r="BC232" s="3">
        <f t="shared" si="314"/>
        <v>4.1709636751527297</v>
      </c>
      <c r="BD232" s="3">
        <f t="shared" si="314"/>
        <v>4.1568974780573384</v>
      </c>
      <c r="BE232" s="3">
        <f t="shared" si="314"/>
        <v>4.142627386030215</v>
      </c>
      <c r="BF232" s="3">
        <f t="shared" si="314"/>
        <v>4.1281674364287735</v>
      </c>
      <c r="BG232" s="3">
        <f t="shared" si="314"/>
        <v>4.1135293924850682</v>
      </c>
      <c r="BH232" s="3">
        <f t="shared" si="314"/>
        <v>4.0987244359320005</v>
      </c>
      <c r="BI232" s="3">
        <f t="shared" si="314"/>
        <v>4.0837651246919915</v>
      </c>
    </row>
    <row r="233" spans="1:64" hidden="1" outlineLevel="1" x14ac:dyDescent="0.3">
      <c r="C233" t="s">
        <v>87</v>
      </c>
      <c r="D233" s="3">
        <f t="shared" ref="D233:N233" si="315">D52</f>
        <v>40.255846954228829</v>
      </c>
      <c r="E233" s="3">
        <f t="shared" si="315"/>
        <v>38.318857621723019</v>
      </c>
      <c r="F233" s="3">
        <f t="shared" si="315"/>
        <v>37.955293433893317</v>
      </c>
      <c r="G233" s="3">
        <f t="shared" si="315"/>
        <v>37.855059145606191</v>
      </c>
      <c r="H233" s="3">
        <f t="shared" si="315"/>
        <v>37.323214851970022</v>
      </c>
      <c r="I233" s="3">
        <f t="shared" si="315"/>
        <v>38.087277008185325</v>
      </c>
      <c r="J233" s="3">
        <f t="shared" si="315"/>
        <v>38.05363497273747</v>
      </c>
      <c r="K233" s="3">
        <f t="shared" si="315"/>
        <v>44.551888002842652</v>
      </c>
      <c r="L233" s="3">
        <f t="shared" si="315"/>
        <v>37.400000000000006</v>
      </c>
      <c r="M233" s="3">
        <f t="shared" si="315"/>
        <v>40.814806321823099</v>
      </c>
      <c r="N233" s="3">
        <f t="shared" si="315"/>
        <v>37.325669279244693</v>
      </c>
      <c r="O233" s="3">
        <f t="shared" ref="O233:BI233" si="316">O245/SUM(O$243:O$247)*O$166</f>
        <v>37.105783371345225</v>
      </c>
      <c r="P233" s="3">
        <f t="shared" si="316"/>
        <v>36.631840402633564</v>
      </c>
      <c r="Q233" s="3">
        <f t="shared" si="316"/>
        <v>36.153889270107271</v>
      </c>
      <c r="R233" s="3">
        <f t="shared" si="316"/>
        <v>35.672400657534027</v>
      </c>
      <c r="S233" s="3">
        <f t="shared" si="316"/>
        <v>35.18804084454586</v>
      </c>
      <c r="T233" s="3">
        <f t="shared" si="316"/>
        <v>34.70161968751141</v>
      </c>
      <c r="U233" s="3">
        <f t="shared" si="316"/>
        <v>34.21395564416882</v>
      </c>
      <c r="V233" s="3">
        <f t="shared" si="316"/>
        <v>33.72581483499318</v>
      </c>
      <c r="W233" s="3">
        <f t="shared" si="316"/>
        <v>33.237881726321206</v>
      </c>
      <c r="X233" s="3">
        <f t="shared" si="316"/>
        <v>32.750776897998122</v>
      </c>
      <c r="Y233" s="3">
        <f t="shared" si="316"/>
        <v>32.265042846702201</v>
      </c>
      <c r="Z233" s="3">
        <f t="shared" si="316"/>
        <v>31.78111021550658</v>
      </c>
      <c r="AA233" s="3">
        <f t="shared" si="316"/>
        <v>31.299273880119557</v>
      </c>
      <c r="AB233" s="3">
        <f t="shared" si="316"/>
        <v>30.81969729626956</v>
      </c>
      <c r="AC233" s="3">
        <f t="shared" si="316"/>
        <v>30.342450709966975</v>
      </c>
      <c r="AD233" s="3">
        <f t="shared" si="316"/>
        <v>29.867579995775174</v>
      </c>
      <c r="AE233" s="3">
        <f t="shared" si="316"/>
        <v>29.395164276528064</v>
      </c>
      <c r="AF233" s="3">
        <f t="shared" si="316"/>
        <v>28.925370025602721</v>
      </c>
      <c r="AG233" s="3">
        <f t="shared" si="316"/>
        <v>28.458449261005484</v>
      </c>
      <c r="AH233" s="3">
        <f t="shared" si="316"/>
        <v>27.994711206152282</v>
      </c>
      <c r="AI233" s="3">
        <f t="shared" si="316"/>
        <v>27.534486275656135</v>
      </c>
      <c r="AJ233" s="3">
        <f t="shared" si="316"/>
        <v>27.078105302765081</v>
      </c>
      <c r="AK233" s="3">
        <f t="shared" si="316"/>
        <v>26.625878555421885</v>
      </c>
      <c r="AL233" s="3">
        <f t="shared" si="316"/>
        <v>26.178092403642896</v>
      </c>
      <c r="AM233" s="3">
        <f t="shared" si="316"/>
        <v>25.734983980775613</v>
      </c>
      <c r="AN233" s="3">
        <f t="shared" si="316"/>
        <v>25.29673577701509</v>
      </c>
      <c r="AO233" s="3">
        <f t="shared" si="316"/>
        <v>24.863469642199878</v>
      </c>
      <c r="AP233" s="3">
        <f t="shared" si="316"/>
        <v>24.435261768297888</v>
      </c>
      <c r="AQ233" s="3">
        <f t="shared" si="316"/>
        <v>24.012143141438045</v>
      </c>
      <c r="AR233" s="3">
        <f t="shared" si="316"/>
        <v>23.59411169844002</v>
      </c>
      <c r="AS233" s="3">
        <f t="shared" si="316"/>
        <v>23.181151879285895</v>
      </c>
      <c r="AT233" s="3">
        <f t="shared" si="316"/>
        <v>22.773264281371855</v>
      </c>
      <c r="AU233" s="3">
        <f t="shared" si="316"/>
        <v>22.370483696336514</v>
      </c>
      <c r="AV233" s="3">
        <f t="shared" si="316"/>
        <v>21.972879466413413</v>
      </c>
      <c r="AW233" s="3">
        <f t="shared" si="316"/>
        <v>21.580542162679293</v>
      </c>
      <c r="AX233" s="3">
        <f t="shared" si="316"/>
        <v>21.193566358777392</v>
      </c>
      <c r="AY233" s="3">
        <f t="shared" si="316"/>
        <v>20.812041171778784</v>
      </c>
      <c r="AZ233" s="3">
        <f t="shared" si="316"/>
        <v>20.436046156151836</v>
      </c>
      <c r="BA233" s="3">
        <f t="shared" si="316"/>
        <v>20.065643425070188</v>
      </c>
      <c r="BB233" s="3">
        <f t="shared" si="316"/>
        <v>19.700874969019466</v>
      </c>
      <c r="BC233" s="3">
        <f t="shared" si="316"/>
        <v>19.341755822117218</v>
      </c>
      <c r="BD233" s="3">
        <f t="shared" si="316"/>
        <v>18.988275809744867</v>
      </c>
      <c r="BE233" s="3">
        <f t="shared" si="316"/>
        <v>18.640400895192666</v>
      </c>
      <c r="BF233" s="3">
        <f t="shared" si="316"/>
        <v>18.29807990832245</v>
      </c>
      <c r="BG233" s="3">
        <f t="shared" si="316"/>
        <v>17.961251589759641</v>
      </c>
      <c r="BH233" s="3">
        <f t="shared" si="316"/>
        <v>17.629852617616891</v>
      </c>
      <c r="BI233" s="3">
        <f t="shared" si="316"/>
        <v>17.303826072051958</v>
      </c>
    </row>
    <row r="234" spans="1:64" hidden="1" outlineLevel="1" x14ac:dyDescent="0.3">
      <c r="C234" t="s">
        <v>89</v>
      </c>
      <c r="D234" s="3">
        <f t="shared" ref="D234:N234" si="317">D53</f>
        <v>7.1</v>
      </c>
      <c r="E234" s="3">
        <f t="shared" si="317"/>
        <v>8.4</v>
      </c>
      <c r="F234" s="3">
        <f t="shared" si="317"/>
        <v>8.5399999999999991</v>
      </c>
      <c r="G234" s="3">
        <f t="shared" si="317"/>
        <v>9.1999999999999993</v>
      </c>
      <c r="H234" s="3">
        <f t="shared" si="317"/>
        <v>8.8099999999999987</v>
      </c>
      <c r="I234" s="3">
        <f t="shared" si="317"/>
        <v>7.82</v>
      </c>
      <c r="J234" s="3">
        <f t="shared" si="317"/>
        <v>7.01</v>
      </c>
      <c r="K234" s="3">
        <f t="shared" si="317"/>
        <v>6.08</v>
      </c>
      <c r="L234" s="3">
        <f t="shared" si="317"/>
        <v>7.57</v>
      </c>
      <c r="M234" s="3">
        <f t="shared" si="317"/>
        <v>7.6723837700760784</v>
      </c>
      <c r="N234" s="3">
        <f t="shared" si="317"/>
        <v>8.4338630600169058</v>
      </c>
      <c r="O234" s="3">
        <f t="shared" ref="O234:BI234" si="318">O246/SUM(O$243:O$247)*O$166</f>
        <v>8.56239208799078</v>
      </c>
      <c r="P234" s="3">
        <f t="shared" si="318"/>
        <v>8.6308959327242682</v>
      </c>
      <c r="Q234" s="3">
        <f t="shared" si="318"/>
        <v>8.6957722051076889</v>
      </c>
      <c r="R234" s="3">
        <f t="shared" si="318"/>
        <v>8.7570323944041615</v>
      </c>
      <c r="S234" s="3">
        <f t="shared" si="318"/>
        <v>8.8147441130580209</v>
      </c>
      <c r="T234" s="3">
        <f t="shared" si="318"/>
        <v>8.8690229654979333</v>
      </c>
      <c r="U234" s="3">
        <f t="shared" si="318"/>
        <v>8.9200013621388319</v>
      </c>
      <c r="V234" s="3">
        <f t="shared" si="318"/>
        <v>8.9678129523661418</v>
      </c>
      <c r="W234" s="3">
        <f t="shared" si="318"/>
        <v>9.0125837339741857</v>
      </c>
      <c r="X234" s="3">
        <f t="shared" si="318"/>
        <v>9.0544352132061441</v>
      </c>
      <c r="Y234" s="3">
        <f t="shared" si="318"/>
        <v>9.0934790680355952</v>
      </c>
      <c r="Z234" s="3">
        <f t="shared" si="318"/>
        <v>9.1298056789823328</v>
      </c>
      <c r="AA234" s="3">
        <f t="shared" si="318"/>
        <v>9.1634743696249501</v>
      </c>
      <c r="AB234" s="3">
        <f t="shared" si="318"/>
        <v>9.1945111828687835</v>
      </c>
      <c r="AC234" s="3">
        <f t="shared" si="318"/>
        <v>9.2229169720901503</v>
      </c>
      <c r="AD234" s="3">
        <f t="shared" si="318"/>
        <v>9.2486861564369001</v>
      </c>
      <c r="AE234" s="3">
        <f t="shared" si="318"/>
        <v>9.2718242261873396</v>
      </c>
      <c r="AF234" s="3">
        <f t="shared" si="318"/>
        <v>9.2923661105566779</v>
      </c>
      <c r="AG234" s="3">
        <f t="shared" si="318"/>
        <v>9.3103782070769068</v>
      </c>
      <c r="AH234" s="3">
        <f t="shared" si="318"/>
        <v>9.3259516029258442</v>
      </c>
      <c r="AI234" s="3">
        <f t="shared" si="318"/>
        <v>9.3391917624318683</v>
      </c>
      <c r="AJ234" s="3">
        <f t="shared" si="318"/>
        <v>9.3502122248104396</v>
      </c>
      <c r="AK234" s="3">
        <f t="shared" si="318"/>
        <v>9.3591274873297206</v>
      </c>
      <c r="AL234" s="3">
        <f t="shared" si="318"/>
        <v>9.3660514232009273</v>
      </c>
      <c r="AM234" s="3">
        <f t="shared" si="318"/>
        <v>9.3710875444090291</v>
      </c>
      <c r="AN234" s="3">
        <f t="shared" si="318"/>
        <v>9.3743256530124359</v>
      </c>
      <c r="AO234" s="3">
        <f t="shared" si="318"/>
        <v>9.3758380068573537</v>
      </c>
      <c r="AP234" s="3">
        <f t="shared" si="318"/>
        <v>9.3756832370753749</v>
      </c>
      <c r="AQ234" s="3">
        <f t="shared" si="318"/>
        <v>9.3739051234422259</v>
      </c>
      <c r="AR234" s="3">
        <f t="shared" si="318"/>
        <v>9.3705359820597049</v>
      </c>
      <c r="AS234" s="3">
        <f t="shared" si="318"/>
        <v>9.3656034852131977</v>
      </c>
      <c r="AT234" s="3">
        <f t="shared" si="318"/>
        <v>9.3591424058098411</v>
      </c>
      <c r="AU234" s="3">
        <f t="shared" si="318"/>
        <v>9.3512027413967065</v>
      </c>
      <c r="AV234" s="3">
        <f t="shared" si="318"/>
        <v>9.341851117152645</v>
      </c>
      <c r="AW234" s="3">
        <f t="shared" si="318"/>
        <v>9.3311663404656322</v>
      </c>
      <c r="AX234" s="3">
        <f t="shared" si="318"/>
        <v>9.3192327058350291</v>
      </c>
      <c r="AY234" s="3">
        <f t="shared" si="318"/>
        <v>9.3061360406266207</v>
      </c>
      <c r="AZ234" s="3">
        <f t="shared" si="318"/>
        <v>9.2919617685613431</v>
      </c>
      <c r="BA234" s="3">
        <f t="shared" si="318"/>
        <v>9.2767910379904794</v>
      </c>
      <c r="BB234" s="3">
        <f t="shared" si="318"/>
        <v>9.2606989176563985</v>
      </c>
      <c r="BC234" s="3">
        <f t="shared" si="318"/>
        <v>9.243750458885593</v>
      </c>
      <c r="BD234" s="3">
        <f t="shared" si="318"/>
        <v>9.2260005724304452</v>
      </c>
      <c r="BE234" s="3">
        <f t="shared" si="318"/>
        <v>9.2074937505650301</v>
      </c>
      <c r="BF234" s="3">
        <f t="shared" si="318"/>
        <v>9.1882665175104403</v>
      </c>
      <c r="BG234" s="3">
        <f t="shared" si="318"/>
        <v>9.168350336282316</v>
      </c>
      <c r="BH234" s="3">
        <f t="shared" si="318"/>
        <v>9.1477753516423945</v>
      </c>
      <c r="BI234" s="3">
        <f t="shared" si="318"/>
        <v>9.1265747573371279</v>
      </c>
    </row>
    <row r="235" spans="1:64" hidden="1" outlineLevel="1" x14ac:dyDescent="0.3">
      <c r="C235" t="s">
        <v>91</v>
      </c>
      <c r="D235" s="3">
        <f t="shared" ref="D235:N235" si="319">D54</f>
        <v>0.71529427356562791</v>
      </c>
      <c r="E235" s="3">
        <f t="shared" si="319"/>
        <v>0.73464688914920906</v>
      </c>
      <c r="F235" s="3">
        <f t="shared" si="319"/>
        <v>0.73469915604985747</v>
      </c>
      <c r="G235" s="3">
        <f t="shared" si="319"/>
        <v>0.62608947500097778</v>
      </c>
      <c r="H235" s="3">
        <f t="shared" si="319"/>
        <v>0.79017983175090523</v>
      </c>
      <c r="I235" s="3">
        <f t="shared" si="319"/>
        <v>0.78921363806051126</v>
      </c>
      <c r="J235" s="3">
        <f t="shared" si="319"/>
        <v>0.82802297941393566</v>
      </c>
      <c r="K235" s="3">
        <f t="shared" si="319"/>
        <v>0.28632020438885936</v>
      </c>
      <c r="L235" s="3">
        <f t="shared" si="319"/>
        <v>0.84000000000000097</v>
      </c>
      <c r="M235" s="3">
        <f t="shared" si="319"/>
        <v>1.2251373043686216</v>
      </c>
      <c r="N235" s="3">
        <f t="shared" si="319"/>
        <v>1.1537726618229072</v>
      </c>
      <c r="O235" s="3">
        <f t="shared" ref="O235:BI235" si="320">O247/SUM(O$243:O$247)*O$166</f>
        <v>1.1942135722367773</v>
      </c>
      <c r="P235" s="3">
        <f t="shared" si="320"/>
        <v>1.2261068340400585</v>
      </c>
      <c r="Q235" s="3">
        <f t="shared" si="320"/>
        <v>1.2571547190318104</v>
      </c>
      <c r="R235" s="3">
        <f t="shared" si="320"/>
        <v>1.2873466316741593</v>
      </c>
      <c r="S235" s="3">
        <f t="shared" si="320"/>
        <v>1.3166811840674382</v>
      </c>
      <c r="T235" s="3">
        <f t="shared" si="320"/>
        <v>1.3451655482356517</v>
      </c>
      <c r="U235" s="3">
        <f t="shared" si="320"/>
        <v>1.3728111015826396</v>
      </c>
      <c r="V235" s="3">
        <f t="shared" si="320"/>
        <v>1.3996310667087974</v>
      </c>
      <c r="W235" s="3">
        <f t="shared" si="320"/>
        <v>1.425639004480713</v>
      </c>
      <c r="X235" s="3">
        <f t="shared" si="320"/>
        <v>1.4508491367174166</v>
      </c>
      <c r="Y235" s="3">
        <f t="shared" si="320"/>
        <v>1.475275343055068</v>
      </c>
      <c r="Z235" s="3">
        <f t="shared" si="320"/>
        <v>1.4989290995864226</v>
      </c>
      <c r="AA235" s="3">
        <f t="shared" si="320"/>
        <v>1.5218175850216389</v>
      </c>
      <c r="AB235" s="3">
        <f t="shared" si="320"/>
        <v>1.5439429652657313</v>
      </c>
      <c r="AC235" s="3">
        <f t="shared" si="320"/>
        <v>1.5653034307124598</v>
      </c>
      <c r="AD235" s="3">
        <f t="shared" si="320"/>
        <v>1.5858961725860927</v>
      </c>
      <c r="AE235" s="3">
        <f t="shared" si="320"/>
        <v>1.6057203530948247</v>
      </c>
      <c r="AF235" s="3">
        <f t="shared" si="320"/>
        <v>1.6247804061270799</v>
      </c>
      <c r="AG235" s="3">
        <f t="shared" si="320"/>
        <v>1.6430866275037794</v>
      </c>
      <c r="AH235" s="3">
        <f t="shared" si="320"/>
        <v>1.6606541994999895</v>
      </c>
      <c r="AI235" s="3">
        <f t="shared" si="320"/>
        <v>1.6775015011076317</v>
      </c>
      <c r="AJ235" s="3">
        <f t="shared" si="320"/>
        <v>1.6936490395455406</v>
      </c>
      <c r="AK235" s="3">
        <f t="shared" si="320"/>
        <v>1.7091181719823176</v>
      </c>
      <c r="AL235" s="3">
        <f t="shared" si="320"/>
        <v>1.7239307827594677</v>
      </c>
      <c r="AM235" s="3">
        <f t="shared" si="320"/>
        <v>1.7381074367654679</v>
      </c>
      <c r="AN235" s="3">
        <f t="shared" si="320"/>
        <v>1.7516666485026289</v>
      </c>
      <c r="AO235" s="3">
        <f t="shared" si="320"/>
        <v>1.7646240395626316</v>
      </c>
      <c r="AP235" s="3">
        <f t="shared" si="320"/>
        <v>1.7769929428042752</v>
      </c>
      <c r="AQ235" s="3">
        <f t="shared" si="320"/>
        <v>1.7887840646451776</v>
      </c>
      <c r="AR235" s="3">
        <f t="shared" si="320"/>
        <v>1.8000060307038923</v>
      </c>
      <c r="AS235" s="3">
        <f t="shared" si="320"/>
        <v>1.81066662684478</v>
      </c>
      <c r="AT235" s="3">
        <f t="shared" si="320"/>
        <v>1.8207750527899116</v>
      </c>
      <c r="AU235" s="3">
        <f t="shared" si="320"/>
        <v>1.8303435527745702</v>
      </c>
      <c r="AV235" s="3">
        <f t="shared" si="320"/>
        <v>1.839387777101968</v>
      </c>
      <c r="AW235" s="3">
        <f t="shared" si="320"/>
        <v>1.8479259899018587</v>
      </c>
      <c r="AX235" s="3">
        <f t="shared" si="320"/>
        <v>1.8559777937393129</v>
      </c>
      <c r="AY235" s="3">
        <f t="shared" si="320"/>
        <v>1.8635633556239992</v>
      </c>
      <c r="AZ235" s="3">
        <f t="shared" si="320"/>
        <v>1.8707030127085555</v>
      </c>
      <c r="BA235" s="3">
        <f t="shared" si="320"/>
        <v>1.8774164743679163</v>
      </c>
      <c r="BB235" s="3">
        <f t="shared" si="320"/>
        <v>1.8837224216706636</v>
      </c>
      <c r="BC235" s="3">
        <f t="shared" si="320"/>
        <v>1.8896376616567985</v>
      </c>
      <c r="BD235" s="3">
        <f t="shared" si="320"/>
        <v>1.8951770440447022</v>
      </c>
      <c r="BE235" s="3">
        <f t="shared" si="320"/>
        <v>1.9003533485415911</v>
      </c>
      <c r="BF235" s="3">
        <f t="shared" si="320"/>
        <v>1.9051777393583953</v>
      </c>
      <c r="BG235" s="3">
        <f t="shared" si="320"/>
        <v>1.9096603315612022</v>
      </c>
      <c r="BH235" s="3">
        <f t="shared" si="320"/>
        <v>1.913810950568698</v>
      </c>
      <c r="BI235" s="3">
        <f t="shared" si="320"/>
        <v>1.9176400444365362</v>
      </c>
    </row>
    <row r="236" spans="1:64" hidden="1" outlineLevel="1" x14ac:dyDescent="0.3"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</row>
    <row r="237" spans="1:64" hidden="1" outlineLevel="1" x14ac:dyDescent="0.3">
      <c r="A237" s="16">
        <f>(N237-D237)/11</f>
        <v>-3.591110492301304E-4</v>
      </c>
      <c r="C237" t="s">
        <v>83</v>
      </c>
      <c r="D237" s="3">
        <f>D231/SUM(D$231:D$235)</f>
        <v>0.14261781084297301</v>
      </c>
      <c r="E237" s="3">
        <f t="shared" ref="E237:N237" si="321">E231/SUM(E$231:E$235)</f>
        <v>0.14351784945025498</v>
      </c>
      <c r="F237" s="3">
        <f t="shared" si="321"/>
        <v>0.14324099179553129</v>
      </c>
      <c r="G237" s="3">
        <f t="shared" si="321"/>
        <v>0.14147371272084977</v>
      </c>
      <c r="H237" s="3">
        <f t="shared" si="321"/>
        <v>0.14260786314613505</v>
      </c>
      <c r="I237" s="3">
        <f t="shared" si="321"/>
        <v>0.14228488021643884</v>
      </c>
      <c r="J237" s="3">
        <f t="shared" si="321"/>
        <v>0.14371156821937311</v>
      </c>
      <c r="K237" s="3">
        <f t="shared" si="321"/>
        <v>0.13150364512850279</v>
      </c>
      <c r="L237" s="3">
        <f t="shared" si="321"/>
        <v>0.14248882777586797</v>
      </c>
      <c r="M237" s="3">
        <f t="shared" si="321"/>
        <v>0.13297577349174081</v>
      </c>
      <c r="N237" s="3">
        <f t="shared" si="321"/>
        <v>0.13866758930144157</v>
      </c>
      <c r="O237" s="15">
        <f t="shared" ref="O237:AD241" si="322">N237+$A237</f>
        <v>0.13830847825221143</v>
      </c>
      <c r="P237" s="15">
        <f t="shared" si="322"/>
        <v>0.13794936720298129</v>
      </c>
      <c r="Q237" s="15">
        <f t="shared" si="322"/>
        <v>0.13759025615375114</v>
      </c>
      <c r="R237" s="15">
        <f t="shared" si="322"/>
        <v>0.137231145104521</v>
      </c>
      <c r="S237" s="15">
        <f t="shared" si="322"/>
        <v>0.13687203405529086</v>
      </c>
      <c r="T237" s="15">
        <f t="shared" si="322"/>
        <v>0.13651292300606072</v>
      </c>
      <c r="U237" s="15">
        <f t="shared" si="322"/>
        <v>0.13615381195683057</v>
      </c>
      <c r="V237" s="15">
        <f t="shared" si="322"/>
        <v>0.13579470090760043</v>
      </c>
      <c r="W237" s="15">
        <f t="shared" si="322"/>
        <v>0.13543558985837029</v>
      </c>
      <c r="X237" s="15">
        <f t="shared" si="322"/>
        <v>0.13507647880914014</v>
      </c>
      <c r="Y237" s="15">
        <f t="shared" si="322"/>
        <v>0.13471736775991</v>
      </c>
      <c r="Z237" s="15">
        <f t="shared" si="322"/>
        <v>0.13435825671067986</v>
      </c>
      <c r="AA237" s="15">
        <f t="shared" si="322"/>
        <v>0.13399914566144971</v>
      </c>
      <c r="AB237" s="15">
        <f t="shared" si="322"/>
        <v>0.13364003461221957</v>
      </c>
      <c r="AC237" s="15">
        <f t="shared" si="322"/>
        <v>0.13328092356298943</v>
      </c>
      <c r="AD237" s="15">
        <f t="shared" si="322"/>
        <v>0.13292181251375929</v>
      </c>
      <c r="AE237" s="15">
        <f t="shared" ref="P237:BI241" si="323">AD237+$A237</f>
        <v>0.13256270146452914</v>
      </c>
      <c r="AF237" s="15">
        <f t="shared" si="323"/>
        <v>0.132203590415299</v>
      </c>
      <c r="AG237" s="15">
        <f t="shared" si="323"/>
        <v>0.13184447936606886</v>
      </c>
      <c r="AH237" s="15">
        <f t="shared" si="323"/>
        <v>0.13148536831683871</v>
      </c>
      <c r="AI237" s="15">
        <f t="shared" si="323"/>
        <v>0.13112625726760857</v>
      </c>
      <c r="AJ237" s="15">
        <f t="shared" si="323"/>
        <v>0.13076714621837843</v>
      </c>
      <c r="AK237" s="15">
        <f t="shared" si="323"/>
        <v>0.13040803516914828</v>
      </c>
      <c r="AL237" s="15">
        <f t="shared" si="323"/>
        <v>0.13004892411991814</v>
      </c>
      <c r="AM237" s="15">
        <f t="shared" si="323"/>
        <v>0.129689813070688</v>
      </c>
      <c r="AN237" s="15">
        <f t="shared" si="323"/>
        <v>0.12933070202145786</v>
      </c>
      <c r="AO237" s="15">
        <f t="shared" si="323"/>
        <v>0.12897159097222771</v>
      </c>
      <c r="AP237" s="15">
        <f t="shared" si="323"/>
        <v>0.12861247992299757</v>
      </c>
      <c r="AQ237" s="15">
        <f t="shared" si="323"/>
        <v>0.12825336887376743</v>
      </c>
      <c r="AR237" s="15">
        <f t="shared" si="323"/>
        <v>0.12789425782453728</v>
      </c>
      <c r="AS237" s="15">
        <f t="shared" si="323"/>
        <v>0.12753514677530714</v>
      </c>
      <c r="AT237" s="15">
        <f t="shared" si="323"/>
        <v>0.127176035726077</v>
      </c>
      <c r="AU237" s="15">
        <f t="shared" si="323"/>
        <v>0.12681692467684685</v>
      </c>
      <c r="AV237" s="15">
        <f t="shared" si="323"/>
        <v>0.12645781362761671</v>
      </c>
      <c r="AW237" s="15">
        <f t="shared" si="323"/>
        <v>0.12609870257838657</v>
      </c>
      <c r="AX237" s="15">
        <f t="shared" si="323"/>
        <v>0.12573959152915642</v>
      </c>
      <c r="AY237" s="15">
        <f t="shared" si="323"/>
        <v>0.12538048047992628</v>
      </c>
      <c r="AZ237" s="15">
        <f t="shared" si="323"/>
        <v>0.12502136943069614</v>
      </c>
      <c r="BA237" s="15">
        <f t="shared" si="323"/>
        <v>0.12466225838146601</v>
      </c>
      <c r="BB237" s="15">
        <f t="shared" si="323"/>
        <v>0.12430314733223588</v>
      </c>
      <c r="BC237" s="15">
        <f t="shared" si="323"/>
        <v>0.12394403628300575</v>
      </c>
      <c r="BD237" s="15">
        <f t="shared" si="323"/>
        <v>0.12358492523377562</v>
      </c>
      <c r="BE237" s="15">
        <f t="shared" si="323"/>
        <v>0.12322581418454549</v>
      </c>
      <c r="BF237" s="15">
        <f t="shared" si="323"/>
        <v>0.12286670313531536</v>
      </c>
      <c r="BG237" s="15">
        <f t="shared" si="323"/>
        <v>0.12250759208608523</v>
      </c>
      <c r="BH237" s="15">
        <f t="shared" si="323"/>
        <v>0.12214848103685511</v>
      </c>
      <c r="BI237" s="15">
        <f t="shared" si="323"/>
        <v>0.12178936998762498</v>
      </c>
      <c r="BJ237" s="15"/>
      <c r="BK237" s="15"/>
      <c r="BL237" s="15"/>
    </row>
    <row r="238" spans="1:64" hidden="1" outlineLevel="1" x14ac:dyDescent="0.3">
      <c r="A238" s="16">
        <f t="shared" ref="A238:A241" si="324">(N238-D238)/11</f>
        <v>8.5277701536588054E-4</v>
      </c>
      <c r="C238" t="s">
        <v>84</v>
      </c>
      <c r="D238" s="3">
        <f t="shared" ref="D238:N241" si="325">D232/SUM(D$231:D$235)</f>
        <v>6.1121918932702718E-2</v>
      </c>
      <c r="E238" s="3">
        <f t="shared" si="325"/>
        <v>6.2726332801684867E-2</v>
      </c>
      <c r="F238" s="3">
        <f t="shared" si="325"/>
        <v>6.3644004560968775E-2</v>
      </c>
      <c r="G238" s="3">
        <f t="shared" si="325"/>
        <v>6.3988110347239474E-2</v>
      </c>
      <c r="H238" s="3">
        <f t="shared" si="325"/>
        <v>6.5481480355858462E-2</v>
      </c>
      <c r="I238" s="3">
        <f t="shared" si="325"/>
        <v>6.6738384291996314E-2</v>
      </c>
      <c r="J238" s="3">
        <f t="shared" si="325"/>
        <v>6.833596672796953E-2</v>
      </c>
      <c r="K238" s="3">
        <f t="shared" si="325"/>
        <v>6.3697078109118552E-2</v>
      </c>
      <c r="L238" s="3">
        <f t="shared" si="325"/>
        <v>7.0127191474733577E-2</v>
      </c>
      <c r="M238" s="3">
        <f t="shared" si="325"/>
        <v>6.6522728679230606E-2</v>
      </c>
      <c r="N238" s="3">
        <f t="shared" si="325"/>
        <v>7.0502466101727404E-2</v>
      </c>
      <c r="O238" s="15">
        <f t="shared" si="322"/>
        <v>7.1355243117093278E-2</v>
      </c>
      <c r="P238" s="15">
        <f t="shared" si="323"/>
        <v>7.2208020132459153E-2</v>
      </c>
      <c r="Q238" s="15">
        <f t="shared" si="323"/>
        <v>7.3060797147825027E-2</v>
      </c>
      <c r="R238" s="15">
        <f t="shared" si="323"/>
        <v>7.3913574163190901E-2</v>
      </c>
      <c r="S238" s="15">
        <f t="shared" si="323"/>
        <v>7.4766351178556775E-2</v>
      </c>
      <c r="T238" s="15">
        <f t="shared" si="323"/>
        <v>7.561912819392265E-2</v>
      </c>
      <c r="U238" s="15">
        <f t="shared" si="323"/>
        <v>7.6471905209288524E-2</v>
      </c>
      <c r="V238" s="15">
        <f t="shared" si="323"/>
        <v>7.7324682224654398E-2</v>
      </c>
      <c r="W238" s="15">
        <f t="shared" si="323"/>
        <v>7.8177459240020272E-2</v>
      </c>
      <c r="X238" s="15">
        <f t="shared" si="323"/>
        <v>7.9030236255386146E-2</v>
      </c>
      <c r="Y238" s="15">
        <f t="shared" si="323"/>
        <v>7.9883013270752021E-2</v>
      </c>
      <c r="Z238" s="15">
        <f t="shared" si="323"/>
        <v>8.0735790286117895E-2</v>
      </c>
      <c r="AA238" s="15">
        <f t="shared" si="323"/>
        <v>8.1588567301483769E-2</v>
      </c>
      <c r="AB238" s="15">
        <f t="shared" si="323"/>
        <v>8.2441344316849643E-2</v>
      </c>
      <c r="AC238" s="15">
        <f t="shared" si="323"/>
        <v>8.3294121332215518E-2</v>
      </c>
      <c r="AD238" s="15">
        <f t="shared" si="323"/>
        <v>8.4146898347581392E-2</v>
      </c>
      <c r="AE238" s="15">
        <f t="shared" si="323"/>
        <v>8.4999675362947266E-2</v>
      </c>
      <c r="AF238" s="15">
        <f t="shared" si="323"/>
        <v>8.585245237831314E-2</v>
      </c>
      <c r="AG238" s="15">
        <f t="shared" si="323"/>
        <v>8.6705229393679015E-2</v>
      </c>
      <c r="AH238" s="15">
        <f t="shared" si="323"/>
        <v>8.7558006409044889E-2</v>
      </c>
      <c r="AI238" s="15">
        <f t="shared" si="323"/>
        <v>8.8410783424410763E-2</v>
      </c>
      <c r="AJ238" s="15">
        <f t="shared" si="323"/>
        <v>8.9263560439776637E-2</v>
      </c>
      <c r="AK238" s="15">
        <f t="shared" si="323"/>
        <v>9.0116337455142512E-2</v>
      </c>
      <c r="AL238" s="15">
        <f t="shared" si="323"/>
        <v>9.0969114470508386E-2</v>
      </c>
      <c r="AM238" s="15">
        <f t="shared" si="323"/>
        <v>9.182189148587426E-2</v>
      </c>
      <c r="AN238" s="15">
        <f t="shared" si="323"/>
        <v>9.2674668501240134E-2</v>
      </c>
      <c r="AO238" s="15">
        <f t="shared" si="323"/>
        <v>9.3527445516606009E-2</v>
      </c>
      <c r="AP238" s="15">
        <f t="shared" si="323"/>
        <v>9.4380222531971883E-2</v>
      </c>
      <c r="AQ238" s="15">
        <f t="shared" si="323"/>
        <v>9.5232999547337757E-2</v>
      </c>
      <c r="AR238" s="15">
        <f t="shared" si="323"/>
        <v>9.6085776562703631E-2</v>
      </c>
      <c r="AS238" s="15">
        <f t="shared" si="323"/>
        <v>9.6938553578069506E-2</v>
      </c>
      <c r="AT238" s="15">
        <f t="shared" si="323"/>
        <v>9.779133059343538E-2</v>
      </c>
      <c r="AU238" s="15">
        <f t="shared" si="323"/>
        <v>9.8644107608801254E-2</v>
      </c>
      <c r="AV238" s="15">
        <f t="shared" si="323"/>
        <v>9.9496884624167128E-2</v>
      </c>
      <c r="AW238" s="15">
        <f t="shared" si="323"/>
        <v>0.100349661639533</v>
      </c>
      <c r="AX238" s="15">
        <f t="shared" si="323"/>
        <v>0.10120243865489888</v>
      </c>
      <c r="AY238" s="15">
        <f t="shared" si="323"/>
        <v>0.10205521567026475</v>
      </c>
      <c r="AZ238" s="15">
        <f t="shared" si="323"/>
        <v>0.10290799268563063</v>
      </c>
      <c r="BA238" s="15">
        <f t="shared" si="323"/>
        <v>0.1037607697009965</v>
      </c>
      <c r="BB238" s="15">
        <f t="shared" si="323"/>
        <v>0.10461354671636237</v>
      </c>
      <c r="BC238" s="15">
        <f t="shared" si="323"/>
        <v>0.10546632373172825</v>
      </c>
      <c r="BD238" s="15">
        <f t="shared" si="323"/>
        <v>0.10631910074709412</v>
      </c>
      <c r="BE238" s="15">
        <f t="shared" si="323"/>
        <v>0.10717187776246</v>
      </c>
      <c r="BF238" s="15">
        <f t="shared" si="323"/>
        <v>0.10802465477782587</v>
      </c>
      <c r="BG238" s="15">
        <f t="shared" si="323"/>
        <v>0.10887743179319175</v>
      </c>
      <c r="BH238" s="15">
        <f t="shared" si="323"/>
        <v>0.10973020880855762</v>
      </c>
      <c r="BI238" s="15">
        <f t="shared" si="323"/>
        <v>0.11058298582392349</v>
      </c>
      <c r="BJ238" s="15"/>
      <c r="BK238" s="15"/>
      <c r="BL238" s="15"/>
    </row>
    <row r="239" spans="1:64" hidden="1" outlineLevel="1" x14ac:dyDescent="0.3">
      <c r="A239" s="16">
        <f t="shared" si="324"/>
        <v>-3.4179532455907687E-3</v>
      </c>
      <c r="C239" t="s">
        <v>87</v>
      </c>
      <c r="D239" s="3">
        <f t="shared" si="325"/>
        <v>0.66680612848337739</v>
      </c>
      <c r="E239" s="3">
        <f t="shared" si="325"/>
        <v>0.64096037753615387</v>
      </c>
      <c r="F239" s="3">
        <f t="shared" si="325"/>
        <v>0.63736856686533372</v>
      </c>
      <c r="G239" s="3">
        <f t="shared" si="325"/>
        <v>0.63080044317977235</v>
      </c>
      <c r="H239" s="3">
        <f t="shared" si="325"/>
        <v>0.62989158766669062</v>
      </c>
      <c r="I239" s="3">
        <f t="shared" si="325"/>
        <v>0.6451480531999968</v>
      </c>
      <c r="J239" s="3">
        <f t="shared" si="325"/>
        <v>0.65337485763198122</v>
      </c>
      <c r="K239" s="3">
        <f t="shared" si="325"/>
        <v>0.70417496030416116</v>
      </c>
      <c r="L239" s="3">
        <f t="shared" si="325"/>
        <v>0.6428325885183912</v>
      </c>
      <c r="M239" s="3">
        <f t="shared" si="325"/>
        <v>0.65722759937958564</v>
      </c>
      <c r="N239" s="3">
        <f t="shared" si="325"/>
        <v>0.62920864278187894</v>
      </c>
      <c r="O239" s="15">
        <f t="shared" si="322"/>
        <v>0.62579068953628814</v>
      </c>
      <c r="P239" s="15">
        <f t="shared" si="323"/>
        <v>0.62237273629069734</v>
      </c>
      <c r="Q239" s="15">
        <f t="shared" si="323"/>
        <v>0.61895478304510654</v>
      </c>
      <c r="R239" s="15">
        <f t="shared" si="323"/>
        <v>0.61553682979951574</v>
      </c>
      <c r="S239" s="15">
        <f t="shared" si="323"/>
        <v>0.61211887655392494</v>
      </c>
      <c r="T239" s="15">
        <f t="shared" si="323"/>
        <v>0.60870092330833414</v>
      </c>
      <c r="U239" s="15">
        <f t="shared" si="323"/>
        <v>0.60528297006274334</v>
      </c>
      <c r="V239" s="15">
        <f t="shared" si="323"/>
        <v>0.60186501681715254</v>
      </c>
      <c r="W239" s="15">
        <f t="shared" si="323"/>
        <v>0.59844706357156174</v>
      </c>
      <c r="X239" s="15">
        <f t="shared" si="323"/>
        <v>0.59502911032597094</v>
      </c>
      <c r="Y239" s="15">
        <f t="shared" si="323"/>
        <v>0.59161115708038015</v>
      </c>
      <c r="Z239" s="15">
        <f t="shared" si="323"/>
        <v>0.58819320383478935</v>
      </c>
      <c r="AA239" s="15">
        <f t="shared" si="323"/>
        <v>0.58477525058919855</v>
      </c>
      <c r="AB239" s="15">
        <f t="shared" si="323"/>
        <v>0.58135729734360775</v>
      </c>
      <c r="AC239" s="15">
        <f t="shared" si="323"/>
        <v>0.57793934409801695</v>
      </c>
      <c r="AD239" s="15">
        <f t="shared" si="323"/>
        <v>0.57452139085242615</v>
      </c>
      <c r="AE239" s="15">
        <f t="shared" si="323"/>
        <v>0.57110343760683535</v>
      </c>
      <c r="AF239" s="15">
        <f t="shared" si="323"/>
        <v>0.56768548436124455</v>
      </c>
      <c r="AG239" s="15">
        <f t="shared" si="323"/>
        <v>0.56426753111565375</v>
      </c>
      <c r="AH239" s="15">
        <f t="shared" si="323"/>
        <v>0.56084957787006295</v>
      </c>
      <c r="AI239" s="15">
        <f t="shared" si="323"/>
        <v>0.55743162462447216</v>
      </c>
      <c r="AJ239" s="15">
        <f t="shared" si="323"/>
        <v>0.55401367137888136</v>
      </c>
      <c r="AK239" s="15">
        <f t="shared" si="323"/>
        <v>0.55059571813329056</v>
      </c>
      <c r="AL239" s="15">
        <f t="shared" si="323"/>
        <v>0.54717776488769976</v>
      </c>
      <c r="AM239" s="15">
        <f t="shared" si="323"/>
        <v>0.54375981164210896</v>
      </c>
      <c r="AN239" s="15">
        <f t="shared" si="323"/>
        <v>0.54034185839651816</v>
      </c>
      <c r="AO239" s="15">
        <f t="shared" si="323"/>
        <v>0.53692390515092736</v>
      </c>
      <c r="AP239" s="15">
        <f t="shared" si="323"/>
        <v>0.53350595190533656</v>
      </c>
      <c r="AQ239" s="15">
        <f t="shared" si="323"/>
        <v>0.53008799865974576</v>
      </c>
      <c r="AR239" s="15">
        <f t="shared" si="323"/>
        <v>0.52667004541415496</v>
      </c>
      <c r="AS239" s="15">
        <f t="shared" si="323"/>
        <v>0.52325209216856416</v>
      </c>
      <c r="AT239" s="15">
        <f t="shared" si="323"/>
        <v>0.51983413892297337</v>
      </c>
      <c r="AU239" s="15">
        <f t="shared" si="323"/>
        <v>0.51641618567738257</v>
      </c>
      <c r="AV239" s="15">
        <f t="shared" si="323"/>
        <v>0.51299823243179177</v>
      </c>
      <c r="AW239" s="15">
        <f t="shared" si="323"/>
        <v>0.50958027918620097</v>
      </c>
      <c r="AX239" s="15">
        <f t="shared" si="323"/>
        <v>0.50616232594061017</v>
      </c>
      <c r="AY239" s="15">
        <f t="shared" si="323"/>
        <v>0.50274437269501937</v>
      </c>
      <c r="AZ239" s="15">
        <f t="shared" si="323"/>
        <v>0.49932641944942863</v>
      </c>
      <c r="BA239" s="15">
        <f t="shared" si="323"/>
        <v>0.49590846620383788</v>
      </c>
      <c r="BB239" s="15">
        <f t="shared" si="323"/>
        <v>0.49249051295824714</v>
      </c>
      <c r="BC239" s="15">
        <f t="shared" si="323"/>
        <v>0.4890725597126564</v>
      </c>
      <c r="BD239" s="15">
        <f t="shared" si="323"/>
        <v>0.48565460646706565</v>
      </c>
      <c r="BE239" s="15">
        <f t="shared" si="323"/>
        <v>0.48223665322147491</v>
      </c>
      <c r="BF239" s="15">
        <f t="shared" si="323"/>
        <v>0.47881869997588417</v>
      </c>
      <c r="BG239" s="15">
        <f t="shared" si="323"/>
        <v>0.47540074673029342</v>
      </c>
      <c r="BH239" s="15">
        <f t="shared" si="323"/>
        <v>0.47198279348470268</v>
      </c>
      <c r="BI239" s="15">
        <f t="shared" si="323"/>
        <v>0.46856484023911193</v>
      </c>
      <c r="BJ239" s="15"/>
      <c r="BK239" s="15"/>
      <c r="BL239" s="15"/>
    </row>
    <row r="240" spans="1:64" hidden="1" outlineLevel="1" x14ac:dyDescent="0.3">
      <c r="A240" s="16">
        <f t="shared" si="324"/>
        <v>2.2332719768424743E-3</v>
      </c>
      <c r="C240" t="s">
        <v>89</v>
      </c>
      <c r="D240" s="3">
        <f t="shared" si="325"/>
        <v>0.11760586027701608</v>
      </c>
      <c r="E240" s="3">
        <f t="shared" si="325"/>
        <v>0.14050698547577412</v>
      </c>
      <c r="F240" s="3">
        <f t="shared" si="325"/>
        <v>0.14340891792893756</v>
      </c>
      <c r="G240" s="3">
        <f t="shared" si="325"/>
        <v>0.1533048477069279</v>
      </c>
      <c r="H240" s="3">
        <f t="shared" si="325"/>
        <v>0.14868346441626623</v>
      </c>
      <c r="I240" s="3">
        <f t="shared" si="325"/>
        <v>0.13246044801101806</v>
      </c>
      <c r="J240" s="3">
        <f t="shared" si="325"/>
        <v>0.12036058461383577</v>
      </c>
      <c r="K240" s="3">
        <f t="shared" si="325"/>
        <v>9.6098817593905886E-2</v>
      </c>
      <c r="L240" s="3">
        <f t="shared" si="325"/>
        <v>0.13011344104503264</v>
      </c>
      <c r="M240" s="3">
        <f t="shared" si="325"/>
        <v>0.12354590946643403</v>
      </c>
      <c r="N240" s="3">
        <f t="shared" si="325"/>
        <v>0.1421718520222833</v>
      </c>
      <c r="O240" s="15">
        <f t="shared" si="322"/>
        <v>0.14440512399912578</v>
      </c>
      <c r="P240" s="15">
        <f t="shared" si="323"/>
        <v>0.14663839597596826</v>
      </c>
      <c r="Q240" s="15">
        <f t="shared" si="323"/>
        <v>0.14887166795281073</v>
      </c>
      <c r="R240" s="15">
        <f t="shared" si="323"/>
        <v>0.15110493992965321</v>
      </c>
      <c r="S240" s="15">
        <f t="shared" si="323"/>
        <v>0.15333821190649569</v>
      </c>
      <c r="T240" s="15">
        <f t="shared" si="323"/>
        <v>0.15557148388333816</v>
      </c>
      <c r="U240" s="15">
        <f t="shared" si="323"/>
        <v>0.15780475586018064</v>
      </c>
      <c r="V240" s="15">
        <f t="shared" si="323"/>
        <v>0.16003802783702312</v>
      </c>
      <c r="W240" s="15">
        <f t="shared" si="323"/>
        <v>0.16227129981386559</v>
      </c>
      <c r="X240" s="15">
        <f t="shared" si="323"/>
        <v>0.16450457179070807</v>
      </c>
      <c r="Y240" s="15">
        <f t="shared" si="323"/>
        <v>0.16673784376755055</v>
      </c>
      <c r="Z240" s="15">
        <f t="shared" si="323"/>
        <v>0.16897111574439302</v>
      </c>
      <c r="AA240" s="15">
        <f t="shared" si="323"/>
        <v>0.1712043877212355</v>
      </c>
      <c r="AB240" s="15">
        <f t="shared" si="323"/>
        <v>0.17343765969807798</v>
      </c>
      <c r="AC240" s="15">
        <f t="shared" si="323"/>
        <v>0.17567093167492046</v>
      </c>
      <c r="AD240" s="15">
        <f t="shared" si="323"/>
        <v>0.17790420365176293</v>
      </c>
      <c r="AE240" s="15">
        <f t="shared" si="323"/>
        <v>0.18013747562860541</v>
      </c>
      <c r="AF240" s="15">
        <f t="shared" si="323"/>
        <v>0.18237074760544789</v>
      </c>
      <c r="AG240" s="15">
        <f t="shared" si="323"/>
        <v>0.18460401958229036</v>
      </c>
      <c r="AH240" s="15">
        <f t="shared" si="323"/>
        <v>0.18683729155913284</v>
      </c>
      <c r="AI240" s="15">
        <f t="shared" si="323"/>
        <v>0.18907056353597532</v>
      </c>
      <c r="AJ240" s="15">
        <f t="shared" si="323"/>
        <v>0.19130383551281779</v>
      </c>
      <c r="AK240" s="15">
        <f t="shared" si="323"/>
        <v>0.19353710748966027</v>
      </c>
      <c r="AL240" s="15">
        <f t="shared" si="323"/>
        <v>0.19577037946650275</v>
      </c>
      <c r="AM240" s="15">
        <f t="shared" si="323"/>
        <v>0.19800365144334522</v>
      </c>
      <c r="AN240" s="15">
        <f t="shared" si="323"/>
        <v>0.2002369234201877</v>
      </c>
      <c r="AO240" s="15">
        <f t="shared" si="323"/>
        <v>0.20247019539703018</v>
      </c>
      <c r="AP240" s="15">
        <f t="shared" si="323"/>
        <v>0.20470346737387266</v>
      </c>
      <c r="AQ240" s="15">
        <f t="shared" si="323"/>
        <v>0.20693673935071513</v>
      </c>
      <c r="AR240" s="15">
        <f t="shared" si="323"/>
        <v>0.20917001132755761</v>
      </c>
      <c r="AS240" s="15">
        <f t="shared" si="323"/>
        <v>0.21140328330440009</v>
      </c>
      <c r="AT240" s="15">
        <f t="shared" si="323"/>
        <v>0.21363655528124256</v>
      </c>
      <c r="AU240" s="15">
        <f t="shared" si="323"/>
        <v>0.21586982725808504</v>
      </c>
      <c r="AV240" s="15">
        <f t="shared" si="323"/>
        <v>0.21810309923492752</v>
      </c>
      <c r="AW240" s="15">
        <f t="shared" si="323"/>
        <v>0.22033637121176999</v>
      </c>
      <c r="AX240" s="15">
        <f t="shared" si="323"/>
        <v>0.22256964318861247</v>
      </c>
      <c r="AY240" s="15">
        <f t="shared" si="323"/>
        <v>0.22480291516545495</v>
      </c>
      <c r="AZ240" s="15">
        <f t="shared" si="323"/>
        <v>0.22703618714229742</v>
      </c>
      <c r="BA240" s="15">
        <f t="shared" si="323"/>
        <v>0.2292694591191399</v>
      </c>
      <c r="BB240" s="15">
        <f t="shared" si="323"/>
        <v>0.23150273109598238</v>
      </c>
      <c r="BC240" s="15">
        <f t="shared" si="323"/>
        <v>0.23373600307282485</v>
      </c>
      <c r="BD240" s="15">
        <f t="shared" si="323"/>
        <v>0.23596927504966733</v>
      </c>
      <c r="BE240" s="15">
        <f t="shared" si="323"/>
        <v>0.23820254702650981</v>
      </c>
      <c r="BF240" s="15">
        <f t="shared" si="323"/>
        <v>0.24043581900335229</v>
      </c>
      <c r="BG240" s="15">
        <f t="shared" si="323"/>
        <v>0.24266909098019476</v>
      </c>
      <c r="BH240" s="15">
        <f t="shared" si="323"/>
        <v>0.24490236295703724</v>
      </c>
      <c r="BI240" s="15">
        <f t="shared" si="323"/>
        <v>0.24713563493387972</v>
      </c>
      <c r="BJ240" s="15"/>
      <c r="BK240" s="15"/>
      <c r="BL240" s="15"/>
    </row>
    <row r="241" spans="1:64" hidden="1" outlineLevel="1" x14ac:dyDescent="0.3">
      <c r="A241" s="16">
        <f t="shared" si="324"/>
        <v>6.9101530261253552E-4</v>
      </c>
      <c r="C241" t="s">
        <v>91</v>
      </c>
      <c r="D241" s="3">
        <f t="shared" si="325"/>
        <v>1.1848281463930839E-2</v>
      </c>
      <c r="E241" s="3">
        <f t="shared" si="325"/>
        <v>1.2288454736132208E-2</v>
      </c>
      <c r="F241" s="3">
        <f t="shared" si="325"/>
        <v>1.2337518849228771E-2</v>
      </c>
      <c r="G241" s="3">
        <f t="shared" si="325"/>
        <v>1.0432886045210364E-2</v>
      </c>
      <c r="H241" s="3">
        <f t="shared" si="325"/>
        <v>1.3335604415049598E-2</v>
      </c>
      <c r="I241" s="3">
        <f t="shared" si="325"/>
        <v>1.336823428054997E-2</v>
      </c>
      <c r="J241" s="3">
        <f t="shared" si="325"/>
        <v>1.4217022806840427E-2</v>
      </c>
      <c r="K241" s="3">
        <f t="shared" si="325"/>
        <v>4.525498864311652E-3</v>
      </c>
      <c r="L241" s="3">
        <f t="shared" si="325"/>
        <v>1.4437951185974577E-2</v>
      </c>
      <c r="M241" s="3">
        <f t="shared" si="325"/>
        <v>1.9727988983008846E-2</v>
      </c>
      <c r="N241" s="3">
        <f t="shared" si="325"/>
        <v>1.944944979266873E-2</v>
      </c>
      <c r="O241" s="15">
        <f t="shared" si="322"/>
        <v>2.0140465095281265E-2</v>
      </c>
      <c r="P241" s="15">
        <f t="shared" si="323"/>
        <v>2.0831480397893801E-2</v>
      </c>
      <c r="Q241" s="15">
        <f t="shared" si="323"/>
        <v>2.1522495700506336E-2</v>
      </c>
      <c r="R241" s="15">
        <f t="shared" si="323"/>
        <v>2.2213511003118872E-2</v>
      </c>
      <c r="S241" s="15">
        <f t="shared" si="323"/>
        <v>2.2904526305731407E-2</v>
      </c>
      <c r="T241" s="15">
        <f t="shared" si="323"/>
        <v>2.3595541608343942E-2</v>
      </c>
      <c r="U241" s="15">
        <f t="shared" si="323"/>
        <v>2.4286556910956478E-2</v>
      </c>
      <c r="V241" s="15">
        <f t="shared" si="323"/>
        <v>2.4977572213569013E-2</v>
      </c>
      <c r="W241" s="15">
        <f t="shared" si="323"/>
        <v>2.5668587516181549E-2</v>
      </c>
      <c r="X241" s="15">
        <f t="shared" si="323"/>
        <v>2.6359602818794084E-2</v>
      </c>
      <c r="Y241" s="15">
        <f t="shared" si="323"/>
        <v>2.7050618121406619E-2</v>
      </c>
      <c r="Z241" s="15">
        <f t="shared" si="323"/>
        <v>2.7741633424019155E-2</v>
      </c>
      <c r="AA241" s="15">
        <f t="shared" si="323"/>
        <v>2.843264872663169E-2</v>
      </c>
      <c r="AB241" s="15">
        <f t="shared" si="323"/>
        <v>2.9123664029244226E-2</v>
      </c>
      <c r="AC241" s="15">
        <f t="shared" si="323"/>
        <v>2.9814679331856761E-2</v>
      </c>
      <c r="AD241" s="15">
        <f t="shared" si="323"/>
        <v>3.0505694634469296E-2</v>
      </c>
      <c r="AE241" s="15">
        <f t="shared" si="323"/>
        <v>3.1196709937081832E-2</v>
      </c>
      <c r="AF241" s="15">
        <f t="shared" si="323"/>
        <v>3.1887725239694367E-2</v>
      </c>
      <c r="AG241" s="15">
        <f t="shared" si="323"/>
        <v>3.2578740542306903E-2</v>
      </c>
      <c r="AH241" s="15">
        <f t="shared" si="323"/>
        <v>3.3269755844919438E-2</v>
      </c>
      <c r="AI241" s="15">
        <f t="shared" si="323"/>
        <v>3.3960771147531973E-2</v>
      </c>
      <c r="AJ241" s="15">
        <f t="shared" si="323"/>
        <v>3.4651786450144509E-2</v>
      </c>
      <c r="AK241" s="15">
        <f t="shared" si="323"/>
        <v>3.5342801752757044E-2</v>
      </c>
      <c r="AL241" s="15">
        <f t="shared" si="323"/>
        <v>3.603381705536958E-2</v>
      </c>
      <c r="AM241" s="15">
        <f t="shared" si="323"/>
        <v>3.6724832357982115E-2</v>
      </c>
      <c r="AN241" s="15">
        <f t="shared" si="323"/>
        <v>3.7415847660594651E-2</v>
      </c>
      <c r="AO241" s="15">
        <f t="shared" si="323"/>
        <v>3.8106862963207186E-2</v>
      </c>
      <c r="AP241" s="15">
        <f t="shared" si="323"/>
        <v>3.8797878265819721E-2</v>
      </c>
      <c r="AQ241" s="15">
        <f t="shared" si="323"/>
        <v>3.9488893568432257E-2</v>
      </c>
      <c r="AR241" s="15">
        <f t="shared" si="323"/>
        <v>4.0179908871044792E-2</v>
      </c>
      <c r="AS241" s="15">
        <f t="shared" si="323"/>
        <v>4.0870924173657328E-2</v>
      </c>
      <c r="AT241" s="15">
        <f t="shared" si="323"/>
        <v>4.1561939476269863E-2</v>
      </c>
      <c r="AU241" s="15">
        <f t="shared" si="323"/>
        <v>4.2252954778882398E-2</v>
      </c>
      <c r="AV241" s="15">
        <f t="shared" si="323"/>
        <v>4.2943970081494934E-2</v>
      </c>
      <c r="AW241" s="15">
        <f t="shared" si="323"/>
        <v>4.3634985384107469E-2</v>
      </c>
      <c r="AX241" s="15">
        <f t="shared" si="323"/>
        <v>4.4326000686720005E-2</v>
      </c>
      <c r="AY241" s="15">
        <f t="shared" si="323"/>
        <v>4.501701598933254E-2</v>
      </c>
      <c r="AZ241" s="15">
        <f t="shared" si="323"/>
        <v>4.5708031291945075E-2</v>
      </c>
      <c r="BA241" s="15">
        <f t="shared" si="323"/>
        <v>4.6399046594557611E-2</v>
      </c>
      <c r="BB241" s="15">
        <f t="shared" si="323"/>
        <v>4.7090061897170146E-2</v>
      </c>
      <c r="BC241" s="15">
        <f t="shared" si="323"/>
        <v>4.7781077199782682E-2</v>
      </c>
      <c r="BD241" s="15">
        <f t="shared" si="323"/>
        <v>4.8472092502395217E-2</v>
      </c>
      <c r="BE241" s="15">
        <f t="shared" si="323"/>
        <v>4.9163107805007752E-2</v>
      </c>
      <c r="BF241" s="15">
        <f t="shared" si="323"/>
        <v>4.9854123107620288E-2</v>
      </c>
      <c r="BG241" s="15">
        <f t="shared" si="323"/>
        <v>5.0545138410232823E-2</v>
      </c>
      <c r="BH241" s="15">
        <f t="shared" si="323"/>
        <v>5.1236153712845359E-2</v>
      </c>
      <c r="BI241" s="15">
        <f t="shared" si="323"/>
        <v>5.1927169015457894E-2</v>
      </c>
      <c r="BJ241" s="15"/>
      <c r="BK241" s="15"/>
      <c r="BL241" s="15"/>
    </row>
    <row r="242" spans="1:64" hidden="1" outlineLevel="1" x14ac:dyDescent="0.3"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</row>
    <row r="243" spans="1:64" hidden="1" outlineLevel="1" x14ac:dyDescent="0.3">
      <c r="C243" t="s">
        <v>83</v>
      </c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15">
        <f>IF(O237&gt;0,O237*O$166,0)</f>
        <v>8.2008961115254415</v>
      </c>
      <c r="P243" s="15">
        <f t="shared" ref="P243:BI247" si="326">IF(P237&gt;0,P237*P$166,0)</f>
        <v>8.1194739235228859</v>
      </c>
      <c r="Q243" s="15">
        <f t="shared" si="326"/>
        <v>8.0368114471229486</v>
      </c>
      <c r="R243" s="15">
        <f t="shared" si="326"/>
        <v>7.9529999731374525</v>
      </c>
      <c r="S243" s="15">
        <f t="shared" si="326"/>
        <v>7.8681754627924034</v>
      </c>
      <c r="T243" s="15">
        <f t="shared" si="326"/>
        <v>7.7825075586212495</v>
      </c>
      <c r="U243" s="15">
        <f t="shared" si="326"/>
        <v>7.6961697478331779</v>
      </c>
      <c r="V243" s="15">
        <f t="shared" si="326"/>
        <v>7.6093256966526051</v>
      </c>
      <c r="W243" s="15">
        <f t="shared" si="326"/>
        <v>7.5221224921404612</v>
      </c>
      <c r="X243" s="15">
        <f t="shared" si="326"/>
        <v>7.4346944458260564</v>
      </c>
      <c r="Y243" s="15">
        <f t="shared" si="326"/>
        <v>7.3471596857965702</v>
      </c>
      <c r="Z243" s="15">
        <f t="shared" si="326"/>
        <v>7.2596122108286121</v>
      </c>
      <c r="AA243" s="15">
        <f t="shared" si="326"/>
        <v>7.1721160489161351</v>
      </c>
      <c r="AB243" s="15">
        <f t="shared" si="326"/>
        <v>7.0847057949239609</v>
      </c>
      <c r="AC243" s="15">
        <f t="shared" si="326"/>
        <v>6.9973949603663188</v>
      </c>
      <c r="AD243" s="15">
        <f t="shared" si="326"/>
        <v>6.9101915640559577</v>
      </c>
      <c r="AE243" s="15">
        <f t="shared" si="326"/>
        <v>6.8231114188683692</v>
      </c>
      <c r="AF243" s="15">
        <f t="shared" si="326"/>
        <v>6.7361908606462322</v>
      </c>
      <c r="AG243" s="15">
        <f t="shared" si="326"/>
        <v>6.6494866698504289</v>
      </c>
      <c r="AH243" s="15">
        <f t="shared" si="326"/>
        <v>6.5630697768256967</v>
      </c>
      <c r="AI243" s="15">
        <f t="shared" si="326"/>
        <v>6.4770170396152524</v>
      </c>
      <c r="AJ243" s="15">
        <f t="shared" si="326"/>
        <v>6.3914064550615404</v>
      </c>
      <c r="AK243" s="15">
        <f t="shared" si="326"/>
        <v>6.3063122227629682</v>
      </c>
      <c r="AL243" s="15">
        <f t="shared" si="326"/>
        <v>6.2218039018896647</v>
      </c>
      <c r="AM243" s="15">
        <f t="shared" si="326"/>
        <v>6.1379403008191575</v>
      </c>
      <c r="AN243" s="15">
        <f t="shared" si="326"/>
        <v>6.0547680066863538</v>
      </c>
      <c r="AO243" s="15">
        <f t="shared" si="326"/>
        <v>5.9723197385722875</v>
      </c>
      <c r="AP243" s="15">
        <f t="shared" si="326"/>
        <v>5.8906177191927993</v>
      </c>
      <c r="AQ243" s="15">
        <f t="shared" si="326"/>
        <v>5.8096736005248051</v>
      </c>
      <c r="AR243" s="15">
        <f t="shared" si="326"/>
        <v>5.7294912269565597</v>
      </c>
      <c r="AS243" s="15">
        <f t="shared" si="326"/>
        <v>5.6500712593290672</v>
      </c>
      <c r="AT243" s="15">
        <f t="shared" si="326"/>
        <v>5.5714183717285302</v>
      </c>
      <c r="AU243" s="15">
        <f t="shared" si="326"/>
        <v>5.4935457574430995</v>
      </c>
      <c r="AV243" s="15">
        <f t="shared" si="326"/>
        <v>5.4164753809268467</v>
      </c>
      <c r="AW243" s="15">
        <f t="shared" si="326"/>
        <v>5.3402348536680027</v>
      </c>
      <c r="AX243" s="15">
        <f t="shared" si="326"/>
        <v>5.2648532702361051</v>
      </c>
      <c r="AY243" s="15">
        <f t="shared" si="326"/>
        <v>5.1903588853665505</v>
      </c>
      <c r="AZ243" s="15">
        <f t="shared" si="326"/>
        <v>5.1167780767702267</v>
      </c>
      <c r="BA243" s="15">
        <f t="shared" si="326"/>
        <v>5.0441333345139423</v>
      </c>
      <c r="BB243" s="15">
        <f t="shared" si="326"/>
        <v>4.9724425129293675</v>
      </c>
      <c r="BC243" s="15">
        <f t="shared" si="326"/>
        <v>4.9017170106660783</v>
      </c>
      <c r="BD243" s="15">
        <f t="shared" si="326"/>
        <v>4.8319620879057021</v>
      </c>
      <c r="BE243" s="15">
        <f t="shared" si="326"/>
        <v>4.7631770867933545</v>
      </c>
      <c r="BF243" s="15">
        <f t="shared" si="326"/>
        <v>4.6953570362965369</v>
      </c>
      <c r="BG243" s="15">
        <f t="shared" si="326"/>
        <v>4.6284943771073932</v>
      </c>
      <c r="BH243" s="15">
        <f t="shared" si="326"/>
        <v>4.5625809836123157</v>
      </c>
      <c r="BI243" s="15">
        <f t="shared" si="326"/>
        <v>4.4976103512487429</v>
      </c>
    </row>
    <row r="244" spans="1:64" hidden="1" outlineLevel="1" x14ac:dyDescent="0.3">
      <c r="C244" t="s">
        <v>84</v>
      </c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15">
        <f t="shared" ref="O244:AD247" si="327">IF(O238&gt;0,O238*O$166,0)</f>
        <v>4.2309549147726688</v>
      </c>
      <c r="P244" s="15">
        <f t="shared" si="327"/>
        <v>4.2500458568399075</v>
      </c>
      <c r="Q244" s="15">
        <f t="shared" si="327"/>
        <v>4.2675685565802297</v>
      </c>
      <c r="R244" s="15">
        <f t="shared" si="327"/>
        <v>4.2835367502517796</v>
      </c>
      <c r="S244" s="15">
        <f t="shared" si="327"/>
        <v>4.2979909946249553</v>
      </c>
      <c r="T244" s="15">
        <f t="shared" si="327"/>
        <v>4.3109943277635665</v>
      </c>
      <c r="U244" s="15">
        <f t="shared" si="327"/>
        <v>4.3226168622990713</v>
      </c>
      <c r="V244" s="15">
        <f t="shared" si="327"/>
        <v>4.3329282181483677</v>
      </c>
      <c r="W244" s="15">
        <f t="shared" si="327"/>
        <v>4.341993305767752</v>
      </c>
      <c r="X244" s="15">
        <f t="shared" si="327"/>
        <v>4.3498739656254788</v>
      </c>
      <c r="Y244" s="15">
        <f t="shared" si="327"/>
        <v>4.3566265021508146</v>
      </c>
      <c r="Z244" s="15">
        <f t="shared" si="327"/>
        <v>4.362296321498869</v>
      </c>
      <c r="AA244" s="15">
        <f t="shared" si="327"/>
        <v>4.3669134609967273</v>
      </c>
      <c r="AB244" s="15">
        <f t="shared" si="327"/>
        <v>4.3704917580850484</v>
      </c>
      <c r="AC244" s="15">
        <f t="shared" si="327"/>
        <v>4.3730329086647624</v>
      </c>
      <c r="AD244" s="15">
        <f t="shared" si="327"/>
        <v>4.3745354965178551</v>
      </c>
      <c r="AE244" s="15">
        <f t="shared" si="326"/>
        <v>4.3750032940013295</v>
      </c>
      <c r="AF244" s="15">
        <f t="shared" si="326"/>
        <v>4.3744538499911583</v>
      </c>
      <c r="AG244" s="15">
        <f t="shared" si="326"/>
        <v>4.3729192896943569</v>
      </c>
      <c r="AH244" s="15">
        <f t="shared" si="326"/>
        <v>4.3704429849379718</v>
      </c>
      <c r="AI244" s="15">
        <f t="shared" si="326"/>
        <v>4.3670746245504102</v>
      </c>
      <c r="AJ244" s="15">
        <f t="shared" si="326"/>
        <v>4.3628672254100298</v>
      </c>
      <c r="AK244" s="15">
        <f t="shared" si="326"/>
        <v>4.3578738045310672</v>
      </c>
      <c r="AL244" s="15">
        <f t="shared" si="326"/>
        <v>4.3521466647594504</v>
      </c>
      <c r="AM244" s="15">
        <f t="shared" si="326"/>
        <v>4.3457329061103662</v>
      </c>
      <c r="AN244" s="15">
        <f t="shared" si="326"/>
        <v>4.3386729454114752</v>
      </c>
      <c r="AO244" s="15">
        <f t="shared" si="326"/>
        <v>4.3309988249842712</v>
      </c>
      <c r="AP244" s="15">
        <f t="shared" si="326"/>
        <v>4.3227361102208297</v>
      </c>
      <c r="AQ244" s="15">
        <f t="shared" si="326"/>
        <v>4.3139033947210699</v>
      </c>
      <c r="AR244" s="15">
        <f t="shared" si="326"/>
        <v>4.3045139259230885</v>
      </c>
      <c r="AS244" s="15">
        <f t="shared" si="326"/>
        <v>4.2945787835046181</v>
      </c>
      <c r="AT244" s="15">
        <f t="shared" si="326"/>
        <v>4.2841122759759633</v>
      </c>
      <c r="AU244" s="15">
        <f t="shared" si="326"/>
        <v>4.2731356262736053</v>
      </c>
      <c r="AV244" s="15">
        <f t="shared" si="326"/>
        <v>4.2616775554312341</v>
      </c>
      <c r="AW244" s="15">
        <f t="shared" si="326"/>
        <v>4.2497721997425</v>
      </c>
      <c r="AX244" s="15">
        <f t="shared" si="326"/>
        <v>4.2374560281958935</v>
      </c>
      <c r="AY244" s="15">
        <f t="shared" si="326"/>
        <v>4.2247660355470167</v>
      </c>
      <c r="AZ244" s="15">
        <f t="shared" si="326"/>
        <v>4.2117388674914125</v>
      </c>
      <c r="BA244" s="15">
        <f t="shared" si="326"/>
        <v>4.1984090779269403</v>
      </c>
      <c r="BB244" s="15">
        <f t="shared" si="326"/>
        <v>4.1848083357891106</v>
      </c>
      <c r="BC244" s="15">
        <f t="shared" si="326"/>
        <v>4.1709636751527208</v>
      </c>
      <c r="BD244" s="15">
        <f t="shared" si="326"/>
        <v>4.1568974780573305</v>
      </c>
      <c r="BE244" s="15">
        <f t="shared" si="326"/>
        <v>4.142627386030207</v>
      </c>
      <c r="BF244" s="15">
        <f t="shared" si="326"/>
        <v>4.1281674364287655</v>
      </c>
      <c r="BG244" s="15">
        <f t="shared" si="326"/>
        <v>4.1135293924850602</v>
      </c>
      <c r="BH244" s="15">
        <f t="shared" si="326"/>
        <v>4.0987244359319925</v>
      </c>
      <c r="BI244" s="15">
        <f t="shared" si="326"/>
        <v>4.0837651246919826</v>
      </c>
    </row>
    <row r="245" spans="1:64" hidden="1" outlineLevel="1" x14ac:dyDescent="0.3">
      <c r="C245" t="s">
        <v>87</v>
      </c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15">
        <f t="shared" si="327"/>
        <v>37.105783371345225</v>
      </c>
      <c r="P245" s="15">
        <f t="shared" si="326"/>
        <v>36.631840402633557</v>
      </c>
      <c r="Q245" s="15">
        <f t="shared" si="326"/>
        <v>36.153889270107264</v>
      </c>
      <c r="R245" s="15">
        <f t="shared" si="326"/>
        <v>35.67240065753402</v>
      </c>
      <c r="S245" s="15">
        <f t="shared" si="326"/>
        <v>35.188040844545846</v>
      </c>
      <c r="T245" s="15">
        <f t="shared" si="326"/>
        <v>34.701619687511396</v>
      </c>
      <c r="U245" s="15">
        <f t="shared" si="326"/>
        <v>34.213955644168799</v>
      </c>
      <c r="V245" s="15">
        <f t="shared" si="326"/>
        <v>33.725814834993166</v>
      </c>
      <c r="W245" s="15">
        <f t="shared" si="326"/>
        <v>33.237881726321191</v>
      </c>
      <c r="X245" s="15">
        <f t="shared" si="326"/>
        <v>32.750776897998094</v>
      </c>
      <c r="Y245" s="15">
        <f t="shared" si="326"/>
        <v>32.26504284670218</v>
      </c>
      <c r="Z245" s="15">
        <f t="shared" si="326"/>
        <v>31.781110215506555</v>
      </c>
      <c r="AA245" s="15">
        <f t="shared" si="326"/>
        <v>31.299273880119532</v>
      </c>
      <c r="AB245" s="15">
        <f t="shared" si="326"/>
        <v>30.819697296269531</v>
      </c>
      <c r="AC245" s="15">
        <f t="shared" si="326"/>
        <v>30.34245070996695</v>
      </c>
      <c r="AD245" s="15">
        <f t="shared" si="326"/>
        <v>29.867579995775145</v>
      </c>
      <c r="AE245" s="15">
        <f t="shared" si="326"/>
        <v>29.395164276528035</v>
      </c>
      <c r="AF245" s="15">
        <f t="shared" si="326"/>
        <v>28.925370025602692</v>
      </c>
      <c r="AG245" s="15">
        <f t="shared" si="326"/>
        <v>28.458449261005459</v>
      </c>
      <c r="AH245" s="15">
        <f t="shared" si="326"/>
        <v>27.99471120615225</v>
      </c>
      <c r="AI245" s="15">
        <f t="shared" si="326"/>
        <v>27.5344862756561</v>
      </c>
      <c r="AJ245" s="15">
        <f t="shared" si="326"/>
        <v>27.078105302765049</v>
      </c>
      <c r="AK245" s="15">
        <f t="shared" si="326"/>
        <v>26.625878555421853</v>
      </c>
      <c r="AL245" s="15">
        <f t="shared" si="326"/>
        <v>26.178092403642861</v>
      </c>
      <c r="AM245" s="15">
        <f t="shared" si="326"/>
        <v>25.734983980775578</v>
      </c>
      <c r="AN245" s="15">
        <f t="shared" si="326"/>
        <v>25.296735777015055</v>
      </c>
      <c r="AO245" s="15">
        <f t="shared" si="326"/>
        <v>24.863469642199835</v>
      </c>
      <c r="AP245" s="15">
        <f t="shared" si="326"/>
        <v>24.435261768297849</v>
      </c>
      <c r="AQ245" s="15">
        <f t="shared" si="326"/>
        <v>24.012143141438006</v>
      </c>
      <c r="AR245" s="15">
        <f t="shared" si="326"/>
        <v>23.594111698439978</v>
      </c>
      <c r="AS245" s="15">
        <f t="shared" si="326"/>
        <v>23.181151879285853</v>
      </c>
      <c r="AT245" s="15">
        <f t="shared" si="326"/>
        <v>22.773264281371812</v>
      </c>
      <c r="AU245" s="15">
        <f t="shared" si="326"/>
        <v>22.370483696336471</v>
      </c>
      <c r="AV245" s="15">
        <f t="shared" si="326"/>
        <v>21.972879466413371</v>
      </c>
      <c r="AW245" s="15">
        <f t="shared" si="326"/>
        <v>21.580542162679251</v>
      </c>
      <c r="AX245" s="15">
        <f t="shared" si="326"/>
        <v>21.19356635877735</v>
      </c>
      <c r="AY245" s="15">
        <f t="shared" si="326"/>
        <v>20.812041171778741</v>
      </c>
      <c r="AZ245" s="15">
        <f t="shared" si="326"/>
        <v>20.436046156151793</v>
      </c>
      <c r="BA245" s="15">
        <f t="shared" si="326"/>
        <v>20.065643425070146</v>
      </c>
      <c r="BB245" s="15">
        <f t="shared" si="326"/>
        <v>19.700874969019424</v>
      </c>
      <c r="BC245" s="15">
        <f t="shared" si="326"/>
        <v>19.341755822117175</v>
      </c>
      <c r="BD245" s="15">
        <f t="shared" si="326"/>
        <v>18.988275809744827</v>
      </c>
      <c r="BE245" s="15">
        <f t="shared" si="326"/>
        <v>18.640400895192627</v>
      </c>
      <c r="BF245" s="15">
        <f t="shared" si="326"/>
        <v>18.298079908322411</v>
      </c>
      <c r="BG245" s="15">
        <f t="shared" si="326"/>
        <v>17.961251589759602</v>
      </c>
      <c r="BH245" s="15">
        <f t="shared" si="326"/>
        <v>17.629852617616859</v>
      </c>
      <c r="BI245" s="15">
        <f t="shared" si="326"/>
        <v>17.303826072051923</v>
      </c>
    </row>
    <row r="246" spans="1:64" hidden="1" outlineLevel="1" x14ac:dyDescent="0.3">
      <c r="C246" t="s">
        <v>89</v>
      </c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15">
        <f t="shared" si="327"/>
        <v>8.5623920879907782</v>
      </c>
      <c r="P246" s="15">
        <f t="shared" si="326"/>
        <v>8.6308959327242665</v>
      </c>
      <c r="Q246" s="15">
        <f t="shared" si="326"/>
        <v>8.6957722051076871</v>
      </c>
      <c r="R246" s="15">
        <f t="shared" si="326"/>
        <v>8.7570323944041597</v>
      </c>
      <c r="S246" s="15">
        <f t="shared" si="326"/>
        <v>8.8147441130580155</v>
      </c>
      <c r="T246" s="15">
        <f t="shared" si="326"/>
        <v>8.8690229654979298</v>
      </c>
      <c r="U246" s="15">
        <f t="shared" si="326"/>
        <v>8.9200013621388283</v>
      </c>
      <c r="V246" s="15">
        <f t="shared" si="326"/>
        <v>8.9678129523661383</v>
      </c>
      <c r="W246" s="15">
        <f t="shared" si="326"/>
        <v>9.0125837339741821</v>
      </c>
      <c r="X246" s="15">
        <f t="shared" si="326"/>
        <v>9.054435213206137</v>
      </c>
      <c r="Y246" s="15">
        <f t="shared" si="326"/>
        <v>9.0934790680355899</v>
      </c>
      <c r="Z246" s="15">
        <f t="shared" si="326"/>
        <v>9.1298056789823274</v>
      </c>
      <c r="AA246" s="15">
        <f t="shared" si="326"/>
        <v>9.1634743696249412</v>
      </c>
      <c r="AB246" s="15">
        <f t="shared" si="326"/>
        <v>9.1945111828687747</v>
      </c>
      <c r="AC246" s="15">
        <f t="shared" si="326"/>
        <v>9.2229169720901432</v>
      </c>
      <c r="AD246" s="15">
        <f t="shared" si="326"/>
        <v>9.2486861564368912</v>
      </c>
      <c r="AE246" s="15">
        <f t="shared" si="326"/>
        <v>9.2718242261873307</v>
      </c>
      <c r="AF246" s="15">
        <f t="shared" si="326"/>
        <v>9.2923661105566691</v>
      </c>
      <c r="AG246" s="15">
        <f t="shared" si="326"/>
        <v>9.3103782070768979</v>
      </c>
      <c r="AH246" s="15">
        <f t="shared" si="326"/>
        <v>9.3259516029258336</v>
      </c>
      <c r="AI246" s="15">
        <f t="shared" si="326"/>
        <v>9.3391917624318559</v>
      </c>
      <c r="AJ246" s="15">
        <f t="shared" si="326"/>
        <v>9.3502122248104289</v>
      </c>
      <c r="AK246" s="15">
        <f t="shared" si="326"/>
        <v>9.3591274873297081</v>
      </c>
      <c r="AL246" s="15">
        <f t="shared" si="326"/>
        <v>9.3660514232009149</v>
      </c>
      <c r="AM246" s="15">
        <f t="shared" si="326"/>
        <v>9.3710875444090167</v>
      </c>
      <c r="AN246" s="15">
        <f t="shared" si="326"/>
        <v>9.3743256530124235</v>
      </c>
      <c r="AO246" s="15">
        <f t="shared" si="326"/>
        <v>9.3758380068573377</v>
      </c>
      <c r="AP246" s="15">
        <f t="shared" si="326"/>
        <v>9.3756832370753589</v>
      </c>
      <c r="AQ246" s="15">
        <f t="shared" si="326"/>
        <v>9.3739051234422117</v>
      </c>
      <c r="AR246" s="15">
        <f t="shared" si="326"/>
        <v>9.370535982059689</v>
      </c>
      <c r="AS246" s="15">
        <f t="shared" si="326"/>
        <v>9.3656034852131818</v>
      </c>
      <c r="AT246" s="15">
        <f t="shared" si="326"/>
        <v>9.3591424058098251</v>
      </c>
      <c r="AU246" s="15">
        <f t="shared" si="326"/>
        <v>9.3512027413966887</v>
      </c>
      <c r="AV246" s="15">
        <f t="shared" si="326"/>
        <v>9.3418511171526273</v>
      </c>
      <c r="AW246" s="15">
        <f t="shared" si="326"/>
        <v>9.3311663404656144</v>
      </c>
      <c r="AX246" s="15">
        <f t="shared" si="326"/>
        <v>9.3192327058350113</v>
      </c>
      <c r="AY246" s="15">
        <f t="shared" si="326"/>
        <v>9.3061360406266012</v>
      </c>
      <c r="AZ246" s="15">
        <f t="shared" si="326"/>
        <v>9.2919617685613236</v>
      </c>
      <c r="BA246" s="15">
        <f t="shared" si="326"/>
        <v>9.2767910379904599</v>
      </c>
      <c r="BB246" s="15">
        <f t="shared" si="326"/>
        <v>9.260698917656379</v>
      </c>
      <c r="BC246" s="15">
        <f t="shared" si="326"/>
        <v>9.2437504588855717</v>
      </c>
      <c r="BD246" s="15">
        <f t="shared" si="326"/>
        <v>9.2260005724304275</v>
      </c>
      <c r="BE246" s="15">
        <f t="shared" si="326"/>
        <v>9.2074937505650123</v>
      </c>
      <c r="BF246" s="15">
        <f t="shared" si="326"/>
        <v>9.1882665175104208</v>
      </c>
      <c r="BG246" s="15">
        <f t="shared" si="326"/>
        <v>9.1683503362822965</v>
      </c>
      <c r="BH246" s="15">
        <f t="shared" si="326"/>
        <v>9.1477753516423768</v>
      </c>
      <c r="BI246" s="15">
        <f t="shared" si="326"/>
        <v>9.1265747573371083</v>
      </c>
    </row>
    <row r="247" spans="1:64" hidden="1" outlineLevel="1" x14ac:dyDescent="0.3">
      <c r="C247" t="s">
        <v>91</v>
      </c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15">
        <f t="shared" si="327"/>
        <v>1.194213572236777</v>
      </c>
      <c r="P247" s="15">
        <f t="shared" si="326"/>
        <v>1.2261068340400585</v>
      </c>
      <c r="Q247" s="15">
        <f t="shared" si="326"/>
        <v>1.25715471903181</v>
      </c>
      <c r="R247" s="15">
        <f t="shared" si="326"/>
        <v>1.2873466316741591</v>
      </c>
      <c r="S247" s="15">
        <f t="shared" si="326"/>
        <v>1.3166811840674375</v>
      </c>
      <c r="T247" s="15">
        <f t="shared" si="326"/>
        <v>1.3451655482356513</v>
      </c>
      <c r="U247" s="15">
        <f t="shared" si="326"/>
        <v>1.372811101582639</v>
      </c>
      <c r="V247" s="15">
        <f t="shared" si="326"/>
        <v>1.3996310667087966</v>
      </c>
      <c r="W247" s="15">
        <f t="shared" si="326"/>
        <v>1.4256390044807123</v>
      </c>
      <c r="X247" s="15">
        <f t="shared" si="326"/>
        <v>1.4508491367174154</v>
      </c>
      <c r="Y247" s="15">
        <f t="shared" si="326"/>
        <v>1.4752753430550671</v>
      </c>
      <c r="Z247" s="15">
        <f t="shared" si="326"/>
        <v>1.4989290995864215</v>
      </c>
      <c r="AA247" s="15">
        <f t="shared" si="326"/>
        <v>1.5218175850216378</v>
      </c>
      <c r="AB247" s="15">
        <f t="shared" si="326"/>
        <v>1.5439429652657299</v>
      </c>
      <c r="AC247" s="15">
        <f t="shared" si="326"/>
        <v>1.5653034307124587</v>
      </c>
      <c r="AD247" s="15">
        <f t="shared" si="326"/>
        <v>1.5858961725860912</v>
      </c>
      <c r="AE247" s="15">
        <f t="shared" si="326"/>
        <v>1.6057203530948232</v>
      </c>
      <c r="AF247" s="15">
        <f t="shared" si="326"/>
        <v>1.6247804061270781</v>
      </c>
      <c r="AG247" s="15">
        <f t="shared" si="326"/>
        <v>1.6430866275037777</v>
      </c>
      <c r="AH247" s="15">
        <f t="shared" si="326"/>
        <v>1.6606541994999877</v>
      </c>
      <c r="AI247" s="15">
        <f t="shared" si="326"/>
        <v>1.6775015011076297</v>
      </c>
      <c r="AJ247" s="15">
        <f t="shared" si="326"/>
        <v>1.6936490395455386</v>
      </c>
      <c r="AK247" s="15">
        <f t="shared" si="326"/>
        <v>1.7091181719823152</v>
      </c>
      <c r="AL247" s="15">
        <f t="shared" si="326"/>
        <v>1.7239307827594652</v>
      </c>
      <c r="AM247" s="15">
        <f t="shared" si="326"/>
        <v>1.7381074367654654</v>
      </c>
      <c r="AN247" s="15">
        <f t="shared" si="326"/>
        <v>1.7516666485026264</v>
      </c>
      <c r="AO247" s="15">
        <f t="shared" si="326"/>
        <v>1.7646240395626287</v>
      </c>
      <c r="AP247" s="15">
        <f t="shared" si="326"/>
        <v>1.7769929428042723</v>
      </c>
      <c r="AQ247" s="15">
        <f t="shared" si="326"/>
        <v>1.7887840646451747</v>
      </c>
      <c r="AR247" s="15">
        <f t="shared" si="326"/>
        <v>1.8000060307038892</v>
      </c>
      <c r="AS247" s="15">
        <f t="shared" si="326"/>
        <v>1.8106666268447766</v>
      </c>
      <c r="AT247" s="15">
        <f t="shared" si="326"/>
        <v>1.8207750527899085</v>
      </c>
      <c r="AU247" s="15">
        <f t="shared" si="326"/>
        <v>1.8303435527745668</v>
      </c>
      <c r="AV247" s="15">
        <f t="shared" si="326"/>
        <v>1.8393877771019642</v>
      </c>
      <c r="AW247" s="15">
        <f t="shared" si="326"/>
        <v>1.847925989901855</v>
      </c>
      <c r="AX247" s="15">
        <f t="shared" si="326"/>
        <v>1.8559777937393092</v>
      </c>
      <c r="AY247" s="15">
        <f t="shared" si="326"/>
        <v>1.8635633556239952</v>
      </c>
      <c r="AZ247" s="15">
        <f t="shared" si="326"/>
        <v>1.8707030127085515</v>
      </c>
      <c r="BA247" s="15">
        <f t="shared" si="326"/>
        <v>1.8774164743679123</v>
      </c>
      <c r="BB247" s="15">
        <f t="shared" si="326"/>
        <v>1.8837224216706596</v>
      </c>
      <c r="BC247" s="15">
        <f t="shared" si="326"/>
        <v>1.8896376616567945</v>
      </c>
      <c r="BD247" s="15">
        <f t="shared" si="326"/>
        <v>1.8951770440446984</v>
      </c>
      <c r="BE247" s="15">
        <f t="shared" si="326"/>
        <v>1.9003533485415873</v>
      </c>
      <c r="BF247" s="15">
        <f t="shared" si="326"/>
        <v>1.9051777393583913</v>
      </c>
      <c r="BG247" s="15">
        <f t="shared" si="326"/>
        <v>1.9096603315611984</v>
      </c>
      <c r="BH247" s="15">
        <f t="shared" si="326"/>
        <v>1.9138109505686942</v>
      </c>
      <c r="BI247" s="15">
        <f t="shared" si="326"/>
        <v>1.917640044436532</v>
      </c>
    </row>
    <row r="248" spans="1:64" hidden="1" outlineLevel="1" x14ac:dyDescent="0.3"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</row>
    <row r="249" spans="1:64" x14ac:dyDescent="0.3">
      <c r="D249" s="3"/>
    </row>
    <row r="250" spans="1:64" x14ac:dyDescent="0.3">
      <c r="A250" s="1" t="s">
        <v>212</v>
      </c>
      <c r="B250" s="1"/>
    </row>
    <row r="251" spans="1:64" outlineLevel="1" x14ac:dyDescent="0.3">
      <c r="B251" t="s">
        <v>90</v>
      </c>
      <c r="D251" s="3">
        <f>D235</f>
        <v>0.71529427356562791</v>
      </c>
      <c r="E251" s="3">
        <f t="shared" ref="E251:BI251" si="328">E235</f>
        <v>0.73464688914920906</v>
      </c>
      <c r="F251" s="3">
        <f t="shared" si="328"/>
        <v>0.73469915604985747</v>
      </c>
      <c r="G251" s="3">
        <f t="shared" si="328"/>
        <v>0.62608947500097778</v>
      </c>
      <c r="H251" s="3">
        <f t="shared" si="328"/>
        <v>0.79017983175090523</v>
      </c>
      <c r="I251" s="3">
        <f t="shared" si="328"/>
        <v>0.78921363806051126</v>
      </c>
      <c r="J251" s="3">
        <f t="shared" si="328"/>
        <v>0.82802297941393566</v>
      </c>
      <c r="K251" s="3">
        <f t="shared" si="328"/>
        <v>0.28632020438885936</v>
      </c>
      <c r="L251" s="3">
        <f t="shared" si="328"/>
        <v>0.84000000000000097</v>
      </c>
      <c r="M251" s="3">
        <f t="shared" si="328"/>
        <v>1.2251373043686216</v>
      </c>
      <c r="N251" s="3">
        <f t="shared" si="328"/>
        <v>1.1537726618229072</v>
      </c>
      <c r="O251" s="3">
        <f t="shared" si="328"/>
        <v>1.1942135722367773</v>
      </c>
      <c r="P251" s="3">
        <f t="shared" si="328"/>
        <v>1.2261068340400585</v>
      </c>
      <c r="Q251" s="3">
        <f t="shared" si="328"/>
        <v>1.2571547190318104</v>
      </c>
      <c r="R251" s="3">
        <f t="shared" si="328"/>
        <v>1.2873466316741593</v>
      </c>
      <c r="S251" s="3">
        <f t="shared" si="328"/>
        <v>1.3166811840674382</v>
      </c>
      <c r="T251" s="3">
        <f t="shared" si="328"/>
        <v>1.3451655482356517</v>
      </c>
      <c r="U251" s="3">
        <f t="shared" si="328"/>
        <v>1.3728111015826396</v>
      </c>
      <c r="V251" s="3">
        <f t="shared" si="328"/>
        <v>1.3996310667087974</v>
      </c>
      <c r="W251" s="3">
        <f t="shared" si="328"/>
        <v>1.425639004480713</v>
      </c>
      <c r="X251" s="3">
        <f t="shared" si="328"/>
        <v>1.4508491367174166</v>
      </c>
      <c r="Y251" s="3">
        <f t="shared" si="328"/>
        <v>1.475275343055068</v>
      </c>
      <c r="Z251" s="3">
        <f t="shared" si="328"/>
        <v>1.4989290995864226</v>
      </c>
      <c r="AA251" s="3">
        <f t="shared" si="328"/>
        <v>1.5218175850216389</v>
      </c>
      <c r="AB251" s="3">
        <f t="shared" si="328"/>
        <v>1.5439429652657313</v>
      </c>
      <c r="AC251" s="3">
        <f t="shared" si="328"/>
        <v>1.5653034307124598</v>
      </c>
      <c r="AD251" s="3">
        <f t="shared" si="328"/>
        <v>1.5858961725860927</v>
      </c>
      <c r="AE251" s="3">
        <f t="shared" si="328"/>
        <v>1.6057203530948247</v>
      </c>
      <c r="AF251" s="3">
        <f t="shared" si="328"/>
        <v>1.6247804061270799</v>
      </c>
      <c r="AG251" s="3">
        <f t="shared" si="328"/>
        <v>1.6430866275037794</v>
      </c>
      <c r="AH251" s="3">
        <f t="shared" si="328"/>
        <v>1.6606541994999895</v>
      </c>
      <c r="AI251" s="3">
        <f t="shared" si="328"/>
        <v>1.6775015011076317</v>
      </c>
      <c r="AJ251" s="3">
        <f t="shared" si="328"/>
        <v>1.6936490395455406</v>
      </c>
      <c r="AK251" s="3">
        <f t="shared" si="328"/>
        <v>1.7091181719823176</v>
      </c>
      <c r="AL251" s="3">
        <f t="shared" si="328"/>
        <v>1.7239307827594677</v>
      </c>
      <c r="AM251" s="3">
        <f t="shared" si="328"/>
        <v>1.7381074367654679</v>
      </c>
      <c r="AN251" s="3">
        <f t="shared" si="328"/>
        <v>1.7516666485026289</v>
      </c>
      <c r="AO251" s="3">
        <f t="shared" si="328"/>
        <v>1.7646240395626316</v>
      </c>
      <c r="AP251" s="3">
        <f t="shared" si="328"/>
        <v>1.7769929428042752</v>
      </c>
      <c r="AQ251" s="3">
        <f t="shared" si="328"/>
        <v>1.7887840646451776</v>
      </c>
      <c r="AR251" s="3">
        <f t="shared" si="328"/>
        <v>1.8000060307038923</v>
      </c>
      <c r="AS251" s="3">
        <f t="shared" si="328"/>
        <v>1.81066662684478</v>
      </c>
      <c r="AT251" s="3">
        <f t="shared" si="328"/>
        <v>1.8207750527899116</v>
      </c>
      <c r="AU251" s="3">
        <f t="shared" si="328"/>
        <v>1.8303435527745702</v>
      </c>
      <c r="AV251" s="3">
        <f t="shared" si="328"/>
        <v>1.839387777101968</v>
      </c>
      <c r="AW251" s="3">
        <f t="shared" si="328"/>
        <v>1.8479259899018587</v>
      </c>
      <c r="AX251" s="3">
        <f t="shared" si="328"/>
        <v>1.8559777937393129</v>
      </c>
      <c r="AY251" s="3">
        <f t="shared" si="328"/>
        <v>1.8635633556239992</v>
      </c>
      <c r="AZ251" s="3">
        <f t="shared" si="328"/>
        <v>1.8707030127085555</v>
      </c>
      <c r="BA251" s="3">
        <f t="shared" si="328"/>
        <v>1.8774164743679163</v>
      </c>
      <c r="BB251" s="3">
        <f t="shared" si="328"/>
        <v>1.8837224216706636</v>
      </c>
      <c r="BC251" s="3">
        <f t="shared" si="328"/>
        <v>1.8896376616567985</v>
      </c>
      <c r="BD251" s="3">
        <f t="shared" si="328"/>
        <v>1.8951770440447022</v>
      </c>
      <c r="BE251" s="3">
        <f t="shared" si="328"/>
        <v>1.9003533485415911</v>
      </c>
      <c r="BF251" s="3">
        <f t="shared" si="328"/>
        <v>1.9051777393583953</v>
      </c>
      <c r="BG251" s="3">
        <f t="shared" si="328"/>
        <v>1.9096603315612022</v>
      </c>
      <c r="BH251" s="3">
        <f t="shared" si="328"/>
        <v>1.913810950568698</v>
      </c>
      <c r="BI251" s="3">
        <f t="shared" si="328"/>
        <v>1.9176400444365362</v>
      </c>
    </row>
    <row r="252" spans="1:64" outlineLevel="1" x14ac:dyDescent="0.3">
      <c r="B252" t="s">
        <v>195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</row>
    <row r="253" spans="1:64" outlineLevel="1" x14ac:dyDescent="0.3">
      <c r="B253" t="s">
        <v>88</v>
      </c>
      <c r="D253" s="3">
        <f>D234</f>
        <v>7.1</v>
      </c>
      <c r="E253" s="3">
        <f t="shared" ref="E253:BI253" si="329">E234</f>
        <v>8.4</v>
      </c>
      <c r="F253" s="3">
        <f t="shared" si="329"/>
        <v>8.5399999999999991</v>
      </c>
      <c r="G253" s="3">
        <f t="shared" si="329"/>
        <v>9.1999999999999993</v>
      </c>
      <c r="H253" s="3">
        <f t="shared" si="329"/>
        <v>8.8099999999999987</v>
      </c>
      <c r="I253" s="3">
        <f t="shared" si="329"/>
        <v>7.82</v>
      </c>
      <c r="J253" s="3">
        <f t="shared" si="329"/>
        <v>7.01</v>
      </c>
      <c r="K253" s="3">
        <f t="shared" si="329"/>
        <v>6.08</v>
      </c>
      <c r="L253" s="3">
        <f t="shared" si="329"/>
        <v>7.57</v>
      </c>
      <c r="M253" s="3">
        <f t="shared" si="329"/>
        <v>7.6723837700760784</v>
      </c>
      <c r="N253" s="3">
        <f t="shared" si="329"/>
        <v>8.4338630600169058</v>
      </c>
      <c r="O253" s="3">
        <f t="shared" si="329"/>
        <v>8.56239208799078</v>
      </c>
      <c r="P253" s="3">
        <f t="shared" si="329"/>
        <v>8.6308959327242682</v>
      </c>
      <c r="Q253" s="3">
        <f t="shared" si="329"/>
        <v>8.6957722051076889</v>
      </c>
      <c r="R253" s="3">
        <f t="shared" si="329"/>
        <v>8.7570323944041615</v>
      </c>
      <c r="S253" s="3">
        <f t="shared" si="329"/>
        <v>8.8147441130580209</v>
      </c>
      <c r="T253" s="3">
        <f t="shared" si="329"/>
        <v>8.8690229654979333</v>
      </c>
      <c r="U253" s="3">
        <f t="shared" si="329"/>
        <v>8.9200013621388319</v>
      </c>
      <c r="V253" s="3">
        <f t="shared" si="329"/>
        <v>8.9678129523661418</v>
      </c>
      <c r="W253" s="3">
        <f t="shared" si="329"/>
        <v>9.0125837339741857</v>
      </c>
      <c r="X253" s="3">
        <f t="shared" si="329"/>
        <v>9.0544352132061441</v>
      </c>
      <c r="Y253" s="3">
        <f t="shared" si="329"/>
        <v>9.0934790680355952</v>
      </c>
      <c r="Z253" s="3">
        <f t="shared" si="329"/>
        <v>9.1298056789823328</v>
      </c>
      <c r="AA253" s="3">
        <f t="shared" si="329"/>
        <v>9.1634743696249501</v>
      </c>
      <c r="AB253" s="3">
        <f t="shared" si="329"/>
        <v>9.1945111828687835</v>
      </c>
      <c r="AC253" s="3">
        <f t="shared" si="329"/>
        <v>9.2229169720901503</v>
      </c>
      <c r="AD253" s="3">
        <f t="shared" si="329"/>
        <v>9.2486861564369001</v>
      </c>
      <c r="AE253" s="3">
        <f t="shared" si="329"/>
        <v>9.2718242261873396</v>
      </c>
      <c r="AF253" s="3">
        <f t="shared" si="329"/>
        <v>9.2923661105566779</v>
      </c>
      <c r="AG253" s="3">
        <f t="shared" si="329"/>
        <v>9.3103782070769068</v>
      </c>
      <c r="AH253" s="3">
        <f t="shared" si="329"/>
        <v>9.3259516029258442</v>
      </c>
      <c r="AI253" s="3">
        <f t="shared" si="329"/>
        <v>9.3391917624318683</v>
      </c>
      <c r="AJ253" s="3">
        <f t="shared" si="329"/>
        <v>9.3502122248104396</v>
      </c>
      <c r="AK253" s="3">
        <f t="shared" si="329"/>
        <v>9.3591274873297206</v>
      </c>
      <c r="AL253" s="3">
        <f t="shared" si="329"/>
        <v>9.3660514232009273</v>
      </c>
      <c r="AM253" s="3">
        <f t="shared" si="329"/>
        <v>9.3710875444090291</v>
      </c>
      <c r="AN253" s="3">
        <f t="shared" si="329"/>
        <v>9.3743256530124359</v>
      </c>
      <c r="AO253" s="3">
        <f t="shared" si="329"/>
        <v>9.3758380068573537</v>
      </c>
      <c r="AP253" s="3">
        <f t="shared" si="329"/>
        <v>9.3756832370753749</v>
      </c>
      <c r="AQ253" s="3">
        <f t="shared" si="329"/>
        <v>9.3739051234422259</v>
      </c>
      <c r="AR253" s="3">
        <f t="shared" si="329"/>
        <v>9.3705359820597049</v>
      </c>
      <c r="AS253" s="3">
        <f t="shared" si="329"/>
        <v>9.3656034852131977</v>
      </c>
      <c r="AT253" s="3">
        <f t="shared" si="329"/>
        <v>9.3591424058098411</v>
      </c>
      <c r="AU253" s="3">
        <f t="shared" si="329"/>
        <v>9.3512027413967065</v>
      </c>
      <c r="AV253" s="3">
        <f t="shared" si="329"/>
        <v>9.341851117152645</v>
      </c>
      <c r="AW253" s="3">
        <f t="shared" si="329"/>
        <v>9.3311663404656322</v>
      </c>
      <c r="AX253" s="3">
        <f t="shared" si="329"/>
        <v>9.3192327058350291</v>
      </c>
      <c r="AY253" s="3">
        <f t="shared" si="329"/>
        <v>9.3061360406266207</v>
      </c>
      <c r="AZ253" s="3">
        <f t="shared" si="329"/>
        <v>9.2919617685613431</v>
      </c>
      <c r="BA253" s="3">
        <f t="shared" si="329"/>
        <v>9.2767910379904794</v>
      </c>
      <c r="BB253" s="3">
        <f t="shared" si="329"/>
        <v>9.2606989176563985</v>
      </c>
      <c r="BC253" s="3">
        <f t="shared" si="329"/>
        <v>9.243750458885593</v>
      </c>
      <c r="BD253" s="3">
        <f t="shared" si="329"/>
        <v>9.2260005724304452</v>
      </c>
      <c r="BE253" s="3">
        <f t="shared" si="329"/>
        <v>9.2074937505650301</v>
      </c>
      <c r="BF253" s="3">
        <f t="shared" si="329"/>
        <v>9.1882665175104403</v>
      </c>
      <c r="BG253" s="3">
        <f t="shared" si="329"/>
        <v>9.168350336282316</v>
      </c>
      <c r="BH253" s="3">
        <f t="shared" si="329"/>
        <v>9.1477753516423945</v>
      </c>
      <c r="BI253" s="3">
        <f t="shared" si="329"/>
        <v>9.1265747573371279</v>
      </c>
    </row>
    <row r="254" spans="1:64" outlineLevel="1" x14ac:dyDescent="0.3">
      <c r="B254" t="s">
        <v>196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</row>
    <row r="255" spans="1:64" outlineLevel="1" x14ac:dyDescent="0.3">
      <c r="B255" t="s">
        <v>197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</row>
    <row r="256" spans="1:64" outlineLevel="1" x14ac:dyDescent="0.3">
      <c r="B256" t="s">
        <v>198</v>
      </c>
      <c r="D256" s="3">
        <f>D231+D232</f>
        <v>12.299999999999999</v>
      </c>
      <c r="E256" s="3">
        <f t="shared" ref="E256:BI256" si="330">E231+E232</f>
        <v>12.33</v>
      </c>
      <c r="F256" s="3">
        <f t="shared" si="330"/>
        <v>12.319999999999997</v>
      </c>
      <c r="G256" s="3">
        <f t="shared" si="330"/>
        <v>12.329999999999998</v>
      </c>
      <c r="H256" s="3">
        <f t="shared" si="330"/>
        <v>12.33</v>
      </c>
      <c r="I256" s="3">
        <f t="shared" si="330"/>
        <v>12.34</v>
      </c>
      <c r="J256" s="3">
        <f t="shared" si="330"/>
        <v>12.350000000000001</v>
      </c>
      <c r="K256" s="3">
        <f t="shared" si="330"/>
        <v>12.350000000000001</v>
      </c>
      <c r="L256" s="3">
        <f t="shared" si="330"/>
        <v>12.37</v>
      </c>
      <c r="M256" s="3">
        <f t="shared" si="330"/>
        <v>12.389152152600426</v>
      </c>
      <c r="N256" s="3">
        <f t="shared" si="330"/>
        <v>12.408304305200854</v>
      </c>
      <c r="O256" s="3">
        <f t="shared" si="330"/>
        <v>12.431851026298112</v>
      </c>
      <c r="P256" s="3">
        <f t="shared" si="330"/>
        <v>12.369519780362797</v>
      </c>
      <c r="Q256" s="3">
        <f t="shared" si="330"/>
        <v>12.30438000370318</v>
      </c>
      <c r="R256" s="3">
        <f t="shared" si="330"/>
        <v>12.236536723389236</v>
      </c>
      <c r="S256" s="3">
        <f t="shared" si="330"/>
        <v>12.166166457417365</v>
      </c>
      <c r="T256" s="3">
        <f t="shared" si="330"/>
        <v>12.093501886384821</v>
      </c>
      <c r="U256" s="3">
        <f t="shared" si="330"/>
        <v>12.018786610132256</v>
      </c>
      <c r="V256" s="3">
        <f t="shared" si="330"/>
        <v>11.942253914800979</v>
      </c>
      <c r="W256" s="3">
        <f t="shared" si="330"/>
        <v>11.864115797908219</v>
      </c>
      <c r="X256" s="3">
        <f t="shared" si="330"/>
        <v>11.784568411451545</v>
      </c>
      <c r="Y256" s="3">
        <f t="shared" si="330"/>
        <v>11.703786187947392</v>
      </c>
      <c r="Z256" s="3">
        <f t="shared" si="330"/>
        <v>11.621908532327488</v>
      </c>
      <c r="AA256" s="3">
        <f t="shared" si="330"/>
        <v>11.539029509912872</v>
      </c>
      <c r="AB256" s="3">
        <f t="shared" si="330"/>
        <v>11.45519755300902</v>
      </c>
      <c r="AC256" s="3">
        <f t="shared" si="330"/>
        <v>11.37042786903109</v>
      </c>
      <c r="AD256" s="3">
        <f t="shared" si="330"/>
        <v>11.284727060573822</v>
      </c>
      <c r="AE256" s="3">
        <f t="shared" si="330"/>
        <v>11.19811471286971</v>
      </c>
      <c r="AF256" s="3">
        <f t="shared" si="330"/>
        <v>11.110644710637402</v>
      </c>
      <c r="AG256" s="3">
        <f t="shared" si="330"/>
        <v>11.022405959544797</v>
      </c>
      <c r="AH256" s="3">
        <f t="shared" si="330"/>
        <v>10.93351276176368</v>
      </c>
      <c r="AI256" s="3">
        <f t="shared" si="330"/>
        <v>10.844091664165678</v>
      </c>
      <c r="AJ256" s="3">
        <f t="shared" si="330"/>
        <v>10.754273680471583</v>
      </c>
      <c r="AK256" s="3">
        <f t="shared" si="330"/>
        <v>10.664186027294049</v>
      </c>
      <c r="AL256" s="3">
        <f t="shared" si="330"/>
        <v>10.573950566649131</v>
      </c>
      <c r="AM256" s="3">
        <f t="shared" si="330"/>
        <v>10.483673206929538</v>
      </c>
      <c r="AN256" s="3">
        <f t="shared" si="330"/>
        <v>10.393440952097844</v>
      </c>
      <c r="AO256" s="3">
        <f t="shared" si="330"/>
        <v>10.303318563556576</v>
      </c>
      <c r="AP256" s="3">
        <f t="shared" si="330"/>
        <v>10.213353829413647</v>
      </c>
      <c r="AQ256" s="3">
        <f t="shared" si="330"/>
        <v>10.123576995245891</v>
      </c>
      <c r="AR256" s="3">
        <f t="shared" si="330"/>
        <v>10.034005152879665</v>
      </c>
      <c r="AS256" s="3">
        <f t="shared" si="330"/>
        <v>9.9446500428337039</v>
      </c>
      <c r="AT256" s="3">
        <f t="shared" si="330"/>
        <v>9.8555306477045121</v>
      </c>
      <c r="AU256" s="3">
        <f t="shared" si="330"/>
        <v>9.7666813837167226</v>
      </c>
      <c r="AV256" s="3">
        <f t="shared" si="330"/>
        <v>9.6781529363580994</v>
      </c>
      <c r="AW256" s="3">
        <f t="shared" si="330"/>
        <v>9.5900070534105222</v>
      </c>
      <c r="AX256" s="3">
        <f t="shared" si="330"/>
        <v>9.5023092984320172</v>
      </c>
      <c r="AY256" s="3">
        <f t="shared" si="330"/>
        <v>9.4151249209135877</v>
      </c>
      <c r="AZ256" s="3">
        <f t="shared" si="330"/>
        <v>9.3285169442616578</v>
      </c>
      <c r="BA256" s="3">
        <f t="shared" si="330"/>
        <v>9.2425424124409012</v>
      </c>
      <c r="BB256" s="3">
        <f t="shared" si="330"/>
        <v>9.1572508487184976</v>
      </c>
      <c r="BC256" s="3">
        <f t="shared" si="330"/>
        <v>9.0726806858188187</v>
      </c>
      <c r="BD256" s="3">
        <f t="shared" si="330"/>
        <v>8.9888595659630504</v>
      </c>
      <c r="BE256" s="3">
        <f t="shared" si="330"/>
        <v>8.9058044728235792</v>
      </c>
      <c r="BF256" s="3">
        <f t="shared" si="330"/>
        <v>8.823524472725321</v>
      </c>
      <c r="BG256" s="3">
        <f t="shared" si="330"/>
        <v>8.7420237695924712</v>
      </c>
      <c r="BH256" s="3">
        <f t="shared" si="330"/>
        <v>8.6613054195443251</v>
      </c>
      <c r="BI256" s="3">
        <f t="shared" si="330"/>
        <v>8.5813754759407441</v>
      </c>
    </row>
    <row r="257" spans="1:61" outlineLevel="1" x14ac:dyDescent="0.3">
      <c r="B257" t="s">
        <v>199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</row>
    <row r="258" spans="1:61" outlineLevel="1" x14ac:dyDescent="0.3">
      <c r="B258" t="s">
        <v>200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</row>
    <row r="259" spans="1:61" outlineLevel="1" x14ac:dyDescent="0.3">
      <c r="B259" t="s">
        <v>86</v>
      </c>
      <c r="D259" s="3">
        <f>D233</f>
        <v>40.255846954228829</v>
      </c>
      <c r="E259" s="3">
        <f t="shared" ref="E259:BI259" si="331">E233</f>
        <v>38.318857621723019</v>
      </c>
      <c r="F259" s="3">
        <f t="shared" si="331"/>
        <v>37.955293433893317</v>
      </c>
      <c r="G259" s="3">
        <f t="shared" si="331"/>
        <v>37.855059145606191</v>
      </c>
      <c r="H259" s="3">
        <f t="shared" si="331"/>
        <v>37.323214851970022</v>
      </c>
      <c r="I259" s="3">
        <f t="shared" si="331"/>
        <v>38.087277008185325</v>
      </c>
      <c r="J259" s="3">
        <f t="shared" si="331"/>
        <v>38.05363497273747</v>
      </c>
      <c r="K259" s="3">
        <f t="shared" si="331"/>
        <v>44.551888002842652</v>
      </c>
      <c r="L259" s="3">
        <f t="shared" si="331"/>
        <v>37.400000000000006</v>
      </c>
      <c r="M259" s="3">
        <f t="shared" si="331"/>
        <v>40.814806321823099</v>
      </c>
      <c r="N259" s="3">
        <f t="shared" si="331"/>
        <v>37.325669279244693</v>
      </c>
      <c r="O259" s="3">
        <f t="shared" si="331"/>
        <v>37.105783371345225</v>
      </c>
      <c r="P259" s="3">
        <f t="shared" si="331"/>
        <v>36.631840402633564</v>
      </c>
      <c r="Q259" s="3">
        <f t="shared" si="331"/>
        <v>36.153889270107271</v>
      </c>
      <c r="R259" s="3">
        <f t="shared" si="331"/>
        <v>35.672400657534027</v>
      </c>
      <c r="S259" s="3">
        <f t="shared" si="331"/>
        <v>35.18804084454586</v>
      </c>
      <c r="T259" s="3">
        <f t="shared" si="331"/>
        <v>34.70161968751141</v>
      </c>
      <c r="U259" s="3">
        <f t="shared" si="331"/>
        <v>34.21395564416882</v>
      </c>
      <c r="V259" s="3">
        <f t="shared" si="331"/>
        <v>33.72581483499318</v>
      </c>
      <c r="W259" s="3">
        <f t="shared" si="331"/>
        <v>33.237881726321206</v>
      </c>
      <c r="X259" s="3">
        <f t="shared" si="331"/>
        <v>32.750776897998122</v>
      </c>
      <c r="Y259" s="3">
        <f t="shared" si="331"/>
        <v>32.265042846702201</v>
      </c>
      <c r="Z259" s="3">
        <f t="shared" si="331"/>
        <v>31.78111021550658</v>
      </c>
      <c r="AA259" s="3">
        <f t="shared" si="331"/>
        <v>31.299273880119557</v>
      </c>
      <c r="AB259" s="3">
        <f t="shared" si="331"/>
        <v>30.81969729626956</v>
      </c>
      <c r="AC259" s="3">
        <f t="shared" si="331"/>
        <v>30.342450709966975</v>
      </c>
      <c r="AD259" s="3">
        <f t="shared" si="331"/>
        <v>29.867579995775174</v>
      </c>
      <c r="AE259" s="3">
        <f t="shared" si="331"/>
        <v>29.395164276528064</v>
      </c>
      <c r="AF259" s="3">
        <f t="shared" si="331"/>
        <v>28.925370025602721</v>
      </c>
      <c r="AG259" s="3">
        <f t="shared" si="331"/>
        <v>28.458449261005484</v>
      </c>
      <c r="AH259" s="3">
        <f t="shared" si="331"/>
        <v>27.994711206152282</v>
      </c>
      <c r="AI259" s="3">
        <f t="shared" si="331"/>
        <v>27.534486275656135</v>
      </c>
      <c r="AJ259" s="3">
        <f t="shared" si="331"/>
        <v>27.078105302765081</v>
      </c>
      <c r="AK259" s="3">
        <f t="shared" si="331"/>
        <v>26.625878555421885</v>
      </c>
      <c r="AL259" s="3">
        <f t="shared" si="331"/>
        <v>26.178092403642896</v>
      </c>
      <c r="AM259" s="3">
        <f t="shared" si="331"/>
        <v>25.734983980775613</v>
      </c>
      <c r="AN259" s="3">
        <f t="shared" si="331"/>
        <v>25.29673577701509</v>
      </c>
      <c r="AO259" s="3">
        <f t="shared" si="331"/>
        <v>24.863469642199878</v>
      </c>
      <c r="AP259" s="3">
        <f t="shared" si="331"/>
        <v>24.435261768297888</v>
      </c>
      <c r="AQ259" s="3">
        <f t="shared" si="331"/>
        <v>24.012143141438045</v>
      </c>
      <c r="AR259" s="3">
        <f t="shared" si="331"/>
        <v>23.59411169844002</v>
      </c>
      <c r="AS259" s="3">
        <f t="shared" si="331"/>
        <v>23.181151879285895</v>
      </c>
      <c r="AT259" s="3">
        <f t="shared" si="331"/>
        <v>22.773264281371855</v>
      </c>
      <c r="AU259" s="3">
        <f t="shared" si="331"/>
        <v>22.370483696336514</v>
      </c>
      <c r="AV259" s="3">
        <f t="shared" si="331"/>
        <v>21.972879466413413</v>
      </c>
      <c r="AW259" s="3">
        <f t="shared" si="331"/>
        <v>21.580542162679293</v>
      </c>
      <c r="AX259" s="3">
        <f t="shared" si="331"/>
        <v>21.193566358777392</v>
      </c>
      <c r="AY259" s="3">
        <f t="shared" si="331"/>
        <v>20.812041171778784</v>
      </c>
      <c r="AZ259" s="3">
        <f t="shared" si="331"/>
        <v>20.436046156151836</v>
      </c>
      <c r="BA259" s="3">
        <f t="shared" si="331"/>
        <v>20.065643425070188</v>
      </c>
      <c r="BB259" s="3">
        <f t="shared" si="331"/>
        <v>19.700874969019466</v>
      </c>
      <c r="BC259" s="3">
        <f t="shared" si="331"/>
        <v>19.341755822117218</v>
      </c>
      <c r="BD259" s="3">
        <f t="shared" si="331"/>
        <v>18.988275809744867</v>
      </c>
      <c r="BE259" s="3">
        <f t="shared" si="331"/>
        <v>18.640400895192666</v>
      </c>
      <c r="BF259" s="3">
        <f t="shared" si="331"/>
        <v>18.29807990832245</v>
      </c>
      <c r="BG259" s="3">
        <f t="shared" si="331"/>
        <v>17.961251589759641</v>
      </c>
      <c r="BH259" s="3">
        <f t="shared" si="331"/>
        <v>17.629852617616891</v>
      </c>
      <c r="BI259" s="3">
        <f t="shared" si="331"/>
        <v>17.303826072051958</v>
      </c>
    </row>
    <row r="260" spans="1:61" outlineLevel="1" x14ac:dyDescent="0.3">
      <c r="B260" t="s">
        <v>201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</row>
    <row r="261" spans="1:61" x14ac:dyDescent="0.3">
      <c r="A261" s="1" t="s">
        <v>213</v>
      </c>
      <c r="B261" s="1"/>
    </row>
    <row r="262" spans="1:61" outlineLevel="1" x14ac:dyDescent="0.3">
      <c r="B262" t="s">
        <v>90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</row>
    <row r="263" spans="1:61" outlineLevel="1" x14ac:dyDescent="0.3">
      <c r="B263" t="s">
        <v>195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</row>
    <row r="264" spans="1:61" outlineLevel="1" x14ac:dyDescent="0.3">
      <c r="B264" t="s">
        <v>88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</row>
    <row r="265" spans="1:61" outlineLevel="1" x14ac:dyDescent="0.3">
      <c r="B265" t="s">
        <v>196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</row>
    <row r="266" spans="1:61" outlineLevel="1" x14ac:dyDescent="0.3">
      <c r="B266" t="s">
        <v>197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</row>
    <row r="267" spans="1:61" outlineLevel="1" x14ac:dyDescent="0.3">
      <c r="B267" t="s">
        <v>198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</row>
    <row r="268" spans="1:61" outlineLevel="1" x14ac:dyDescent="0.3">
      <c r="B268" t="s">
        <v>199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</row>
    <row r="269" spans="1:61" outlineLevel="1" x14ac:dyDescent="0.3">
      <c r="B269" t="s">
        <v>200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</row>
    <row r="270" spans="1:61" outlineLevel="1" x14ac:dyDescent="0.3">
      <c r="B270" t="s">
        <v>86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</row>
    <row r="271" spans="1:61" outlineLevel="1" x14ac:dyDescent="0.3">
      <c r="B271" t="s">
        <v>201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</row>
    <row r="272" spans="1:61" x14ac:dyDescent="0.3">
      <c r="A272" s="1" t="s">
        <v>214</v>
      </c>
      <c r="B272" s="1"/>
    </row>
    <row r="273" spans="1:61" outlineLevel="1" x14ac:dyDescent="0.3">
      <c r="B273" t="s">
        <v>90</v>
      </c>
      <c r="D273" s="3">
        <f>D170</f>
        <v>18.057621489621493</v>
      </c>
      <c r="E273" s="3">
        <f t="shared" ref="E273:BI273" si="332">E170</f>
        <v>18.75020617320947</v>
      </c>
      <c r="F273" s="3">
        <f t="shared" si="332"/>
        <v>19.30546471040644</v>
      </c>
      <c r="G273" s="3">
        <f t="shared" si="332"/>
        <v>20.229398871006481</v>
      </c>
      <c r="H273" s="3">
        <f t="shared" si="332"/>
        <v>20.106779971624494</v>
      </c>
      <c r="I273" s="3">
        <f t="shared" si="332"/>
        <v>19.417350447904763</v>
      </c>
      <c r="J273" s="3">
        <f t="shared" si="332"/>
        <v>19.955043300457056</v>
      </c>
      <c r="K273" s="3">
        <f t="shared" si="332"/>
        <v>21.198074257425741</v>
      </c>
      <c r="L273" s="3">
        <f t="shared" si="332"/>
        <v>21.21</v>
      </c>
      <c r="M273" s="3">
        <f t="shared" si="332"/>
        <v>22.530737622193609</v>
      </c>
      <c r="N273" s="3">
        <f t="shared" si="332"/>
        <v>22.033892257122798</v>
      </c>
      <c r="O273" s="3">
        <f t="shared" si="332"/>
        <v>22.125244864651005</v>
      </c>
      <c r="P273" s="3">
        <f t="shared" si="332"/>
        <v>22.479796950641568</v>
      </c>
      <c r="Q273" s="3">
        <f t="shared" si="332"/>
        <v>22.83436466796422</v>
      </c>
      <c r="R273" s="3">
        <f t="shared" si="332"/>
        <v>23.18887892048043</v>
      </c>
      <c r="S273" s="3">
        <f t="shared" si="332"/>
        <v>23.543411910545959</v>
      </c>
      <c r="T273" s="3">
        <f t="shared" si="332"/>
        <v>23.898161864469884</v>
      </c>
      <c r="U273" s="3">
        <f t="shared" si="332"/>
        <v>24.253374505746748</v>
      </c>
      <c r="V273" s="3">
        <f t="shared" si="332"/>
        <v>24.609303210315794</v>
      </c>
      <c r="W273" s="3">
        <f t="shared" si="332"/>
        <v>24.966185410428775</v>
      </c>
      <c r="X273" s="3">
        <f t="shared" si="332"/>
        <v>25.32425127939613</v>
      </c>
      <c r="Y273" s="3">
        <f t="shared" si="332"/>
        <v>25.683708842933736</v>
      </c>
      <c r="Z273" s="3">
        <f t="shared" si="332"/>
        <v>26.044710632673468</v>
      </c>
      <c r="AA273" s="3">
        <f t="shared" si="332"/>
        <v>26.407323146733376</v>
      </c>
      <c r="AB273" s="3">
        <f t="shared" si="332"/>
        <v>26.771516248793997</v>
      </c>
      <c r="AC273" s="3">
        <f t="shared" si="332"/>
        <v>27.137182135873282</v>
      </c>
      <c r="AD273" s="3">
        <f t="shared" si="332"/>
        <v>27.504187144272759</v>
      </c>
      <c r="AE273" s="3">
        <f t="shared" si="332"/>
        <v>27.87242311995174</v>
      </c>
      <c r="AF273" s="3">
        <f t="shared" si="332"/>
        <v>28.241864799834328</v>
      </c>
      <c r="AG273" s="3">
        <f t="shared" si="332"/>
        <v>28.612580849003695</v>
      </c>
      <c r="AH273" s="3">
        <f t="shared" si="332"/>
        <v>28.98471830573385</v>
      </c>
      <c r="AI273" s="3">
        <f t="shared" si="332"/>
        <v>29.358474863329363</v>
      </c>
      <c r="AJ273" s="3">
        <f t="shared" si="332"/>
        <v>29.734081966486578</v>
      </c>
      <c r="AK273" s="3">
        <f t="shared" si="332"/>
        <v>30.111784069577268</v>
      </c>
      <c r="AL273" s="3">
        <f t="shared" si="332"/>
        <v>30.49183440067058</v>
      </c>
      <c r="AM273" s="3">
        <f t="shared" si="332"/>
        <v>30.874463514993572</v>
      </c>
      <c r="AN273" s="3">
        <f t="shared" si="332"/>
        <v>31.259866825362533</v>
      </c>
      <c r="AO273" s="3">
        <f t="shared" si="332"/>
        <v>31.648189550562769</v>
      </c>
      <c r="AP273" s="3">
        <f t="shared" si="332"/>
        <v>32.039537021883895</v>
      </c>
      <c r="AQ273" s="3">
        <f t="shared" si="332"/>
        <v>32.433967973442478</v>
      </c>
      <c r="AR273" s="3">
        <f t="shared" si="332"/>
        <v>32.831503491850299</v>
      </c>
      <c r="AS273" s="3">
        <f t="shared" si="332"/>
        <v>33.232148848323462</v>
      </c>
      <c r="AT273" s="3">
        <f t="shared" si="332"/>
        <v>33.635934734614118</v>
      </c>
      <c r="AU273" s="3">
        <f t="shared" si="332"/>
        <v>34.042948535942948</v>
      </c>
      <c r="AV273" s="3">
        <f t="shared" si="332"/>
        <v>34.453343244068755</v>
      </c>
      <c r="AW273" s="3">
        <f t="shared" si="332"/>
        <v>34.867325162014055</v>
      </c>
      <c r="AX273" s="3">
        <f t="shared" si="332"/>
        <v>35.285132033855646</v>
      </c>
      <c r="AY273" s="3">
        <f t="shared" si="332"/>
        <v>35.707019862367098</v>
      </c>
      <c r="AZ273" s="3">
        <f t="shared" si="332"/>
        <v>36.133256453497722</v>
      </c>
      <c r="BA273" s="3">
        <f t="shared" si="332"/>
        <v>36.56410676778836</v>
      </c>
      <c r="BB273" s="3">
        <f t="shared" si="332"/>
        <v>36.999825298264298</v>
      </c>
      <c r="BC273" s="3">
        <f t="shared" si="332"/>
        <v>37.440639165462912</v>
      </c>
      <c r="BD273" s="3">
        <f t="shared" si="332"/>
        <v>37.886745473029357</v>
      </c>
      <c r="BE273" s="3">
        <f t="shared" si="332"/>
        <v>38.338307827922968</v>
      </c>
      <c r="BF273" s="3">
        <f t="shared" si="332"/>
        <v>38.795464126286745</v>
      </c>
      <c r="BG273" s="3">
        <f t="shared" si="332"/>
        <v>39.258337003071588</v>
      </c>
      <c r="BH273" s="3">
        <f t="shared" si="332"/>
        <v>39.72704884439932</v>
      </c>
      <c r="BI273" s="3">
        <f t="shared" si="332"/>
        <v>40.201740863027553</v>
      </c>
    </row>
    <row r="274" spans="1:61" outlineLevel="1" x14ac:dyDescent="0.3">
      <c r="B274" t="s">
        <v>195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</row>
    <row r="275" spans="1:61" outlineLevel="1" x14ac:dyDescent="0.3">
      <c r="B275" t="s">
        <v>88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</row>
    <row r="276" spans="1:61" outlineLevel="1" x14ac:dyDescent="0.3">
      <c r="B276" t="s">
        <v>196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</row>
    <row r="277" spans="1:61" outlineLevel="1" x14ac:dyDescent="0.3">
      <c r="B277" t="s">
        <v>197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</row>
    <row r="278" spans="1:61" outlineLevel="1" x14ac:dyDescent="0.3">
      <c r="B278" t="s">
        <v>198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</row>
    <row r="279" spans="1:61" outlineLevel="1" x14ac:dyDescent="0.3">
      <c r="B279" t="s">
        <v>199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</row>
    <row r="280" spans="1:61" outlineLevel="1" x14ac:dyDescent="0.3">
      <c r="B280" t="s">
        <v>200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</row>
    <row r="281" spans="1:61" outlineLevel="1" x14ac:dyDescent="0.3">
      <c r="B281" t="s">
        <v>86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</row>
    <row r="282" spans="1:61" outlineLevel="1" x14ac:dyDescent="0.3">
      <c r="B282" t="s">
        <v>201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</row>
    <row r="283" spans="1:61" x14ac:dyDescent="0.3">
      <c r="A283" t="s">
        <v>215</v>
      </c>
    </row>
    <row r="284" spans="1:61" outlineLevel="1" x14ac:dyDescent="0.3">
      <c r="B284" t="s">
        <v>90</v>
      </c>
      <c r="D284" s="3">
        <f>D200+D190+D178+D174</f>
        <v>12.638596106294575</v>
      </c>
      <c r="E284" s="3">
        <f t="shared" ref="E284:BI284" si="333">E200+E190+E178+E174</f>
        <v>13.112433473724362</v>
      </c>
      <c r="F284" s="3">
        <f t="shared" si="333"/>
        <v>13.285213691344341</v>
      </c>
      <c r="G284" s="3">
        <f t="shared" si="333"/>
        <v>12.458400154765961</v>
      </c>
      <c r="H284" s="3">
        <f t="shared" si="333"/>
        <v>14.023559720813916</v>
      </c>
      <c r="I284" s="3">
        <f t="shared" si="333"/>
        <v>13.880881139902613</v>
      </c>
      <c r="J284" s="3">
        <f t="shared" si="333"/>
        <v>14.346703314401278</v>
      </c>
      <c r="K284" s="3">
        <f t="shared" si="333"/>
        <v>9.3567261739331773</v>
      </c>
      <c r="L284" s="3">
        <f t="shared" si="333"/>
        <v>14.910000000000009</v>
      </c>
      <c r="M284" s="3">
        <f t="shared" si="333"/>
        <v>19.174672501807038</v>
      </c>
      <c r="N284" s="3">
        <f t="shared" si="333"/>
        <v>18.307298326996047</v>
      </c>
      <c r="O284" s="3">
        <f t="shared" si="333"/>
        <v>18.169168027928105</v>
      </c>
      <c r="P284" s="3">
        <f t="shared" si="333"/>
        <v>18.248839488255651</v>
      </c>
      <c r="Q284" s="3">
        <f t="shared" si="333"/>
        <v>18.292550757797688</v>
      </c>
      <c r="R284" s="3">
        <f t="shared" si="333"/>
        <v>18.297864404520606</v>
      </c>
      <c r="S284" s="3">
        <f t="shared" si="333"/>
        <v>18.304118049030944</v>
      </c>
      <c r="T284" s="3">
        <f t="shared" si="333"/>
        <v>18.31244760378523</v>
      </c>
      <c r="U284" s="3">
        <f t="shared" si="333"/>
        <v>18.323862207851619</v>
      </c>
      <c r="V284" s="3">
        <f t="shared" si="333"/>
        <v>18.339233329008053</v>
      </c>
      <c r="W284" s="3">
        <f t="shared" si="333"/>
        <v>18.359295707145048</v>
      </c>
      <c r="X284" s="3">
        <f t="shared" si="333"/>
        <v>18.384670731511001</v>
      </c>
      <c r="Y284" s="3">
        <f t="shared" si="333"/>
        <v>18.415870287515759</v>
      </c>
      <c r="Z284" s="3">
        <f t="shared" si="333"/>
        <v>18.453286462166268</v>
      </c>
      <c r="AA284" s="3">
        <f t="shared" si="333"/>
        <v>18.497183147715816</v>
      </c>
      <c r="AB284" s="3">
        <f t="shared" si="333"/>
        <v>18.54770117375163</v>
      </c>
      <c r="AC284" s="3">
        <f t="shared" si="333"/>
        <v>18.604882491109258</v>
      </c>
      <c r="AD284" s="3">
        <f t="shared" si="333"/>
        <v>18.668714311756514</v>
      </c>
      <c r="AE284" s="3">
        <f t="shared" si="333"/>
        <v>18.739169683155325</v>
      </c>
      <c r="AF284" s="3">
        <f t="shared" si="333"/>
        <v>18.816249367423524</v>
      </c>
      <c r="AG284" s="3">
        <f t="shared" si="333"/>
        <v>18.899990699649912</v>
      </c>
      <c r="AH284" s="3">
        <f t="shared" si="333"/>
        <v>18.990458591109984</v>
      </c>
      <c r="AI284" s="3">
        <f t="shared" si="333"/>
        <v>19.087729099271453</v>
      </c>
      <c r="AJ284" s="3">
        <f t="shared" si="333"/>
        <v>19.191880705547788</v>
      </c>
      <c r="AK284" s="3">
        <f t="shared" si="333"/>
        <v>19.302983410644934</v>
      </c>
      <c r="AL284" s="3">
        <f t="shared" si="333"/>
        <v>19.421098633841673</v>
      </c>
      <c r="AM284" s="3">
        <f t="shared" si="333"/>
        <v>19.546261700492352</v>
      </c>
      <c r="AN284" s="3">
        <f t="shared" si="333"/>
        <v>19.67847668143369</v>
      </c>
      <c r="AO284" s="3">
        <f t="shared" si="333"/>
        <v>19.817709505509551</v>
      </c>
      <c r="AP284" s="3">
        <f t="shared" si="333"/>
        <v>19.963896786971816</v>
      </c>
      <c r="AQ284" s="3">
        <f t="shared" si="333"/>
        <v>20.103200997986292</v>
      </c>
      <c r="AR284" s="3">
        <f t="shared" si="333"/>
        <v>20.220643351483869</v>
      </c>
      <c r="AS284" s="3">
        <f t="shared" si="333"/>
        <v>20.343792713376601</v>
      </c>
      <c r="AT284" s="3">
        <f t="shared" si="333"/>
        <v>20.472528631846313</v>
      </c>
      <c r="AU284" s="3">
        <f t="shared" si="333"/>
        <v>20.606765983543902</v>
      </c>
      <c r="AV284" s="3">
        <f t="shared" si="333"/>
        <v>20.746459917297159</v>
      </c>
      <c r="AW284" s="3">
        <f t="shared" si="333"/>
        <v>20.891597999754737</v>
      </c>
      <c r="AX284" s="3">
        <f t="shared" si="333"/>
        <v>21.042186941710742</v>
      </c>
      <c r="AY284" s="3">
        <f t="shared" si="333"/>
        <v>21.198244876854847</v>
      </c>
      <c r="AZ284" s="3">
        <f t="shared" si="333"/>
        <v>21.359797807573365</v>
      </c>
      <c r="BA284" s="3">
        <f t="shared" si="333"/>
        <v>21.526871283494387</v>
      </c>
      <c r="BB284" s="3">
        <f t="shared" si="333"/>
        <v>21.699486354742831</v>
      </c>
      <c r="BC284" s="3">
        <f t="shared" si="333"/>
        <v>21.877650131597406</v>
      </c>
      <c r="BD284" s="3">
        <f t="shared" si="333"/>
        <v>22.061354781045331</v>
      </c>
      <c r="BE284" s="3">
        <f t="shared" si="333"/>
        <v>22.250575976945868</v>
      </c>
      <c r="BF284" s="3">
        <f t="shared" si="333"/>
        <v>22.44527782107086</v>
      </c>
      <c r="BG284" s="3">
        <f t="shared" si="333"/>
        <v>22.645419140787556</v>
      </c>
      <c r="BH284" s="3">
        <f t="shared" si="333"/>
        <v>22.850962250392158</v>
      </c>
      <c r="BI284" s="3">
        <f t="shared" si="333"/>
        <v>23.061883866820011</v>
      </c>
    </row>
    <row r="285" spans="1:61" outlineLevel="1" x14ac:dyDescent="0.3">
      <c r="B285" t="s">
        <v>195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</row>
    <row r="286" spans="1:61" outlineLevel="1" x14ac:dyDescent="0.3">
      <c r="B286" t="s">
        <v>88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</row>
    <row r="287" spans="1:61" outlineLevel="1" x14ac:dyDescent="0.3">
      <c r="B287" t="s">
        <v>196</v>
      </c>
      <c r="D287" s="3">
        <f>D177</f>
        <v>4.4000000000000004</v>
      </c>
      <c r="E287" s="3">
        <f t="shared" ref="E287:BI287" si="334">E177</f>
        <v>4.46</v>
      </c>
      <c r="F287" s="3">
        <f t="shared" si="334"/>
        <v>5.22</v>
      </c>
      <c r="G287" s="3">
        <f t="shared" si="334"/>
        <v>1.97</v>
      </c>
      <c r="H287" s="3">
        <f t="shared" si="334"/>
        <v>0</v>
      </c>
      <c r="I287" s="3">
        <f t="shared" si="334"/>
        <v>0</v>
      </c>
      <c r="J287" s="3">
        <f t="shared" si="334"/>
        <v>0</v>
      </c>
      <c r="K287" s="3">
        <f t="shared" si="334"/>
        <v>0</v>
      </c>
      <c r="L287" s="3">
        <f t="shared" si="334"/>
        <v>0</v>
      </c>
      <c r="M287" s="3">
        <f t="shared" si="334"/>
        <v>0</v>
      </c>
      <c r="N287" s="3">
        <f t="shared" si="334"/>
        <v>0</v>
      </c>
      <c r="O287" s="3">
        <f t="shared" si="334"/>
        <v>0</v>
      </c>
      <c r="P287" s="3">
        <f t="shared" si="334"/>
        <v>0</v>
      </c>
      <c r="Q287" s="3">
        <f t="shared" si="334"/>
        <v>0</v>
      </c>
      <c r="R287" s="3">
        <f t="shared" si="334"/>
        <v>0</v>
      </c>
      <c r="S287" s="3">
        <f t="shared" si="334"/>
        <v>0</v>
      </c>
      <c r="T287" s="3">
        <f t="shared" si="334"/>
        <v>0</v>
      </c>
      <c r="U287" s="3">
        <f t="shared" si="334"/>
        <v>0</v>
      </c>
      <c r="V287" s="3">
        <f t="shared" si="334"/>
        <v>0</v>
      </c>
      <c r="W287" s="3">
        <f t="shared" si="334"/>
        <v>0</v>
      </c>
      <c r="X287" s="3">
        <f t="shared" si="334"/>
        <v>0</v>
      </c>
      <c r="Y287" s="3">
        <f t="shared" si="334"/>
        <v>0</v>
      </c>
      <c r="Z287" s="3">
        <f t="shared" si="334"/>
        <v>0</v>
      </c>
      <c r="AA287" s="3">
        <f t="shared" si="334"/>
        <v>0</v>
      </c>
      <c r="AB287" s="3">
        <f t="shared" si="334"/>
        <v>0</v>
      </c>
      <c r="AC287" s="3">
        <f t="shared" si="334"/>
        <v>0</v>
      </c>
      <c r="AD287" s="3">
        <f t="shared" si="334"/>
        <v>0</v>
      </c>
      <c r="AE287" s="3">
        <f t="shared" si="334"/>
        <v>0</v>
      </c>
      <c r="AF287" s="3">
        <f t="shared" si="334"/>
        <v>0</v>
      </c>
      <c r="AG287" s="3">
        <f t="shared" si="334"/>
        <v>0</v>
      </c>
      <c r="AH287" s="3">
        <f t="shared" si="334"/>
        <v>0</v>
      </c>
      <c r="AI287" s="3">
        <f t="shared" si="334"/>
        <v>0</v>
      </c>
      <c r="AJ287" s="3">
        <f t="shared" si="334"/>
        <v>0</v>
      </c>
      <c r="AK287" s="3">
        <f t="shared" si="334"/>
        <v>0</v>
      </c>
      <c r="AL287" s="3">
        <f t="shared" si="334"/>
        <v>0</v>
      </c>
      <c r="AM287" s="3">
        <f t="shared" si="334"/>
        <v>0</v>
      </c>
      <c r="AN287" s="3">
        <f t="shared" si="334"/>
        <v>0</v>
      </c>
      <c r="AO287" s="3">
        <f t="shared" si="334"/>
        <v>0</v>
      </c>
      <c r="AP287" s="3">
        <f t="shared" si="334"/>
        <v>0</v>
      </c>
      <c r="AQ287" s="3">
        <f t="shared" si="334"/>
        <v>0</v>
      </c>
      <c r="AR287" s="3">
        <f t="shared" si="334"/>
        <v>0</v>
      </c>
      <c r="AS287" s="3">
        <f t="shared" si="334"/>
        <v>0</v>
      </c>
      <c r="AT287" s="3">
        <f t="shared" si="334"/>
        <v>0</v>
      </c>
      <c r="AU287" s="3">
        <f t="shared" si="334"/>
        <v>0</v>
      </c>
      <c r="AV287" s="3">
        <f t="shared" si="334"/>
        <v>0</v>
      </c>
      <c r="AW287" s="3">
        <f t="shared" si="334"/>
        <v>0</v>
      </c>
      <c r="AX287" s="3">
        <f t="shared" si="334"/>
        <v>0</v>
      </c>
      <c r="AY287" s="3">
        <f t="shared" si="334"/>
        <v>0</v>
      </c>
      <c r="AZ287" s="3">
        <f t="shared" si="334"/>
        <v>0</v>
      </c>
      <c r="BA287" s="3">
        <f t="shared" si="334"/>
        <v>0</v>
      </c>
      <c r="BB287" s="3">
        <f t="shared" si="334"/>
        <v>0</v>
      </c>
      <c r="BC287" s="3">
        <f t="shared" si="334"/>
        <v>0</v>
      </c>
      <c r="BD287" s="3">
        <f t="shared" si="334"/>
        <v>0</v>
      </c>
      <c r="BE287" s="3">
        <f t="shared" si="334"/>
        <v>0</v>
      </c>
      <c r="BF287" s="3">
        <f t="shared" si="334"/>
        <v>0</v>
      </c>
      <c r="BG287" s="3">
        <f t="shared" si="334"/>
        <v>0</v>
      </c>
      <c r="BH287" s="3">
        <f t="shared" si="334"/>
        <v>0</v>
      </c>
      <c r="BI287" s="3">
        <f t="shared" si="334"/>
        <v>0</v>
      </c>
    </row>
    <row r="288" spans="1:61" outlineLevel="1" x14ac:dyDescent="0.3">
      <c r="B288" t="s">
        <v>197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</row>
    <row r="289" spans="1:63" outlineLevel="1" x14ac:dyDescent="0.3">
      <c r="B289" t="s">
        <v>198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</row>
    <row r="290" spans="1:63" outlineLevel="1" x14ac:dyDescent="0.3">
      <c r="B290" t="s">
        <v>199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</row>
    <row r="291" spans="1:63" outlineLevel="1" x14ac:dyDescent="0.3">
      <c r="B291" t="s">
        <v>200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</row>
    <row r="292" spans="1:63" outlineLevel="1" x14ac:dyDescent="0.3">
      <c r="B292" t="s">
        <v>86</v>
      </c>
      <c r="D292" s="3">
        <f>D199+D189+D176</f>
        <v>6.4142903405918759</v>
      </c>
      <c r="E292" s="3">
        <f t="shared" ref="E292:BI292" si="335">E199+E189+E176</f>
        <v>7.4645476470427923</v>
      </c>
      <c r="F292" s="3">
        <f t="shared" si="335"/>
        <v>7.8752365245936629</v>
      </c>
      <c r="G292" s="3">
        <f t="shared" si="335"/>
        <v>10.114544836826635</v>
      </c>
      <c r="H292" s="3">
        <f t="shared" si="335"/>
        <v>10.050477285570571</v>
      </c>
      <c r="I292" s="3">
        <f t="shared" si="335"/>
        <v>7.8677468887151916</v>
      </c>
      <c r="J292" s="3">
        <f t="shared" si="335"/>
        <v>6.6329508833374735</v>
      </c>
      <c r="K292" s="3">
        <f t="shared" si="335"/>
        <v>11.688214420126229</v>
      </c>
      <c r="L292" s="3">
        <f t="shared" si="335"/>
        <v>6.8499999999999908</v>
      </c>
      <c r="M292" s="3">
        <f t="shared" si="335"/>
        <v>3.9403133849884768</v>
      </c>
      <c r="N292" s="3">
        <f t="shared" si="335"/>
        <v>4.2979584158135777</v>
      </c>
      <c r="O292" s="3">
        <f t="shared" si="335"/>
        <v>3.8968686858545869</v>
      </c>
      <c r="P292" s="3">
        <f t="shared" si="335"/>
        <v>3.5665919729338849</v>
      </c>
      <c r="Q292" s="3">
        <f t="shared" si="335"/>
        <v>3.2903215390496192</v>
      </c>
      <c r="R292" s="3">
        <f t="shared" si="335"/>
        <v>3.069870103979667</v>
      </c>
      <c r="S292" s="3">
        <f t="shared" si="335"/>
        <v>2.8654098542398514</v>
      </c>
      <c r="T292" s="3">
        <f t="shared" si="335"/>
        <v>2.6754219699994488</v>
      </c>
      <c r="U292" s="3">
        <f t="shared" si="335"/>
        <v>2.4985445117619083</v>
      </c>
      <c r="V292" s="3">
        <f t="shared" si="335"/>
        <v>2.3335492628132077</v>
      </c>
      <c r="W292" s="3">
        <f t="shared" si="335"/>
        <v>2.1793245667240861</v>
      </c>
      <c r="X292" s="3">
        <f t="shared" si="335"/>
        <v>2.0348636962185491</v>
      </c>
      <c r="Y292" s="3">
        <f t="shared" si="335"/>
        <v>1.8992526162822163</v>
      </c>
      <c r="Z292" s="3">
        <f t="shared" si="335"/>
        <v>1.7716583546763598</v>
      </c>
      <c r="AA292" s="3">
        <f t="shared" si="335"/>
        <v>1.6513197006654996</v>
      </c>
      <c r="AB292" s="3">
        <f t="shared" si="335"/>
        <v>1.537540710246875</v>
      </c>
      <c r="AC292" s="3">
        <f t="shared" si="335"/>
        <v>1.4296865679145263</v>
      </c>
      <c r="AD292" s="3">
        <f t="shared" si="335"/>
        <v>1.327180949211644</v>
      </c>
      <c r="AE292" s="3">
        <f t="shared" si="335"/>
        <v>1.2295025627617291</v>
      </c>
      <c r="AF292" s="3">
        <f t="shared" si="335"/>
        <v>1.1361813891237655</v>
      </c>
      <c r="AG292" s="3">
        <f t="shared" si="335"/>
        <v>1.0467927223156661</v>
      </c>
      <c r="AH292" s="3">
        <f t="shared" si="335"/>
        <v>0.9609509312099298</v>
      </c>
      <c r="AI292" s="3">
        <f t="shared" si="335"/>
        <v>0.87830388878303556</v>
      </c>
      <c r="AJ292" s="3">
        <f t="shared" si="335"/>
        <v>0.79852877338072181</v>
      </c>
      <c r="AK292" s="3">
        <f t="shared" si="335"/>
        <v>0.72132849064547</v>
      </c>
      <c r="AL292" s="3">
        <f t="shared" si="335"/>
        <v>0.64642911074937903</v>
      </c>
      <c r="AM292" s="3">
        <f t="shared" si="335"/>
        <v>0.57357710608187695</v>
      </c>
      <c r="AN292" s="3">
        <f t="shared" si="335"/>
        <v>0.50253757047987491</v>
      </c>
      <c r="AO292" s="3">
        <f t="shared" si="335"/>
        <v>0.43309271256118775</v>
      </c>
      <c r="AP292" s="3">
        <f t="shared" si="335"/>
        <v>0.36504094795316966</v>
      </c>
      <c r="AQ292" s="3">
        <f t="shared" si="335"/>
        <v>0.31193832542436817</v>
      </c>
      <c r="AR292" s="3">
        <f t="shared" si="335"/>
        <v>0.28847200691329278</v>
      </c>
      <c r="AS292" s="3">
        <f t="shared" si="335"/>
        <v>0.26678526011476883</v>
      </c>
      <c r="AT292" s="3">
        <f t="shared" si="335"/>
        <v>0.24673959338955859</v>
      </c>
      <c r="AU292" s="3">
        <f t="shared" si="335"/>
        <v>0.22820815713289824</v>
      </c>
      <c r="AV292" s="3">
        <f t="shared" si="335"/>
        <v>0.21107466002943454</v>
      </c>
      <c r="AW292" s="3">
        <f t="shared" si="335"/>
        <v>0.19523227227427864</v>
      </c>
      <c r="AX292" s="3">
        <f t="shared" si="335"/>
        <v>0.18058263715056788</v>
      </c>
      <c r="AY292" s="3">
        <f t="shared" si="335"/>
        <v>0.16703507838097678</v>
      </c>
      <c r="AZ292" s="3">
        <f t="shared" si="335"/>
        <v>0.1545059402991063</v>
      </c>
      <c r="BA292" s="3">
        <f t="shared" si="335"/>
        <v>0.14291796731057924</v>
      </c>
      <c r="BB292" s="3">
        <f t="shared" si="335"/>
        <v>0.13219978614458841</v>
      </c>
      <c r="BC292" s="3">
        <f t="shared" si="335"/>
        <v>0.12228540911931517</v>
      </c>
      <c r="BD292" s="3">
        <f t="shared" si="335"/>
        <v>0.11311383995302275</v>
      </c>
      <c r="BE292" s="3">
        <f t="shared" si="335"/>
        <v>0.10462870481444576</v>
      </c>
      <c r="BF292" s="3">
        <f t="shared" si="335"/>
        <v>9.6777938291629922E-2</v>
      </c>
      <c r="BG292" s="3">
        <f t="shared" si="335"/>
        <v>8.9513485667837608E-2</v>
      </c>
      <c r="BH292" s="3">
        <f t="shared" si="335"/>
        <v>8.2791024266598387E-2</v>
      </c>
      <c r="BI292" s="3">
        <f t="shared" si="335"/>
        <v>7.656969976852003E-2</v>
      </c>
    </row>
    <row r="293" spans="1:63" outlineLevel="1" x14ac:dyDescent="0.3">
      <c r="B293" t="s">
        <v>201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</row>
    <row r="294" spans="1:63" x14ac:dyDescent="0.3">
      <c r="A294" s="1" t="s">
        <v>216</v>
      </c>
      <c r="B294" s="1"/>
    </row>
    <row r="295" spans="1:63" outlineLevel="1" x14ac:dyDescent="0.3">
      <c r="B295" t="s">
        <v>90</v>
      </c>
      <c r="D295" s="3">
        <f>D214</f>
        <v>7.9477141507291987E-2</v>
      </c>
      <c r="E295" s="3">
        <f t="shared" ref="E295:BF295" si="336">E214</f>
        <v>7.9421285313428014E-2</v>
      </c>
      <c r="F295" s="3">
        <f t="shared" si="336"/>
        <v>7.7336753268406042E-2</v>
      </c>
      <c r="G295" s="3">
        <f t="shared" si="336"/>
        <v>7.2241093269343581E-2</v>
      </c>
      <c r="H295" s="3">
        <f t="shared" si="336"/>
        <v>8.8895231071976832E-2</v>
      </c>
      <c r="I295" s="3">
        <f t="shared" si="336"/>
        <v>9.2245749903176619E-2</v>
      </c>
      <c r="J295" s="3">
        <f t="shared" si="336"/>
        <v>9.3152585184067757E-2</v>
      </c>
      <c r="K295" s="3">
        <f t="shared" si="336"/>
        <v>3.3465997915580963E-2</v>
      </c>
      <c r="L295" s="3">
        <f t="shared" si="336"/>
        <v>9.0000000000000108E-2</v>
      </c>
      <c r="M295" s="3">
        <f t="shared" si="336"/>
        <v>0.13126471118235233</v>
      </c>
      <c r="N295" s="3">
        <f t="shared" si="336"/>
        <v>0.12361849948102578</v>
      </c>
      <c r="O295" s="3">
        <f t="shared" si="336"/>
        <v>0.12185835852202878</v>
      </c>
      <c r="P295" s="3">
        <f t="shared" si="336"/>
        <v>0.12524372988804042</v>
      </c>
      <c r="Q295" s="3">
        <f t="shared" si="336"/>
        <v>0.12862541591083901</v>
      </c>
      <c r="R295" s="3">
        <f t="shared" si="336"/>
        <v>0.13200168050716665</v>
      </c>
      <c r="S295" s="3">
        <f t="shared" si="336"/>
        <v>0.13537162616327494</v>
      </c>
      <c r="T295" s="3">
        <f t="shared" si="336"/>
        <v>0.13873514489195979</v>
      </c>
      <c r="U295" s="3">
        <f t="shared" si="336"/>
        <v>0.14209248947377223</v>
      </c>
      <c r="V295" s="3">
        <f t="shared" si="336"/>
        <v>0.14544404545721942</v>
      </c>
      <c r="W295" s="3">
        <f t="shared" si="336"/>
        <v>0.14879018695239277</v>
      </c>
      <c r="X295" s="3">
        <f t="shared" si="336"/>
        <v>0.1521313195766211</v>
      </c>
      <c r="Y295" s="3">
        <f t="shared" si="336"/>
        <v>0.15546778372853948</v>
      </c>
      <c r="Z295" s="3">
        <f t="shared" si="336"/>
        <v>0.15879964176219019</v>
      </c>
      <c r="AA295" s="3">
        <f t="shared" si="336"/>
        <v>0.16212647469530289</v>
      </c>
      <c r="AB295" s="3">
        <f t="shared" si="336"/>
        <v>0.1654472963031576</v>
      </c>
      <c r="AC295" s="3">
        <f t="shared" si="336"/>
        <v>0.16876065092559472</v>
      </c>
      <c r="AD295" s="3">
        <f t="shared" si="336"/>
        <v>0.17206492339947849</v>
      </c>
      <c r="AE295" s="3">
        <f t="shared" si="336"/>
        <v>0.17535865917793353</v>
      </c>
      <c r="AF295" s="3">
        <f t="shared" si="336"/>
        <v>0.17864093347953927</v>
      </c>
      <c r="AG295" s="3">
        <f t="shared" si="336"/>
        <v>0.18191143624768227</v>
      </c>
      <c r="AH295" s="3">
        <f t="shared" si="336"/>
        <v>0.18517038728688959</v>
      </c>
      <c r="AI295" s="3">
        <f t="shared" si="336"/>
        <v>0.18841836846616808</v>
      </c>
      <c r="AJ295" s="3">
        <f t="shared" si="336"/>
        <v>0.19165621930995227</v>
      </c>
      <c r="AK295" s="3">
        <f t="shared" si="336"/>
        <v>0.19488490406439027</v>
      </c>
      <c r="AL295" s="3">
        <f t="shared" si="336"/>
        <v>0.19810548229555558</v>
      </c>
      <c r="AM295" s="3">
        <f t="shared" si="336"/>
        <v>0.20131890132358596</v>
      </c>
      <c r="AN295" s="3">
        <f t="shared" si="336"/>
        <v>0.20452590858868142</v>
      </c>
      <c r="AO295" s="3">
        <f t="shared" si="336"/>
        <v>0.20772694610139714</v>
      </c>
      <c r="AP295" s="3">
        <f t="shared" si="336"/>
        <v>0.21092221087607266</v>
      </c>
      <c r="AQ295" s="3">
        <f t="shared" si="336"/>
        <v>0.21411160522706793</v>
      </c>
      <c r="AR295" s="3">
        <f t="shared" si="336"/>
        <v>0.21729479084208581</v>
      </c>
      <c r="AS295" s="3">
        <f t="shared" si="336"/>
        <v>0.22047133007580388</v>
      </c>
      <c r="AT295" s="3">
        <f t="shared" si="336"/>
        <v>0.22364095887031091</v>
      </c>
      <c r="AU295" s="3">
        <f t="shared" si="336"/>
        <v>0.22680379690057409</v>
      </c>
      <c r="AV295" s="3">
        <f t="shared" si="336"/>
        <v>0.22996041033439565</v>
      </c>
      <c r="AW295" s="3">
        <f t="shared" si="336"/>
        <v>0.2331117324437682</v>
      </c>
      <c r="AX295" s="3">
        <f t="shared" si="336"/>
        <v>0.23625891831323964</v>
      </c>
      <c r="AY295" s="3">
        <f t="shared" si="336"/>
        <v>0.23940325582337413</v>
      </c>
      <c r="AZ295" s="3">
        <f t="shared" si="336"/>
        <v>0.24254612075282772</v>
      </c>
      <c r="BA295" s="3">
        <f t="shared" si="336"/>
        <v>0.24568887637804102</v>
      </c>
      <c r="BB295" s="3">
        <f t="shared" si="336"/>
        <v>0.24883281973922897</v>
      </c>
      <c r="BC295" s="3">
        <f t="shared" si="336"/>
        <v>0.2519790653586042</v>
      </c>
      <c r="BD295" s="3">
        <f t="shared" si="336"/>
        <v>0.25512852484923748</v>
      </c>
      <c r="BE295" s="3">
        <f t="shared" si="336"/>
        <v>0.25828188133298269</v>
      </c>
      <c r="BF295" s="3">
        <f t="shared" si="336"/>
        <v>0.26117770551245062</v>
      </c>
      <c r="BG295" s="3">
        <f>BG214</f>
        <v>0.26163519762300536</v>
      </c>
      <c r="BH295" s="3">
        <f t="shared" ref="BH295:BI295" si="337">BH214</f>
        <v>0.26208851043644904</v>
      </c>
      <c r="BI295" s="3">
        <f t="shared" si="337"/>
        <v>0.26253826301209587</v>
      </c>
      <c r="BJ295" s="3"/>
      <c r="BK295" s="3"/>
    </row>
    <row r="296" spans="1:63" outlineLevel="1" x14ac:dyDescent="0.3">
      <c r="B296" t="s">
        <v>195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</row>
    <row r="297" spans="1:63" outlineLevel="1" x14ac:dyDescent="0.3">
      <c r="B297" t="s">
        <v>88</v>
      </c>
      <c r="D297" s="3">
        <f>D213</f>
        <v>4</v>
      </c>
      <c r="E297" s="3">
        <f t="shared" ref="E297:BF297" si="338">E213</f>
        <v>4.7300000000000004</v>
      </c>
      <c r="F297" s="3">
        <f t="shared" si="338"/>
        <v>4.8</v>
      </c>
      <c r="G297" s="3">
        <f t="shared" si="338"/>
        <v>5.1800000000000006</v>
      </c>
      <c r="H297" s="3">
        <f t="shared" si="338"/>
        <v>4.96</v>
      </c>
      <c r="I297" s="3">
        <f t="shared" si="338"/>
        <v>4.4000000000000004</v>
      </c>
      <c r="J297" s="3">
        <f t="shared" si="338"/>
        <v>3.9500000000000006</v>
      </c>
      <c r="K297" s="3">
        <f t="shared" si="338"/>
        <v>3.4200000000000004</v>
      </c>
      <c r="L297" s="3">
        <f t="shared" si="338"/>
        <v>4.26</v>
      </c>
      <c r="M297" s="3">
        <f t="shared" si="338"/>
        <v>4.3176162299239218</v>
      </c>
      <c r="N297" s="3">
        <f t="shared" si="338"/>
        <v>4.7461369399830939</v>
      </c>
      <c r="O297" s="3">
        <f t="shared" si="338"/>
        <v>4.5830453822582014</v>
      </c>
      <c r="P297" s="3">
        <f t="shared" si="338"/>
        <v>4.6166402549673267</v>
      </c>
      <c r="Q297" s="3">
        <f t="shared" si="338"/>
        <v>4.6492920729473264</v>
      </c>
      <c r="R297" s="3">
        <f t="shared" si="338"/>
        <v>4.6809993981109805</v>
      </c>
      <c r="S297" s="3">
        <f t="shared" si="338"/>
        <v>4.7117894378593217</v>
      </c>
      <c r="T297" s="3">
        <f t="shared" si="338"/>
        <v>4.7417137913186638</v>
      </c>
      <c r="U297" s="3">
        <f t="shared" si="338"/>
        <v>4.7708319379304207</v>
      </c>
      <c r="V297" s="3">
        <f t="shared" si="338"/>
        <v>4.7992030917794333</v>
      </c>
      <c r="W297" s="3">
        <f t="shared" si="338"/>
        <v>4.8268816078218437</v>
      </c>
      <c r="X297" s="3">
        <f t="shared" si="338"/>
        <v>4.8539188123937151</v>
      </c>
      <c r="Y297" s="3">
        <f t="shared" si="338"/>
        <v>4.8803602647238735</v>
      </c>
      <c r="Z297" s="3">
        <f t="shared" si="338"/>
        <v>4.9062396861513706</v>
      </c>
      <c r="AA297" s="3">
        <f t="shared" si="338"/>
        <v>4.9315737345525843</v>
      </c>
      <c r="AB297" s="3">
        <f t="shared" si="338"/>
        <v>4.9563607550466555</v>
      </c>
      <c r="AC297" s="3">
        <f t="shared" si="338"/>
        <v>4.9805850429027503</v>
      </c>
      <c r="AD297" s="3">
        <f t="shared" si="338"/>
        <v>5.0042268819730511</v>
      </c>
      <c r="AE297" s="3">
        <f t="shared" si="338"/>
        <v>5.0272719999111306</v>
      </c>
      <c r="AF297" s="3">
        <f t="shared" si="338"/>
        <v>5.0497216113073433</v>
      </c>
      <c r="AG297" s="3">
        <f t="shared" si="338"/>
        <v>5.0715937168385095</v>
      </c>
      <c r="AH297" s="3">
        <f t="shared" si="338"/>
        <v>5.0929196433222828</v>
      </c>
      <c r="AI297" s="3">
        <f t="shared" si="338"/>
        <v>5.1137386249378798</v>
      </c>
      <c r="AJ297" s="3">
        <f t="shared" si="338"/>
        <v>5.1340945179505617</v>
      </c>
      <c r="AK297" s="3">
        <f t="shared" si="338"/>
        <v>5.1540320199147569</v>
      </c>
      <c r="AL297" s="3">
        <f t="shared" si="338"/>
        <v>5.1735958808275484</v>
      </c>
      <c r="AM297" s="3">
        <f t="shared" si="338"/>
        <v>5.1928255772741139</v>
      </c>
      <c r="AN297" s="3">
        <f t="shared" si="338"/>
        <v>5.2117534286711482</v>
      </c>
      <c r="AO297" s="3">
        <f t="shared" si="338"/>
        <v>5.2304023913926443</v>
      </c>
      <c r="AP297" s="3">
        <f t="shared" si="338"/>
        <v>5.2487881311382152</v>
      </c>
      <c r="AQ297" s="3">
        <f t="shared" si="338"/>
        <v>5.2669182344461465</v>
      </c>
      <c r="AR297" s="3">
        <f t="shared" si="338"/>
        <v>5.2847939910166675</v>
      </c>
      <c r="AS297" s="3">
        <f t="shared" si="338"/>
        <v>5.3024141476720912</v>
      </c>
      <c r="AT297" s="3">
        <f t="shared" si="338"/>
        <v>5.3197815414474947</v>
      </c>
      <c r="AU297" s="3">
        <f t="shared" si="338"/>
        <v>5.3369078247292103</v>
      </c>
      <c r="AV297" s="3">
        <f t="shared" si="338"/>
        <v>5.3538144617759285</v>
      </c>
      <c r="AW297" s="3">
        <f t="shared" si="338"/>
        <v>5.3705303949448844</v>
      </c>
      <c r="AX297" s="3">
        <f t="shared" si="338"/>
        <v>5.3870883597407433</v>
      </c>
      <c r="AY297" s="3">
        <f t="shared" si="338"/>
        <v>5.4035226994435508</v>
      </c>
      <c r="AZ297" s="3">
        <f t="shared" si="338"/>
        <v>5.419868298990032</v>
      </c>
      <c r="BA297" s="3">
        <f t="shared" si="338"/>
        <v>5.4361583545806598</v>
      </c>
      <c r="BB297" s="3">
        <f t="shared" si="338"/>
        <v>5.452423295519969</v>
      </c>
      <c r="BC297" s="3">
        <f t="shared" si="338"/>
        <v>5.468688408827405</v>
      </c>
      <c r="BD297" s="3">
        <f t="shared" si="338"/>
        <v>5.4849736572120875</v>
      </c>
      <c r="BE297" s="3">
        <f t="shared" si="338"/>
        <v>5.5012933928171828</v>
      </c>
      <c r="BF297" s="3">
        <f t="shared" si="338"/>
        <v>5.5121295884100512</v>
      </c>
      <c r="BG297" s="3">
        <f>BG213</f>
        <v>5.4720201003029469</v>
      </c>
      <c r="BH297" s="3">
        <f t="shared" ref="BH297:BI297" si="339">BH213</f>
        <v>5.4327800690899437</v>
      </c>
      <c r="BI297" s="3">
        <f t="shared" si="339"/>
        <v>5.3943923461581296</v>
      </c>
      <c r="BJ297" s="3"/>
      <c r="BK297" s="3"/>
    </row>
    <row r="298" spans="1:63" outlineLevel="1" x14ac:dyDescent="0.3">
      <c r="B298" t="s">
        <v>196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</row>
    <row r="299" spans="1:63" outlineLevel="1" x14ac:dyDescent="0.3">
      <c r="B299" t="s">
        <v>197</v>
      </c>
      <c r="D299" s="3">
        <f>D209</f>
        <v>2.98</v>
      </c>
      <c r="E299" s="3">
        <f t="shared" ref="E299:BF299" si="340">E209</f>
        <v>3.3</v>
      </c>
      <c r="F299" s="3">
        <f t="shared" si="340"/>
        <v>3.68</v>
      </c>
      <c r="G299" s="3">
        <f t="shared" si="340"/>
        <v>3.91</v>
      </c>
      <c r="H299" s="3">
        <f t="shared" si="340"/>
        <v>3.87</v>
      </c>
      <c r="I299" s="3">
        <f t="shared" si="340"/>
        <v>4.75</v>
      </c>
      <c r="J299" s="3">
        <f t="shared" si="340"/>
        <v>5.17</v>
      </c>
      <c r="K299" s="3">
        <f t="shared" si="340"/>
        <v>5.96</v>
      </c>
      <c r="L299" s="3">
        <f t="shared" si="340"/>
        <v>6.51</v>
      </c>
      <c r="M299" s="3">
        <f t="shared" si="340"/>
        <v>6.72</v>
      </c>
      <c r="N299" s="3">
        <f t="shared" si="340"/>
        <v>8.4700000000000006</v>
      </c>
      <c r="O299" s="3">
        <f t="shared" si="340"/>
        <v>8.5976544584519505</v>
      </c>
      <c r="P299" s="3">
        <f t="shared" si="340"/>
        <v>9.0801197477214952</v>
      </c>
      <c r="Q299" s="3">
        <f t="shared" si="340"/>
        <v>9.5644159065671293</v>
      </c>
      <c r="R299" s="3">
        <f t="shared" si="340"/>
        <v>10.050254476958049</v>
      </c>
      <c r="S299" s="3">
        <f t="shared" si="340"/>
        <v>10.537413684487884</v>
      </c>
      <c r="T299" s="3">
        <f t="shared" si="340"/>
        <v>11.025741240242828</v>
      </c>
      <c r="U299" s="3">
        <f t="shared" si="340"/>
        <v>11.515125093109241</v>
      </c>
      <c r="V299" s="3">
        <f t="shared" si="340"/>
        <v>12.005476227517885</v>
      </c>
      <c r="W299" s="3">
        <f t="shared" si="340"/>
        <v>12.496716332331589</v>
      </c>
      <c r="X299" s="3">
        <f t="shared" si="340"/>
        <v>12.988780271154758</v>
      </c>
      <c r="Y299" s="3">
        <f t="shared" si="340"/>
        <v>13.481606920371888</v>
      </c>
      <c r="Z299" s="3">
        <f t="shared" si="340"/>
        <v>13.975119127825355</v>
      </c>
      <c r="AA299" s="3">
        <f t="shared" si="340"/>
        <v>14.469203079340659</v>
      </c>
      <c r="AB299" s="3">
        <f t="shared" si="340"/>
        <v>14.963697087182837</v>
      </c>
      <c r="AC299" s="3">
        <f t="shared" si="340"/>
        <v>15.458396971775503</v>
      </c>
      <c r="AD299" s="3">
        <f t="shared" si="340"/>
        <v>15.953082134268453</v>
      </c>
      <c r="AE299" s="3">
        <f t="shared" si="340"/>
        <v>16.447544859477784</v>
      </c>
      <c r="AF299" s="3">
        <f t="shared" si="340"/>
        <v>16.941626342851272</v>
      </c>
      <c r="AG299" s="3">
        <f t="shared" si="340"/>
        <v>17.435227613080073</v>
      </c>
      <c r="AH299" s="3">
        <f t="shared" si="340"/>
        <v>17.928304241823955</v>
      </c>
      <c r="AI299" s="3">
        <f t="shared" si="340"/>
        <v>18.420852186493512</v>
      </c>
      <c r="AJ299" s="3">
        <f t="shared" si="340"/>
        <v>18.912898756346657</v>
      </c>
      <c r="AK299" s="3">
        <f t="shared" si="340"/>
        <v>19.404490065604687</v>
      </c>
      <c r="AL299" s="3">
        <f t="shared" si="340"/>
        <v>19.895688135241048</v>
      </c>
      <c r="AM299" s="3">
        <f t="shared" si="340"/>
        <v>20.386549800783555</v>
      </c>
      <c r="AN299" s="3">
        <f t="shared" si="340"/>
        <v>20.877116859020024</v>
      </c>
      <c r="AO299" s="3">
        <f t="shared" si="340"/>
        <v>21.367404036588272</v>
      </c>
      <c r="AP299" s="3">
        <f t="shared" si="340"/>
        <v>21.857403774979897</v>
      </c>
      <c r="AQ299" s="3">
        <f t="shared" si="340"/>
        <v>22.347079914419684</v>
      </c>
      <c r="AR299" s="3">
        <f t="shared" si="340"/>
        <v>22.836372162286253</v>
      </c>
      <c r="AS299" s="3">
        <f t="shared" si="340"/>
        <v>23.325210116785506</v>
      </c>
      <c r="AT299" s="3">
        <f t="shared" si="340"/>
        <v>23.813541961111188</v>
      </c>
      <c r="AU299" s="3">
        <f t="shared" si="340"/>
        <v>24.301357551160699</v>
      </c>
      <c r="AV299" s="3">
        <f t="shared" si="340"/>
        <v>24.788696388399007</v>
      </c>
      <c r="AW299" s="3">
        <f t="shared" si="340"/>
        <v>25.275640323981872</v>
      </c>
      <c r="AX299" s="3">
        <f t="shared" si="340"/>
        <v>25.762298682823669</v>
      </c>
      <c r="AY299" s="3">
        <f t="shared" si="340"/>
        <v>26.248798961555455</v>
      </c>
      <c r="AZ299" s="3">
        <f t="shared" si="340"/>
        <v>26.735282042869613</v>
      </c>
      <c r="BA299" s="3">
        <f t="shared" si="340"/>
        <v>27.221891094520345</v>
      </c>
      <c r="BB299" s="3">
        <f t="shared" si="340"/>
        <v>27.70876532778518</v>
      </c>
      <c r="BC299" s="3">
        <f t="shared" si="340"/>
        <v>28.196026600361872</v>
      </c>
      <c r="BD299" s="3">
        <f t="shared" si="340"/>
        <v>28.683776457497515</v>
      </c>
      <c r="BE299" s="3">
        <f t="shared" si="340"/>
        <v>29.172092570354664</v>
      </c>
      <c r="BF299" s="3">
        <f t="shared" si="340"/>
        <v>29.631316606387507</v>
      </c>
      <c r="BG299" s="3">
        <f>BG209</f>
        <v>29.812566527115958</v>
      </c>
      <c r="BH299" s="3">
        <f t="shared" ref="BH299:BI299" si="341">BH209</f>
        <v>29.990853192104225</v>
      </c>
      <c r="BI299" s="3">
        <f t="shared" si="341"/>
        <v>30.166325365491808</v>
      </c>
      <c r="BJ299" s="3"/>
      <c r="BK299" s="3"/>
    </row>
    <row r="300" spans="1:63" outlineLevel="1" x14ac:dyDescent="0.3">
      <c r="B300" t="s">
        <v>198</v>
      </c>
      <c r="D300" s="3">
        <f>D210+D211</f>
        <v>6.93</v>
      </c>
      <c r="E300" s="3">
        <f t="shared" ref="E300:BF300" si="342">E210+E211</f>
        <v>6.92</v>
      </c>
      <c r="F300" s="3">
        <f t="shared" si="342"/>
        <v>6.93</v>
      </c>
      <c r="G300" s="3">
        <f t="shared" si="342"/>
        <v>6.94</v>
      </c>
      <c r="H300" s="3">
        <f t="shared" si="342"/>
        <v>6.9399999999999995</v>
      </c>
      <c r="I300" s="3">
        <f t="shared" si="342"/>
        <v>6.94</v>
      </c>
      <c r="J300" s="3">
        <f t="shared" si="342"/>
        <v>6.94</v>
      </c>
      <c r="K300" s="3">
        <f t="shared" si="342"/>
        <v>6.9499999999999993</v>
      </c>
      <c r="L300" s="3">
        <f t="shared" si="342"/>
        <v>6.96</v>
      </c>
      <c r="M300" s="3">
        <f t="shared" si="342"/>
        <v>6.9708478473995701</v>
      </c>
      <c r="N300" s="3">
        <f t="shared" si="342"/>
        <v>6.981695694799142</v>
      </c>
      <c r="O300" s="3">
        <f t="shared" si="342"/>
        <v>6.6364737224443022</v>
      </c>
      <c r="P300" s="3">
        <f t="shared" si="342"/>
        <v>6.579626458899428</v>
      </c>
      <c r="Q300" s="3">
        <f t="shared" si="342"/>
        <v>6.5205081641296143</v>
      </c>
      <c r="R300" s="3">
        <f t="shared" si="342"/>
        <v>6.4591886275010264</v>
      </c>
      <c r="S300" s="3">
        <f t="shared" si="342"/>
        <v>6.3957758624997787</v>
      </c>
      <c r="T300" s="3">
        <f t="shared" si="342"/>
        <v>6.3304072353362457</v>
      </c>
      <c r="U300" s="3">
        <f t="shared" si="342"/>
        <v>6.2632251212031989</v>
      </c>
      <c r="V300" s="3">
        <f t="shared" si="342"/>
        <v>6.194365592153245</v>
      </c>
      <c r="W300" s="3">
        <f t="shared" si="342"/>
        <v>6.1239526990361313</v>
      </c>
      <c r="X300" s="3">
        <f t="shared" si="342"/>
        <v>6.0521013645379274</v>
      </c>
      <c r="Y300" s="3">
        <f t="shared" si="342"/>
        <v>5.9789144299589019</v>
      </c>
      <c r="Z300" s="3">
        <f t="shared" si="342"/>
        <v>5.9044760406757817</v>
      </c>
      <c r="AA300" s="3">
        <f t="shared" si="342"/>
        <v>5.8288468032341516</v>
      </c>
      <c r="AB300" s="3">
        <f t="shared" si="342"/>
        <v>5.7520642066828422</v>
      </c>
      <c r="AC300" s="3">
        <f t="shared" si="342"/>
        <v>5.6741494532648122</v>
      </c>
      <c r="AD300" s="3">
        <f t="shared" si="342"/>
        <v>5.5951201734265723</v>
      </c>
      <c r="AE300" s="3">
        <f t="shared" si="342"/>
        <v>5.5150012086544304</v>
      </c>
      <c r="AF300" s="3">
        <f t="shared" si="342"/>
        <v>5.4338348318732059</v>
      </c>
      <c r="AG300" s="3">
        <f t="shared" si="342"/>
        <v>5.3516804944969962</v>
      </c>
      <c r="AH300" s="3">
        <f t="shared" si="342"/>
        <v>5.2686095143254104</v>
      </c>
      <c r="AI300" s="3">
        <f t="shared" si="342"/>
        <v>5.1846982328551192</v>
      </c>
      <c r="AJ300" s="3">
        <f t="shared" si="342"/>
        <v>5.1000239800841136</v>
      </c>
      <c r="AK300" s="3">
        <f t="shared" si="342"/>
        <v>5.0146609715292136</v>
      </c>
      <c r="AL300" s="3">
        <f t="shared" si="342"/>
        <v>4.9286795226704037</v>
      </c>
      <c r="AM300" s="3">
        <f t="shared" si="342"/>
        <v>4.8421411288887013</v>
      </c>
      <c r="AN300" s="3">
        <f t="shared" si="342"/>
        <v>4.7550973270980528</v>
      </c>
      <c r="AO300" s="3">
        <f t="shared" si="342"/>
        <v>4.6675884867710975</v>
      </c>
      <c r="AP300" s="3">
        <f t="shared" si="342"/>
        <v>4.5796465851482253</v>
      </c>
      <c r="AQ300" s="3">
        <f t="shared" si="342"/>
        <v>4.4912952820134322</v>
      </c>
      <c r="AR300" s="3">
        <f t="shared" si="342"/>
        <v>4.4025522176770568</v>
      </c>
      <c r="AS300" s="3">
        <f t="shared" si="342"/>
        <v>4.3134326930065621</v>
      </c>
      <c r="AT300" s="3">
        <f t="shared" si="342"/>
        <v>4.22395518724346</v>
      </c>
      <c r="AU300" s="3">
        <f t="shared" si="342"/>
        <v>4.1341446228709797</v>
      </c>
      <c r="AV300" s="3">
        <f t="shared" si="342"/>
        <v>4.0440322735490728</v>
      </c>
      <c r="AW300" s="3">
        <f t="shared" si="342"/>
        <v>3.9536531185510144</v>
      </c>
      <c r="AX300" s="3">
        <f t="shared" si="342"/>
        <v>3.8630425095736767</v>
      </c>
      <c r="AY300" s="3">
        <f t="shared" si="342"/>
        <v>3.7722343146592925</v>
      </c>
      <c r="AZ300" s="3">
        <f t="shared" si="342"/>
        <v>3.6812600750243227</v>
      </c>
      <c r="BA300" s="3">
        <f t="shared" si="342"/>
        <v>3.5901475150039972</v>
      </c>
      <c r="BB300" s="3">
        <f t="shared" si="342"/>
        <v>3.498920041934352</v>
      </c>
      <c r="BC300" s="3">
        <f t="shared" si="342"/>
        <v>3.4075955552169646</v>
      </c>
      <c r="BD300" s="3">
        <f t="shared" si="342"/>
        <v>3.3161868410412021</v>
      </c>
      <c r="BE300" s="3">
        <f t="shared" si="342"/>
        <v>3.2247019185984658</v>
      </c>
      <c r="BF300" s="3">
        <f t="shared" si="342"/>
        <v>3.1300062536930251</v>
      </c>
      <c r="BG300" s="3">
        <f>BG210+BG211</f>
        <v>3.0074147124033068</v>
      </c>
      <c r="BH300" s="3">
        <f t="shared" ref="BH300:BI300" si="343">BH210+BH211</f>
        <v>2.8872377110219487</v>
      </c>
      <c r="BI300" s="3">
        <f t="shared" si="343"/>
        <v>2.7694049105560818</v>
      </c>
      <c r="BJ300" s="3"/>
      <c r="BK300" s="3"/>
    </row>
    <row r="301" spans="1:63" outlineLevel="1" x14ac:dyDescent="0.3">
      <c r="B301" t="s">
        <v>199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</row>
    <row r="302" spans="1:63" outlineLevel="1" x14ac:dyDescent="0.3">
      <c r="B302" t="s">
        <v>200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</row>
    <row r="303" spans="1:63" outlineLevel="1" x14ac:dyDescent="0.3">
      <c r="B303" t="s">
        <v>86</v>
      </c>
      <c r="D303" s="3">
        <f>D212</f>
        <v>18.359862705179303</v>
      </c>
      <c r="E303" s="3">
        <f t="shared" ref="E303:BF303" si="344">E212</f>
        <v>17.536594731234199</v>
      </c>
      <c r="F303" s="3">
        <f t="shared" si="344"/>
        <v>17.339470041513017</v>
      </c>
      <c r="G303" s="3">
        <f t="shared" si="344"/>
        <v>17.240396017567168</v>
      </c>
      <c r="H303" s="3">
        <f t="shared" si="344"/>
        <v>17.056307862459416</v>
      </c>
      <c r="I303" s="3">
        <f t="shared" si="344"/>
        <v>17.334976103099478</v>
      </c>
      <c r="J303" s="3">
        <f t="shared" si="344"/>
        <v>17.203414143925063</v>
      </c>
      <c r="K303" s="3">
        <f t="shared" si="344"/>
        <v>19.959897577031125</v>
      </c>
      <c r="L303" s="3">
        <f t="shared" si="344"/>
        <v>16.920000000000002</v>
      </c>
      <c r="M303" s="3">
        <f t="shared" si="344"/>
        <v>18.464880293188422</v>
      </c>
      <c r="N303" s="3">
        <f t="shared" si="344"/>
        <v>16.88637230494172</v>
      </c>
      <c r="O303" s="3">
        <f t="shared" si="344"/>
        <v>15.89044254811061</v>
      </c>
      <c r="P303" s="3">
        <f t="shared" si="344"/>
        <v>15.590532500376003</v>
      </c>
      <c r="Q303" s="3">
        <f t="shared" si="344"/>
        <v>15.283778848681093</v>
      </c>
      <c r="R303" s="3">
        <f t="shared" si="344"/>
        <v>14.970460288239556</v>
      </c>
      <c r="S303" s="3">
        <f t="shared" si="344"/>
        <v>14.650941983195089</v>
      </c>
      <c r="T303" s="3">
        <f t="shared" si="344"/>
        <v>14.325650114510966</v>
      </c>
      <c r="U303" s="3">
        <f t="shared" si="344"/>
        <v>13.995012916572524</v>
      </c>
      <c r="V303" s="3">
        <f t="shared" si="344"/>
        <v>13.659434341568902</v>
      </c>
      <c r="W303" s="3">
        <f t="shared" si="344"/>
        <v>13.319281818179631</v>
      </c>
      <c r="X303" s="3">
        <f t="shared" si="344"/>
        <v>12.974893555015878</v>
      </c>
      <c r="Y303" s="3">
        <f t="shared" si="344"/>
        <v>12.626573041037643</v>
      </c>
      <c r="Z303" s="3">
        <f t="shared" si="344"/>
        <v>12.274576586565306</v>
      </c>
      <c r="AA303" s="3">
        <f t="shared" si="344"/>
        <v>11.91910595671966</v>
      </c>
      <c r="AB303" s="3">
        <f t="shared" si="344"/>
        <v>11.560312843231344</v>
      </c>
      <c r="AC303" s="3">
        <f t="shared" si="344"/>
        <v>11.198316241232739</v>
      </c>
      <c r="AD303" s="3">
        <f t="shared" si="344"/>
        <v>10.833230066652424</v>
      </c>
      <c r="AE303" s="3">
        <f t="shared" si="344"/>
        <v>10.465184458468133</v>
      </c>
      <c r="AF303" s="3">
        <f t="shared" si="344"/>
        <v>10.094343539180972</v>
      </c>
      <c r="AG303" s="3">
        <f t="shared" si="344"/>
        <v>9.7209014955412059</v>
      </c>
      <c r="AH303" s="3">
        <f t="shared" si="344"/>
        <v>9.3450693903981055</v>
      </c>
      <c r="AI303" s="3">
        <f t="shared" si="344"/>
        <v>8.9670603372940914</v>
      </c>
      <c r="AJ303" s="3">
        <f t="shared" si="344"/>
        <v>8.587080959621721</v>
      </c>
      <c r="AK303" s="3">
        <f t="shared" si="344"/>
        <v>8.2053236963012051</v>
      </c>
      <c r="AL303" s="3">
        <f t="shared" si="344"/>
        <v>7.8219654747140979</v>
      </c>
      <c r="AM303" s="3">
        <f t="shared" si="344"/>
        <v>7.4371602650734632</v>
      </c>
      <c r="AN303" s="3">
        <f t="shared" si="344"/>
        <v>7.0510388224705265</v>
      </c>
      <c r="AO303" s="3">
        <f t="shared" si="344"/>
        <v>6.6637088744509647</v>
      </c>
      <c r="AP303" s="3">
        <f t="shared" si="344"/>
        <v>6.2752614156030662</v>
      </c>
      <c r="AQ303" s="3">
        <f t="shared" si="344"/>
        <v>5.8857727754526792</v>
      </c>
      <c r="AR303" s="3">
        <f t="shared" si="344"/>
        <v>5.4953096815230316</v>
      </c>
      <c r="AS303" s="3">
        <f t="shared" si="344"/>
        <v>5.1039353445834248</v>
      </c>
      <c r="AT303" s="3">
        <f t="shared" si="344"/>
        <v>4.7117163245937403</v>
      </c>
      <c r="AU303" s="3">
        <f t="shared" si="344"/>
        <v>4.3187247937892552</v>
      </c>
      <c r="AV303" s="3">
        <f t="shared" si="344"/>
        <v>3.9250359328224951</v>
      </c>
      <c r="AW303" s="3">
        <f t="shared" si="344"/>
        <v>3.5307227356093391</v>
      </c>
      <c r="AX303" s="3">
        <f t="shared" si="344"/>
        <v>3.1358511379258749</v>
      </c>
      <c r="AY303" s="3">
        <f t="shared" si="344"/>
        <v>2.7404776047393273</v>
      </c>
      <c r="AZ303" s="3">
        <f t="shared" si="344"/>
        <v>2.3446481991202912</v>
      </c>
      <c r="BA303" s="3">
        <f t="shared" si="344"/>
        <v>1.948397715503295</v>
      </c>
      <c r="BB303" s="3">
        <f t="shared" si="344"/>
        <v>1.5517501297180318</v>
      </c>
      <c r="BC303" s="3">
        <f t="shared" si="344"/>
        <v>1.1547192388858702</v>
      </c>
      <c r="BD303" s="3">
        <f t="shared" si="344"/>
        <v>0.7573106286538398</v>
      </c>
      <c r="BE303" s="3">
        <f t="shared" si="344"/>
        <v>0.35952368330588075</v>
      </c>
      <c r="BF303" s="3">
        <f t="shared" si="344"/>
        <v>0</v>
      </c>
      <c r="BG303" s="3">
        <f>BG212</f>
        <v>0</v>
      </c>
      <c r="BH303" s="3">
        <f t="shared" ref="BH303:BI303" si="345">BH212</f>
        <v>0</v>
      </c>
      <c r="BI303" s="3">
        <f t="shared" si="345"/>
        <v>0</v>
      </c>
      <c r="BJ303" s="3"/>
      <c r="BK303" s="3"/>
    </row>
    <row r="304" spans="1:63" outlineLevel="1" x14ac:dyDescent="0.3">
      <c r="B304" t="s">
        <v>201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</row>
    <row r="305" spans="1:61" x14ac:dyDescent="0.3">
      <c r="A305" s="1" t="s">
        <v>206</v>
      </c>
      <c r="B305" s="1"/>
    </row>
    <row r="306" spans="1:61" outlineLevel="1" x14ac:dyDescent="0.3">
      <c r="B306" t="s">
        <v>90</v>
      </c>
      <c r="D306" s="3">
        <f>D172</f>
        <v>29.729010989010995</v>
      </c>
      <c r="E306" s="3">
        <f t="shared" ref="E306:BI306" si="346">E172</f>
        <v>30.893292178603538</v>
      </c>
      <c r="F306" s="3">
        <f t="shared" si="346"/>
        <v>31.807285688930964</v>
      </c>
      <c r="G306" s="3">
        <f t="shared" si="346"/>
        <v>33.303870405957234</v>
      </c>
      <c r="H306" s="3">
        <f t="shared" si="346"/>
        <v>33.120585244738706</v>
      </c>
      <c r="I306" s="3">
        <f t="shared" si="346"/>
        <v>31.990309024228935</v>
      </c>
      <c r="J306" s="3">
        <f t="shared" si="346"/>
        <v>32.877077820543654</v>
      </c>
      <c r="K306" s="3">
        <f t="shared" si="346"/>
        <v>34.925413366336635</v>
      </c>
      <c r="L306" s="3">
        <f t="shared" si="346"/>
        <v>34.94</v>
      </c>
      <c r="M306" s="3">
        <f t="shared" si="346"/>
        <v>37.115698845801255</v>
      </c>
      <c r="N306" s="3">
        <f t="shared" si="346"/>
        <v>36.29722750890479</v>
      </c>
      <c r="O306" s="3">
        <f t="shared" si="346"/>
        <v>36.452032749768001</v>
      </c>
      <c r="P306" s="3">
        <f t="shared" si="346"/>
        <v>37.04055487992072</v>
      </c>
      <c r="Q306" s="3">
        <f t="shared" si="346"/>
        <v>37.629241664473511</v>
      </c>
      <c r="R306" s="3">
        <f t="shared" si="346"/>
        <v>38.217979258722572</v>
      </c>
      <c r="S306" s="3">
        <f t="shared" si="346"/>
        <v>38.806886668013568</v>
      </c>
      <c r="T306" s="3">
        <f t="shared" si="346"/>
        <v>39.396290705458846</v>
      </c>
      <c r="U306" s="3">
        <f t="shared" si="346"/>
        <v>39.986596647711913</v>
      </c>
      <c r="V306" s="3">
        <f t="shared" si="346"/>
        <v>40.578222581486841</v>
      </c>
      <c r="W306" s="3">
        <f t="shared" si="346"/>
        <v>41.171560498872054</v>
      </c>
      <c r="X306" s="3">
        <f t="shared" si="346"/>
        <v>41.76699060546872</v>
      </c>
      <c r="Y306" s="3">
        <f t="shared" si="346"/>
        <v>42.364856754766514</v>
      </c>
      <c r="Z306" s="3">
        <f t="shared" si="346"/>
        <v>42.965411415560546</v>
      </c>
      <c r="AA306" s="3">
        <f t="shared" si="346"/>
        <v>43.568765231564221</v>
      </c>
      <c r="AB306" s="3">
        <f t="shared" si="346"/>
        <v>44.174869445122802</v>
      </c>
      <c r="AC306" s="3">
        <f t="shared" si="346"/>
        <v>44.783547104661139</v>
      </c>
      <c r="AD306" s="3">
        <f t="shared" si="346"/>
        <v>45.394578492450819</v>
      </c>
      <c r="AE306" s="3">
        <f t="shared" si="346"/>
        <v>46.007785894132141</v>
      </c>
      <c r="AF306" s="3">
        <f t="shared" si="346"/>
        <v>46.623128351642727</v>
      </c>
      <c r="AG306" s="3">
        <f t="shared" si="346"/>
        <v>47.240719967156203</v>
      </c>
      <c r="AH306" s="3">
        <f t="shared" si="346"/>
        <v>47.86080430988531</v>
      </c>
      <c r="AI306" s="3">
        <f t="shared" si="346"/>
        <v>48.48370871790442</v>
      </c>
      <c r="AJ306" s="3">
        <f t="shared" si="346"/>
        <v>49.109816429100285</v>
      </c>
      <c r="AK306" s="3">
        <f t="shared" si="346"/>
        <v>49.7395323524511</v>
      </c>
      <c r="AL306" s="3">
        <f t="shared" si="346"/>
        <v>50.373276082864095</v>
      </c>
      <c r="AM306" s="3">
        <f t="shared" si="346"/>
        <v>51.011429953189804</v>
      </c>
      <c r="AN306" s="3">
        <f t="shared" si="346"/>
        <v>51.654318407176731</v>
      </c>
      <c r="AO306" s="3">
        <f t="shared" si="346"/>
        <v>52.302183090645656</v>
      </c>
      <c r="AP306" s="3">
        <f t="shared" si="346"/>
        <v>52.955199837135233</v>
      </c>
      <c r="AQ306" s="3">
        <f t="shared" si="346"/>
        <v>53.613467537773637</v>
      </c>
      <c r="AR306" s="3">
        <f t="shared" si="346"/>
        <v>54.277022891275976</v>
      </c>
      <c r="AS306" s="3">
        <f t="shared" si="346"/>
        <v>54.945876464206037</v>
      </c>
      <c r="AT306" s="3">
        <f t="shared" si="346"/>
        <v>55.620080862863851</v>
      </c>
      <c r="AU306" s="3">
        <f t="shared" si="346"/>
        <v>56.299782476946113</v>
      </c>
      <c r="AV306" s="3">
        <f t="shared" si="346"/>
        <v>56.985236277139862</v>
      </c>
      <c r="AW306" s="3">
        <f t="shared" si="346"/>
        <v>57.676785540821861</v>
      </c>
      <c r="AX306" s="3">
        <f t="shared" si="346"/>
        <v>58.374825722798491</v>
      </c>
      <c r="AY306" s="3">
        <f t="shared" si="346"/>
        <v>59.079782675016347</v>
      </c>
      <c r="AZ306" s="3">
        <f t="shared" si="346"/>
        <v>59.792101982127903</v>
      </c>
      <c r="BA306" s="3">
        <f t="shared" si="346"/>
        <v>60.512224730260051</v>
      </c>
      <c r="BB306" s="3">
        <f t="shared" si="346"/>
        <v>61.24057488849261</v>
      </c>
      <c r="BC306" s="3">
        <f t="shared" si="346"/>
        <v>61.977531314937515</v>
      </c>
      <c r="BD306" s="3">
        <f t="shared" si="346"/>
        <v>62.723423352020291</v>
      </c>
      <c r="BE306" s="3">
        <f t="shared" si="346"/>
        <v>63.478525035447674</v>
      </c>
      <c r="BF306" s="3">
        <f t="shared" si="346"/>
        <v>64.243067954363809</v>
      </c>
      <c r="BG306" s="3">
        <f t="shared" si="346"/>
        <v>65.017258532204579</v>
      </c>
      <c r="BH306" s="3">
        <f t="shared" si="346"/>
        <v>65.801302877265272</v>
      </c>
      <c r="BI306" s="3">
        <f t="shared" si="346"/>
        <v>66.595438381588039</v>
      </c>
    </row>
    <row r="307" spans="1:61" outlineLevel="1" x14ac:dyDescent="0.3">
      <c r="B307" t="s">
        <v>195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</row>
    <row r="308" spans="1:61" outlineLevel="1" x14ac:dyDescent="0.3">
      <c r="B308" t="s">
        <v>88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</row>
    <row r="309" spans="1:61" outlineLevel="1" x14ac:dyDescent="0.3">
      <c r="B309" t="s">
        <v>196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</row>
    <row r="310" spans="1:61" outlineLevel="1" x14ac:dyDescent="0.3">
      <c r="B310" t="s">
        <v>197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</row>
    <row r="311" spans="1:61" outlineLevel="1" x14ac:dyDescent="0.3">
      <c r="B311" t="s">
        <v>198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</row>
    <row r="312" spans="1:61" outlineLevel="1" x14ac:dyDescent="0.3">
      <c r="B312" t="s">
        <v>199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</row>
    <row r="313" spans="1:61" outlineLevel="1" x14ac:dyDescent="0.3">
      <c r="B313" t="s">
        <v>200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</row>
    <row r="314" spans="1:61" outlineLevel="1" x14ac:dyDescent="0.3">
      <c r="B314" t="s">
        <v>86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</row>
    <row r="315" spans="1:61" outlineLevel="1" x14ac:dyDescent="0.3">
      <c r="B315" t="s">
        <v>201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</row>
  </sheetData>
  <pageMargins left="0.7" right="0.7" top="0.75" bottom="0.75" header="0.3" footer="0.3"/>
  <ignoredErrors>
    <ignoredError sqref="D16:N23" formulaRange="1"/>
  </ignoredError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BAC08-2D1B-43A9-AC9C-B9E4A7E32233}">
  <sheetPr>
    <outlinePr summaryBelow="0"/>
  </sheetPr>
  <dimension ref="A2:BI117"/>
  <sheetViews>
    <sheetView topLeftCell="A99" workbookViewId="0">
      <selection activeCell="E106" sqref="E106"/>
    </sheetView>
  </sheetViews>
  <sheetFormatPr defaultColWidth="11.44140625" defaultRowHeight="14.4" outlineLevelRow="3" x14ac:dyDescent="0.3"/>
  <cols>
    <col min="4" max="14" width="10.33203125" customWidth="1"/>
  </cols>
  <sheetData>
    <row r="2" spans="1:61" x14ac:dyDescent="0.3">
      <c r="A2" t="s">
        <v>52</v>
      </c>
      <c r="D2">
        <v>2013</v>
      </c>
      <c r="E2">
        <v>2014</v>
      </c>
      <c r="F2">
        <v>2015</v>
      </c>
      <c r="G2">
        <v>2016</v>
      </c>
      <c r="H2">
        <v>2017</v>
      </c>
      <c r="I2">
        <v>2018</v>
      </c>
      <c r="J2">
        <v>2019</v>
      </c>
      <c r="K2">
        <v>2020</v>
      </c>
      <c r="L2">
        <v>2021</v>
      </c>
      <c r="M2">
        <v>2022</v>
      </c>
      <c r="N2">
        <v>2023</v>
      </c>
    </row>
    <row r="3" spans="1:61" outlineLevel="1" x14ac:dyDescent="0.3">
      <c r="B3" t="s">
        <v>217</v>
      </c>
      <c r="D3" s="3">
        <f>SUM(Pub!C3:C29,Pub!C35:C61)</f>
        <v>26.47</v>
      </c>
      <c r="E3" s="3">
        <f>SUM(Pub!D3:D29,Pub!D35:D61)</f>
        <v>25.159999999999997</v>
      </c>
      <c r="F3" s="3">
        <f>SUM(Pub!E3:E29,Pub!E35:E61)</f>
        <v>25.68</v>
      </c>
      <c r="G3" s="3">
        <f>SUM(Pub!F3:F29,Pub!F35:F61)</f>
        <v>24.85</v>
      </c>
      <c r="H3" s="3">
        <f>SUM(Pub!G3:G29,Pub!G35:G61)</f>
        <v>24.18</v>
      </c>
      <c r="I3" s="3">
        <f>SUM(Pub!H3:H29,Pub!H35:H61)</f>
        <v>24.83</v>
      </c>
      <c r="J3" s="3">
        <f>SUM(Pub!I3:I29,Pub!I35:I61)</f>
        <v>24.76</v>
      </c>
      <c r="K3" s="3">
        <f>SUM(Pub!J3:J29,Pub!J35:J61)</f>
        <v>23.72</v>
      </c>
      <c r="L3" s="3">
        <f>SUM(Pub!K3:K29,Pub!K35:K61)</f>
        <v>22.619999999999997</v>
      </c>
      <c r="M3" s="3">
        <f>M6+M8</f>
        <v>23.911701065246337</v>
      </c>
      <c r="N3" s="3">
        <f>N6+N8</f>
        <v>21.983645139813582</v>
      </c>
      <c r="O3" s="3"/>
    </row>
    <row r="4" spans="1:61" outlineLevel="1" x14ac:dyDescent="0.3">
      <c r="B4" t="s">
        <v>70</v>
      </c>
      <c r="D4" s="3">
        <f>Pub!C28</f>
        <v>6.97</v>
      </c>
      <c r="E4" s="3">
        <f>Pub!D28</f>
        <v>5.85</v>
      </c>
      <c r="F4" s="3">
        <f>Pub!E28</f>
        <v>6.12</v>
      </c>
      <c r="G4" s="3">
        <f>Pub!F28</f>
        <v>5.85</v>
      </c>
      <c r="H4" s="3">
        <f>Pub!G28</f>
        <v>6.04</v>
      </c>
      <c r="I4" s="3">
        <f>Pub!H28</f>
        <v>6.04</v>
      </c>
      <c r="J4" s="3">
        <f>Pub!I28</f>
        <v>6.25</v>
      </c>
      <c r="K4" s="3">
        <f>Pub!J28</f>
        <v>5.74</v>
      </c>
      <c r="L4" s="3">
        <f>Pub!K28</f>
        <v>5.51</v>
      </c>
      <c r="M4" s="3">
        <f>L4/L$3*M$3</f>
        <v>5.8246451312779541</v>
      </c>
      <c r="N4" s="3">
        <f>L4/L$3*N$3</f>
        <v>5.3549904827751043</v>
      </c>
      <c r="O4" s="3"/>
    </row>
    <row r="5" spans="1:61" outlineLevel="1" x14ac:dyDescent="0.3">
      <c r="B5" t="s">
        <v>76</v>
      </c>
      <c r="D5" s="3">
        <f>Pub!C60</f>
        <v>19.5</v>
      </c>
      <c r="E5" s="3">
        <f>Pub!D60</f>
        <v>19.309999999999999</v>
      </c>
      <c r="F5" s="3">
        <f>Pub!E60</f>
        <v>19.559999999999999</v>
      </c>
      <c r="G5" s="3">
        <f>Pub!F60</f>
        <v>19</v>
      </c>
      <c r="H5" s="3">
        <f>Pub!G60</f>
        <v>18.14</v>
      </c>
      <c r="I5" s="3">
        <f>Pub!H60</f>
        <v>18.79</v>
      </c>
      <c r="J5" s="3">
        <f>Pub!I60</f>
        <v>18.510000000000002</v>
      </c>
      <c r="K5" s="3">
        <f>Pub!J60</f>
        <v>17.98</v>
      </c>
      <c r="L5" s="3">
        <f>Pub!K60</f>
        <v>17.11</v>
      </c>
      <c r="M5" s="3">
        <f>L5/L$3*M$3</f>
        <v>18.087055933968387</v>
      </c>
      <c r="N5" s="3">
        <f>L5/L$3*N$3</f>
        <v>16.628654657038481</v>
      </c>
      <c r="O5" s="3"/>
    </row>
    <row r="6" spans="1:61" outlineLevel="1" x14ac:dyDescent="0.3">
      <c r="B6" t="s">
        <v>207</v>
      </c>
      <c r="L6">
        <f>'Cuadro A.15'!J30</f>
        <v>13.92</v>
      </c>
      <c r="M6">
        <f>'Cuadro A.15'!K30</f>
        <v>15.34</v>
      </c>
      <c r="N6">
        <f>'Cuadro A.15'!L30</f>
        <v>13.31</v>
      </c>
    </row>
    <row r="7" spans="1:61" outlineLevel="1" x14ac:dyDescent="0.3">
      <c r="B7" t="s">
        <v>208</v>
      </c>
      <c r="L7">
        <f>'Cuadro A.11'!J12</f>
        <v>300.39999999999998</v>
      </c>
      <c r="M7">
        <f>'Cuadro A.11'!K12</f>
        <v>295.97000000000003</v>
      </c>
      <c r="N7">
        <f>'Cuadro A.11'!L12</f>
        <v>299.49</v>
      </c>
    </row>
    <row r="8" spans="1:61" outlineLevel="1" x14ac:dyDescent="0.3">
      <c r="L8">
        <f>(L3-L6)/L7</f>
        <v>2.8961384820239675E-2</v>
      </c>
      <c r="M8">
        <f>$L8*M7</f>
        <v>8.5717010652463372</v>
      </c>
      <c r="N8">
        <f>$L8*N7</f>
        <v>8.6736451398135799</v>
      </c>
    </row>
    <row r="9" spans="1:61" collapsed="1" x14ac:dyDescent="0.3">
      <c r="A9" t="s">
        <v>175</v>
      </c>
    </row>
    <row r="10" spans="1:61" hidden="1" outlineLevel="1" collapsed="1" x14ac:dyDescent="0.3">
      <c r="A10" t="s">
        <v>218</v>
      </c>
      <c r="D10">
        <v>2013</v>
      </c>
      <c r="E10">
        <v>2014</v>
      </c>
      <c r="F10">
        <v>2015</v>
      </c>
      <c r="G10">
        <v>2016</v>
      </c>
      <c r="H10">
        <v>2017</v>
      </c>
      <c r="I10">
        <v>2018</v>
      </c>
      <c r="J10">
        <v>2019</v>
      </c>
      <c r="K10">
        <v>2020</v>
      </c>
      <c r="L10">
        <v>2021</v>
      </c>
      <c r="M10">
        <v>2022</v>
      </c>
      <c r="N10">
        <v>2023</v>
      </c>
      <c r="O10">
        <v>2024</v>
      </c>
      <c r="P10">
        <v>2025</v>
      </c>
      <c r="Q10">
        <v>2026</v>
      </c>
      <c r="R10">
        <v>2027</v>
      </c>
      <c r="S10">
        <v>2028</v>
      </c>
      <c r="T10">
        <v>2029</v>
      </c>
      <c r="U10">
        <v>2030</v>
      </c>
      <c r="V10">
        <v>2031</v>
      </c>
      <c r="W10">
        <v>2032</v>
      </c>
      <c r="X10">
        <v>2033</v>
      </c>
      <c r="Y10">
        <v>2034</v>
      </c>
      <c r="Z10">
        <v>2035</v>
      </c>
      <c r="AA10">
        <v>2036</v>
      </c>
      <c r="AB10">
        <v>2037</v>
      </c>
      <c r="AC10">
        <v>2038</v>
      </c>
      <c r="AD10">
        <v>2039</v>
      </c>
      <c r="AE10">
        <v>2040</v>
      </c>
      <c r="AF10">
        <v>2041</v>
      </c>
      <c r="AG10">
        <v>2042</v>
      </c>
      <c r="AH10">
        <v>2043</v>
      </c>
      <c r="AI10">
        <v>2044</v>
      </c>
      <c r="AJ10">
        <v>2045</v>
      </c>
      <c r="AK10">
        <v>2046</v>
      </c>
      <c r="AL10">
        <v>2047</v>
      </c>
      <c r="AM10">
        <v>2048</v>
      </c>
      <c r="AN10">
        <v>2049</v>
      </c>
      <c r="AO10">
        <v>2050</v>
      </c>
      <c r="AP10">
        <v>2051</v>
      </c>
      <c r="AQ10">
        <v>2052</v>
      </c>
      <c r="AR10">
        <v>2053</v>
      </c>
      <c r="AS10">
        <v>2054</v>
      </c>
      <c r="AT10">
        <v>2055</v>
      </c>
      <c r="AU10">
        <v>2056</v>
      </c>
      <c r="AV10">
        <v>2057</v>
      </c>
      <c r="AW10">
        <v>2058</v>
      </c>
      <c r="AX10">
        <v>2059</v>
      </c>
      <c r="AY10">
        <v>2060</v>
      </c>
      <c r="AZ10">
        <v>2061</v>
      </c>
      <c r="BA10">
        <v>2062</v>
      </c>
      <c r="BB10">
        <v>2063</v>
      </c>
      <c r="BC10">
        <v>2064</v>
      </c>
      <c r="BD10">
        <v>2065</v>
      </c>
      <c r="BE10">
        <v>2066</v>
      </c>
      <c r="BF10">
        <v>2067</v>
      </c>
      <c r="BG10">
        <v>2068</v>
      </c>
      <c r="BH10">
        <v>2069</v>
      </c>
      <c r="BI10">
        <v>2070</v>
      </c>
    </row>
    <row r="11" spans="1:61" hidden="1" outlineLevel="2" x14ac:dyDescent="0.3">
      <c r="C11" t="s">
        <v>177</v>
      </c>
      <c r="D11" s="3">
        <f>D3</f>
        <v>26.47</v>
      </c>
      <c r="E11" s="3">
        <f t="shared" ref="E11:N11" si="0">E3</f>
        <v>25.159999999999997</v>
      </c>
      <c r="F11" s="3">
        <f t="shared" si="0"/>
        <v>25.68</v>
      </c>
      <c r="G11" s="3">
        <f t="shared" si="0"/>
        <v>24.85</v>
      </c>
      <c r="H11" s="3">
        <f t="shared" si="0"/>
        <v>24.18</v>
      </c>
      <c r="I11" s="3">
        <f t="shared" si="0"/>
        <v>24.83</v>
      </c>
      <c r="J11" s="3">
        <f t="shared" si="0"/>
        <v>24.76</v>
      </c>
      <c r="K11" s="3">
        <f t="shared" si="0"/>
        <v>23.72</v>
      </c>
      <c r="L11" s="3">
        <f t="shared" si="0"/>
        <v>22.619999999999997</v>
      </c>
      <c r="M11" s="3">
        <f t="shared" si="0"/>
        <v>23.911701065246337</v>
      </c>
      <c r="N11" s="3">
        <f t="shared" si="0"/>
        <v>21.983645139813582</v>
      </c>
      <c r="O11" s="3">
        <f>N11*(1+AVERAGE($E13:$N13))</f>
        <v>21.596847533852827</v>
      </c>
      <c r="P11" s="3">
        <f t="shared" ref="P11:BI11" si="1">O11*(1+AVERAGE($E13:$N13))</f>
        <v>21.216855550300252</v>
      </c>
      <c r="Q11" s="3">
        <f t="shared" si="1"/>
        <v>20.843549445663008</v>
      </c>
      <c r="R11" s="3">
        <f t="shared" si="1"/>
        <v>20.476811583309786</v>
      </c>
      <c r="S11" s="3">
        <f t="shared" si="1"/>
        <v>20.116526396401021</v>
      </c>
      <c r="T11" s="3">
        <f t="shared" si="1"/>
        <v>19.762580351471357</v>
      </c>
      <c r="U11" s="3">
        <f t="shared" si="1"/>
        <v>19.414861912652842</v>
      </c>
      <c r="V11" s="3">
        <f t="shared" si="1"/>
        <v>19.073261506527636</v>
      </c>
      <c r="W11" s="3">
        <f t="shared" si="1"/>
        <v>18.737671487599098</v>
      </c>
      <c r="X11" s="3">
        <f t="shared" si="1"/>
        <v>18.407986104370433</v>
      </c>
      <c r="Y11" s="3">
        <f t="shared" si="1"/>
        <v>18.084101466020158</v>
      </c>
      <c r="Z11" s="3">
        <f t="shared" si="1"/>
        <v>17.765915509663909</v>
      </c>
      <c r="AA11" s="3">
        <f t="shared" si="1"/>
        <v>17.45332796819228</v>
      </c>
      <c r="AB11" s="3">
        <f t="shared" si="1"/>
        <v>17.146240338674534</v>
      </c>
      <c r="AC11" s="3">
        <f t="shared" si="1"/>
        <v>16.844555851318255</v>
      </c>
      <c r="AD11" s="3">
        <f t="shared" si="1"/>
        <v>16.54817943897514</v>
      </c>
      <c r="AE11" s="3">
        <f t="shared" si="1"/>
        <v>16.257017707183337</v>
      </c>
      <c r="AF11" s="3">
        <f t="shared" si="1"/>
        <v>15.970978904736882</v>
      </c>
      <c r="AG11" s="3">
        <f t="shared" si="1"/>
        <v>15.689972894772952</v>
      </c>
      <c r="AH11" s="3">
        <f t="shared" si="1"/>
        <v>15.413911126367843</v>
      </c>
      <c r="AI11" s="3">
        <f t="shared" si="1"/>
        <v>15.142706606632702</v>
      </c>
      <c r="AJ11" s="3">
        <f t="shared" si="1"/>
        <v>14.87627387330023</v>
      </c>
      <c r="AK11" s="3">
        <f t="shared" si="1"/>
        <v>14.614528967793724</v>
      </c>
      <c r="AL11" s="3">
        <f t="shared" si="1"/>
        <v>14.357389408769954</v>
      </c>
      <c r="AM11" s="3">
        <f t="shared" si="1"/>
        <v>14.10477416612755</v>
      </c>
      <c r="AN11" s="3">
        <f t="shared" si="1"/>
        <v>13.856603635472709</v>
      </c>
      <c r="AO11" s="3">
        <f t="shared" si="1"/>
        <v>13.612799613034172</v>
      </c>
      <c r="AP11" s="3">
        <f t="shared" si="1"/>
        <v>13.373285271019563</v>
      </c>
      <c r="AQ11" s="3">
        <f t="shared" si="1"/>
        <v>13.13798513340533</v>
      </c>
      <c r="AR11" s="3">
        <f t="shared" si="1"/>
        <v>12.90682505215266</v>
      </c>
      <c r="AS11" s="3">
        <f t="shared" si="1"/>
        <v>12.679732183841866</v>
      </c>
      <c r="AT11" s="3">
        <f t="shared" si="1"/>
        <v>12.456634966717884</v>
      </c>
      <c r="AU11" s="3">
        <f t="shared" si="1"/>
        <v>12.237463098139662</v>
      </c>
      <c r="AV11" s="3">
        <f t="shared" si="1"/>
        <v>12.022147512426308</v>
      </c>
      <c r="AW11" s="3">
        <f t="shared" si="1"/>
        <v>11.810620359093038</v>
      </c>
      <c r="AX11" s="3">
        <f t="shared" si="1"/>
        <v>11.602814981470059</v>
      </c>
      <c r="AY11" s="3">
        <f t="shared" si="1"/>
        <v>11.398665895697642</v>
      </c>
      <c r="AZ11" s="3">
        <f t="shared" si="1"/>
        <v>11.198108770090776</v>
      </c>
      <c r="BA11" s="3">
        <f t="shared" si="1"/>
        <v>11.001080404866903</v>
      </c>
      <c r="BB11" s="3">
        <f t="shared" si="1"/>
        <v>10.807518712230321</v>
      </c>
      <c r="BC11" s="3">
        <f t="shared" si="1"/>
        <v>10.617362696807021</v>
      </c>
      <c r="BD11" s="3">
        <f t="shared" si="1"/>
        <v>10.430552436423751</v>
      </c>
      <c r="BE11" s="3">
        <f t="shared" si="1"/>
        <v>10.247029063225277</v>
      </c>
      <c r="BF11" s="3">
        <f t="shared" si="1"/>
        <v>10.066734745123879</v>
      </c>
      <c r="BG11" s="3">
        <f t="shared" si="1"/>
        <v>9.8896126675752392</v>
      </c>
      <c r="BH11" s="3">
        <f t="shared" si="1"/>
        <v>9.7156070156749781</v>
      </c>
      <c r="BI11" s="3">
        <f t="shared" si="1"/>
        <v>9.5446629565702068</v>
      </c>
    </row>
    <row r="12" spans="1:61" hidden="1" outlineLevel="2" x14ac:dyDescent="0.3">
      <c r="C12" t="s">
        <v>177</v>
      </c>
      <c r="D12" s="3">
        <f>D3</f>
        <v>26.47</v>
      </c>
      <c r="E12" s="3">
        <f t="shared" ref="E12:N12" si="2">E3</f>
        <v>25.159999999999997</v>
      </c>
      <c r="F12" s="3">
        <f t="shared" si="2"/>
        <v>25.68</v>
      </c>
      <c r="G12" s="3">
        <f t="shared" si="2"/>
        <v>24.85</v>
      </c>
      <c r="H12" s="3">
        <f t="shared" si="2"/>
        <v>24.18</v>
      </c>
      <c r="I12" s="3">
        <f t="shared" si="2"/>
        <v>24.83</v>
      </c>
      <c r="J12" s="3">
        <f t="shared" si="2"/>
        <v>24.76</v>
      </c>
      <c r="K12" s="3">
        <f t="shared" si="2"/>
        <v>23.72</v>
      </c>
      <c r="L12" s="3">
        <f t="shared" si="2"/>
        <v>22.619999999999997</v>
      </c>
      <c r="M12" s="3">
        <f t="shared" si="2"/>
        <v>23.911701065246337</v>
      </c>
      <c r="N12" s="3">
        <f t="shared" si="2"/>
        <v>21.983645139813582</v>
      </c>
      <c r="O12" s="3">
        <f>N12*(1+AVERAGE($E13:$J13))</f>
        <v>21.748997738984411</v>
      </c>
      <c r="P12" s="3">
        <f t="shared" ref="P12:BI12" si="3">O12*(1+AVERAGE($E13:$J13))</f>
        <v>21.516854900176948</v>
      </c>
      <c r="Q12" s="3">
        <f t="shared" si="3"/>
        <v>21.287189890382866</v>
      </c>
      <c r="R12" s="3">
        <f t="shared" si="3"/>
        <v>21.059976261934636</v>
      </c>
      <c r="S12" s="3">
        <f t="shared" si="3"/>
        <v>20.835187849459885</v>
      </c>
      <c r="T12" s="3">
        <f t="shared" si="3"/>
        <v>20.612798766868245</v>
      </c>
      <c r="U12" s="3">
        <f t="shared" si="3"/>
        <v>20.392783404370388</v>
      </c>
      <c r="V12" s="3">
        <f t="shared" si="3"/>
        <v>20.175116425528845</v>
      </c>
      <c r="W12" s="3">
        <f t="shared" si="3"/>
        <v>19.959772764340343</v>
      </c>
      <c r="X12" s="3">
        <f t="shared" si="3"/>
        <v>19.746727622349251</v>
      </c>
      <c r="Y12" s="3">
        <f t="shared" si="3"/>
        <v>19.535956465791859</v>
      </c>
      <c r="Z12" s="3">
        <f t="shared" si="3"/>
        <v>19.327435022771116</v>
      </c>
      <c r="AA12" s="3">
        <f t="shared" si="3"/>
        <v>19.121139280461549</v>
      </c>
      <c r="AB12" s="3">
        <f t="shared" si="3"/>
        <v>18.917045482344005</v>
      </c>
      <c r="AC12" s="3">
        <f t="shared" si="3"/>
        <v>18.715130125469894</v>
      </c>
      <c r="AD12" s="3">
        <f t="shared" si="3"/>
        <v>18.515369957754665</v>
      </c>
      <c r="AE12" s="3">
        <f t="shared" si="3"/>
        <v>18.317741975300137</v>
      </c>
      <c r="AF12" s="3">
        <f t="shared" si="3"/>
        <v>18.122223419745431</v>
      </c>
      <c r="AG12" s="3">
        <f t="shared" si="3"/>
        <v>17.928791775646175</v>
      </c>
      <c r="AH12" s="3">
        <f t="shared" si="3"/>
        <v>17.737424767881674</v>
      </c>
      <c r="AI12" s="3">
        <f t="shared" si="3"/>
        <v>17.548100359089762</v>
      </c>
      <c r="AJ12" s="3">
        <f t="shared" si="3"/>
        <v>17.36079674712904</v>
      </c>
      <c r="AK12" s="3">
        <f t="shared" si="3"/>
        <v>17.175492362568185</v>
      </c>
      <c r="AL12" s="3">
        <f t="shared" si="3"/>
        <v>16.992165866202075</v>
      </c>
      <c r="AM12" s="3">
        <f t="shared" si="3"/>
        <v>16.810796146594406</v>
      </c>
      <c r="AN12" s="3">
        <f t="shared" si="3"/>
        <v>16.631362317646563</v>
      </c>
      <c r="AO12" s="3">
        <f t="shared" si="3"/>
        <v>16.453843716192416</v>
      </c>
      <c r="AP12" s="3">
        <f t="shared" si="3"/>
        <v>16.278219899618808</v>
      </c>
      <c r="AQ12" s="3">
        <f t="shared" si="3"/>
        <v>16.104470643511426</v>
      </c>
      <c r="AR12" s="3">
        <f t="shared" si="3"/>
        <v>15.932575939325819</v>
      </c>
      <c r="AS12" s="3">
        <f t="shared" si="3"/>
        <v>15.762515992083244</v>
      </c>
      <c r="AT12" s="3">
        <f t="shared" si="3"/>
        <v>15.594271218091139</v>
      </c>
      <c r="AU12" s="3">
        <f t="shared" si="3"/>
        <v>15.427822242687906</v>
      </c>
      <c r="AV12" s="3">
        <f t="shared" si="3"/>
        <v>15.263149898011774</v>
      </c>
      <c r="AW12" s="3">
        <f t="shared" si="3"/>
        <v>15.100235220793468</v>
      </c>
      <c r="AX12" s="3">
        <f t="shared" si="3"/>
        <v>14.939059450172458</v>
      </c>
      <c r="AY12" s="3">
        <f t="shared" si="3"/>
        <v>14.779604025536489</v>
      </c>
      <c r="AZ12" s="3">
        <f t="shared" si="3"/>
        <v>14.621850584384196</v>
      </c>
      <c r="BA12" s="3">
        <f t="shared" si="3"/>
        <v>14.465780960210516</v>
      </c>
      <c r="BB12" s="3">
        <f t="shared" si="3"/>
        <v>14.311377180414684</v>
      </c>
      <c r="BC12" s="3">
        <f t="shared" si="3"/>
        <v>14.158621464230544</v>
      </c>
      <c r="BD12" s="3">
        <f t="shared" si="3"/>
        <v>14.007496220678965</v>
      </c>
      <c r="BE12" s="3">
        <f t="shared" si="3"/>
        <v>13.857984046542104</v>
      </c>
      <c r="BF12" s="3">
        <f t="shared" si="3"/>
        <v>13.710067724359295</v>
      </c>
      <c r="BG12" s="3">
        <f t="shared" si="3"/>
        <v>13.563730220444324</v>
      </c>
      <c r="BH12" s="3">
        <f t="shared" si="3"/>
        <v>13.418954682923873</v>
      </c>
      <c r="BI12" s="3">
        <f t="shared" si="3"/>
        <v>13.275724439796903</v>
      </c>
    </row>
    <row r="13" spans="1:61" hidden="1" outlineLevel="2" x14ac:dyDescent="0.3">
      <c r="E13" s="6">
        <f>(E11-D11)/D11</f>
        <v>-4.9489988666414894E-2</v>
      </c>
      <c r="F13" s="6">
        <f t="shared" ref="F13:N13" si="4">(F11-E11)/E11</f>
        <v>2.0667726550079618E-2</v>
      </c>
      <c r="G13" s="6">
        <f t="shared" si="4"/>
        <v>-3.2320872274143236E-2</v>
      </c>
      <c r="H13" s="6">
        <f t="shared" si="4"/>
        <v>-2.6961770623742522E-2</v>
      </c>
      <c r="I13" s="6">
        <f t="shared" si="4"/>
        <v>2.6881720430107468E-2</v>
      </c>
      <c r="J13" s="6">
        <f t="shared" si="4"/>
        <v>-2.8191703584372427E-3</v>
      </c>
      <c r="K13" s="6">
        <f t="shared" si="4"/>
        <v>-4.2003231017770704E-2</v>
      </c>
      <c r="L13" s="6">
        <f t="shared" si="4"/>
        <v>-4.6374367622259757E-2</v>
      </c>
      <c r="M13" s="6">
        <f t="shared" si="4"/>
        <v>5.7104379542278504E-2</v>
      </c>
      <c r="N13" s="6">
        <f t="shared" si="4"/>
        <v>-8.0632319723795115E-2</v>
      </c>
    </row>
    <row r="14" spans="1:61" hidden="1" outlineLevel="1" collapsed="1" x14ac:dyDescent="0.3">
      <c r="A14" t="s">
        <v>180</v>
      </c>
      <c r="D14">
        <v>2013</v>
      </c>
      <c r="E14">
        <v>2014</v>
      </c>
      <c r="F14">
        <v>2015</v>
      </c>
      <c r="G14">
        <v>2016</v>
      </c>
      <c r="H14">
        <v>2017</v>
      </c>
      <c r="I14">
        <v>2018</v>
      </c>
      <c r="J14">
        <v>2019</v>
      </c>
      <c r="K14">
        <v>2020</v>
      </c>
      <c r="L14">
        <v>2021</v>
      </c>
      <c r="M14">
        <v>2022</v>
      </c>
      <c r="N14">
        <v>2023</v>
      </c>
      <c r="O14">
        <v>2024</v>
      </c>
      <c r="P14">
        <v>2025</v>
      </c>
      <c r="Q14">
        <v>2026</v>
      </c>
      <c r="R14">
        <v>2027</v>
      </c>
      <c r="S14">
        <v>2028</v>
      </c>
      <c r="T14">
        <v>2029</v>
      </c>
      <c r="U14">
        <v>2030</v>
      </c>
      <c r="V14">
        <v>2031</v>
      </c>
      <c r="W14">
        <v>2032</v>
      </c>
      <c r="X14">
        <v>2033</v>
      </c>
      <c r="Y14">
        <v>2034</v>
      </c>
      <c r="Z14">
        <v>2035</v>
      </c>
      <c r="AA14">
        <v>2036</v>
      </c>
      <c r="AB14">
        <v>2037</v>
      </c>
      <c r="AC14">
        <v>2038</v>
      </c>
      <c r="AD14">
        <v>2039</v>
      </c>
      <c r="AE14">
        <v>2040</v>
      </c>
      <c r="AF14">
        <v>2041</v>
      </c>
      <c r="AG14">
        <v>2042</v>
      </c>
      <c r="AH14">
        <v>2043</v>
      </c>
      <c r="AI14">
        <v>2044</v>
      </c>
      <c r="AJ14">
        <v>2045</v>
      </c>
      <c r="AK14">
        <v>2046</v>
      </c>
      <c r="AL14">
        <v>2047</v>
      </c>
      <c r="AM14">
        <v>2048</v>
      </c>
      <c r="AN14">
        <v>2049</v>
      </c>
      <c r="AO14">
        <v>2050</v>
      </c>
      <c r="AP14">
        <v>2051</v>
      </c>
      <c r="AQ14">
        <v>2052</v>
      </c>
      <c r="AR14">
        <v>2053</v>
      </c>
      <c r="AS14">
        <v>2054</v>
      </c>
      <c r="AT14">
        <v>2055</v>
      </c>
      <c r="AU14">
        <v>2056</v>
      </c>
      <c r="AV14">
        <v>2057</v>
      </c>
      <c r="AW14">
        <v>2058</v>
      </c>
      <c r="AX14">
        <v>2059</v>
      </c>
      <c r="AY14">
        <v>2060</v>
      </c>
      <c r="AZ14">
        <v>2061</v>
      </c>
      <c r="BA14">
        <v>2062</v>
      </c>
      <c r="BB14">
        <v>2063</v>
      </c>
      <c r="BC14">
        <v>2064</v>
      </c>
      <c r="BD14">
        <v>2065</v>
      </c>
      <c r="BE14">
        <v>2066</v>
      </c>
      <c r="BF14">
        <v>2067</v>
      </c>
      <c r="BG14">
        <v>2068</v>
      </c>
      <c r="BH14">
        <v>2069</v>
      </c>
      <c r="BI14">
        <v>2070</v>
      </c>
    </row>
    <row r="15" spans="1:61" hidden="1" outlineLevel="2" x14ac:dyDescent="0.3">
      <c r="C15" t="s">
        <v>70</v>
      </c>
      <c r="D15" s="3">
        <f t="shared" ref="D15:N15" si="5">D4</f>
        <v>6.97</v>
      </c>
      <c r="E15" s="3">
        <f t="shared" si="5"/>
        <v>5.85</v>
      </c>
      <c r="F15" s="3">
        <f t="shared" si="5"/>
        <v>6.12</v>
      </c>
      <c r="G15" s="3">
        <f t="shared" si="5"/>
        <v>5.85</v>
      </c>
      <c r="H15" s="3">
        <f t="shared" si="5"/>
        <v>6.04</v>
      </c>
      <c r="I15" s="3">
        <f t="shared" si="5"/>
        <v>6.04</v>
      </c>
      <c r="J15" s="3">
        <f t="shared" si="5"/>
        <v>6.25</v>
      </c>
      <c r="K15" s="3">
        <f t="shared" si="5"/>
        <v>5.74</v>
      </c>
      <c r="L15" s="3">
        <f t="shared" si="5"/>
        <v>5.51</v>
      </c>
      <c r="M15" s="3">
        <f t="shared" si="5"/>
        <v>5.8246451312779541</v>
      </c>
      <c r="N15" s="3">
        <f t="shared" si="5"/>
        <v>5.3549904827751043</v>
      </c>
      <c r="O15" s="3">
        <f>N15*(1+AVERAGE($E22:$N22))</f>
        <v>5.2282896682186957</v>
      </c>
      <c r="P15" s="3">
        <f t="shared" ref="P15:BI15" si="6">O15*(1+AVERAGE($E22:$N22))</f>
        <v>5.1045866360973617</v>
      </c>
      <c r="Q15" s="3">
        <f t="shared" si="6"/>
        <v>4.9838104579047675</v>
      </c>
      <c r="R15" s="3">
        <f t="shared" si="6"/>
        <v>4.8658918833260794</v>
      </c>
      <c r="S15" s="3">
        <f t="shared" si="6"/>
        <v>4.7507633005314114</v>
      </c>
      <c r="T15" s="3">
        <f t="shared" si="6"/>
        <v>4.638358697408739</v>
      </c>
      <c r="U15" s="3">
        <f t="shared" si="6"/>
        <v>4.5286136237140537</v>
      </c>
      <c r="V15" s="3">
        <f t="shared" si="6"/>
        <v>4.42146515411706</v>
      </c>
      <c r="W15" s="3">
        <f t="shared" si="6"/>
        <v>4.3168518521212187</v>
      </c>
      <c r="X15" s="3">
        <f t="shared" si="6"/>
        <v>4.214713734837459</v>
      </c>
      <c r="Y15" s="3">
        <f t="shared" si="6"/>
        <v>4.1149922385913538</v>
      </c>
      <c r="Z15" s="3">
        <f t="shared" si="6"/>
        <v>4.0176301853440375</v>
      </c>
      <c r="AA15" s="3">
        <f t="shared" si="6"/>
        <v>3.9225717499076205</v>
      </c>
      <c r="AB15" s="3">
        <f t="shared" si="6"/>
        <v>3.8297624279362958</v>
      </c>
      <c r="AC15" s="3">
        <f t="shared" si="6"/>
        <v>3.7391490046747857</v>
      </c>
      <c r="AD15" s="3">
        <f t="shared" si="6"/>
        <v>3.6506795244462107</v>
      </c>
      <c r="AE15" s="3">
        <f t="shared" si="6"/>
        <v>3.5643032608618852</v>
      </c>
      <c r="AF15" s="3">
        <f t="shared" si="6"/>
        <v>3.47997068773596</v>
      </c>
      <c r="AG15" s="3">
        <f t="shared" si="6"/>
        <v>3.3976334506882337</v>
      </c>
      <c r="AH15" s="3">
        <f t="shared" si="6"/>
        <v>3.3172443394188496</v>
      </c>
      <c r="AI15" s="3">
        <f t="shared" si="6"/>
        <v>3.2387572606389834</v>
      </c>
      <c r="AJ15" s="3">
        <f t="shared" si="6"/>
        <v>3.1621272116419989</v>
      </c>
      <c r="AK15" s="3">
        <f t="shared" si="6"/>
        <v>3.0873102544999198</v>
      </c>
      <c r="AL15" s="3">
        <f t="shared" si="6"/>
        <v>3.01426349087042</v>
      </c>
      <c r="AM15" s="3">
        <f t="shared" si="6"/>
        <v>2.9429450373998902</v>
      </c>
      <c r="AN15" s="3">
        <f t="shared" si="6"/>
        <v>2.8733140017084744</v>
      </c>
      <c r="AO15" s="3">
        <f t="shared" si="6"/>
        <v>2.8053304589433083</v>
      </c>
      <c r="AP15" s="3">
        <f t="shared" si="6"/>
        <v>2.7389554288865186</v>
      </c>
      <c r="AQ15" s="3">
        <f t="shared" si="6"/>
        <v>2.6741508536048495</v>
      </c>
      <c r="AR15" s="3">
        <f t="shared" si="6"/>
        <v>2.6108795756281116</v>
      </c>
      <c r="AS15" s="3">
        <f t="shared" si="6"/>
        <v>2.549105316643931</v>
      </c>
      <c r="AT15" s="3">
        <f t="shared" si="6"/>
        <v>2.488792656696591</v>
      </c>
      <c r="AU15" s="3">
        <f t="shared" si="6"/>
        <v>2.4299070138780343</v>
      </c>
      <c r="AV15" s="3">
        <f t="shared" si="6"/>
        <v>2.3724146244993833</v>
      </c>
      <c r="AW15" s="3">
        <f t="shared" si="6"/>
        <v>2.3162825237316085</v>
      </c>
      <c r="AX15" s="3">
        <f t="shared" si="6"/>
        <v>2.2614785267042445</v>
      </c>
      <c r="AY15" s="3">
        <f t="shared" si="6"/>
        <v>2.2079712100513182</v>
      </c>
      <c r="AZ15" s="3">
        <f t="shared" si="6"/>
        <v>2.1557298938939033</v>
      </c>
      <c r="BA15" s="3">
        <f t="shared" si="6"/>
        <v>2.104724624248977</v>
      </c>
      <c r="BB15" s="3">
        <f t="shared" si="6"/>
        <v>2.0549261558544858</v>
      </c>
      <c r="BC15" s="3">
        <f t="shared" si="6"/>
        <v>2.006305935400778</v>
      </c>
      <c r="BD15" s="3">
        <f t="shared" si="6"/>
        <v>1.9588360851587843</v>
      </c>
      <c r="BE15" s="3">
        <f t="shared" si="6"/>
        <v>1.9124893869955621</v>
      </c>
      <c r="BF15" s="3">
        <f t="shared" si="6"/>
        <v>1.8672392667680373</v>
      </c>
      <c r="BG15" s="3">
        <f t="shared" si="6"/>
        <v>1.8230597790859941</v>
      </c>
      <c r="BH15" s="3">
        <f t="shared" si="6"/>
        <v>1.7799255924355784</v>
      </c>
      <c r="BI15" s="3">
        <f t="shared" si="6"/>
        <v>1.7378119746547833</v>
      </c>
    </row>
    <row r="16" spans="1:61" hidden="1" outlineLevel="2" x14ac:dyDescent="0.3">
      <c r="C16" t="s">
        <v>76</v>
      </c>
      <c r="D16" s="3">
        <f t="shared" ref="D16:N16" si="7">D5</f>
        <v>19.5</v>
      </c>
      <c r="E16" s="3">
        <f t="shared" si="7"/>
        <v>19.309999999999999</v>
      </c>
      <c r="F16" s="3">
        <f t="shared" si="7"/>
        <v>19.559999999999999</v>
      </c>
      <c r="G16" s="3">
        <f t="shared" si="7"/>
        <v>19</v>
      </c>
      <c r="H16" s="3">
        <f t="shared" si="7"/>
        <v>18.14</v>
      </c>
      <c r="I16" s="3">
        <f t="shared" si="7"/>
        <v>18.79</v>
      </c>
      <c r="J16" s="3">
        <f t="shared" si="7"/>
        <v>18.510000000000002</v>
      </c>
      <c r="K16" s="3">
        <f t="shared" si="7"/>
        <v>17.98</v>
      </c>
      <c r="L16" s="3">
        <f t="shared" si="7"/>
        <v>17.11</v>
      </c>
      <c r="M16" s="3">
        <f t="shared" si="7"/>
        <v>18.087055933968387</v>
      </c>
      <c r="N16" s="3">
        <f t="shared" si="7"/>
        <v>16.628654657038481</v>
      </c>
      <c r="O16" s="3">
        <f>N16*(1+AVERAGE($E23:$N23))</f>
        <v>16.378713868951948</v>
      </c>
      <c r="P16" s="3">
        <f t="shared" ref="P16:BI16" si="8">O16*(1+AVERAGE($E23:$N23))</f>
        <v>16.132529872911299</v>
      </c>
      <c r="Q16" s="3">
        <f t="shared" si="8"/>
        <v>15.890046201596478</v>
      </c>
      <c r="R16" s="3">
        <f t="shared" si="8"/>
        <v>15.651207236432368</v>
      </c>
      <c r="S16" s="3">
        <f t="shared" si="8"/>
        <v>15.415958194831534</v>
      </c>
      <c r="T16" s="3">
        <f t="shared" si="8"/>
        <v>15.184245117628723</v>
      </c>
      <c r="U16" s="3">
        <f t="shared" si="8"/>
        <v>14.956014856704229</v>
      </c>
      <c r="V16" s="3">
        <f t="shared" si="8"/>
        <v>14.731215062793282</v>
      </c>
      <c r="W16" s="3">
        <f t="shared" si="8"/>
        <v>14.509794173478687</v>
      </c>
      <c r="X16" s="3">
        <f t="shared" si="8"/>
        <v>14.291701401363921</v>
      </c>
      <c r="Y16" s="3">
        <f t="shared" si="8"/>
        <v>14.076886722424016</v>
      </c>
      <c r="Z16" s="3">
        <f t="shared" si="8"/>
        <v>13.865300864531521</v>
      </c>
      <c r="AA16" s="3">
        <f t="shared" si="8"/>
        <v>13.656895296154946</v>
      </c>
      <c r="AB16" s="3">
        <f t="shared" si="8"/>
        <v>13.451622215227054</v>
      </c>
      <c r="AC16" s="3">
        <f t="shared" si="8"/>
        <v>13.249434538180489</v>
      </c>
      <c r="AD16" s="3">
        <f t="shared" si="8"/>
        <v>13.050285889148197</v>
      </c>
      <c r="AE16" s="3">
        <f t="shared" si="8"/>
        <v>12.854130589326175</v>
      </c>
      <c r="AF16" s="3">
        <f t="shared" si="8"/>
        <v>12.660923646496107</v>
      </c>
      <c r="AG16" s="3">
        <f t="shared" si="8"/>
        <v>12.47062074470548</v>
      </c>
      <c r="AH16" s="3">
        <f t="shared" si="8"/>
        <v>12.283178234102817</v>
      </c>
      <c r="AI16" s="3">
        <f t="shared" si="8"/>
        <v>12.098553120925695</v>
      </c>
      <c r="AJ16" s="3">
        <f t="shared" si="8"/>
        <v>11.916703057639246</v>
      </c>
      <c r="AK16" s="3">
        <f t="shared" si="8"/>
        <v>11.737586333222888</v>
      </c>
      <c r="AL16" s="3">
        <f t="shared" si="8"/>
        <v>11.561161863603051</v>
      </c>
      <c r="AM16" s="3">
        <f t="shared" si="8"/>
        <v>11.387389182229708</v>
      </c>
      <c r="AN16" s="3">
        <f t="shared" si="8"/>
        <v>11.216228430794544</v>
      </c>
      <c r="AO16" s="3">
        <f t="shared" si="8"/>
        <v>11.047640350088644</v>
      </c>
      <c r="AP16" s="3">
        <f t="shared" si="8"/>
        <v>10.881586270997587</v>
      </c>
      <c r="AQ16" s="3">
        <f t="shared" si="8"/>
        <v>10.718028105631905</v>
      </c>
      <c r="AR16" s="3">
        <f t="shared" si="8"/>
        <v>10.556928338590838</v>
      </c>
      <c r="AS16" s="3">
        <f t="shared" si="8"/>
        <v>10.398250018357421</v>
      </c>
      <c r="AT16" s="3">
        <f t="shared" si="8"/>
        <v>10.241956748822895</v>
      </c>
      <c r="AU16" s="3">
        <f t="shared" si="8"/>
        <v>10.088012680938519</v>
      </c>
      <c r="AV16" s="3">
        <f t="shared" si="8"/>
        <v>9.9363825044928582</v>
      </c>
      <c r="AW16" s="3">
        <f t="shared" si="8"/>
        <v>9.787031440012667</v>
      </c>
      <c r="AX16" s="3">
        <f t="shared" si="8"/>
        <v>9.6399252307855097</v>
      </c>
      <c r="AY16" s="3">
        <f t="shared" si="8"/>
        <v>9.495030135002283</v>
      </c>
      <c r="AZ16" s="3">
        <f t="shared" si="8"/>
        <v>9.3523129180178444</v>
      </c>
      <c r="BA16" s="3">
        <f t="shared" si="8"/>
        <v>9.2117408447279701</v>
      </c>
      <c r="BB16" s="3">
        <f t="shared" si="8"/>
        <v>9.0732816720608849</v>
      </c>
      <c r="BC16" s="3">
        <f t="shared" si="8"/>
        <v>8.9369036415816669</v>
      </c>
      <c r="BD16" s="3">
        <f t="shared" si="8"/>
        <v>8.8025754722077938</v>
      </c>
      <c r="BE16" s="3">
        <f t="shared" si="8"/>
        <v>8.6702663530341901</v>
      </c>
      <c r="BF16" s="3">
        <f t="shared" si="8"/>
        <v>8.5399459362661236</v>
      </c>
      <c r="BG16" s="3">
        <f t="shared" si="8"/>
        <v>8.4115843302583126</v>
      </c>
      <c r="BH16" s="3">
        <f t="shared" si="8"/>
        <v>8.2851520926586701</v>
      </c>
      <c r="BI16" s="3">
        <f t="shared" si="8"/>
        <v>8.1606202236551013</v>
      </c>
    </row>
    <row r="17" spans="1:61" hidden="1" outlineLevel="2" x14ac:dyDescent="0.3">
      <c r="C17" t="s">
        <v>219</v>
      </c>
      <c r="D17" s="3">
        <f>SUM(D15:D16)</f>
        <v>26.47</v>
      </c>
      <c r="E17" s="3">
        <f t="shared" ref="E17:O17" si="9">SUM(E15:E16)</f>
        <v>25.159999999999997</v>
      </c>
      <c r="F17" s="3">
        <f t="shared" si="9"/>
        <v>25.68</v>
      </c>
      <c r="G17" s="3">
        <f t="shared" si="9"/>
        <v>24.85</v>
      </c>
      <c r="H17" s="3">
        <f t="shared" si="9"/>
        <v>24.18</v>
      </c>
      <c r="I17" s="3">
        <f t="shared" si="9"/>
        <v>24.83</v>
      </c>
      <c r="J17" s="3">
        <f t="shared" si="9"/>
        <v>24.76</v>
      </c>
      <c r="K17" s="3">
        <f t="shared" si="9"/>
        <v>23.72</v>
      </c>
      <c r="L17" s="3">
        <f t="shared" si="9"/>
        <v>22.619999999999997</v>
      </c>
      <c r="M17" s="3">
        <f t="shared" si="9"/>
        <v>23.911701065246341</v>
      </c>
      <c r="N17" s="3">
        <f t="shared" si="9"/>
        <v>21.983645139813586</v>
      </c>
      <c r="O17" s="3">
        <f t="shared" si="9"/>
        <v>21.607003537170645</v>
      </c>
      <c r="P17" s="3">
        <f t="shared" ref="P17" si="10">SUM(P15:P16)</f>
        <v>21.237116509008661</v>
      </c>
      <c r="Q17" s="3">
        <f t="shared" ref="Q17" si="11">SUM(Q15:Q16)</f>
        <v>20.873856659501246</v>
      </c>
      <c r="R17" s="3">
        <f t="shared" ref="R17" si="12">SUM(R15:R16)</f>
        <v>20.517099119758448</v>
      </c>
      <c r="S17" s="3">
        <f t="shared" ref="S17" si="13">SUM(S15:S16)</f>
        <v>20.166721495362946</v>
      </c>
      <c r="T17" s="3">
        <f t="shared" ref="T17" si="14">SUM(T15:T16)</f>
        <v>19.822603815037461</v>
      </c>
      <c r="U17" s="3">
        <f t="shared" ref="U17" si="15">SUM(U15:U16)</f>
        <v>19.484628480418284</v>
      </c>
      <c r="V17" s="3">
        <f t="shared" ref="V17" si="16">SUM(V15:V16)</f>
        <v>19.152680216910341</v>
      </c>
      <c r="W17" s="3">
        <f t="shared" ref="W17" si="17">SUM(W15:W16)</f>
        <v>18.826646025599906</v>
      </c>
      <c r="X17" s="3">
        <f t="shared" ref="X17" si="18">SUM(X15:X16)</f>
        <v>18.50641513620138</v>
      </c>
      <c r="Y17" s="3">
        <f t="shared" ref="Y17" si="19">SUM(Y15:Y16)</f>
        <v>18.191878961015369</v>
      </c>
      <c r="Z17" s="3">
        <f t="shared" ref="Z17" si="20">SUM(Z15:Z16)</f>
        <v>17.882931049875559</v>
      </c>
      <c r="AA17" s="3">
        <f t="shared" ref="AA17" si="21">SUM(AA15:AA16)</f>
        <v>17.579467046062568</v>
      </c>
      <c r="AB17" s="3">
        <f t="shared" ref="AB17" si="22">SUM(AB15:AB16)</f>
        <v>17.281384643163349</v>
      </c>
      <c r="AC17" s="3">
        <f t="shared" ref="AC17" si="23">SUM(AC15:AC16)</f>
        <v>16.988583542855274</v>
      </c>
      <c r="AD17" s="3">
        <f t="shared" ref="AD17" si="24">SUM(AD15:AD16)</f>
        <v>16.700965413594407</v>
      </c>
      <c r="AE17" s="3">
        <f t="shared" ref="AE17" si="25">SUM(AE15:AE16)</f>
        <v>16.418433850188059</v>
      </c>
      <c r="AF17" s="3">
        <f t="shared" ref="AF17" si="26">SUM(AF15:AF16)</f>
        <v>16.140894334232065</v>
      </c>
      <c r="AG17" s="3">
        <f t="shared" ref="AG17" si="27">SUM(AG15:AG16)</f>
        <v>15.868254195393714</v>
      </c>
      <c r="AH17" s="3">
        <f t="shared" ref="AH17" si="28">SUM(AH15:AH16)</f>
        <v>15.600422573521666</v>
      </c>
      <c r="AI17" s="3">
        <f t="shared" ref="AI17" si="29">SUM(AI15:AI16)</f>
        <v>15.337310381564679</v>
      </c>
      <c r="AJ17" s="3">
        <f t="shared" ref="AJ17" si="30">SUM(AJ15:AJ16)</f>
        <v>15.078830269281244</v>
      </c>
      <c r="AK17" s="3">
        <f t="shared" ref="AK17" si="31">SUM(AK15:AK16)</f>
        <v>14.824896587722808</v>
      </c>
      <c r="AL17" s="3">
        <f t="shared" ref="AL17" si="32">SUM(AL15:AL16)</f>
        <v>14.57542535447347</v>
      </c>
      <c r="AM17" s="3">
        <f t="shared" ref="AM17" si="33">SUM(AM15:AM16)</f>
        <v>14.330334219629599</v>
      </c>
      <c r="AN17" s="3">
        <f t="shared" ref="AN17" si="34">SUM(AN15:AN16)</f>
        <v>14.089542432503018</v>
      </c>
      <c r="AO17" s="3">
        <f t="shared" ref="AO17" si="35">SUM(AO15:AO16)</f>
        <v>13.852970809031952</v>
      </c>
      <c r="AP17" s="3">
        <f t="shared" ref="AP17" si="36">SUM(AP15:AP16)</f>
        <v>13.620541699884106</v>
      </c>
      <c r="AQ17" s="3">
        <f t="shared" ref="AQ17" si="37">SUM(AQ15:AQ16)</f>
        <v>13.392178959236755</v>
      </c>
      <c r="AR17" s="3">
        <f t="shared" ref="AR17" si="38">SUM(AR15:AR16)</f>
        <v>13.167807914218949</v>
      </c>
      <c r="AS17" s="3">
        <f t="shared" ref="AS17" si="39">SUM(AS15:AS16)</f>
        <v>12.947355335001353</v>
      </c>
      <c r="AT17" s="3">
        <f t="shared" ref="AT17" si="40">SUM(AT15:AT16)</f>
        <v>12.730749405519486</v>
      </c>
      <c r="AU17" s="3">
        <f t="shared" ref="AU17" si="41">SUM(AU15:AU16)</f>
        <v>12.517919694816554</v>
      </c>
      <c r="AV17" s="3">
        <f t="shared" ref="AV17" si="42">SUM(AV15:AV16)</f>
        <v>12.308797128992241</v>
      </c>
      <c r="AW17" s="3">
        <f t="shared" ref="AW17" si="43">SUM(AW15:AW16)</f>
        <v>12.103313963744275</v>
      </c>
      <c r="AX17" s="3">
        <f t="shared" ref="AX17" si="44">SUM(AX15:AX16)</f>
        <v>11.901403757489755</v>
      </c>
      <c r="AY17" s="3">
        <f t="shared" ref="AY17" si="45">SUM(AY15:AY16)</f>
        <v>11.7030013450536</v>
      </c>
      <c r="AZ17" s="3">
        <f t="shared" ref="AZ17" si="46">SUM(AZ15:AZ16)</f>
        <v>11.508042811911748</v>
      </c>
      <c r="BA17" s="3">
        <f t="shared" ref="BA17" si="47">SUM(BA15:BA16)</f>
        <v>11.316465468976947</v>
      </c>
      <c r="BB17" s="3">
        <f t="shared" ref="BB17" si="48">SUM(BB15:BB16)</f>
        <v>11.128207827915372</v>
      </c>
      <c r="BC17" s="3">
        <f t="shared" ref="BC17" si="49">SUM(BC15:BC16)</f>
        <v>10.943209576982445</v>
      </c>
      <c r="BD17" s="3">
        <f t="shared" ref="BD17" si="50">SUM(BD15:BD16)</f>
        <v>10.761411557366579</v>
      </c>
      <c r="BE17" s="3">
        <f t="shared" ref="BE17" si="51">SUM(BE15:BE16)</f>
        <v>10.582755740029752</v>
      </c>
      <c r="BF17" s="3">
        <f t="shared" ref="BF17" si="52">SUM(BF15:BF16)</f>
        <v>10.40718520303416</v>
      </c>
      <c r="BG17" s="3">
        <f t="shared" ref="BG17" si="53">SUM(BG15:BG16)</f>
        <v>10.234644109344307</v>
      </c>
      <c r="BH17" s="3">
        <f t="shared" ref="BH17" si="54">SUM(BH15:BH16)</f>
        <v>10.065077685094248</v>
      </c>
      <c r="BI17" s="3">
        <f t="shared" ref="BI17" si="55">SUM(BI15:BI16)</f>
        <v>9.8984321983098837</v>
      </c>
    </row>
    <row r="18" spans="1:61" hidden="1" outlineLevel="2" x14ac:dyDescent="0.3"/>
    <row r="19" spans="1:61" hidden="1" outlineLevel="2" x14ac:dyDescent="0.3">
      <c r="C19" t="s">
        <v>70</v>
      </c>
      <c r="D19" s="3">
        <f t="shared" ref="D19:N19" si="56">D4</f>
        <v>6.97</v>
      </c>
      <c r="E19" s="3">
        <f t="shared" si="56"/>
        <v>5.85</v>
      </c>
      <c r="F19" s="3">
        <f t="shared" si="56"/>
        <v>6.12</v>
      </c>
      <c r="G19" s="3">
        <f t="shared" si="56"/>
        <v>5.85</v>
      </c>
      <c r="H19" s="3">
        <f t="shared" si="56"/>
        <v>6.04</v>
      </c>
      <c r="I19" s="3">
        <f t="shared" si="56"/>
        <v>6.04</v>
      </c>
      <c r="J19" s="3">
        <f t="shared" si="56"/>
        <v>6.25</v>
      </c>
      <c r="K19" s="3">
        <f t="shared" si="56"/>
        <v>5.74</v>
      </c>
      <c r="L19" s="3">
        <f t="shared" si="56"/>
        <v>5.51</v>
      </c>
      <c r="M19" s="3">
        <f t="shared" si="56"/>
        <v>5.8246451312779541</v>
      </c>
      <c r="N19" s="3">
        <f t="shared" si="56"/>
        <v>5.3549904827751043</v>
      </c>
      <c r="O19" s="3">
        <f>N19*(1+AVERAGE($E22:$J22))</f>
        <v>5.2734111099353003</v>
      </c>
      <c r="P19" s="3">
        <f t="shared" ref="P19:BI19" si="57">O19*(1+AVERAGE($E22:$J22))</f>
        <v>5.193074539317899</v>
      </c>
      <c r="Q19" s="3">
        <f t="shared" si="57"/>
        <v>5.1139618377378282</v>
      </c>
      <c r="R19" s="3">
        <f t="shared" si="57"/>
        <v>5.0360543604432761</v>
      </c>
      <c r="S19" s="3">
        <f t="shared" si="57"/>
        <v>4.9593337467216223</v>
      </c>
      <c r="T19" s="3">
        <f t="shared" si="57"/>
        <v>4.883781915572305</v>
      </c>
      <c r="U19" s="3">
        <f t="shared" si="57"/>
        <v>4.8093810614456149</v>
      </c>
      <c r="V19" s="3">
        <f t="shared" si="57"/>
        <v>4.7361136500464003</v>
      </c>
      <c r="W19" s="3">
        <f t="shared" si="57"/>
        <v>4.663962414201702</v>
      </c>
      <c r="X19" s="3">
        <f t="shared" si="57"/>
        <v>4.5929103497913433</v>
      </c>
      <c r="Y19" s="3">
        <f t="shared" si="57"/>
        <v>4.5229407117405112</v>
      </c>
      <c r="Z19" s="3">
        <f t="shared" si="57"/>
        <v>4.4540370100733906</v>
      </c>
      <c r="AA19" s="3">
        <f t="shared" si="57"/>
        <v>4.3861830060269149</v>
      </c>
      <c r="AB19" s="3">
        <f t="shared" si="57"/>
        <v>4.3193627082237249</v>
      </c>
      <c r="AC19" s="3">
        <f t="shared" si="57"/>
        <v>4.253560368903428</v>
      </c>
      <c r="AD19" s="3">
        <f t="shared" si="57"/>
        <v>4.188760480211271</v>
      </c>
      <c r="AE19" s="3">
        <f t="shared" si="57"/>
        <v>4.1249477705433533</v>
      </c>
      <c r="AF19" s="3">
        <f t="shared" si="57"/>
        <v>4.0621072009475165</v>
      </c>
      <c r="AG19" s="3">
        <f t="shared" si="57"/>
        <v>4.0002239615790653</v>
      </c>
      <c r="AH19" s="3">
        <f t="shared" si="57"/>
        <v>3.9392834682104834</v>
      </c>
      <c r="AI19" s="3">
        <f t="shared" si="57"/>
        <v>3.8792713587943188</v>
      </c>
      <c r="AJ19" s="3">
        <f t="shared" si="57"/>
        <v>3.8201734900784343</v>
      </c>
      <c r="AK19" s="3">
        <f t="shared" si="57"/>
        <v>3.7619759342728187</v>
      </c>
      <c r="AL19" s="3">
        <f t="shared" si="57"/>
        <v>3.7046649757671806</v>
      </c>
      <c r="AM19" s="3">
        <f t="shared" si="57"/>
        <v>3.6482271078985429</v>
      </c>
      <c r="AN19" s="3">
        <f t="shared" si="57"/>
        <v>3.5926490297680846</v>
      </c>
      <c r="AO19" s="3">
        <f t="shared" si="57"/>
        <v>3.5379176431064736</v>
      </c>
      <c r="AP19" s="3">
        <f t="shared" si="57"/>
        <v>3.4840200491869542</v>
      </c>
      <c r="AQ19" s="3">
        <f t="shared" si="57"/>
        <v>3.4309435457854613</v>
      </c>
      <c r="AR19" s="3">
        <f t="shared" si="57"/>
        <v>3.3786756241870455</v>
      </c>
      <c r="AS19" s="3">
        <f t="shared" si="57"/>
        <v>3.3272039662379034</v>
      </c>
      <c r="AT19" s="3">
        <f t="shared" si="57"/>
        <v>3.276516441442316</v>
      </c>
      <c r="AU19" s="3">
        <f t="shared" si="57"/>
        <v>3.2266011041038172</v>
      </c>
      <c r="AV19" s="3">
        <f t="shared" si="57"/>
        <v>3.1774461905099094</v>
      </c>
      <c r="AW19" s="3">
        <f t="shared" si="57"/>
        <v>3.1290401161596724</v>
      </c>
      <c r="AX19" s="3">
        <f t="shared" si="57"/>
        <v>3.081371473033605</v>
      </c>
      <c r="AY19" s="3">
        <f t="shared" si="57"/>
        <v>3.0344290269050593</v>
      </c>
      <c r="AZ19" s="3">
        <f t="shared" si="57"/>
        <v>2.9882017146926341</v>
      </c>
      <c r="BA19" s="3">
        <f t="shared" si="57"/>
        <v>2.9426786418529005</v>
      </c>
      <c r="BB19" s="3">
        <f t="shared" si="57"/>
        <v>2.89784907981285</v>
      </c>
      <c r="BC19" s="3">
        <f t="shared" si="57"/>
        <v>2.8537024634414565</v>
      </c>
      <c r="BD19" s="3">
        <f t="shared" si="57"/>
        <v>2.8102283885597563</v>
      </c>
      <c r="BE19" s="3">
        <f t="shared" si="57"/>
        <v>2.7674166094888606</v>
      </c>
      <c r="BF19" s="3">
        <f t="shared" si="57"/>
        <v>2.7252570366353228</v>
      </c>
      <c r="BG19" s="3">
        <f t="shared" si="57"/>
        <v>2.6837397341132916</v>
      </c>
      <c r="BH19" s="3">
        <f t="shared" si="57"/>
        <v>2.6428549174028864</v>
      </c>
      <c r="BI19" s="3">
        <f t="shared" si="57"/>
        <v>2.6025929510442483</v>
      </c>
    </row>
    <row r="20" spans="1:61" hidden="1" outlineLevel="2" x14ac:dyDescent="0.3">
      <c r="C20" t="s">
        <v>76</v>
      </c>
      <c r="D20" s="3">
        <f t="shared" ref="D20:N20" si="58">D5</f>
        <v>19.5</v>
      </c>
      <c r="E20" s="3">
        <f t="shared" si="58"/>
        <v>19.309999999999999</v>
      </c>
      <c r="F20" s="3">
        <f t="shared" si="58"/>
        <v>19.559999999999999</v>
      </c>
      <c r="G20" s="3">
        <f t="shared" si="58"/>
        <v>19</v>
      </c>
      <c r="H20" s="3">
        <f t="shared" si="58"/>
        <v>18.14</v>
      </c>
      <c r="I20" s="3">
        <f t="shared" si="58"/>
        <v>18.79</v>
      </c>
      <c r="J20" s="3">
        <f t="shared" si="58"/>
        <v>18.510000000000002</v>
      </c>
      <c r="K20" s="3">
        <f t="shared" si="58"/>
        <v>17.98</v>
      </c>
      <c r="L20" s="3">
        <f t="shared" si="58"/>
        <v>17.11</v>
      </c>
      <c r="M20" s="3">
        <f t="shared" si="58"/>
        <v>18.087055933968387</v>
      </c>
      <c r="N20" s="3">
        <f t="shared" si="58"/>
        <v>16.628654657038481</v>
      </c>
      <c r="O20" s="3">
        <f>N20*(1+AVERAGE($E23:$J23))</f>
        <v>16.490750248691384</v>
      </c>
      <c r="P20" s="3">
        <f t="shared" ref="P20:BI20" si="59">O20*(1+AVERAGE($E23:$J23))</f>
        <v>16.353989506277205</v>
      </c>
      <c r="Q20" s="3">
        <f t="shared" si="59"/>
        <v>16.218362945169737</v>
      </c>
      <c r="R20" s="3">
        <f t="shared" si="59"/>
        <v>16.083861159400467</v>
      </c>
      <c r="S20" s="3">
        <f t="shared" si="59"/>
        <v>15.950474821006267</v>
      </c>
      <c r="T20" s="3">
        <f t="shared" si="59"/>
        <v>15.818194679382476</v>
      </c>
      <c r="U20" s="3">
        <f t="shared" si="59"/>
        <v>15.687011560641348</v>
      </c>
      <c r="V20" s="3">
        <f t="shared" si="59"/>
        <v>15.556916366975836</v>
      </c>
      <c r="W20" s="3">
        <f t="shared" si="59"/>
        <v>15.42790007602863</v>
      </c>
      <c r="X20" s="3">
        <f t="shared" si="59"/>
        <v>15.299953740266444</v>
      </c>
      <c r="Y20" s="3">
        <f t="shared" si="59"/>
        <v>15.173068486359487</v>
      </c>
      <c r="Z20" s="3">
        <f t="shared" si="59"/>
        <v>15.047235514566081</v>
      </c>
      <c r="AA20" s="3">
        <f t="shared" si="59"/>
        <v>14.922446098122379</v>
      </c>
      <c r="AB20" s="3">
        <f t="shared" si="59"/>
        <v>14.798691582637147</v>
      </c>
      <c r="AC20" s="3">
        <f t="shared" si="59"/>
        <v>14.675963385491569</v>
      </c>
      <c r="AD20" s="3">
        <f t="shared" si="59"/>
        <v>14.554252995244019</v>
      </c>
      <c r="AE20" s="3">
        <f t="shared" si="59"/>
        <v>14.433551971039781</v>
      </c>
      <c r="AF20" s="3">
        <f t="shared" si="59"/>
        <v>14.313851942025659</v>
      </c>
      <c r="AG20" s="3">
        <f t="shared" si="59"/>
        <v>14.195144606769436</v>
      </c>
      <c r="AH20" s="3">
        <f t="shared" si="59"/>
        <v>14.077421732684162</v>
      </c>
      <c r="AI20" s="3">
        <f t="shared" si="59"/>
        <v>13.960675155457201</v>
      </c>
      <c r="AJ20" s="3">
        <f t="shared" si="59"/>
        <v>13.844896778484024</v>
      </c>
      <c r="AK20" s="3">
        <f t="shared" si="59"/>
        <v>13.730078572306692</v>
      </c>
      <c r="AL20" s="3">
        <f t="shared" si="59"/>
        <v>13.616212574056997</v>
      </c>
      <c r="AM20" s="3">
        <f t="shared" si="59"/>
        <v>13.503290886904221</v>
      </c>
      <c r="AN20" s="3">
        <f t="shared" si="59"/>
        <v>13.391305679507477</v>
      </c>
      <c r="AO20" s="3">
        <f t="shared" si="59"/>
        <v>13.280249185472588</v>
      </c>
      <c r="AP20" s="3">
        <f t="shared" si="59"/>
        <v>13.170113702813476</v>
      </c>
      <c r="AQ20" s="3">
        <f t="shared" si="59"/>
        <v>13.060891593418008</v>
      </c>
      <c r="AR20" s="3">
        <f t="shared" si="59"/>
        <v>12.952575282518286</v>
      </c>
      <c r="AS20" s="3">
        <f t="shared" si="59"/>
        <v>12.845157258165312</v>
      </c>
      <c r="AT20" s="3">
        <f t="shared" si="59"/>
        <v>12.73863007070803</v>
      </c>
      <c r="AU20" s="3">
        <f t="shared" si="59"/>
        <v>12.632986332276673</v>
      </c>
      <c r="AV20" s="3">
        <f t="shared" si="59"/>
        <v>12.528218716270395</v>
      </c>
      <c r="AW20" s="3">
        <f t="shared" si="59"/>
        <v>12.424319956849168</v>
      </c>
      <c r="AX20" s="3">
        <f t="shared" si="59"/>
        <v>12.32128284842987</v>
      </c>
      <c r="AY20" s="3">
        <f t="shared" si="59"/>
        <v>12.219100245186572</v>
      </c>
      <c r="AZ20" s="3">
        <f t="shared" si="59"/>
        <v>12.117765060554959</v>
      </c>
      <c r="BA20" s="3">
        <f t="shared" si="59"/>
        <v>12.017270266740857</v>
      </c>
      <c r="BB20" s="3">
        <f t="shared" si="59"/>
        <v>11.917608894232853</v>
      </c>
      <c r="BC20" s="3">
        <f t="shared" si="59"/>
        <v>11.818774031318933</v>
      </c>
      <c r="BD20" s="3">
        <f t="shared" si="59"/>
        <v>11.720758823607152</v>
      </c>
      <c r="BE20" s="3">
        <f t="shared" si="59"/>
        <v>11.623556473550263</v>
      </c>
      <c r="BF20" s="3">
        <f t="shared" si="59"/>
        <v>11.527160239974291</v>
      </c>
      <c r="BG20" s="3">
        <f t="shared" si="59"/>
        <v>11.431563437611029</v>
      </c>
      <c r="BH20" s="3">
        <f t="shared" si="59"/>
        <v>11.33675943663439</v>
      </c>
      <c r="BI20" s="3">
        <f t="shared" si="59"/>
        <v>11.242741662200622</v>
      </c>
    </row>
    <row r="21" spans="1:61" hidden="1" outlineLevel="2" x14ac:dyDescent="0.3">
      <c r="C21" t="s">
        <v>219</v>
      </c>
      <c r="D21" s="3">
        <f>SUM(D19:D20)</f>
        <v>26.47</v>
      </c>
      <c r="E21" s="3">
        <f t="shared" ref="E21:O21" si="60">SUM(E19:E20)</f>
        <v>25.159999999999997</v>
      </c>
      <c r="F21" s="3">
        <f t="shared" si="60"/>
        <v>25.68</v>
      </c>
      <c r="G21" s="3">
        <f t="shared" si="60"/>
        <v>24.85</v>
      </c>
      <c r="H21" s="3">
        <f t="shared" si="60"/>
        <v>24.18</v>
      </c>
      <c r="I21" s="3">
        <f t="shared" si="60"/>
        <v>24.83</v>
      </c>
      <c r="J21" s="3">
        <f t="shared" si="60"/>
        <v>24.76</v>
      </c>
      <c r="K21" s="3">
        <f t="shared" si="60"/>
        <v>23.72</v>
      </c>
      <c r="L21" s="3">
        <f t="shared" si="60"/>
        <v>22.619999999999997</v>
      </c>
      <c r="M21" s="3">
        <f t="shared" si="60"/>
        <v>23.911701065246341</v>
      </c>
      <c r="N21" s="3">
        <f t="shared" si="60"/>
        <v>21.983645139813586</v>
      </c>
      <c r="O21" s="3">
        <f t="shared" si="60"/>
        <v>21.764161358626684</v>
      </c>
      <c r="P21" s="3">
        <f t="shared" ref="P21" si="61">SUM(P19:P20)</f>
        <v>21.547064045595103</v>
      </c>
      <c r="Q21" s="3">
        <f t="shared" ref="Q21" si="62">SUM(Q19:Q20)</f>
        <v>21.332324782907566</v>
      </c>
      <c r="R21" s="3">
        <f t="shared" ref="R21" si="63">SUM(R19:R20)</f>
        <v>21.119915519843744</v>
      </c>
      <c r="S21" s="3">
        <f t="shared" ref="S21" si="64">SUM(S19:S20)</f>
        <v>20.90980856772789</v>
      </c>
      <c r="T21" s="3">
        <f t="shared" ref="T21" si="65">SUM(T19:T20)</f>
        <v>20.701976594954779</v>
      </c>
      <c r="U21" s="3">
        <f t="shared" ref="U21" si="66">SUM(U19:U20)</f>
        <v>20.496392622086965</v>
      </c>
      <c r="V21" s="3">
        <f t="shared" ref="V21" si="67">SUM(V19:V20)</f>
        <v>20.293030017022236</v>
      </c>
      <c r="W21" s="3">
        <f t="shared" ref="W21" si="68">SUM(W19:W20)</f>
        <v>20.091862490230334</v>
      </c>
      <c r="X21" s="3">
        <f t="shared" ref="X21" si="69">SUM(X19:X20)</f>
        <v>19.892864090057788</v>
      </c>
      <c r="Y21" s="3">
        <f t="shared" ref="Y21" si="70">SUM(Y19:Y20)</f>
        <v>19.696009198099997</v>
      </c>
      <c r="Z21" s="3">
        <f t="shared" ref="Z21" si="71">SUM(Z19:Z20)</f>
        <v>19.501272524639472</v>
      </c>
      <c r="AA21" s="3">
        <f t="shared" ref="AA21" si="72">SUM(AA19:AA20)</f>
        <v>19.308629104149293</v>
      </c>
      <c r="AB21" s="3">
        <f t="shared" ref="AB21" si="73">SUM(AB19:AB20)</f>
        <v>19.118054290860872</v>
      </c>
      <c r="AC21" s="3">
        <f t="shared" ref="AC21" si="74">SUM(AC19:AC20)</f>
        <v>18.929523754394996</v>
      </c>
      <c r="AD21" s="3">
        <f t="shared" ref="AD21" si="75">SUM(AD19:AD20)</f>
        <v>18.743013475455289</v>
      </c>
      <c r="AE21" s="3">
        <f t="shared" ref="AE21" si="76">SUM(AE19:AE20)</f>
        <v>18.558499741583134</v>
      </c>
      <c r="AF21" s="3">
        <f t="shared" ref="AF21" si="77">SUM(AF19:AF20)</f>
        <v>18.375959142973176</v>
      </c>
      <c r="AG21" s="3">
        <f t="shared" ref="AG21" si="78">SUM(AG19:AG20)</f>
        <v>18.195368568348499</v>
      </c>
      <c r="AH21" s="3">
        <f t="shared" ref="AH21" si="79">SUM(AH19:AH20)</f>
        <v>18.016705200894645</v>
      </c>
      <c r="AI21" s="3">
        <f t="shared" ref="AI21" si="80">SUM(AI19:AI20)</f>
        <v>17.839946514251519</v>
      </c>
      <c r="AJ21" s="3">
        <f t="shared" ref="AJ21" si="81">SUM(AJ19:AJ20)</f>
        <v>17.665070268562459</v>
      </c>
      <c r="AK21" s="3">
        <f t="shared" ref="AK21" si="82">SUM(AK19:AK20)</f>
        <v>17.49205450657951</v>
      </c>
      <c r="AL21" s="3">
        <f t="shared" ref="AL21" si="83">SUM(AL19:AL20)</f>
        <v>17.320877549824178</v>
      </c>
      <c r="AM21" s="3">
        <f t="shared" ref="AM21" si="84">SUM(AM19:AM20)</f>
        <v>17.151517994802763</v>
      </c>
      <c r="AN21" s="3">
        <f t="shared" ref="AN21" si="85">SUM(AN19:AN20)</f>
        <v>16.983954709275562</v>
      </c>
      <c r="AO21" s="3">
        <f t="shared" ref="AO21" si="86">SUM(AO19:AO20)</f>
        <v>16.818166828579063</v>
      </c>
      <c r="AP21" s="3">
        <f t="shared" ref="AP21" si="87">SUM(AP19:AP20)</f>
        <v>16.65413375200043</v>
      </c>
      <c r="AQ21" s="3">
        <f t="shared" ref="AQ21" si="88">SUM(AQ19:AQ20)</f>
        <v>16.49183513920347</v>
      </c>
      <c r="AR21" s="3">
        <f t="shared" ref="AR21" si="89">SUM(AR19:AR20)</f>
        <v>16.331250906705332</v>
      </c>
      <c r="AS21" s="3">
        <f t="shared" ref="AS21" si="90">SUM(AS19:AS20)</f>
        <v>16.172361224403215</v>
      </c>
      <c r="AT21" s="3">
        <f t="shared" ref="AT21" si="91">SUM(AT19:AT20)</f>
        <v>16.015146512150345</v>
      </c>
      <c r="AU21" s="3">
        <f t="shared" ref="AU21" si="92">SUM(AU19:AU20)</f>
        <v>15.85958743638049</v>
      </c>
      <c r="AV21" s="3">
        <f t="shared" ref="AV21" si="93">SUM(AV19:AV20)</f>
        <v>15.705664906780305</v>
      </c>
      <c r="AW21" s="3">
        <f t="shared" ref="AW21" si="94">SUM(AW19:AW20)</f>
        <v>15.553360073008839</v>
      </c>
      <c r="AX21" s="3">
        <f t="shared" ref="AX21" si="95">SUM(AX19:AX20)</f>
        <v>15.402654321463476</v>
      </c>
      <c r="AY21" s="3">
        <f t="shared" ref="AY21" si="96">SUM(AY19:AY20)</f>
        <v>15.253529272091631</v>
      </c>
      <c r="AZ21" s="3">
        <f t="shared" ref="AZ21" si="97">SUM(AZ19:AZ20)</f>
        <v>15.105966775247593</v>
      </c>
      <c r="BA21" s="3">
        <f t="shared" ref="BA21" si="98">SUM(BA19:BA20)</f>
        <v>14.959948908593757</v>
      </c>
      <c r="BB21" s="3">
        <f t="shared" ref="BB21" si="99">SUM(BB19:BB20)</f>
        <v>14.815457974045703</v>
      </c>
      <c r="BC21" s="3">
        <f t="shared" ref="BC21" si="100">SUM(BC19:BC20)</f>
        <v>14.672476494760389</v>
      </c>
      <c r="BD21" s="3">
        <f t="shared" ref="BD21" si="101">SUM(BD19:BD20)</f>
        <v>14.530987212166909</v>
      </c>
      <c r="BE21" s="3">
        <f t="shared" ref="BE21" si="102">SUM(BE19:BE20)</f>
        <v>14.390973083039123</v>
      </c>
      <c r="BF21" s="3">
        <f t="shared" ref="BF21" si="103">SUM(BF19:BF20)</f>
        <v>14.252417276609615</v>
      </c>
      <c r="BG21" s="3">
        <f t="shared" ref="BG21" si="104">SUM(BG19:BG20)</f>
        <v>14.115303171724321</v>
      </c>
      <c r="BH21" s="3">
        <f t="shared" ref="BH21" si="105">SUM(BH19:BH20)</f>
        <v>13.979614354037276</v>
      </c>
      <c r="BI21" s="3">
        <f t="shared" ref="BI21" si="106">SUM(BI19:BI20)</f>
        <v>13.845334613244869</v>
      </c>
    </row>
    <row r="22" spans="1:61" hidden="1" outlineLevel="2" x14ac:dyDescent="0.3">
      <c r="E22" s="6">
        <f>(E15-D15)/D15</f>
        <v>-0.16068866571018653</v>
      </c>
      <c r="F22" s="6">
        <f t="shared" ref="F22:N23" si="107">(F15-E15)/E15</f>
        <v>4.6153846153846233E-2</v>
      </c>
      <c r="G22" s="6">
        <f t="shared" si="107"/>
        <v>-4.4117647058823602E-2</v>
      </c>
      <c r="H22" s="6">
        <f t="shared" si="107"/>
        <v>3.2478632478632551E-2</v>
      </c>
      <c r="I22" s="6">
        <f t="shared" si="107"/>
        <v>0</v>
      </c>
      <c r="J22" s="6">
        <f t="shared" si="107"/>
        <v>3.4768211920529798E-2</v>
      </c>
      <c r="K22" s="6">
        <f t="shared" si="107"/>
        <v>-8.1599999999999964E-2</v>
      </c>
      <c r="L22" s="6">
        <f t="shared" si="107"/>
        <v>-4.0069686411149899E-2</v>
      </c>
      <c r="M22" s="6">
        <f t="shared" si="107"/>
        <v>5.7104379542278469E-2</v>
      </c>
      <c r="N22" s="6">
        <f t="shared" si="107"/>
        <v>-8.063231972379499E-2</v>
      </c>
    </row>
    <row r="23" spans="1:61" hidden="1" outlineLevel="2" x14ac:dyDescent="0.3">
      <c r="E23" s="6">
        <f>(E16-D16)/D16</f>
        <v>-9.7435897435898099E-3</v>
      </c>
      <c r="F23" s="6">
        <f t="shared" si="107"/>
        <v>1.2946659761781462E-2</v>
      </c>
      <c r="G23" s="6">
        <f t="shared" si="107"/>
        <v>-2.8629856850715684E-2</v>
      </c>
      <c r="H23" s="6">
        <f t="shared" si="107"/>
        <v>-4.5263157894736811E-2</v>
      </c>
      <c r="I23" s="6">
        <f t="shared" si="107"/>
        <v>3.5832414553472906E-2</v>
      </c>
      <c r="J23" s="6">
        <f t="shared" si="107"/>
        <v>-1.4901543374135051E-2</v>
      </c>
      <c r="K23" s="6">
        <f t="shared" si="107"/>
        <v>-2.8633171258779098E-2</v>
      </c>
      <c r="L23" s="6">
        <f t="shared" si="107"/>
        <v>-4.8387096774193603E-2</v>
      </c>
      <c r="M23" s="6">
        <f t="shared" si="107"/>
        <v>5.7104379542278615E-2</v>
      </c>
      <c r="N23" s="6">
        <f t="shared" si="107"/>
        <v>-8.0632319723795143E-2</v>
      </c>
    </row>
    <row r="24" spans="1:61" hidden="1" outlineLevel="1" collapsed="1" x14ac:dyDescent="0.3">
      <c r="A24" t="s">
        <v>181</v>
      </c>
      <c r="D24">
        <v>2013</v>
      </c>
      <c r="E24">
        <v>2014</v>
      </c>
      <c r="F24">
        <v>2015</v>
      </c>
      <c r="G24">
        <v>2016</v>
      </c>
      <c r="H24">
        <v>2017</v>
      </c>
      <c r="I24">
        <v>2018</v>
      </c>
      <c r="J24">
        <v>2019</v>
      </c>
      <c r="K24">
        <v>2020</v>
      </c>
      <c r="L24">
        <v>2021</v>
      </c>
      <c r="M24">
        <v>2022</v>
      </c>
      <c r="N24">
        <v>2023</v>
      </c>
      <c r="O24">
        <v>2024</v>
      </c>
      <c r="P24">
        <v>2025</v>
      </c>
      <c r="Q24">
        <v>2026</v>
      </c>
      <c r="R24">
        <v>2027</v>
      </c>
      <c r="S24">
        <v>2028</v>
      </c>
      <c r="T24">
        <v>2029</v>
      </c>
      <c r="U24">
        <v>2030</v>
      </c>
      <c r="V24">
        <v>2031</v>
      </c>
      <c r="W24">
        <v>2032</v>
      </c>
      <c r="X24">
        <v>2033</v>
      </c>
      <c r="Y24">
        <v>2034</v>
      </c>
      <c r="Z24">
        <v>2035</v>
      </c>
      <c r="AA24">
        <v>2036</v>
      </c>
      <c r="AB24">
        <v>2037</v>
      </c>
      <c r="AC24">
        <v>2038</v>
      </c>
      <c r="AD24">
        <v>2039</v>
      </c>
      <c r="AE24">
        <v>2040</v>
      </c>
      <c r="AF24">
        <v>2041</v>
      </c>
      <c r="AG24">
        <v>2042</v>
      </c>
      <c r="AH24">
        <v>2043</v>
      </c>
      <c r="AI24">
        <v>2044</v>
      </c>
      <c r="AJ24">
        <v>2045</v>
      </c>
      <c r="AK24">
        <v>2046</v>
      </c>
      <c r="AL24">
        <v>2047</v>
      </c>
      <c r="AM24">
        <v>2048</v>
      </c>
      <c r="AN24">
        <v>2049</v>
      </c>
      <c r="AO24">
        <v>2050</v>
      </c>
      <c r="AP24">
        <v>2051</v>
      </c>
      <c r="AQ24">
        <v>2052</v>
      </c>
      <c r="AR24">
        <v>2053</v>
      </c>
      <c r="AS24">
        <v>2054</v>
      </c>
      <c r="AT24">
        <v>2055</v>
      </c>
      <c r="AU24">
        <v>2056</v>
      </c>
      <c r="AV24">
        <v>2057</v>
      </c>
      <c r="AW24">
        <v>2058</v>
      </c>
      <c r="AX24">
        <v>2059</v>
      </c>
      <c r="AY24">
        <v>2060</v>
      </c>
      <c r="AZ24">
        <v>2061</v>
      </c>
      <c r="BA24">
        <v>2062</v>
      </c>
      <c r="BB24">
        <v>2063</v>
      </c>
      <c r="BC24">
        <v>2064</v>
      </c>
      <c r="BD24">
        <v>2065</v>
      </c>
      <c r="BE24">
        <v>2066</v>
      </c>
      <c r="BF24">
        <v>2067</v>
      </c>
      <c r="BG24">
        <v>2068</v>
      </c>
      <c r="BH24">
        <v>2069</v>
      </c>
      <c r="BI24">
        <v>2070</v>
      </c>
    </row>
    <row r="25" spans="1:61" hidden="1" outlineLevel="2" x14ac:dyDescent="0.3">
      <c r="D25" cm="1">
        <f t="array" ref="D25:BI25">TRANSPOSE('Pob&amp;Viv'!B65:B122)</f>
        <v>117688241</v>
      </c>
      <c r="E25">
        <v>119216240</v>
      </c>
      <c r="F25">
        <v>120653293</v>
      </c>
      <c r="G25">
        <v>122038924</v>
      </c>
      <c r="H25">
        <v>123388002</v>
      </c>
      <c r="I25">
        <v>124692044</v>
      </c>
      <c r="J25">
        <v>125960168</v>
      </c>
      <c r="K25">
        <v>127191826</v>
      </c>
      <c r="L25">
        <v>128389290</v>
      </c>
      <c r="M25">
        <v>129960600</v>
      </c>
      <c r="N25">
        <v>131135337</v>
      </c>
      <c r="O25">
        <v>132274416</v>
      </c>
      <c r="P25">
        <v>133367428</v>
      </c>
      <c r="Q25">
        <v>134407258</v>
      </c>
      <c r="R25">
        <v>135391662</v>
      </c>
      <c r="S25">
        <v>136321595</v>
      </c>
      <c r="T25">
        <v>137200808</v>
      </c>
      <c r="U25">
        <v>138033990</v>
      </c>
      <c r="V25">
        <v>138825843</v>
      </c>
      <c r="W25">
        <v>139580548</v>
      </c>
      <c r="X25">
        <v>140301983</v>
      </c>
      <c r="Y25">
        <v>140993393</v>
      </c>
      <c r="Z25">
        <v>141656637</v>
      </c>
      <c r="AA25">
        <v>142291504</v>
      </c>
      <c r="AB25">
        <v>142895488</v>
      </c>
      <c r="AC25">
        <v>143464237</v>
      </c>
      <c r="AD25">
        <v>143992746</v>
      </c>
      <c r="AE25">
        <v>144476530</v>
      </c>
      <c r="AF25">
        <v>144912929</v>
      </c>
      <c r="AG25">
        <v>145301351</v>
      </c>
      <c r="AH25">
        <v>145642911</v>
      </c>
      <c r="AI25">
        <v>145939797</v>
      </c>
      <c r="AJ25">
        <v>146194887</v>
      </c>
      <c r="AK25">
        <v>146411280</v>
      </c>
      <c r="AL25">
        <v>146592205</v>
      </c>
      <c r="AM25">
        <v>146740307</v>
      </c>
      <c r="AN25">
        <v>146857365</v>
      </c>
      <c r="AO25">
        <v>146943948</v>
      </c>
      <c r="AP25">
        <v>146999649</v>
      </c>
      <c r="AQ25">
        <v>147022927</v>
      </c>
      <c r="AR25">
        <v>147011306</v>
      </c>
      <c r="AS25">
        <v>146961870</v>
      </c>
      <c r="AT25">
        <v>146872208</v>
      </c>
      <c r="AU25">
        <v>146741137</v>
      </c>
      <c r="AV25">
        <v>146568916</v>
      </c>
      <c r="AW25">
        <v>146356973</v>
      </c>
      <c r="AX25">
        <v>146107409</v>
      </c>
      <c r="AY25">
        <v>145822700</v>
      </c>
      <c r="AZ25">
        <v>145505553</v>
      </c>
      <c r="BA25">
        <v>145158569</v>
      </c>
      <c r="BB25">
        <v>144784066</v>
      </c>
      <c r="BC25">
        <v>144383681</v>
      </c>
      <c r="BD25">
        <v>143958301</v>
      </c>
      <c r="BE25">
        <v>143507972</v>
      </c>
      <c r="BF25">
        <v>143032072</v>
      </c>
      <c r="BG25">
        <v>142529549</v>
      </c>
      <c r="BH25">
        <v>141999271</v>
      </c>
      <c r="BI25">
        <v>141440479</v>
      </c>
    </row>
    <row r="26" spans="1:61" hidden="1" outlineLevel="2" x14ac:dyDescent="0.3">
      <c r="D26" s="3">
        <f>D3</f>
        <v>26.47</v>
      </c>
      <c r="E26" s="3">
        <f t="shared" ref="E26:N26" si="108">E3</f>
        <v>25.159999999999997</v>
      </c>
      <c r="F26" s="3">
        <f t="shared" si="108"/>
        <v>25.68</v>
      </c>
      <c r="G26" s="3">
        <f t="shared" si="108"/>
        <v>24.85</v>
      </c>
      <c r="H26" s="3">
        <f t="shared" si="108"/>
        <v>24.18</v>
      </c>
      <c r="I26" s="3">
        <f t="shared" si="108"/>
        <v>24.83</v>
      </c>
      <c r="J26" s="3">
        <f t="shared" si="108"/>
        <v>24.76</v>
      </c>
      <c r="K26" s="3">
        <f t="shared" si="108"/>
        <v>23.72</v>
      </c>
      <c r="L26" s="3">
        <f t="shared" si="108"/>
        <v>22.619999999999997</v>
      </c>
      <c r="M26" s="3">
        <f t="shared" si="108"/>
        <v>23.911701065246337</v>
      </c>
      <c r="N26" s="3">
        <f t="shared" si="108"/>
        <v>21.983645139813582</v>
      </c>
      <c r="O26" s="11">
        <f>O25*AVERAGE($D29:$N29)/1000000</f>
        <v>25.954642219026997</v>
      </c>
      <c r="P26" s="11">
        <f t="shared" ref="P26:BI26" si="109">P25*AVERAGE($D29:$N29)/1000000</f>
        <v>26.169111020016473</v>
      </c>
      <c r="Q26" s="11">
        <f t="shared" si="109"/>
        <v>26.373144546942882</v>
      </c>
      <c r="R26" s="11">
        <f t="shared" si="109"/>
        <v>26.56630248626033</v>
      </c>
      <c r="S26" s="11">
        <f t="shared" si="109"/>
        <v>26.748772226309431</v>
      </c>
      <c r="T26" s="11">
        <f t="shared" si="109"/>
        <v>26.921289781399732</v>
      </c>
      <c r="U26" s="11">
        <f t="shared" si="109"/>
        <v>27.084775218472711</v>
      </c>
      <c r="V26" s="11">
        <f t="shared" si="109"/>
        <v>27.240151155305902</v>
      </c>
      <c r="W26" s="11">
        <f t="shared" si="109"/>
        <v>27.388237980016669</v>
      </c>
      <c r="X26" s="11">
        <f t="shared" si="109"/>
        <v>27.529796626620588</v>
      </c>
      <c r="Y26" s="11">
        <f t="shared" si="109"/>
        <v>27.665463823039413</v>
      </c>
      <c r="Z26" s="11">
        <f t="shared" si="109"/>
        <v>27.795604338828319</v>
      </c>
      <c r="AA26" s="11">
        <f t="shared" si="109"/>
        <v>27.920176771956029</v>
      </c>
      <c r="AB26" s="11">
        <f t="shared" si="109"/>
        <v>28.038689399719335</v>
      </c>
      <c r="AC26" s="11">
        <f t="shared" si="109"/>
        <v>28.150288280695907</v>
      </c>
      <c r="AD26" s="11">
        <f t="shared" si="109"/>
        <v>28.25399134300643</v>
      </c>
      <c r="AE26" s="11">
        <f t="shared" si="109"/>
        <v>28.348918548213589</v>
      </c>
      <c r="AF26" s="11">
        <f t="shared" si="109"/>
        <v>28.434547956017905</v>
      </c>
      <c r="AG26" s="11">
        <f t="shared" si="109"/>
        <v>28.510763405269998</v>
      </c>
      <c r="AH26" s="11">
        <f t="shared" si="109"/>
        <v>28.577783679215724</v>
      </c>
      <c r="AI26" s="11">
        <f t="shared" si="109"/>
        <v>28.636038103184138</v>
      </c>
      <c r="AJ26" s="11">
        <f t="shared" si="109"/>
        <v>28.686091393033109</v>
      </c>
      <c r="AK26" s="11">
        <f t="shared" si="109"/>
        <v>28.728551628833372</v>
      </c>
      <c r="AL26" s="11">
        <f t="shared" si="109"/>
        <v>28.764052399016155</v>
      </c>
      <c r="AM26" s="11">
        <f t="shared" si="109"/>
        <v>28.793112700608582</v>
      </c>
      <c r="AN26" s="11">
        <f t="shared" si="109"/>
        <v>28.816081605713215</v>
      </c>
      <c r="AO26" s="11">
        <f t="shared" si="109"/>
        <v>28.833070762461787</v>
      </c>
      <c r="AP26" s="11">
        <f t="shared" si="109"/>
        <v>28.844000310064114</v>
      </c>
      <c r="AQ26" s="11">
        <f t="shared" si="109"/>
        <v>28.848567876339171</v>
      </c>
      <c r="AR26" s="11">
        <f t="shared" si="109"/>
        <v>28.846287625128483</v>
      </c>
      <c r="AS26" s="11">
        <f t="shared" si="109"/>
        <v>28.836587384284176</v>
      </c>
      <c r="AT26" s="11">
        <f t="shared" si="109"/>
        <v>28.81899407182803</v>
      </c>
      <c r="AU26" s="11">
        <f t="shared" si="109"/>
        <v>28.793275561679476</v>
      </c>
      <c r="AV26" s="11">
        <f t="shared" si="109"/>
        <v>28.75948267434136</v>
      </c>
      <c r="AW26" s="11">
        <f t="shared" si="109"/>
        <v>28.717895609342886</v>
      </c>
      <c r="AX26" s="11">
        <f t="shared" si="109"/>
        <v>28.668926621033389</v>
      </c>
      <c r="AY26" s="11">
        <f t="shared" si="109"/>
        <v>28.613061545571352</v>
      </c>
      <c r="AZ26" s="11">
        <f t="shared" si="109"/>
        <v>28.550831545509681</v>
      </c>
      <c r="BA26" s="11">
        <f t="shared" si="109"/>
        <v>28.482746984276563</v>
      </c>
      <c r="BB26" s="11">
        <f t="shared" si="109"/>
        <v>28.409262695561562</v>
      </c>
      <c r="BC26" s="11">
        <f t="shared" si="109"/>
        <v>28.330699888488837</v>
      </c>
      <c r="BD26" s="11">
        <f t="shared" si="109"/>
        <v>28.247232608564275</v>
      </c>
      <c r="BE26" s="11">
        <f t="shared" si="109"/>
        <v>28.158869881823133</v>
      </c>
      <c r="BF26" s="11">
        <f t="shared" si="109"/>
        <v>28.06548966057132</v>
      </c>
      <c r="BG26" s="11">
        <f t="shared" si="109"/>
        <v>27.966885523306921</v>
      </c>
      <c r="BH26" s="11">
        <f t="shared" si="109"/>
        <v>27.862835351075418</v>
      </c>
      <c r="BI26" s="11">
        <f t="shared" si="109"/>
        <v>27.753190214295117</v>
      </c>
    </row>
    <row r="27" spans="1:61" hidden="1" outlineLevel="2" x14ac:dyDescent="0.3">
      <c r="D27" s="3">
        <f>D3</f>
        <v>26.47</v>
      </c>
      <c r="E27" s="3">
        <f t="shared" ref="E27:N27" si="110">E3</f>
        <v>25.159999999999997</v>
      </c>
      <c r="F27" s="3">
        <f t="shared" si="110"/>
        <v>25.68</v>
      </c>
      <c r="G27" s="3">
        <f t="shared" si="110"/>
        <v>24.85</v>
      </c>
      <c r="H27" s="3">
        <f t="shared" si="110"/>
        <v>24.18</v>
      </c>
      <c r="I27" s="3">
        <f t="shared" si="110"/>
        <v>24.83</v>
      </c>
      <c r="J27" s="3">
        <f t="shared" si="110"/>
        <v>24.76</v>
      </c>
      <c r="K27" s="3">
        <f t="shared" si="110"/>
        <v>23.72</v>
      </c>
      <c r="L27" s="3">
        <f t="shared" si="110"/>
        <v>22.619999999999997</v>
      </c>
      <c r="M27" s="3">
        <f t="shared" si="110"/>
        <v>23.911701065246337</v>
      </c>
      <c r="N27" s="3">
        <f t="shared" si="110"/>
        <v>21.983645139813582</v>
      </c>
      <c r="O27" s="11">
        <f>O25*O29/1000000</f>
        <v>21.549544220305254</v>
      </c>
      <c r="P27" s="11">
        <f t="shared" ref="P27:BI27" si="111">P25*P29/1000000</f>
        <v>21.115155310437952</v>
      </c>
      <c r="Q27" s="11">
        <f t="shared" si="111"/>
        <v>20.679950437784633</v>
      </c>
      <c r="R27" s="11">
        <f t="shared" si="111"/>
        <v>20.244215872537627</v>
      </c>
      <c r="S27" s="11">
        <f t="shared" si="111"/>
        <v>19.808699650929746</v>
      </c>
      <c r="T27" s="11">
        <f t="shared" si="111"/>
        <v>19.374488481164192</v>
      </c>
      <c r="U27" s="11">
        <f t="shared" si="111"/>
        <v>18.942700206753859</v>
      </c>
      <c r="V27" s="11">
        <f t="shared" si="111"/>
        <v>18.514348380724371</v>
      </c>
      <c r="W27" s="11">
        <f t="shared" si="111"/>
        <v>18.090279595704747</v>
      </c>
      <c r="X27" s="11">
        <f t="shared" si="111"/>
        <v>17.671216894860297</v>
      </c>
      <c r="Y27" s="11">
        <f t="shared" si="111"/>
        <v>17.257730314461835</v>
      </c>
      <c r="Z27" s="11">
        <f t="shared" si="111"/>
        <v>16.85016318949377</v>
      </c>
      <c r="AA27" s="11">
        <f t="shared" si="111"/>
        <v>16.44858039467875</v>
      </c>
      <c r="AB27" s="11">
        <f t="shared" si="111"/>
        <v>16.052779338292176</v>
      </c>
      <c r="AC27" s="11">
        <f t="shared" si="111"/>
        <v>15.662375826886059</v>
      </c>
      <c r="AD27" s="11">
        <f t="shared" si="111"/>
        <v>15.276957480768287</v>
      </c>
      <c r="AE27" s="11">
        <f t="shared" si="111"/>
        <v>14.896211373902782</v>
      </c>
      <c r="AF27" s="11">
        <f t="shared" si="111"/>
        <v>14.520043800241634</v>
      </c>
      <c r="AG27" s="11">
        <f t="shared" si="111"/>
        <v>14.148575355321203</v>
      </c>
      <c r="AH27" s="11">
        <f t="shared" si="111"/>
        <v>13.782077207477789</v>
      </c>
      <c r="AI27" s="11">
        <f t="shared" si="111"/>
        <v>13.420890518684171</v>
      </c>
      <c r="AJ27" s="11">
        <f t="shared" si="111"/>
        <v>13.065380066360932</v>
      </c>
      <c r="AK27" s="11">
        <f t="shared" si="111"/>
        <v>12.715887272402503</v>
      </c>
      <c r="AL27" s="11">
        <f t="shared" si="111"/>
        <v>12.372722631413305</v>
      </c>
      <c r="AM27" s="11">
        <f t="shared" si="111"/>
        <v>12.036108415789865</v>
      </c>
      <c r="AN27" s="11">
        <f t="shared" si="111"/>
        <v>11.706165699741799</v>
      </c>
      <c r="AO27" s="11">
        <f t="shared" si="111"/>
        <v>11.382899661757419</v>
      </c>
      <c r="AP27" s="11">
        <f t="shared" si="111"/>
        <v>11.066231962453154</v>
      </c>
      <c r="AQ27" s="11">
        <f t="shared" si="111"/>
        <v>10.756000263523685</v>
      </c>
      <c r="AR27" s="11">
        <f t="shared" si="111"/>
        <v>10.451984169128194</v>
      </c>
      <c r="AS27" s="11">
        <f t="shared" si="111"/>
        <v>10.153948233406908</v>
      </c>
      <c r="AT27" s="11">
        <f t="shared" si="111"/>
        <v>9.8617086402311571</v>
      </c>
      <c r="AU27" s="11">
        <f t="shared" si="111"/>
        <v>9.5751743648242247</v>
      </c>
      <c r="AV27" s="11">
        <f t="shared" si="111"/>
        <v>9.2943485555123395</v>
      </c>
      <c r="AW27" s="11">
        <f t="shared" si="111"/>
        <v>9.0192986170870846</v>
      </c>
      <c r="AX27" s="11">
        <f t="shared" si="111"/>
        <v>8.7501168888922614</v>
      </c>
      <c r="AY27" s="11">
        <f t="shared" si="111"/>
        <v>8.4868987018005679</v>
      </c>
      <c r="AZ27" s="11">
        <f t="shared" si="111"/>
        <v>8.2297325007565885</v>
      </c>
      <c r="BA27" s="11">
        <f t="shared" si="111"/>
        <v>7.9786809230424662</v>
      </c>
      <c r="BB27" s="11">
        <f t="shared" si="111"/>
        <v>7.7337736317841221</v>
      </c>
      <c r="BC27" s="11">
        <f t="shared" si="111"/>
        <v>7.4949901250622366</v>
      </c>
      <c r="BD27" s="11">
        <f t="shared" si="111"/>
        <v>7.2622623808861437</v>
      </c>
      <c r="BE27" s="11">
        <f t="shared" si="111"/>
        <v>7.0354765261771162</v>
      </c>
      <c r="BF27" s="11">
        <f t="shared" si="111"/>
        <v>6.8144873412913229</v>
      </c>
      <c r="BG27" s="11">
        <f t="shared" si="111"/>
        <v>6.5991338620298432</v>
      </c>
      <c r="BH27" s="11">
        <f t="shared" si="111"/>
        <v>6.3892577712339707</v>
      </c>
      <c r="BI27" s="11">
        <f t="shared" si="111"/>
        <v>6.1847234012189638</v>
      </c>
    </row>
    <row r="28" spans="1:61" hidden="1" outlineLevel="2" x14ac:dyDescent="0.3">
      <c r="D28" s="3">
        <f>D3</f>
        <v>26.47</v>
      </c>
      <c r="E28" s="3">
        <f t="shared" ref="E28:N28" si="112">E3</f>
        <v>25.159999999999997</v>
      </c>
      <c r="F28" s="3">
        <f t="shared" si="112"/>
        <v>25.68</v>
      </c>
      <c r="G28" s="3">
        <f t="shared" si="112"/>
        <v>24.85</v>
      </c>
      <c r="H28" s="3">
        <f t="shared" si="112"/>
        <v>24.18</v>
      </c>
      <c r="I28" s="3">
        <f t="shared" si="112"/>
        <v>24.83</v>
      </c>
      <c r="J28" s="3">
        <f t="shared" si="112"/>
        <v>24.76</v>
      </c>
      <c r="K28" s="3">
        <f t="shared" si="112"/>
        <v>23.72</v>
      </c>
      <c r="L28" s="3">
        <f t="shared" si="112"/>
        <v>22.619999999999997</v>
      </c>
      <c r="M28" s="3">
        <f t="shared" si="112"/>
        <v>23.911701065246337</v>
      </c>
      <c r="N28" s="3">
        <f t="shared" si="112"/>
        <v>21.983645139813582</v>
      </c>
      <c r="O28" s="11">
        <f>O25*O30/1000000</f>
        <v>21.691245973339559</v>
      </c>
      <c r="P28" s="11">
        <f t="shared" ref="P28:BI28" si="113">P25*P30/1000000</f>
        <v>21.393759053406033</v>
      </c>
      <c r="Q28" s="11">
        <f t="shared" si="113"/>
        <v>21.090589737672151</v>
      </c>
      <c r="R28" s="11">
        <f t="shared" si="113"/>
        <v>20.781964560911781</v>
      </c>
      <c r="S28" s="11">
        <f t="shared" si="113"/>
        <v>20.468594260675108</v>
      </c>
      <c r="T28" s="11">
        <f t="shared" si="113"/>
        <v>20.151561554777711</v>
      </c>
      <c r="U28" s="11">
        <f t="shared" si="113"/>
        <v>19.832011076873997</v>
      </c>
      <c r="V28" s="11">
        <f t="shared" si="113"/>
        <v>19.511008217627175</v>
      </c>
      <c r="W28" s="11">
        <f t="shared" si="113"/>
        <v>19.189469539374894</v>
      </c>
      <c r="X28" s="11">
        <f t="shared" si="113"/>
        <v>18.868203769764502</v>
      </c>
      <c r="Y28" s="11">
        <f t="shared" si="113"/>
        <v>18.547876199547531</v>
      </c>
      <c r="Z28" s="11">
        <f t="shared" si="113"/>
        <v>18.228923894260483</v>
      </c>
      <c r="AA28" s="11">
        <f t="shared" si="113"/>
        <v>17.911491544625274</v>
      </c>
      <c r="AB28" s="11">
        <f t="shared" si="113"/>
        <v>17.595433721043854</v>
      </c>
      <c r="AC28" s="11">
        <f t="shared" si="113"/>
        <v>17.280400014660113</v>
      </c>
      <c r="AD28" s="11">
        <f t="shared" si="113"/>
        <v>16.965998745741995</v>
      </c>
      <c r="AE28" s="11">
        <f t="shared" si="113"/>
        <v>16.651938449434073</v>
      </c>
      <c r="AF28" s="11">
        <f t="shared" si="113"/>
        <v>16.338166108912208</v>
      </c>
      <c r="AG28" s="11">
        <f t="shared" si="113"/>
        <v>16.024869555443601</v>
      </c>
      <c r="AH28" s="11">
        <f t="shared" si="113"/>
        <v>15.71241275934675</v>
      </c>
      <c r="AI28" s="11">
        <f t="shared" si="113"/>
        <v>15.401249074605065</v>
      </c>
      <c r="AJ28" s="11">
        <f t="shared" si="113"/>
        <v>15.091870453125843</v>
      </c>
      <c r="AK28" s="11">
        <f t="shared" si="113"/>
        <v>14.784753910138917</v>
      </c>
      <c r="AL28" s="11">
        <f t="shared" si="113"/>
        <v>14.480351965611964</v>
      </c>
      <c r="AM28" s="11">
        <f t="shared" si="113"/>
        <v>14.179024145075008</v>
      </c>
      <c r="AN28" s="11">
        <f t="shared" si="113"/>
        <v>13.881018349239129</v>
      </c>
      <c r="AO28" s="11">
        <f t="shared" si="113"/>
        <v>13.586449496555598</v>
      </c>
      <c r="AP28" s="11">
        <f t="shared" si="113"/>
        <v>13.29533395539584</v>
      </c>
      <c r="AQ28" s="11">
        <f t="shared" si="113"/>
        <v>13.007585684910085</v>
      </c>
      <c r="AR28" s="11">
        <f t="shared" si="113"/>
        <v>12.723044451720622</v>
      </c>
      <c r="AS28" s="11">
        <f t="shared" si="113"/>
        <v>12.441526137214332</v>
      </c>
      <c r="AT28" s="11">
        <f t="shared" si="113"/>
        <v>12.162904273225477</v>
      </c>
      <c r="AU28" s="11">
        <f t="shared" si="113"/>
        <v>11.887163129421799</v>
      </c>
      <c r="AV28" s="11">
        <f t="shared" si="113"/>
        <v>11.614403146919301</v>
      </c>
      <c r="AW28" s="11">
        <f t="shared" si="113"/>
        <v>11.344807145354954</v>
      </c>
      <c r="AX28" s="11">
        <f t="shared" si="113"/>
        <v>11.078593213067274</v>
      </c>
      <c r="AY28" s="11">
        <f t="shared" si="113"/>
        <v>10.815987833895957</v>
      </c>
      <c r="AZ28" s="11">
        <f t="shared" si="113"/>
        <v>10.557213409666218</v>
      </c>
      <c r="BA28" s="11">
        <f t="shared" si="113"/>
        <v>10.302463607659549</v>
      </c>
      <c r="BB28" s="11">
        <f t="shared" si="113"/>
        <v>10.051893018022675</v>
      </c>
      <c r="BC28" s="11">
        <f t="shared" si="113"/>
        <v>9.8055933081226136</v>
      </c>
      <c r="BD28" s="11">
        <f t="shared" si="113"/>
        <v>9.5635945840525149</v>
      </c>
      <c r="BE28" s="11">
        <f t="shared" si="113"/>
        <v>9.3258655536879917</v>
      </c>
      <c r="BF28" s="11">
        <f t="shared" si="113"/>
        <v>9.0923308624979597</v>
      </c>
      <c r="BG28" s="11">
        <f t="shared" si="113"/>
        <v>8.8628906271396186</v>
      </c>
      <c r="BH28" s="11">
        <f t="shared" si="113"/>
        <v>8.6374445391438659</v>
      </c>
      <c r="BI28" s="11">
        <f t="shared" si="113"/>
        <v>8.4159191268869531</v>
      </c>
    </row>
    <row r="29" spans="1:61" hidden="1" outlineLevel="2" x14ac:dyDescent="0.3">
      <c r="D29" s="3">
        <f>D26/D25*1000000</f>
        <v>0.2249162683976218</v>
      </c>
      <c r="E29" s="3">
        <f t="shared" ref="E29:N29" si="114">E26/E25*1000000</f>
        <v>0.21104507238275588</v>
      </c>
      <c r="F29" s="3">
        <f t="shared" si="114"/>
        <v>0.21284126907336048</v>
      </c>
      <c r="G29" s="3">
        <f t="shared" si="114"/>
        <v>0.20362355866067783</v>
      </c>
      <c r="H29" s="3">
        <f t="shared" si="114"/>
        <v>0.19596718974345659</v>
      </c>
      <c r="I29" s="3">
        <f t="shared" si="114"/>
        <v>0.199130587674062</v>
      </c>
      <c r="J29" s="3">
        <f t="shared" si="114"/>
        <v>0.19657007761374215</v>
      </c>
      <c r="K29" s="3">
        <f t="shared" si="114"/>
        <v>0.18648997145461219</v>
      </c>
      <c r="L29" s="3">
        <f t="shared" si="114"/>
        <v>0.1761829199304708</v>
      </c>
      <c r="M29" s="3">
        <f t="shared" si="114"/>
        <v>0.18399192574708287</v>
      </c>
      <c r="N29" s="3">
        <f t="shared" si="114"/>
        <v>0.16764089407734226</v>
      </c>
      <c r="O29" s="3">
        <f>N29*(1+AVERAGE($E31:$N31))</f>
        <v>0.16291543649911297</v>
      </c>
      <c r="P29" s="3">
        <f t="shared" ref="P29:BI29" si="115">O29*(1+AVERAGE($E31:$N31))</f>
        <v>0.15832318000792481</v>
      </c>
      <c r="Q29" s="3">
        <f t="shared" si="115"/>
        <v>0.15386036993467</v>
      </c>
      <c r="R29" s="3">
        <f t="shared" si="115"/>
        <v>0.14952335744676529</v>
      </c>
      <c r="S29" s="3">
        <f t="shared" si="115"/>
        <v>0.14530859656483439</v>
      </c>
      <c r="T29" s="3">
        <f t="shared" si="115"/>
        <v>0.14121264126348432</v>
      </c>
      <c r="U29" s="3">
        <f t="shared" si="115"/>
        <v>0.13723214265380473</v>
      </c>
      <c r="V29" s="3">
        <f t="shared" si="115"/>
        <v>0.13336384624528713</v>
      </c>
      <c r="W29" s="3">
        <f t="shared" si="115"/>
        <v>0.12960458928492491</v>
      </c>
      <c r="X29" s="3">
        <f t="shared" si="115"/>
        <v>0.12595129817131878</v>
      </c>
      <c r="Y29" s="3">
        <f t="shared" si="115"/>
        <v>0.12240098594167341</v>
      </c>
      <c r="Z29" s="3">
        <f t="shared" si="115"/>
        <v>0.11895074982963044</v>
      </c>
      <c r="AA29" s="3">
        <f t="shared" si="115"/>
        <v>0.11559776889194137</v>
      </c>
      <c r="AB29" s="3">
        <f t="shared" si="115"/>
        <v>0.11233930170203958</v>
      </c>
      <c r="AC29" s="3">
        <f t="shared" si="115"/>
        <v>0.10917268410862604</v>
      </c>
      <c r="AD29" s="3">
        <f t="shared" si="115"/>
        <v>0.10609532705743585</v>
      </c>
      <c r="AE29" s="3">
        <f t="shared" si="115"/>
        <v>0.10310471447440481</v>
      </c>
      <c r="AF29" s="3">
        <f t="shared" si="115"/>
        <v>0.10019840120850525</v>
      </c>
      <c r="AG29" s="3">
        <f t="shared" si="115"/>
        <v>9.7374011032569152E-2</v>
      </c>
      <c r="AH29" s="3">
        <f t="shared" si="115"/>
        <v>9.4629234700463999E-2</v>
      </c>
      <c r="AI29" s="3">
        <f t="shared" si="115"/>
        <v>9.1961828059032941E-2</v>
      </c>
      <c r="AJ29" s="3">
        <f t="shared" si="115"/>
        <v>8.9369610213255485E-2</v>
      </c>
      <c r="AK29" s="3">
        <f t="shared" si="115"/>
        <v>8.6850461743128687E-2</v>
      </c>
      <c r="AL29" s="3">
        <f t="shared" si="115"/>
        <v>8.4402322970810795E-2</v>
      </c>
      <c r="AM29" s="3">
        <f t="shared" si="115"/>
        <v>8.2023192276610576E-2</v>
      </c>
      <c r="AN29" s="3">
        <f t="shared" si="115"/>
        <v>7.9711124462445576E-2</v>
      </c>
      <c r="AO29" s="3">
        <f t="shared" si="115"/>
        <v>7.7464229161431128E-2</v>
      </c>
      <c r="AP29" s="3">
        <f t="shared" si="115"/>
        <v>7.5280669292299832E-2</v>
      </c>
      <c r="AQ29" s="3">
        <f t="shared" si="115"/>
        <v>7.3158659557387845E-2</v>
      </c>
      <c r="AR29" s="3">
        <f t="shared" si="115"/>
        <v>7.1096464982959851E-2</v>
      </c>
      <c r="AS29" s="3">
        <f t="shared" si="115"/>
        <v>6.9092399500679372E-2</v>
      </c>
      <c r="AT29" s="3">
        <f t="shared" si="115"/>
        <v>6.7144824569064537E-2</v>
      </c>
      <c r="AU29" s="3">
        <f t="shared" si="115"/>
        <v>6.5252147833802218E-2</v>
      </c>
      <c r="AV29" s="3">
        <f t="shared" si="115"/>
        <v>6.3412821825825194E-2</v>
      </c>
      <c r="AW29" s="3">
        <f t="shared" si="115"/>
        <v>6.1625342696087909E-2</v>
      </c>
      <c r="AX29" s="3">
        <f t="shared" si="115"/>
        <v>5.9888248986006323E-2</v>
      </c>
      <c r="AY29" s="3">
        <f t="shared" si="115"/>
        <v>5.8200120432556582E-2</v>
      </c>
      <c r="AZ29" s="3">
        <f t="shared" si="115"/>
        <v>5.6559576807055527E-2</v>
      </c>
      <c r="BA29" s="3">
        <f t="shared" si="115"/>
        <v>5.4965276786673657E-2</v>
      </c>
      <c r="BB29" s="3">
        <f t="shared" si="115"/>
        <v>5.3415916857757831E-2</v>
      </c>
      <c r="BC29" s="3">
        <f t="shared" si="115"/>
        <v>5.1910230250067087E-2</v>
      </c>
      <c r="BD29" s="3">
        <f t="shared" si="115"/>
        <v>5.044698590105022E-2</v>
      </c>
      <c r="BE29" s="3">
        <f t="shared" si="115"/>
        <v>4.9024987449318255E-2</v>
      </c>
      <c r="BF29" s="3">
        <f t="shared" si="115"/>
        <v>4.7643072256488901E-2</v>
      </c>
      <c r="BG29" s="3">
        <f t="shared" si="115"/>
        <v>4.6300110456603233E-2</v>
      </c>
      <c r="BH29" s="3">
        <f t="shared" si="115"/>
        <v>4.4995004032337395E-2</v>
      </c>
      <c r="BI29" s="3">
        <f t="shared" si="115"/>
        <v>4.3726685917254024E-2</v>
      </c>
    </row>
    <row r="30" spans="1:61" hidden="1" outlineLevel="2" x14ac:dyDescent="0.3">
      <c r="D30" s="3">
        <f>D26/D25*1000000</f>
        <v>0.2249162683976218</v>
      </c>
      <c r="E30" s="3">
        <f t="shared" ref="E30:N30" si="116">E26/E25*1000000</f>
        <v>0.21104507238275588</v>
      </c>
      <c r="F30" s="3">
        <f t="shared" si="116"/>
        <v>0.21284126907336048</v>
      </c>
      <c r="G30" s="3">
        <f t="shared" si="116"/>
        <v>0.20362355866067783</v>
      </c>
      <c r="H30" s="3">
        <f t="shared" si="116"/>
        <v>0.19596718974345659</v>
      </c>
      <c r="I30" s="3">
        <f t="shared" si="116"/>
        <v>0.199130587674062</v>
      </c>
      <c r="J30" s="3">
        <f t="shared" si="116"/>
        <v>0.19657007761374215</v>
      </c>
      <c r="K30" s="3">
        <f t="shared" si="116"/>
        <v>0.18648997145461219</v>
      </c>
      <c r="L30" s="3">
        <f t="shared" si="116"/>
        <v>0.1761829199304708</v>
      </c>
      <c r="M30" s="3">
        <f t="shared" si="116"/>
        <v>0.18399192574708287</v>
      </c>
      <c r="N30" s="3">
        <f t="shared" si="116"/>
        <v>0.16764089407734226</v>
      </c>
      <c r="O30" s="3">
        <f>N30*(1+AVERAGE($E31:$J31))</f>
        <v>0.16398670755302791</v>
      </c>
      <c r="P30" s="3">
        <f t="shared" ref="P30:BI30" si="117">O30*(1+AVERAGE($E31:$J31))</f>
        <v>0.16041217390355639</v>
      </c>
      <c r="Q30" s="3">
        <f t="shared" si="117"/>
        <v>0.15691555687916905</v>
      </c>
      <c r="R30" s="3">
        <f t="shared" si="117"/>
        <v>0.15349515807636502</v>
      </c>
      <c r="S30" s="3">
        <f t="shared" si="117"/>
        <v>0.15014931611293944</v>
      </c>
      <c r="T30" s="3">
        <f t="shared" si="117"/>
        <v>0.14687640582100445</v>
      </c>
      <c r="U30" s="3">
        <f t="shared" si="117"/>
        <v>0.1436748374576001</v>
      </c>
      <c r="V30" s="3">
        <f t="shared" si="117"/>
        <v>0.14054305593251232</v>
      </c>
      <c r="W30" s="3">
        <f t="shared" si="117"/>
        <v>0.13747954005292268</v>
      </c>
      <c r="X30" s="3">
        <f t="shared" si="117"/>
        <v>0.1344828017845229</v>
      </c>
      <c r="Y30" s="3">
        <f t="shared" si="117"/>
        <v>0.13155138552873558</v>
      </c>
      <c r="Z30" s="3">
        <f t="shared" si="117"/>
        <v>0.12868386741568968</v>
      </c>
      <c r="AA30" s="3">
        <f t="shared" si="117"/>
        <v>0.12587885461260762</v>
      </c>
      <c r="AB30" s="3">
        <f t="shared" si="117"/>
        <v>0.12313498464726789</v>
      </c>
      <c r="AC30" s="3">
        <f t="shared" si="117"/>
        <v>0.1204509247462147</v>
      </c>
      <c r="AD30" s="3">
        <f t="shared" si="117"/>
        <v>0.11782537118739299</v>
      </c>
      <c r="AE30" s="3">
        <f t="shared" si="117"/>
        <v>0.11525704866689469</v>
      </c>
      <c r="AF30" s="3">
        <f t="shared" si="117"/>
        <v>0.11274470967950835</v>
      </c>
      <c r="AG30" s="3">
        <f t="shared" si="117"/>
        <v>0.1102871339127714</v>
      </c>
      <c r="AH30" s="3">
        <f t="shared" si="117"/>
        <v>0.10788312765423062</v>
      </c>
      <c r="AI30" s="3">
        <f t="shared" si="117"/>
        <v>0.10553152321162311</v>
      </c>
      <c r="AJ30" s="3">
        <f t="shared" si="117"/>
        <v>0.10323117834569578</v>
      </c>
      <c r="AK30" s="3">
        <f t="shared" si="117"/>
        <v>0.1009809757153883</v>
      </c>
      <c r="AL30" s="3">
        <f t="shared" si="117"/>
        <v>9.8779822335109596E-2</v>
      </c>
      <c r="AM30" s="3">
        <f t="shared" si="117"/>
        <v>9.6626649043844562E-2</v>
      </c>
      <c r="AN30" s="3">
        <f t="shared" si="117"/>
        <v>9.4520409985833054E-2</v>
      </c>
      <c r="AO30" s="3">
        <f t="shared" si="117"/>
        <v>9.2460082102568786E-2</v>
      </c>
      <c r="AP30" s="3">
        <f t="shared" si="117"/>
        <v>9.0444664635871613E-2</v>
      </c>
      <c r="AQ30" s="3">
        <f t="shared" si="117"/>
        <v>8.8473178641791592E-2</v>
      </c>
      <c r="AR30" s="3">
        <f t="shared" si="117"/>
        <v>8.6544666515108851E-2</v>
      </c>
      <c r="AS30" s="3">
        <f t="shared" si="117"/>
        <v>8.4658191524198304E-2</v>
      </c>
      <c r="AT30" s="3">
        <f t="shared" si="117"/>
        <v>8.2812837356033189E-2</v>
      </c>
      <c r="AU30" s="3">
        <f t="shared" si="117"/>
        <v>8.1007707671106557E-2</v>
      </c>
      <c r="AV30" s="3">
        <f t="shared" si="117"/>
        <v>7.9241925668054339E-2</v>
      </c>
      <c r="AW30" s="3">
        <f t="shared" si="117"/>
        <v>7.7514633657768769E-2</v>
      </c>
      <c r="AX30" s="3">
        <f t="shared" si="117"/>
        <v>7.5824992646795028E-2</v>
      </c>
      <c r="AY30" s="3">
        <f t="shared" si="117"/>
        <v>7.4172181929808984E-2</v>
      </c>
      <c r="AZ30" s="3">
        <f t="shared" si="117"/>
        <v>7.2555398690977921E-2</v>
      </c>
      <c r="BA30" s="3">
        <f t="shared" si="117"/>
        <v>7.0973857614010705E-2</v>
      </c>
      <c r="BB30" s="3">
        <f t="shared" si="117"/>
        <v>6.9426790500707963E-2</v>
      </c>
      <c r="BC30" s="3">
        <f t="shared" si="117"/>
        <v>6.791344589782701E-2</v>
      </c>
      <c r="BD30" s="3">
        <f t="shared" si="117"/>
        <v>6.6433088732080231E-2</v>
      </c>
      <c r="BE30" s="3">
        <f t="shared" si="117"/>
        <v>6.498499995308965E-2</v>
      </c>
      <c r="BF30" s="3">
        <f t="shared" si="117"/>
        <v>6.3568476184124353E-2</v>
      </c>
      <c r="BG30" s="3">
        <f t="shared" si="117"/>
        <v>6.2182829380450923E-2</v>
      </c>
      <c r="BH30" s="3">
        <f t="shared" si="117"/>
        <v>6.0827386495131128E-2</v>
      </c>
      <c r="BI30" s="3">
        <f t="shared" si="117"/>
        <v>5.9501489152104424E-2</v>
      </c>
    </row>
    <row r="31" spans="1:61" hidden="1" outlineLevel="2" x14ac:dyDescent="0.3">
      <c r="D31" s="3"/>
      <c r="E31" s="6">
        <f>(E29-D29)/D29</f>
        <v>-6.1672710976795608E-2</v>
      </c>
      <c r="F31" s="6">
        <f t="shared" ref="F31:N31" si="118">(F29-E29)/E29</f>
        <v>8.5109624703626346E-3</v>
      </c>
      <c r="G31" s="6">
        <f t="shared" si="118"/>
        <v>-4.3307909470815864E-2</v>
      </c>
      <c r="H31" s="6">
        <f t="shared" si="118"/>
        <v>-3.7600604603811878E-2</v>
      </c>
      <c r="I31" s="6">
        <f t="shared" si="118"/>
        <v>1.6142487600841037E-2</v>
      </c>
      <c r="J31" s="6">
        <f t="shared" si="118"/>
        <v>-1.2858446762136336E-2</v>
      </c>
      <c r="K31" s="6">
        <f t="shared" si="118"/>
        <v>-5.127996224805513E-2</v>
      </c>
      <c r="L31" s="6">
        <f t="shared" si="118"/>
        <v>-5.5268663745009501E-2</v>
      </c>
      <c r="M31" s="6">
        <f t="shared" si="118"/>
        <v>4.4323285252020034E-2</v>
      </c>
      <c r="N31" s="6">
        <f t="shared" si="118"/>
        <v>-8.8868202250444964E-2</v>
      </c>
    </row>
    <row r="32" spans="1:61" x14ac:dyDescent="0.3">
      <c r="D32">
        <v>2013</v>
      </c>
      <c r="E32">
        <v>2014</v>
      </c>
      <c r="F32">
        <v>2015</v>
      </c>
      <c r="G32">
        <v>2016</v>
      </c>
      <c r="H32">
        <v>2017</v>
      </c>
      <c r="I32">
        <v>2018</v>
      </c>
      <c r="J32">
        <v>2019</v>
      </c>
      <c r="K32">
        <v>2020</v>
      </c>
      <c r="L32">
        <v>2021</v>
      </c>
      <c r="M32">
        <v>2022</v>
      </c>
      <c r="N32">
        <v>2023</v>
      </c>
      <c r="O32">
        <v>2024</v>
      </c>
      <c r="P32">
        <v>2025</v>
      </c>
      <c r="Q32">
        <v>2026</v>
      </c>
      <c r="R32">
        <v>2027</v>
      </c>
      <c r="S32">
        <v>2028</v>
      </c>
      <c r="T32">
        <v>2029</v>
      </c>
      <c r="U32">
        <v>2030</v>
      </c>
      <c r="V32">
        <v>2031</v>
      </c>
      <c r="W32">
        <v>2032</v>
      </c>
      <c r="X32">
        <v>2033</v>
      </c>
      <c r="Y32">
        <v>2034</v>
      </c>
      <c r="Z32">
        <v>2035</v>
      </c>
      <c r="AA32">
        <v>2036</v>
      </c>
      <c r="AB32">
        <v>2037</v>
      </c>
      <c r="AC32">
        <v>2038</v>
      </c>
      <c r="AD32">
        <v>2039</v>
      </c>
      <c r="AE32">
        <v>2040</v>
      </c>
      <c r="AF32">
        <v>2041</v>
      </c>
      <c r="AG32">
        <v>2042</v>
      </c>
      <c r="AH32">
        <v>2043</v>
      </c>
      <c r="AI32">
        <v>2044</v>
      </c>
      <c r="AJ32">
        <v>2045</v>
      </c>
      <c r="AK32">
        <v>2046</v>
      </c>
      <c r="AL32">
        <v>2047</v>
      </c>
      <c r="AM32">
        <v>2048</v>
      </c>
      <c r="AN32">
        <v>2049</v>
      </c>
      <c r="AO32">
        <v>2050</v>
      </c>
      <c r="AP32">
        <v>2051</v>
      </c>
      <c r="AQ32">
        <v>2052</v>
      </c>
      <c r="AR32">
        <v>2053</v>
      </c>
      <c r="AS32">
        <v>2054</v>
      </c>
      <c r="AT32">
        <v>2055</v>
      </c>
      <c r="AU32">
        <v>2056</v>
      </c>
      <c r="AV32">
        <v>2057</v>
      </c>
      <c r="AW32">
        <v>2058</v>
      </c>
      <c r="AX32">
        <v>2059</v>
      </c>
      <c r="AY32">
        <v>2060</v>
      </c>
      <c r="AZ32">
        <v>2061</v>
      </c>
      <c r="BA32">
        <v>2062</v>
      </c>
      <c r="BB32">
        <v>2063</v>
      </c>
      <c r="BC32">
        <v>2064</v>
      </c>
      <c r="BD32">
        <v>2065</v>
      </c>
      <c r="BE32">
        <v>2066</v>
      </c>
      <c r="BF32">
        <v>2067</v>
      </c>
      <c r="BG32">
        <v>2068</v>
      </c>
      <c r="BH32">
        <v>2069</v>
      </c>
      <c r="BI32">
        <v>2070</v>
      </c>
    </row>
    <row r="33" spans="1:61" x14ac:dyDescent="0.3">
      <c r="A33" s="11">
        <f>BI33</f>
        <v>9.5446629565702068</v>
      </c>
      <c r="C33" t="s">
        <v>183</v>
      </c>
      <c r="D33" s="3">
        <f t="shared" ref="D33:AI33" si="119">D11</f>
        <v>26.47</v>
      </c>
      <c r="E33" s="3">
        <f t="shared" si="119"/>
        <v>25.159999999999997</v>
      </c>
      <c r="F33" s="3">
        <f t="shared" si="119"/>
        <v>25.68</v>
      </c>
      <c r="G33" s="3">
        <f t="shared" si="119"/>
        <v>24.85</v>
      </c>
      <c r="H33" s="3">
        <f t="shared" si="119"/>
        <v>24.18</v>
      </c>
      <c r="I33" s="3">
        <f t="shared" si="119"/>
        <v>24.83</v>
      </c>
      <c r="J33" s="3">
        <f t="shared" si="119"/>
        <v>24.76</v>
      </c>
      <c r="K33" s="3">
        <f t="shared" si="119"/>
        <v>23.72</v>
      </c>
      <c r="L33" s="3">
        <f t="shared" si="119"/>
        <v>22.619999999999997</v>
      </c>
      <c r="M33" s="3">
        <f t="shared" si="119"/>
        <v>23.911701065246337</v>
      </c>
      <c r="N33" s="3">
        <f t="shared" si="119"/>
        <v>21.983645139813582</v>
      </c>
      <c r="O33" s="3">
        <f t="shared" si="119"/>
        <v>21.596847533852827</v>
      </c>
      <c r="P33" s="3">
        <f t="shared" si="119"/>
        <v>21.216855550300252</v>
      </c>
      <c r="Q33" s="3">
        <f t="shared" si="119"/>
        <v>20.843549445663008</v>
      </c>
      <c r="R33" s="3">
        <f t="shared" si="119"/>
        <v>20.476811583309786</v>
      </c>
      <c r="S33" s="3">
        <f t="shared" si="119"/>
        <v>20.116526396401021</v>
      </c>
      <c r="T33" s="3">
        <f t="shared" si="119"/>
        <v>19.762580351471357</v>
      </c>
      <c r="U33" s="3">
        <f t="shared" si="119"/>
        <v>19.414861912652842</v>
      </c>
      <c r="V33" s="3">
        <f t="shared" si="119"/>
        <v>19.073261506527636</v>
      </c>
      <c r="W33" s="3">
        <f t="shared" si="119"/>
        <v>18.737671487599098</v>
      </c>
      <c r="X33" s="3">
        <f t="shared" si="119"/>
        <v>18.407986104370433</v>
      </c>
      <c r="Y33" s="3">
        <f t="shared" si="119"/>
        <v>18.084101466020158</v>
      </c>
      <c r="Z33" s="3">
        <f t="shared" si="119"/>
        <v>17.765915509663909</v>
      </c>
      <c r="AA33" s="3">
        <f t="shared" si="119"/>
        <v>17.45332796819228</v>
      </c>
      <c r="AB33" s="3">
        <f t="shared" si="119"/>
        <v>17.146240338674534</v>
      </c>
      <c r="AC33" s="3">
        <f t="shared" si="119"/>
        <v>16.844555851318255</v>
      </c>
      <c r="AD33" s="3">
        <f t="shared" si="119"/>
        <v>16.54817943897514</v>
      </c>
      <c r="AE33" s="3">
        <f t="shared" si="119"/>
        <v>16.257017707183337</v>
      </c>
      <c r="AF33" s="3">
        <f t="shared" si="119"/>
        <v>15.970978904736882</v>
      </c>
      <c r="AG33" s="3">
        <f t="shared" si="119"/>
        <v>15.689972894772952</v>
      </c>
      <c r="AH33" s="3">
        <f t="shared" si="119"/>
        <v>15.413911126367843</v>
      </c>
      <c r="AI33" s="3">
        <f t="shared" si="119"/>
        <v>15.142706606632702</v>
      </c>
      <c r="AJ33" s="3">
        <f t="shared" ref="AJ33:BI33" si="120">AJ11</f>
        <v>14.87627387330023</v>
      </c>
      <c r="AK33" s="3">
        <f t="shared" si="120"/>
        <v>14.614528967793724</v>
      </c>
      <c r="AL33" s="3">
        <f t="shared" si="120"/>
        <v>14.357389408769954</v>
      </c>
      <c r="AM33" s="3">
        <f t="shared" si="120"/>
        <v>14.10477416612755</v>
      </c>
      <c r="AN33" s="3">
        <f t="shared" si="120"/>
        <v>13.856603635472709</v>
      </c>
      <c r="AO33" s="3">
        <f t="shared" si="120"/>
        <v>13.612799613034172</v>
      </c>
      <c r="AP33" s="3">
        <f t="shared" si="120"/>
        <v>13.373285271019563</v>
      </c>
      <c r="AQ33" s="3">
        <f t="shared" si="120"/>
        <v>13.13798513340533</v>
      </c>
      <c r="AR33" s="3">
        <f t="shared" si="120"/>
        <v>12.90682505215266</v>
      </c>
      <c r="AS33" s="3">
        <f t="shared" si="120"/>
        <v>12.679732183841866</v>
      </c>
      <c r="AT33" s="3">
        <f t="shared" si="120"/>
        <v>12.456634966717884</v>
      </c>
      <c r="AU33" s="3">
        <f t="shared" si="120"/>
        <v>12.237463098139662</v>
      </c>
      <c r="AV33" s="3">
        <f t="shared" si="120"/>
        <v>12.022147512426308</v>
      </c>
      <c r="AW33" s="3">
        <f t="shared" si="120"/>
        <v>11.810620359093038</v>
      </c>
      <c r="AX33" s="3">
        <f t="shared" si="120"/>
        <v>11.602814981470059</v>
      </c>
      <c r="AY33" s="3">
        <f t="shared" si="120"/>
        <v>11.398665895697642</v>
      </c>
      <c r="AZ33" s="3">
        <f t="shared" si="120"/>
        <v>11.198108770090776</v>
      </c>
      <c r="BA33" s="3">
        <f t="shared" si="120"/>
        <v>11.001080404866903</v>
      </c>
      <c r="BB33" s="3">
        <f t="shared" si="120"/>
        <v>10.807518712230321</v>
      </c>
      <c r="BC33" s="3">
        <f t="shared" si="120"/>
        <v>10.617362696807021</v>
      </c>
      <c r="BD33" s="3">
        <f t="shared" si="120"/>
        <v>10.430552436423751</v>
      </c>
      <c r="BE33" s="3">
        <f t="shared" si="120"/>
        <v>10.247029063225277</v>
      </c>
      <c r="BF33" s="3">
        <f t="shared" si="120"/>
        <v>10.066734745123879</v>
      </c>
      <c r="BG33" s="3">
        <f t="shared" si="120"/>
        <v>9.8896126675752392</v>
      </c>
      <c r="BH33" s="3">
        <f t="shared" si="120"/>
        <v>9.7156070156749781</v>
      </c>
      <c r="BI33" s="3">
        <f t="shared" si="120"/>
        <v>9.5446629565702068</v>
      </c>
    </row>
    <row r="34" spans="1:61" x14ac:dyDescent="0.3">
      <c r="A34" s="11">
        <f t="shared" ref="A34:A40" si="121">BI34</f>
        <v>13.275724439796903</v>
      </c>
      <c r="C34" t="s">
        <v>184</v>
      </c>
      <c r="D34" s="3">
        <f t="shared" ref="D34:AI34" si="122">D12</f>
        <v>26.47</v>
      </c>
      <c r="E34" s="3">
        <f t="shared" si="122"/>
        <v>25.159999999999997</v>
      </c>
      <c r="F34" s="3">
        <f t="shared" si="122"/>
        <v>25.68</v>
      </c>
      <c r="G34" s="3">
        <f t="shared" si="122"/>
        <v>24.85</v>
      </c>
      <c r="H34" s="3">
        <f t="shared" si="122"/>
        <v>24.18</v>
      </c>
      <c r="I34" s="3">
        <f t="shared" si="122"/>
        <v>24.83</v>
      </c>
      <c r="J34" s="3">
        <f t="shared" si="122"/>
        <v>24.76</v>
      </c>
      <c r="K34" s="3">
        <f t="shared" si="122"/>
        <v>23.72</v>
      </c>
      <c r="L34" s="3">
        <f t="shared" si="122"/>
        <v>22.619999999999997</v>
      </c>
      <c r="M34" s="3">
        <f t="shared" si="122"/>
        <v>23.911701065246337</v>
      </c>
      <c r="N34" s="3">
        <f t="shared" si="122"/>
        <v>21.983645139813582</v>
      </c>
      <c r="O34" s="3">
        <f t="shared" si="122"/>
        <v>21.748997738984411</v>
      </c>
      <c r="P34" s="3">
        <f t="shared" si="122"/>
        <v>21.516854900176948</v>
      </c>
      <c r="Q34" s="3">
        <f t="shared" si="122"/>
        <v>21.287189890382866</v>
      </c>
      <c r="R34" s="3">
        <f t="shared" si="122"/>
        <v>21.059976261934636</v>
      </c>
      <c r="S34" s="3">
        <f t="shared" si="122"/>
        <v>20.835187849459885</v>
      </c>
      <c r="T34" s="3">
        <f t="shared" si="122"/>
        <v>20.612798766868245</v>
      </c>
      <c r="U34" s="3">
        <f t="shared" si="122"/>
        <v>20.392783404370388</v>
      </c>
      <c r="V34" s="3">
        <f t="shared" si="122"/>
        <v>20.175116425528845</v>
      </c>
      <c r="W34" s="3">
        <f t="shared" si="122"/>
        <v>19.959772764340343</v>
      </c>
      <c r="X34" s="3">
        <f t="shared" si="122"/>
        <v>19.746727622349251</v>
      </c>
      <c r="Y34" s="3">
        <f t="shared" si="122"/>
        <v>19.535956465791859</v>
      </c>
      <c r="Z34" s="3">
        <f t="shared" si="122"/>
        <v>19.327435022771116</v>
      </c>
      <c r="AA34" s="3">
        <f t="shared" si="122"/>
        <v>19.121139280461549</v>
      </c>
      <c r="AB34" s="3">
        <f t="shared" si="122"/>
        <v>18.917045482344005</v>
      </c>
      <c r="AC34" s="3">
        <f t="shared" si="122"/>
        <v>18.715130125469894</v>
      </c>
      <c r="AD34" s="3">
        <f t="shared" si="122"/>
        <v>18.515369957754665</v>
      </c>
      <c r="AE34" s="3">
        <f t="shared" si="122"/>
        <v>18.317741975300137</v>
      </c>
      <c r="AF34" s="3">
        <f t="shared" si="122"/>
        <v>18.122223419745431</v>
      </c>
      <c r="AG34" s="3">
        <f t="shared" si="122"/>
        <v>17.928791775646175</v>
      </c>
      <c r="AH34" s="3">
        <f t="shared" si="122"/>
        <v>17.737424767881674</v>
      </c>
      <c r="AI34" s="3">
        <f t="shared" si="122"/>
        <v>17.548100359089762</v>
      </c>
      <c r="AJ34" s="3">
        <f t="shared" ref="AJ34:BI34" si="123">AJ12</f>
        <v>17.36079674712904</v>
      </c>
      <c r="AK34" s="3">
        <f t="shared" si="123"/>
        <v>17.175492362568185</v>
      </c>
      <c r="AL34" s="3">
        <f t="shared" si="123"/>
        <v>16.992165866202075</v>
      </c>
      <c r="AM34" s="3">
        <f t="shared" si="123"/>
        <v>16.810796146594406</v>
      </c>
      <c r="AN34" s="3">
        <f t="shared" si="123"/>
        <v>16.631362317646563</v>
      </c>
      <c r="AO34" s="3">
        <f t="shared" si="123"/>
        <v>16.453843716192416</v>
      </c>
      <c r="AP34" s="3">
        <f t="shared" si="123"/>
        <v>16.278219899618808</v>
      </c>
      <c r="AQ34" s="3">
        <f t="shared" si="123"/>
        <v>16.104470643511426</v>
      </c>
      <c r="AR34" s="3">
        <f t="shared" si="123"/>
        <v>15.932575939325819</v>
      </c>
      <c r="AS34" s="3">
        <f t="shared" si="123"/>
        <v>15.762515992083244</v>
      </c>
      <c r="AT34" s="3">
        <f t="shared" si="123"/>
        <v>15.594271218091139</v>
      </c>
      <c r="AU34" s="3">
        <f t="shared" si="123"/>
        <v>15.427822242687906</v>
      </c>
      <c r="AV34" s="3">
        <f t="shared" si="123"/>
        <v>15.263149898011774</v>
      </c>
      <c r="AW34" s="3">
        <f t="shared" si="123"/>
        <v>15.100235220793468</v>
      </c>
      <c r="AX34" s="3">
        <f t="shared" si="123"/>
        <v>14.939059450172458</v>
      </c>
      <c r="AY34" s="3">
        <f t="shared" si="123"/>
        <v>14.779604025536489</v>
      </c>
      <c r="AZ34" s="3">
        <f t="shared" si="123"/>
        <v>14.621850584384196</v>
      </c>
      <c r="BA34" s="3">
        <f t="shared" si="123"/>
        <v>14.465780960210516</v>
      </c>
      <c r="BB34" s="3">
        <f t="shared" si="123"/>
        <v>14.311377180414684</v>
      </c>
      <c r="BC34" s="3">
        <f t="shared" si="123"/>
        <v>14.158621464230544</v>
      </c>
      <c r="BD34" s="3">
        <f t="shared" si="123"/>
        <v>14.007496220678965</v>
      </c>
      <c r="BE34" s="3">
        <f t="shared" si="123"/>
        <v>13.857984046542104</v>
      </c>
      <c r="BF34" s="3">
        <f t="shared" si="123"/>
        <v>13.710067724359295</v>
      </c>
      <c r="BG34" s="3">
        <f t="shared" si="123"/>
        <v>13.563730220444324</v>
      </c>
      <c r="BH34" s="3">
        <f t="shared" si="123"/>
        <v>13.418954682923873</v>
      </c>
      <c r="BI34" s="3">
        <f t="shared" si="123"/>
        <v>13.275724439796903</v>
      </c>
    </row>
    <row r="35" spans="1:61" x14ac:dyDescent="0.3">
      <c r="A35" s="11">
        <f t="shared" si="121"/>
        <v>9.8984321983098837</v>
      </c>
      <c r="C35" t="s">
        <v>187</v>
      </c>
      <c r="D35" s="3">
        <f>D17</f>
        <v>26.47</v>
      </c>
      <c r="E35" s="3">
        <f t="shared" ref="E35:BI35" si="124">E17</f>
        <v>25.159999999999997</v>
      </c>
      <c r="F35" s="3">
        <f t="shared" si="124"/>
        <v>25.68</v>
      </c>
      <c r="G35" s="3">
        <f t="shared" si="124"/>
        <v>24.85</v>
      </c>
      <c r="H35" s="3">
        <f t="shared" si="124"/>
        <v>24.18</v>
      </c>
      <c r="I35" s="3">
        <f t="shared" si="124"/>
        <v>24.83</v>
      </c>
      <c r="J35" s="3">
        <f t="shared" si="124"/>
        <v>24.76</v>
      </c>
      <c r="K35" s="3">
        <f t="shared" si="124"/>
        <v>23.72</v>
      </c>
      <c r="L35" s="3">
        <f t="shared" si="124"/>
        <v>22.619999999999997</v>
      </c>
      <c r="M35" s="3">
        <f t="shared" si="124"/>
        <v>23.911701065246341</v>
      </c>
      <c r="N35" s="3">
        <f t="shared" si="124"/>
        <v>21.983645139813586</v>
      </c>
      <c r="O35" s="3">
        <f t="shared" si="124"/>
        <v>21.607003537170645</v>
      </c>
      <c r="P35" s="3">
        <f t="shared" si="124"/>
        <v>21.237116509008661</v>
      </c>
      <c r="Q35" s="3">
        <f t="shared" si="124"/>
        <v>20.873856659501246</v>
      </c>
      <c r="R35" s="3">
        <f t="shared" si="124"/>
        <v>20.517099119758448</v>
      </c>
      <c r="S35" s="3">
        <f t="shared" si="124"/>
        <v>20.166721495362946</v>
      </c>
      <c r="T35" s="3">
        <f t="shared" si="124"/>
        <v>19.822603815037461</v>
      </c>
      <c r="U35" s="3">
        <f t="shared" si="124"/>
        <v>19.484628480418284</v>
      </c>
      <c r="V35" s="3">
        <f t="shared" si="124"/>
        <v>19.152680216910341</v>
      </c>
      <c r="W35" s="3">
        <f t="shared" si="124"/>
        <v>18.826646025599906</v>
      </c>
      <c r="X35" s="3">
        <f t="shared" si="124"/>
        <v>18.50641513620138</v>
      </c>
      <c r="Y35" s="3">
        <f t="shared" si="124"/>
        <v>18.191878961015369</v>
      </c>
      <c r="Z35" s="3">
        <f t="shared" si="124"/>
        <v>17.882931049875559</v>
      </c>
      <c r="AA35" s="3">
        <f t="shared" si="124"/>
        <v>17.579467046062568</v>
      </c>
      <c r="AB35" s="3">
        <f t="shared" si="124"/>
        <v>17.281384643163349</v>
      </c>
      <c r="AC35" s="3">
        <f t="shared" si="124"/>
        <v>16.988583542855274</v>
      </c>
      <c r="AD35" s="3">
        <f t="shared" si="124"/>
        <v>16.700965413594407</v>
      </c>
      <c r="AE35" s="3">
        <f t="shared" si="124"/>
        <v>16.418433850188059</v>
      </c>
      <c r="AF35" s="3">
        <f t="shared" si="124"/>
        <v>16.140894334232065</v>
      </c>
      <c r="AG35" s="3">
        <f t="shared" si="124"/>
        <v>15.868254195393714</v>
      </c>
      <c r="AH35" s="3">
        <f t="shared" si="124"/>
        <v>15.600422573521666</v>
      </c>
      <c r="AI35" s="3">
        <f t="shared" si="124"/>
        <v>15.337310381564679</v>
      </c>
      <c r="AJ35" s="3">
        <f t="shared" si="124"/>
        <v>15.078830269281244</v>
      </c>
      <c r="AK35" s="3">
        <f t="shared" si="124"/>
        <v>14.824896587722808</v>
      </c>
      <c r="AL35" s="3">
        <f t="shared" si="124"/>
        <v>14.57542535447347</v>
      </c>
      <c r="AM35" s="3">
        <f t="shared" si="124"/>
        <v>14.330334219629599</v>
      </c>
      <c r="AN35" s="3">
        <f t="shared" si="124"/>
        <v>14.089542432503018</v>
      </c>
      <c r="AO35" s="3">
        <f t="shared" si="124"/>
        <v>13.852970809031952</v>
      </c>
      <c r="AP35" s="3">
        <f t="shared" si="124"/>
        <v>13.620541699884106</v>
      </c>
      <c r="AQ35" s="3">
        <f t="shared" si="124"/>
        <v>13.392178959236755</v>
      </c>
      <c r="AR35" s="3">
        <f t="shared" si="124"/>
        <v>13.167807914218949</v>
      </c>
      <c r="AS35" s="3">
        <f t="shared" si="124"/>
        <v>12.947355335001353</v>
      </c>
      <c r="AT35" s="3">
        <f t="shared" si="124"/>
        <v>12.730749405519486</v>
      </c>
      <c r="AU35" s="3">
        <f t="shared" si="124"/>
        <v>12.517919694816554</v>
      </c>
      <c r="AV35" s="3">
        <f t="shared" si="124"/>
        <v>12.308797128992241</v>
      </c>
      <c r="AW35" s="3">
        <f t="shared" si="124"/>
        <v>12.103313963744275</v>
      </c>
      <c r="AX35" s="3">
        <f t="shared" si="124"/>
        <v>11.901403757489755</v>
      </c>
      <c r="AY35" s="3">
        <f t="shared" si="124"/>
        <v>11.7030013450536</v>
      </c>
      <c r="AZ35" s="3">
        <f t="shared" si="124"/>
        <v>11.508042811911748</v>
      </c>
      <c r="BA35" s="3">
        <f t="shared" si="124"/>
        <v>11.316465468976947</v>
      </c>
      <c r="BB35" s="3">
        <f t="shared" si="124"/>
        <v>11.128207827915372</v>
      </c>
      <c r="BC35" s="3">
        <f t="shared" si="124"/>
        <v>10.943209576982445</v>
      </c>
      <c r="BD35" s="3">
        <f t="shared" si="124"/>
        <v>10.761411557366579</v>
      </c>
      <c r="BE35" s="3">
        <f t="shared" si="124"/>
        <v>10.582755740029752</v>
      </c>
      <c r="BF35" s="3">
        <f t="shared" si="124"/>
        <v>10.40718520303416</v>
      </c>
      <c r="BG35" s="3">
        <f t="shared" si="124"/>
        <v>10.234644109344307</v>
      </c>
      <c r="BH35" s="3">
        <f t="shared" si="124"/>
        <v>10.065077685094248</v>
      </c>
      <c r="BI35" s="3">
        <f t="shared" si="124"/>
        <v>9.8984321983098837</v>
      </c>
    </row>
    <row r="36" spans="1:61" x14ac:dyDescent="0.3">
      <c r="A36" s="11">
        <f t="shared" si="121"/>
        <v>13.845334613244869</v>
      </c>
      <c r="C36" t="s">
        <v>188</v>
      </c>
      <c r="D36" s="3">
        <f>D21</f>
        <v>26.47</v>
      </c>
      <c r="E36" s="3">
        <f t="shared" ref="E36:BI36" si="125">E21</f>
        <v>25.159999999999997</v>
      </c>
      <c r="F36" s="3">
        <f t="shared" si="125"/>
        <v>25.68</v>
      </c>
      <c r="G36" s="3">
        <f t="shared" si="125"/>
        <v>24.85</v>
      </c>
      <c r="H36" s="3">
        <f t="shared" si="125"/>
        <v>24.18</v>
      </c>
      <c r="I36" s="3">
        <f t="shared" si="125"/>
        <v>24.83</v>
      </c>
      <c r="J36" s="3">
        <f t="shared" si="125"/>
        <v>24.76</v>
      </c>
      <c r="K36" s="3">
        <f t="shared" si="125"/>
        <v>23.72</v>
      </c>
      <c r="L36" s="3">
        <f t="shared" si="125"/>
        <v>22.619999999999997</v>
      </c>
      <c r="M36" s="3">
        <f t="shared" si="125"/>
        <v>23.911701065246341</v>
      </c>
      <c r="N36" s="3">
        <f t="shared" si="125"/>
        <v>21.983645139813586</v>
      </c>
      <c r="O36" s="3">
        <f t="shared" si="125"/>
        <v>21.764161358626684</v>
      </c>
      <c r="P36" s="3">
        <f t="shared" si="125"/>
        <v>21.547064045595103</v>
      </c>
      <c r="Q36" s="3">
        <f t="shared" si="125"/>
        <v>21.332324782907566</v>
      </c>
      <c r="R36" s="3">
        <f t="shared" si="125"/>
        <v>21.119915519843744</v>
      </c>
      <c r="S36" s="3">
        <f t="shared" si="125"/>
        <v>20.90980856772789</v>
      </c>
      <c r="T36" s="3">
        <f t="shared" si="125"/>
        <v>20.701976594954779</v>
      </c>
      <c r="U36" s="3">
        <f t="shared" si="125"/>
        <v>20.496392622086965</v>
      </c>
      <c r="V36" s="3">
        <f t="shared" si="125"/>
        <v>20.293030017022236</v>
      </c>
      <c r="W36" s="3">
        <f t="shared" si="125"/>
        <v>20.091862490230334</v>
      </c>
      <c r="X36" s="3">
        <f t="shared" si="125"/>
        <v>19.892864090057788</v>
      </c>
      <c r="Y36" s="3">
        <f t="shared" si="125"/>
        <v>19.696009198099997</v>
      </c>
      <c r="Z36" s="3">
        <f t="shared" si="125"/>
        <v>19.501272524639472</v>
      </c>
      <c r="AA36" s="3">
        <f t="shared" si="125"/>
        <v>19.308629104149293</v>
      </c>
      <c r="AB36" s="3">
        <f t="shared" si="125"/>
        <v>19.118054290860872</v>
      </c>
      <c r="AC36" s="3">
        <f t="shared" si="125"/>
        <v>18.929523754394996</v>
      </c>
      <c r="AD36" s="3">
        <f t="shared" si="125"/>
        <v>18.743013475455289</v>
      </c>
      <c r="AE36" s="3">
        <f t="shared" si="125"/>
        <v>18.558499741583134</v>
      </c>
      <c r="AF36" s="3">
        <f t="shared" si="125"/>
        <v>18.375959142973176</v>
      </c>
      <c r="AG36" s="3">
        <f t="shared" si="125"/>
        <v>18.195368568348499</v>
      </c>
      <c r="AH36" s="3">
        <f t="shared" si="125"/>
        <v>18.016705200894645</v>
      </c>
      <c r="AI36" s="3">
        <f t="shared" si="125"/>
        <v>17.839946514251519</v>
      </c>
      <c r="AJ36" s="3">
        <f t="shared" si="125"/>
        <v>17.665070268562459</v>
      </c>
      <c r="AK36" s="3">
        <f t="shared" si="125"/>
        <v>17.49205450657951</v>
      </c>
      <c r="AL36" s="3">
        <f t="shared" si="125"/>
        <v>17.320877549824178</v>
      </c>
      <c r="AM36" s="3">
        <f t="shared" si="125"/>
        <v>17.151517994802763</v>
      </c>
      <c r="AN36" s="3">
        <f t="shared" si="125"/>
        <v>16.983954709275562</v>
      </c>
      <c r="AO36" s="3">
        <f t="shared" si="125"/>
        <v>16.818166828579063</v>
      </c>
      <c r="AP36" s="3">
        <f t="shared" si="125"/>
        <v>16.65413375200043</v>
      </c>
      <c r="AQ36" s="3">
        <f t="shared" si="125"/>
        <v>16.49183513920347</v>
      </c>
      <c r="AR36" s="3">
        <f t="shared" si="125"/>
        <v>16.331250906705332</v>
      </c>
      <c r="AS36" s="3">
        <f t="shared" si="125"/>
        <v>16.172361224403215</v>
      </c>
      <c r="AT36" s="3">
        <f t="shared" si="125"/>
        <v>16.015146512150345</v>
      </c>
      <c r="AU36" s="3">
        <f t="shared" si="125"/>
        <v>15.85958743638049</v>
      </c>
      <c r="AV36" s="3">
        <f t="shared" si="125"/>
        <v>15.705664906780305</v>
      </c>
      <c r="AW36" s="3">
        <f t="shared" si="125"/>
        <v>15.553360073008839</v>
      </c>
      <c r="AX36" s="3">
        <f t="shared" si="125"/>
        <v>15.402654321463476</v>
      </c>
      <c r="AY36" s="3">
        <f t="shared" si="125"/>
        <v>15.253529272091631</v>
      </c>
      <c r="AZ36" s="3">
        <f t="shared" si="125"/>
        <v>15.105966775247593</v>
      </c>
      <c r="BA36" s="3">
        <f t="shared" si="125"/>
        <v>14.959948908593757</v>
      </c>
      <c r="BB36" s="3">
        <f t="shared" si="125"/>
        <v>14.815457974045703</v>
      </c>
      <c r="BC36" s="3">
        <f t="shared" si="125"/>
        <v>14.672476494760389</v>
      </c>
      <c r="BD36" s="3">
        <f t="shared" si="125"/>
        <v>14.530987212166909</v>
      </c>
      <c r="BE36" s="3">
        <f t="shared" si="125"/>
        <v>14.390973083039123</v>
      </c>
      <c r="BF36" s="3">
        <f t="shared" si="125"/>
        <v>14.252417276609615</v>
      </c>
      <c r="BG36" s="3">
        <f t="shared" si="125"/>
        <v>14.115303171724321</v>
      </c>
      <c r="BH36" s="3">
        <f t="shared" si="125"/>
        <v>13.979614354037276</v>
      </c>
      <c r="BI36" s="3">
        <f t="shared" si="125"/>
        <v>13.845334613244869</v>
      </c>
    </row>
    <row r="37" spans="1:61" x14ac:dyDescent="0.3">
      <c r="A37" s="11">
        <f t="shared" si="121"/>
        <v>23.782193135081702</v>
      </c>
      <c r="B37">
        <v>1</v>
      </c>
      <c r="C37" t="s">
        <v>211</v>
      </c>
      <c r="D37" s="3">
        <f>D26</f>
        <v>26.47</v>
      </c>
      <c r="E37" s="3">
        <f t="shared" ref="E37:BI39" si="126">E26</f>
        <v>25.159999999999997</v>
      </c>
      <c r="F37" s="3">
        <f t="shared" si="126"/>
        <v>25.68</v>
      </c>
      <c r="G37" s="3">
        <f t="shared" si="126"/>
        <v>24.85</v>
      </c>
      <c r="H37" s="3">
        <f t="shared" si="126"/>
        <v>24.18</v>
      </c>
      <c r="I37" s="3">
        <f t="shared" si="126"/>
        <v>24.83</v>
      </c>
      <c r="J37" s="3">
        <f t="shared" si="126"/>
        <v>24.76</v>
      </c>
      <c r="K37" s="3">
        <f t="shared" si="126"/>
        <v>23.72</v>
      </c>
      <c r="L37" s="3">
        <f t="shared" si="126"/>
        <v>22.619999999999997</v>
      </c>
      <c r="M37" s="3">
        <f t="shared" si="126"/>
        <v>23.911701065246337</v>
      </c>
      <c r="N37" s="3">
        <f t="shared" si="126"/>
        <v>21.983645139813582</v>
      </c>
      <c r="O37" s="3">
        <f>O26-$O26+$N26</f>
        <v>21.983645139813582</v>
      </c>
      <c r="P37" s="3">
        <f t="shared" ref="P37:BI37" si="127">P26-$O26+$N26</f>
        <v>22.198113940803058</v>
      </c>
      <c r="Q37" s="3">
        <f t="shared" si="127"/>
        <v>22.402147467729467</v>
      </c>
      <c r="R37" s="3">
        <f t="shared" si="127"/>
        <v>22.595305407046915</v>
      </c>
      <c r="S37" s="3">
        <f t="shared" si="127"/>
        <v>22.777775147096015</v>
      </c>
      <c r="T37" s="3">
        <f t="shared" si="127"/>
        <v>22.950292702186317</v>
      </c>
      <c r="U37" s="3">
        <f t="shared" si="127"/>
        <v>23.113778139259296</v>
      </c>
      <c r="V37" s="3">
        <f t="shared" si="127"/>
        <v>23.269154076092487</v>
      </c>
      <c r="W37" s="3">
        <f t="shared" si="127"/>
        <v>23.417240900803254</v>
      </c>
      <c r="X37" s="3">
        <f t="shared" si="127"/>
        <v>23.558799547407173</v>
      </c>
      <c r="Y37" s="3">
        <f t="shared" si="127"/>
        <v>23.694466743825998</v>
      </c>
      <c r="Z37" s="3">
        <f t="shared" si="127"/>
        <v>23.824607259614904</v>
      </c>
      <c r="AA37" s="3">
        <f t="shared" si="127"/>
        <v>23.949179692742614</v>
      </c>
      <c r="AB37" s="3">
        <f t="shared" si="127"/>
        <v>24.06769232050592</v>
      </c>
      <c r="AC37" s="3">
        <f t="shared" si="127"/>
        <v>24.179291201482492</v>
      </c>
      <c r="AD37" s="3">
        <f t="shared" si="127"/>
        <v>24.282994263793015</v>
      </c>
      <c r="AE37" s="3">
        <f t="shared" si="127"/>
        <v>24.377921469000174</v>
      </c>
      <c r="AF37" s="3">
        <f t="shared" si="127"/>
        <v>24.46355087680449</v>
      </c>
      <c r="AG37" s="3">
        <f t="shared" si="127"/>
        <v>24.539766326056583</v>
      </c>
      <c r="AH37" s="3">
        <f t="shared" si="127"/>
        <v>24.606786600002309</v>
      </c>
      <c r="AI37" s="3">
        <f t="shared" si="127"/>
        <v>24.665041023970723</v>
      </c>
      <c r="AJ37" s="3">
        <f t="shared" si="127"/>
        <v>24.715094313819694</v>
      </c>
      <c r="AK37" s="3">
        <f t="shared" si="127"/>
        <v>24.757554549619957</v>
      </c>
      <c r="AL37" s="3">
        <f t="shared" si="127"/>
        <v>24.79305531980274</v>
      </c>
      <c r="AM37" s="3">
        <f t="shared" si="127"/>
        <v>24.822115621395167</v>
      </c>
      <c r="AN37" s="3">
        <f t="shared" si="127"/>
        <v>24.8450845264998</v>
      </c>
      <c r="AO37" s="3">
        <f t="shared" si="127"/>
        <v>24.862073683248372</v>
      </c>
      <c r="AP37" s="3">
        <f t="shared" si="127"/>
        <v>24.873003230850699</v>
      </c>
      <c r="AQ37" s="3">
        <f t="shared" si="127"/>
        <v>24.877570797125756</v>
      </c>
      <c r="AR37" s="3">
        <f t="shared" si="127"/>
        <v>24.875290545915067</v>
      </c>
      <c r="AS37" s="3">
        <f t="shared" si="127"/>
        <v>24.865590305070761</v>
      </c>
      <c r="AT37" s="3">
        <f t="shared" si="127"/>
        <v>24.847996992614615</v>
      </c>
      <c r="AU37" s="3">
        <f t="shared" si="127"/>
        <v>24.822278482466061</v>
      </c>
      <c r="AV37" s="3">
        <f t="shared" si="127"/>
        <v>24.788485595127945</v>
      </c>
      <c r="AW37" s="3">
        <f t="shared" si="127"/>
        <v>24.746898530129471</v>
      </c>
      <c r="AX37" s="3">
        <f t="shared" si="127"/>
        <v>24.697929541819974</v>
      </c>
      <c r="AY37" s="3">
        <f t="shared" si="127"/>
        <v>24.642064466357937</v>
      </c>
      <c r="AZ37" s="3">
        <f t="shared" si="127"/>
        <v>24.579834466296266</v>
      </c>
      <c r="BA37" s="3">
        <f t="shared" si="127"/>
        <v>24.511749905063148</v>
      </c>
      <c r="BB37" s="3">
        <f t="shared" si="127"/>
        <v>24.438265616348147</v>
      </c>
      <c r="BC37" s="3">
        <f t="shared" si="127"/>
        <v>24.359702809275422</v>
      </c>
      <c r="BD37" s="3">
        <f t="shared" si="127"/>
        <v>24.27623552935086</v>
      </c>
      <c r="BE37" s="3">
        <f t="shared" si="127"/>
        <v>24.187872802609718</v>
      </c>
      <c r="BF37" s="3">
        <f t="shared" si="127"/>
        <v>24.094492581357905</v>
      </c>
      <c r="BG37" s="3">
        <f t="shared" si="127"/>
        <v>23.995888444093506</v>
      </c>
      <c r="BH37" s="3">
        <f t="shared" si="127"/>
        <v>23.891838271862003</v>
      </c>
      <c r="BI37" s="3">
        <f t="shared" si="127"/>
        <v>23.782193135081702</v>
      </c>
    </row>
    <row r="38" spans="1:61" x14ac:dyDescent="0.3">
      <c r="A38" s="11">
        <f t="shared" si="121"/>
        <v>6.1847234012189638</v>
      </c>
      <c r="C38" t="s">
        <v>189</v>
      </c>
      <c r="D38" s="3">
        <f t="shared" ref="D38:S39" si="128">D27</f>
        <v>26.47</v>
      </c>
      <c r="E38" s="3">
        <f t="shared" si="128"/>
        <v>25.159999999999997</v>
      </c>
      <c r="F38" s="3">
        <f t="shared" si="128"/>
        <v>25.68</v>
      </c>
      <c r="G38" s="3">
        <f t="shared" si="128"/>
        <v>24.85</v>
      </c>
      <c r="H38" s="3">
        <f t="shared" si="128"/>
        <v>24.18</v>
      </c>
      <c r="I38" s="3">
        <f t="shared" si="128"/>
        <v>24.83</v>
      </c>
      <c r="J38" s="3">
        <f t="shared" si="128"/>
        <v>24.76</v>
      </c>
      <c r="K38" s="3">
        <f t="shared" si="128"/>
        <v>23.72</v>
      </c>
      <c r="L38" s="3">
        <f t="shared" si="128"/>
        <v>22.619999999999997</v>
      </c>
      <c r="M38" s="3">
        <f t="shared" si="128"/>
        <v>23.911701065246337</v>
      </c>
      <c r="N38" s="3">
        <f t="shared" si="128"/>
        <v>21.983645139813582</v>
      </c>
      <c r="O38" s="3">
        <f t="shared" si="128"/>
        <v>21.549544220305254</v>
      </c>
      <c r="P38" s="3">
        <f t="shared" si="128"/>
        <v>21.115155310437952</v>
      </c>
      <c r="Q38" s="3">
        <f t="shared" si="128"/>
        <v>20.679950437784633</v>
      </c>
      <c r="R38" s="3">
        <f t="shared" si="128"/>
        <v>20.244215872537627</v>
      </c>
      <c r="S38" s="3">
        <f t="shared" si="128"/>
        <v>19.808699650929746</v>
      </c>
      <c r="T38" s="3">
        <f t="shared" si="126"/>
        <v>19.374488481164192</v>
      </c>
      <c r="U38" s="3">
        <f t="shared" si="126"/>
        <v>18.942700206753859</v>
      </c>
      <c r="V38" s="3">
        <f t="shared" si="126"/>
        <v>18.514348380724371</v>
      </c>
      <c r="W38" s="3">
        <f t="shared" si="126"/>
        <v>18.090279595704747</v>
      </c>
      <c r="X38" s="3">
        <f t="shared" si="126"/>
        <v>17.671216894860297</v>
      </c>
      <c r="Y38" s="3">
        <f t="shared" si="126"/>
        <v>17.257730314461835</v>
      </c>
      <c r="Z38" s="3">
        <f t="shared" si="126"/>
        <v>16.85016318949377</v>
      </c>
      <c r="AA38" s="3">
        <f t="shared" si="126"/>
        <v>16.44858039467875</v>
      </c>
      <c r="AB38" s="3">
        <f t="shared" si="126"/>
        <v>16.052779338292176</v>
      </c>
      <c r="AC38" s="3">
        <f t="shared" si="126"/>
        <v>15.662375826886059</v>
      </c>
      <c r="AD38" s="3">
        <f t="shared" si="126"/>
        <v>15.276957480768287</v>
      </c>
      <c r="AE38" s="3">
        <f t="shared" si="126"/>
        <v>14.896211373902782</v>
      </c>
      <c r="AF38" s="3">
        <f t="shared" si="126"/>
        <v>14.520043800241634</v>
      </c>
      <c r="AG38" s="3">
        <f t="shared" si="126"/>
        <v>14.148575355321203</v>
      </c>
      <c r="AH38" s="3">
        <f t="shared" si="126"/>
        <v>13.782077207477789</v>
      </c>
      <c r="AI38" s="3">
        <f t="shared" si="126"/>
        <v>13.420890518684171</v>
      </c>
      <c r="AJ38" s="3">
        <f t="shared" si="126"/>
        <v>13.065380066360932</v>
      </c>
      <c r="AK38" s="3">
        <f t="shared" si="126"/>
        <v>12.715887272402503</v>
      </c>
      <c r="AL38" s="3">
        <f t="shared" si="126"/>
        <v>12.372722631413305</v>
      </c>
      <c r="AM38" s="3">
        <f t="shared" si="126"/>
        <v>12.036108415789865</v>
      </c>
      <c r="AN38" s="3">
        <f t="shared" si="126"/>
        <v>11.706165699741799</v>
      </c>
      <c r="AO38" s="3">
        <f t="shared" si="126"/>
        <v>11.382899661757419</v>
      </c>
      <c r="AP38" s="3">
        <f t="shared" si="126"/>
        <v>11.066231962453154</v>
      </c>
      <c r="AQ38" s="3">
        <f t="shared" si="126"/>
        <v>10.756000263523685</v>
      </c>
      <c r="AR38" s="3">
        <f t="shared" si="126"/>
        <v>10.451984169128194</v>
      </c>
      <c r="AS38" s="3">
        <f t="shared" si="126"/>
        <v>10.153948233406908</v>
      </c>
      <c r="AT38" s="3">
        <f t="shared" si="126"/>
        <v>9.8617086402311571</v>
      </c>
      <c r="AU38" s="3">
        <f t="shared" si="126"/>
        <v>9.5751743648242247</v>
      </c>
      <c r="AV38" s="3">
        <f t="shared" si="126"/>
        <v>9.2943485555123395</v>
      </c>
      <c r="AW38" s="3">
        <f t="shared" si="126"/>
        <v>9.0192986170870846</v>
      </c>
      <c r="AX38" s="3">
        <f t="shared" si="126"/>
        <v>8.7501168888922614</v>
      </c>
      <c r="AY38" s="3">
        <f t="shared" si="126"/>
        <v>8.4868987018005679</v>
      </c>
      <c r="AZ38" s="3">
        <f t="shared" si="126"/>
        <v>8.2297325007565885</v>
      </c>
      <c r="BA38" s="3">
        <f t="shared" si="126"/>
        <v>7.9786809230424662</v>
      </c>
      <c r="BB38" s="3">
        <f t="shared" si="126"/>
        <v>7.7337736317841221</v>
      </c>
      <c r="BC38" s="3">
        <f t="shared" si="126"/>
        <v>7.4949901250622366</v>
      </c>
      <c r="BD38" s="3">
        <f t="shared" si="126"/>
        <v>7.2622623808861437</v>
      </c>
      <c r="BE38" s="3">
        <f t="shared" si="126"/>
        <v>7.0354765261771162</v>
      </c>
      <c r="BF38" s="3">
        <f t="shared" si="126"/>
        <v>6.8144873412913229</v>
      </c>
      <c r="BG38" s="3">
        <f t="shared" si="126"/>
        <v>6.5991338620298432</v>
      </c>
      <c r="BH38" s="3">
        <f t="shared" si="126"/>
        <v>6.3892577712339707</v>
      </c>
      <c r="BI38" s="3">
        <f t="shared" si="126"/>
        <v>6.1847234012189638</v>
      </c>
    </row>
    <row r="39" spans="1:61" x14ac:dyDescent="0.3">
      <c r="A39" s="11">
        <f t="shared" si="121"/>
        <v>8.4159191268869531</v>
      </c>
      <c r="B39">
        <v>1</v>
      </c>
      <c r="C39" t="s">
        <v>190</v>
      </c>
      <c r="D39" s="3">
        <f t="shared" si="128"/>
        <v>26.47</v>
      </c>
      <c r="E39" s="3">
        <f t="shared" si="126"/>
        <v>25.159999999999997</v>
      </c>
      <c r="F39" s="3">
        <f t="shared" si="126"/>
        <v>25.68</v>
      </c>
      <c r="G39" s="3">
        <f t="shared" si="126"/>
        <v>24.85</v>
      </c>
      <c r="H39" s="3">
        <f t="shared" si="126"/>
        <v>24.18</v>
      </c>
      <c r="I39" s="3">
        <f t="shared" si="126"/>
        <v>24.83</v>
      </c>
      <c r="J39" s="3">
        <f t="shared" si="126"/>
        <v>24.76</v>
      </c>
      <c r="K39" s="3">
        <f t="shared" si="126"/>
        <v>23.72</v>
      </c>
      <c r="L39" s="3">
        <f t="shared" si="126"/>
        <v>22.619999999999997</v>
      </c>
      <c r="M39" s="3">
        <f t="shared" si="126"/>
        <v>23.911701065246337</v>
      </c>
      <c r="N39" s="3">
        <f t="shared" si="126"/>
        <v>21.983645139813582</v>
      </c>
      <c r="O39" s="3">
        <f t="shared" si="126"/>
        <v>21.691245973339559</v>
      </c>
      <c r="P39" s="3">
        <f t="shared" si="126"/>
        <v>21.393759053406033</v>
      </c>
      <c r="Q39" s="3">
        <f t="shared" si="126"/>
        <v>21.090589737672151</v>
      </c>
      <c r="R39" s="3">
        <f t="shared" si="126"/>
        <v>20.781964560911781</v>
      </c>
      <c r="S39" s="3">
        <f t="shared" si="126"/>
        <v>20.468594260675108</v>
      </c>
      <c r="T39" s="3">
        <f t="shared" si="126"/>
        <v>20.151561554777711</v>
      </c>
      <c r="U39" s="3">
        <f t="shared" si="126"/>
        <v>19.832011076873997</v>
      </c>
      <c r="V39" s="3">
        <f t="shared" si="126"/>
        <v>19.511008217627175</v>
      </c>
      <c r="W39" s="3">
        <f t="shared" si="126"/>
        <v>19.189469539374894</v>
      </c>
      <c r="X39" s="3">
        <f t="shared" si="126"/>
        <v>18.868203769764502</v>
      </c>
      <c r="Y39" s="3">
        <f t="shared" si="126"/>
        <v>18.547876199547531</v>
      </c>
      <c r="Z39" s="3">
        <f t="shared" si="126"/>
        <v>18.228923894260483</v>
      </c>
      <c r="AA39" s="3">
        <f t="shared" si="126"/>
        <v>17.911491544625274</v>
      </c>
      <c r="AB39" s="3">
        <f t="shared" si="126"/>
        <v>17.595433721043854</v>
      </c>
      <c r="AC39" s="3">
        <f t="shared" si="126"/>
        <v>17.280400014660113</v>
      </c>
      <c r="AD39" s="3">
        <f t="shared" si="126"/>
        <v>16.965998745741995</v>
      </c>
      <c r="AE39" s="3">
        <f t="shared" si="126"/>
        <v>16.651938449434073</v>
      </c>
      <c r="AF39" s="3">
        <f t="shared" si="126"/>
        <v>16.338166108912208</v>
      </c>
      <c r="AG39" s="3">
        <f t="shared" si="126"/>
        <v>16.024869555443601</v>
      </c>
      <c r="AH39" s="3">
        <f t="shared" si="126"/>
        <v>15.71241275934675</v>
      </c>
      <c r="AI39" s="3">
        <f t="shared" si="126"/>
        <v>15.401249074605065</v>
      </c>
      <c r="AJ39" s="3">
        <f t="shared" si="126"/>
        <v>15.091870453125843</v>
      </c>
      <c r="AK39" s="3">
        <f t="shared" si="126"/>
        <v>14.784753910138917</v>
      </c>
      <c r="AL39" s="3">
        <f t="shared" si="126"/>
        <v>14.480351965611964</v>
      </c>
      <c r="AM39" s="3">
        <f t="shared" si="126"/>
        <v>14.179024145075008</v>
      </c>
      <c r="AN39" s="3">
        <f t="shared" si="126"/>
        <v>13.881018349239129</v>
      </c>
      <c r="AO39" s="3">
        <f t="shared" si="126"/>
        <v>13.586449496555598</v>
      </c>
      <c r="AP39" s="3">
        <f t="shared" si="126"/>
        <v>13.29533395539584</v>
      </c>
      <c r="AQ39" s="3">
        <f t="shared" si="126"/>
        <v>13.007585684910085</v>
      </c>
      <c r="AR39" s="3">
        <f t="shared" si="126"/>
        <v>12.723044451720622</v>
      </c>
      <c r="AS39" s="3">
        <f t="shared" si="126"/>
        <v>12.441526137214332</v>
      </c>
      <c r="AT39" s="3">
        <f t="shared" si="126"/>
        <v>12.162904273225477</v>
      </c>
      <c r="AU39" s="3">
        <f t="shared" si="126"/>
        <v>11.887163129421799</v>
      </c>
      <c r="AV39" s="3">
        <f t="shared" si="126"/>
        <v>11.614403146919301</v>
      </c>
      <c r="AW39" s="3">
        <f t="shared" si="126"/>
        <v>11.344807145354954</v>
      </c>
      <c r="AX39" s="3">
        <f t="shared" si="126"/>
        <v>11.078593213067274</v>
      </c>
      <c r="AY39" s="3">
        <f t="shared" si="126"/>
        <v>10.815987833895957</v>
      </c>
      <c r="AZ39" s="3">
        <f t="shared" si="126"/>
        <v>10.557213409666218</v>
      </c>
      <c r="BA39" s="3">
        <f t="shared" si="126"/>
        <v>10.302463607659549</v>
      </c>
      <c r="BB39" s="3">
        <f t="shared" si="126"/>
        <v>10.051893018022675</v>
      </c>
      <c r="BC39" s="3">
        <f t="shared" si="126"/>
        <v>9.8055933081226136</v>
      </c>
      <c r="BD39" s="3">
        <f t="shared" si="126"/>
        <v>9.5635945840525149</v>
      </c>
      <c r="BE39" s="3">
        <f t="shared" si="126"/>
        <v>9.3258655536879917</v>
      </c>
      <c r="BF39" s="3">
        <f t="shared" si="126"/>
        <v>9.0923308624979597</v>
      </c>
      <c r="BG39" s="3">
        <f t="shared" si="126"/>
        <v>8.8628906271396186</v>
      </c>
      <c r="BH39" s="3">
        <f t="shared" si="126"/>
        <v>8.6374445391438659</v>
      </c>
      <c r="BI39" s="3">
        <f t="shared" si="126"/>
        <v>8.4159191268869531</v>
      </c>
    </row>
    <row r="40" spans="1:61" x14ac:dyDescent="0.3">
      <c r="A40" s="11">
        <f t="shared" si="121"/>
        <v>16.099056130984327</v>
      </c>
      <c r="B40">
        <f>SUM(B31:B39)</f>
        <v>2</v>
      </c>
      <c r="C40" t="s">
        <v>193</v>
      </c>
      <c r="D40" s="3">
        <f>(D33*$B33/$B40)+(D34*$B34/$B40)+(D35*$B35/$B40)+(D36*$B36/$B40)+(D37*$B37/$B40)+(D38*$B38/$B40)+(D39*$B39/$B40)</f>
        <v>26.47</v>
      </c>
      <c r="E40" s="3">
        <f t="shared" ref="E40:BI40" si="129">(E33*$B33/$B40)+(E34*$B34/$B40)+(E35*$B35/$B40)+(E36*$B36/$B40)+(E37*$B37/$B40)+(E38*$B38/$B40)+(E39*$B39/$B40)</f>
        <v>25.159999999999997</v>
      </c>
      <c r="F40" s="3">
        <f t="shared" si="129"/>
        <v>25.68</v>
      </c>
      <c r="G40" s="3">
        <f t="shared" si="129"/>
        <v>24.85</v>
      </c>
      <c r="H40" s="3">
        <f t="shared" si="129"/>
        <v>24.18</v>
      </c>
      <c r="I40" s="3">
        <f t="shared" si="129"/>
        <v>24.83</v>
      </c>
      <c r="J40" s="3">
        <f t="shared" si="129"/>
        <v>24.76</v>
      </c>
      <c r="K40" s="3">
        <f t="shared" si="129"/>
        <v>23.72</v>
      </c>
      <c r="L40" s="3">
        <f t="shared" si="129"/>
        <v>22.619999999999997</v>
      </c>
      <c r="M40" s="3">
        <f t="shared" si="129"/>
        <v>23.911701065246337</v>
      </c>
      <c r="N40" s="3">
        <f t="shared" si="129"/>
        <v>21.983645139813582</v>
      </c>
      <c r="O40" s="3">
        <f t="shared" si="129"/>
        <v>21.837445556576569</v>
      </c>
      <c r="P40" s="3">
        <f t="shared" si="129"/>
        <v>21.795936497104545</v>
      </c>
      <c r="Q40" s="3">
        <f t="shared" si="129"/>
        <v>21.746368602700809</v>
      </c>
      <c r="R40" s="3">
        <f t="shared" si="129"/>
        <v>21.688634983979348</v>
      </c>
      <c r="S40" s="3">
        <f t="shared" si="129"/>
        <v>21.623184703885563</v>
      </c>
      <c r="T40" s="3">
        <f t="shared" si="129"/>
        <v>21.550927128482016</v>
      </c>
      <c r="U40" s="3">
        <f t="shared" si="129"/>
        <v>21.472894608066646</v>
      </c>
      <c r="V40" s="3">
        <f t="shared" si="129"/>
        <v>21.390081146859831</v>
      </c>
      <c r="W40" s="3">
        <f t="shared" si="129"/>
        <v>21.303355220089074</v>
      </c>
      <c r="X40" s="3">
        <f t="shared" si="129"/>
        <v>21.213501658585837</v>
      </c>
      <c r="Y40" s="3">
        <f t="shared" si="129"/>
        <v>21.121171471686765</v>
      </c>
      <c r="Z40" s="3">
        <f t="shared" si="129"/>
        <v>21.026765576937692</v>
      </c>
      <c r="AA40" s="3">
        <f t="shared" si="129"/>
        <v>20.930335618683944</v>
      </c>
      <c r="AB40" s="3">
        <f t="shared" si="129"/>
        <v>20.831563020774887</v>
      </c>
      <c r="AC40" s="3">
        <f t="shared" si="129"/>
        <v>20.729845608071301</v>
      </c>
      <c r="AD40" s="3">
        <f t="shared" si="129"/>
        <v>20.624496504767507</v>
      </c>
      <c r="AE40" s="3">
        <f t="shared" si="129"/>
        <v>20.514929959217124</v>
      </c>
      <c r="AF40" s="3">
        <f t="shared" si="129"/>
        <v>20.400858492858347</v>
      </c>
      <c r="AG40" s="3">
        <f t="shared" si="129"/>
        <v>20.28231794075009</v>
      </c>
      <c r="AH40" s="3">
        <f t="shared" si="129"/>
        <v>20.159599679674528</v>
      </c>
      <c r="AI40" s="3">
        <f t="shared" si="129"/>
        <v>20.033145049287896</v>
      </c>
      <c r="AJ40" s="3">
        <f t="shared" si="129"/>
        <v>19.90348238347277</v>
      </c>
      <c r="AK40" s="3">
        <f t="shared" si="129"/>
        <v>19.771154229879436</v>
      </c>
      <c r="AL40" s="3">
        <f t="shared" si="129"/>
        <v>19.636703642707353</v>
      </c>
      <c r="AM40" s="3">
        <f t="shared" si="129"/>
        <v>19.500569883235087</v>
      </c>
      <c r="AN40" s="3">
        <f t="shared" si="129"/>
        <v>19.363051437869466</v>
      </c>
      <c r="AO40" s="3">
        <f t="shared" si="129"/>
        <v>19.224261589901985</v>
      </c>
      <c r="AP40" s="3">
        <f t="shared" si="129"/>
        <v>19.08416859312327</v>
      </c>
      <c r="AQ40" s="3">
        <f t="shared" si="129"/>
        <v>18.94257824101792</v>
      </c>
      <c r="AR40" s="3">
        <f t="shared" si="129"/>
        <v>18.799167498817845</v>
      </c>
      <c r="AS40" s="3">
        <f t="shared" si="129"/>
        <v>18.653558221142546</v>
      </c>
      <c r="AT40" s="3">
        <f t="shared" si="129"/>
        <v>18.505450632920045</v>
      </c>
      <c r="AU40" s="3">
        <f t="shared" si="129"/>
        <v>18.354720805943931</v>
      </c>
      <c r="AV40" s="3">
        <f t="shared" si="129"/>
        <v>18.201444371023623</v>
      </c>
      <c r="AW40" s="3">
        <f t="shared" si="129"/>
        <v>18.045852837742213</v>
      </c>
      <c r="AX40" s="3">
        <f t="shared" si="129"/>
        <v>17.888261377443623</v>
      </c>
      <c r="AY40" s="3">
        <f t="shared" si="129"/>
        <v>17.729026150126948</v>
      </c>
      <c r="AZ40" s="3">
        <f t="shared" si="129"/>
        <v>17.56852393798124</v>
      </c>
      <c r="BA40" s="3">
        <f t="shared" si="129"/>
        <v>17.407106756361348</v>
      </c>
      <c r="BB40" s="3">
        <f t="shared" si="129"/>
        <v>17.245079317185411</v>
      </c>
      <c r="BC40" s="3">
        <f t="shared" si="129"/>
        <v>17.082648058699018</v>
      </c>
      <c r="BD40" s="3">
        <f t="shared" si="129"/>
        <v>16.919915056701686</v>
      </c>
      <c r="BE40" s="3">
        <f t="shared" si="129"/>
        <v>16.756869178148854</v>
      </c>
      <c r="BF40" s="3">
        <f t="shared" si="129"/>
        <v>16.593411721927932</v>
      </c>
      <c r="BG40" s="3">
        <f t="shared" si="129"/>
        <v>16.429389535616561</v>
      </c>
      <c r="BH40" s="3">
        <f t="shared" si="129"/>
        <v>16.264641405502935</v>
      </c>
      <c r="BI40" s="3">
        <f t="shared" si="129"/>
        <v>16.099056130984327</v>
      </c>
    </row>
    <row r="42" spans="1:61" s="7" customFormat="1" x14ac:dyDescent="0.3"/>
    <row r="43" spans="1:61" outlineLevel="3" x14ac:dyDescent="0.3"/>
    <row r="44" spans="1:61" outlineLevel="3" x14ac:dyDescent="0.3">
      <c r="D44">
        <v>2013</v>
      </c>
      <c r="E44">
        <v>2014</v>
      </c>
      <c r="F44">
        <v>2015</v>
      </c>
      <c r="G44">
        <v>2016</v>
      </c>
      <c r="H44">
        <v>2017</v>
      </c>
      <c r="I44">
        <v>2018</v>
      </c>
      <c r="J44">
        <v>2019</v>
      </c>
      <c r="K44">
        <v>2020</v>
      </c>
      <c r="L44">
        <v>2021</v>
      </c>
      <c r="M44">
        <v>2022</v>
      </c>
      <c r="N44">
        <v>2023</v>
      </c>
      <c r="O44">
        <v>2024</v>
      </c>
      <c r="P44">
        <v>2025</v>
      </c>
      <c r="Q44">
        <v>2026</v>
      </c>
      <c r="R44">
        <v>2027</v>
      </c>
      <c r="S44">
        <v>2028</v>
      </c>
      <c r="T44">
        <v>2029</v>
      </c>
      <c r="U44">
        <v>2030</v>
      </c>
      <c r="V44">
        <v>2031</v>
      </c>
      <c r="W44">
        <v>2032</v>
      </c>
      <c r="X44">
        <v>2033</v>
      </c>
      <c r="Y44">
        <v>2034</v>
      </c>
      <c r="Z44">
        <v>2035</v>
      </c>
      <c r="AA44">
        <v>2036</v>
      </c>
      <c r="AB44">
        <v>2037</v>
      </c>
      <c r="AC44">
        <v>2038</v>
      </c>
      <c r="AD44">
        <v>2039</v>
      </c>
      <c r="AE44">
        <v>2040</v>
      </c>
      <c r="AF44">
        <v>2041</v>
      </c>
      <c r="AG44">
        <v>2042</v>
      </c>
      <c r="AH44">
        <v>2043</v>
      </c>
      <c r="AI44">
        <v>2044</v>
      </c>
      <c r="AJ44">
        <v>2045</v>
      </c>
      <c r="AK44">
        <v>2046</v>
      </c>
      <c r="AL44">
        <v>2047</v>
      </c>
      <c r="AM44">
        <v>2048</v>
      </c>
      <c r="AN44">
        <v>2049</v>
      </c>
      <c r="AO44">
        <v>2050</v>
      </c>
      <c r="AP44">
        <v>2051</v>
      </c>
      <c r="AQ44">
        <v>2052</v>
      </c>
      <c r="AR44">
        <v>2053</v>
      </c>
      <c r="AS44">
        <v>2054</v>
      </c>
      <c r="AT44">
        <v>2055</v>
      </c>
      <c r="AU44">
        <v>2056</v>
      </c>
      <c r="AV44">
        <v>2057</v>
      </c>
      <c r="AW44">
        <v>2058</v>
      </c>
      <c r="AX44">
        <v>2059</v>
      </c>
      <c r="AY44">
        <v>2060</v>
      </c>
      <c r="AZ44">
        <v>2061</v>
      </c>
      <c r="BA44">
        <v>2062</v>
      </c>
      <c r="BB44">
        <v>2063</v>
      </c>
      <c r="BC44">
        <v>2064</v>
      </c>
      <c r="BD44">
        <v>2065</v>
      </c>
      <c r="BE44">
        <v>2066</v>
      </c>
      <c r="BF44">
        <v>2067</v>
      </c>
      <c r="BG44">
        <v>2068</v>
      </c>
      <c r="BH44">
        <v>2069</v>
      </c>
      <c r="BI44">
        <v>2070</v>
      </c>
    </row>
    <row r="45" spans="1:61" outlineLevel="3" x14ac:dyDescent="0.3">
      <c r="C45" t="s">
        <v>52</v>
      </c>
      <c r="D45" s="3">
        <f>D40</f>
        <v>26.47</v>
      </c>
      <c r="E45" s="3">
        <f t="shared" ref="E45:BI45" si="130">E40</f>
        <v>25.159999999999997</v>
      </c>
      <c r="F45" s="3">
        <f t="shared" si="130"/>
        <v>25.68</v>
      </c>
      <c r="G45" s="3">
        <f t="shared" si="130"/>
        <v>24.85</v>
      </c>
      <c r="H45" s="3">
        <f t="shared" si="130"/>
        <v>24.18</v>
      </c>
      <c r="I45" s="3">
        <f t="shared" si="130"/>
        <v>24.83</v>
      </c>
      <c r="J45" s="3">
        <f t="shared" si="130"/>
        <v>24.76</v>
      </c>
      <c r="K45" s="3">
        <f t="shared" si="130"/>
        <v>23.72</v>
      </c>
      <c r="L45" s="3">
        <f t="shared" si="130"/>
        <v>22.619999999999997</v>
      </c>
      <c r="M45" s="3">
        <f t="shared" si="130"/>
        <v>23.911701065246337</v>
      </c>
      <c r="N45" s="3">
        <f t="shared" si="130"/>
        <v>21.983645139813582</v>
      </c>
      <c r="O45" s="3">
        <f t="shared" si="130"/>
        <v>21.837445556576569</v>
      </c>
      <c r="P45" s="3">
        <f t="shared" si="130"/>
        <v>21.795936497104545</v>
      </c>
      <c r="Q45" s="3">
        <f t="shared" si="130"/>
        <v>21.746368602700809</v>
      </c>
      <c r="R45" s="3">
        <f t="shared" si="130"/>
        <v>21.688634983979348</v>
      </c>
      <c r="S45" s="3">
        <f t="shared" si="130"/>
        <v>21.623184703885563</v>
      </c>
      <c r="T45" s="3">
        <f t="shared" si="130"/>
        <v>21.550927128482016</v>
      </c>
      <c r="U45" s="3">
        <f t="shared" si="130"/>
        <v>21.472894608066646</v>
      </c>
      <c r="V45" s="3">
        <f t="shared" si="130"/>
        <v>21.390081146859831</v>
      </c>
      <c r="W45" s="3">
        <f t="shared" si="130"/>
        <v>21.303355220089074</v>
      </c>
      <c r="X45" s="3">
        <f t="shared" si="130"/>
        <v>21.213501658585837</v>
      </c>
      <c r="Y45" s="3">
        <f t="shared" si="130"/>
        <v>21.121171471686765</v>
      </c>
      <c r="Z45" s="3">
        <f t="shared" si="130"/>
        <v>21.026765576937692</v>
      </c>
      <c r="AA45" s="3">
        <f t="shared" si="130"/>
        <v>20.930335618683944</v>
      </c>
      <c r="AB45" s="3">
        <f t="shared" si="130"/>
        <v>20.831563020774887</v>
      </c>
      <c r="AC45" s="3">
        <f t="shared" si="130"/>
        <v>20.729845608071301</v>
      </c>
      <c r="AD45" s="3">
        <f t="shared" si="130"/>
        <v>20.624496504767507</v>
      </c>
      <c r="AE45" s="3">
        <f t="shared" si="130"/>
        <v>20.514929959217124</v>
      </c>
      <c r="AF45" s="3">
        <f t="shared" si="130"/>
        <v>20.400858492858347</v>
      </c>
      <c r="AG45" s="3">
        <f t="shared" si="130"/>
        <v>20.28231794075009</v>
      </c>
      <c r="AH45" s="3">
        <f t="shared" si="130"/>
        <v>20.159599679674528</v>
      </c>
      <c r="AI45" s="3">
        <f t="shared" si="130"/>
        <v>20.033145049287896</v>
      </c>
      <c r="AJ45" s="3">
        <f t="shared" si="130"/>
        <v>19.90348238347277</v>
      </c>
      <c r="AK45" s="3">
        <f t="shared" si="130"/>
        <v>19.771154229879436</v>
      </c>
      <c r="AL45" s="3">
        <f t="shared" si="130"/>
        <v>19.636703642707353</v>
      </c>
      <c r="AM45" s="3">
        <f t="shared" si="130"/>
        <v>19.500569883235087</v>
      </c>
      <c r="AN45" s="3">
        <f t="shared" si="130"/>
        <v>19.363051437869466</v>
      </c>
      <c r="AO45" s="3">
        <f t="shared" si="130"/>
        <v>19.224261589901985</v>
      </c>
      <c r="AP45" s="3">
        <f t="shared" si="130"/>
        <v>19.08416859312327</v>
      </c>
      <c r="AQ45" s="3">
        <f t="shared" si="130"/>
        <v>18.94257824101792</v>
      </c>
      <c r="AR45" s="3">
        <f t="shared" si="130"/>
        <v>18.799167498817845</v>
      </c>
      <c r="AS45" s="3">
        <f t="shared" si="130"/>
        <v>18.653558221142546</v>
      </c>
      <c r="AT45" s="3">
        <f t="shared" si="130"/>
        <v>18.505450632920045</v>
      </c>
      <c r="AU45" s="3">
        <f t="shared" si="130"/>
        <v>18.354720805943931</v>
      </c>
      <c r="AV45" s="3">
        <f t="shared" si="130"/>
        <v>18.201444371023623</v>
      </c>
      <c r="AW45" s="3">
        <f t="shared" si="130"/>
        <v>18.045852837742213</v>
      </c>
      <c r="AX45" s="3">
        <f t="shared" si="130"/>
        <v>17.888261377443623</v>
      </c>
      <c r="AY45" s="3">
        <f t="shared" si="130"/>
        <v>17.729026150126948</v>
      </c>
      <c r="AZ45" s="3">
        <f t="shared" si="130"/>
        <v>17.56852393798124</v>
      </c>
      <c r="BA45" s="3">
        <f t="shared" si="130"/>
        <v>17.407106756361348</v>
      </c>
      <c r="BB45" s="3">
        <f t="shared" si="130"/>
        <v>17.245079317185411</v>
      </c>
      <c r="BC45" s="3">
        <f t="shared" si="130"/>
        <v>17.082648058699018</v>
      </c>
      <c r="BD45" s="3">
        <f t="shared" si="130"/>
        <v>16.919915056701686</v>
      </c>
      <c r="BE45" s="3">
        <f t="shared" si="130"/>
        <v>16.756869178148854</v>
      </c>
      <c r="BF45" s="3">
        <f t="shared" si="130"/>
        <v>16.593411721927932</v>
      </c>
      <c r="BG45" s="3">
        <f t="shared" si="130"/>
        <v>16.429389535616561</v>
      </c>
      <c r="BH45" s="3">
        <f t="shared" si="130"/>
        <v>16.264641405502935</v>
      </c>
      <c r="BI45" s="3">
        <f t="shared" si="130"/>
        <v>16.099056130984327</v>
      </c>
    </row>
    <row r="46" spans="1:61" outlineLevel="1" collapsed="1" x14ac:dyDescent="0.3">
      <c r="A46" t="s">
        <v>165</v>
      </c>
    </row>
    <row r="47" spans="1:61" hidden="1" outlineLevel="2" x14ac:dyDescent="0.3">
      <c r="C47" t="s">
        <v>70</v>
      </c>
      <c r="D47" s="3">
        <f>D4</f>
        <v>6.97</v>
      </c>
      <c r="E47" s="3">
        <f t="shared" ref="E47:N47" si="131">E4</f>
        <v>5.85</v>
      </c>
      <c r="F47" s="3">
        <f t="shared" si="131"/>
        <v>6.12</v>
      </c>
      <c r="G47" s="3">
        <f t="shared" si="131"/>
        <v>5.85</v>
      </c>
      <c r="H47" s="3">
        <f t="shared" si="131"/>
        <v>6.04</v>
      </c>
      <c r="I47" s="3">
        <f t="shared" si="131"/>
        <v>6.04</v>
      </c>
      <c r="J47" s="3">
        <f t="shared" si="131"/>
        <v>6.25</v>
      </c>
      <c r="K47" s="3">
        <f t="shared" si="131"/>
        <v>5.74</v>
      </c>
      <c r="L47" s="3">
        <f t="shared" si="131"/>
        <v>5.51</v>
      </c>
      <c r="M47" s="3">
        <f t="shared" si="131"/>
        <v>5.8246451312779541</v>
      </c>
      <c r="N47" s="3">
        <f t="shared" si="131"/>
        <v>5.3549904827751043</v>
      </c>
      <c r="O47" s="3">
        <f>O19/O$21*O$45</f>
        <v>5.2911677189441946</v>
      </c>
      <c r="P47" s="3">
        <f t="shared" ref="P47:BI47" si="132">P19/P$21*P$45</f>
        <v>5.2530554809782792</v>
      </c>
      <c r="Q47" s="3">
        <f t="shared" si="132"/>
        <v>5.2132198565014658</v>
      </c>
      <c r="R47" s="3">
        <f t="shared" si="132"/>
        <v>5.1716657995391397</v>
      </c>
      <c r="S47" s="3">
        <f t="shared" si="132"/>
        <v>5.1285304342328111</v>
      </c>
      <c r="T47" s="3">
        <f t="shared" si="132"/>
        <v>5.0840569590609643</v>
      </c>
      <c r="U47" s="3">
        <f t="shared" si="132"/>
        <v>5.0385126088562497</v>
      </c>
      <c r="V47" s="3">
        <f t="shared" si="132"/>
        <v>4.992150270820348</v>
      </c>
      <c r="W47" s="3">
        <f t="shared" si="132"/>
        <v>4.9451885354678247</v>
      </c>
      <c r="X47" s="3">
        <f t="shared" si="132"/>
        <v>4.8978221980478871</v>
      </c>
      <c r="Y47" s="3">
        <f t="shared" si="132"/>
        <v>4.8502112975332956</v>
      </c>
      <c r="Z47" s="3">
        <f t="shared" si="132"/>
        <v>4.8024554276387699</v>
      </c>
      <c r="AA47" s="3">
        <f t="shared" si="132"/>
        <v>4.7545727822480792</v>
      </c>
      <c r="AB47" s="3">
        <f t="shared" si="132"/>
        <v>4.7064975910734121</v>
      </c>
      <c r="AC47" s="3">
        <f t="shared" si="132"/>
        <v>4.6581018559173488</v>
      </c>
      <c r="AD47" s="3">
        <f t="shared" si="132"/>
        <v>4.6092415179959252</v>
      </c>
      <c r="AE47" s="3">
        <f t="shared" si="132"/>
        <v>4.5597982475121643</v>
      </c>
      <c r="AF47" s="3">
        <f t="shared" si="132"/>
        <v>4.5097223793643568</v>
      </c>
      <c r="AG47" s="3">
        <f t="shared" si="132"/>
        <v>4.4590365904480045</v>
      </c>
      <c r="AH47" s="3">
        <f t="shared" si="132"/>
        <v>4.4078191244390119</v>
      </c>
      <c r="AI47" s="3">
        <f t="shared" si="132"/>
        <v>4.3561793054812448</v>
      </c>
      <c r="AJ47" s="3">
        <f t="shared" si="132"/>
        <v>4.3042430403971066</v>
      </c>
      <c r="AK47" s="3">
        <f t="shared" si="132"/>
        <v>4.2521366702593859</v>
      </c>
      <c r="AL47" s="3">
        <f t="shared" si="132"/>
        <v>4.1999839797606668</v>
      </c>
      <c r="AM47" s="3">
        <f t="shared" si="132"/>
        <v>4.1478840350484258</v>
      </c>
      <c r="AN47" s="3">
        <f t="shared" si="132"/>
        <v>4.0959039960003807</v>
      </c>
      <c r="AO47" s="3">
        <f t="shared" si="132"/>
        <v>4.0440706141071567</v>
      </c>
      <c r="AP47" s="3">
        <f t="shared" si="132"/>
        <v>3.9923797292980776</v>
      </c>
      <c r="AQ47" s="3">
        <f t="shared" si="132"/>
        <v>3.94079349011098</v>
      </c>
      <c r="AR47" s="3">
        <f t="shared" si="132"/>
        <v>3.8892482484110569</v>
      </c>
      <c r="AS47" s="3">
        <f t="shared" si="132"/>
        <v>3.8376704574334908</v>
      </c>
      <c r="AT47" s="3">
        <f t="shared" si="132"/>
        <v>3.7860042809511847</v>
      </c>
      <c r="AU47" s="3">
        <f t="shared" si="132"/>
        <v>3.7342309600136785</v>
      </c>
      <c r="AV47" s="3">
        <f t="shared" si="132"/>
        <v>3.6823725975153994</v>
      </c>
      <c r="AW47" s="3">
        <f t="shared" si="132"/>
        <v>3.6304822362854043</v>
      </c>
      <c r="AX47" s="3">
        <f t="shared" si="132"/>
        <v>3.5786285376679388</v>
      </c>
      <c r="AY47" s="3">
        <f t="shared" si="132"/>
        <v>3.5268868344543529</v>
      </c>
      <c r="AZ47" s="3">
        <f t="shared" si="132"/>
        <v>3.4753348883380992</v>
      </c>
      <c r="BA47" s="3">
        <f t="shared" si="132"/>
        <v>3.4240438641453155</v>
      </c>
      <c r="BB47" s="3">
        <f t="shared" si="132"/>
        <v>3.3730740769641492</v>
      </c>
      <c r="BC47" s="3">
        <f t="shared" si="132"/>
        <v>3.3224653564530313</v>
      </c>
      <c r="BD47" s="3">
        <f t="shared" si="132"/>
        <v>3.2722364234516519</v>
      </c>
      <c r="BE47" s="3">
        <f t="shared" si="132"/>
        <v>3.2223837692598805</v>
      </c>
      <c r="BF47" s="3">
        <f t="shared" si="132"/>
        <v>3.172887179719766</v>
      </c>
      <c r="BG47" s="3">
        <f t="shared" si="132"/>
        <v>3.1237165059468572</v>
      </c>
      <c r="BH47" s="3">
        <f t="shared" si="132"/>
        <v>3.0748407237653193</v>
      </c>
      <c r="BI47" s="3">
        <f t="shared" si="132"/>
        <v>3.0262388866270777</v>
      </c>
    </row>
    <row r="48" spans="1:61" hidden="1" outlineLevel="2" x14ac:dyDescent="0.3">
      <c r="C48" t="s">
        <v>76</v>
      </c>
      <c r="D48" s="3">
        <f>D5</f>
        <v>19.5</v>
      </c>
      <c r="E48" s="3">
        <f t="shared" ref="E48:N48" si="133">E5</f>
        <v>19.309999999999999</v>
      </c>
      <c r="F48" s="3">
        <f t="shared" si="133"/>
        <v>19.559999999999999</v>
      </c>
      <c r="G48" s="3">
        <f t="shared" si="133"/>
        <v>19</v>
      </c>
      <c r="H48" s="3">
        <f t="shared" si="133"/>
        <v>18.14</v>
      </c>
      <c r="I48" s="3">
        <f t="shared" si="133"/>
        <v>18.79</v>
      </c>
      <c r="J48" s="3">
        <f t="shared" si="133"/>
        <v>18.510000000000002</v>
      </c>
      <c r="K48" s="3">
        <f t="shared" si="133"/>
        <v>17.98</v>
      </c>
      <c r="L48" s="3">
        <f t="shared" si="133"/>
        <v>17.11</v>
      </c>
      <c r="M48" s="3">
        <f t="shared" si="133"/>
        <v>18.087055933968387</v>
      </c>
      <c r="N48" s="3">
        <f t="shared" si="133"/>
        <v>16.628654657038481</v>
      </c>
      <c r="O48" s="3">
        <f>O20/O$21*O$45</f>
        <v>16.546277837632374</v>
      </c>
      <c r="P48" s="3">
        <f t="shared" ref="P48:BI48" si="134">P20/P$21*P$45</f>
        <v>16.54288101612627</v>
      </c>
      <c r="Q48" s="3">
        <f t="shared" si="134"/>
        <v>16.533148746199345</v>
      </c>
      <c r="R48" s="3">
        <f t="shared" si="134"/>
        <v>16.516969184440207</v>
      </c>
      <c r="S48" s="3">
        <f t="shared" si="134"/>
        <v>16.494654269652752</v>
      </c>
      <c r="T48" s="3">
        <f t="shared" si="134"/>
        <v>16.466870169421053</v>
      </c>
      <c r="U48" s="3">
        <f t="shared" si="134"/>
        <v>16.434381999210395</v>
      </c>
      <c r="V48" s="3">
        <f t="shared" si="134"/>
        <v>16.397930876039485</v>
      </c>
      <c r="W48" s="3">
        <f t="shared" si="134"/>
        <v>16.358166684621246</v>
      </c>
      <c r="X48" s="3">
        <f t="shared" si="134"/>
        <v>16.31567946053795</v>
      </c>
      <c r="Y48" s="3">
        <f t="shared" si="134"/>
        <v>16.270960174153469</v>
      </c>
      <c r="Z48" s="3">
        <f t="shared" si="134"/>
        <v>16.224310149298923</v>
      </c>
      <c r="AA48" s="3">
        <f t="shared" si="134"/>
        <v>16.175762836435865</v>
      </c>
      <c r="AB48" s="3">
        <f t="shared" si="134"/>
        <v>16.125065429701472</v>
      </c>
      <c r="AC48" s="3">
        <f t="shared" si="134"/>
        <v>16.071743752153953</v>
      </c>
      <c r="AD48" s="3">
        <f t="shared" si="134"/>
        <v>16.015254986771581</v>
      </c>
      <c r="AE48" s="3">
        <f t="shared" si="134"/>
        <v>15.955131711704961</v>
      </c>
      <c r="AF48" s="3">
        <f t="shared" si="134"/>
        <v>15.891136113493989</v>
      </c>
      <c r="AG48" s="3">
        <f t="shared" si="134"/>
        <v>15.823281350302087</v>
      </c>
      <c r="AH48" s="3">
        <f t="shared" si="134"/>
        <v>15.751780555235518</v>
      </c>
      <c r="AI48" s="3">
        <f t="shared" si="134"/>
        <v>15.676965743806653</v>
      </c>
      <c r="AJ48" s="3">
        <f t="shared" si="134"/>
        <v>15.599239343075663</v>
      </c>
      <c r="AK48" s="3">
        <f t="shared" si="134"/>
        <v>15.51901755962005</v>
      </c>
      <c r="AL48" s="3">
        <f t="shared" si="134"/>
        <v>15.436719662946684</v>
      </c>
      <c r="AM48" s="3">
        <f t="shared" si="134"/>
        <v>15.352685848186661</v>
      </c>
      <c r="AN48" s="3">
        <f t="shared" si="134"/>
        <v>15.267147441869085</v>
      </c>
      <c r="AO48" s="3">
        <f t="shared" si="134"/>
        <v>15.180190975794826</v>
      </c>
      <c r="AP48" s="3">
        <f t="shared" si="134"/>
        <v>15.091788863825192</v>
      </c>
      <c r="AQ48" s="3">
        <f t="shared" si="134"/>
        <v>15.001784750906937</v>
      </c>
      <c r="AR48" s="3">
        <f t="shared" si="134"/>
        <v>14.909919250406785</v>
      </c>
      <c r="AS48" s="3">
        <f t="shared" si="134"/>
        <v>14.815887763709057</v>
      </c>
      <c r="AT48" s="3">
        <f t="shared" si="134"/>
        <v>14.719446351968863</v>
      </c>
      <c r="AU48" s="3">
        <f t="shared" si="134"/>
        <v>14.620489845930251</v>
      </c>
      <c r="AV48" s="3">
        <f t="shared" si="134"/>
        <v>14.519071773508223</v>
      </c>
      <c r="AW48" s="3">
        <f t="shared" si="134"/>
        <v>14.415370601456809</v>
      </c>
      <c r="AX48" s="3">
        <f t="shared" si="134"/>
        <v>14.309632839775682</v>
      </c>
      <c r="AY48" s="3">
        <f t="shared" si="134"/>
        <v>14.202139315672596</v>
      </c>
      <c r="AZ48" s="3">
        <f t="shared" si="134"/>
        <v>14.093189049643142</v>
      </c>
      <c r="BA48" s="3">
        <f t="shared" si="134"/>
        <v>13.983062892216033</v>
      </c>
      <c r="BB48" s="3">
        <f t="shared" si="134"/>
        <v>13.872005240221261</v>
      </c>
      <c r="BC48" s="3">
        <f t="shared" si="134"/>
        <v>13.760182702245986</v>
      </c>
      <c r="BD48" s="3">
        <f t="shared" si="134"/>
        <v>13.647678633250035</v>
      </c>
      <c r="BE48" s="3">
        <f t="shared" si="134"/>
        <v>13.534485408888974</v>
      </c>
      <c r="BF48" s="3">
        <f t="shared" si="134"/>
        <v>13.420524542208167</v>
      </c>
      <c r="BG48" s="3">
        <f t="shared" si="134"/>
        <v>13.305673029669704</v>
      </c>
      <c r="BH48" s="3">
        <f t="shared" si="134"/>
        <v>13.189800681737617</v>
      </c>
      <c r="BI48" s="3">
        <f t="shared" si="134"/>
        <v>13.07281724435725</v>
      </c>
    </row>
    <row r="49" spans="1:61" hidden="1" outlineLevel="2" x14ac:dyDescent="0.3">
      <c r="C49" t="s">
        <v>179</v>
      </c>
      <c r="D49" s="3">
        <f>SUM(D47:D48)</f>
        <v>26.47</v>
      </c>
      <c r="E49" s="3">
        <f t="shared" ref="E49:N49" si="135">SUM(E47:E48)</f>
        <v>25.159999999999997</v>
      </c>
      <c r="F49" s="3">
        <f t="shared" si="135"/>
        <v>25.68</v>
      </c>
      <c r="G49" s="3">
        <f t="shared" si="135"/>
        <v>24.85</v>
      </c>
      <c r="H49" s="3">
        <f t="shared" si="135"/>
        <v>24.18</v>
      </c>
      <c r="I49" s="3">
        <f t="shared" si="135"/>
        <v>24.83</v>
      </c>
      <c r="J49" s="3">
        <f t="shared" si="135"/>
        <v>24.76</v>
      </c>
      <c r="K49" s="3">
        <f t="shared" si="135"/>
        <v>23.72</v>
      </c>
      <c r="L49" s="3">
        <f t="shared" si="135"/>
        <v>22.619999999999997</v>
      </c>
      <c r="M49" s="3">
        <f t="shared" si="135"/>
        <v>23.911701065246341</v>
      </c>
      <c r="N49" s="3">
        <f t="shared" si="135"/>
        <v>21.983645139813586</v>
      </c>
      <c r="O49" s="3">
        <f t="shared" ref="O49" si="136">SUM(O47:O48)</f>
        <v>21.837445556576569</v>
      </c>
      <c r="P49" s="3">
        <f t="shared" ref="P49" si="137">SUM(P47:P48)</f>
        <v>21.795936497104549</v>
      </c>
      <c r="Q49" s="3">
        <f t="shared" ref="Q49" si="138">SUM(Q47:Q48)</f>
        <v>21.746368602700812</v>
      </c>
      <c r="R49" s="3">
        <f t="shared" ref="R49" si="139">SUM(R47:R48)</f>
        <v>21.688634983979348</v>
      </c>
      <c r="S49" s="3">
        <f t="shared" ref="S49" si="140">SUM(S47:S48)</f>
        <v>21.623184703885563</v>
      </c>
      <c r="T49" s="3">
        <f t="shared" ref="T49" si="141">SUM(T47:T48)</f>
        <v>21.550927128482016</v>
      </c>
      <c r="U49" s="3">
        <f t="shared" ref="U49" si="142">SUM(U47:U48)</f>
        <v>21.472894608066646</v>
      </c>
      <c r="V49" s="3">
        <f t="shared" ref="V49" si="143">SUM(V47:V48)</f>
        <v>21.390081146859835</v>
      </c>
      <c r="W49" s="3">
        <f t="shared" ref="W49" si="144">SUM(W47:W48)</f>
        <v>21.30335522008907</v>
      </c>
      <c r="X49" s="3">
        <f t="shared" ref="X49" si="145">SUM(X47:X48)</f>
        <v>21.213501658585837</v>
      </c>
      <c r="Y49" s="3">
        <f t="shared" ref="Y49" si="146">SUM(Y47:Y48)</f>
        <v>21.121171471686765</v>
      </c>
      <c r="Z49" s="3">
        <f t="shared" ref="Z49" si="147">SUM(Z47:Z48)</f>
        <v>21.026765576937692</v>
      </c>
      <c r="AA49" s="3">
        <f t="shared" ref="AA49" si="148">SUM(AA47:AA48)</f>
        <v>20.930335618683944</v>
      </c>
      <c r="AB49" s="3">
        <f t="shared" ref="AB49" si="149">SUM(AB47:AB48)</f>
        <v>20.831563020774883</v>
      </c>
      <c r="AC49" s="3">
        <f t="shared" ref="AC49" si="150">SUM(AC47:AC48)</f>
        <v>20.729845608071301</v>
      </c>
      <c r="AD49" s="3">
        <f t="shared" ref="AD49" si="151">SUM(AD47:AD48)</f>
        <v>20.624496504767507</v>
      </c>
      <c r="AE49" s="3">
        <f t="shared" ref="AE49" si="152">SUM(AE47:AE48)</f>
        <v>20.514929959217127</v>
      </c>
      <c r="AF49" s="3">
        <f t="shared" ref="AF49" si="153">SUM(AF47:AF48)</f>
        <v>20.400858492858347</v>
      </c>
      <c r="AG49" s="3">
        <f t="shared" ref="AG49" si="154">SUM(AG47:AG48)</f>
        <v>20.28231794075009</v>
      </c>
      <c r="AH49" s="3">
        <f t="shared" ref="AH49" si="155">SUM(AH47:AH48)</f>
        <v>20.159599679674528</v>
      </c>
      <c r="AI49" s="3">
        <f t="shared" ref="AI49" si="156">SUM(AI47:AI48)</f>
        <v>20.033145049287896</v>
      </c>
      <c r="AJ49" s="3">
        <f t="shared" ref="AJ49" si="157">SUM(AJ47:AJ48)</f>
        <v>19.90348238347277</v>
      </c>
      <c r="AK49" s="3">
        <f t="shared" ref="AK49" si="158">SUM(AK47:AK48)</f>
        <v>19.771154229879436</v>
      </c>
      <c r="AL49" s="3">
        <f t="shared" ref="AL49" si="159">SUM(AL47:AL48)</f>
        <v>19.636703642707353</v>
      </c>
      <c r="AM49" s="3">
        <f t="shared" ref="AM49" si="160">SUM(AM47:AM48)</f>
        <v>19.500569883235087</v>
      </c>
      <c r="AN49" s="3">
        <f t="shared" ref="AN49" si="161">SUM(AN47:AN48)</f>
        <v>19.363051437869466</v>
      </c>
      <c r="AO49" s="3">
        <f t="shared" ref="AO49" si="162">SUM(AO47:AO48)</f>
        <v>19.224261589901982</v>
      </c>
      <c r="AP49" s="3">
        <f t="shared" ref="AP49" si="163">SUM(AP47:AP48)</f>
        <v>19.08416859312327</v>
      </c>
      <c r="AQ49" s="3">
        <f t="shared" ref="AQ49" si="164">SUM(AQ47:AQ48)</f>
        <v>18.942578241017916</v>
      </c>
      <c r="AR49" s="3">
        <f t="shared" ref="AR49" si="165">SUM(AR47:AR48)</f>
        <v>18.799167498817841</v>
      </c>
      <c r="AS49" s="3">
        <f t="shared" ref="AS49" si="166">SUM(AS47:AS48)</f>
        <v>18.653558221142546</v>
      </c>
      <c r="AT49" s="3">
        <f t="shared" ref="AT49" si="167">SUM(AT47:AT48)</f>
        <v>18.505450632920049</v>
      </c>
      <c r="AU49" s="3">
        <f t="shared" ref="AU49" si="168">SUM(AU47:AU48)</f>
        <v>18.354720805943931</v>
      </c>
      <c r="AV49" s="3">
        <f t="shared" ref="AV49" si="169">SUM(AV47:AV48)</f>
        <v>18.201444371023623</v>
      </c>
      <c r="AW49" s="3">
        <f t="shared" ref="AW49" si="170">SUM(AW47:AW48)</f>
        <v>18.045852837742213</v>
      </c>
      <c r="AX49" s="3">
        <f t="shared" ref="AX49" si="171">SUM(AX47:AX48)</f>
        <v>17.888261377443619</v>
      </c>
      <c r="AY49" s="3">
        <f t="shared" ref="AY49" si="172">SUM(AY47:AY48)</f>
        <v>17.729026150126948</v>
      </c>
      <c r="AZ49" s="3">
        <f t="shared" ref="AZ49" si="173">SUM(AZ47:AZ48)</f>
        <v>17.56852393798124</v>
      </c>
      <c r="BA49" s="3">
        <f t="shared" ref="BA49" si="174">SUM(BA47:BA48)</f>
        <v>17.407106756361348</v>
      </c>
      <c r="BB49" s="3">
        <f t="shared" ref="BB49" si="175">SUM(BB47:BB48)</f>
        <v>17.245079317185411</v>
      </c>
      <c r="BC49" s="3">
        <f t="shared" ref="BC49" si="176">SUM(BC47:BC48)</f>
        <v>17.082648058699018</v>
      </c>
      <c r="BD49" s="3">
        <f t="shared" ref="BD49" si="177">SUM(BD47:BD48)</f>
        <v>16.919915056701686</v>
      </c>
      <c r="BE49" s="3">
        <f t="shared" ref="BE49" si="178">SUM(BE47:BE48)</f>
        <v>16.756869178148854</v>
      </c>
      <c r="BF49" s="3">
        <f t="shared" ref="BF49" si="179">SUM(BF47:BF48)</f>
        <v>16.593411721927932</v>
      </c>
      <c r="BG49" s="3">
        <f t="shared" ref="BG49" si="180">SUM(BG47:BG48)</f>
        <v>16.429389535616561</v>
      </c>
      <c r="BH49" s="3">
        <f t="shared" ref="BH49" si="181">SUM(BH47:BH48)</f>
        <v>16.264641405502935</v>
      </c>
      <c r="BI49" s="3">
        <f t="shared" ref="BI49" si="182">SUM(BI47:BI48)</f>
        <v>16.099056130984327</v>
      </c>
    </row>
    <row r="50" spans="1:61" hidden="1" outlineLevel="2" x14ac:dyDescent="0.3"/>
    <row r="51" spans="1:61" outlineLevel="1" x14ac:dyDescent="0.3">
      <c r="A51" s="1" t="s">
        <v>220</v>
      </c>
      <c r="B51" s="1"/>
    </row>
    <row r="52" spans="1:61" outlineLevel="2" x14ac:dyDescent="0.3">
      <c r="B52" t="s">
        <v>90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</row>
    <row r="53" spans="1:61" outlineLevel="2" x14ac:dyDescent="0.3">
      <c r="B53" t="s">
        <v>195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</row>
    <row r="54" spans="1:61" outlineLevel="2" x14ac:dyDescent="0.3">
      <c r="B54" t="s">
        <v>88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</row>
    <row r="55" spans="1:61" outlineLevel="2" x14ac:dyDescent="0.3">
      <c r="B55" t="s">
        <v>196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</row>
    <row r="56" spans="1:61" outlineLevel="2" x14ac:dyDescent="0.3">
      <c r="B56" t="s">
        <v>197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</row>
    <row r="57" spans="1:61" outlineLevel="2" x14ac:dyDescent="0.3">
      <c r="B57" t="s">
        <v>198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</row>
    <row r="58" spans="1:61" outlineLevel="2" x14ac:dyDescent="0.3">
      <c r="B58" t="s">
        <v>199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</row>
    <row r="59" spans="1:61" outlineLevel="2" x14ac:dyDescent="0.3">
      <c r="B59" t="s">
        <v>200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</row>
    <row r="60" spans="1:61" outlineLevel="2" x14ac:dyDescent="0.3">
      <c r="B60" t="s">
        <v>86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</row>
    <row r="61" spans="1:61" outlineLevel="2" x14ac:dyDescent="0.3">
      <c r="B61" t="s">
        <v>201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</row>
    <row r="62" spans="1:61" outlineLevel="1" x14ac:dyDescent="0.3">
      <c r="A62" s="1" t="s">
        <v>221</v>
      </c>
      <c r="B62" s="1"/>
    </row>
    <row r="63" spans="1:61" outlineLevel="2" x14ac:dyDescent="0.3">
      <c r="B63" t="s">
        <v>90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</row>
    <row r="64" spans="1:61" outlineLevel="2" x14ac:dyDescent="0.3">
      <c r="B64" t="s">
        <v>195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</row>
    <row r="65" spans="1:61" outlineLevel="2" x14ac:dyDescent="0.3">
      <c r="B65" t="s">
        <v>88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</row>
    <row r="66" spans="1:61" outlineLevel="2" x14ac:dyDescent="0.3">
      <c r="B66" t="s">
        <v>196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</row>
    <row r="67" spans="1:61" outlineLevel="2" x14ac:dyDescent="0.3">
      <c r="B67" t="s">
        <v>197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</row>
    <row r="68" spans="1:61" outlineLevel="2" x14ac:dyDescent="0.3">
      <c r="B68" t="s">
        <v>198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</row>
    <row r="69" spans="1:61" outlineLevel="2" x14ac:dyDescent="0.3">
      <c r="B69" t="s">
        <v>199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</row>
    <row r="70" spans="1:61" outlineLevel="2" x14ac:dyDescent="0.3">
      <c r="B70" t="s">
        <v>200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</row>
    <row r="71" spans="1:61" outlineLevel="2" x14ac:dyDescent="0.3">
      <c r="B71" t="s">
        <v>86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</row>
    <row r="72" spans="1:61" outlineLevel="2" x14ac:dyDescent="0.3">
      <c r="B72" t="s">
        <v>201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</row>
    <row r="73" spans="1:61" outlineLevel="1" x14ac:dyDescent="0.3">
      <c r="A73" s="1" t="s">
        <v>222</v>
      </c>
      <c r="B73" s="1"/>
    </row>
    <row r="74" spans="1:61" outlineLevel="2" x14ac:dyDescent="0.3">
      <c r="B74" t="s">
        <v>90</v>
      </c>
      <c r="D74" s="3">
        <f>D47</f>
        <v>6.97</v>
      </c>
      <c r="E74" s="3">
        <f t="shared" ref="E74:BI74" si="183">E47</f>
        <v>5.85</v>
      </c>
      <c r="F74" s="3">
        <f t="shared" si="183"/>
        <v>6.12</v>
      </c>
      <c r="G74" s="3">
        <f t="shared" si="183"/>
        <v>5.85</v>
      </c>
      <c r="H74" s="3">
        <f t="shared" si="183"/>
        <v>6.04</v>
      </c>
      <c r="I74" s="3">
        <f t="shared" si="183"/>
        <v>6.04</v>
      </c>
      <c r="J74" s="3">
        <f t="shared" si="183"/>
        <v>6.25</v>
      </c>
      <c r="K74" s="3">
        <f t="shared" si="183"/>
        <v>5.74</v>
      </c>
      <c r="L74" s="3">
        <f t="shared" si="183"/>
        <v>5.51</v>
      </c>
      <c r="M74" s="3">
        <f t="shared" si="183"/>
        <v>5.8246451312779541</v>
      </c>
      <c r="N74" s="3">
        <f t="shared" si="183"/>
        <v>5.3549904827751043</v>
      </c>
      <c r="O74" s="3">
        <f t="shared" si="183"/>
        <v>5.2911677189441946</v>
      </c>
      <c r="P74" s="3">
        <f t="shared" si="183"/>
        <v>5.2530554809782792</v>
      </c>
      <c r="Q74" s="3">
        <f t="shared" si="183"/>
        <v>5.2132198565014658</v>
      </c>
      <c r="R74" s="3">
        <f t="shared" si="183"/>
        <v>5.1716657995391397</v>
      </c>
      <c r="S74" s="3">
        <f t="shared" si="183"/>
        <v>5.1285304342328111</v>
      </c>
      <c r="T74" s="3">
        <f t="shared" si="183"/>
        <v>5.0840569590609643</v>
      </c>
      <c r="U74" s="3">
        <f t="shared" si="183"/>
        <v>5.0385126088562497</v>
      </c>
      <c r="V74" s="3">
        <f t="shared" si="183"/>
        <v>4.992150270820348</v>
      </c>
      <c r="W74" s="3">
        <f t="shared" si="183"/>
        <v>4.9451885354678247</v>
      </c>
      <c r="X74" s="3">
        <f t="shared" si="183"/>
        <v>4.8978221980478871</v>
      </c>
      <c r="Y74" s="3">
        <f t="shared" si="183"/>
        <v>4.8502112975332956</v>
      </c>
      <c r="Z74" s="3">
        <f t="shared" si="183"/>
        <v>4.8024554276387699</v>
      </c>
      <c r="AA74" s="3">
        <f t="shared" si="183"/>
        <v>4.7545727822480792</v>
      </c>
      <c r="AB74" s="3">
        <f t="shared" si="183"/>
        <v>4.7064975910734121</v>
      </c>
      <c r="AC74" s="3">
        <f t="shared" si="183"/>
        <v>4.6581018559173488</v>
      </c>
      <c r="AD74" s="3">
        <f t="shared" si="183"/>
        <v>4.6092415179959252</v>
      </c>
      <c r="AE74" s="3">
        <f t="shared" si="183"/>
        <v>4.5597982475121643</v>
      </c>
      <c r="AF74" s="3">
        <f t="shared" si="183"/>
        <v>4.5097223793643568</v>
      </c>
      <c r="AG74" s="3">
        <f t="shared" si="183"/>
        <v>4.4590365904480045</v>
      </c>
      <c r="AH74" s="3">
        <f t="shared" si="183"/>
        <v>4.4078191244390119</v>
      </c>
      <c r="AI74" s="3">
        <f t="shared" si="183"/>
        <v>4.3561793054812448</v>
      </c>
      <c r="AJ74" s="3">
        <f t="shared" si="183"/>
        <v>4.3042430403971066</v>
      </c>
      <c r="AK74" s="3">
        <f t="shared" si="183"/>
        <v>4.2521366702593859</v>
      </c>
      <c r="AL74" s="3">
        <f t="shared" si="183"/>
        <v>4.1999839797606668</v>
      </c>
      <c r="AM74" s="3">
        <f t="shared" si="183"/>
        <v>4.1478840350484258</v>
      </c>
      <c r="AN74" s="3">
        <f t="shared" si="183"/>
        <v>4.0959039960003807</v>
      </c>
      <c r="AO74" s="3">
        <f t="shared" si="183"/>
        <v>4.0440706141071567</v>
      </c>
      <c r="AP74" s="3">
        <f t="shared" si="183"/>
        <v>3.9923797292980776</v>
      </c>
      <c r="AQ74" s="3">
        <f t="shared" si="183"/>
        <v>3.94079349011098</v>
      </c>
      <c r="AR74" s="3">
        <f t="shared" si="183"/>
        <v>3.8892482484110569</v>
      </c>
      <c r="AS74" s="3">
        <f t="shared" si="183"/>
        <v>3.8376704574334908</v>
      </c>
      <c r="AT74" s="3">
        <f t="shared" si="183"/>
        <v>3.7860042809511847</v>
      </c>
      <c r="AU74" s="3">
        <f t="shared" si="183"/>
        <v>3.7342309600136785</v>
      </c>
      <c r="AV74" s="3">
        <f t="shared" si="183"/>
        <v>3.6823725975153994</v>
      </c>
      <c r="AW74" s="3">
        <f t="shared" si="183"/>
        <v>3.6304822362854043</v>
      </c>
      <c r="AX74" s="3">
        <f t="shared" si="183"/>
        <v>3.5786285376679388</v>
      </c>
      <c r="AY74" s="3">
        <f t="shared" si="183"/>
        <v>3.5268868344543529</v>
      </c>
      <c r="AZ74" s="3">
        <f t="shared" si="183"/>
        <v>3.4753348883380992</v>
      </c>
      <c r="BA74" s="3">
        <f t="shared" si="183"/>
        <v>3.4240438641453155</v>
      </c>
      <c r="BB74" s="3">
        <f t="shared" si="183"/>
        <v>3.3730740769641492</v>
      </c>
      <c r="BC74" s="3">
        <f t="shared" si="183"/>
        <v>3.3224653564530313</v>
      </c>
      <c r="BD74" s="3">
        <f t="shared" si="183"/>
        <v>3.2722364234516519</v>
      </c>
      <c r="BE74" s="3">
        <f t="shared" si="183"/>
        <v>3.2223837692598805</v>
      </c>
      <c r="BF74" s="3">
        <f t="shared" si="183"/>
        <v>3.172887179719766</v>
      </c>
      <c r="BG74" s="3">
        <f t="shared" si="183"/>
        <v>3.1237165059468572</v>
      </c>
      <c r="BH74" s="3">
        <f t="shared" si="183"/>
        <v>3.0748407237653193</v>
      </c>
      <c r="BI74" s="3">
        <f t="shared" si="183"/>
        <v>3.0262388866270777</v>
      </c>
    </row>
    <row r="75" spans="1:61" outlineLevel="2" x14ac:dyDescent="0.3">
      <c r="B75" t="s">
        <v>195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</row>
    <row r="76" spans="1:61" outlineLevel="2" x14ac:dyDescent="0.3">
      <c r="B76" t="s">
        <v>88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</row>
    <row r="77" spans="1:61" outlineLevel="2" x14ac:dyDescent="0.3">
      <c r="B77" t="s">
        <v>196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</row>
    <row r="78" spans="1:61" outlineLevel="2" x14ac:dyDescent="0.3">
      <c r="B78" t="s">
        <v>197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</row>
    <row r="79" spans="1:61" outlineLevel="2" x14ac:dyDescent="0.3">
      <c r="B79" t="s">
        <v>198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</row>
    <row r="80" spans="1:61" outlineLevel="2" x14ac:dyDescent="0.3">
      <c r="B80" t="s">
        <v>199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</row>
    <row r="81" spans="1:61" outlineLevel="2" x14ac:dyDescent="0.3">
      <c r="B81" t="s">
        <v>200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</row>
    <row r="82" spans="1:61" outlineLevel="2" x14ac:dyDescent="0.3">
      <c r="B82" t="s">
        <v>86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</row>
    <row r="83" spans="1:61" outlineLevel="2" x14ac:dyDescent="0.3">
      <c r="B83" t="s">
        <v>201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</row>
    <row r="84" spans="1:61" outlineLevel="1" collapsed="1" x14ac:dyDescent="0.3">
      <c r="A84" s="1" t="s">
        <v>223</v>
      </c>
      <c r="B84" s="1"/>
    </row>
    <row r="85" spans="1:61" hidden="1" outlineLevel="2" x14ac:dyDescent="0.3">
      <c r="B85" t="s">
        <v>90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</row>
    <row r="86" spans="1:61" hidden="1" outlineLevel="2" x14ac:dyDescent="0.3">
      <c r="B86" t="s">
        <v>195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</row>
    <row r="87" spans="1:61" hidden="1" outlineLevel="2" x14ac:dyDescent="0.3">
      <c r="B87" t="s">
        <v>88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</row>
    <row r="88" spans="1:61" hidden="1" outlineLevel="2" x14ac:dyDescent="0.3">
      <c r="B88" t="s">
        <v>196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</row>
    <row r="89" spans="1:61" hidden="1" outlineLevel="2" x14ac:dyDescent="0.3">
      <c r="B89" t="s">
        <v>197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</row>
    <row r="90" spans="1:61" hidden="1" outlineLevel="2" x14ac:dyDescent="0.3">
      <c r="B90" t="s">
        <v>198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</row>
    <row r="91" spans="1:61" hidden="1" outlineLevel="2" x14ac:dyDescent="0.3">
      <c r="B91" t="s">
        <v>199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</row>
    <row r="92" spans="1:61" hidden="1" outlineLevel="2" x14ac:dyDescent="0.3">
      <c r="B92" t="s">
        <v>200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</row>
    <row r="93" spans="1:61" hidden="1" outlineLevel="2" x14ac:dyDescent="0.3">
      <c r="B93" t="s">
        <v>86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</row>
    <row r="94" spans="1:61" hidden="1" outlineLevel="2" x14ac:dyDescent="0.3">
      <c r="B94" t="s">
        <v>201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</row>
    <row r="95" spans="1:61" outlineLevel="1" x14ac:dyDescent="0.3">
      <c r="A95" s="1" t="s">
        <v>224</v>
      </c>
      <c r="B95" s="1"/>
    </row>
    <row r="96" spans="1:61" outlineLevel="2" x14ac:dyDescent="0.3">
      <c r="B96" t="s">
        <v>90</v>
      </c>
      <c r="D96" s="3">
        <f>D48</f>
        <v>19.5</v>
      </c>
      <c r="E96" s="3">
        <f t="shared" ref="E96:BI96" si="184">E48</f>
        <v>19.309999999999999</v>
      </c>
      <c r="F96" s="3">
        <f t="shared" si="184"/>
        <v>19.559999999999999</v>
      </c>
      <c r="G96" s="3">
        <f t="shared" si="184"/>
        <v>19</v>
      </c>
      <c r="H96" s="3">
        <f t="shared" si="184"/>
        <v>18.14</v>
      </c>
      <c r="I96" s="3">
        <f t="shared" si="184"/>
        <v>18.79</v>
      </c>
      <c r="J96" s="3">
        <f t="shared" si="184"/>
        <v>18.510000000000002</v>
      </c>
      <c r="K96" s="3">
        <f t="shared" si="184"/>
        <v>17.98</v>
      </c>
      <c r="L96" s="3">
        <f t="shared" si="184"/>
        <v>17.11</v>
      </c>
      <c r="M96" s="3">
        <f t="shared" si="184"/>
        <v>18.087055933968387</v>
      </c>
      <c r="N96" s="3">
        <f t="shared" si="184"/>
        <v>16.628654657038481</v>
      </c>
      <c r="O96" s="3">
        <f t="shared" si="184"/>
        <v>16.546277837632374</v>
      </c>
      <c r="P96" s="3">
        <f t="shared" si="184"/>
        <v>16.54288101612627</v>
      </c>
      <c r="Q96" s="3">
        <f t="shared" si="184"/>
        <v>16.533148746199345</v>
      </c>
      <c r="R96" s="3">
        <f t="shared" si="184"/>
        <v>16.516969184440207</v>
      </c>
      <c r="S96" s="3">
        <f t="shared" si="184"/>
        <v>16.494654269652752</v>
      </c>
      <c r="T96" s="3">
        <f t="shared" si="184"/>
        <v>16.466870169421053</v>
      </c>
      <c r="U96" s="3">
        <f t="shared" si="184"/>
        <v>16.434381999210395</v>
      </c>
      <c r="V96" s="3">
        <f t="shared" si="184"/>
        <v>16.397930876039485</v>
      </c>
      <c r="W96" s="3">
        <f t="shared" si="184"/>
        <v>16.358166684621246</v>
      </c>
      <c r="X96" s="3">
        <f t="shared" si="184"/>
        <v>16.31567946053795</v>
      </c>
      <c r="Y96" s="3">
        <f t="shared" si="184"/>
        <v>16.270960174153469</v>
      </c>
      <c r="Z96" s="3">
        <f t="shared" si="184"/>
        <v>16.224310149298923</v>
      </c>
      <c r="AA96" s="3">
        <f t="shared" si="184"/>
        <v>16.175762836435865</v>
      </c>
      <c r="AB96" s="3">
        <f t="shared" si="184"/>
        <v>16.125065429701472</v>
      </c>
      <c r="AC96" s="3">
        <f t="shared" si="184"/>
        <v>16.071743752153953</v>
      </c>
      <c r="AD96" s="3">
        <f t="shared" si="184"/>
        <v>16.015254986771581</v>
      </c>
      <c r="AE96" s="3">
        <f t="shared" si="184"/>
        <v>15.955131711704961</v>
      </c>
      <c r="AF96" s="3">
        <f t="shared" si="184"/>
        <v>15.891136113493989</v>
      </c>
      <c r="AG96" s="3">
        <f t="shared" si="184"/>
        <v>15.823281350302087</v>
      </c>
      <c r="AH96" s="3">
        <f t="shared" si="184"/>
        <v>15.751780555235518</v>
      </c>
      <c r="AI96" s="3">
        <f t="shared" si="184"/>
        <v>15.676965743806653</v>
      </c>
      <c r="AJ96" s="3">
        <f t="shared" si="184"/>
        <v>15.599239343075663</v>
      </c>
      <c r="AK96" s="3">
        <f t="shared" si="184"/>
        <v>15.51901755962005</v>
      </c>
      <c r="AL96" s="3">
        <f t="shared" si="184"/>
        <v>15.436719662946684</v>
      </c>
      <c r="AM96" s="3">
        <f t="shared" si="184"/>
        <v>15.352685848186661</v>
      </c>
      <c r="AN96" s="3">
        <f t="shared" si="184"/>
        <v>15.267147441869085</v>
      </c>
      <c r="AO96" s="3">
        <f t="shared" si="184"/>
        <v>15.180190975794826</v>
      </c>
      <c r="AP96" s="3">
        <f t="shared" si="184"/>
        <v>15.091788863825192</v>
      </c>
      <c r="AQ96" s="3">
        <f t="shared" si="184"/>
        <v>15.001784750906937</v>
      </c>
      <c r="AR96" s="3">
        <f t="shared" si="184"/>
        <v>14.909919250406785</v>
      </c>
      <c r="AS96" s="3">
        <f t="shared" si="184"/>
        <v>14.815887763709057</v>
      </c>
      <c r="AT96" s="3">
        <f t="shared" si="184"/>
        <v>14.719446351968863</v>
      </c>
      <c r="AU96" s="3">
        <f t="shared" si="184"/>
        <v>14.620489845930251</v>
      </c>
      <c r="AV96" s="3">
        <f t="shared" si="184"/>
        <v>14.519071773508223</v>
      </c>
      <c r="AW96" s="3">
        <f t="shared" si="184"/>
        <v>14.415370601456809</v>
      </c>
      <c r="AX96" s="3">
        <f t="shared" si="184"/>
        <v>14.309632839775682</v>
      </c>
      <c r="AY96" s="3">
        <f t="shared" si="184"/>
        <v>14.202139315672596</v>
      </c>
      <c r="AZ96" s="3">
        <f t="shared" si="184"/>
        <v>14.093189049643142</v>
      </c>
      <c r="BA96" s="3">
        <f t="shared" si="184"/>
        <v>13.983062892216033</v>
      </c>
      <c r="BB96" s="3">
        <f t="shared" si="184"/>
        <v>13.872005240221261</v>
      </c>
      <c r="BC96" s="3">
        <f t="shared" si="184"/>
        <v>13.760182702245986</v>
      </c>
      <c r="BD96" s="3">
        <f t="shared" si="184"/>
        <v>13.647678633250035</v>
      </c>
      <c r="BE96" s="3">
        <f t="shared" si="184"/>
        <v>13.534485408888974</v>
      </c>
      <c r="BF96" s="3">
        <f t="shared" si="184"/>
        <v>13.420524542208167</v>
      </c>
      <c r="BG96" s="3">
        <f t="shared" si="184"/>
        <v>13.305673029669704</v>
      </c>
      <c r="BH96" s="3">
        <f t="shared" si="184"/>
        <v>13.189800681737617</v>
      </c>
      <c r="BI96" s="3">
        <f t="shared" si="184"/>
        <v>13.07281724435725</v>
      </c>
    </row>
    <row r="97" spans="1:61" outlineLevel="2" x14ac:dyDescent="0.3">
      <c r="B97" t="s">
        <v>195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</row>
    <row r="98" spans="1:61" outlineLevel="2" x14ac:dyDescent="0.3">
      <c r="B98" t="s">
        <v>88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</row>
    <row r="99" spans="1:61" outlineLevel="2" x14ac:dyDescent="0.3">
      <c r="B99" t="s">
        <v>196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</row>
    <row r="100" spans="1:61" outlineLevel="2" x14ac:dyDescent="0.3">
      <c r="B100" t="s">
        <v>197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</row>
    <row r="101" spans="1:61" outlineLevel="2" x14ac:dyDescent="0.3">
      <c r="B101" t="s">
        <v>198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</row>
    <row r="102" spans="1:61" outlineLevel="2" x14ac:dyDescent="0.3">
      <c r="B102" t="s">
        <v>199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</row>
    <row r="103" spans="1:61" outlineLevel="2" x14ac:dyDescent="0.3">
      <c r="B103" t="s">
        <v>200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</row>
    <row r="104" spans="1:61" outlineLevel="2" x14ac:dyDescent="0.3">
      <c r="B104" t="s">
        <v>86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</row>
    <row r="105" spans="1:61" outlineLevel="2" x14ac:dyDescent="0.3">
      <c r="B105" t="s">
        <v>201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</row>
    <row r="106" spans="1:61" outlineLevel="1" x14ac:dyDescent="0.3">
      <c r="A106" s="1" t="s">
        <v>206</v>
      </c>
      <c r="B106" s="1"/>
    </row>
    <row r="107" spans="1:61" outlineLevel="2" x14ac:dyDescent="0.3">
      <c r="B107" t="s">
        <v>90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</row>
    <row r="108" spans="1:61" outlineLevel="2" x14ac:dyDescent="0.3">
      <c r="B108" t="s">
        <v>195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</row>
    <row r="109" spans="1:61" outlineLevel="2" x14ac:dyDescent="0.3">
      <c r="B109" t="s">
        <v>88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</row>
    <row r="110" spans="1:61" outlineLevel="2" x14ac:dyDescent="0.3">
      <c r="B110" t="s">
        <v>196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</row>
    <row r="111" spans="1:61" outlineLevel="2" x14ac:dyDescent="0.3">
      <c r="B111" t="s">
        <v>197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</row>
    <row r="112" spans="1:61" outlineLevel="2" x14ac:dyDescent="0.3">
      <c r="B112" t="s">
        <v>198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</row>
    <row r="113" spans="2:61" outlineLevel="2" x14ac:dyDescent="0.3">
      <c r="B113" t="s">
        <v>199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</row>
    <row r="114" spans="2:61" outlineLevel="2" x14ac:dyDescent="0.3">
      <c r="B114" t="s">
        <v>200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</row>
    <row r="115" spans="2:61" outlineLevel="2" x14ac:dyDescent="0.3">
      <c r="B115" t="s">
        <v>86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</row>
    <row r="116" spans="2:61" outlineLevel="2" x14ac:dyDescent="0.3">
      <c r="B116" t="s">
        <v>201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</row>
    <row r="117" spans="2:61" outlineLevel="1" x14ac:dyDescent="0.3"/>
  </sheetData>
  <pageMargins left="0.7" right="0.7" top="0.75" bottom="0.75" header="0.3" footer="0.3"/>
  <ignoredErrors>
    <ignoredError sqref="D3:L3" formulaRange="1"/>
  </ignoredError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E9467-1D7E-4AB1-9E7D-A79332F03FD9}">
  <sheetPr>
    <tabColor rgb="FF0070C0"/>
  </sheetPr>
  <dimension ref="A1:AY11"/>
  <sheetViews>
    <sheetView tabSelected="1" workbookViewId="0">
      <selection activeCell="B2" sqref="B2"/>
    </sheetView>
  </sheetViews>
  <sheetFormatPr defaultColWidth="11.44140625" defaultRowHeight="14.4" x14ac:dyDescent="0.3"/>
  <cols>
    <col min="1" max="1" width="11.44140625" style="1"/>
  </cols>
  <sheetData>
    <row r="1" spans="1:51" s="1" customFormat="1" x14ac:dyDescent="0.3">
      <c r="A1" s="1" t="s">
        <v>225</v>
      </c>
      <c r="B1" s="1">
        <v>2021</v>
      </c>
      <c r="C1" s="1">
        <v>2022</v>
      </c>
      <c r="D1" s="1">
        <v>2023</v>
      </c>
      <c r="E1" s="1">
        <v>2024</v>
      </c>
      <c r="F1" s="1">
        <v>2025</v>
      </c>
      <c r="G1" s="1">
        <v>2026</v>
      </c>
      <c r="H1" s="1">
        <v>2027</v>
      </c>
      <c r="I1" s="1">
        <v>2028</v>
      </c>
      <c r="J1" s="1">
        <v>2029</v>
      </c>
      <c r="K1" s="1">
        <v>2030</v>
      </c>
      <c r="L1" s="1">
        <v>2031</v>
      </c>
      <c r="M1" s="1">
        <v>2032</v>
      </c>
      <c r="N1" s="1">
        <v>2033</v>
      </c>
      <c r="O1" s="1">
        <v>2034</v>
      </c>
      <c r="P1" s="1">
        <v>2035</v>
      </c>
      <c r="Q1" s="1">
        <v>2036</v>
      </c>
      <c r="R1" s="1">
        <v>2037</v>
      </c>
      <c r="S1" s="1">
        <v>2038</v>
      </c>
      <c r="T1" s="1">
        <v>2039</v>
      </c>
      <c r="U1" s="1">
        <v>2040</v>
      </c>
      <c r="V1" s="1">
        <v>2041</v>
      </c>
      <c r="W1" s="1">
        <v>2042</v>
      </c>
      <c r="X1" s="1">
        <v>2043</v>
      </c>
      <c r="Y1" s="1">
        <v>2044</v>
      </c>
      <c r="Z1" s="1">
        <v>2045</v>
      </c>
      <c r="AA1" s="1">
        <v>2046</v>
      </c>
      <c r="AB1" s="1">
        <v>2047</v>
      </c>
      <c r="AC1" s="1">
        <v>2048</v>
      </c>
      <c r="AD1" s="1">
        <v>2049</v>
      </c>
      <c r="AE1" s="1">
        <v>2050</v>
      </c>
      <c r="AF1" s="1">
        <v>2051</v>
      </c>
      <c r="AG1" s="1">
        <v>2052</v>
      </c>
      <c r="AH1" s="1">
        <v>2053</v>
      </c>
      <c r="AI1" s="1">
        <v>2054</v>
      </c>
      <c r="AJ1" s="1">
        <v>2055</v>
      </c>
      <c r="AK1" s="1">
        <v>2056</v>
      </c>
      <c r="AL1" s="1">
        <v>2057</v>
      </c>
      <c r="AM1" s="1">
        <v>2058</v>
      </c>
      <c r="AN1" s="1">
        <v>2059</v>
      </c>
      <c r="AO1" s="1">
        <v>2060</v>
      </c>
      <c r="AP1" s="1">
        <v>2061</v>
      </c>
      <c r="AQ1" s="1">
        <v>2062</v>
      </c>
      <c r="AR1" s="1">
        <v>2063</v>
      </c>
      <c r="AS1" s="1">
        <v>2064</v>
      </c>
      <c r="AT1" s="1">
        <v>2065</v>
      </c>
      <c r="AU1" s="1">
        <v>2066</v>
      </c>
      <c r="AV1" s="1">
        <v>2067</v>
      </c>
      <c r="AW1" s="1">
        <v>2068</v>
      </c>
      <c r="AX1" s="1">
        <v>2069</v>
      </c>
      <c r="AY1" s="1">
        <v>2070</v>
      </c>
    </row>
    <row r="2" spans="1:51" x14ac:dyDescent="0.3">
      <c r="A2" s="1" t="s">
        <v>226</v>
      </c>
      <c r="B2" s="14">
        <v>0</v>
      </c>
      <c r="C2" s="14">
        <v>0</v>
      </c>
      <c r="D2" s="14">
        <v>0</v>
      </c>
      <c r="E2" s="14">
        <v>0</v>
      </c>
      <c r="F2" s="14">
        <v>0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  <c r="L2" s="14">
        <v>0</v>
      </c>
      <c r="M2" s="14">
        <v>0</v>
      </c>
      <c r="N2" s="14">
        <v>0</v>
      </c>
      <c r="O2" s="14">
        <v>0</v>
      </c>
      <c r="P2" s="14">
        <v>0</v>
      </c>
      <c r="Q2" s="14">
        <v>0</v>
      </c>
      <c r="R2" s="14">
        <v>0</v>
      </c>
      <c r="S2" s="14">
        <v>0</v>
      </c>
      <c r="T2" s="14">
        <v>0</v>
      </c>
      <c r="U2" s="14">
        <v>0</v>
      </c>
      <c r="V2" s="14">
        <v>0</v>
      </c>
      <c r="W2" s="14">
        <v>0</v>
      </c>
      <c r="X2" s="14">
        <v>0</v>
      </c>
      <c r="Y2" s="14">
        <v>0</v>
      </c>
      <c r="Z2" s="14">
        <v>0</v>
      </c>
      <c r="AA2" s="14">
        <v>0</v>
      </c>
      <c r="AB2" s="14">
        <v>0</v>
      </c>
      <c r="AC2" s="14">
        <v>0</v>
      </c>
      <c r="AD2" s="14">
        <v>0</v>
      </c>
      <c r="AE2" s="14">
        <v>0</v>
      </c>
      <c r="AF2" s="14">
        <v>0</v>
      </c>
      <c r="AG2" s="14">
        <v>0</v>
      </c>
      <c r="AH2" s="14">
        <v>0</v>
      </c>
      <c r="AI2" s="14">
        <v>0</v>
      </c>
      <c r="AJ2" s="14">
        <v>0</v>
      </c>
      <c r="AK2" s="14">
        <v>0</v>
      </c>
      <c r="AL2" s="14">
        <v>0</v>
      </c>
      <c r="AM2" s="14">
        <v>0</v>
      </c>
      <c r="AN2" s="14">
        <v>0</v>
      </c>
      <c r="AO2" s="14">
        <v>0</v>
      </c>
      <c r="AP2" s="14">
        <v>0</v>
      </c>
      <c r="AQ2" s="14">
        <v>0</v>
      </c>
      <c r="AR2" s="14">
        <v>0</v>
      </c>
      <c r="AS2" s="14">
        <v>0</v>
      </c>
      <c r="AT2" s="14">
        <v>0</v>
      </c>
      <c r="AU2" s="14">
        <v>0</v>
      </c>
      <c r="AV2" s="14">
        <v>0</v>
      </c>
      <c r="AW2" s="14">
        <v>0</v>
      </c>
      <c r="AX2" s="14">
        <v>0</v>
      </c>
      <c r="AY2" s="14">
        <v>0</v>
      </c>
    </row>
    <row r="3" spans="1:51" x14ac:dyDescent="0.3">
      <c r="A3" s="1" t="s">
        <v>227</v>
      </c>
      <c r="B3" s="14">
        <f>About!$B$41*(P.Res!L289+P.Com!D307+P.Pub!D108)</f>
        <v>0</v>
      </c>
      <c r="C3" s="14">
        <f>About!$B$41*(P.Res!M289+P.Com!E307+P.Pub!E108)</f>
        <v>0</v>
      </c>
      <c r="D3" s="14">
        <f>About!$B$41*(P.Res!N289+P.Com!F307+P.Pub!F108)</f>
        <v>0</v>
      </c>
      <c r="E3" s="14">
        <f>About!$B$41*(P.Res!O289+P.Com!G307+P.Pub!G108)</f>
        <v>0</v>
      </c>
      <c r="F3" s="14">
        <f>About!$B$41*(P.Res!P289+P.Com!H307+P.Pub!H108)</f>
        <v>0</v>
      </c>
      <c r="G3" s="14">
        <f>About!$B$41*(P.Res!Q289+P.Com!I307+P.Pub!I108)</f>
        <v>0</v>
      </c>
      <c r="H3" s="14">
        <f>About!$B$41*(P.Res!R289+P.Com!J307+P.Pub!J108)</f>
        <v>0</v>
      </c>
      <c r="I3" s="14">
        <f>About!$B$41*(P.Res!S289+P.Com!K307+P.Pub!K108)</f>
        <v>0</v>
      </c>
      <c r="J3" s="14">
        <f>About!$B$41*(P.Res!T289+P.Com!L307+P.Pub!L108)</f>
        <v>0</v>
      </c>
      <c r="K3" s="14">
        <f>About!$B$41*(P.Res!U289+P.Com!M307+P.Pub!M108)</f>
        <v>0</v>
      </c>
      <c r="L3" s="14">
        <f>About!$B$41*(P.Res!V289+P.Com!N307+P.Pub!N108)</f>
        <v>0</v>
      </c>
      <c r="M3" s="14">
        <f>About!$B$41*(P.Res!W289+P.Com!O307+P.Pub!O108)</f>
        <v>0</v>
      </c>
      <c r="N3" s="14">
        <f>About!$B$41*(P.Res!X289+P.Com!P307+P.Pub!P108)</f>
        <v>0</v>
      </c>
      <c r="O3" s="14">
        <f>About!$B$41*(P.Res!Y289+P.Com!Q307+P.Pub!Q108)</f>
        <v>0</v>
      </c>
      <c r="P3" s="14">
        <f>About!$B$41*(P.Res!Z289+P.Com!R307+P.Pub!R108)</f>
        <v>0</v>
      </c>
      <c r="Q3" s="14">
        <f>About!$B$41*(P.Res!AA289+P.Com!S307+P.Pub!S108)</f>
        <v>0</v>
      </c>
      <c r="R3" s="14">
        <f>About!$B$41*(P.Res!AB289+P.Com!T307+P.Pub!T108)</f>
        <v>0</v>
      </c>
      <c r="S3" s="14">
        <f>About!$B$41*(P.Res!AC289+P.Com!U307+P.Pub!U108)</f>
        <v>0</v>
      </c>
      <c r="T3" s="14">
        <f>About!$B$41*(P.Res!AD289+P.Com!V307+P.Pub!V108)</f>
        <v>0</v>
      </c>
      <c r="U3" s="14">
        <f>About!$B$41*(P.Res!AE289+P.Com!W307+P.Pub!W108)</f>
        <v>0</v>
      </c>
      <c r="V3" s="14">
        <f>About!$B$41*(P.Res!AF289+P.Com!X307+P.Pub!X108)</f>
        <v>0</v>
      </c>
      <c r="W3" s="14">
        <f>About!$B$41*(P.Res!AG289+P.Com!Y307+P.Pub!Y108)</f>
        <v>0</v>
      </c>
      <c r="X3" s="14">
        <f>About!$B$41*(P.Res!AH289+P.Com!Z307+P.Pub!Z108)</f>
        <v>0</v>
      </c>
      <c r="Y3" s="14">
        <f>About!$B$41*(P.Res!AI289+P.Com!AA307+P.Pub!AA108)</f>
        <v>0</v>
      </c>
      <c r="Z3" s="14">
        <f>About!$B$41*(P.Res!AJ289+P.Com!AB307+P.Pub!AB108)</f>
        <v>0</v>
      </c>
      <c r="AA3" s="14">
        <f>About!$B$41*(P.Res!AK289+P.Com!AC307+P.Pub!AC108)</f>
        <v>0</v>
      </c>
      <c r="AB3" s="14">
        <f>About!$B$41*(P.Res!AL289+P.Com!AD307+P.Pub!AD108)</f>
        <v>0</v>
      </c>
      <c r="AC3" s="14">
        <f>About!$B$41*(P.Res!AM289+P.Com!AE307+P.Pub!AE108)</f>
        <v>0</v>
      </c>
      <c r="AD3" s="14">
        <f>About!$B$41*(P.Res!AN289+P.Com!AF307+P.Pub!AF108)</f>
        <v>0</v>
      </c>
      <c r="AE3" s="14">
        <f>About!$B$41*(P.Res!AO289+P.Com!AG307+P.Pub!AG108)</f>
        <v>0</v>
      </c>
      <c r="AF3" s="14">
        <f>About!$B$41*(P.Res!AP289+P.Com!AH307+P.Pub!AH108)</f>
        <v>0</v>
      </c>
      <c r="AG3" s="14">
        <f>About!$B$41*(P.Res!AQ289+P.Com!AI307+P.Pub!AI108)</f>
        <v>0</v>
      </c>
      <c r="AH3" s="14">
        <f>About!$B$41*(P.Res!AR289+P.Com!AJ307+P.Pub!AJ108)</f>
        <v>0</v>
      </c>
      <c r="AI3" s="14">
        <f>About!$B$41*(P.Res!AS289+P.Com!AK307+P.Pub!AK108)</f>
        <v>0</v>
      </c>
      <c r="AJ3" s="14">
        <f>About!$B$41*(P.Res!AT289+P.Com!AL307+P.Pub!AL108)</f>
        <v>0</v>
      </c>
      <c r="AK3" s="14">
        <f>About!$B$41*(P.Res!AU289+P.Com!AM307+P.Pub!AM108)</f>
        <v>0</v>
      </c>
      <c r="AL3" s="14">
        <f>About!$B$41*(P.Res!AV289+P.Com!AN307+P.Pub!AN108)</f>
        <v>0</v>
      </c>
      <c r="AM3" s="14">
        <f>About!$B$41*(P.Res!AW289+P.Com!AO307+P.Pub!AO108)</f>
        <v>0</v>
      </c>
      <c r="AN3" s="14">
        <f>About!$B$41*(P.Res!AX289+P.Com!AP307+P.Pub!AP108)</f>
        <v>0</v>
      </c>
      <c r="AO3" s="14">
        <f>About!$B$41*(P.Res!AY289+P.Com!AQ307+P.Pub!AQ108)</f>
        <v>0</v>
      </c>
      <c r="AP3" s="14">
        <f>About!$B$41*(P.Res!AZ289+P.Com!AR307+P.Pub!AR108)</f>
        <v>0</v>
      </c>
      <c r="AQ3" s="14">
        <f>About!$B$41*(P.Res!BA289+P.Com!AS307+P.Pub!AS108)</f>
        <v>0</v>
      </c>
      <c r="AR3" s="14">
        <f>About!$B$41*(P.Res!BB289+P.Com!AT307+P.Pub!AT108)</f>
        <v>0</v>
      </c>
      <c r="AS3" s="14">
        <f>About!$B$41*(P.Res!BC289+P.Com!AU307+P.Pub!AU108)</f>
        <v>0</v>
      </c>
      <c r="AT3" s="14">
        <f>About!$B$41*(P.Res!BD289+P.Com!AV307+P.Pub!AV108)</f>
        <v>0</v>
      </c>
      <c r="AU3" s="14">
        <f>About!$B$41*(P.Res!BE289+P.Com!AW307+P.Pub!AW108)</f>
        <v>0</v>
      </c>
      <c r="AV3" s="14">
        <f>About!$B$41*(P.Res!BF289+P.Com!AX307+P.Pub!AX108)</f>
        <v>0</v>
      </c>
      <c r="AW3" s="14">
        <f>About!$B$41*(P.Res!BG289+P.Com!AY307+P.Pub!AY108)</f>
        <v>0</v>
      </c>
      <c r="AX3" s="14">
        <f>About!$B$41*(P.Res!BH289+P.Com!AZ307+P.Pub!AZ108)</f>
        <v>0</v>
      </c>
      <c r="AY3" s="14">
        <f>About!$B$41*(P.Res!BI289+P.Com!BA307+P.Pub!BA108)</f>
        <v>0</v>
      </c>
    </row>
    <row r="4" spans="1:51" x14ac:dyDescent="0.3">
      <c r="A4" s="1" t="s">
        <v>228</v>
      </c>
      <c r="B4" s="14">
        <f>About!$B$41*(P.Res!L290+P.Com!D308+P.Pub!D109)</f>
        <v>0</v>
      </c>
      <c r="C4" s="14">
        <f>About!$B$41*(P.Res!M290+P.Com!E308+P.Pub!E109)</f>
        <v>0</v>
      </c>
      <c r="D4" s="14">
        <f>About!$B$41*(P.Res!N290+P.Com!F308+P.Pub!F109)</f>
        <v>0</v>
      </c>
      <c r="E4" s="14">
        <f>About!$B$41*(P.Res!O290+P.Com!G308+P.Pub!G109)</f>
        <v>0</v>
      </c>
      <c r="F4" s="14">
        <f>About!$B$41*(P.Res!P290+P.Com!H308+P.Pub!H109)</f>
        <v>0</v>
      </c>
      <c r="G4" s="14">
        <f>About!$B$41*(P.Res!Q290+P.Com!I308+P.Pub!I109)</f>
        <v>0</v>
      </c>
      <c r="H4" s="14">
        <f>About!$B$41*(P.Res!R290+P.Com!J308+P.Pub!J109)</f>
        <v>0</v>
      </c>
      <c r="I4" s="14">
        <f>About!$B$41*(P.Res!S290+P.Com!K308+P.Pub!K109)</f>
        <v>0</v>
      </c>
      <c r="J4" s="14">
        <f>About!$B$41*(P.Res!T290+P.Com!L308+P.Pub!L109)</f>
        <v>0</v>
      </c>
      <c r="K4" s="14">
        <f>About!$B$41*(P.Res!U290+P.Com!M308+P.Pub!M109)</f>
        <v>0</v>
      </c>
      <c r="L4" s="14">
        <f>About!$B$41*(P.Res!V290+P.Com!N308+P.Pub!N109)</f>
        <v>0</v>
      </c>
      <c r="M4" s="14">
        <f>About!$B$41*(P.Res!W290+P.Com!O308+P.Pub!O109)</f>
        <v>0</v>
      </c>
      <c r="N4" s="14">
        <f>About!$B$41*(P.Res!X290+P.Com!P308+P.Pub!P109)</f>
        <v>0</v>
      </c>
      <c r="O4" s="14">
        <f>About!$B$41*(P.Res!Y290+P.Com!Q308+P.Pub!Q109)</f>
        <v>0</v>
      </c>
      <c r="P4" s="14">
        <f>About!$B$41*(P.Res!Z290+P.Com!R308+P.Pub!R109)</f>
        <v>0</v>
      </c>
      <c r="Q4" s="14">
        <f>About!$B$41*(P.Res!AA290+P.Com!S308+P.Pub!S109)</f>
        <v>0</v>
      </c>
      <c r="R4" s="14">
        <f>About!$B$41*(P.Res!AB290+P.Com!T308+P.Pub!T109)</f>
        <v>0</v>
      </c>
      <c r="S4" s="14">
        <f>About!$B$41*(P.Res!AC290+P.Com!U308+P.Pub!U109)</f>
        <v>0</v>
      </c>
      <c r="T4" s="14">
        <f>About!$B$41*(P.Res!AD290+P.Com!V308+P.Pub!V109)</f>
        <v>0</v>
      </c>
      <c r="U4" s="14">
        <f>About!$B$41*(P.Res!AE290+P.Com!W308+P.Pub!W109)</f>
        <v>0</v>
      </c>
      <c r="V4" s="14">
        <f>About!$B$41*(P.Res!AF290+P.Com!X308+P.Pub!X109)</f>
        <v>0</v>
      </c>
      <c r="W4" s="14">
        <f>About!$B$41*(P.Res!AG290+P.Com!Y308+P.Pub!Y109)</f>
        <v>0</v>
      </c>
      <c r="X4" s="14">
        <f>About!$B$41*(P.Res!AH290+P.Com!Z308+P.Pub!Z109)</f>
        <v>0</v>
      </c>
      <c r="Y4" s="14">
        <f>About!$B$41*(P.Res!AI290+P.Com!AA308+P.Pub!AA109)</f>
        <v>0</v>
      </c>
      <c r="Z4" s="14">
        <f>About!$B$41*(P.Res!AJ290+P.Com!AB308+P.Pub!AB109)</f>
        <v>0</v>
      </c>
      <c r="AA4" s="14">
        <f>About!$B$41*(P.Res!AK290+P.Com!AC308+P.Pub!AC109)</f>
        <v>0</v>
      </c>
      <c r="AB4" s="14">
        <f>About!$B$41*(P.Res!AL290+P.Com!AD308+P.Pub!AD109)</f>
        <v>0</v>
      </c>
      <c r="AC4" s="14">
        <f>About!$B$41*(P.Res!AM290+P.Com!AE308+P.Pub!AE109)</f>
        <v>0</v>
      </c>
      <c r="AD4" s="14">
        <f>About!$B$41*(P.Res!AN290+P.Com!AF308+P.Pub!AF109)</f>
        <v>0</v>
      </c>
      <c r="AE4" s="14">
        <f>About!$B$41*(P.Res!AO290+P.Com!AG308+P.Pub!AG109)</f>
        <v>0</v>
      </c>
      <c r="AF4" s="14">
        <f>About!$B$41*(P.Res!AP290+P.Com!AH308+P.Pub!AH109)</f>
        <v>0</v>
      </c>
      <c r="AG4" s="14">
        <f>About!$B$41*(P.Res!AQ290+P.Com!AI308+P.Pub!AI109)</f>
        <v>0</v>
      </c>
      <c r="AH4" s="14">
        <f>About!$B$41*(P.Res!AR290+P.Com!AJ308+P.Pub!AJ109)</f>
        <v>0</v>
      </c>
      <c r="AI4" s="14">
        <f>About!$B$41*(P.Res!AS290+P.Com!AK308+P.Pub!AK109)</f>
        <v>0</v>
      </c>
      <c r="AJ4" s="14">
        <f>About!$B$41*(P.Res!AT290+P.Com!AL308+P.Pub!AL109)</f>
        <v>0</v>
      </c>
      <c r="AK4" s="14">
        <f>About!$B$41*(P.Res!AU290+P.Com!AM308+P.Pub!AM109)</f>
        <v>0</v>
      </c>
      <c r="AL4" s="14">
        <f>About!$B$41*(P.Res!AV290+P.Com!AN308+P.Pub!AN109)</f>
        <v>0</v>
      </c>
      <c r="AM4" s="14">
        <f>About!$B$41*(P.Res!AW290+P.Com!AO308+P.Pub!AO109)</f>
        <v>0</v>
      </c>
      <c r="AN4" s="14">
        <f>About!$B$41*(P.Res!AX290+P.Com!AP308+P.Pub!AP109)</f>
        <v>0</v>
      </c>
      <c r="AO4" s="14">
        <f>About!$B$41*(P.Res!AY290+P.Com!AQ308+P.Pub!AQ109)</f>
        <v>0</v>
      </c>
      <c r="AP4" s="14">
        <f>About!$B$41*(P.Res!AZ290+P.Com!AR308+P.Pub!AR109)</f>
        <v>0</v>
      </c>
      <c r="AQ4" s="14">
        <f>About!$B$41*(P.Res!BA290+P.Com!AS308+P.Pub!AS109)</f>
        <v>0</v>
      </c>
      <c r="AR4" s="14">
        <f>About!$B$41*(P.Res!BB290+P.Com!AT308+P.Pub!AT109)</f>
        <v>0</v>
      </c>
      <c r="AS4" s="14">
        <f>About!$B$41*(P.Res!BC290+P.Com!AU308+P.Pub!AU109)</f>
        <v>0</v>
      </c>
      <c r="AT4" s="14">
        <f>About!$B$41*(P.Res!BD290+P.Com!AV308+P.Pub!AV109)</f>
        <v>0</v>
      </c>
      <c r="AU4" s="14">
        <f>About!$B$41*(P.Res!BE290+P.Com!AW308+P.Pub!AW109)</f>
        <v>0</v>
      </c>
      <c r="AV4" s="14">
        <f>About!$B$41*(P.Res!BF290+P.Com!AX308+P.Pub!AX109)</f>
        <v>0</v>
      </c>
      <c r="AW4" s="14">
        <f>About!$B$41*(P.Res!BG290+P.Com!AY308+P.Pub!AY109)</f>
        <v>0</v>
      </c>
      <c r="AX4" s="14">
        <f>About!$B$41*(P.Res!BH290+P.Com!AZ308+P.Pub!AZ109)</f>
        <v>0</v>
      </c>
      <c r="AY4" s="14">
        <f>About!$B$41*(P.Res!BI290+P.Com!BA308+P.Pub!BA109)</f>
        <v>0</v>
      </c>
    </row>
    <row r="5" spans="1:51" x14ac:dyDescent="0.3">
      <c r="A5" s="1" t="s">
        <v>229</v>
      </c>
      <c r="B5" s="14">
        <f>About!$B$41*(P.Res!L291+P.Com!D309+P.Pub!D110)</f>
        <v>0</v>
      </c>
      <c r="C5" s="14">
        <f>About!$B$41*(P.Res!M291+P.Com!E309+P.Pub!E110)</f>
        <v>0</v>
      </c>
      <c r="D5" s="14">
        <f>About!$B$41*(P.Res!N291+P.Com!F309+P.Pub!F110)</f>
        <v>0</v>
      </c>
      <c r="E5" s="14">
        <f>About!$B$41*(P.Res!O291+P.Com!G309+P.Pub!G110)</f>
        <v>0</v>
      </c>
      <c r="F5" s="14">
        <f>About!$B$41*(P.Res!P291+P.Com!H309+P.Pub!H110)</f>
        <v>0</v>
      </c>
      <c r="G5" s="14">
        <f>About!$B$41*(P.Res!Q291+P.Com!I309+P.Pub!I110)</f>
        <v>0</v>
      </c>
      <c r="H5" s="14">
        <f>About!$B$41*(P.Res!R291+P.Com!J309+P.Pub!J110)</f>
        <v>0</v>
      </c>
      <c r="I5" s="14">
        <f>About!$B$41*(P.Res!S291+P.Com!K309+P.Pub!K110)</f>
        <v>0</v>
      </c>
      <c r="J5" s="14">
        <f>About!$B$41*(P.Res!T291+P.Com!L309+P.Pub!L110)</f>
        <v>0</v>
      </c>
      <c r="K5" s="14">
        <f>About!$B$41*(P.Res!U291+P.Com!M309+P.Pub!M110)</f>
        <v>0</v>
      </c>
      <c r="L5" s="14">
        <f>About!$B$41*(P.Res!V291+P.Com!N309+P.Pub!N110)</f>
        <v>0</v>
      </c>
      <c r="M5" s="14">
        <f>About!$B$41*(P.Res!W291+P.Com!O309+P.Pub!O110)</f>
        <v>0</v>
      </c>
      <c r="N5" s="14">
        <f>About!$B$41*(P.Res!X291+P.Com!P309+P.Pub!P110)</f>
        <v>0</v>
      </c>
      <c r="O5" s="14">
        <f>About!$B$41*(P.Res!Y291+P.Com!Q309+P.Pub!Q110)</f>
        <v>0</v>
      </c>
      <c r="P5" s="14">
        <f>About!$B$41*(P.Res!Z291+P.Com!R309+P.Pub!R110)</f>
        <v>0</v>
      </c>
      <c r="Q5" s="14">
        <f>About!$B$41*(P.Res!AA291+P.Com!S309+P.Pub!S110)</f>
        <v>0</v>
      </c>
      <c r="R5" s="14">
        <f>About!$B$41*(P.Res!AB291+P.Com!T309+P.Pub!T110)</f>
        <v>0</v>
      </c>
      <c r="S5" s="14">
        <f>About!$B$41*(P.Res!AC291+P.Com!U309+P.Pub!U110)</f>
        <v>0</v>
      </c>
      <c r="T5" s="14">
        <f>About!$B$41*(P.Res!AD291+P.Com!V309+P.Pub!V110)</f>
        <v>0</v>
      </c>
      <c r="U5" s="14">
        <f>About!$B$41*(P.Res!AE291+P.Com!W309+P.Pub!W110)</f>
        <v>0</v>
      </c>
      <c r="V5" s="14">
        <f>About!$B$41*(P.Res!AF291+P.Com!X309+P.Pub!X110)</f>
        <v>0</v>
      </c>
      <c r="W5" s="14">
        <f>About!$B$41*(P.Res!AG291+P.Com!Y309+P.Pub!Y110)</f>
        <v>0</v>
      </c>
      <c r="X5" s="14">
        <f>About!$B$41*(P.Res!AH291+P.Com!Z309+P.Pub!Z110)</f>
        <v>0</v>
      </c>
      <c r="Y5" s="14">
        <f>About!$B$41*(P.Res!AI291+P.Com!AA309+P.Pub!AA110)</f>
        <v>0</v>
      </c>
      <c r="Z5" s="14">
        <f>About!$B$41*(P.Res!AJ291+P.Com!AB309+P.Pub!AB110)</f>
        <v>0</v>
      </c>
      <c r="AA5" s="14">
        <f>About!$B$41*(P.Res!AK291+P.Com!AC309+P.Pub!AC110)</f>
        <v>0</v>
      </c>
      <c r="AB5" s="14">
        <f>About!$B$41*(P.Res!AL291+P.Com!AD309+P.Pub!AD110)</f>
        <v>0</v>
      </c>
      <c r="AC5" s="14">
        <f>About!$B$41*(P.Res!AM291+P.Com!AE309+P.Pub!AE110)</f>
        <v>0</v>
      </c>
      <c r="AD5" s="14">
        <f>About!$B$41*(P.Res!AN291+P.Com!AF309+P.Pub!AF110)</f>
        <v>0</v>
      </c>
      <c r="AE5" s="14">
        <f>About!$B$41*(P.Res!AO291+P.Com!AG309+P.Pub!AG110)</f>
        <v>0</v>
      </c>
      <c r="AF5" s="14">
        <f>About!$B$41*(P.Res!AP291+P.Com!AH309+P.Pub!AH110)</f>
        <v>0</v>
      </c>
      <c r="AG5" s="14">
        <f>About!$B$41*(P.Res!AQ291+P.Com!AI309+P.Pub!AI110)</f>
        <v>0</v>
      </c>
      <c r="AH5" s="14">
        <f>About!$B$41*(P.Res!AR291+P.Com!AJ309+P.Pub!AJ110)</f>
        <v>0</v>
      </c>
      <c r="AI5" s="14">
        <f>About!$B$41*(P.Res!AS291+P.Com!AK309+P.Pub!AK110)</f>
        <v>0</v>
      </c>
      <c r="AJ5" s="14">
        <f>About!$B$41*(P.Res!AT291+P.Com!AL309+P.Pub!AL110)</f>
        <v>0</v>
      </c>
      <c r="AK5" s="14">
        <f>About!$B$41*(P.Res!AU291+P.Com!AM309+P.Pub!AM110)</f>
        <v>0</v>
      </c>
      <c r="AL5" s="14">
        <f>About!$B$41*(P.Res!AV291+P.Com!AN309+P.Pub!AN110)</f>
        <v>0</v>
      </c>
      <c r="AM5" s="14">
        <f>About!$B$41*(P.Res!AW291+P.Com!AO309+P.Pub!AO110)</f>
        <v>0</v>
      </c>
      <c r="AN5" s="14">
        <f>About!$B$41*(P.Res!AX291+P.Com!AP309+P.Pub!AP110)</f>
        <v>0</v>
      </c>
      <c r="AO5" s="14">
        <f>About!$B$41*(P.Res!AY291+P.Com!AQ309+P.Pub!AQ110)</f>
        <v>0</v>
      </c>
      <c r="AP5" s="14">
        <f>About!$B$41*(P.Res!AZ291+P.Com!AR309+P.Pub!AR110)</f>
        <v>0</v>
      </c>
      <c r="AQ5" s="14">
        <f>About!$B$41*(P.Res!BA291+P.Com!AS309+P.Pub!AS110)</f>
        <v>0</v>
      </c>
      <c r="AR5" s="14">
        <f>About!$B$41*(P.Res!BB291+P.Com!AT309+P.Pub!AT110)</f>
        <v>0</v>
      </c>
      <c r="AS5" s="14">
        <f>About!$B$41*(P.Res!BC291+P.Com!AU309+P.Pub!AU110)</f>
        <v>0</v>
      </c>
      <c r="AT5" s="14">
        <f>About!$B$41*(P.Res!BD291+P.Com!AV309+P.Pub!AV110)</f>
        <v>0</v>
      </c>
      <c r="AU5" s="14">
        <f>About!$B$41*(P.Res!BE291+P.Com!AW309+P.Pub!AW110)</f>
        <v>0</v>
      </c>
      <c r="AV5" s="14">
        <f>About!$B$41*(P.Res!BF291+P.Com!AX309+P.Pub!AX110)</f>
        <v>0</v>
      </c>
      <c r="AW5" s="14">
        <f>About!$B$41*(P.Res!BG291+P.Com!AY309+P.Pub!AY110)</f>
        <v>0</v>
      </c>
      <c r="AX5" s="14">
        <f>About!$B$41*(P.Res!BH291+P.Com!AZ309+P.Pub!AZ110)</f>
        <v>0</v>
      </c>
      <c r="AY5" s="14">
        <f>About!$B$41*(P.Res!BI291+P.Com!BA309+P.Pub!BA110)</f>
        <v>0</v>
      </c>
    </row>
    <row r="6" spans="1:51" x14ac:dyDescent="0.3">
      <c r="A6" s="1" t="s">
        <v>230</v>
      </c>
      <c r="B6" s="14">
        <f>About!$B$41*(P.Res!L292+P.Com!D310+P.Pub!D111)</f>
        <v>0</v>
      </c>
      <c r="C6" s="14">
        <f>About!$B$41*(P.Res!M292+P.Com!E310+P.Pub!E111)</f>
        <v>0</v>
      </c>
      <c r="D6" s="14">
        <f>About!$B$41*(P.Res!N292+P.Com!F310+P.Pub!F111)</f>
        <v>0</v>
      </c>
      <c r="E6" s="14">
        <f>About!$B$41*(P.Res!O292+P.Com!G310+P.Pub!G111)</f>
        <v>0</v>
      </c>
      <c r="F6" s="14">
        <f>About!$B$41*(P.Res!P292+P.Com!H310+P.Pub!H111)</f>
        <v>0</v>
      </c>
      <c r="G6" s="14">
        <f>About!$B$41*(P.Res!Q292+P.Com!I310+P.Pub!I111)</f>
        <v>0</v>
      </c>
      <c r="H6" s="14">
        <f>About!$B$41*(P.Res!R292+P.Com!J310+P.Pub!J111)</f>
        <v>0</v>
      </c>
      <c r="I6" s="14">
        <f>About!$B$41*(P.Res!S292+P.Com!K310+P.Pub!K111)</f>
        <v>0</v>
      </c>
      <c r="J6" s="14">
        <f>About!$B$41*(P.Res!T292+P.Com!L310+P.Pub!L111)</f>
        <v>0</v>
      </c>
      <c r="K6" s="14">
        <f>About!$B$41*(P.Res!U292+P.Com!M310+P.Pub!M111)</f>
        <v>0</v>
      </c>
      <c r="L6" s="14">
        <f>About!$B$41*(P.Res!V292+P.Com!N310+P.Pub!N111)</f>
        <v>0</v>
      </c>
      <c r="M6" s="14">
        <f>About!$B$41*(P.Res!W292+P.Com!O310+P.Pub!O111)</f>
        <v>0</v>
      </c>
      <c r="N6" s="14">
        <f>About!$B$41*(P.Res!X292+P.Com!P310+P.Pub!P111)</f>
        <v>0</v>
      </c>
      <c r="O6" s="14">
        <f>About!$B$41*(P.Res!Y292+P.Com!Q310+P.Pub!Q111)</f>
        <v>0</v>
      </c>
      <c r="P6" s="14">
        <f>About!$B$41*(P.Res!Z292+P.Com!R310+P.Pub!R111)</f>
        <v>0</v>
      </c>
      <c r="Q6" s="14">
        <f>About!$B$41*(P.Res!AA292+P.Com!S310+P.Pub!S111)</f>
        <v>0</v>
      </c>
      <c r="R6" s="14">
        <f>About!$B$41*(P.Res!AB292+P.Com!T310+P.Pub!T111)</f>
        <v>0</v>
      </c>
      <c r="S6" s="14">
        <f>About!$B$41*(P.Res!AC292+P.Com!U310+P.Pub!U111)</f>
        <v>0</v>
      </c>
      <c r="T6" s="14">
        <f>About!$B$41*(P.Res!AD292+P.Com!V310+P.Pub!V111)</f>
        <v>0</v>
      </c>
      <c r="U6" s="14">
        <f>About!$B$41*(P.Res!AE292+P.Com!W310+P.Pub!W111)</f>
        <v>0</v>
      </c>
      <c r="V6" s="14">
        <f>About!$B$41*(P.Res!AF292+P.Com!X310+P.Pub!X111)</f>
        <v>0</v>
      </c>
      <c r="W6" s="14">
        <f>About!$B$41*(P.Res!AG292+P.Com!Y310+P.Pub!Y111)</f>
        <v>0</v>
      </c>
      <c r="X6" s="14">
        <f>About!$B$41*(P.Res!AH292+P.Com!Z310+P.Pub!Z111)</f>
        <v>0</v>
      </c>
      <c r="Y6" s="14">
        <f>About!$B$41*(P.Res!AI292+P.Com!AA310+P.Pub!AA111)</f>
        <v>0</v>
      </c>
      <c r="Z6" s="14">
        <f>About!$B$41*(P.Res!AJ292+P.Com!AB310+P.Pub!AB111)</f>
        <v>0</v>
      </c>
      <c r="AA6" s="14">
        <f>About!$B$41*(P.Res!AK292+P.Com!AC310+P.Pub!AC111)</f>
        <v>0</v>
      </c>
      <c r="AB6" s="14">
        <f>About!$B$41*(P.Res!AL292+P.Com!AD310+P.Pub!AD111)</f>
        <v>0</v>
      </c>
      <c r="AC6" s="14">
        <f>About!$B$41*(P.Res!AM292+P.Com!AE310+P.Pub!AE111)</f>
        <v>0</v>
      </c>
      <c r="AD6" s="14">
        <f>About!$B$41*(P.Res!AN292+P.Com!AF310+P.Pub!AF111)</f>
        <v>0</v>
      </c>
      <c r="AE6" s="14">
        <f>About!$B$41*(P.Res!AO292+P.Com!AG310+P.Pub!AG111)</f>
        <v>0</v>
      </c>
      <c r="AF6" s="14">
        <f>About!$B$41*(P.Res!AP292+P.Com!AH310+P.Pub!AH111)</f>
        <v>0</v>
      </c>
      <c r="AG6" s="14">
        <f>About!$B$41*(P.Res!AQ292+P.Com!AI310+P.Pub!AI111)</f>
        <v>0</v>
      </c>
      <c r="AH6" s="14">
        <f>About!$B$41*(P.Res!AR292+P.Com!AJ310+P.Pub!AJ111)</f>
        <v>0</v>
      </c>
      <c r="AI6" s="14">
        <f>About!$B$41*(P.Res!AS292+P.Com!AK310+P.Pub!AK111)</f>
        <v>0</v>
      </c>
      <c r="AJ6" s="14">
        <f>About!$B$41*(P.Res!AT292+P.Com!AL310+P.Pub!AL111)</f>
        <v>0</v>
      </c>
      <c r="AK6" s="14">
        <f>About!$B$41*(P.Res!AU292+P.Com!AM310+P.Pub!AM111)</f>
        <v>0</v>
      </c>
      <c r="AL6" s="14">
        <f>About!$B$41*(P.Res!AV292+P.Com!AN310+P.Pub!AN111)</f>
        <v>0</v>
      </c>
      <c r="AM6" s="14">
        <f>About!$B$41*(P.Res!AW292+P.Com!AO310+P.Pub!AO111)</f>
        <v>0</v>
      </c>
      <c r="AN6" s="14">
        <f>About!$B$41*(P.Res!AX292+P.Com!AP310+P.Pub!AP111)</f>
        <v>0</v>
      </c>
      <c r="AO6" s="14">
        <f>About!$B$41*(P.Res!AY292+P.Com!AQ310+P.Pub!AQ111)</f>
        <v>0</v>
      </c>
      <c r="AP6" s="14">
        <f>About!$B$41*(P.Res!AZ292+P.Com!AR310+P.Pub!AR111)</f>
        <v>0</v>
      </c>
      <c r="AQ6" s="14">
        <f>About!$B$41*(P.Res!BA292+P.Com!AS310+P.Pub!AS111)</f>
        <v>0</v>
      </c>
      <c r="AR6" s="14">
        <f>About!$B$41*(P.Res!BB292+P.Com!AT310+P.Pub!AT111)</f>
        <v>0</v>
      </c>
      <c r="AS6" s="14">
        <f>About!$B$41*(P.Res!BC292+P.Com!AU310+P.Pub!AU111)</f>
        <v>0</v>
      </c>
      <c r="AT6" s="14">
        <f>About!$B$41*(P.Res!BD292+P.Com!AV310+P.Pub!AV111)</f>
        <v>0</v>
      </c>
      <c r="AU6" s="14">
        <f>About!$B$41*(P.Res!BE292+P.Com!AW310+P.Pub!AW111)</f>
        <v>0</v>
      </c>
      <c r="AV6" s="14">
        <f>About!$B$41*(P.Res!BF292+P.Com!AX310+P.Pub!AX111)</f>
        <v>0</v>
      </c>
      <c r="AW6" s="14">
        <f>About!$B$41*(P.Res!BG292+P.Com!AY310+P.Pub!AY111)</f>
        <v>0</v>
      </c>
      <c r="AX6" s="14">
        <f>About!$B$41*(P.Res!BH292+P.Com!AZ310+P.Pub!AZ111)</f>
        <v>0</v>
      </c>
      <c r="AY6" s="14">
        <f>About!$B$41*(P.Res!BI292+P.Com!BA310+P.Pub!BA111)</f>
        <v>0</v>
      </c>
    </row>
    <row r="7" spans="1:51" x14ac:dyDescent="0.3">
      <c r="A7" s="1" t="s">
        <v>231</v>
      </c>
      <c r="B7" s="14">
        <f>About!$B$41*(P.Res!L293+P.Com!D311+P.Pub!D112)</f>
        <v>0</v>
      </c>
      <c r="C7" s="14">
        <f>About!$B$41*(P.Res!M293+P.Com!E311+P.Pub!E112)</f>
        <v>0</v>
      </c>
      <c r="D7" s="14">
        <f>About!$B$41*(P.Res!N293+P.Com!F311+P.Pub!F112)</f>
        <v>0</v>
      </c>
      <c r="E7" s="14">
        <f>About!$B$41*(P.Res!O293+P.Com!G311+P.Pub!G112)</f>
        <v>0</v>
      </c>
      <c r="F7" s="14">
        <f>About!$B$41*(P.Res!P293+P.Com!H311+P.Pub!H112)</f>
        <v>0</v>
      </c>
      <c r="G7" s="14">
        <f>About!$B$41*(P.Res!Q293+P.Com!I311+P.Pub!I112)</f>
        <v>0</v>
      </c>
      <c r="H7" s="14">
        <f>About!$B$41*(P.Res!R293+P.Com!J311+P.Pub!J112)</f>
        <v>0</v>
      </c>
      <c r="I7" s="14">
        <f>About!$B$41*(P.Res!S293+P.Com!K311+P.Pub!K112)</f>
        <v>0</v>
      </c>
      <c r="J7" s="14">
        <f>About!$B$41*(P.Res!T293+P.Com!L311+P.Pub!L112)</f>
        <v>0</v>
      </c>
      <c r="K7" s="14">
        <f>About!$B$41*(P.Res!U293+P.Com!M311+P.Pub!M112)</f>
        <v>0</v>
      </c>
      <c r="L7" s="14">
        <f>About!$B$41*(P.Res!V293+P.Com!N311+P.Pub!N112)</f>
        <v>0</v>
      </c>
      <c r="M7" s="14">
        <f>About!$B$41*(P.Res!W293+P.Com!O311+P.Pub!O112)</f>
        <v>0</v>
      </c>
      <c r="N7" s="14">
        <f>About!$B$41*(P.Res!X293+P.Com!P311+P.Pub!P112)</f>
        <v>0</v>
      </c>
      <c r="O7" s="14">
        <f>About!$B$41*(P.Res!Y293+P.Com!Q311+P.Pub!Q112)</f>
        <v>0</v>
      </c>
      <c r="P7" s="14">
        <f>About!$B$41*(P.Res!Z293+P.Com!R311+P.Pub!R112)</f>
        <v>0</v>
      </c>
      <c r="Q7" s="14">
        <f>About!$B$41*(P.Res!AA293+P.Com!S311+P.Pub!S112)</f>
        <v>0</v>
      </c>
      <c r="R7" s="14">
        <f>About!$B$41*(P.Res!AB293+P.Com!T311+P.Pub!T112)</f>
        <v>0</v>
      </c>
      <c r="S7" s="14">
        <f>About!$B$41*(P.Res!AC293+P.Com!U311+P.Pub!U112)</f>
        <v>0</v>
      </c>
      <c r="T7" s="14">
        <f>About!$B$41*(P.Res!AD293+P.Com!V311+P.Pub!V112)</f>
        <v>0</v>
      </c>
      <c r="U7" s="14">
        <f>About!$B$41*(P.Res!AE293+P.Com!W311+P.Pub!W112)</f>
        <v>0</v>
      </c>
      <c r="V7" s="14">
        <f>About!$B$41*(P.Res!AF293+P.Com!X311+P.Pub!X112)</f>
        <v>0</v>
      </c>
      <c r="W7" s="14">
        <f>About!$B$41*(P.Res!AG293+P.Com!Y311+P.Pub!Y112)</f>
        <v>0</v>
      </c>
      <c r="X7" s="14">
        <f>About!$B$41*(P.Res!AH293+P.Com!Z311+P.Pub!Z112)</f>
        <v>0</v>
      </c>
      <c r="Y7" s="14">
        <f>About!$B$41*(P.Res!AI293+P.Com!AA311+P.Pub!AA112)</f>
        <v>0</v>
      </c>
      <c r="Z7" s="14">
        <f>About!$B$41*(P.Res!AJ293+P.Com!AB311+P.Pub!AB112)</f>
        <v>0</v>
      </c>
      <c r="AA7" s="14">
        <f>About!$B$41*(P.Res!AK293+P.Com!AC311+P.Pub!AC112)</f>
        <v>0</v>
      </c>
      <c r="AB7" s="14">
        <f>About!$B$41*(P.Res!AL293+P.Com!AD311+P.Pub!AD112)</f>
        <v>0</v>
      </c>
      <c r="AC7" s="14">
        <f>About!$B$41*(P.Res!AM293+P.Com!AE311+P.Pub!AE112)</f>
        <v>0</v>
      </c>
      <c r="AD7" s="14">
        <f>About!$B$41*(P.Res!AN293+P.Com!AF311+P.Pub!AF112)</f>
        <v>0</v>
      </c>
      <c r="AE7" s="14">
        <f>About!$B$41*(P.Res!AO293+P.Com!AG311+P.Pub!AG112)</f>
        <v>0</v>
      </c>
      <c r="AF7" s="14">
        <f>About!$B$41*(P.Res!AP293+P.Com!AH311+P.Pub!AH112)</f>
        <v>0</v>
      </c>
      <c r="AG7" s="14">
        <f>About!$B$41*(P.Res!AQ293+P.Com!AI311+P.Pub!AI112)</f>
        <v>0</v>
      </c>
      <c r="AH7" s="14">
        <f>About!$B$41*(P.Res!AR293+P.Com!AJ311+P.Pub!AJ112)</f>
        <v>0</v>
      </c>
      <c r="AI7" s="14">
        <f>About!$B$41*(P.Res!AS293+P.Com!AK311+P.Pub!AK112)</f>
        <v>0</v>
      </c>
      <c r="AJ7" s="14">
        <f>About!$B$41*(P.Res!AT293+P.Com!AL311+P.Pub!AL112)</f>
        <v>0</v>
      </c>
      <c r="AK7" s="14">
        <f>About!$B$41*(P.Res!AU293+P.Com!AM311+P.Pub!AM112)</f>
        <v>0</v>
      </c>
      <c r="AL7" s="14">
        <f>About!$B$41*(P.Res!AV293+P.Com!AN311+P.Pub!AN112)</f>
        <v>0</v>
      </c>
      <c r="AM7" s="14">
        <f>About!$B$41*(P.Res!AW293+P.Com!AO311+P.Pub!AO112)</f>
        <v>0</v>
      </c>
      <c r="AN7" s="14">
        <f>About!$B$41*(P.Res!AX293+P.Com!AP311+P.Pub!AP112)</f>
        <v>0</v>
      </c>
      <c r="AO7" s="14">
        <f>About!$B$41*(P.Res!AY293+P.Com!AQ311+P.Pub!AQ112)</f>
        <v>0</v>
      </c>
      <c r="AP7" s="14">
        <f>About!$B$41*(P.Res!AZ293+P.Com!AR311+P.Pub!AR112)</f>
        <v>0</v>
      </c>
      <c r="AQ7" s="14">
        <f>About!$B$41*(P.Res!BA293+P.Com!AS311+P.Pub!AS112)</f>
        <v>0</v>
      </c>
      <c r="AR7" s="14">
        <f>About!$B$41*(P.Res!BB293+P.Com!AT311+P.Pub!AT112)</f>
        <v>0</v>
      </c>
      <c r="AS7" s="14">
        <f>About!$B$41*(P.Res!BC293+P.Com!AU311+P.Pub!AU112)</f>
        <v>0</v>
      </c>
      <c r="AT7" s="14">
        <f>About!$B$41*(P.Res!BD293+P.Com!AV311+P.Pub!AV112)</f>
        <v>0</v>
      </c>
      <c r="AU7" s="14">
        <f>About!$B$41*(P.Res!BE293+P.Com!AW311+P.Pub!AW112)</f>
        <v>0</v>
      </c>
      <c r="AV7" s="14">
        <f>About!$B$41*(P.Res!BF293+P.Com!AX311+P.Pub!AX112)</f>
        <v>0</v>
      </c>
      <c r="AW7" s="14">
        <f>About!$B$41*(P.Res!BG293+P.Com!AY311+P.Pub!AY112)</f>
        <v>0</v>
      </c>
      <c r="AX7" s="14">
        <f>About!$B$41*(P.Res!BH293+P.Com!AZ311+P.Pub!AZ112)</f>
        <v>0</v>
      </c>
      <c r="AY7" s="14">
        <f>About!$B$41*(P.Res!BI293+P.Com!BA311+P.Pub!BA112)</f>
        <v>0</v>
      </c>
    </row>
    <row r="8" spans="1:51" x14ac:dyDescent="0.3">
      <c r="A8" s="1" t="s">
        <v>232</v>
      </c>
      <c r="B8" s="14">
        <f>About!$B$41*(P.Res!L294+P.Com!D312+P.Pub!D113)</f>
        <v>0</v>
      </c>
      <c r="C8" s="14">
        <f>About!$B$41*(P.Res!M294+P.Com!E312+P.Pub!E113)</f>
        <v>0</v>
      </c>
      <c r="D8" s="14">
        <f>About!$B$41*(P.Res!N294+P.Com!F312+P.Pub!F113)</f>
        <v>0</v>
      </c>
      <c r="E8" s="14">
        <f>About!$B$41*(P.Res!O294+P.Com!G312+P.Pub!G113)</f>
        <v>0</v>
      </c>
      <c r="F8" s="14">
        <f>About!$B$41*(P.Res!P294+P.Com!H312+P.Pub!H113)</f>
        <v>0</v>
      </c>
      <c r="G8" s="14">
        <f>About!$B$41*(P.Res!Q294+P.Com!I312+P.Pub!I113)</f>
        <v>0</v>
      </c>
      <c r="H8" s="14">
        <f>About!$B$41*(P.Res!R294+P.Com!J312+P.Pub!J113)</f>
        <v>0</v>
      </c>
      <c r="I8" s="14">
        <f>About!$B$41*(P.Res!S294+P.Com!K312+P.Pub!K113)</f>
        <v>0</v>
      </c>
      <c r="J8" s="14">
        <f>About!$B$41*(P.Res!T294+P.Com!L312+P.Pub!L113)</f>
        <v>0</v>
      </c>
      <c r="K8" s="14">
        <f>About!$B$41*(P.Res!U294+P.Com!M312+P.Pub!M113)</f>
        <v>0</v>
      </c>
      <c r="L8" s="14">
        <f>About!$B$41*(P.Res!V294+P.Com!N312+P.Pub!N113)</f>
        <v>0</v>
      </c>
      <c r="M8" s="14">
        <f>About!$B$41*(P.Res!W294+P.Com!O312+P.Pub!O113)</f>
        <v>0</v>
      </c>
      <c r="N8" s="14">
        <f>About!$B$41*(P.Res!X294+P.Com!P312+P.Pub!P113)</f>
        <v>0</v>
      </c>
      <c r="O8" s="14">
        <f>About!$B$41*(P.Res!Y294+P.Com!Q312+P.Pub!Q113)</f>
        <v>0</v>
      </c>
      <c r="P8" s="14">
        <f>About!$B$41*(P.Res!Z294+P.Com!R312+P.Pub!R113)</f>
        <v>0</v>
      </c>
      <c r="Q8" s="14">
        <f>About!$B$41*(P.Res!AA294+P.Com!S312+P.Pub!S113)</f>
        <v>0</v>
      </c>
      <c r="R8" s="14">
        <f>About!$B$41*(P.Res!AB294+P.Com!T312+P.Pub!T113)</f>
        <v>0</v>
      </c>
      <c r="S8" s="14">
        <f>About!$B$41*(P.Res!AC294+P.Com!U312+P.Pub!U113)</f>
        <v>0</v>
      </c>
      <c r="T8" s="14">
        <f>About!$B$41*(P.Res!AD294+P.Com!V312+P.Pub!V113)</f>
        <v>0</v>
      </c>
      <c r="U8" s="14">
        <f>About!$B$41*(P.Res!AE294+P.Com!W312+P.Pub!W113)</f>
        <v>0</v>
      </c>
      <c r="V8" s="14">
        <f>About!$B$41*(P.Res!AF294+P.Com!X312+P.Pub!X113)</f>
        <v>0</v>
      </c>
      <c r="W8" s="14">
        <f>About!$B$41*(P.Res!AG294+P.Com!Y312+P.Pub!Y113)</f>
        <v>0</v>
      </c>
      <c r="X8" s="14">
        <f>About!$B$41*(P.Res!AH294+P.Com!Z312+P.Pub!Z113)</f>
        <v>0</v>
      </c>
      <c r="Y8" s="14">
        <f>About!$B$41*(P.Res!AI294+P.Com!AA312+P.Pub!AA113)</f>
        <v>0</v>
      </c>
      <c r="Z8" s="14">
        <f>About!$B$41*(P.Res!AJ294+P.Com!AB312+P.Pub!AB113)</f>
        <v>0</v>
      </c>
      <c r="AA8" s="14">
        <f>About!$B$41*(P.Res!AK294+P.Com!AC312+P.Pub!AC113)</f>
        <v>0</v>
      </c>
      <c r="AB8" s="14">
        <f>About!$B$41*(P.Res!AL294+P.Com!AD312+P.Pub!AD113)</f>
        <v>0</v>
      </c>
      <c r="AC8" s="14">
        <f>About!$B$41*(P.Res!AM294+P.Com!AE312+P.Pub!AE113)</f>
        <v>0</v>
      </c>
      <c r="AD8" s="14">
        <f>About!$B$41*(P.Res!AN294+P.Com!AF312+P.Pub!AF113)</f>
        <v>0</v>
      </c>
      <c r="AE8" s="14">
        <f>About!$B$41*(P.Res!AO294+P.Com!AG312+P.Pub!AG113)</f>
        <v>0</v>
      </c>
      <c r="AF8" s="14">
        <f>About!$B$41*(P.Res!AP294+P.Com!AH312+P.Pub!AH113)</f>
        <v>0</v>
      </c>
      <c r="AG8" s="14">
        <f>About!$B$41*(P.Res!AQ294+P.Com!AI312+P.Pub!AI113)</f>
        <v>0</v>
      </c>
      <c r="AH8" s="14">
        <f>About!$B$41*(P.Res!AR294+P.Com!AJ312+P.Pub!AJ113)</f>
        <v>0</v>
      </c>
      <c r="AI8" s="14">
        <f>About!$B$41*(P.Res!AS294+P.Com!AK312+P.Pub!AK113)</f>
        <v>0</v>
      </c>
      <c r="AJ8" s="14">
        <f>About!$B$41*(P.Res!AT294+P.Com!AL312+P.Pub!AL113)</f>
        <v>0</v>
      </c>
      <c r="AK8" s="14">
        <f>About!$B$41*(P.Res!AU294+P.Com!AM312+P.Pub!AM113)</f>
        <v>0</v>
      </c>
      <c r="AL8" s="14">
        <f>About!$B$41*(P.Res!AV294+P.Com!AN312+P.Pub!AN113)</f>
        <v>0</v>
      </c>
      <c r="AM8" s="14">
        <f>About!$B$41*(P.Res!AW294+P.Com!AO312+P.Pub!AO113)</f>
        <v>0</v>
      </c>
      <c r="AN8" s="14">
        <f>About!$B$41*(P.Res!AX294+P.Com!AP312+P.Pub!AP113)</f>
        <v>0</v>
      </c>
      <c r="AO8" s="14">
        <f>About!$B$41*(P.Res!AY294+P.Com!AQ312+P.Pub!AQ113)</f>
        <v>0</v>
      </c>
      <c r="AP8" s="14">
        <f>About!$B$41*(P.Res!AZ294+P.Com!AR312+P.Pub!AR113)</f>
        <v>0</v>
      </c>
      <c r="AQ8" s="14">
        <f>About!$B$41*(P.Res!BA294+P.Com!AS312+P.Pub!AS113)</f>
        <v>0</v>
      </c>
      <c r="AR8" s="14">
        <f>About!$B$41*(P.Res!BB294+P.Com!AT312+P.Pub!AT113)</f>
        <v>0</v>
      </c>
      <c r="AS8" s="14">
        <f>About!$B$41*(P.Res!BC294+P.Com!AU312+P.Pub!AU113)</f>
        <v>0</v>
      </c>
      <c r="AT8" s="14">
        <f>About!$B$41*(P.Res!BD294+P.Com!AV312+P.Pub!AV113)</f>
        <v>0</v>
      </c>
      <c r="AU8" s="14">
        <f>About!$B$41*(P.Res!BE294+P.Com!AW312+P.Pub!AW113)</f>
        <v>0</v>
      </c>
      <c r="AV8" s="14">
        <f>About!$B$41*(P.Res!BF294+P.Com!AX312+P.Pub!AX113)</f>
        <v>0</v>
      </c>
      <c r="AW8" s="14">
        <f>About!$B$41*(P.Res!BG294+P.Com!AY312+P.Pub!AY113)</f>
        <v>0</v>
      </c>
      <c r="AX8" s="14">
        <f>About!$B$41*(P.Res!BH294+P.Com!AZ312+P.Pub!AZ113)</f>
        <v>0</v>
      </c>
      <c r="AY8" s="14">
        <f>About!$B$41*(P.Res!BI294+P.Com!BA312+P.Pub!BA113)</f>
        <v>0</v>
      </c>
    </row>
    <row r="9" spans="1:51" x14ac:dyDescent="0.3">
      <c r="A9" s="1" t="s">
        <v>233</v>
      </c>
      <c r="B9" s="14">
        <f>About!$B$41*(P.Res!L295+P.Com!D313+P.Pub!D114)</f>
        <v>0</v>
      </c>
      <c r="C9" s="14">
        <f>About!$B$41*(P.Res!M295+P.Com!E313+P.Pub!E114)</f>
        <v>0</v>
      </c>
      <c r="D9" s="14">
        <f>About!$B$41*(P.Res!N295+P.Com!F313+P.Pub!F114)</f>
        <v>0</v>
      </c>
      <c r="E9" s="14">
        <f>About!$B$41*(P.Res!O295+P.Com!G313+P.Pub!G114)</f>
        <v>0</v>
      </c>
      <c r="F9" s="14">
        <f>About!$B$41*(P.Res!P295+P.Com!H313+P.Pub!H114)</f>
        <v>0</v>
      </c>
      <c r="G9" s="14">
        <f>About!$B$41*(P.Res!Q295+P.Com!I313+P.Pub!I114)</f>
        <v>0</v>
      </c>
      <c r="H9" s="14">
        <f>About!$B$41*(P.Res!R295+P.Com!J313+P.Pub!J114)</f>
        <v>0</v>
      </c>
      <c r="I9" s="14">
        <f>About!$B$41*(P.Res!S295+P.Com!K313+P.Pub!K114)</f>
        <v>0</v>
      </c>
      <c r="J9" s="14">
        <f>About!$B$41*(P.Res!T295+P.Com!L313+P.Pub!L114)</f>
        <v>0</v>
      </c>
      <c r="K9" s="14">
        <f>About!$B$41*(P.Res!U295+P.Com!M313+P.Pub!M114)</f>
        <v>0</v>
      </c>
      <c r="L9" s="14">
        <f>About!$B$41*(P.Res!V295+P.Com!N313+P.Pub!N114)</f>
        <v>0</v>
      </c>
      <c r="M9" s="14">
        <f>About!$B$41*(P.Res!W295+P.Com!O313+P.Pub!O114)</f>
        <v>0</v>
      </c>
      <c r="N9" s="14">
        <f>About!$B$41*(P.Res!X295+P.Com!P313+P.Pub!P114)</f>
        <v>0</v>
      </c>
      <c r="O9" s="14">
        <f>About!$B$41*(P.Res!Y295+P.Com!Q313+P.Pub!Q114)</f>
        <v>0</v>
      </c>
      <c r="P9" s="14">
        <f>About!$B$41*(P.Res!Z295+P.Com!R313+P.Pub!R114)</f>
        <v>0</v>
      </c>
      <c r="Q9" s="14">
        <f>About!$B$41*(P.Res!AA295+P.Com!S313+P.Pub!S114)</f>
        <v>0</v>
      </c>
      <c r="R9" s="14">
        <f>About!$B$41*(P.Res!AB295+P.Com!T313+P.Pub!T114)</f>
        <v>0</v>
      </c>
      <c r="S9" s="14">
        <f>About!$B$41*(P.Res!AC295+P.Com!U313+P.Pub!U114)</f>
        <v>0</v>
      </c>
      <c r="T9" s="14">
        <f>About!$B$41*(P.Res!AD295+P.Com!V313+P.Pub!V114)</f>
        <v>0</v>
      </c>
      <c r="U9" s="14">
        <f>About!$B$41*(P.Res!AE295+P.Com!W313+P.Pub!W114)</f>
        <v>0</v>
      </c>
      <c r="V9" s="14">
        <f>About!$B$41*(P.Res!AF295+P.Com!X313+P.Pub!X114)</f>
        <v>0</v>
      </c>
      <c r="W9" s="14">
        <f>About!$B$41*(P.Res!AG295+P.Com!Y313+P.Pub!Y114)</f>
        <v>0</v>
      </c>
      <c r="X9" s="14">
        <f>About!$B$41*(P.Res!AH295+P.Com!Z313+P.Pub!Z114)</f>
        <v>0</v>
      </c>
      <c r="Y9" s="14">
        <f>About!$B$41*(P.Res!AI295+P.Com!AA313+P.Pub!AA114)</f>
        <v>0</v>
      </c>
      <c r="Z9" s="14">
        <f>About!$B$41*(P.Res!AJ295+P.Com!AB313+P.Pub!AB114)</f>
        <v>0</v>
      </c>
      <c r="AA9" s="14">
        <f>About!$B$41*(P.Res!AK295+P.Com!AC313+P.Pub!AC114)</f>
        <v>0</v>
      </c>
      <c r="AB9" s="14">
        <f>About!$B$41*(P.Res!AL295+P.Com!AD313+P.Pub!AD114)</f>
        <v>0</v>
      </c>
      <c r="AC9" s="14">
        <f>About!$B$41*(P.Res!AM295+P.Com!AE313+P.Pub!AE114)</f>
        <v>0</v>
      </c>
      <c r="AD9" s="14">
        <f>About!$B$41*(P.Res!AN295+P.Com!AF313+P.Pub!AF114)</f>
        <v>0</v>
      </c>
      <c r="AE9" s="14">
        <f>About!$B$41*(P.Res!AO295+P.Com!AG313+P.Pub!AG114)</f>
        <v>0</v>
      </c>
      <c r="AF9" s="14">
        <f>About!$B$41*(P.Res!AP295+P.Com!AH313+P.Pub!AH114)</f>
        <v>0</v>
      </c>
      <c r="AG9" s="14">
        <f>About!$B$41*(P.Res!AQ295+P.Com!AI313+P.Pub!AI114)</f>
        <v>0</v>
      </c>
      <c r="AH9" s="14">
        <f>About!$B$41*(P.Res!AR295+P.Com!AJ313+P.Pub!AJ114)</f>
        <v>0</v>
      </c>
      <c r="AI9" s="14">
        <f>About!$B$41*(P.Res!AS295+P.Com!AK313+P.Pub!AK114)</f>
        <v>0</v>
      </c>
      <c r="AJ9" s="14">
        <f>About!$B$41*(P.Res!AT295+P.Com!AL313+P.Pub!AL114)</f>
        <v>0</v>
      </c>
      <c r="AK9" s="14">
        <f>About!$B$41*(P.Res!AU295+P.Com!AM313+P.Pub!AM114)</f>
        <v>0</v>
      </c>
      <c r="AL9" s="14">
        <f>About!$B$41*(P.Res!AV295+P.Com!AN313+P.Pub!AN114)</f>
        <v>0</v>
      </c>
      <c r="AM9" s="14">
        <f>About!$B$41*(P.Res!AW295+P.Com!AO313+P.Pub!AO114)</f>
        <v>0</v>
      </c>
      <c r="AN9" s="14">
        <f>About!$B$41*(P.Res!AX295+P.Com!AP313+P.Pub!AP114)</f>
        <v>0</v>
      </c>
      <c r="AO9" s="14">
        <f>About!$B$41*(P.Res!AY295+P.Com!AQ313+P.Pub!AQ114)</f>
        <v>0</v>
      </c>
      <c r="AP9" s="14">
        <f>About!$B$41*(P.Res!AZ295+P.Com!AR313+P.Pub!AR114)</f>
        <v>0</v>
      </c>
      <c r="AQ9" s="14">
        <f>About!$B$41*(P.Res!BA295+P.Com!AS313+P.Pub!AS114)</f>
        <v>0</v>
      </c>
      <c r="AR9" s="14">
        <f>About!$B$41*(P.Res!BB295+P.Com!AT313+P.Pub!AT114)</f>
        <v>0</v>
      </c>
      <c r="AS9" s="14">
        <f>About!$B$41*(P.Res!BC295+P.Com!AU313+P.Pub!AU114)</f>
        <v>0</v>
      </c>
      <c r="AT9" s="14">
        <f>About!$B$41*(P.Res!BD295+P.Com!AV313+P.Pub!AV114)</f>
        <v>0</v>
      </c>
      <c r="AU9" s="14">
        <f>About!$B$41*(P.Res!BE295+P.Com!AW313+P.Pub!AW114)</f>
        <v>0</v>
      </c>
      <c r="AV9" s="14">
        <f>About!$B$41*(P.Res!BF295+P.Com!AX313+P.Pub!AX114)</f>
        <v>0</v>
      </c>
      <c r="AW9" s="14">
        <f>About!$B$41*(P.Res!BG295+P.Com!AY313+P.Pub!AY114)</f>
        <v>0</v>
      </c>
      <c r="AX9" s="14">
        <f>About!$B$41*(P.Res!BH295+P.Com!AZ313+P.Pub!AZ114)</f>
        <v>0</v>
      </c>
      <c r="AY9" s="14">
        <f>About!$B$41*(P.Res!BI295+P.Com!BA313+P.Pub!BA114)</f>
        <v>0</v>
      </c>
    </row>
    <row r="10" spans="1:51" x14ac:dyDescent="0.3">
      <c r="A10" s="1" t="s">
        <v>234</v>
      </c>
      <c r="B10" s="14">
        <f>About!$B$41*(P.Res!L296+P.Com!D314+P.Pub!D115)</f>
        <v>0</v>
      </c>
      <c r="C10" s="14">
        <f>About!$B$41*(P.Res!M296+P.Com!E314+P.Pub!E115)</f>
        <v>0</v>
      </c>
      <c r="D10" s="14">
        <f>About!$B$41*(P.Res!N296+P.Com!F314+P.Pub!F115)</f>
        <v>0</v>
      </c>
      <c r="E10" s="14">
        <f>About!$B$41*(P.Res!O296+P.Com!G314+P.Pub!G115)</f>
        <v>0</v>
      </c>
      <c r="F10" s="14">
        <f>About!$B$41*(P.Res!P296+P.Com!H314+P.Pub!H115)</f>
        <v>0</v>
      </c>
      <c r="G10" s="14">
        <f>About!$B$41*(P.Res!Q296+P.Com!I314+P.Pub!I115)</f>
        <v>0</v>
      </c>
      <c r="H10" s="14">
        <f>About!$B$41*(P.Res!R296+P.Com!J314+P.Pub!J115)</f>
        <v>0</v>
      </c>
      <c r="I10" s="14">
        <f>About!$B$41*(P.Res!S296+P.Com!K314+P.Pub!K115)</f>
        <v>0</v>
      </c>
      <c r="J10" s="14">
        <f>About!$B$41*(P.Res!T296+P.Com!L314+P.Pub!L115)</f>
        <v>0</v>
      </c>
      <c r="K10" s="14">
        <f>About!$B$41*(P.Res!U296+P.Com!M314+P.Pub!M115)</f>
        <v>0</v>
      </c>
      <c r="L10" s="14">
        <f>About!$B$41*(P.Res!V296+P.Com!N314+P.Pub!N115)</f>
        <v>0</v>
      </c>
      <c r="M10" s="14">
        <f>About!$B$41*(P.Res!W296+P.Com!O314+P.Pub!O115)</f>
        <v>0</v>
      </c>
      <c r="N10" s="14">
        <f>About!$B$41*(P.Res!X296+P.Com!P314+P.Pub!P115)</f>
        <v>0</v>
      </c>
      <c r="O10" s="14">
        <f>About!$B$41*(P.Res!Y296+P.Com!Q314+P.Pub!Q115)</f>
        <v>0</v>
      </c>
      <c r="P10" s="14">
        <f>About!$B$41*(P.Res!Z296+P.Com!R314+P.Pub!R115)</f>
        <v>0</v>
      </c>
      <c r="Q10" s="14">
        <f>About!$B$41*(P.Res!AA296+P.Com!S314+P.Pub!S115)</f>
        <v>0</v>
      </c>
      <c r="R10" s="14">
        <f>About!$B$41*(P.Res!AB296+P.Com!T314+P.Pub!T115)</f>
        <v>0</v>
      </c>
      <c r="S10" s="14">
        <f>About!$B$41*(P.Res!AC296+P.Com!U314+P.Pub!U115)</f>
        <v>0</v>
      </c>
      <c r="T10" s="14">
        <f>About!$B$41*(P.Res!AD296+P.Com!V314+P.Pub!V115)</f>
        <v>0</v>
      </c>
      <c r="U10" s="14">
        <f>About!$B$41*(P.Res!AE296+P.Com!W314+P.Pub!W115)</f>
        <v>0</v>
      </c>
      <c r="V10" s="14">
        <f>About!$B$41*(P.Res!AF296+P.Com!X314+P.Pub!X115)</f>
        <v>0</v>
      </c>
      <c r="W10" s="14">
        <f>About!$B$41*(P.Res!AG296+P.Com!Y314+P.Pub!Y115)</f>
        <v>0</v>
      </c>
      <c r="X10" s="14">
        <f>About!$B$41*(P.Res!AH296+P.Com!Z314+P.Pub!Z115)</f>
        <v>0</v>
      </c>
      <c r="Y10" s="14">
        <f>About!$B$41*(P.Res!AI296+P.Com!AA314+P.Pub!AA115)</f>
        <v>0</v>
      </c>
      <c r="Z10" s="14">
        <f>About!$B$41*(P.Res!AJ296+P.Com!AB314+P.Pub!AB115)</f>
        <v>0</v>
      </c>
      <c r="AA10" s="14">
        <f>About!$B$41*(P.Res!AK296+P.Com!AC314+P.Pub!AC115)</f>
        <v>0</v>
      </c>
      <c r="AB10" s="14">
        <f>About!$B$41*(P.Res!AL296+P.Com!AD314+P.Pub!AD115)</f>
        <v>0</v>
      </c>
      <c r="AC10" s="14">
        <f>About!$B$41*(P.Res!AM296+P.Com!AE314+P.Pub!AE115)</f>
        <v>0</v>
      </c>
      <c r="AD10" s="14">
        <f>About!$B$41*(P.Res!AN296+P.Com!AF314+P.Pub!AF115)</f>
        <v>0</v>
      </c>
      <c r="AE10" s="14">
        <f>About!$B$41*(P.Res!AO296+P.Com!AG314+P.Pub!AG115)</f>
        <v>0</v>
      </c>
      <c r="AF10" s="14">
        <f>About!$B$41*(P.Res!AP296+P.Com!AH314+P.Pub!AH115)</f>
        <v>0</v>
      </c>
      <c r="AG10" s="14">
        <f>About!$B$41*(P.Res!AQ296+P.Com!AI314+P.Pub!AI115)</f>
        <v>0</v>
      </c>
      <c r="AH10" s="14">
        <f>About!$B$41*(P.Res!AR296+P.Com!AJ314+P.Pub!AJ115)</f>
        <v>0</v>
      </c>
      <c r="AI10" s="14">
        <f>About!$B$41*(P.Res!AS296+P.Com!AK314+P.Pub!AK115)</f>
        <v>0</v>
      </c>
      <c r="AJ10" s="14">
        <f>About!$B$41*(P.Res!AT296+P.Com!AL314+P.Pub!AL115)</f>
        <v>0</v>
      </c>
      <c r="AK10" s="14">
        <f>About!$B$41*(P.Res!AU296+P.Com!AM314+P.Pub!AM115)</f>
        <v>0</v>
      </c>
      <c r="AL10" s="14">
        <f>About!$B$41*(P.Res!AV296+P.Com!AN314+P.Pub!AN115)</f>
        <v>0</v>
      </c>
      <c r="AM10" s="14">
        <f>About!$B$41*(P.Res!AW296+P.Com!AO314+P.Pub!AO115)</f>
        <v>0</v>
      </c>
      <c r="AN10" s="14">
        <f>About!$B$41*(P.Res!AX296+P.Com!AP314+P.Pub!AP115)</f>
        <v>0</v>
      </c>
      <c r="AO10" s="14">
        <f>About!$B$41*(P.Res!AY296+P.Com!AQ314+P.Pub!AQ115)</f>
        <v>0</v>
      </c>
      <c r="AP10" s="14">
        <f>About!$B$41*(P.Res!AZ296+P.Com!AR314+P.Pub!AR115)</f>
        <v>0</v>
      </c>
      <c r="AQ10" s="14">
        <f>About!$B$41*(P.Res!BA296+P.Com!AS314+P.Pub!AS115)</f>
        <v>0</v>
      </c>
      <c r="AR10" s="14">
        <f>About!$B$41*(P.Res!BB296+P.Com!AT314+P.Pub!AT115)</f>
        <v>0</v>
      </c>
      <c r="AS10" s="14">
        <f>About!$B$41*(P.Res!BC296+P.Com!AU314+P.Pub!AU115)</f>
        <v>0</v>
      </c>
      <c r="AT10" s="14">
        <f>About!$B$41*(P.Res!BD296+P.Com!AV314+P.Pub!AV115)</f>
        <v>0</v>
      </c>
      <c r="AU10" s="14">
        <f>About!$B$41*(P.Res!BE296+P.Com!AW314+P.Pub!AW115)</f>
        <v>0</v>
      </c>
      <c r="AV10" s="14">
        <f>About!$B$41*(P.Res!BF296+P.Com!AX314+P.Pub!AX115)</f>
        <v>0</v>
      </c>
      <c r="AW10" s="14">
        <f>About!$B$41*(P.Res!BG296+P.Com!AY314+P.Pub!AY115)</f>
        <v>0</v>
      </c>
      <c r="AX10" s="14">
        <f>About!$B$41*(P.Res!BH296+P.Com!AZ314+P.Pub!AZ115)</f>
        <v>0</v>
      </c>
      <c r="AY10" s="14">
        <f>About!$B$41*(P.Res!BI296+P.Com!BA314+P.Pub!BA115)</f>
        <v>0</v>
      </c>
    </row>
    <row r="11" spans="1:51" x14ac:dyDescent="0.3">
      <c r="A11" s="1" t="s">
        <v>235</v>
      </c>
      <c r="B11" s="14">
        <f>About!$B$41*(P.Res!L297+P.Com!D315+P.Pub!D116)</f>
        <v>0</v>
      </c>
      <c r="C11" s="14">
        <f>About!$B$41*(P.Res!M297+P.Com!E315+P.Pub!E116)</f>
        <v>0</v>
      </c>
      <c r="D11" s="14">
        <f>About!$B$41*(P.Res!N297+P.Com!F315+P.Pub!F116)</f>
        <v>0</v>
      </c>
      <c r="E11" s="14">
        <f>About!$B$41*(P.Res!O297+P.Com!G315+P.Pub!G116)</f>
        <v>0</v>
      </c>
      <c r="F11" s="14">
        <f>About!$B$41*(P.Res!P297+P.Com!H315+P.Pub!H116)</f>
        <v>0</v>
      </c>
      <c r="G11" s="14">
        <f>About!$B$41*(P.Res!Q297+P.Com!I315+P.Pub!I116)</f>
        <v>0</v>
      </c>
      <c r="H11" s="14">
        <f>About!$B$41*(P.Res!R297+P.Com!J315+P.Pub!J116)</f>
        <v>0</v>
      </c>
      <c r="I11" s="14">
        <f>About!$B$41*(P.Res!S297+P.Com!K315+P.Pub!K116)</f>
        <v>0</v>
      </c>
      <c r="J11" s="14">
        <f>About!$B$41*(P.Res!T297+P.Com!L315+P.Pub!L116)</f>
        <v>0</v>
      </c>
      <c r="K11" s="14">
        <f>About!$B$41*(P.Res!U297+P.Com!M315+P.Pub!M116)</f>
        <v>0</v>
      </c>
      <c r="L11" s="14">
        <f>About!$B$41*(P.Res!V297+P.Com!N315+P.Pub!N116)</f>
        <v>0</v>
      </c>
      <c r="M11" s="14">
        <f>About!$B$41*(P.Res!W297+P.Com!O315+P.Pub!O116)</f>
        <v>0</v>
      </c>
      <c r="N11" s="14">
        <f>About!$B$41*(P.Res!X297+P.Com!P315+P.Pub!P116)</f>
        <v>0</v>
      </c>
      <c r="O11" s="14">
        <f>About!$B$41*(P.Res!Y297+P.Com!Q315+P.Pub!Q116)</f>
        <v>0</v>
      </c>
      <c r="P11" s="14">
        <f>About!$B$41*(P.Res!Z297+P.Com!R315+P.Pub!R116)</f>
        <v>0</v>
      </c>
      <c r="Q11" s="14">
        <f>About!$B$41*(P.Res!AA297+P.Com!S315+P.Pub!S116)</f>
        <v>0</v>
      </c>
      <c r="R11" s="14">
        <f>About!$B$41*(P.Res!AB297+P.Com!T315+P.Pub!T116)</f>
        <v>0</v>
      </c>
      <c r="S11" s="14">
        <f>About!$B$41*(P.Res!AC297+P.Com!U315+P.Pub!U116)</f>
        <v>0</v>
      </c>
      <c r="T11" s="14">
        <f>About!$B$41*(P.Res!AD297+P.Com!V315+P.Pub!V116)</f>
        <v>0</v>
      </c>
      <c r="U11" s="14">
        <f>About!$B$41*(P.Res!AE297+P.Com!W315+P.Pub!W116)</f>
        <v>0</v>
      </c>
      <c r="V11" s="14">
        <f>About!$B$41*(P.Res!AF297+P.Com!X315+P.Pub!X116)</f>
        <v>0</v>
      </c>
      <c r="W11" s="14">
        <f>About!$B$41*(P.Res!AG297+P.Com!Y315+P.Pub!Y116)</f>
        <v>0</v>
      </c>
      <c r="X11" s="14">
        <f>About!$B$41*(P.Res!AH297+P.Com!Z315+P.Pub!Z116)</f>
        <v>0</v>
      </c>
      <c r="Y11" s="14">
        <f>About!$B$41*(P.Res!AI297+P.Com!AA315+P.Pub!AA116)</f>
        <v>0</v>
      </c>
      <c r="Z11" s="14">
        <f>About!$B$41*(P.Res!AJ297+P.Com!AB315+P.Pub!AB116)</f>
        <v>0</v>
      </c>
      <c r="AA11" s="14">
        <f>About!$B$41*(P.Res!AK297+P.Com!AC315+P.Pub!AC116)</f>
        <v>0</v>
      </c>
      <c r="AB11" s="14">
        <f>About!$B$41*(P.Res!AL297+P.Com!AD315+P.Pub!AD116)</f>
        <v>0</v>
      </c>
      <c r="AC11" s="14">
        <f>About!$B$41*(P.Res!AM297+P.Com!AE315+P.Pub!AE116)</f>
        <v>0</v>
      </c>
      <c r="AD11" s="14">
        <f>About!$B$41*(P.Res!AN297+P.Com!AF315+P.Pub!AF116)</f>
        <v>0</v>
      </c>
      <c r="AE11" s="14">
        <f>About!$B$41*(P.Res!AO297+P.Com!AG315+P.Pub!AG116)</f>
        <v>0</v>
      </c>
      <c r="AF11" s="14">
        <f>About!$B$41*(P.Res!AP297+P.Com!AH315+P.Pub!AH116)</f>
        <v>0</v>
      </c>
      <c r="AG11" s="14">
        <f>About!$B$41*(P.Res!AQ297+P.Com!AI315+P.Pub!AI116)</f>
        <v>0</v>
      </c>
      <c r="AH11" s="14">
        <f>About!$B$41*(P.Res!AR297+P.Com!AJ315+P.Pub!AJ116)</f>
        <v>0</v>
      </c>
      <c r="AI11" s="14">
        <f>About!$B$41*(P.Res!AS297+P.Com!AK315+P.Pub!AK116)</f>
        <v>0</v>
      </c>
      <c r="AJ11" s="14">
        <f>About!$B$41*(P.Res!AT297+P.Com!AL315+P.Pub!AL116)</f>
        <v>0</v>
      </c>
      <c r="AK11" s="14">
        <f>About!$B$41*(P.Res!AU297+P.Com!AM315+P.Pub!AM116)</f>
        <v>0</v>
      </c>
      <c r="AL11" s="14">
        <f>About!$B$41*(P.Res!AV297+P.Com!AN315+P.Pub!AN116)</f>
        <v>0</v>
      </c>
      <c r="AM11" s="14">
        <f>About!$B$41*(P.Res!AW297+P.Com!AO315+P.Pub!AO116)</f>
        <v>0</v>
      </c>
      <c r="AN11" s="14">
        <f>About!$B$41*(P.Res!AX297+P.Com!AP315+P.Pub!AP116)</f>
        <v>0</v>
      </c>
      <c r="AO11" s="14">
        <f>About!$B$41*(P.Res!AY297+P.Com!AQ315+P.Pub!AQ116)</f>
        <v>0</v>
      </c>
      <c r="AP11" s="14">
        <f>About!$B$41*(P.Res!AZ297+P.Com!AR315+P.Pub!AR116)</f>
        <v>0</v>
      </c>
      <c r="AQ11" s="14">
        <f>About!$B$41*(P.Res!BA297+P.Com!AS315+P.Pub!AS116)</f>
        <v>0</v>
      </c>
      <c r="AR11" s="14">
        <f>About!$B$41*(P.Res!BB297+P.Com!AT315+P.Pub!AT116)</f>
        <v>0</v>
      </c>
      <c r="AS11" s="14">
        <f>About!$B$41*(P.Res!BC297+P.Com!AU315+P.Pub!AU116)</f>
        <v>0</v>
      </c>
      <c r="AT11" s="14">
        <f>About!$B$41*(P.Res!BD297+P.Com!AV315+P.Pub!AV116)</f>
        <v>0</v>
      </c>
      <c r="AU11" s="14">
        <f>About!$B$41*(P.Res!BE297+P.Com!AW315+P.Pub!AW116)</f>
        <v>0</v>
      </c>
      <c r="AV11" s="14">
        <f>About!$B$41*(P.Res!BF297+P.Com!AX315+P.Pub!AX116)</f>
        <v>0</v>
      </c>
      <c r="AW11" s="14">
        <f>About!$B$41*(P.Res!BG297+P.Com!AY315+P.Pub!AY116)</f>
        <v>0</v>
      </c>
      <c r="AX11" s="14">
        <f>About!$B$41*(P.Res!BH297+P.Com!AZ315+P.Pub!AZ116)</f>
        <v>0</v>
      </c>
      <c r="AY11" s="14">
        <f>About!$B$41*(P.Res!BI297+P.Com!BA315+P.Pub!BA116)</f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45D59-5B6C-41C9-8EF7-82747D82B1EF}">
  <sheetPr>
    <tabColor theme="3"/>
  </sheetPr>
  <dimension ref="A1:I11"/>
  <sheetViews>
    <sheetView workbookViewId="0">
      <pane xSplit="1" ySplit="1" topLeftCell="B2" activePane="bottomRight" state="frozen"/>
      <selection activeCell="D2" sqref="D2"/>
      <selection pane="topRight" activeCell="D2" sqref="D2"/>
      <selection pane="bottomLeft" activeCell="D2" sqref="D2"/>
      <selection pane="bottomRight" activeCell="F14" sqref="F14"/>
    </sheetView>
  </sheetViews>
  <sheetFormatPr defaultColWidth="8.88671875" defaultRowHeight="14.4" x14ac:dyDescent="0.3"/>
  <cols>
    <col min="1" max="1" width="29.88671875" customWidth="1"/>
    <col min="2" max="7" width="23.88671875" customWidth="1"/>
  </cols>
  <sheetData>
    <row r="1" spans="1:9" x14ac:dyDescent="0.3">
      <c r="A1" s="1" t="s">
        <v>225</v>
      </c>
      <c r="B1" s="19" t="s">
        <v>236</v>
      </c>
      <c r="C1" s="19" t="s">
        <v>237</v>
      </c>
      <c r="D1" s="20" t="s">
        <v>238</v>
      </c>
      <c r="E1" s="19" t="s">
        <v>239</v>
      </c>
      <c r="F1" s="19" t="s">
        <v>173</v>
      </c>
      <c r="G1" s="19" t="s">
        <v>240</v>
      </c>
      <c r="H1" s="1"/>
      <c r="I1" s="1"/>
    </row>
    <row r="2" spans="1:9" x14ac:dyDescent="0.3">
      <c r="A2" s="1" t="s">
        <v>226</v>
      </c>
      <c r="B2">
        <f>About!$B$41*P.Res!K233</f>
        <v>0</v>
      </c>
      <c r="C2" s="14">
        <f>About!$B$41*(P.Res!K288)</f>
        <v>66334580248585.195</v>
      </c>
      <c r="D2" s="7">
        <v>0</v>
      </c>
      <c r="E2" s="14">
        <f>About!$B$41*P.Res!K255</f>
        <v>26905364800381.27</v>
      </c>
      <c r="F2" s="14">
        <f>About!$B$41*P.Res!K266</f>
        <v>153300297566324.19</v>
      </c>
      <c r="G2" s="14">
        <f>About!$B$41*P.Res!K277</f>
        <v>0</v>
      </c>
      <c r="I2" s="3"/>
    </row>
    <row r="3" spans="1:9" x14ac:dyDescent="0.3">
      <c r="A3" s="1" t="s">
        <v>227</v>
      </c>
      <c r="B3" s="14">
        <f>About!$B$41*P.Res!K234</f>
        <v>0</v>
      </c>
      <c r="C3" s="14">
        <f>About!$B$41*(P.Res!K289)</f>
        <v>0</v>
      </c>
      <c r="D3" s="7">
        <v>0</v>
      </c>
      <c r="E3" s="14">
        <f>About!$B$41*P.Res!K256</f>
        <v>0</v>
      </c>
      <c r="F3" s="14">
        <f>About!$B$41*P.Res!K267</f>
        <v>0</v>
      </c>
      <c r="G3" s="14">
        <f>About!$B$41*P.Res!K278</f>
        <v>0</v>
      </c>
    </row>
    <row r="4" spans="1:9" x14ac:dyDescent="0.3">
      <c r="A4" s="1" t="s">
        <v>228</v>
      </c>
      <c r="B4" s="14">
        <f>About!$B$41*P.Res!K235</f>
        <v>18431378622554.434</v>
      </c>
      <c r="C4" s="14">
        <f>About!$B$41*(P.Res!K290)</f>
        <v>0</v>
      </c>
      <c r="D4" s="7">
        <v>0</v>
      </c>
      <c r="E4" s="14">
        <f>About!$B$41*P.Res!K257</f>
        <v>0</v>
      </c>
      <c r="F4" s="14">
        <f>About!$B$41*P.Res!K268</f>
        <v>0</v>
      </c>
      <c r="G4" s="14">
        <f>About!$B$41*P.Res!K279</f>
        <v>6165773610689.6709</v>
      </c>
    </row>
    <row r="5" spans="1:9" x14ac:dyDescent="0.3">
      <c r="A5" s="1" t="s">
        <v>229</v>
      </c>
      <c r="B5" s="14">
        <f>About!$B$41*P.Res!K236</f>
        <v>0</v>
      </c>
      <c r="C5" s="14">
        <f>About!$B$41*(P.Res!K291)</f>
        <v>0</v>
      </c>
      <c r="D5" s="7">
        <v>0</v>
      </c>
      <c r="E5" s="14">
        <f>About!$B$41*P.Res!K258</f>
        <v>0</v>
      </c>
      <c r="F5" s="14">
        <f>About!$B$41*P.Res!K269</f>
        <v>0</v>
      </c>
      <c r="G5" s="14">
        <f>About!$B$41*P.Res!K280</f>
        <v>0</v>
      </c>
    </row>
    <row r="6" spans="1:9" x14ac:dyDescent="0.3">
      <c r="A6" s="1" t="s">
        <v>230</v>
      </c>
      <c r="B6" s="14">
        <f>About!$B$41*P.Res!K237</f>
        <v>0</v>
      </c>
      <c r="C6" s="14">
        <f>About!$B$41*(P.Res!K292)</f>
        <v>0</v>
      </c>
      <c r="D6" s="7">
        <v>0</v>
      </c>
      <c r="E6" s="14">
        <f>About!$B$41*P.Res!K259</f>
        <v>0</v>
      </c>
      <c r="F6" s="14">
        <f>About!$B$41*P.Res!K270</f>
        <v>0</v>
      </c>
      <c r="G6" s="14">
        <f>About!$B$41*P.Res!K281</f>
        <v>8540282914124.4463</v>
      </c>
    </row>
    <row r="7" spans="1:9" x14ac:dyDescent="0.3">
      <c r="A7" s="1" t="s">
        <v>231</v>
      </c>
      <c r="B7" s="14">
        <f>About!$B$41*P.Res!K238</f>
        <v>295832505205400.63</v>
      </c>
      <c r="C7" s="14">
        <f>About!$B$41*(P.Res!K293)</f>
        <v>0</v>
      </c>
      <c r="D7" s="7">
        <v>0</v>
      </c>
      <c r="E7" s="14">
        <f>About!$B$41*P.Res!K260</f>
        <v>0</v>
      </c>
      <c r="F7" s="14">
        <f>About!$B$41*P.Res!K271</f>
        <v>0</v>
      </c>
      <c r="G7" s="14">
        <f>About!$B$41*P.Res!K282</f>
        <v>98963636477393.25</v>
      </c>
    </row>
    <row r="8" spans="1:9" x14ac:dyDescent="0.3">
      <c r="A8" s="1" t="s">
        <v>232</v>
      </c>
      <c r="B8" s="14">
        <f>About!$B$41*P.Res!K239</f>
        <v>0</v>
      </c>
      <c r="C8" s="14">
        <f>About!$B$41*(P.Res!K294)</f>
        <v>0</v>
      </c>
      <c r="D8" s="7">
        <v>0</v>
      </c>
      <c r="E8" s="14">
        <f>About!$B$41*P.Res!K261</f>
        <v>0</v>
      </c>
      <c r="F8" s="14">
        <f>About!$B$41*P.Res!K272</f>
        <v>0</v>
      </c>
      <c r="G8" s="14">
        <f>About!$B$41*P.Res!K283</f>
        <v>0</v>
      </c>
    </row>
    <row r="9" spans="1:9" x14ac:dyDescent="0.3">
      <c r="A9" s="1" t="s">
        <v>233</v>
      </c>
      <c r="B9" s="14">
        <f>About!$B$41*P.Res!K240</f>
        <v>0</v>
      </c>
      <c r="C9" s="14">
        <f>About!$B$41*(P.Res!K295)</f>
        <v>0</v>
      </c>
      <c r="D9" s="7">
        <v>0</v>
      </c>
      <c r="E9" s="14">
        <f>About!$B$41*P.Res!K262</f>
        <v>0</v>
      </c>
      <c r="F9" s="14">
        <f>About!$B$41*P.Res!K273</f>
        <v>0</v>
      </c>
      <c r="G9" s="14">
        <f>About!$B$41*P.Res!K284</f>
        <v>0</v>
      </c>
    </row>
    <row r="10" spans="1:9" x14ac:dyDescent="0.3">
      <c r="A10" s="1" t="s">
        <v>241</v>
      </c>
      <c r="B10" s="14">
        <f>About!$B$41*P.Res!K241</f>
        <v>205650148993233.56</v>
      </c>
      <c r="C10" s="14">
        <f>About!$B$41*(P.Res!K296)</f>
        <v>0</v>
      </c>
      <c r="D10" s="7">
        <v>0</v>
      </c>
      <c r="E10" s="14">
        <f>About!$B$41*P.Res!K263</f>
        <v>0</v>
      </c>
      <c r="F10" s="14">
        <f>About!$B$41*P.Res!K274</f>
        <v>0</v>
      </c>
      <c r="G10" s="14">
        <f>About!$B$41*P.Res!K285</f>
        <v>68795302167209.531</v>
      </c>
    </row>
    <row r="11" spans="1:9" x14ac:dyDescent="0.3">
      <c r="A11" s="1" t="s">
        <v>235</v>
      </c>
      <c r="B11" s="14">
        <f>About!$B$41*P.Res!K242</f>
        <v>0</v>
      </c>
      <c r="C11" s="14">
        <f>About!$B$41*(P.Res!K297)</f>
        <v>0</v>
      </c>
      <c r="D11" s="7">
        <v>0</v>
      </c>
      <c r="E11" s="14">
        <f>About!$B$41*P.Res!K264</f>
        <v>0</v>
      </c>
      <c r="F11" s="14">
        <f>About!$B$41*P.Res!K275</f>
        <v>0</v>
      </c>
      <c r="G11" s="14">
        <f>About!$B$41*P.Res!K286</f>
        <v>0</v>
      </c>
    </row>
  </sheetData>
  <pageMargins left="0.7" right="0.7" top="0.75" bottom="0.75" header="0.3" footer="0.3"/>
  <pageSetup orientation="portrait" horizontalDpi="1200" verticalDpi="12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AEBFF5-2764-4F4F-B4D9-F61731E7F412}">
  <sheetPr>
    <tabColor theme="3"/>
  </sheetPr>
  <dimension ref="A1:I11"/>
  <sheetViews>
    <sheetView workbookViewId="0">
      <pane xSplit="1" ySplit="1" topLeftCell="B2" activePane="bottomRight" state="frozen"/>
      <selection activeCell="D2" sqref="D2"/>
      <selection pane="topRight" activeCell="D2" sqref="D2"/>
      <selection pane="bottomLeft" activeCell="D2" sqref="D2"/>
      <selection pane="bottomRight" activeCell="E14" sqref="E14"/>
    </sheetView>
  </sheetViews>
  <sheetFormatPr defaultColWidth="8.88671875" defaultRowHeight="14.4" x14ac:dyDescent="0.3"/>
  <cols>
    <col min="1" max="1" width="29.88671875" customWidth="1"/>
    <col min="2" max="7" width="23.88671875" customWidth="1"/>
  </cols>
  <sheetData>
    <row r="1" spans="1:9" x14ac:dyDescent="0.3">
      <c r="A1" s="1" t="s">
        <v>225</v>
      </c>
      <c r="B1" s="19" t="s">
        <v>236</v>
      </c>
      <c r="C1" s="19" t="s">
        <v>237</v>
      </c>
      <c r="D1" s="20" t="s">
        <v>238</v>
      </c>
      <c r="E1" s="19" t="s">
        <v>239</v>
      </c>
      <c r="F1" s="19" t="s">
        <v>173</v>
      </c>
      <c r="G1" s="19" t="s">
        <v>240</v>
      </c>
      <c r="H1" s="1"/>
      <c r="I1" s="1"/>
    </row>
    <row r="2" spans="1:9" x14ac:dyDescent="0.3">
      <c r="A2" s="1" t="s">
        <v>226</v>
      </c>
      <c r="B2" s="14">
        <f>About!$B$41*P.Pub!K52</f>
        <v>0</v>
      </c>
      <c r="C2" s="14">
        <f>About!$B$41*(P.Pub!E107)</f>
        <v>0</v>
      </c>
      <c r="D2" s="7">
        <v>0</v>
      </c>
      <c r="E2" s="14">
        <f>About!$B$41*P.Pub!K74</f>
        <v>5440757372594.2646</v>
      </c>
      <c r="F2" s="14">
        <f>About!$B$41*P.Pub!K85</f>
        <v>0</v>
      </c>
      <c r="G2" s="14">
        <f>About!$B$41*P.Pub!K96</f>
        <v>17042651142725.59</v>
      </c>
      <c r="I2" s="3"/>
    </row>
    <row r="3" spans="1:9" x14ac:dyDescent="0.3">
      <c r="A3" s="1" t="s">
        <v>227</v>
      </c>
      <c r="B3" s="14">
        <f>About!$B$41*P.Pub!K53</f>
        <v>0</v>
      </c>
      <c r="C3" s="14">
        <f>About!$B$41*(P.Pub!E108)</f>
        <v>0</v>
      </c>
      <c r="D3" s="7">
        <v>0</v>
      </c>
      <c r="E3" s="14">
        <f>About!$B$41*P.Pub!K75</f>
        <v>0</v>
      </c>
      <c r="F3" s="14">
        <f>About!$B$41*P.Pub!K86</f>
        <v>0</v>
      </c>
      <c r="G3" s="14">
        <f>About!$B$41*P.Pub!K97</f>
        <v>0</v>
      </c>
    </row>
    <row r="4" spans="1:9" x14ac:dyDescent="0.3">
      <c r="A4" s="1" t="s">
        <v>228</v>
      </c>
      <c r="B4" s="14">
        <f>About!$B$41*P.Pub!K54</f>
        <v>0</v>
      </c>
      <c r="C4" s="14">
        <f>About!$B$41*(P.Pub!E109)</f>
        <v>0</v>
      </c>
      <c r="D4" s="7">
        <v>0</v>
      </c>
      <c r="E4" s="14">
        <f>About!$B$41*P.Pub!K76</f>
        <v>0</v>
      </c>
      <c r="F4" s="14">
        <f>About!$B$41*P.Pub!K87</f>
        <v>0</v>
      </c>
      <c r="G4" s="14">
        <f>About!$B$41*P.Pub!K98</f>
        <v>0</v>
      </c>
    </row>
    <row r="5" spans="1:9" x14ac:dyDescent="0.3">
      <c r="A5" s="1" t="s">
        <v>229</v>
      </c>
      <c r="B5" s="14">
        <f>About!$B$41*P.Pub!K55</f>
        <v>0</v>
      </c>
      <c r="C5" s="14">
        <f>About!$B$41*(P.Pub!E110)</f>
        <v>0</v>
      </c>
      <c r="D5" s="7">
        <v>0</v>
      </c>
      <c r="E5" s="14">
        <f>About!$B$41*P.Pub!K77</f>
        <v>0</v>
      </c>
      <c r="F5" s="14">
        <f>About!$B$41*P.Pub!K88</f>
        <v>0</v>
      </c>
      <c r="G5" s="14">
        <f>About!$B$41*P.Pub!K99</f>
        <v>0</v>
      </c>
    </row>
    <row r="6" spans="1:9" x14ac:dyDescent="0.3">
      <c r="A6" s="1" t="s">
        <v>230</v>
      </c>
      <c r="B6" s="14">
        <f>About!$B$41*P.Pub!K56</f>
        <v>0</v>
      </c>
      <c r="C6" s="14">
        <f>About!$B$41*(P.Pub!E111)</f>
        <v>0</v>
      </c>
      <c r="D6" s="7">
        <v>0</v>
      </c>
      <c r="E6" s="14">
        <f>About!$B$41*P.Pub!K78</f>
        <v>0</v>
      </c>
      <c r="F6" s="14">
        <f>About!$B$41*P.Pub!K89</f>
        <v>0</v>
      </c>
      <c r="G6" s="14">
        <f>About!$B$41*P.Pub!K100</f>
        <v>0</v>
      </c>
    </row>
    <row r="7" spans="1:9" x14ac:dyDescent="0.3">
      <c r="A7" s="1" t="s">
        <v>231</v>
      </c>
      <c r="B7" s="14">
        <f>About!$B$41*P.Pub!K57</f>
        <v>0</v>
      </c>
      <c r="C7" s="14">
        <f>About!$B$41*(P.Pub!E112)</f>
        <v>0</v>
      </c>
      <c r="D7" s="7">
        <v>0</v>
      </c>
      <c r="E7" s="14">
        <f>About!$B$41*P.Pub!K79</f>
        <v>0</v>
      </c>
      <c r="F7" s="14">
        <f>About!$B$41*P.Pub!K90</f>
        <v>0</v>
      </c>
      <c r="G7" s="14">
        <f>About!$B$41*P.Pub!K101</f>
        <v>0</v>
      </c>
    </row>
    <row r="8" spans="1:9" x14ac:dyDescent="0.3">
      <c r="A8" s="1" t="s">
        <v>232</v>
      </c>
      <c r="B8" s="14">
        <f>About!$B$41*P.Pub!K58</f>
        <v>0</v>
      </c>
      <c r="C8" s="14">
        <f>About!$B$41*(P.Pub!E113)</f>
        <v>0</v>
      </c>
      <c r="D8" s="7">
        <v>0</v>
      </c>
      <c r="E8" s="14">
        <f>About!$B$41*P.Pub!K80</f>
        <v>0</v>
      </c>
      <c r="F8" s="14">
        <f>About!$B$41*P.Pub!K91</f>
        <v>0</v>
      </c>
      <c r="G8" s="14">
        <f>About!$B$41*P.Pub!K102</f>
        <v>0</v>
      </c>
    </row>
    <row r="9" spans="1:9" x14ac:dyDescent="0.3">
      <c r="A9" s="1" t="s">
        <v>233</v>
      </c>
      <c r="B9" s="14">
        <f>About!$B$41*P.Pub!K59</f>
        <v>0</v>
      </c>
      <c r="C9" s="14">
        <f>About!$B$41*(P.Pub!E114)</f>
        <v>0</v>
      </c>
      <c r="D9" s="7">
        <v>0</v>
      </c>
      <c r="E9" s="14">
        <f>About!$B$41*P.Pub!K81</f>
        <v>0</v>
      </c>
      <c r="F9" s="14">
        <f>About!$B$41*P.Pub!K92</f>
        <v>0</v>
      </c>
      <c r="G9" s="14">
        <f>About!$B$41*P.Pub!K103</f>
        <v>0</v>
      </c>
    </row>
    <row r="10" spans="1:9" x14ac:dyDescent="0.3">
      <c r="A10" s="1" t="s">
        <v>234</v>
      </c>
      <c r="B10" s="14">
        <f>About!$B$41*P.Pub!K60</f>
        <v>0</v>
      </c>
      <c r="C10" s="14">
        <f>About!$B$41*(P.Pub!E115)</f>
        <v>0</v>
      </c>
      <c r="D10" s="7">
        <v>0</v>
      </c>
      <c r="E10" s="14">
        <f>About!$B$41*P.Pub!K82</f>
        <v>0</v>
      </c>
      <c r="F10" s="14">
        <f>About!$B$41*P.Pub!K93</f>
        <v>0</v>
      </c>
      <c r="G10" s="14">
        <f>About!$B$41*P.Pub!K104</f>
        <v>0</v>
      </c>
    </row>
    <row r="11" spans="1:9" x14ac:dyDescent="0.3">
      <c r="A11" s="1" t="s">
        <v>235</v>
      </c>
      <c r="B11" s="14">
        <f>About!$B$41*P.Pub!K61</f>
        <v>0</v>
      </c>
      <c r="C11" s="14">
        <f>About!$B$41*(P.Pub!E116)</f>
        <v>0</v>
      </c>
      <c r="D11" s="7">
        <v>0</v>
      </c>
      <c r="E11" s="14">
        <f>About!$B$41*P.Pub!K83</f>
        <v>0</v>
      </c>
      <c r="F11" s="14">
        <f>About!$B$41*P.Pub!K94</f>
        <v>0</v>
      </c>
      <c r="G11" s="14">
        <f>About!$B$41*P.Pub!K105</f>
        <v>0</v>
      </c>
    </row>
  </sheetData>
  <pageMargins left="0.7" right="0.7" top="0.75" bottom="0.75" header="0.3" footer="0.3"/>
  <pageSetup orientation="portrait" horizontalDpi="1200" verticalDpi="12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7555B-8BBB-4C1D-9C3E-E3BE673CB3DA}">
  <sheetPr>
    <tabColor theme="3"/>
  </sheetPr>
  <dimension ref="A1:I11"/>
  <sheetViews>
    <sheetView workbookViewId="0">
      <pane xSplit="1" ySplit="1" topLeftCell="B2" activePane="bottomRight" state="frozen"/>
      <selection activeCell="D2" sqref="D2"/>
      <selection pane="topRight" activeCell="D2" sqref="D2"/>
      <selection pane="bottomLeft" activeCell="D2" sqref="D2"/>
      <selection pane="bottomRight" activeCell="F19" sqref="F19"/>
    </sheetView>
  </sheetViews>
  <sheetFormatPr defaultColWidth="8.88671875" defaultRowHeight="14.4" x14ac:dyDescent="0.3"/>
  <cols>
    <col min="1" max="1" width="29.88671875" customWidth="1"/>
    <col min="2" max="7" width="23.88671875" customWidth="1"/>
  </cols>
  <sheetData>
    <row r="1" spans="1:9" x14ac:dyDescent="0.3">
      <c r="A1" s="1" t="s">
        <v>225</v>
      </c>
      <c r="B1" s="19" t="s">
        <v>236</v>
      </c>
      <c r="C1" s="19" t="s">
        <v>237</v>
      </c>
      <c r="D1" s="20" t="s">
        <v>238</v>
      </c>
      <c r="E1" s="19" t="s">
        <v>239</v>
      </c>
      <c r="F1" s="19" t="s">
        <v>173</v>
      </c>
      <c r="G1" s="19" t="s">
        <v>240</v>
      </c>
      <c r="H1" s="1"/>
      <c r="I1" s="1"/>
    </row>
    <row r="2" spans="1:9" x14ac:dyDescent="0.3">
      <c r="A2" s="1" t="s">
        <v>226</v>
      </c>
      <c r="B2" s="14">
        <f>About!$B$41*P.Com!K251</f>
        <v>271393512709.30023</v>
      </c>
      <c r="C2" s="14">
        <f>About!$B$41*(P.Com!K306)</f>
        <v>33104651613902.148</v>
      </c>
      <c r="D2" s="7">
        <v>0</v>
      </c>
      <c r="E2" s="14">
        <f>About!$B$41*P.Com!K273</f>
        <v>20092957979249.094</v>
      </c>
      <c r="F2" s="14">
        <f>About!$B$41*P.Com!K284</f>
        <v>8868933260308.8262</v>
      </c>
      <c r="G2" s="14">
        <f>About!$B$41*P.Com!K295</f>
        <v>31721319667.320805</v>
      </c>
      <c r="I2" s="3"/>
    </row>
    <row r="3" spans="1:9" x14ac:dyDescent="0.3">
      <c r="A3" s="1" t="s">
        <v>227</v>
      </c>
      <c r="B3" s="14">
        <f>About!$B$41*P.Com!K252</f>
        <v>0</v>
      </c>
      <c r="C3" s="14">
        <f>About!$B$41*(P.Com!E307)</f>
        <v>0</v>
      </c>
      <c r="D3" s="7">
        <v>0</v>
      </c>
      <c r="E3" s="14">
        <f>About!$B$41*P.Com!K274</f>
        <v>0</v>
      </c>
      <c r="F3" s="14">
        <f>About!$B$41*P.Com!K285</f>
        <v>0</v>
      </c>
      <c r="G3" s="14">
        <f>About!$B$41*P.Com!K296</f>
        <v>0</v>
      </c>
    </row>
    <row r="4" spans="1:9" x14ac:dyDescent="0.3">
      <c r="A4" s="1" t="s">
        <v>228</v>
      </c>
      <c r="B4" s="14">
        <f>About!$B$41*P.Com!K253</f>
        <v>5763032199542.3574</v>
      </c>
      <c r="C4" s="14">
        <f>About!$B$41*(P.Com!E308)</f>
        <v>0</v>
      </c>
      <c r="D4" s="7">
        <v>0</v>
      </c>
      <c r="E4" s="14">
        <f>About!$B$41*P.Com!K275</f>
        <v>0</v>
      </c>
      <c r="F4" s="14">
        <f>About!$B$41*P.Com!K286</f>
        <v>0</v>
      </c>
      <c r="G4" s="14">
        <f>About!$B$41*P.Com!K297</f>
        <v>3241705612242.5762</v>
      </c>
    </row>
    <row r="5" spans="1:9" x14ac:dyDescent="0.3">
      <c r="A5" s="1" t="s">
        <v>229</v>
      </c>
      <c r="B5" s="14">
        <f>About!$B$41*P.Com!K254</f>
        <v>0</v>
      </c>
      <c r="C5" s="14">
        <f>About!$B$41*(P.Com!E309)</f>
        <v>0</v>
      </c>
      <c r="D5" s="7">
        <v>0</v>
      </c>
      <c r="E5" s="14">
        <f>About!$B$41*P.Com!K276</f>
        <v>0</v>
      </c>
      <c r="F5" s="14">
        <f>About!$B$41*P.Com!K287</f>
        <v>0</v>
      </c>
      <c r="G5" s="14">
        <f>About!$B$41*P.Com!K298</f>
        <v>0</v>
      </c>
    </row>
    <row r="6" spans="1:9" x14ac:dyDescent="0.3">
      <c r="A6" s="1" t="s">
        <v>230</v>
      </c>
      <c r="B6" s="14">
        <f>About!$B$41*P.Com!K255</f>
        <v>0</v>
      </c>
      <c r="C6" s="14">
        <f>About!$B$41*(P.Com!E310)</f>
        <v>0</v>
      </c>
      <c r="D6" s="7">
        <v>0</v>
      </c>
      <c r="E6" s="14">
        <f>About!$B$41*P.Com!K277</f>
        <v>0</v>
      </c>
      <c r="F6" s="14">
        <f>About!$B$41*P.Com!K288</f>
        <v>0</v>
      </c>
      <c r="G6" s="14">
        <f>About!$B$41*P.Com!K299</f>
        <v>5649288142972.4424</v>
      </c>
    </row>
    <row r="7" spans="1:9" x14ac:dyDescent="0.3">
      <c r="A7" s="1" t="s">
        <v>231</v>
      </c>
      <c r="B7" s="14">
        <f>About!$B$41*P.Com!K256</f>
        <v>11706159155320.414</v>
      </c>
      <c r="C7" s="14">
        <f>About!$B$41*(P.Com!E311)</f>
        <v>0</v>
      </c>
      <c r="D7" s="7">
        <v>0</v>
      </c>
      <c r="E7" s="14">
        <f>About!$B$41*P.Com!K278</f>
        <v>0</v>
      </c>
      <c r="F7" s="14">
        <f>About!$B$41*P.Com!K289</f>
        <v>0</v>
      </c>
      <c r="G7" s="14">
        <f>About!$B$41*P.Com!K300</f>
        <v>6587676609674.2393</v>
      </c>
    </row>
    <row r="8" spans="1:9" x14ac:dyDescent="0.3">
      <c r="A8" s="1" t="s">
        <v>232</v>
      </c>
      <c r="B8" s="14">
        <f>About!$B$41*P.Com!K257</f>
        <v>0</v>
      </c>
      <c r="C8" s="14">
        <f>About!$B$41*(P.Com!E312)</f>
        <v>0</v>
      </c>
      <c r="D8" s="7">
        <v>0</v>
      </c>
      <c r="E8" s="14">
        <f>About!$B$41*P.Com!K279</f>
        <v>0</v>
      </c>
      <c r="F8" s="14">
        <f>About!$B$41*P.Com!K290</f>
        <v>0</v>
      </c>
      <c r="G8" s="14">
        <f>About!$B$41*P.Com!K301</f>
        <v>0</v>
      </c>
    </row>
    <row r="9" spans="1:9" x14ac:dyDescent="0.3">
      <c r="A9" s="1" t="s">
        <v>233</v>
      </c>
      <c r="B9" s="14">
        <f>About!$B$41*P.Com!K258</f>
        <v>0</v>
      </c>
      <c r="C9" s="14">
        <f>About!$B$41*(P.Com!E313)</f>
        <v>0</v>
      </c>
      <c r="D9" s="7">
        <v>0</v>
      </c>
      <c r="E9" s="14">
        <f>About!$B$41*P.Com!K280</f>
        <v>0</v>
      </c>
      <c r="F9" s="14">
        <f>About!$B$41*P.Com!K291</f>
        <v>0</v>
      </c>
      <c r="G9" s="14">
        <f>About!$B$41*P.Com!K302</f>
        <v>0</v>
      </c>
    </row>
    <row r="10" spans="1:9" x14ac:dyDescent="0.3">
      <c r="A10" s="1" t="s">
        <v>234</v>
      </c>
      <c r="B10" s="14">
        <f>About!$B$41*P.Com!K259</f>
        <v>42229270577432.078</v>
      </c>
      <c r="C10" s="14">
        <f>About!$B$41*(P.Com!E314)</f>
        <v>0</v>
      </c>
      <c r="D10" s="7">
        <v>0</v>
      </c>
      <c r="E10" s="14">
        <f>About!$B$41*P.Com!K281</f>
        <v>0</v>
      </c>
      <c r="F10" s="14">
        <f>About!$B$41*P.Com!K292</f>
        <v>11078874351701.111</v>
      </c>
      <c r="G10" s="14">
        <f>About!$B$41*P.Com!K303</f>
        <v>18919330992762.805</v>
      </c>
    </row>
    <row r="11" spans="1:9" x14ac:dyDescent="0.3">
      <c r="A11" s="1" t="s">
        <v>235</v>
      </c>
      <c r="B11" s="14">
        <f>About!$B$41*P.Com!K260</f>
        <v>0</v>
      </c>
      <c r="C11" s="14">
        <f>About!$B$41*(P.Com!E315)</f>
        <v>0</v>
      </c>
      <c r="D11" s="7">
        <v>0</v>
      </c>
      <c r="E11" s="14">
        <f>About!$B$41*P.Com!K282</f>
        <v>0</v>
      </c>
      <c r="F11" s="14">
        <f>About!$B$41*P.Com!K293</f>
        <v>0</v>
      </c>
      <c r="G11" s="14">
        <f>About!$B$41*P.Com!K304</f>
        <v>0</v>
      </c>
    </row>
  </sheetData>
  <pageMargins left="0.7" right="0.7" top="0.75" bottom="0.75" header="0.3" footer="0.3"/>
  <pageSetup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A9DAB439B36DB4795F39C4E722C7BC4" ma:contentTypeVersion="4" ma:contentTypeDescription="Create a new document." ma:contentTypeScope="" ma:versionID="44674c89fa9bc5e97a878a6680c46188">
  <xsd:schema xmlns:xsd="http://www.w3.org/2001/XMLSchema" xmlns:xs="http://www.w3.org/2001/XMLSchema" xmlns:p="http://schemas.microsoft.com/office/2006/metadata/properties" xmlns:ns2="79748b23-d81a-423e-9112-21109dc864e6" targetNamespace="http://schemas.microsoft.com/office/2006/metadata/properties" ma:root="true" ma:fieldsID="447839a363ea5a12024b5bf1ab53ed90" ns2:_="">
    <xsd:import namespace="79748b23-d81a-423e-9112-21109dc864e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748b23-d81a-423e-9112-21109dc864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4DB74B0-4B9C-4DFC-A22C-7F851C2A377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91B1882-6760-4E65-BB4A-2D5EFD71190C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FD180276-46DA-48D3-BC9C-CC7752D6A26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9748b23-d81a-423e-9112-21109dc864e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About</vt:lpstr>
      <vt:lpstr>Cuadro A.11</vt:lpstr>
      <vt:lpstr>Cuadro A.15</vt:lpstr>
      <vt:lpstr>CyS</vt:lpstr>
      <vt:lpstr>Res</vt:lpstr>
      <vt:lpstr>Pub</vt:lpstr>
      <vt:lpstr>Pob</vt:lpstr>
      <vt:lpstr>Viv</vt:lpstr>
      <vt:lpstr>Pob&amp;Viv</vt:lpstr>
      <vt:lpstr>P.Res</vt:lpstr>
      <vt:lpstr>P.Com</vt:lpstr>
      <vt:lpstr>P.Pub</vt:lpstr>
      <vt:lpstr>BCEU-all-envelope</vt:lpstr>
      <vt:lpstr>SYCEU-urban-residential</vt:lpstr>
      <vt:lpstr>SYCEU-rural-residential</vt:lpstr>
      <vt:lpstr>SYCEU-commercial</vt:lpstr>
    </vt:vector>
  </TitlesOfParts>
  <Manager/>
  <Company>EnergyInnovation.org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Jeffrey Rissman</dc:creator>
  <cp:keywords/>
  <dc:description/>
  <cp:lastModifiedBy>Rachel Goldstein</cp:lastModifiedBy>
  <cp:revision/>
  <dcterms:created xsi:type="dcterms:W3CDTF">2014-04-18T00:48:59Z</dcterms:created>
  <dcterms:modified xsi:type="dcterms:W3CDTF">2026-01-06T01:32:40Z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0x0101009A9DAB439B36DB4795F39C4E722C7BC4</vt:lpwstr>
  </property>
</Properties>
</file>