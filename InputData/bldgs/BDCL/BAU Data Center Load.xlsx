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Rachel Goldstein\Desktop\EPS Models\Mexico EPS\InputData\bldgs\BDCL\"/>
    </mc:Choice>
  </mc:AlternateContent>
  <xr:revisionPtr revIDLastSave="0" documentId="13_ncr:1_{76942B74-5296-4049-B53E-9E0262109599}" xr6:coauthVersionLast="47" xr6:coauthVersionMax="47" xr10:uidLastSave="{00000000-0000-0000-0000-000000000000}"/>
  <bookViews>
    <workbookView xWindow="30315" yWindow="765" windowWidth="26265" windowHeight="14355" firstSheet="2" activeTab="7" xr2:uid="{00000000-000D-0000-FFFF-FFFF00000000}"/>
  </bookViews>
  <sheets>
    <sheet name="About" sheetId="1" r:id="rId1"/>
    <sheet name="AEO 2025 Table 5" sheetId="3" r:id="rId2"/>
    <sheet name="AEO 2023 Table 5" sheetId="4" r:id="rId3"/>
    <sheet name="Compare AEO Projections" sheetId="5" r:id="rId4"/>
    <sheet name="Rhodium Group Projections" sheetId="8" r:id="rId5"/>
    <sheet name="BDCL-low" sheetId="6" r:id="rId6"/>
    <sheet name="BDCL-mid" sheetId="2" r:id="rId7"/>
    <sheet name="BDCL-high"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8" l="1"/>
  <c r="Q4" i="8"/>
  <c r="R6" i="8"/>
  <c r="S6" i="8" s="1"/>
  <c r="T6" i="8" s="1"/>
  <c r="U6" i="8" s="1"/>
  <c r="V6" i="8" s="1"/>
  <c r="W6" i="8" s="1"/>
  <c r="X6" i="8" s="1"/>
  <c r="Y6" i="8" s="1"/>
  <c r="Z6" i="8" s="1"/>
  <c r="AA6" i="8" s="1"/>
  <c r="AB6" i="8" s="1"/>
  <c r="AC6" i="8" s="1"/>
  <c r="AD6" i="8" s="1"/>
  <c r="AE6" i="8" s="1"/>
  <c r="R5" i="8"/>
  <c r="S5" i="8" s="1"/>
  <c r="T5" i="8" s="1"/>
  <c r="U5" i="8" s="1"/>
  <c r="V5" i="8" s="1"/>
  <c r="W5" i="8" s="1"/>
  <c r="X5" i="8" s="1"/>
  <c r="Y5" i="8" s="1"/>
  <c r="Z5" i="8" s="1"/>
  <c r="AA5" i="8" s="1"/>
  <c r="AB5" i="8" s="1"/>
  <c r="AC5" i="8" s="1"/>
  <c r="AD5" i="8" s="1"/>
  <c r="AE5" i="8" s="1"/>
  <c r="S4" i="8"/>
  <c r="T4" i="8" s="1"/>
  <c r="U4" i="8" s="1"/>
  <c r="V4" i="8" s="1"/>
  <c r="W4" i="8" s="1"/>
  <c r="X4" i="8" s="1"/>
  <c r="Y4" i="8" s="1"/>
  <c r="Z4" i="8" s="1"/>
  <c r="AA4" i="8" s="1"/>
  <c r="AB4" i="8" s="1"/>
  <c r="AC4" i="8" s="1"/>
  <c r="AD4" i="8" s="1"/>
  <c r="AE4" i="8" s="1"/>
  <c r="Q6" i="8"/>
  <c r="Q5" i="8"/>
  <c r="A6" i="8"/>
  <c r="A5" i="8"/>
  <c r="A4" i="8"/>
  <c r="AE3" i="8"/>
  <c r="AD3" i="8"/>
  <c r="AC3" i="8"/>
  <c r="AB3" i="8"/>
  <c r="R3" i="8"/>
  <c r="S3" i="8" s="1"/>
  <c r="T3" i="8" s="1"/>
  <c r="U3" i="8" s="1"/>
  <c r="V3" i="8" s="1"/>
  <c r="W3" i="8" s="1"/>
  <c r="X3" i="8" s="1"/>
  <c r="Y3" i="8" s="1"/>
  <c r="Z3" i="8" s="1"/>
  <c r="AA3" i="8" s="1"/>
  <c r="Q3" i="8"/>
  <c r="C13" i="5" l="1"/>
  <c r="C40" i="5"/>
  <c r="D63" i="5"/>
  <c r="E63" i="5"/>
  <c r="F63" i="5"/>
  <c r="G63" i="5"/>
  <c r="H63" i="5"/>
  <c r="I63" i="5"/>
  <c r="J63" i="5"/>
  <c r="K63" i="5"/>
  <c r="L63" i="5"/>
  <c r="M63" i="5"/>
  <c r="N63" i="5"/>
  <c r="O63" i="5"/>
  <c r="P63" i="5"/>
  <c r="Q63" i="5"/>
  <c r="R63" i="5"/>
  <c r="S63" i="5"/>
  <c r="T63" i="5"/>
  <c r="U63" i="5"/>
  <c r="V63" i="5"/>
  <c r="W63" i="5"/>
  <c r="X63" i="5"/>
  <c r="Y63" i="5"/>
  <c r="Z63" i="5"/>
  <c r="AA63" i="5"/>
  <c r="AB63" i="5"/>
  <c r="AC63" i="5"/>
  <c r="D64" i="5"/>
  <c r="E64" i="5"/>
  <c r="F64" i="5"/>
  <c r="G64" i="5"/>
  <c r="H64" i="5"/>
  <c r="I64" i="5"/>
  <c r="J64" i="5"/>
  <c r="K64" i="5"/>
  <c r="L64" i="5"/>
  <c r="M64" i="5"/>
  <c r="N64" i="5"/>
  <c r="O64" i="5"/>
  <c r="P64" i="5"/>
  <c r="Q64" i="5"/>
  <c r="R64" i="5"/>
  <c r="S64" i="5"/>
  <c r="T64" i="5"/>
  <c r="U64" i="5"/>
  <c r="V64" i="5"/>
  <c r="W64" i="5"/>
  <c r="X64" i="5"/>
  <c r="Y64" i="5"/>
  <c r="Z64" i="5"/>
  <c r="AA64" i="5"/>
  <c r="AB64" i="5"/>
  <c r="AC64" i="5"/>
  <c r="C64" i="5"/>
  <c r="C63" i="5"/>
  <c r="B59" i="3"/>
  <c r="C59" i="3"/>
  <c r="D59" i="3"/>
  <c r="E59" i="3"/>
  <c r="F59" i="3"/>
  <c r="G59" i="3"/>
  <c r="H59" i="3"/>
  <c r="I59" i="3"/>
  <c r="J59" i="3"/>
  <c r="K59" i="3"/>
  <c r="L59" i="3"/>
  <c r="M59" i="3"/>
  <c r="N59" i="3"/>
  <c r="O59" i="3"/>
  <c r="P59" i="3"/>
  <c r="Q59" i="3"/>
  <c r="R59" i="3"/>
  <c r="S59" i="3"/>
  <c r="T59" i="3"/>
  <c r="U59" i="3"/>
  <c r="V59" i="3"/>
  <c r="W59" i="3"/>
  <c r="X59" i="3"/>
  <c r="Y59" i="3"/>
  <c r="Z59" i="3"/>
  <c r="AA59" i="3"/>
  <c r="AB59" i="3"/>
  <c r="AB59" i="4"/>
  <c r="AA59" i="4"/>
  <c r="Z59" i="4"/>
  <c r="Y59" i="4"/>
  <c r="X59" i="4"/>
  <c r="W59" i="4"/>
  <c r="V59" i="4"/>
  <c r="U59" i="4"/>
  <c r="T59" i="4"/>
  <c r="S59" i="4"/>
  <c r="R59" i="4"/>
  <c r="Q59" i="4"/>
  <c r="P59" i="4"/>
  <c r="O59" i="4"/>
  <c r="N59" i="4"/>
  <c r="M59" i="4"/>
  <c r="L59" i="4"/>
  <c r="K59" i="4"/>
  <c r="J59" i="4"/>
  <c r="I59" i="4"/>
  <c r="H59" i="4"/>
  <c r="G59" i="4"/>
  <c r="F59" i="4"/>
  <c r="E59" i="4"/>
  <c r="D59" i="4"/>
  <c r="C59" i="4"/>
  <c r="B59" i="4"/>
  <c r="D42" i="5"/>
  <c r="AC11" i="5"/>
  <c r="AB11" i="5"/>
  <c r="AA11" i="5"/>
  <c r="Z11" i="5"/>
  <c r="Y11" i="5"/>
  <c r="X11" i="5"/>
  <c r="W11" i="5"/>
  <c r="V11" i="5"/>
  <c r="U11" i="5"/>
  <c r="T11" i="5"/>
  <c r="S11" i="5"/>
  <c r="R11" i="5"/>
  <c r="R13" i="5" s="1"/>
  <c r="R40" i="5" s="1"/>
  <c r="Q11" i="5"/>
  <c r="P11" i="5"/>
  <c r="O11" i="5"/>
  <c r="N11" i="5"/>
  <c r="M11" i="5"/>
  <c r="L11" i="5"/>
  <c r="K11" i="5"/>
  <c r="J11" i="5"/>
  <c r="J13" i="5" s="1"/>
  <c r="J40" i="5" s="1"/>
  <c r="I11" i="5"/>
  <c r="H11" i="5"/>
  <c r="G11" i="5"/>
  <c r="F11" i="5"/>
  <c r="E11" i="5"/>
  <c r="D11" i="5"/>
  <c r="C11" i="5"/>
  <c r="B11" i="5"/>
  <c r="A11" i="5"/>
  <c r="AC10" i="5"/>
  <c r="AB10" i="5"/>
  <c r="AA10" i="5"/>
  <c r="Z10" i="5"/>
  <c r="Y10" i="5"/>
  <c r="X10" i="5"/>
  <c r="W10" i="5"/>
  <c r="V10" i="5"/>
  <c r="U10" i="5"/>
  <c r="T10" i="5"/>
  <c r="S10" i="5"/>
  <c r="R10" i="5"/>
  <c r="Q10" i="5"/>
  <c r="P10" i="5"/>
  <c r="O10" i="5"/>
  <c r="N10" i="5"/>
  <c r="M10" i="5"/>
  <c r="L10" i="5"/>
  <c r="K10" i="5"/>
  <c r="J10" i="5"/>
  <c r="I10" i="5"/>
  <c r="H10" i="5"/>
  <c r="G10" i="5"/>
  <c r="F10" i="5"/>
  <c r="E10" i="5"/>
  <c r="D10" i="5"/>
  <c r="C10" i="5"/>
  <c r="B10" i="5"/>
  <c r="A10" i="5"/>
  <c r="AC9" i="5"/>
  <c r="AB9" i="5"/>
  <c r="AA9" i="5"/>
  <c r="Z9" i="5"/>
  <c r="Y9" i="5"/>
  <c r="X9" i="5"/>
  <c r="W9" i="5"/>
  <c r="V9" i="5"/>
  <c r="U9" i="5"/>
  <c r="T9" i="5"/>
  <c r="S9" i="5"/>
  <c r="R9" i="5"/>
  <c r="Q9" i="5"/>
  <c r="P9" i="5"/>
  <c r="O9" i="5"/>
  <c r="N9" i="5"/>
  <c r="M9" i="5"/>
  <c r="L9" i="5"/>
  <c r="K9" i="5"/>
  <c r="J9" i="5"/>
  <c r="I9" i="5"/>
  <c r="H9" i="5"/>
  <c r="G9" i="5"/>
  <c r="F9" i="5"/>
  <c r="E9" i="5"/>
  <c r="D9" i="5"/>
  <c r="C9" i="5"/>
  <c r="B9" i="5"/>
  <c r="A9" i="5"/>
  <c r="AC8" i="5"/>
  <c r="AB8" i="5"/>
  <c r="AA8" i="5"/>
  <c r="Z8" i="5"/>
  <c r="Y8" i="5"/>
  <c r="X8" i="5"/>
  <c r="W8" i="5"/>
  <c r="V8" i="5"/>
  <c r="U8" i="5"/>
  <c r="T8" i="5"/>
  <c r="S8" i="5"/>
  <c r="R8" i="5"/>
  <c r="Q8" i="5"/>
  <c r="P8" i="5"/>
  <c r="O8" i="5"/>
  <c r="N8" i="5"/>
  <c r="M8" i="5"/>
  <c r="L8" i="5"/>
  <c r="K8" i="5"/>
  <c r="J8" i="5"/>
  <c r="I8" i="5"/>
  <c r="H8" i="5"/>
  <c r="G8" i="5"/>
  <c r="F8" i="5"/>
  <c r="E8" i="5"/>
  <c r="D8" i="5"/>
  <c r="C8" i="5"/>
  <c r="B8" i="5"/>
  <c r="A8" i="5"/>
  <c r="AC7" i="5"/>
  <c r="AB7" i="5"/>
  <c r="AA7" i="5"/>
  <c r="Z7" i="5"/>
  <c r="Y7" i="5"/>
  <c r="X7" i="5"/>
  <c r="W7" i="5"/>
  <c r="V7" i="5"/>
  <c r="U7" i="5"/>
  <c r="T7" i="5"/>
  <c r="S7" i="5"/>
  <c r="R7" i="5"/>
  <c r="Q7" i="5"/>
  <c r="P7" i="5"/>
  <c r="O7" i="5"/>
  <c r="N7" i="5"/>
  <c r="M7" i="5"/>
  <c r="L7" i="5"/>
  <c r="K7" i="5"/>
  <c r="J7" i="5"/>
  <c r="I7" i="5"/>
  <c r="H7" i="5"/>
  <c r="G7" i="5"/>
  <c r="F7" i="5"/>
  <c r="E7" i="5"/>
  <c r="D7" i="5"/>
  <c r="C7" i="5"/>
  <c r="B7" i="5"/>
  <c r="A7" i="5"/>
  <c r="AC6" i="5"/>
  <c r="AB6" i="5"/>
  <c r="AA6" i="5"/>
  <c r="Z6" i="5"/>
  <c r="Y6" i="5"/>
  <c r="X6" i="5"/>
  <c r="W6" i="5"/>
  <c r="V6" i="5"/>
  <c r="U6" i="5"/>
  <c r="T6" i="5"/>
  <c r="S6" i="5"/>
  <c r="R6" i="5"/>
  <c r="Q6" i="5"/>
  <c r="P6" i="5"/>
  <c r="O6" i="5"/>
  <c r="N6" i="5"/>
  <c r="M6" i="5"/>
  <c r="L6" i="5"/>
  <c r="K6" i="5"/>
  <c r="J6" i="5"/>
  <c r="I6" i="5"/>
  <c r="H6" i="5"/>
  <c r="G6" i="5"/>
  <c r="F6" i="5"/>
  <c r="E6" i="5"/>
  <c r="D6" i="5"/>
  <c r="C6" i="5"/>
  <c r="B6" i="5"/>
  <c r="A6" i="5"/>
  <c r="AC5" i="5"/>
  <c r="AB5" i="5"/>
  <c r="AA5" i="5"/>
  <c r="Z5" i="5"/>
  <c r="Y5" i="5"/>
  <c r="X5" i="5"/>
  <c r="W5" i="5"/>
  <c r="V5" i="5"/>
  <c r="U5" i="5"/>
  <c r="T5" i="5"/>
  <c r="S5" i="5"/>
  <c r="R5" i="5"/>
  <c r="Q5" i="5"/>
  <c r="P5" i="5"/>
  <c r="O5" i="5"/>
  <c r="N5" i="5"/>
  <c r="M5" i="5"/>
  <c r="L5" i="5"/>
  <c r="K5" i="5"/>
  <c r="J5" i="5"/>
  <c r="I5" i="5"/>
  <c r="H5" i="5"/>
  <c r="G5" i="5"/>
  <c r="F5" i="5"/>
  <c r="E5" i="5"/>
  <c r="D5" i="5"/>
  <c r="C5" i="5"/>
  <c r="B5" i="5"/>
  <c r="A5" i="5"/>
  <c r="AC4" i="5"/>
  <c r="AB4" i="5"/>
  <c r="AA4" i="5"/>
  <c r="Z4" i="5"/>
  <c r="Y4" i="5"/>
  <c r="X4" i="5"/>
  <c r="W4" i="5"/>
  <c r="V4" i="5"/>
  <c r="U4" i="5"/>
  <c r="T4" i="5"/>
  <c r="S4" i="5"/>
  <c r="R4" i="5"/>
  <c r="Q4" i="5"/>
  <c r="P4" i="5"/>
  <c r="O4" i="5"/>
  <c r="N4" i="5"/>
  <c r="M4" i="5"/>
  <c r="L4" i="5"/>
  <c r="K4" i="5"/>
  <c r="J4" i="5"/>
  <c r="I4" i="5"/>
  <c r="H4" i="5"/>
  <c r="G4" i="5"/>
  <c r="F4" i="5"/>
  <c r="E4" i="5"/>
  <c r="D4" i="5"/>
  <c r="C4" i="5"/>
  <c r="B4" i="5"/>
  <c r="A4" i="5"/>
  <c r="AC3" i="5"/>
  <c r="AB3" i="5"/>
  <c r="AA3" i="5"/>
  <c r="Z3" i="5"/>
  <c r="Y3" i="5"/>
  <c r="X3" i="5"/>
  <c r="W3" i="5"/>
  <c r="V3" i="5"/>
  <c r="U3" i="5"/>
  <c r="T3" i="5"/>
  <c r="S3" i="5"/>
  <c r="R3" i="5"/>
  <c r="Q3" i="5"/>
  <c r="P3" i="5"/>
  <c r="O3" i="5"/>
  <c r="N3" i="5"/>
  <c r="M3" i="5"/>
  <c r="L3" i="5"/>
  <c r="K3" i="5"/>
  <c r="J3" i="5"/>
  <c r="I3" i="5"/>
  <c r="H3" i="5"/>
  <c r="G3" i="5"/>
  <c r="F3" i="5"/>
  <c r="E3" i="5"/>
  <c r="D3" i="5"/>
  <c r="C3" i="5"/>
  <c r="B3" i="5"/>
  <c r="A3" i="5"/>
  <c r="AC2" i="5"/>
  <c r="AB2" i="5"/>
  <c r="AA2" i="5"/>
  <c r="Z2" i="5"/>
  <c r="Y2" i="5"/>
  <c r="X2" i="5"/>
  <c r="W2" i="5"/>
  <c r="V2" i="5"/>
  <c r="U2" i="5"/>
  <c r="T2" i="5"/>
  <c r="S2" i="5"/>
  <c r="R2" i="5"/>
  <c r="Q2" i="5"/>
  <c r="P2" i="5"/>
  <c r="O2" i="5"/>
  <c r="N2" i="5"/>
  <c r="M2" i="5"/>
  <c r="L2" i="5"/>
  <c r="K2" i="5"/>
  <c r="J2" i="5"/>
  <c r="I2" i="5"/>
  <c r="H2" i="5"/>
  <c r="G2" i="5"/>
  <c r="F2" i="5"/>
  <c r="E2" i="5"/>
  <c r="D2" i="5"/>
  <c r="C2" i="5"/>
  <c r="B2" i="5"/>
  <c r="A2" i="5"/>
  <c r="Z13" i="5" l="1"/>
  <c r="Z40" i="5" s="1"/>
  <c r="K13" i="5"/>
  <c r="K40" i="5" s="1"/>
  <c r="S13" i="5"/>
  <c r="S40" i="5" s="1"/>
  <c r="F43" i="5" s="1"/>
  <c r="AA13" i="5"/>
  <c r="AA40" i="5" s="1"/>
  <c r="D13" i="5"/>
  <c r="D40" i="5" s="1"/>
  <c r="C43" i="5" s="1"/>
  <c r="L13" i="5"/>
  <c r="L40" i="5" s="1"/>
  <c r="T13" i="5"/>
  <c r="T40" i="5" s="1"/>
  <c r="AB13" i="5"/>
  <c r="AB40" i="5" s="1"/>
  <c r="F13" i="5"/>
  <c r="F40" i="5" s="1"/>
  <c r="N13" i="5"/>
  <c r="N40" i="5" s="1"/>
  <c r="E43" i="5" s="1"/>
  <c r="V13" i="5"/>
  <c r="V40" i="5" s="1"/>
  <c r="I13" i="5"/>
  <c r="I40" i="5" s="1"/>
  <c r="D43" i="5" s="1"/>
  <c r="Q13" i="5"/>
  <c r="Q40" i="5" s="1"/>
  <c r="Y13" i="5"/>
  <c r="Y40" i="5" s="1"/>
  <c r="G13" i="5"/>
  <c r="G40" i="5" s="1"/>
  <c r="O13" i="5"/>
  <c r="O40" i="5" s="1"/>
  <c r="W13" i="5"/>
  <c r="W40" i="5" s="1"/>
  <c r="H13" i="5"/>
  <c r="H40" i="5" s="1"/>
  <c r="P13" i="5"/>
  <c r="P40" i="5" s="1"/>
  <c r="X13" i="5"/>
  <c r="X40" i="5" s="1"/>
  <c r="E13" i="5"/>
  <c r="E40" i="5" s="1"/>
  <c r="M13" i="5"/>
  <c r="M40" i="5" s="1"/>
  <c r="U13" i="5"/>
  <c r="U40" i="5" s="1"/>
  <c r="AC13" i="5"/>
  <c r="AC40" i="5" s="1"/>
  <c r="G43" i="5" l="1"/>
</calcChain>
</file>

<file path=xl/sharedStrings.xml><?xml version="1.0" encoding="utf-8"?>
<sst xmlns="http://schemas.openxmlformats.org/spreadsheetml/2006/main" count="148" uniqueCount="129">
  <si>
    <t>Year</t>
  </si>
  <si>
    <t>electricity (MWh)</t>
  </si>
  <si>
    <t>ref2025.d032025a</t>
  </si>
  <si>
    <t>Report</t>
  </si>
  <si>
    <t>Annual Energy Outlook 2025</t>
  </si>
  <si>
    <t>Scenario</t>
  </si>
  <si>
    <t>ref2025</t>
  </si>
  <si>
    <t>Reference</t>
  </si>
  <si>
    <t>Datekey</t>
  </si>
  <si>
    <t>d032025a</t>
  </si>
  <si>
    <t>Release Date</t>
  </si>
  <si>
    <t>April 2025</t>
  </si>
  <si>
    <t>5. Commercial Sector Key Indicators and Consumption</t>
  </si>
  <si>
    <t>(quadrillion Btu, unless otherwise noted)</t>
  </si>
  <si>
    <t>Avg Annual Change</t>
  </si>
  <si>
    <t>Electricity 3/</t>
  </si>
  <si>
    <t xml:space="preserve">   Space Heating 3/</t>
  </si>
  <si>
    <t xml:space="preserve">   Space Cooling 3/ 4/</t>
  </si>
  <si>
    <t xml:space="preserve">   Water Heating 3/</t>
  </si>
  <si>
    <t xml:space="preserve">   Ventilation 4/</t>
  </si>
  <si>
    <t xml:space="preserve">   Cooking</t>
  </si>
  <si>
    <t xml:space="preserve">   Lighting</t>
  </si>
  <si>
    <t xml:space="preserve">   Refrigeration</t>
  </si>
  <si>
    <t xml:space="preserve">   Computing 4/ 5/</t>
  </si>
  <si>
    <t xml:space="preserve">   Office Equipment</t>
  </si>
  <si>
    <t xml:space="preserve">   Other Uses 4/ 6/</t>
  </si>
  <si>
    <t xml:space="preserve">     Gross End-use Electricity Consumption</t>
  </si>
  <si>
    <t xml:space="preserve">   Purchased Electricity for Electric Vehicle Charging 7/</t>
  </si>
  <si>
    <t xml:space="preserve">   On-site Generation for Own Use</t>
  </si>
  <si>
    <t xml:space="preserve">     Purchased Electricity at Commercial Location 8/</t>
  </si>
  <si>
    <t>Data source: 2024: U.S. Energy Information Administration (EIA), Short-Term Energy Outlook, December 2024 and EIA, AEO2025</t>
  </si>
  <si>
    <t>National Energy Modeling System run ref2025.d032025a. Projections: EIA, AEO2025 National Energy Modeling System run ref2025.d032025a.</t>
  </si>
  <si>
    <t xml:space="preserve">Note: Totals may not equal sum of components due to independent rounding. </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</si>
  <si>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</si>
  <si>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</si>
  <si>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</si>
  <si>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</si>
  <si>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including purchased electricity and on-site generation for own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</si>
  <si>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</si>
  <si>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</si>
  <si>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</si>
  <si>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</si>
  <si>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data center servers, desktop computers, monitors, and laptops.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</si>
  <si>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</si>
  <si>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</si>
  <si>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</si>
  <si>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</si>
  <si>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</si>
  <si>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8/ Equal to gross end-use consumption plus purchased electricity for electric vehicle charging less on-site generation for own use.</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</si>
  <si>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</si>
  <si>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</si>
  <si>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</si>
  <si>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</si>
  <si>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</si>
  <si>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</si>
  <si>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</si>
  <si>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</si>
  <si>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</si>
  <si>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</si>
  <si>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</si>
  <si>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Btu = British thermal unit</t>
  </si>
  <si>
    <t>- - = Not applicable</t>
  </si>
  <si>
    <t>Annual Energy Outlook 2023</t>
  </si>
  <si>
    <t>ref2023</t>
  </si>
  <si>
    <t>d020623a</t>
  </si>
  <si>
    <t xml:space="preserve"> March 2023</t>
  </si>
  <si>
    <t xml:space="preserve"> Electricity 1/</t>
  </si>
  <si>
    <t>2022–2050</t>
  </si>
  <si>
    <t xml:space="preserve">   Space Heating 2/</t>
  </si>
  <si>
    <t xml:space="preserve">   Space Cooling 2/</t>
  </si>
  <si>
    <t xml:space="preserve">   Water Heating 2/</t>
  </si>
  <si>
    <t xml:space="preserve">   Ventilation</t>
  </si>
  <si>
    <t xml:space="preserve">   Computing</t>
  </si>
  <si>
    <t xml:space="preserve">   Other Uses 3/</t>
  </si>
  <si>
    <t xml:space="preserve">     Electricity Subtotal</t>
  </si>
  <si>
    <t xml:space="preserve">     Purchased Electricity</t>
  </si>
  <si>
    <t>1/ Unless otherwise specified, energy consumption by end use includes all electricity consumed for that end use,</t>
  </si>
  <si>
    <t>2/ Includes fuel consumption for district services.</t>
  </si>
  <si>
    <t>3/ Includes (but is not limited to) miscellaneous uses such as transformers, medical imaging and other medical equipment, elevators,</t>
  </si>
  <si>
    <t>escalators, off-road electric vehicles, laboratory fume hoods, laundry equipment, coffee brewers, and water services.</t>
  </si>
  <si>
    <t>4/ Includes miscellaneous uses, such as emergency generators, combined heat and power in commercial buildings, and manufacturing</t>
  </si>
  <si>
    <t>5/ Includes miscellaneous uses, such as cooking, emergency generators, and combined heat and power in commercial buildings.</t>
  </si>
  <si>
    <t>6/ Includes residual fuel oil, propane, coal, motor gasoline, and kerosene.</t>
  </si>
  <si>
    <t>7/ Includes (but is not limited to) miscellaneous uses such as transformers, medical imaging and other medical equipment, elevators,</t>
  </si>
  <si>
    <t>escalators, off-road electric vehicles, laboratory fume hoods, laundry equipment, coffee brewers, water services, emergency generators,</t>
  </si>
  <si>
    <t>combined heat and power in commercial buildings, manufacturing performed in commercial buildings, and cooking (distillate).  Also</t>
  </si>
  <si>
    <t>includes residual fuel oil, propane, coal, motor gasoline, kerosene, and marketed renewable fuels (biomass).</t>
  </si>
  <si>
    <t>8/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</si>
  <si>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</si>
  <si>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</si>
  <si>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</si>
  <si>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</si>
  <si>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</si>
  <si>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Difference</t>
  </si>
  <si>
    <t>Demand Growth Attributable to Data Centers</t>
  </si>
  <si>
    <t>this data filters into BCEU</t>
  </si>
  <si>
    <t xml:space="preserve">https://onlocationinc.com/news/2025/07/aeo-2025-trends-growing-electricity-demand-from-data-centers/ </t>
  </si>
  <si>
    <t>In AEO 2025, electricity use from data center-related end uses is projected to increase approximately 90 TWh by 2030 and reach 440 TWh above the 2022 baseline by 2050. These levels are substantial but land on the conservative side compared to the LBNL projections, especially in the near term.</t>
  </si>
  <si>
    <t>total commercial electricity use from data center-related end uses (computing, cooling, ventilation, and others) in both AEO 2023 and AEO 2025. The AEO 2025 projection is higher starting in 2022, and the gap widens over time.  We infer that this difference primarily represents data center demands.</t>
  </si>
  <si>
    <t>Btus per kWh</t>
  </si>
  <si>
    <t>AEO 2025 Data Center Growth (TWh)</t>
  </si>
  <si>
    <t>TWh</t>
  </si>
  <si>
    <t>EPS</t>
  </si>
  <si>
    <t>Evolved Energy 2024</t>
  </si>
  <si>
    <t>Data center growth</t>
  </si>
  <si>
    <t>Hydrogen electrolysis</t>
  </si>
  <si>
    <t>All other end uses</t>
  </si>
  <si>
    <t>Sources:</t>
  </si>
  <si>
    <t>Notes on Data Center Load in AEO</t>
  </si>
  <si>
    <t>In AEO 2023 and AEO 2025, data center load is captured in both Ventilation and Other Uses (for on-site data centers) and Computing (for standalone data centers).</t>
  </si>
  <si>
    <t>In AEO 2025, the EIA included projections for data center load growth. With this, EIA included additional documentation of how data center electricity demand is classified in Table 5.</t>
  </si>
  <si>
    <t>Data Center Related Demand</t>
  </si>
  <si>
    <t>AEO 2023</t>
  </si>
  <si>
    <t>AEO 2025</t>
  </si>
  <si>
    <t>High growth</t>
  </si>
  <si>
    <t>Low growth</t>
  </si>
  <si>
    <t>Mid growth</t>
  </si>
  <si>
    <t>BDCL BAU Data Center Load</t>
  </si>
  <si>
    <t>Due to uncertainty in electricity demand growth from data centers in the age of AI, we include three different projections for annual data center electricity load.</t>
  </si>
  <si>
    <t>Data Center Load</t>
  </si>
  <si>
    <t>The Rhodium Group</t>
  </si>
  <si>
    <t>Slope (2025-2035)</t>
  </si>
  <si>
    <t>Taking Stock 2024: Technical Appendix</t>
  </si>
  <si>
    <t>https://rhg.com/wp-content/uploads/2024/07/Taking-Stock-2024_Technical-Appendix.pdf</t>
  </si>
  <si>
    <t>Figure 10</t>
  </si>
  <si>
    <t>The projections included are the low, mid and high scenarios from The Rhodium Group through 2035. From 2036 through 2050, we assume continued growth at a slower rate.</t>
  </si>
  <si>
    <t xml:space="preserve">To estimate EIA's projected load growth for data centers, the difference can be taken between the two releases. </t>
  </si>
  <si>
    <t>This data center load is removed from bldgs/BCEU.</t>
  </si>
  <si>
    <t>TBD on this adjustment pending AEO 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</si>
</sst>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font>
      <sz val="11"/>
      <color theme="1"/>
      <name val="Calibri"/>
      <family val="2"/>
      <scheme val="minor"/>
    </font>
    <font>
      <sz val="11"/>
      <color theme="1"/>
      <name val="Calibri"/>
      <family val="2"/>
      <scheme val="minor"/>
    </font>
    <font>
      <b/>
      <sz val="11"/>
      <color theme="1"/>
      <name val="Calibri"/>
      <family val="2"/>
      <scheme val="minor"/>
    </font>
    <font>
      <b/>
      <sz val="12"/>
      <color rgb="FF000000"/>
      <name val="Calibri"/>
      <family val="2"/>
      <scheme val="minor"/>
    </font>
    <font>
      <sz val="9"/>
      <color rgb="FF000000"/>
      <name val="Calibri"/>
      <family val="2"/>
      <scheme val="minor"/>
    </font>
    <font>
      <b/>
      <sz val="9"/>
      <color rgb="FF000000"/>
      <name val="Calibri"/>
      <family val="2"/>
      <scheme val="minor"/>
    </font>
    <font>
      <sz val="9"/>
      <color indexed="8"/>
      <name val="Calibri"/>
      <family val="2"/>
    </font>
    <font>
      <sz val="10"/>
      <name val="Calibri"/>
      <family val="2"/>
    </font>
    <font>
      <sz val="10"/>
      <color indexed="8"/>
      <name val="Arial"/>
      <family val="2"/>
    </font>
    <font>
      <b/>
      <sz val="9"/>
      <color indexed="8"/>
      <name val="Calibri"/>
      <family val="2"/>
    </font>
    <font>
      <b/>
      <sz val="9"/>
      <name val="Calibri"/>
      <family val="2"/>
    </font>
    <font>
      <sz val="9"/>
      <name val="Calibri"/>
      <family val="2"/>
    </font>
    <font>
      <u/>
      <sz val="11"/>
      <color theme="10"/>
      <name val="Calibri"/>
      <family val="2"/>
      <scheme val="minor"/>
    </font>
    <font>
      <b/>
      <i/>
      <sz val="11"/>
      <color theme="1"/>
      <name val="Calibri"/>
      <family val="2"/>
      <scheme val="minor"/>
    </font>
    <font>
      <sz val="9"/>
      <color rgb="FF4F6675"/>
      <name val="Arial"/>
      <family val="2"/>
    </font>
    <font>
      <sz val="12"/>
      <color rgb="FFFFFFFF"/>
      <name val="Inherit"/>
    </font>
    <font>
      <sz val="12"/>
      <color rgb="FF000000"/>
      <name val="Inherit"/>
    </font>
    <font>
      <sz val="11"/>
      <name val="Calibri"/>
      <family val="2"/>
      <scheme val="minor"/>
    </font>
    <font>
      <b/>
      <sz val="11"/>
      <color rgb="FFFF0000"/>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rgb="FFFDF6CF"/>
        <bgColor indexed="64"/>
      </patternFill>
    </fill>
    <fill>
      <patternFill patternType="solid">
        <fgColor theme="0" tint="-0.14999847407452621"/>
        <bgColor indexed="64"/>
      </patternFill>
    </fill>
    <fill>
      <patternFill patternType="solid">
        <fgColor rgb="FFFFC000"/>
        <bgColor indexed="64"/>
      </patternFill>
    </fill>
    <fill>
      <patternFill patternType="solid">
        <fgColor rgb="FF1C2558"/>
        <bgColor indexed="64"/>
      </patternFill>
    </fill>
    <fill>
      <patternFill patternType="solid">
        <fgColor rgb="FFCCCDD1"/>
        <bgColor indexed="64"/>
      </patternFill>
    </fill>
    <fill>
      <patternFill patternType="solid">
        <fgColor rgb="FFE7E8EA"/>
        <bgColor indexed="64"/>
      </patternFill>
    </fill>
    <fill>
      <patternFill patternType="solid">
        <fgColor theme="0" tint="-0.249977111117893"/>
        <bgColor indexed="64"/>
      </patternFill>
    </fill>
  </fills>
  <borders count="17">
    <border>
      <left/>
      <right/>
      <top/>
      <bottom/>
      <diagonal/>
    </border>
    <border>
      <left/>
      <right/>
      <top/>
      <bottom style="thick">
        <color rgb="FF0096D7"/>
      </bottom>
      <diagonal/>
    </border>
    <border>
      <left/>
      <right/>
      <top/>
      <bottom style="dashed">
        <color rgb="FFBFBFBF"/>
      </bottom>
      <diagonal/>
    </border>
    <border>
      <left/>
      <right/>
      <top/>
      <bottom style="thin">
        <color rgb="FFBFBFBF"/>
      </bottom>
      <diagonal/>
    </border>
    <border>
      <left/>
      <right/>
      <top style="medium">
        <color rgb="FF0096D7"/>
      </top>
      <bottom/>
      <diagonal/>
    </border>
    <border>
      <left/>
      <right style="medium">
        <color rgb="FFFFFFFF"/>
      </right>
      <top/>
      <bottom style="thick">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9" fontId="1" fillId="0" borderId="0" applyFont="0" applyFill="0" applyBorder="0" applyAlignment="0" applyProtection="0"/>
    <xf numFmtId="0" fontId="6" fillId="0" borderId="0"/>
    <xf numFmtId="0" fontId="9" fillId="0" borderId="1">
      <alignment wrapText="1"/>
    </xf>
    <xf numFmtId="0" fontId="6" fillId="0" borderId="2">
      <alignment wrapText="1"/>
    </xf>
    <xf numFmtId="0" fontId="9" fillId="0" borderId="3">
      <alignment wrapText="1"/>
    </xf>
    <xf numFmtId="0" fontId="6" fillId="0" borderId="4">
      <alignment wrapText="1"/>
    </xf>
    <xf numFmtId="0" fontId="12" fillId="0" borderId="0" applyNumberFormat="0" applyFill="0" applyBorder="0" applyAlignment="0" applyProtection="0"/>
  </cellStyleXfs>
  <cellXfs count="58">
    <xf numFmtId="0" fontId="0" fillId="0" borderId="0" xfId="0"/>
    <xf numFmtId="3" fontId="3" fillId="0" borderId="0" xfId="0" applyNumberFormat="1" applyFont="1"/>
    <xf numFmtId="3" fontId="4" fillId="0" borderId="0" xfId="0" applyNumberFormat="1" applyFont="1"/>
    <xf numFmtId="4" fontId="3" fillId="0" borderId="0" xfId="0" applyNumberFormat="1" applyFont="1"/>
    <xf numFmtId="4" fontId="4" fillId="0" borderId="0" xfId="0" applyNumberFormat="1" applyFont="1"/>
    <xf numFmtId="4" fontId="5" fillId="0" borderId="0" xfId="0" applyNumberFormat="1" applyFont="1"/>
    <xf numFmtId="1" fontId="5" fillId="0" borderId="0" xfId="0" applyNumberFormat="1" applyFont="1"/>
    <xf numFmtId="4" fontId="4" fillId="2" borderId="0" xfId="0" applyNumberFormat="1" applyFont="1" applyFill="1"/>
    <xf numFmtId="4" fontId="4" fillId="3" borderId="0" xfId="0" applyNumberFormat="1" applyFont="1" applyFill="1"/>
    <xf numFmtId="0" fontId="7" fillId="0" borderId="0" xfId="2" applyFont="1"/>
    <xf numFmtId="0" fontId="8" fillId="0" borderId="0" xfId="2" applyFont="1"/>
    <xf numFmtId="0" fontId="10" fillId="0" borderId="1" xfId="3" applyFont="1">
      <alignment wrapText="1"/>
    </xf>
    <xf numFmtId="0" fontId="10" fillId="0" borderId="1" xfId="3" applyFont="1" applyAlignment="1">
      <alignment horizontal="right"/>
    </xf>
    <xf numFmtId="0" fontId="11" fillId="0" borderId="2" xfId="4" applyFont="1">
      <alignment wrapText="1"/>
    </xf>
    <xf numFmtId="4" fontId="11" fillId="0" borderId="2" xfId="4" applyNumberFormat="1" applyFont="1" applyAlignment="1">
      <alignment horizontal="right" wrapText="1"/>
    </xf>
    <xf numFmtId="164" fontId="11" fillId="0" borderId="2" xfId="4" applyNumberFormat="1" applyFont="1" applyAlignment="1">
      <alignment horizontal="right" wrapText="1"/>
    </xf>
    <xf numFmtId="0" fontId="11" fillId="4" borderId="2" xfId="4" applyFont="1" applyFill="1">
      <alignment wrapText="1"/>
    </xf>
    <xf numFmtId="4" fontId="11" fillId="4" borderId="2" xfId="4" applyNumberFormat="1" applyFont="1" applyFill="1" applyAlignment="1">
      <alignment horizontal="right" wrapText="1"/>
    </xf>
    <xf numFmtId="164" fontId="11" fillId="4" borderId="2" xfId="4" applyNumberFormat="1" applyFont="1" applyFill="1" applyAlignment="1">
      <alignment horizontal="right" wrapText="1"/>
    </xf>
    <xf numFmtId="0" fontId="10" fillId="0" borderId="3" xfId="5" applyFont="1">
      <alignment wrapText="1"/>
    </xf>
    <xf numFmtId="4" fontId="10" fillId="0" borderId="3" xfId="5" applyNumberFormat="1" applyFont="1" applyAlignment="1">
      <alignment horizontal="right" wrapText="1"/>
    </xf>
    <xf numFmtId="164" fontId="10" fillId="0" borderId="3" xfId="5" applyNumberFormat="1" applyFont="1" applyAlignment="1">
      <alignment horizontal="right" wrapText="1"/>
    </xf>
    <xf numFmtId="0" fontId="11" fillId="0" borderId="0" xfId="2" applyFont="1"/>
    <xf numFmtId="0" fontId="6" fillId="5" borderId="0" xfId="2" applyFill="1"/>
    <xf numFmtId="4" fontId="0" fillId="0" borderId="0" xfId="0" applyNumberFormat="1"/>
    <xf numFmtId="2" fontId="0" fillId="0" borderId="0" xfId="1" applyNumberFormat="1" applyFont="1"/>
    <xf numFmtId="4" fontId="0" fillId="6" borderId="0" xfId="0" applyNumberFormat="1" applyFill="1"/>
    <xf numFmtId="2" fontId="0" fillId="0" borderId="0" xfId="0" applyNumberFormat="1"/>
    <xf numFmtId="0" fontId="13" fillId="0" borderId="0" xfId="0" applyFont="1"/>
    <xf numFmtId="0" fontId="12" fillId="0" borderId="0" xfId="7"/>
    <xf numFmtId="0" fontId="14" fillId="0" borderId="0" xfId="0" applyFont="1"/>
    <xf numFmtId="1" fontId="0" fillId="0" borderId="0" xfId="0" applyNumberFormat="1"/>
    <xf numFmtId="0" fontId="15" fillId="7" borderId="5" xfId="0" applyFont="1" applyFill="1" applyBorder="1" applyAlignment="1">
      <alignment vertical="center" wrapText="1"/>
    </xf>
    <xf numFmtId="0" fontId="15" fillId="7" borderId="6" xfId="0" applyFont="1" applyFill="1" applyBorder="1" applyAlignment="1">
      <alignment vertical="center" wrapText="1"/>
    </xf>
    <xf numFmtId="0" fontId="16" fillId="8" borderId="7" xfId="0" applyFont="1" applyFill="1" applyBorder="1" applyAlignment="1">
      <alignment vertical="center" wrapText="1"/>
    </xf>
    <xf numFmtId="0" fontId="16" fillId="8" borderId="8" xfId="0" applyFont="1" applyFill="1" applyBorder="1" applyAlignment="1">
      <alignment vertical="center" wrapText="1"/>
    </xf>
    <xf numFmtId="0" fontId="16" fillId="9" borderId="7" xfId="0" applyFont="1" applyFill="1" applyBorder="1" applyAlignment="1">
      <alignment vertical="center" wrapText="1"/>
    </xf>
    <xf numFmtId="0" fontId="16" fillId="9" borderId="8" xfId="0" applyFont="1" applyFill="1" applyBorder="1" applyAlignment="1">
      <alignment vertical="center" wrapText="1"/>
    </xf>
    <xf numFmtId="0" fontId="2" fillId="0" borderId="0" xfId="0" applyFont="1"/>
    <xf numFmtId="0" fontId="2" fillId="10" borderId="0" xfId="0" applyFont="1" applyFill="1"/>
    <xf numFmtId="0" fontId="0" fillId="0" borderId="0" xfId="0" applyAlignment="1">
      <alignment horizontal="left"/>
    </xf>
    <xf numFmtId="0" fontId="17" fillId="0" borderId="0" xfId="0" applyFont="1"/>
    <xf numFmtId="0" fontId="2" fillId="0" borderId="9" xfId="0" applyFont="1" applyBorder="1"/>
    <xf numFmtId="0" fontId="2" fillId="0" borderId="10" xfId="0" applyFont="1" applyBorder="1"/>
    <xf numFmtId="0" fontId="2" fillId="0" borderId="11" xfId="0" applyFont="1" applyBorder="1"/>
    <xf numFmtId="0" fontId="0" fillId="0" borderId="12" xfId="0" applyBorder="1"/>
    <xf numFmtId="0" fontId="0" fillId="0" borderId="14" xfId="0" applyBorder="1"/>
    <xf numFmtId="0" fontId="0" fillId="0" borderId="15" xfId="0" applyBorder="1"/>
    <xf numFmtId="165" fontId="0" fillId="0" borderId="0" xfId="0" applyNumberFormat="1" applyAlignment="1">
      <alignment horizontal="left"/>
    </xf>
    <xf numFmtId="165" fontId="0" fillId="0" borderId="0" xfId="0" applyNumberFormat="1"/>
    <xf numFmtId="165" fontId="0" fillId="0" borderId="13" xfId="0" applyNumberFormat="1" applyBorder="1"/>
    <xf numFmtId="165" fontId="0" fillId="0" borderId="15" xfId="0" applyNumberFormat="1" applyBorder="1"/>
    <xf numFmtId="165" fontId="0" fillId="0" borderId="16" xfId="0" applyNumberFormat="1" applyBorder="1"/>
    <xf numFmtId="9" fontId="0" fillId="0" borderId="0" xfId="1" applyFont="1"/>
    <xf numFmtId="11" fontId="17" fillId="0" borderId="0" xfId="0" applyNumberFormat="1" applyFont="1"/>
    <xf numFmtId="0" fontId="18" fillId="0" borderId="0" xfId="0" applyFont="1"/>
    <xf numFmtId="0" fontId="11" fillId="0" borderId="4" xfId="6" applyFont="1">
      <alignment wrapText="1"/>
    </xf>
    <xf numFmtId="0" fontId="6" fillId="0" borderId="4" xfId="2" applyBorder="1"/>
  </cellXfs>
  <cellStyles count="8">
    <cellStyle name="Body: normal cell 2 2" xfId="4" xr:uid="{8826D916-A56A-49C8-BC7B-1C7173429BE0}"/>
    <cellStyle name="Footnotes: top row 2 2" xfId="6" xr:uid="{47E9C91E-6EC7-41DA-8AA7-D903CF4BC43A}"/>
    <cellStyle name="Header: bottom row 2 2" xfId="3" xr:uid="{392BA950-59C6-4B9B-9EFE-CDA5D326A746}"/>
    <cellStyle name="Hyperlink" xfId="7" builtinId="8"/>
    <cellStyle name="Normal" xfId="0" builtinId="0"/>
    <cellStyle name="Normal 2" xfId="2" xr:uid="{8234889B-6E37-4A53-8A9B-E869E279CD06}"/>
    <cellStyle name="Parent row 2 2" xfId="5" xr:uid="{EDFA25B6-E8BA-45F4-8914-989DAA4F9F94}"/>
    <cellStyle name="Percent" xfId="1" builtinId="5"/>
  </cellStyles>
  <dxfs count="15">
    <dxf>
      <border>
        <left/>
        <right/>
        <top/>
        <bottom style="thick">
          <color rgb="FF0096D7"/>
        </bottom>
        <vertical/>
        <horizontal/>
      </border>
    </dxf>
    <dxf>
      <border>
        <left/>
        <right/>
        <top/>
        <bottom style="thick">
          <color rgb="FF0096D7"/>
        </bottom>
        <vertical/>
        <horizontal/>
      </border>
    </dxf>
    <dxf>
      <border>
        <left/>
        <right/>
        <top/>
        <bottom style="thick">
          <color rgb="FF0096D7"/>
        </bottom>
        <vertical/>
        <horizontal/>
      </border>
    </dxf>
    <dxf>
      <border>
        <left/>
        <right/>
        <top/>
        <bottom style="thick">
          <color rgb="FF0096D7"/>
        </bottom>
        <vertical/>
        <horizontal/>
      </border>
    </dxf>
    <dxf>
      <font>
        <color rgb="FF000000"/>
      </font>
      <numFmt numFmtId="164" formatCode="0.0%"/>
    </dxf>
    <dxf>
      <font>
        <b/>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Difference AEO 2025 - AEO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lineChart>
        <c:grouping val="standard"/>
        <c:varyColors val="0"/>
        <c:ser>
          <c:idx val="0"/>
          <c:order val="0"/>
          <c:tx>
            <c:strRef>
              <c:f>'Compare AEO Projections'!$B$2</c:f>
              <c:strCache>
                <c:ptCount val="1"/>
                <c:pt idx="0">
                  <c:v>   Space Heating 3/</c:v>
                </c:pt>
              </c:strCache>
            </c:strRef>
          </c:tx>
          <c:spPr>
            <a:ln w="28575" cap="rnd">
              <a:solidFill>
                <a:schemeClr val="accent1"/>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Projections'!$C$2:$AC$2</c:f>
              <c:numCache>
                <c:formatCode>0.00</c:formatCode>
                <c:ptCount val="27"/>
                <c:pt idx="0">
                  <c:v>7.5661154377937287E-2</c:v>
                </c:pt>
                <c:pt idx="1">
                  <c:v>8.6887245155334497E-2</c:v>
                </c:pt>
                <c:pt idx="2">
                  <c:v>8.6923511221885713E-2</c:v>
                </c:pt>
                <c:pt idx="3">
                  <c:v>8.8248938175201394E-2</c:v>
                </c:pt>
                <c:pt idx="4">
                  <c:v>8.8698121253013615E-2</c:v>
                </c:pt>
                <c:pt idx="5">
                  <c:v>8.8188382926940895E-2</c:v>
                </c:pt>
                <c:pt idx="6">
                  <c:v>8.7461862552642794E-2</c:v>
                </c:pt>
                <c:pt idx="7">
                  <c:v>8.6480865802764886E-2</c:v>
                </c:pt>
                <c:pt idx="8">
                  <c:v>8.5680848451614403E-2</c:v>
                </c:pt>
                <c:pt idx="9">
                  <c:v>8.4161185265541102E-2</c:v>
                </c:pt>
                <c:pt idx="10">
                  <c:v>8.3093111848831211E-2</c:v>
                </c:pt>
                <c:pt idx="11">
                  <c:v>8.3070184071540806E-2</c:v>
                </c:pt>
                <c:pt idx="12">
                  <c:v>8.3456737677574208E-2</c:v>
                </c:pt>
                <c:pt idx="13">
                  <c:v>8.3906866658210816E-2</c:v>
                </c:pt>
                <c:pt idx="14">
                  <c:v>8.4373098972320607E-2</c:v>
                </c:pt>
                <c:pt idx="15">
                  <c:v>8.4893378330230709E-2</c:v>
                </c:pt>
                <c:pt idx="16">
                  <c:v>8.5206599865913391E-2</c:v>
                </c:pt>
                <c:pt idx="17">
                  <c:v>8.521158284187319E-2</c:v>
                </c:pt>
                <c:pt idx="18">
                  <c:v>8.4845874683380104E-2</c:v>
                </c:pt>
                <c:pt idx="19">
                  <c:v>8.4265508090972899E-2</c:v>
                </c:pt>
                <c:pt idx="20">
                  <c:v>8.3528757056236289E-2</c:v>
                </c:pt>
                <c:pt idx="21">
                  <c:v>8.2762420426368707E-2</c:v>
                </c:pt>
                <c:pt idx="22">
                  <c:v>8.1874043170929015E-2</c:v>
                </c:pt>
                <c:pt idx="23">
                  <c:v>8.0998719217300383E-2</c:v>
                </c:pt>
                <c:pt idx="24">
                  <c:v>8.025897353649139E-2</c:v>
                </c:pt>
                <c:pt idx="25">
                  <c:v>7.9652311030387904E-2</c:v>
                </c:pt>
                <c:pt idx="26">
                  <c:v>7.9122046360969492E-2</c:v>
                </c:pt>
              </c:numCache>
            </c:numRef>
          </c:val>
          <c:smooth val="0"/>
          <c:extLst>
            <c:ext xmlns:c16="http://schemas.microsoft.com/office/drawing/2014/chart" uri="{C3380CC4-5D6E-409C-BE32-E72D297353CC}">
              <c16:uniqueId val="{00000000-F45E-4063-AE8E-0E846134FB6B}"/>
            </c:ext>
          </c:extLst>
        </c:ser>
        <c:ser>
          <c:idx val="1"/>
          <c:order val="1"/>
          <c:tx>
            <c:strRef>
              <c:f>'Compare AEO Projections'!$B$3</c:f>
              <c:strCache>
                <c:ptCount val="1"/>
                <c:pt idx="0">
                  <c:v>   Space Cooling 3/ 4/</c:v>
                </c:pt>
              </c:strCache>
            </c:strRef>
          </c:tx>
          <c:spPr>
            <a:ln w="28575" cap="rnd">
              <a:solidFill>
                <a:schemeClr val="accent2"/>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Projections'!$C$3:$AC$3</c:f>
              <c:numCache>
                <c:formatCode>0.00</c:formatCode>
                <c:ptCount val="27"/>
                <c:pt idx="0">
                  <c:v>2.2041345962524383E-2</c:v>
                </c:pt>
                <c:pt idx="1">
                  <c:v>-4.6921929550171049E-3</c:v>
                </c:pt>
                <c:pt idx="2">
                  <c:v>-8.9474821090695933E-4</c:v>
                </c:pt>
                <c:pt idx="3">
                  <c:v>6.3265405082703063E-3</c:v>
                </c:pt>
                <c:pt idx="4">
                  <c:v>1.0618759048461879E-2</c:v>
                </c:pt>
                <c:pt idx="5">
                  <c:v>1.115771718215941E-2</c:v>
                </c:pt>
                <c:pt idx="6">
                  <c:v>1.0678512004852259E-2</c:v>
                </c:pt>
                <c:pt idx="7">
                  <c:v>9.7295917320251446E-3</c:v>
                </c:pt>
                <c:pt idx="8">
                  <c:v>9.5505579376220506E-3</c:v>
                </c:pt>
                <c:pt idx="9">
                  <c:v>1.0241152973175072E-2</c:v>
                </c:pt>
                <c:pt idx="10">
                  <c:v>1.2429824611663864E-2</c:v>
                </c:pt>
                <c:pt idx="11">
                  <c:v>1.5776927288055465E-2</c:v>
                </c:pt>
                <c:pt idx="12">
                  <c:v>2.06164140739441E-2</c:v>
                </c:pt>
                <c:pt idx="13">
                  <c:v>2.6189605369567825E-2</c:v>
                </c:pt>
                <c:pt idx="14">
                  <c:v>3.2189284671783502E-2</c:v>
                </c:pt>
                <c:pt idx="15">
                  <c:v>3.8704530872344933E-2</c:v>
                </c:pt>
                <c:pt idx="16">
                  <c:v>4.5120493412017848E-2</c:v>
                </c:pt>
                <c:pt idx="17">
                  <c:v>5.0917071022033689E-2</c:v>
                </c:pt>
                <c:pt idx="18">
                  <c:v>5.5404059875488243E-2</c:v>
                </c:pt>
                <c:pt idx="19">
                  <c:v>5.9701202190399205E-2</c:v>
                </c:pt>
                <c:pt idx="20">
                  <c:v>6.3523798561096245E-2</c:v>
                </c:pt>
                <c:pt idx="21">
                  <c:v>6.6800295791625941E-2</c:v>
                </c:pt>
                <c:pt idx="22">
                  <c:v>6.8869857307434112E-2</c:v>
                </c:pt>
                <c:pt idx="23">
                  <c:v>7.0693356929779072E-2</c:v>
                </c:pt>
                <c:pt idx="24">
                  <c:v>7.3102605720519964E-2</c:v>
                </c:pt>
                <c:pt idx="25">
                  <c:v>7.6570219474792478E-2</c:v>
                </c:pt>
                <c:pt idx="26">
                  <c:v>8.0401625991821324E-2</c:v>
                </c:pt>
              </c:numCache>
            </c:numRef>
          </c:val>
          <c:smooth val="0"/>
          <c:extLst>
            <c:ext xmlns:c16="http://schemas.microsoft.com/office/drawing/2014/chart" uri="{C3380CC4-5D6E-409C-BE32-E72D297353CC}">
              <c16:uniqueId val="{00000001-F45E-4063-AE8E-0E846134FB6B}"/>
            </c:ext>
          </c:extLst>
        </c:ser>
        <c:ser>
          <c:idx val="2"/>
          <c:order val="2"/>
          <c:tx>
            <c:strRef>
              <c:f>'Compare AEO Projections'!$B$4</c:f>
              <c:strCache>
                <c:ptCount val="1"/>
                <c:pt idx="0">
                  <c:v>   Water Heating 3/</c:v>
                </c:pt>
              </c:strCache>
            </c:strRef>
          </c:tx>
          <c:spPr>
            <a:ln w="28575" cap="rnd">
              <a:solidFill>
                <a:schemeClr val="accent3"/>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Projections'!$C$4:$AC$4</c:f>
              <c:numCache>
                <c:formatCode>0.00</c:formatCode>
                <c:ptCount val="27"/>
                <c:pt idx="0">
                  <c:v>5.1359571154117586E-2</c:v>
                </c:pt>
                <c:pt idx="1">
                  <c:v>5.1187839810848235E-2</c:v>
                </c:pt>
                <c:pt idx="2">
                  <c:v>5.1527577488899232E-2</c:v>
                </c:pt>
                <c:pt idx="3">
                  <c:v>5.2139341289043427E-2</c:v>
                </c:pt>
                <c:pt idx="4">
                  <c:v>5.236882102441788E-2</c:v>
                </c:pt>
                <c:pt idx="5">
                  <c:v>5.2117457830905919E-2</c:v>
                </c:pt>
                <c:pt idx="6">
                  <c:v>5.1607460767269131E-2</c:v>
                </c:pt>
                <c:pt idx="7">
                  <c:v>5.0969810322284703E-2</c:v>
                </c:pt>
                <c:pt idx="8">
                  <c:v>5.0416439581871031E-2</c:v>
                </c:pt>
                <c:pt idx="9">
                  <c:v>4.9781612419605256E-2</c:v>
                </c:pt>
                <c:pt idx="10">
                  <c:v>4.9260222026824951E-2</c:v>
                </c:pt>
                <c:pt idx="11">
                  <c:v>4.8851030529975886E-2</c:v>
                </c:pt>
                <c:pt idx="12">
                  <c:v>4.8597389670848846E-2</c:v>
                </c:pt>
                <c:pt idx="13">
                  <c:v>4.839318960142136E-2</c:v>
                </c:pt>
                <c:pt idx="14">
                  <c:v>4.8188275956153867E-2</c:v>
                </c:pt>
                <c:pt idx="15">
                  <c:v>4.7995040615081787E-2</c:v>
                </c:pt>
                <c:pt idx="16">
                  <c:v>4.7738777568340302E-2</c:v>
                </c:pt>
                <c:pt idx="17">
                  <c:v>4.7390027162551876E-2</c:v>
                </c:pt>
                <c:pt idx="18">
                  <c:v>4.6916388803958889E-2</c:v>
                </c:pt>
                <c:pt idx="19">
                  <c:v>4.6393638141632082E-2</c:v>
                </c:pt>
                <c:pt idx="20">
                  <c:v>4.5839139894962314E-2</c:v>
                </c:pt>
                <c:pt idx="21">
                  <c:v>4.5269671149253843E-2</c:v>
                </c:pt>
                <c:pt idx="22">
                  <c:v>4.4674594398975372E-2</c:v>
                </c:pt>
                <c:pt idx="23">
                  <c:v>4.4096654586791989E-2</c:v>
                </c:pt>
                <c:pt idx="24">
                  <c:v>4.3566128647327423E-2</c:v>
                </c:pt>
                <c:pt idx="25">
                  <c:v>4.3089068375587465E-2</c:v>
                </c:pt>
                <c:pt idx="26">
                  <c:v>4.2655590396881098E-2</c:v>
                </c:pt>
              </c:numCache>
            </c:numRef>
          </c:val>
          <c:smooth val="0"/>
          <c:extLst>
            <c:ext xmlns:c16="http://schemas.microsoft.com/office/drawing/2014/chart" uri="{C3380CC4-5D6E-409C-BE32-E72D297353CC}">
              <c16:uniqueId val="{00000002-F45E-4063-AE8E-0E846134FB6B}"/>
            </c:ext>
          </c:extLst>
        </c:ser>
        <c:ser>
          <c:idx val="3"/>
          <c:order val="3"/>
          <c:tx>
            <c:strRef>
              <c:f>'Compare AEO Projections'!$B$5</c:f>
              <c:strCache>
                <c:ptCount val="1"/>
                <c:pt idx="0">
                  <c:v>   Ventilation 4/</c:v>
                </c:pt>
              </c:strCache>
            </c:strRef>
          </c:tx>
          <c:spPr>
            <a:ln w="28575" cap="rnd">
              <a:solidFill>
                <a:schemeClr val="accent4"/>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Projections'!$C$5:$AC$5</c:f>
              <c:numCache>
                <c:formatCode>0.00</c:formatCode>
                <c:ptCount val="27"/>
                <c:pt idx="0">
                  <c:v>0.34460013108825682</c:v>
                </c:pt>
                <c:pt idx="1">
                  <c:v>0.3622104161643982</c:v>
                </c:pt>
                <c:pt idx="2">
                  <c:v>0.38488551269531251</c:v>
                </c:pt>
                <c:pt idx="3">
                  <c:v>0.41356868427276611</c:v>
                </c:pt>
                <c:pt idx="4">
                  <c:v>0.43885861957168582</c:v>
                </c:pt>
                <c:pt idx="5">
                  <c:v>0.45919620986557008</c:v>
                </c:pt>
                <c:pt idx="6">
                  <c:v>0.47460241533660891</c:v>
                </c:pt>
                <c:pt idx="7">
                  <c:v>0.48928599203491213</c:v>
                </c:pt>
                <c:pt idx="8">
                  <c:v>0.50490293235015871</c:v>
                </c:pt>
                <c:pt idx="9">
                  <c:v>0.5202722159881592</c:v>
                </c:pt>
                <c:pt idx="10">
                  <c:v>0.53692345595550539</c:v>
                </c:pt>
                <c:pt idx="11">
                  <c:v>0.55478489804458619</c:v>
                </c:pt>
                <c:pt idx="12">
                  <c:v>0.57441237579727167</c:v>
                </c:pt>
                <c:pt idx="13">
                  <c:v>0.59423965782165533</c:v>
                </c:pt>
                <c:pt idx="14">
                  <c:v>0.61412050073623659</c:v>
                </c:pt>
                <c:pt idx="15">
                  <c:v>0.63419400336074827</c:v>
                </c:pt>
                <c:pt idx="16">
                  <c:v>0.65347562899017331</c:v>
                </c:pt>
                <c:pt idx="17">
                  <c:v>0.67167463279724116</c:v>
                </c:pt>
                <c:pt idx="18">
                  <c:v>0.68830355668640131</c:v>
                </c:pt>
                <c:pt idx="19">
                  <c:v>0.70414485467529297</c:v>
                </c:pt>
                <c:pt idx="20">
                  <c:v>0.71947026902008049</c:v>
                </c:pt>
                <c:pt idx="21">
                  <c:v>0.73470921723556515</c:v>
                </c:pt>
                <c:pt idx="22">
                  <c:v>0.74954516062927246</c:v>
                </c:pt>
                <c:pt idx="23">
                  <c:v>0.76466757449340794</c:v>
                </c:pt>
                <c:pt idx="24">
                  <c:v>0.78044381659698514</c:v>
                </c:pt>
                <c:pt idx="25">
                  <c:v>0.79701813439941405</c:v>
                </c:pt>
                <c:pt idx="26">
                  <c:v>0.81438051492309593</c:v>
                </c:pt>
              </c:numCache>
            </c:numRef>
          </c:val>
          <c:smooth val="0"/>
          <c:extLst>
            <c:ext xmlns:c16="http://schemas.microsoft.com/office/drawing/2014/chart" uri="{C3380CC4-5D6E-409C-BE32-E72D297353CC}">
              <c16:uniqueId val="{00000003-F45E-4063-AE8E-0E846134FB6B}"/>
            </c:ext>
          </c:extLst>
        </c:ser>
        <c:ser>
          <c:idx val="4"/>
          <c:order val="4"/>
          <c:tx>
            <c:strRef>
              <c:f>'Compare AEO Projections'!$B$6</c:f>
              <c:strCache>
                <c:ptCount val="1"/>
                <c:pt idx="0">
                  <c:v>   Cooking</c:v>
                </c:pt>
              </c:strCache>
            </c:strRef>
          </c:tx>
          <c:spPr>
            <a:ln w="28575" cap="rnd">
              <a:solidFill>
                <a:schemeClr val="accent5"/>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Projections'!$C$6:$AC$6</c:f>
              <c:numCache>
                <c:formatCode>0.00</c:formatCode>
                <c:ptCount val="27"/>
                <c:pt idx="0">
                  <c:v>2.5702095036506667E-3</c:v>
                </c:pt>
                <c:pt idx="1">
                  <c:v>2.2695941319465646E-3</c:v>
                </c:pt>
                <c:pt idx="2">
                  <c:v>2.403409297466283E-3</c:v>
                </c:pt>
                <c:pt idx="3">
                  <c:v>3.2362796692848167E-3</c:v>
                </c:pt>
                <c:pt idx="4">
                  <c:v>3.7176973123550366E-3</c:v>
                </c:pt>
                <c:pt idx="5">
                  <c:v>3.7074458456039378E-3</c:v>
                </c:pt>
                <c:pt idx="6">
                  <c:v>3.4851203794479396E-3</c:v>
                </c:pt>
                <c:pt idx="7">
                  <c:v>3.1583759880065981E-3</c:v>
                </c:pt>
                <c:pt idx="8">
                  <c:v>2.9475802311897253E-3</c:v>
                </c:pt>
                <c:pt idx="9">
                  <c:v>2.8258666615486178E-3</c:v>
                </c:pt>
                <c:pt idx="10">
                  <c:v>2.8950255408287107E-3</c:v>
                </c:pt>
                <c:pt idx="11">
                  <c:v>3.0756006460189861E-3</c:v>
                </c:pt>
                <c:pt idx="12">
                  <c:v>3.4591228342056302E-3</c:v>
                </c:pt>
                <c:pt idx="13">
                  <c:v>3.9053602781295715E-3</c:v>
                </c:pt>
                <c:pt idx="14">
                  <c:v>4.384727440357214E-3</c:v>
                </c:pt>
                <c:pt idx="15">
                  <c:v>4.8738487911224315E-3</c:v>
                </c:pt>
                <c:pt idx="16">
                  <c:v>5.3004996652603192E-3</c:v>
                </c:pt>
                <c:pt idx="17">
                  <c:v>5.5953920164108217E-3</c:v>
                </c:pt>
                <c:pt idx="18">
                  <c:v>5.742828247070314E-3</c:v>
                </c:pt>
                <c:pt idx="19">
                  <c:v>5.8082053475379952E-3</c:v>
                </c:pt>
                <c:pt idx="20">
                  <c:v>5.815820321559903E-3</c:v>
                </c:pt>
                <c:pt idx="21">
                  <c:v>5.7939869976043751E-3</c:v>
                </c:pt>
                <c:pt idx="22">
                  <c:v>5.6856351337432887E-3</c:v>
                </c:pt>
                <c:pt idx="23">
                  <c:v>5.5439067783355778E-3</c:v>
                </c:pt>
                <c:pt idx="24">
                  <c:v>5.4628504819869972E-3</c:v>
                </c:pt>
                <c:pt idx="25">
                  <c:v>5.4362242226600604E-3</c:v>
                </c:pt>
                <c:pt idx="26">
                  <c:v>5.4320322065353338E-3</c:v>
                </c:pt>
              </c:numCache>
            </c:numRef>
          </c:val>
          <c:smooth val="0"/>
          <c:extLst>
            <c:ext xmlns:c16="http://schemas.microsoft.com/office/drawing/2014/chart" uri="{C3380CC4-5D6E-409C-BE32-E72D297353CC}">
              <c16:uniqueId val="{00000004-F45E-4063-AE8E-0E846134FB6B}"/>
            </c:ext>
          </c:extLst>
        </c:ser>
        <c:ser>
          <c:idx val="5"/>
          <c:order val="5"/>
          <c:tx>
            <c:strRef>
              <c:f>'Compare AEO Projections'!$B$7</c:f>
              <c:strCache>
                <c:ptCount val="1"/>
                <c:pt idx="0">
                  <c:v>   Lighting</c:v>
                </c:pt>
              </c:strCache>
            </c:strRef>
          </c:tx>
          <c:spPr>
            <a:ln w="28575" cap="rnd">
              <a:solidFill>
                <a:schemeClr val="accent6"/>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Projections'!$C$7:$AC$7</c:f>
              <c:numCache>
                <c:formatCode>0.00</c:formatCode>
                <c:ptCount val="27"/>
                <c:pt idx="0">
                  <c:v>8.9799723224639916E-2</c:v>
                </c:pt>
                <c:pt idx="1">
                  <c:v>7.6431109931945795E-2</c:v>
                </c:pt>
                <c:pt idx="2">
                  <c:v>7.1924681362152076E-2</c:v>
                </c:pt>
                <c:pt idx="3">
                  <c:v>7.4415281757354734E-2</c:v>
                </c:pt>
                <c:pt idx="4">
                  <c:v>7.5894075489044199E-2</c:v>
                </c:pt>
                <c:pt idx="5">
                  <c:v>7.4617922912597667E-2</c:v>
                </c:pt>
                <c:pt idx="6">
                  <c:v>6.7274163776397722E-2</c:v>
                </c:pt>
                <c:pt idx="7">
                  <c:v>6.0384910549163839E-2</c:v>
                </c:pt>
                <c:pt idx="8">
                  <c:v>5.5014776756286632E-2</c:v>
                </c:pt>
                <c:pt idx="9">
                  <c:v>5.0427378890991192E-2</c:v>
                </c:pt>
                <c:pt idx="10">
                  <c:v>4.7134365173339854E-2</c:v>
                </c:pt>
                <c:pt idx="11">
                  <c:v>4.4723271121978769E-2</c:v>
                </c:pt>
                <c:pt idx="12">
                  <c:v>4.4126917442321778E-2</c:v>
                </c:pt>
                <c:pt idx="13">
                  <c:v>4.5556023044586169E-2</c:v>
                </c:pt>
                <c:pt idx="14">
                  <c:v>4.8556004276275655E-2</c:v>
                </c:pt>
                <c:pt idx="15">
                  <c:v>5.3428692729949934E-2</c:v>
                </c:pt>
                <c:pt idx="16">
                  <c:v>5.3057685752868677E-2</c:v>
                </c:pt>
                <c:pt idx="17">
                  <c:v>5.2490841259002663E-2</c:v>
                </c:pt>
                <c:pt idx="18">
                  <c:v>5.143112202072142E-2</c:v>
                </c:pt>
                <c:pt idx="19">
                  <c:v>5.0195383758544931E-2</c:v>
                </c:pt>
                <c:pt idx="20">
                  <c:v>4.8812864891052243E-2</c:v>
                </c:pt>
                <c:pt idx="21">
                  <c:v>4.7379029579162624E-2</c:v>
                </c:pt>
                <c:pt idx="22">
                  <c:v>4.5338618751525894E-2</c:v>
                </c:pt>
                <c:pt idx="23">
                  <c:v>4.2990990760803205E-2</c:v>
                </c:pt>
                <c:pt idx="24">
                  <c:v>4.123121833038329E-2</c:v>
                </c:pt>
                <c:pt idx="25">
                  <c:v>3.9847639019012449E-2</c:v>
                </c:pt>
                <c:pt idx="26">
                  <c:v>3.8873367496490452E-2</c:v>
                </c:pt>
              </c:numCache>
            </c:numRef>
          </c:val>
          <c:smooth val="0"/>
          <c:extLst>
            <c:ext xmlns:c16="http://schemas.microsoft.com/office/drawing/2014/chart" uri="{C3380CC4-5D6E-409C-BE32-E72D297353CC}">
              <c16:uniqueId val="{00000005-F45E-4063-AE8E-0E846134FB6B}"/>
            </c:ext>
          </c:extLst>
        </c:ser>
        <c:ser>
          <c:idx val="6"/>
          <c:order val="6"/>
          <c:tx>
            <c:strRef>
              <c:f>'Compare AEO Projections'!$B$8</c:f>
              <c:strCache>
                <c:ptCount val="1"/>
                <c:pt idx="0">
                  <c:v>   Refrigeration</c:v>
                </c:pt>
              </c:strCache>
            </c:strRef>
          </c:tx>
          <c:spPr>
            <a:ln w="28575" cap="rnd">
              <a:solidFill>
                <a:schemeClr val="accent1">
                  <a:lumMod val="60000"/>
                </a:schemeClr>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Projections'!$C$8:$AC$8</c:f>
              <c:numCache>
                <c:formatCode>0.00</c:formatCode>
                <c:ptCount val="27"/>
                <c:pt idx="0">
                  <c:v>-0.23537984722137451</c:v>
                </c:pt>
                <c:pt idx="1">
                  <c:v>-0.23784351553535465</c:v>
                </c:pt>
                <c:pt idx="2">
                  <c:v>-0.23895241106605525</c:v>
                </c:pt>
                <c:pt idx="3">
                  <c:v>-0.23790508718872072</c:v>
                </c:pt>
                <c:pt idx="4">
                  <c:v>-0.23755201054000846</c:v>
                </c:pt>
                <c:pt idx="5">
                  <c:v>-0.23843202921676637</c:v>
                </c:pt>
                <c:pt idx="6">
                  <c:v>-0.23994730577278139</c:v>
                </c:pt>
                <c:pt idx="7">
                  <c:v>-0.24209866299629212</c:v>
                </c:pt>
                <c:pt idx="8">
                  <c:v>-0.24380485176086436</c:v>
                </c:pt>
                <c:pt idx="9">
                  <c:v>-0.24473831931304935</c:v>
                </c:pt>
                <c:pt idx="10">
                  <c:v>-0.24485179133415225</c:v>
                </c:pt>
                <c:pt idx="11">
                  <c:v>-0.24452576352500927</c:v>
                </c:pt>
                <c:pt idx="12">
                  <c:v>-0.24355557344436646</c:v>
                </c:pt>
                <c:pt idx="13">
                  <c:v>-0.24219535854339602</c:v>
                </c:pt>
                <c:pt idx="14">
                  <c:v>-0.24035757211494452</c:v>
                </c:pt>
                <c:pt idx="15">
                  <c:v>-0.2382591362228394</c:v>
                </c:pt>
                <c:pt idx="16">
                  <c:v>-0.23619487008476259</c:v>
                </c:pt>
                <c:pt idx="17">
                  <c:v>-0.23467645660209663</c:v>
                </c:pt>
                <c:pt idx="18">
                  <c:v>-0.2334790075721741</c:v>
                </c:pt>
                <c:pt idx="19">
                  <c:v>-0.2324697244491577</c:v>
                </c:pt>
                <c:pt idx="20">
                  <c:v>-0.23159023836517328</c:v>
                </c:pt>
                <c:pt idx="21">
                  <c:v>-0.23077122587394711</c:v>
                </c:pt>
                <c:pt idx="22">
                  <c:v>-0.23016246718978883</c:v>
                </c:pt>
                <c:pt idx="23">
                  <c:v>-0.22971591855812068</c:v>
                </c:pt>
                <c:pt idx="24">
                  <c:v>-0.22924359529685973</c:v>
                </c:pt>
                <c:pt idx="25">
                  <c:v>-0.22880255195808408</c:v>
                </c:pt>
                <c:pt idx="26">
                  <c:v>-0.2284333686676025</c:v>
                </c:pt>
              </c:numCache>
            </c:numRef>
          </c:val>
          <c:smooth val="0"/>
          <c:extLst>
            <c:ext xmlns:c16="http://schemas.microsoft.com/office/drawing/2014/chart" uri="{C3380CC4-5D6E-409C-BE32-E72D297353CC}">
              <c16:uniqueId val="{00000006-F45E-4063-AE8E-0E846134FB6B}"/>
            </c:ext>
          </c:extLst>
        </c:ser>
        <c:ser>
          <c:idx val="7"/>
          <c:order val="7"/>
          <c:tx>
            <c:strRef>
              <c:f>'Compare AEO Projections'!$B$9</c:f>
              <c:strCache>
                <c:ptCount val="1"/>
                <c:pt idx="0">
                  <c:v>   Computing 4/ 5/</c:v>
                </c:pt>
              </c:strCache>
            </c:strRef>
          </c:tx>
          <c:spPr>
            <a:ln w="28575" cap="rnd">
              <a:solidFill>
                <a:schemeClr val="accent2">
                  <a:lumMod val="60000"/>
                </a:schemeClr>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Projections'!$C$9:$AC$9</c:f>
              <c:numCache>
                <c:formatCode>0.00</c:formatCode>
                <c:ptCount val="27"/>
                <c:pt idx="0">
                  <c:v>-9.8911644277572597E-2</c:v>
                </c:pt>
                <c:pt idx="1">
                  <c:v>-9.0030899026870725E-2</c:v>
                </c:pt>
                <c:pt idx="2">
                  <c:v>-7.9007497829437334E-2</c:v>
                </c:pt>
                <c:pt idx="3">
                  <c:v>-6.6098105607986513E-2</c:v>
                </c:pt>
                <c:pt idx="4">
                  <c:v>-5.3549159786224432E-2</c:v>
                </c:pt>
                <c:pt idx="5">
                  <c:v>-4.1740334590911921E-2</c:v>
                </c:pt>
                <c:pt idx="6">
                  <c:v>-3.0580972883224478E-2</c:v>
                </c:pt>
                <c:pt idx="7">
                  <c:v>-1.8866297872543292E-2</c:v>
                </c:pt>
                <c:pt idx="8">
                  <c:v>-6.3690430946350407E-3</c:v>
                </c:pt>
                <c:pt idx="9">
                  <c:v>7.6908162002563563E-3</c:v>
                </c:pt>
                <c:pt idx="10">
                  <c:v>2.3013677085876427E-2</c:v>
                </c:pt>
                <c:pt idx="11">
                  <c:v>4.0045197925567599E-2</c:v>
                </c:pt>
                <c:pt idx="12">
                  <c:v>5.7879824920654244E-2</c:v>
                </c:pt>
                <c:pt idx="13">
                  <c:v>7.8445644817352278E-2</c:v>
                </c:pt>
                <c:pt idx="14">
                  <c:v>9.9166547966003438E-2</c:v>
                </c:pt>
                <c:pt idx="15">
                  <c:v>0.12168669745254512</c:v>
                </c:pt>
                <c:pt idx="16">
                  <c:v>0.14593951111221315</c:v>
                </c:pt>
                <c:pt idx="17">
                  <c:v>0.17186632680511471</c:v>
                </c:pt>
                <c:pt idx="18">
                  <c:v>0.19825782631683353</c:v>
                </c:pt>
                <c:pt idx="19">
                  <c:v>0.22520793509674075</c:v>
                </c:pt>
                <c:pt idx="20">
                  <c:v>0.25456658172988889</c:v>
                </c:pt>
                <c:pt idx="21">
                  <c:v>0.28466126360321042</c:v>
                </c:pt>
                <c:pt idx="22">
                  <c:v>0.31543400138854982</c:v>
                </c:pt>
                <c:pt idx="23">
                  <c:v>0.34892953081512501</c:v>
                </c:pt>
                <c:pt idx="24">
                  <c:v>0.38353183697509807</c:v>
                </c:pt>
                <c:pt idx="25">
                  <c:v>0.41898193469238298</c:v>
                </c:pt>
                <c:pt idx="26">
                  <c:v>0.45704746051788303</c:v>
                </c:pt>
              </c:numCache>
            </c:numRef>
          </c:val>
          <c:smooth val="0"/>
          <c:extLst>
            <c:ext xmlns:c16="http://schemas.microsoft.com/office/drawing/2014/chart" uri="{C3380CC4-5D6E-409C-BE32-E72D297353CC}">
              <c16:uniqueId val="{00000007-F45E-4063-AE8E-0E846134FB6B}"/>
            </c:ext>
          </c:extLst>
        </c:ser>
        <c:ser>
          <c:idx val="8"/>
          <c:order val="8"/>
          <c:tx>
            <c:strRef>
              <c:f>'Compare AEO Projections'!$B$10</c:f>
              <c:strCache>
                <c:ptCount val="1"/>
                <c:pt idx="0">
                  <c:v>   Office Equipment</c:v>
                </c:pt>
              </c:strCache>
            </c:strRef>
          </c:tx>
          <c:spPr>
            <a:ln w="28575" cap="rnd">
              <a:solidFill>
                <a:schemeClr val="accent3">
                  <a:lumMod val="60000"/>
                </a:schemeClr>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Projections'!$C$10:$AC$10</c:f>
              <c:numCache>
                <c:formatCode>0.00</c:formatCode>
                <c:ptCount val="27"/>
                <c:pt idx="0">
                  <c:v>-0.12954512157034873</c:v>
                </c:pt>
                <c:pt idx="1">
                  <c:v>-0.12988976735997201</c:v>
                </c:pt>
                <c:pt idx="2">
                  <c:v>-0.1303437356724739</c:v>
                </c:pt>
                <c:pt idx="3">
                  <c:v>-0.13070644067549705</c:v>
                </c:pt>
                <c:pt idx="4">
                  <c:v>-0.13133214717245101</c:v>
                </c:pt>
                <c:pt idx="5">
                  <c:v>-0.13239646444392203</c:v>
                </c:pt>
                <c:pt idx="6">
                  <c:v>-0.13384342475438119</c:v>
                </c:pt>
                <c:pt idx="7">
                  <c:v>-0.13530292414832115</c:v>
                </c:pt>
                <c:pt idx="8">
                  <c:v>-0.13696589941763879</c:v>
                </c:pt>
                <c:pt idx="9">
                  <c:v>-0.13839617655086517</c:v>
                </c:pt>
                <c:pt idx="10">
                  <c:v>-0.13933279382038116</c:v>
                </c:pt>
                <c:pt idx="11">
                  <c:v>-0.14043858377408983</c:v>
                </c:pt>
                <c:pt idx="12">
                  <c:v>-0.14113673850488662</c:v>
                </c:pt>
                <c:pt idx="13">
                  <c:v>-0.14173078970980643</c:v>
                </c:pt>
                <c:pt idx="14">
                  <c:v>-0.14227038769888878</c:v>
                </c:pt>
                <c:pt idx="15">
                  <c:v>-0.14214626959228516</c:v>
                </c:pt>
                <c:pt idx="16">
                  <c:v>-0.14203088549613951</c:v>
                </c:pt>
                <c:pt idx="17">
                  <c:v>-0.14171912347865104</c:v>
                </c:pt>
                <c:pt idx="18">
                  <c:v>-0.14087127086162568</c:v>
                </c:pt>
                <c:pt idx="19">
                  <c:v>-0.1397808083870411</c:v>
                </c:pt>
                <c:pt idx="20">
                  <c:v>-0.13851495375037193</c:v>
                </c:pt>
                <c:pt idx="21">
                  <c:v>-0.13683230835199356</c:v>
                </c:pt>
                <c:pt idx="22">
                  <c:v>-0.13492575927901268</c:v>
                </c:pt>
                <c:pt idx="23">
                  <c:v>-0.13261424693965912</c:v>
                </c:pt>
                <c:pt idx="24">
                  <c:v>-0.12984893200230599</c:v>
                </c:pt>
                <c:pt idx="25">
                  <c:v>-0.12656377882981301</c:v>
                </c:pt>
                <c:pt idx="26">
                  <c:v>-0.12250382336068152</c:v>
                </c:pt>
              </c:numCache>
            </c:numRef>
          </c:val>
          <c:smooth val="0"/>
          <c:extLst>
            <c:ext xmlns:c16="http://schemas.microsoft.com/office/drawing/2014/chart" uri="{C3380CC4-5D6E-409C-BE32-E72D297353CC}">
              <c16:uniqueId val="{00000008-F45E-4063-AE8E-0E846134FB6B}"/>
            </c:ext>
          </c:extLst>
        </c:ser>
        <c:ser>
          <c:idx val="9"/>
          <c:order val="9"/>
          <c:tx>
            <c:strRef>
              <c:f>'Compare AEO Projections'!$B$11</c:f>
              <c:strCache>
                <c:ptCount val="1"/>
                <c:pt idx="0">
                  <c:v>   Other Uses 4/ 6/</c:v>
                </c:pt>
              </c:strCache>
            </c:strRef>
          </c:tx>
          <c:spPr>
            <a:ln w="28575" cap="rnd">
              <a:solidFill>
                <a:schemeClr val="accent4">
                  <a:lumMod val="60000"/>
                </a:schemeClr>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Projections'!$C$11:$AC$11</c:f>
              <c:numCache>
                <c:formatCode>0.00</c:formatCode>
                <c:ptCount val="27"/>
                <c:pt idx="0">
                  <c:v>6.5655814643860166E-2</c:v>
                </c:pt>
                <c:pt idx="1">
                  <c:v>0.15705306153869603</c:v>
                </c:pt>
                <c:pt idx="2">
                  <c:v>8.871135976409894E-2</c:v>
                </c:pt>
                <c:pt idx="3">
                  <c:v>7.7747084587096893E-2</c:v>
                </c:pt>
                <c:pt idx="4">
                  <c:v>4.1485585731505958E-2</c:v>
                </c:pt>
                <c:pt idx="5">
                  <c:v>5.408862631988498E-2</c:v>
                </c:pt>
                <c:pt idx="6">
                  <c:v>6.252547332000713E-2</c:v>
                </c:pt>
                <c:pt idx="7">
                  <c:v>6.9078815155029005E-2</c:v>
                </c:pt>
                <c:pt idx="8">
                  <c:v>7.6208097808837971E-2</c:v>
                </c:pt>
                <c:pt idx="9">
                  <c:v>8.5125367004394992E-2</c:v>
                </c:pt>
                <c:pt idx="10">
                  <c:v>9.6448026657103947E-2</c:v>
                </c:pt>
                <c:pt idx="11">
                  <c:v>0.10951984678649906</c:v>
                </c:pt>
                <c:pt idx="12">
                  <c:v>0.12469917292785615</c:v>
                </c:pt>
                <c:pt idx="13">
                  <c:v>0.14139728596496592</c:v>
                </c:pt>
                <c:pt idx="14">
                  <c:v>0.15914519148254413</c:v>
                </c:pt>
                <c:pt idx="15">
                  <c:v>0.17761630641174309</c:v>
                </c:pt>
                <c:pt idx="16">
                  <c:v>0.19664084036254881</c:v>
                </c:pt>
                <c:pt idx="17">
                  <c:v>0.21499369104003918</c:v>
                </c:pt>
                <c:pt idx="18">
                  <c:v>0.23289447425842269</c:v>
                </c:pt>
                <c:pt idx="19">
                  <c:v>0.25014329351806586</c:v>
                </c:pt>
                <c:pt idx="20">
                  <c:v>0.26725381063842812</c:v>
                </c:pt>
                <c:pt idx="21">
                  <c:v>0.28385951286315914</c:v>
                </c:pt>
                <c:pt idx="22">
                  <c:v>0.30011944924926803</c:v>
                </c:pt>
                <c:pt idx="23">
                  <c:v>0.3156042532501222</c:v>
                </c:pt>
                <c:pt idx="24">
                  <c:v>0.33150642022705057</c:v>
                </c:pt>
                <c:pt idx="25">
                  <c:v>0.34784473968505925</c:v>
                </c:pt>
                <c:pt idx="26">
                  <c:v>0.36447505754089393</c:v>
                </c:pt>
              </c:numCache>
            </c:numRef>
          </c:val>
          <c:smooth val="0"/>
          <c:extLst>
            <c:ext xmlns:c16="http://schemas.microsoft.com/office/drawing/2014/chart" uri="{C3380CC4-5D6E-409C-BE32-E72D297353CC}">
              <c16:uniqueId val="{00000009-F45E-4063-AE8E-0E846134FB6B}"/>
            </c:ext>
          </c:extLst>
        </c:ser>
        <c:dLbls>
          <c:showLegendKey val="0"/>
          <c:showVal val="0"/>
          <c:showCatName val="0"/>
          <c:showSerName val="0"/>
          <c:showPercent val="0"/>
          <c:showBubbleSize val="0"/>
        </c:dLbls>
        <c:smooth val="0"/>
        <c:axId val="653547056"/>
        <c:axId val="534262720"/>
      </c:lineChart>
      <c:catAx>
        <c:axId val="65354705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534262720"/>
        <c:crosses val="autoZero"/>
        <c:auto val="1"/>
        <c:lblAlgn val="ctr"/>
        <c:lblOffset val="100"/>
        <c:noMultiLvlLbl val="0"/>
      </c:catAx>
      <c:valAx>
        <c:axId val="534262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65354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Difference AEO 2025 - AEO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lineChart>
        <c:grouping val="standard"/>
        <c:varyColors val="0"/>
        <c:ser>
          <c:idx val="11"/>
          <c:order val="0"/>
          <c:tx>
            <c:strRef>
              <c:f>'Compare AEO Projections'!$B$40</c:f>
              <c:strCache>
                <c:ptCount val="1"/>
                <c:pt idx="0">
                  <c:v>AEO 2025 Data Center Growth (TWh)</c:v>
                </c:pt>
              </c:strCache>
            </c:strRef>
          </c:tx>
          <c:spPr>
            <a:ln w="28575" cap="rnd">
              <a:solidFill>
                <a:schemeClr val="accent6">
                  <a:lumMod val="60000"/>
                </a:schemeClr>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Projections'!$C$40:$AC$40</c:f>
              <c:numCache>
                <c:formatCode>0</c:formatCode>
                <c:ptCount val="27"/>
                <c:pt idx="0">
                  <c:v>91.24979526803763</c:v>
                </c:pt>
                <c:pt idx="1">
                  <c:v>125.80087300006551</c:v>
                </c:pt>
                <c:pt idx="2">
                  <c:v>115.64753066529137</c:v>
                </c:pt>
                <c:pt idx="3">
                  <c:v>124.62416859668127</c:v>
                </c:pt>
                <c:pt idx="4">
                  <c:v>125.08647289477355</c:v>
                </c:pt>
                <c:pt idx="5">
                  <c:v>138.20178827507127</c:v>
                </c:pt>
                <c:pt idx="6">
                  <c:v>148.4604090777818</c:v>
                </c:pt>
                <c:pt idx="7">
                  <c:v>158.11796873311781</c:v>
                </c:pt>
                <c:pt idx="8">
                  <c:v>168.44724122636623</c:v>
                </c:pt>
                <c:pt idx="9">
                  <c:v>179.68593176811564</c:v>
                </c:pt>
                <c:pt idx="10">
                  <c:v>192.37548642980241</c:v>
                </c:pt>
                <c:pt idx="11">
                  <c:v>206.43316024520891</c:v>
                </c:pt>
                <c:pt idx="12">
                  <c:v>221.86148113885758</c:v>
                </c:pt>
                <c:pt idx="13">
                  <c:v>238.59395914536151</c:v>
                </c:pt>
                <c:pt idx="14">
                  <c:v>255.69526382906921</c:v>
                </c:pt>
                <c:pt idx="15">
                  <c:v>273.59232333676334</c:v>
                </c:pt>
                <c:pt idx="16">
                  <c:v>291.92730963216155</c:v>
                </c:pt>
                <c:pt idx="17">
                  <c:v>310.23876044618839</c:v>
                </c:pt>
                <c:pt idx="18">
                  <c:v>328.09374480118919</c:v>
                </c:pt>
                <c:pt idx="19">
                  <c:v>345.6905285140972</c:v>
                </c:pt>
                <c:pt idx="20">
                  <c:v>363.80148340808836</c:v>
                </c:pt>
                <c:pt idx="21">
                  <c:v>381.95486333585427</c:v>
                </c:pt>
                <c:pt idx="22">
                  <c:v>400.08751795635709</c:v>
                </c:pt>
                <c:pt idx="23">
                  <c:v>418.87495854591305</c:v>
                </c:pt>
                <c:pt idx="24">
                  <c:v>438.30072502905449</c:v>
                </c:pt>
                <c:pt idx="25">
                  <c:v>458.33669659345139</c:v>
                </c:pt>
                <c:pt idx="26">
                  <c:v>479.4557540978526</c:v>
                </c:pt>
              </c:numCache>
            </c:numRef>
          </c:val>
          <c:smooth val="0"/>
          <c:extLst>
            <c:ext xmlns:c16="http://schemas.microsoft.com/office/drawing/2014/chart" uri="{C3380CC4-5D6E-409C-BE32-E72D297353CC}">
              <c16:uniqueId val="{00000000-F998-4159-84D6-ADED35F4D2D1}"/>
            </c:ext>
          </c:extLst>
        </c:ser>
        <c:dLbls>
          <c:showLegendKey val="0"/>
          <c:showVal val="0"/>
          <c:showCatName val="0"/>
          <c:showSerName val="0"/>
          <c:showPercent val="0"/>
          <c:showBubbleSize val="0"/>
        </c:dLbls>
        <c:smooth val="0"/>
        <c:axId val="653547056"/>
        <c:axId val="534262720"/>
      </c:lineChart>
      <c:catAx>
        <c:axId val="65354705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534262720"/>
        <c:crosses val="autoZero"/>
        <c:auto val="1"/>
        <c:lblAlgn val="ctr"/>
        <c:lblOffset val="100"/>
        <c:noMultiLvlLbl val="0"/>
      </c:catAx>
      <c:valAx>
        <c:axId val="53426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65354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Ventilation,</a:t>
            </a:r>
            <a:r>
              <a:rPr lang="en-US" baseline="0"/>
              <a:t> Computing, and Other Uses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lineChart>
        <c:grouping val="standard"/>
        <c:varyColors val="0"/>
        <c:ser>
          <c:idx val="11"/>
          <c:order val="0"/>
          <c:tx>
            <c:strRef>
              <c:f>'Compare AEO Projections'!$B$63</c:f>
              <c:strCache>
                <c:ptCount val="1"/>
                <c:pt idx="0">
                  <c:v>AEO 2023</c:v>
                </c:pt>
              </c:strCache>
            </c:strRef>
          </c:tx>
          <c:spPr>
            <a:ln w="28575" cap="rnd">
              <a:solidFill>
                <a:schemeClr val="accent6">
                  <a:lumMod val="60000"/>
                </a:schemeClr>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Projections'!$C$63:$AC$63</c:f>
              <c:numCache>
                <c:formatCode>#,##0.00</c:formatCode>
                <c:ptCount val="27"/>
                <c:pt idx="0">
                  <c:v>2.6710289999999999</c:v>
                </c:pt>
                <c:pt idx="1">
                  <c:v>2.6960129999999998</c:v>
                </c:pt>
                <c:pt idx="2">
                  <c:v>2.675408</c:v>
                </c:pt>
                <c:pt idx="3">
                  <c:v>2.6633070000000001</c:v>
                </c:pt>
                <c:pt idx="4">
                  <c:v>2.6626829999999999</c:v>
                </c:pt>
                <c:pt idx="5">
                  <c:v>2.6595630000000003</c:v>
                </c:pt>
                <c:pt idx="6">
                  <c:v>2.680577</c:v>
                </c:pt>
                <c:pt idx="7">
                  <c:v>2.703246</c:v>
                </c:pt>
                <c:pt idx="8">
                  <c:v>2.7267960000000002</c:v>
                </c:pt>
                <c:pt idx="9">
                  <c:v>2.751919</c:v>
                </c:pt>
                <c:pt idx="10">
                  <c:v>2.7775219999999998</c:v>
                </c:pt>
                <c:pt idx="11">
                  <c:v>2.8011279999999998</c:v>
                </c:pt>
                <c:pt idx="12">
                  <c:v>2.8238590000000001</c:v>
                </c:pt>
                <c:pt idx="13">
                  <c:v>2.846749</c:v>
                </c:pt>
                <c:pt idx="14">
                  <c:v>2.870663</c:v>
                </c:pt>
                <c:pt idx="15">
                  <c:v>2.8931719999999999</c:v>
                </c:pt>
                <c:pt idx="16">
                  <c:v>2.915991</c:v>
                </c:pt>
                <c:pt idx="17">
                  <c:v>2.938752</c:v>
                </c:pt>
                <c:pt idx="18">
                  <c:v>2.9616280000000001</c:v>
                </c:pt>
                <c:pt idx="19">
                  <c:v>2.9858180000000001</c:v>
                </c:pt>
                <c:pt idx="20">
                  <c:v>3.0115660000000002</c:v>
                </c:pt>
                <c:pt idx="21">
                  <c:v>3.0393680000000001</c:v>
                </c:pt>
                <c:pt idx="22">
                  <c:v>3.0680190000000001</c:v>
                </c:pt>
                <c:pt idx="23">
                  <c:v>3.0990739999999999</c:v>
                </c:pt>
                <c:pt idx="24">
                  <c:v>3.1321919999999999</c:v>
                </c:pt>
                <c:pt idx="25">
                  <c:v>3.1671480000000001</c:v>
                </c:pt>
                <c:pt idx="26">
                  <c:v>3.2043090000000003</c:v>
                </c:pt>
              </c:numCache>
            </c:numRef>
          </c:val>
          <c:smooth val="0"/>
          <c:extLst>
            <c:ext xmlns:c16="http://schemas.microsoft.com/office/drawing/2014/chart" uri="{C3380CC4-5D6E-409C-BE32-E72D297353CC}">
              <c16:uniqueId val="{00000000-E792-4545-AE6C-33DB76CDBA4B}"/>
            </c:ext>
          </c:extLst>
        </c:ser>
        <c:ser>
          <c:idx val="0"/>
          <c:order val="1"/>
          <c:tx>
            <c:strRef>
              <c:f>'Compare AEO Projections'!$B$64</c:f>
              <c:strCache>
                <c:ptCount val="1"/>
                <c:pt idx="0">
                  <c:v>AEO 2025</c:v>
                </c:pt>
              </c:strCache>
            </c:strRef>
          </c:tx>
          <c:spPr>
            <a:ln w="28575" cap="rnd">
              <a:solidFill>
                <a:schemeClr val="accent1"/>
              </a:solidFill>
              <a:round/>
            </a:ln>
            <a:effectLst/>
          </c:spPr>
          <c:marker>
            <c:symbol val="none"/>
          </c:marker>
          <c:cat>
            <c:numRef>
              <c:f>'Compare AEO Projections'!$C$1:$AC$1</c:f>
              <c:numCache>
                <c:formatCode>0</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'Compare AEO Projections'!$C$64:$AC$64</c:f>
              <c:numCache>
                <c:formatCode>#,##0.00</c:formatCode>
                <c:ptCount val="27"/>
                <c:pt idx="0">
                  <c:v>2.9867523014545441</c:v>
                </c:pt>
                <c:pt idx="1">
                  <c:v>3.0925395786762238</c:v>
                </c:pt>
                <c:pt idx="2">
                  <c:v>3.0572723746299744</c:v>
                </c:pt>
                <c:pt idx="3">
                  <c:v>3.0847806632518768</c:v>
                </c:pt>
                <c:pt idx="4">
                  <c:v>3.1073720455169673</c:v>
                </c:pt>
                <c:pt idx="5">
                  <c:v>3.1747905015945435</c:v>
                </c:pt>
                <c:pt idx="6">
                  <c:v>3.2333429157733917</c:v>
                </c:pt>
                <c:pt idx="7">
                  <c:v>3.2914175093173981</c:v>
                </c:pt>
                <c:pt idx="8">
                  <c:v>3.3522639870643616</c:v>
                </c:pt>
                <c:pt idx="9">
                  <c:v>3.4142163991928105</c:v>
                </c:pt>
                <c:pt idx="10">
                  <c:v>3.4802441596984859</c:v>
                </c:pt>
                <c:pt idx="11">
                  <c:v>3.5510989427566528</c:v>
                </c:pt>
                <c:pt idx="12">
                  <c:v>3.627654373645782</c:v>
                </c:pt>
                <c:pt idx="13">
                  <c:v>3.7072545886039734</c:v>
                </c:pt>
                <c:pt idx="14">
                  <c:v>3.7884232401847839</c:v>
                </c:pt>
                <c:pt idx="15">
                  <c:v>3.8722490072250366</c:v>
                </c:pt>
                <c:pt idx="16">
                  <c:v>3.9576839804649353</c:v>
                </c:pt>
                <c:pt idx="17">
                  <c:v>4.044352650642395</c:v>
                </c:pt>
                <c:pt idx="18">
                  <c:v>4.1310218572616577</c:v>
                </c:pt>
                <c:pt idx="19">
                  <c:v>4.2188640832901001</c:v>
                </c:pt>
                <c:pt idx="20">
                  <c:v>4.3093096613883972</c:v>
                </c:pt>
                <c:pt idx="21">
                  <c:v>4.4023039937019348</c:v>
                </c:pt>
                <c:pt idx="22">
                  <c:v>4.4972906112670898</c:v>
                </c:pt>
                <c:pt idx="23">
                  <c:v>4.5963493585586548</c:v>
                </c:pt>
                <c:pt idx="24">
                  <c:v>4.6997910737991342</c:v>
                </c:pt>
                <c:pt idx="25">
                  <c:v>4.8069868087768555</c:v>
                </c:pt>
                <c:pt idx="26">
                  <c:v>4.9200910329818726</c:v>
                </c:pt>
              </c:numCache>
            </c:numRef>
          </c:val>
          <c:smooth val="0"/>
          <c:extLst>
            <c:ext xmlns:c16="http://schemas.microsoft.com/office/drawing/2014/chart" uri="{C3380CC4-5D6E-409C-BE32-E72D297353CC}">
              <c16:uniqueId val="{00000001-E792-4545-AE6C-33DB76CDBA4B}"/>
            </c:ext>
          </c:extLst>
        </c:ser>
        <c:dLbls>
          <c:showLegendKey val="0"/>
          <c:showVal val="0"/>
          <c:showCatName val="0"/>
          <c:showSerName val="0"/>
          <c:showPercent val="0"/>
          <c:showBubbleSize val="0"/>
        </c:dLbls>
        <c:smooth val="0"/>
        <c:axId val="653547056"/>
        <c:axId val="534262720"/>
      </c:lineChart>
      <c:catAx>
        <c:axId val="65354705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534262720"/>
        <c:crosses val="autoZero"/>
        <c:auto val="1"/>
        <c:lblAlgn val="ctr"/>
        <c:lblOffset val="100"/>
        <c:noMultiLvlLbl val="0"/>
      </c:catAx>
      <c:valAx>
        <c:axId val="53426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entury Gothic" panose="020B0502020202020204" pitchFamily="34" charset="0"/>
                    <a:ea typeface="+mn-ea"/>
                    <a:cs typeface="+mn-cs"/>
                  </a:defRPr>
                </a:pPr>
                <a:r>
                  <a:rPr lang="en-US"/>
                  <a:t>Btu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65354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'Rhodium Group Projections'!$B$4</c:f>
              <c:strCache>
                <c:ptCount val="1"/>
                <c:pt idx="0">
                  <c:v>High growth</c:v>
                </c:pt>
              </c:strCache>
            </c:strRef>
          </c:tx>
          <c:spPr>
            <a:ln w="19050" cap="rnd">
              <a:solidFill>
                <a:schemeClr val="accent1"/>
              </a:solidFill>
              <a:round/>
            </a:ln>
            <a:effectLst/>
          </c:spPr>
          <c:marker>
            <c:symbol val="none"/>
          </c:marker>
          <c:xVal>
            <c:numRef>
              <c:f>'Rhodium Group Projections'!$C$3:$AE$3</c:f>
              <c:numCache>
                <c:formatCode>General</c:formatCod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numCache>
            </c:numRef>
          </c:xVal>
          <c:yVal>
            <c:numRef>
              <c:f>'Rhodium Group Projections'!$C$4:$AE$4</c:f>
              <c:numCache>
                <c:formatCode>0.0</c:formatCode>
                <c:ptCount val="29"/>
                <c:pt idx="0" formatCode="General">
                  <c:v>0</c:v>
                </c:pt>
                <c:pt idx="1">
                  <c:v>30.125</c:v>
                </c:pt>
                <c:pt idx="2">
                  <c:v>60.25</c:v>
                </c:pt>
                <c:pt idx="3">
                  <c:v>90.375</c:v>
                </c:pt>
                <c:pt idx="4">
                  <c:v>120.5</c:v>
                </c:pt>
                <c:pt idx="5">
                  <c:v>150.625</c:v>
                </c:pt>
                <c:pt idx="6">
                  <c:v>180.75</c:v>
                </c:pt>
                <c:pt idx="7">
                  <c:v>210.875</c:v>
                </c:pt>
                <c:pt idx="8">
                  <c:v>241</c:v>
                </c:pt>
                <c:pt idx="9">
                  <c:v>271.125</c:v>
                </c:pt>
                <c:pt idx="10">
                  <c:v>301.25</c:v>
                </c:pt>
                <c:pt idx="11">
                  <c:v>331.375</c:v>
                </c:pt>
                <c:pt idx="12">
                  <c:v>361.5</c:v>
                </c:pt>
                <c:pt idx="13">
                  <c:v>391.625</c:v>
                </c:pt>
                <c:pt idx="14">
                  <c:v>406.6875</c:v>
                </c:pt>
                <c:pt idx="15">
                  <c:v>421.75</c:v>
                </c:pt>
                <c:pt idx="16">
                  <c:v>436.8125</c:v>
                </c:pt>
                <c:pt idx="17">
                  <c:v>451.875</c:v>
                </c:pt>
                <c:pt idx="18">
                  <c:v>466.9375</c:v>
                </c:pt>
                <c:pt idx="19">
                  <c:v>482</c:v>
                </c:pt>
                <c:pt idx="20">
                  <c:v>497.0625</c:v>
                </c:pt>
                <c:pt idx="21">
                  <c:v>512.125</c:v>
                </c:pt>
                <c:pt idx="22">
                  <c:v>527.1875</c:v>
                </c:pt>
                <c:pt idx="23">
                  <c:v>542.25</c:v>
                </c:pt>
                <c:pt idx="24">
                  <c:v>557.3125</c:v>
                </c:pt>
                <c:pt idx="25">
                  <c:v>572.375</c:v>
                </c:pt>
                <c:pt idx="26">
                  <c:v>587.4375</c:v>
                </c:pt>
                <c:pt idx="27">
                  <c:v>602.5</c:v>
                </c:pt>
                <c:pt idx="28">
                  <c:v>617.5625</c:v>
                </c:pt>
              </c:numCache>
            </c:numRef>
          </c:yVal>
          <c:smooth val="0"/>
          <c:extLst>
            <c:ext xmlns:c16="http://schemas.microsoft.com/office/drawing/2014/chart" uri="{C3380CC4-5D6E-409C-BE32-E72D297353CC}">
              <c16:uniqueId val="{00000000-DC9E-46DC-A210-5F3BA616A888}"/>
            </c:ext>
          </c:extLst>
        </c:ser>
        <c:ser>
          <c:idx val="1"/>
          <c:order val="1"/>
          <c:tx>
            <c:strRef>
              <c:f>'Rhodium Group Projections'!$B$5</c:f>
              <c:strCache>
                <c:ptCount val="1"/>
                <c:pt idx="0">
                  <c:v>Low growth</c:v>
                </c:pt>
              </c:strCache>
            </c:strRef>
          </c:tx>
          <c:spPr>
            <a:ln w="19050" cap="rnd">
              <a:solidFill>
                <a:schemeClr val="accent2"/>
              </a:solidFill>
              <a:round/>
            </a:ln>
            <a:effectLst/>
          </c:spPr>
          <c:marker>
            <c:symbol val="none"/>
          </c:marker>
          <c:xVal>
            <c:numRef>
              <c:f>'Rhodium Group Projections'!$C$3:$AE$3</c:f>
              <c:numCache>
                <c:formatCode>General</c:formatCod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numCache>
            </c:numRef>
          </c:xVal>
          <c:yVal>
            <c:numRef>
              <c:f>'Rhodium Group Projections'!$C$5:$AE$5</c:f>
              <c:numCache>
                <c:formatCode>0.0</c:formatCode>
                <c:ptCount val="29"/>
                <c:pt idx="0" formatCode="General">
                  <c:v>0</c:v>
                </c:pt>
                <c:pt idx="1">
                  <c:v>15.875</c:v>
                </c:pt>
                <c:pt idx="2">
                  <c:v>31.75</c:v>
                </c:pt>
                <c:pt idx="3">
                  <c:v>47.625</c:v>
                </c:pt>
                <c:pt idx="4">
                  <c:v>63.5</c:v>
                </c:pt>
                <c:pt idx="5">
                  <c:v>79.375</c:v>
                </c:pt>
                <c:pt idx="6">
                  <c:v>95.25</c:v>
                </c:pt>
                <c:pt idx="7">
                  <c:v>111.125</c:v>
                </c:pt>
                <c:pt idx="8">
                  <c:v>127</c:v>
                </c:pt>
                <c:pt idx="9">
                  <c:v>142.875</c:v>
                </c:pt>
                <c:pt idx="10">
                  <c:v>158.75</c:v>
                </c:pt>
                <c:pt idx="11">
                  <c:v>174.625</c:v>
                </c:pt>
                <c:pt idx="12">
                  <c:v>190.5</c:v>
                </c:pt>
                <c:pt idx="13">
                  <c:v>206.375</c:v>
                </c:pt>
                <c:pt idx="14">
                  <c:v>214.3125</c:v>
                </c:pt>
                <c:pt idx="15">
                  <c:v>222.25</c:v>
                </c:pt>
                <c:pt idx="16">
                  <c:v>230.1875</c:v>
                </c:pt>
                <c:pt idx="17">
                  <c:v>238.125</c:v>
                </c:pt>
                <c:pt idx="18">
                  <c:v>246.0625</c:v>
                </c:pt>
                <c:pt idx="19">
                  <c:v>254</c:v>
                </c:pt>
                <c:pt idx="20">
                  <c:v>261.9375</c:v>
                </c:pt>
                <c:pt idx="21">
                  <c:v>269.875</c:v>
                </c:pt>
                <c:pt idx="22">
                  <c:v>277.8125</c:v>
                </c:pt>
                <c:pt idx="23">
                  <c:v>285.75</c:v>
                </c:pt>
                <c:pt idx="24">
                  <c:v>293.6875</c:v>
                </c:pt>
                <c:pt idx="25">
                  <c:v>301.625</c:v>
                </c:pt>
                <c:pt idx="26">
                  <c:v>309.5625</c:v>
                </c:pt>
                <c:pt idx="27">
                  <c:v>317.5</c:v>
                </c:pt>
                <c:pt idx="28">
                  <c:v>325.4375</c:v>
                </c:pt>
              </c:numCache>
            </c:numRef>
          </c:yVal>
          <c:smooth val="0"/>
          <c:extLst>
            <c:ext xmlns:c16="http://schemas.microsoft.com/office/drawing/2014/chart" uri="{C3380CC4-5D6E-409C-BE32-E72D297353CC}">
              <c16:uniqueId val="{00000001-DC9E-46DC-A210-5F3BA616A888}"/>
            </c:ext>
          </c:extLst>
        </c:ser>
        <c:ser>
          <c:idx val="2"/>
          <c:order val="2"/>
          <c:tx>
            <c:strRef>
              <c:f>'Rhodium Group Projections'!$B$6</c:f>
              <c:strCache>
                <c:ptCount val="1"/>
                <c:pt idx="0">
                  <c:v>Mid growth</c:v>
                </c:pt>
              </c:strCache>
            </c:strRef>
          </c:tx>
          <c:spPr>
            <a:ln w="19050" cap="rnd">
              <a:solidFill>
                <a:schemeClr val="accent3"/>
              </a:solidFill>
              <a:round/>
            </a:ln>
            <a:effectLst/>
          </c:spPr>
          <c:marker>
            <c:symbol val="none"/>
          </c:marker>
          <c:xVal>
            <c:numRef>
              <c:f>'Rhodium Group Projections'!$C$3:$AE$3</c:f>
              <c:numCache>
                <c:formatCode>General</c:formatCod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numCache>
            </c:numRef>
          </c:xVal>
          <c:yVal>
            <c:numRef>
              <c:f>'Rhodium Group Projections'!$C$6:$AE$6</c:f>
              <c:numCache>
                <c:formatCode>0.0</c:formatCode>
                <c:ptCount val="29"/>
                <c:pt idx="0" formatCode="General">
                  <c:v>0</c:v>
                </c:pt>
                <c:pt idx="1">
                  <c:v>20.795000000000002</c:v>
                </c:pt>
                <c:pt idx="2">
                  <c:v>41.59</c:v>
                </c:pt>
                <c:pt idx="3">
                  <c:v>62.384999999999998</c:v>
                </c:pt>
                <c:pt idx="4">
                  <c:v>83.18</c:v>
                </c:pt>
                <c:pt idx="5">
                  <c:v>103.97499999999999</c:v>
                </c:pt>
                <c:pt idx="6">
                  <c:v>124.77</c:v>
                </c:pt>
                <c:pt idx="7">
                  <c:v>145.565</c:v>
                </c:pt>
                <c:pt idx="8">
                  <c:v>166.36</c:v>
                </c:pt>
                <c:pt idx="9">
                  <c:v>187.155</c:v>
                </c:pt>
                <c:pt idx="10">
                  <c:v>207.95</c:v>
                </c:pt>
                <c:pt idx="11">
                  <c:v>228.745</c:v>
                </c:pt>
                <c:pt idx="12">
                  <c:v>249.54</c:v>
                </c:pt>
                <c:pt idx="13">
                  <c:v>270.33499999999998</c:v>
                </c:pt>
                <c:pt idx="14">
                  <c:v>280.73249999999996</c:v>
                </c:pt>
                <c:pt idx="15">
                  <c:v>291.12999999999994</c:v>
                </c:pt>
                <c:pt idx="16">
                  <c:v>301.52749999999992</c:v>
                </c:pt>
                <c:pt idx="17">
                  <c:v>311.9249999999999</c:v>
                </c:pt>
                <c:pt idx="18">
                  <c:v>322.32249999999988</c:v>
                </c:pt>
                <c:pt idx="19">
                  <c:v>332.71999999999986</c:v>
                </c:pt>
                <c:pt idx="20">
                  <c:v>343.11749999999984</c:v>
                </c:pt>
                <c:pt idx="21">
                  <c:v>353.51499999999982</c:v>
                </c:pt>
                <c:pt idx="22">
                  <c:v>363.9124999999998</c:v>
                </c:pt>
                <c:pt idx="23">
                  <c:v>374.30999999999977</c:v>
                </c:pt>
                <c:pt idx="24">
                  <c:v>384.70749999999975</c:v>
                </c:pt>
                <c:pt idx="25">
                  <c:v>395.10499999999973</c:v>
                </c:pt>
                <c:pt idx="26">
                  <c:v>405.50249999999971</c:v>
                </c:pt>
                <c:pt idx="27">
                  <c:v>415.89999999999969</c:v>
                </c:pt>
                <c:pt idx="28">
                  <c:v>426.29749999999967</c:v>
                </c:pt>
              </c:numCache>
            </c:numRef>
          </c:yVal>
          <c:smooth val="0"/>
          <c:extLst>
            <c:ext xmlns:c16="http://schemas.microsoft.com/office/drawing/2014/chart" uri="{C3380CC4-5D6E-409C-BE32-E72D297353CC}">
              <c16:uniqueId val="{00000002-DC9E-46DC-A210-5F3BA616A888}"/>
            </c:ext>
          </c:extLst>
        </c:ser>
        <c:dLbls>
          <c:showLegendKey val="0"/>
          <c:showVal val="0"/>
          <c:showCatName val="0"/>
          <c:showSerName val="0"/>
          <c:showPercent val="0"/>
          <c:showBubbleSize val="0"/>
        </c:dLbls>
        <c:axId val="395813432"/>
        <c:axId val="395814872"/>
      </c:scatterChart>
      <c:valAx>
        <c:axId val="395813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814872"/>
        <c:crosses val="autoZero"/>
        <c:crossBetween val="midCat"/>
      </c:valAx>
      <c:valAx>
        <c:axId val="395814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8134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704850</xdr:colOff>
      <xdr:row>13</xdr:row>
      <xdr:rowOff>133350</xdr:rowOff>
    </xdr:from>
    <xdr:to>
      <xdr:col>12</xdr:col>
      <xdr:colOff>105833</xdr:colOff>
      <xdr:row>34</xdr:row>
      <xdr:rowOff>107950</xdr:rowOff>
    </xdr:to>
    <xdr:graphicFrame macro="">
      <xdr:nvGraphicFramePr>
        <xdr:cNvPr id="2" name="Chart 1">
          <a:extLst>
            <a:ext uri="{FF2B5EF4-FFF2-40B4-BE49-F238E27FC236}">
              <a16:creationId xmlns:a16="http://schemas.microsoft.com/office/drawing/2014/main" id="{F548EA1A-9F6D-4FCD-AAF6-12068A6C1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131233</xdr:colOff>
      <xdr:row>13</xdr:row>
      <xdr:rowOff>139700</xdr:rowOff>
    </xdr:from>
    <xdr:to>
      <xdr:col>24</xdr:col>
      <xdr:colOff>74083</xdr:colOff>
      <xdr:row>34</xdr:row>
      <xdr:rowOff>114300</xdr:rowOff>
    </xdr:to>
    <xdr:graphicFrame macro="">
      <xdr:nvGraphicFramePr>
        <xdr:cNvPr id="3" name="Chart 2">
          <a:extLst>
            <a:ext uri="{FF2B5EF4-FFF2-40B4-BE49-F238E27FC236}">
              <a16:creationId xmlns:a16="http://schemas.microsoft.com/office/drawing/2014/main" id="{99BA5921-5A28-4942-BFDC-24834810D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205582</xdr:colOff>
      <xdr:row>43</xdr:row>
      <xdr:rowOff>105967</xdr:rowOff>
    </xdr:from>
    <xdr:to>
      <xdr:col>15</xdr:col>
      <xdr:colOff>62707</xdr:colOff>
      <xdr:row>60</xdr:row>
      <xdr:rowOff>106761</xdr:rowOff>
    </xdr:to>
    <xdr:graphicFrame macro="">
      <xdr:nvGraphicFramePr>
        <xdr:cNvPr id="4" name="Chart 3">
          <a:extLst>
            <a:ext uri="{FF2B5EF4-FFF2-40B4-BE49-F238E27FC236}">
              <a16:creationId xmlns:a16="http://schemas.microsoft.com/office/drawing/2014/main" id="{075D7540-D25F-46FD-B17F-80538629C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504825</xdr:colOff>
      <xdr:row>11</xdr:row>
      <xdr:rowOff>63500</xdr:rowOff>
    </xdr:from>
    <xdr:to>
      <xdr:col>12</xdr:col>
      <xdr:colOff>200025</xdr:colOff>
      <xdr:row>26</xdr:row>
      <xdr:rowOff>44450</xdr:rowOff>
    </xdr:to>
    <xdr:graphicFrame macro="">
      <xdr:nvGraphicFramePr>
        <xdr:cNvPr id="2" name="Chart 1">
          <a:extLst>
            <a:ext uri="{FF2B5EF4-FFF2-40B4-BE49-F238E27FC236}">
              <a16:creationId xmlns:a16="http://schemas.microsoft.com/office/drawing/2014/main" id="{D1193332-138C-2D69-B0E6-2AE6B9887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onlocationinc.com/news/2025/07/aeo-2025-trends-growing-electricity-demand-from-data-center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Q12" sqref="Q12"/>
    </sheetView>
  </sheetViews>
  <sheetFormatPr defaultRowHeight="14.4"/>
  <cols>
    <col min="2" max="2" width="13.5546875" customWidth="1"/>
  </cols>
  <sheetData>
    <row r="1" spans="1:2">
      <c r="A1" t="s">
        <v>117</v>
      </c>
    </row>
    <row r="3" spans="1:2">
      <c r="A3" s="38" t="s">
        <v>107</v>
      </c>
      <c r="B3" s="39" t="s">
        <v>119</v>
      </c>
    </row>
    <row r="4" spans="1:2">
      <c r="B4" t="s">
        <v>120</v>
      </c>
    </row>
    <row r="5" spans="1:2">
      <c r="B5" t="s">
        <v>122</v>
      </c>
    </row>
    <row r="6" spans="1:2">
      <c r="B6" s="29" t="s">
        <v>123</v>
      </c>
    </row>
    <row r="7" spans="1:2">
      <c r="B7" t="s">
        <v>124</v>
      </c>
    </row>
    <row r="11" spans="1:2">
      <c r="A11" s="38" t="s">
        <v>108</v>
      </c>
    </row>
    <row r="12" spans="1:2">
      <c r="A12" s="55" t="s">
        <v>128</v>
      </c>
    </row>
    <row r="13" spans="1:2">
      <c r="A13" t="s">
        <v>110</v>
      </c>
    </row>
    <row r="14" spans="1:2">
      <c r="A14" t="s">
        <v>109</v>
      </c>
    </row>
    <row r="15" spans="1:2">
      <c r="A15" t="s">
        <v>126</v>
      </c>
    </row>
    <row r="16" spans="1:2">
      <c r="A16" t="s">
        <v>127</v>
      </c>
    </row>
    <row r="18" spans="1:1">
      <c r="A18" s="41" t="s">
        <v>118</v>
      </c>
    </row>
    <row r="19" spans="1:1">
      <c r="A19" t="s">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BE576-020A-4553-AB18-F9B6AB2C6A55}">
  <dimension ref="A1:AC59"/>
  <sheetViews>
    <sheetView topLeftCell="A28" workbookViewId="0">
      <selection activeCell="AB58" sqref="B58:AB58"/>
    </sheetView>
  </sheetViews>
  <sheetFormatPr defaultRowHeight="14.4"/>
  <cols>
    <col min="1" max="1" width="30.77734375" customWidth="1"/>
  </cols>
  <sheetData>
    <row r="1" spans="1:29" ht="15.6">
      <c r="A1" s="1" t="s">
        <v>2</v>
      </c>
      <c r="B1" s="1"/>
      <c r="C1" s="1"/>
      <c r="D1" s="1"/>
      <c r="E1" s="1"/>
      <c r="F1" s="1"/>
      <c r="G1" s="1"/>
      <c r="H1" s="1"/>
      <c r="I1" s="1"/>
      <c r="J1" s="1"/>
      <c r="K1" s="1"/>
      <c r="L1" s="1"/>
      <c r="M1" s="1"/>
      <c r="N1" s="1"/>
      <c r="O1" s="1"/>
      <c r="P1" s="1"/>
      <c r="Q1" s="1"/>
      <c r="R1" s="1"/>
      <c r="S1" s="1"/>
      <c r="T1" s="1"/>
      <c r="U1" s="1"/>
      <c r="V1" s="1"/>
      <c r="W1" s="1"/>
      <c r="X1" s="1"/>
      <c r="Y1" s="1"/>
      <c r="Z1" s="1"/>
      <c r="AA1" s="1"/>
      <c r="AB1" s="1"/>
      <c r="AC1" s="1"/>
    </row>
    <row r="2" spans="1:29">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c r="A3" s="2"/>
      <c r="B3" s="2" t="s">
        <v>3</v>
      </c>
      <c r="C3" s="2" t="s">
        <v>4</v>
      </c>
      <c r="D3" s="2"/>
      <c r="E3" s="2"/>
      <c r="F3" s="2"/>
      <c r="G3" s="2"/>
      <c r="H3" s="2"/>
      <c r="I3" s="2"/>
      <c r="J3" s="2"/>
      <c r="K3" s="2"/>
      <c r="L3" s="2"/>
      <c r="M3" s="2"/>
      <c r="N3" s="2"/>
      <c r="O3" s="2"/>
      <c r="P3" s="2"/>
      <c r="Q3" s="2"/>
      <c r="R3" s="2"/>
      <c r="S3" s="2"/>
      <c r="T3" s="2"/>
      <c r="U3" s="2"/>
      <c r="V3" s="2"/>
      <c r="W3" s="2"/>
      <c r="X3" s="2"/>
      <c r="Y3" s="2"/>
      <c r="Z3" s="2"/>
      <c r="AA3" s="2"/>
      <c r="AB3" s="2"/>
      <c r="AC3" s="2"/>
    </row>
    <row r="4" spans="1:29">
      <c r="A4" s="2"/>
      <c r="B4" s="2" t="s">
        <v>5</v>
      </c>
      <c r="C4" s="2" t="s">
        <v>6</v>
      </c>
      <c r="D4" s="2"/>
      <c r="E4" s="2" t="s">
        <v>7</v>
      </c>
      <c r="F4" s="2"/>
      <c r="G4" s="2"/>
      <c r="H4" s="2"/>
      <c r="I4" s="2"/>
      <c r="J4" s="2"/>
      <c r="K4" s="2"/>
      <c r="L4" s="2"/>
      <c r="M4" s="2"/>
      <c r="N4" s="2"/>
      <c r="O4" s="2"/>
      <c r="P4" s="2"/>
      <c r="Q4" s="2"/>
      <c r="R4" s="2"/>
      <c r="S4" s="2"/>
      <c r="T4" s="2"/>
      <c r="U4" s="2"/>
      <c r="V4" s="2"/>
      <c r="W4" s="2"/>
      <c r="X4" s="2"/>
      <c r="Y4" s="2"/>
      <c r="Z4" s="2"/>
      <c r="AA4" s="2"/>
      <c r="AB4" s="2"/>
      <c r="AC4" s="2"/>
    </row>
    <row r="5" spans="1:29">
      <c r="A5" s="2"/>
      <c r="B5" s="2" t="s">
        <v>8</v>
      </c>
      <c r="C5" s="2" t="s">
        <v>9</v>
      </c>
      <c r="D5" s="2"/>
      <c r="E5" s="2"/>
      <c r="F5" s="2"/>
      <c r="G5" s="2"/>
      <c r="H5" s="2"/>
      <c r="I5" s="2"/>
      <c r="J5" s="2"/>
      <c r="K5" s="2"/>
      <c r="L5" s="2"/>
      <c r="M5" s="2"/>
      <c r="N5" s="2"/>
      <c r="O5" s="2"/>
      <c r="P5" s="2"/>
      <c r="Q5" s="2"/>
      <c r="R5" s="2"/>
      <c r="S5" s="2"/>
      <c r="T5" s="2"/>
      <c r="U5" s="2"/>
      <c r="V5" s="2"/>
      <c r="W5" s="2"/>
      <c r="X5" s="2"/>
      <c r="Y5" s="2"/>
      <c r="Z5" s="2"/>
      <c r="AA5" s="2"/>
      <c r="AB5" s="2"/>
      <c r="AC5" s="2"/>
    </row>
    <row r="6" spans="1:29">
      <c r="A6" s="2"/>
      <c r="B6" s="2" t="s">
        <v>10</v>
      </c>
      <c r="C6" s="2"/>
      <c r="D6" s="2" t="s">
        <v>11</v>
      </c>
      <c r="E6" s="2"/>
      <c r="F6" s="2"/>
      <c r="G6" s="2"/>
      <c r="H6" s="2"/>
      <c r="I6" s="2"/>
      <c r="J6" s="2"/>
      <c r="K6" s="2"/>
      <c r="L6" s="2"/>
      <c r="M6" s="2"/>
      <c r="N6" s="2"/>
      <c r="O6" s="2"/>
      <c r="P6" s="2"/>
      <c r="Q6" s="2"/>
      <c r="R6" s="2"/>
      <c r="S6" s="2"/>
      <c r="T6" s="2"/>
      <c r="U6" s="2"/>
      <c r="V6" s="2"/>
      <c r="W6" s="2"/>
      <c r="X6" s="2"/>
      <c r="Y6" s="2"/>
      <c r="Z6" s="2"/>
      <c r="AA6" s="2"/>
      <c r="AB6" s="2"/>
      <c r="AC6" s="2"/>
    </row>
    <row r="7" spans="1:29" ht="15.6">
      <c r="A7" s="3" t="s">
        <v>12</v>
      </c>
      <c r="B7" s="3"/>
      <c r="C7" s="3"/>
      <c r="D7" s="3"/>
      <c r="E7" s="3"/>
      <c r="F7" s="3"/>
      <c r="G7" s="3"/>
      <c r="H7" s="3"/>
      <c r="I7" s="3"/>
      <c r="J7" s="3"/>
      <c r="K7" s="3"/>
      <c r="L7" s="3"/>
      <c r="M7" s="3"/>
      <c r="N7" s="3"/>
      <c r="O7" s="3"/>
      <c r="P7" s="3"/>
      <c r="Q7" s="3"/>
      <c r="R7" s="3"/>
      <c r="S7" s="3"/>
      <c r="T7" s="3"/>
      <c r="U7" s="3"/>
      <c r="V7" s="3"/>
      <c r="W7" s="3"/>
      <c r="X7" s="3"/>
      <c r="Y7" s="3"/>
      <c r="Z7" s="3"/>
      <c r="AA7" s="3"/>
      <c r="AB7" s="3"/>
      <c r="AC7" s="3"/>
    </row>
    <row r="8" spans="1:29">
      <c r="A8" s="4" t="s">
        <v>13</v>
      </c>
      <c r="B8" s="4"/>
      <c r="C8" s="4"/>
      <c r="D8" s="4"/>
      <c r="E8" s="4"/>
      <c r="F8" s="4"/>
      <c r="G8" s="4"/>
      <c r="H8" s="4"/>
      <c r="I8" s="4"/>
      <c r="J8" s="4"/>
      <c r="K8" s="4"/>
      <c r="L8" s="4"/>
      <c r="M8" s="4"/>
      <c r="N8" s="4"/>
      <c r="O8" s="4"/>
      <c r="P8" s="4"/>
      <c r="Q8" s="4"/>
      <c r="R8" s="4"/>
      <c r="S8" s="4"/>
      <c r="T8" s="4"/>
      <c r="U8" s="4"/>
      <c r="V8" s="4"/>
      <c r="W8" s="4"/>
      <c r="X8" s="4"/>
      <c r="Y8" s="4"/>
      <c r="Z8" s="4"/>
      <c r="AA8" s="4"/>
      <c r="AB8" s="4"/>
      <c r="AC8" s="4"/>
    </row>
    <row r="9" spans="1:29">
      <c r="A9" s="2"/>
      <c r="B9" s="2"/>
      <c r="C9" s="2"/>
      <c r="D9" s="2"/>
      <c r="E9" s="2"/>
      <c r="F9" s="2"/>
      <c r="G9" s="2"/>
      <c r="H9" s="2"/>
      <c r="I9" s="2"/>
      <c r="J9" s="2"/>
      <c r="K9" s="2"/>
      <c r="L9" s="2"/>
      <c r="M9" s="2"/>
      <c r="N9" s="2"/>
      <c r="O9" s="2"/>
      <c r="P9" s="2"/>
      <c r="Q9" s="2"/>
      <c r="R9" s="2"/>
      <c r="S9" s="2"/>
      <c r="T9" s="2"/>
      <c r="U9" s="2"/>
      <c r="V9" s="2"/>
      <c r="W9" s="2"/>
      <c r="X9" s="2"/>
      <c r="Y9" s="2"/>
      <c r="Z9" s="2"/>
      <c r="AA9" s="2"/>
      <c r="AB9" s="2"/>
      <c r="AC9" s="2" t="s">
        <v>14</v>
      </c>
    </row>
    <row r="10" spans="1:29">
      <c r="A10" s="5" t="s">
        <v>15</v>
      </c>
    </row>
    <row r="11" spans="1:29">
      <c r="A11" s="4" t="s">
        <v>16</v>
      </c>
      <c r="B11" s="4">
        <v>0.18652315437793729</v>
      </c>
      <c r="C11" s="4">
        <v>0.1979862451553345</v>
      </c>
      <c r="D11" s="4">
        <v>0.19807051122188571</v>
      </c>
      <c r="E11" s="4">
        <v>0.19910293817520139</v>
      </c>
      <c r="F11" s="4">
        <v>0.19908212125301361</v>
      </c>
      <c r="G11" s="4">
        <v>0.19794738292694089</v>
      </c>
      <c r="H11" s="4">
        <v>0.19644886255264279</v>
      </c>
      <c r="I11" s="4">
        <v>0.19476586580276489</v>
      </c>
      <c r="J11" s="4">
        <v>0.19315984845161441</v>
      </c>
      <c r="K11" s="4">
        <v>0.1906101852655411</v>
      </c>
      <c r="L11" s="4">
        <v>0.1883681118488312</v>
      </c>
      <c r="M11" s="4">
        <v>0.1872121840715408</v>
      </c>
      <c r="N11" s="4">
        <v>0.18643973767757421</v>
      </c>
      <c r="O11" s="4">
        <v>0.18564386665821081</v>
      </c>
      <c r="P11" s="4">
        <v>0.18472009897232061</v>
      </c>
      <c r="Q11" s="4">
        <v>0.18376737833023071</v>
      </c>
      <c r="R11" s="4">
        <v>0.18262059986591339</v>
      </c>
      <c r="S11" s="4">
        <v>0.1812715828418732</v>
      </c>
      <c r="T11" s="4">
        <v>0.1796038746833801</v>
      </c>
      <c r="U11" s="4">
        <v>0.1777535080909729</v>
      </c>
      <c r="V11" s="4">
        <v>0.17574475705623629</v>
      </c>
      <c r="W11" s="4">
        <v>0.17370142042636871</v>
      </c>
      <c r="X11" s="4">
        <v>0.17158204317092901</v>
      </c>
      <c r="Y11" s="4">
        <v>0.16952171921730039</v>
      </c>
      <c r="Z11" s="4">
        <v>0.16757397353649139</v>
      </c>
      <c r="AA11" s="4">
        <v>0.16578631103038791</v>
      </c>
      <c r="AB11" s="4">
        <v>0.16411204636096949</v>
      </c>
      <c r="AC11" s="4">
        <v>-4.9112072923823691E-3</v>
      </c>
    </row>
    <row r="12" spans="1:29">
      <c r="A12" s="4" t="s">
        <v>17</v>
      </c>
      <c r="B12" s="4">
        <v>0.57283234596252441</v>
      </c>
      <c r="C12" s="4">
        <v>0.55535280704498291</v>
      </c>
      <c r="D12" s="4">
        <v>0.56685525178909302</v>
      </c>
      <c r="E12" s="4">
        <v>0.58141154050827026</v>
      </c>
      <c r="F12" s="4">
        <v>0.59308075904846191</v>
      </c>
      <c r="G12" s="4">
        <v>0.60073071718215942</v>
      </c>
      <c r="H12" s="4">
        <v>0.60607451200485229</v>
      </c>
      <c r="I12" s="4">
        <v>0.61122459173202515</v>
      </c>
      <c r="J12" s="4">
        <v>0.61733555793762207</v>
      </c>
      <c r="K12" s="4">
        <v>0.62264615297317505</v>
      </c>
      <c r="L12" s="4">
        <v>0.62905782461166382</v>
      </c>
      <c r="M12" s="4">
        <v>0.63706892728805542</v>
      </c>
      <c r="N12" s="4">
        <v>0.64666241407394409</v>
      </c>
      <c r="O12" s="4">
        <v>0.65692460536956787</v>
      </c>
      <c r="P12" s="4">
        <v>0.66712528467178345</v>
      </c>
      <c r="Q12" s="4">
        <v>0.67784053087234497</v>
      </c>
      <c r="R12" s="4">
        <v>0.68799549341201782</v>
      </c>
      <c r="S12" s="4">
        <v>0.69792807102203369</v>
      </c>
      <c r="T12" s="4">
        <v>0.70689105987548828</v>
      </c>
      <c r="U12" s="4">
        <v>0.71588820219039917</v>
      </c>
      <c r="V12" s="4">
        <v>0.72479879856109619</v>
      </c>
      <c r="W12" s="4">
        <v>0.73371529579162598</v>
      </c>
      <c r="X12" s="4">
        <v>0.74257385730743408</v>
      </c>
      <c r="Y12" s="4">
        <v>0.75195735692977905</v>
      </c>
      <c r="Z12" s="4">
        <v>0.76215660572052002</v>
      </c>
      <c r="AA12" s="4">
        <v>0.77356421947479248</v>
      </c>
      <c r="AB12" s="4">
        <v>0.78610062599182129</v>
      </c>
      <c r="AC12" s="4">
        <v>1.2247148144717061E-2</v>
      </c>
    </row>
    <row r="13" spans="1:29">
      <c r="A13" s="4" t="s">
        <v>18</v>
      </c>
      <c r="B13" s="4">
        <v>7.4489571154117584E-2</v>
      </c>
      <c r="C13" s="4">
        <v>7.4057839810848236E-2</v>
      </c>
      <c r="D13" s="4">
        <v>7.4159577488899231E-2</v>
      </c>
      <c r="E13" s="4">
        <v>7.4695341289043427E-2</v>
      </c>
      <c r="F13" s="4">
        <v>7.4831821024417877E-2</v>
      </c>
      <c r="G13" s="4">
        <v>7.4467457830905914E-2</v>
      </c>
      <c r="H13" s="4">
        <v>7.3813460767269135E-2</v>
      </c>
      <c r="I13" s="4">
        <v>7.3028810322284698E-2</v>
      </c>
      <c r="J13" s="4">
        <v>7.2315439581871033E-2</v>
      </c>
      <c r="K13" s="4">
        <v>7.1469612419605255E-2</v>
      </c>
      <c r="L13" s="4">
        <v>7.0713222026824951E-2</v>
      </c>
      <c r="M13" s="4">
        <v>7.0087030529975891E-2</v>
      </c>
      <c r="N13" s="4">
        <v>6.9613389670848846E-2</v>
      </c>
      <c r="O13" s="4">
        <v>6.9176189601421356E-2</v>
      </c>
      <c r="P13" s="4">
        <v>6.871427595615387E-2</v>
      </c>
      <c r="Q13" s="4">
        <v>6.8262040615081787E-2</v>
      </c>
      <c r="R13" s="4">
        <v>6.7748777568340302E-2</v>
      </c>
      <c r="S13" s="4">
        <v>6.716802716255188E-2</v>
      </c>
      <c r="T13" s="4">
        <v>6.6472388803958893E-2</v>
      </c>
      <c r="U13" s="4">
        <v>6.573563814163208E-2</v>
      </c>
      <c r="V13" s="4">
        <v>6.4972139894962311E-2</v>
      </c>
      <c r="W13" s="4">
        <v>6.4199671149253845E-2</v>
      </c>
      <c r="X13" s="4">
        <v>6.3415594398975372E-2</v>
      </c>
      <c r="Y13" s="4">
        <v>6.2666654586791992E-2</v>
      </c>
      <c r="Z13" s="4">
        <v>6.1966128647327423E-2</v>
      </c>
      <c r="AA13" s="4">
        <v>6.1328068375587463E-2</v>
      </c>
      <c r="AB13" s="4">
        <v>6.0749590396881097E-2</v>
      </c>
      <c r="AC13" s="4">
        <v>-7.811590901369847E-3</v>
      </c>
    </row>
    <row r="14" spans="1:29">
      <c r="A14" s="7" t="s">
        <v>19</v>
      </c>
      <c r="B14" s="7">
        <v>0.74461913108825684</v>
      </c>
      <c r="C14" s="7">
        <v>0.75649541616439819</v>
      </c>
      <c r="D14" s="7">
        <v>0.7730255126953125</v>
      </c>
      <c r="E14" s="7">
        <v>0.79476368427276611</v>
      </c>
      <c r="F14" s="7">
        <v>0.81280761957168579</v>
      </c>
      <c r="G14" s="7">
        <v>0.82569020986557007</v>
      </c>
      <c r="H14" s="7">
        <v>0.83301341533660889</v>
      </c>
      <c r="I14" s="7">
        <v>0.83995199203491211</v>
      </c>
      <c r="J14" s="7">
        <v>0.84786093235015869</v>
      </c>
      <c r="K14" s="7">
        <v>0.85514521598815918</v>
      </c>
      <c r="L14" s="7">
        <v>0.86369645595550537</v>
      </c>
      <c r="M14" s="7">
        <v>0.87393289804458618</v>
      </c>
      <c r="N14" s="7">
        <v>0.88622337579727173</v>
      </c>
      <c r="O14" s="7">
        <v>0.89879965782165527</v>
      </c>
      <c r="P14" s="7">
        <v>0.91131550073623657</v>
      </c>
      <c r="Q14" s="7">
        <v>0.92415100336074829</v>
      </c>
      <c r="R14" s="7">
        <v>0.93650662899017334</v>
      </c>
      <c r="S14" s="7">
        <v>0.94828963279724121</v>
      </c>
      <c r="T14" s="7">
        <v>0.95887255668640137</v>
      </c>
      <c r="U14" s="7">
        <v>0.96895885467529297</v>
      </c>
      <c r="V14" s="7">
        <v>0.97876226902008057</v>
      </c>
      <c r="W14" s="7">
        <v>0.98868721723556519</v>
      </c>
      <c r="X14" s="7">
        <v>0.99846816062927246</v>
      </c>
      <c r="Y14" s="7">
        <v>1.008850574493408</v>
      </c>
      <c r="Z14" s="7">
        <v>1.0200368165969851</v>
      </c>
      <c r="AA14" s="7">
        <v>1.0322971343994141</v>
      </c>
      <c r="AB14" s="7">
        <v>1.0456395149230959</v>
      </c>
      <c r="AC14" s="7">
        <v>1.314374874526014E-2</v>
      </c>
    </row>
    <row r="15" spans="1:29">
      <c r="A15" s="4" t="s">
        <v>20</v>
      </c>
      <c r="B15" s="4">
        <v>8.4357209503650665E-2</v>
      </c>
      <c r="C15" s="4">
        <v>8.4570594131946564E-2</v>
      </c>
      <c r="D15" s="4">
        <v>8.5033409297466278E-2</v>
      </c>
      <c r="E15" s="4">
        <v>8.5958279669284821E-2</v>
      </c>
      <c r="F15" s="4">
        <v>8.6440697312355042E-2</v>
      </c>
      <c r="G15" s="4">
        <v>8.6347445845603943E-2</v>
      </c>
      <c r="H15" s="4">
        <v>8.5923120379447937E-2</v>
      </c>
      <c r="I15" s="4">
        <v>8.5398375988006592E-2</v>
      </c>
      <c r="J15" s="4">
        <v>8.4946580231189728E-2</v>
      </c>
      <c r="K15" s="4">
        <v>8.4402866661548615E-2</v>
      </c>
      <c r="L15" s="4">
        <v>8.3956025540828705E-2</v>
      </c>
      <c r="M15" s="4">
        <v>8.3652600646018982E-2</v>
      </c>
      <c r="N15" s="4">
        <v>8.3524122834205627E-2</v>
      </c>
      <c r="O15" s="4">
        <v>8.3396360278129578E-2</v>
      </c>
      <c r="P15" s="4">
        <v>8.3211727440357208E-2</v>
      </c>
      <c r="Q15" s="4">
        <v>8.3003848791122437E-2</v>
      </c>
      <c r="R15" s="4">
        <v>8.2713499665260315E-2</v>
      </c>
      <c r="S15" s="4">
        <v>8.2366392016410828E-2</v>
      </c>
      <c r="T15" s="4">
        <v>8.1895828247070313E-2</v>
      </c>
      <c r="U15" s="4">
        <v>8.1365205347537994E-2</v>
      </c>
      <c r="V15" s="4">
        <v>8.0793820321559906E-2</v>
      </c>
      <c r="W15" s="4">
        <v>8.020898699760437E-2</v>
      </c>
      <c r="X15" s="4">
        <v>7.9589635133743286E-2</v>
      </c>
      <c r="Y15" s="4">
        <v>7.8999906778335571E-2</v>
      </c>
      <c r="Z15" s="4">
        <v>7.8455850481987E-2</v>
      </c>
      <c r="AA15" s="4">
        <v>7.7973224222660065E-2</v>
      </c>
      <c r="AB15" s="4">
        <v>7.7554032206535339E-2</v>
      </c>
      <c r="AC15" s="4">
        <v>-3.2288296753776309E-3</v>
      </c>
    </row>
    <row r="16" spans="1:29">
      <c r="A16" s="4" t="s">
        <v>21</v>
      </c>
      <c r="B16" s="4">
        <v>0.57559472322463989</v>
      </c>
      <c r="C16" s="4">
        <v>0.5640031099319458</v>
      </c>
      <c r="D16" s="4">
        <v>0.5612906813621521</v>
      </c>
      <c r="E16" s="4">
        <v>0.56498128175735474</v>
      </c>
      <c r="F16" s="4">
        <v>0.56791907548904419</v>
      </c>
      <c r="G16" s="4">
        <v>0.56830692291259766</v>
      </c>
      <c r="H16" s="4">
        <v>0.55829316377639771</v>
      </c>
      <c r="I16" s="4">
        <v>0.54934591054916382</v>
      </c>
      <c r="J16" s="4">
        <v>0.54198777675628662</v>
      </c>
      <c r="K16" s="4">
        <v>0.53465437889099121</v>
      </c>
      <c r="L16" s="4">
        <v>0.52811336517333984</v>
      </c>
      <c r="M16" s="4">
        <v>0.52273327112197876</v>
      </c>
      <c r="N16" s="4">
        <v>0.51909291744232178</v>
      </c>
      <c r="O16" s="4">
        <v>0.51651102304458618</v>
      </c>
      <c r="P16" s="4">
        <v>0.51456600427627563</v>
      </c>
      <c r="Q16" s="4">
        <v>0.51337069272994995</v>
      </c>
      <c r="R16" s="4">
        <v>0.51098668575286865</v>
      </c>
      <c r="S16" s="4">
        <v>0.50930184125900269</v>
      </c>
      <c r="T16" s="4">
        <v>0.50740212202072144</v>
      </c>
      <c r="U16" s="4">
        <v>0.50572538375854492</v>
      </c>
      <c r="V16" s="4">
        <v>0.50427186489105225</v>
      </c>
      <c r="W16" s="4">
        <v>0.5030590295791626</v>
      </c>
      <c r="X16" s="4">
        <v>0.50166761875152588</v>
      </c>
      <c r="Y16" s="4">
        <v>0.50071299076080322</v>
      </c>
      <c r="Z16" s="4">
        <v>0.5003892183303833</v>
      </c>
      <c r="AA16" s="4">
        <v>0.50069063901901245</v>
      </c>
      <c r="AB16" s="4">
        <v>0.50187736749649048</v>
      </c>
      <c r="AC16" s="4">
        <v>-5.2572093858966884E-3</v>
      </c>
    </row>
    <row r="17" spans="1:29">
      <c r="A17" s="4" t="s">
        <v>22</v>
      </c>
      <c r="B17" s="4">
        <v>0.36730015277862549</v>
      </c>
      <c r="C17" s="4">
        <v>0.36860248446464539</v>
      </c>
      <c r="D17" s="4">
        <v>0.3707335889339447</v>
      </c>
      <c r="E17" s="4">
        <v>0.3743739128112793</v>
      </c>
      <c r="F17" s="4">
        <v>0.37765198945999151</v>
      </c>
      <c r="G17" s="4">
        <v>0.38006097078323359</v>
      </c>
      <c r="H17" s="4">
        <v>0.38080069422721857</v>
      </c>
      <c r="I17" s="4">
        <v>0.38180133700370789</v>
      </c>
      <c r="J17" s="4">
        <v>0.38318514823913569</v>
      </c>
      <c r="K17" s="4">
        <v>0.38464868068695068</v>
      </c>
      <c r="L17" s="4">
        <v>0.38647320866584778</v>
      </c>
      <c r="M17" s="4">
        <v>0.38868823647499079</v>
      </c>
      <c r="N17" s="4">
        <v>0.39129942655563349</v>
      </c>
      <c r="O17" s="4">
        <v>0.393959641456604</v>
      </c>
      <c r="P17" s="4">
        <v>0.39658042788505549</v>
      </c>
      <c r="Q17" s="4">
        <v>0.39921486377716059</v>
      </c>
      <c r="R17" s="4">
        <v>0.40172412991523743</v>
      </c>
      <c r="S17" s="4">
        <v>0.40438154339790339</v>
      </c>
      <c r="T17" s="4">
        <v>0.40681499242782593</v>
      </c>
      <c r="U17" s="4">
        <v>0.40913927555084229</v>
      </c>
      <c r="V17" s="4">
        <v>0.41139376163482672</v>
      </c>
      <c r="W17" s="4">
        <v>0.41364577412605291</v>
      </c>
      <c r="X17" s="4">
        <v>0.41583353281021118</v>
      </c>
      <c r="Y17" s="4">
        <v>0.41807708144187927</v>
      </c>
      <c r="Z17" s="4">
        <v>0.42041340470314031</v>
      </c>
      <c r="AA17" s="4">
        <v>0.42289444804191589</v>
      </c>
      <c r="AB17" s="4">
        <v>0.42550063133239752</v>
      </c>
      <c r="AC17" s="4">
        <v>5.67322687411842E-3</v>
      </c>
    </row>
    <row r="18" spans="1:29">
      <c r="A18" s="8" t="s">
        <v>23</v>
      </c>
      <c r="B18" s="8">
        <v>0.34102335572242742</v>
      </c>
      <c r="C18" s="8">
        <v>0.35734710097312927</v>
      </c>
      <c r="D18" s="8">
        <v>0.37536150217056269</v>
      </c>
      <c r="E18" s="8">
        <v>0.39488789439201349</v>
      </c>
      <c r="F18" s="8">
        <v>0.41532284021377558</v>
      </c>
      <c r="G18" s="8">
        <v>0.43541866540908808</v>
      </c>
      <c r="H18" s="8">
        <v>0.45561602711677551</v>
      </c>
      <c r="I18" s="8">
        <v>0.47656670212745672</v>
      </c>
      <c r="J18" s="8">
        <v>0.49871295690536499</v>
      </c>
      <c r="K18" s="8">
        <v>0.52200281620025635</v>
      </c>
      <c r="L18" s="8">
        <v>0.54672467708587646</v>
      </c>
      <c r="M18" s="8">
        <v>0.57296019792556763</v>
      </c>
      <c r="N18" s="8">
        <v>0.6007838249206543</v>
      </c>
      <c r="O18" s="8">
        <v>0.63061064481735229</v>
      </c>
      <c r="P18" s="8">
        <v>0.66134154796600342</v>
      </c>
      <c r="Q18" s="8">
        <v>0.69369369745254517</v>
      </c>
      <c r="R18" s="8">
        <v>0.72768551111221313</v>
      </c>
      <c r="S18" s="8">
        <v>0.76332032680511475</v>
      </c>
      <c r="T18" s="8">
        <v>0.7999948263168335</v>
      </c>
      <c r="U18" s="8">
        <v>0.83785593509674072</v>
      </c>
      <c r="V18" s="8">
        <v>0.87773758172988892</v>
      </c>
      <c r="W18" s="8">
        <v>0.91906726360321045</v>
      </c>
      <c r="X18" s="8">
        <v>0.9618690013885498</v>
      </c>
      <c r="Y18" s="8">
        <v>1.007150530815125</v>
      </c>
      <c r="Z18" s="8">
        <v>1.0542688369750981</v>
      </c>
      <c r="AA18" s="8">
        <v>1.102479934692383</v>
      </c>
      <c r="AB18" s="8">
        <v>1.1535874605178831</v>
      </c>
      <c r="AC18" s="8">
        <v>4.7988217984221697E-2</v>
      </c>
    </row>
    <row r="19" spans="1:29">
      <c r="A19" s="4" t="s">
        <v>24</v>
      </c>
      <c r="B19" s="4">
        <v>4.323187842965126E-2</v>
      </c>
      <c r="C19" s="4">
        <v>4.3303232640028E-2</v>
      </c>
      <c r="D19" s="4">
        <v>4.3520264327526093E-2</v>
      </c>
      <c r="E19" s="4">
        <v>4.3887559324502938E-2</v>
      </c>
      <c r="F19" s="4">
        <v>4.4333852827548981E-2</v>
      </c>
      <c r="G19" s="4">
        <v>4.4710535556077957E-2</v>
      </c>
      <c r="H19" s="4">
        <v>4.503057524561882E-2</v>
      </c>
      <c r="I19" s="4">
        <v>4.5370075851678848E-2</v>
      </c>
      <c r="J19" s="4">
        <v>4.5713100582361221E-2</v>
      </c>
      <c r="K19" s="4">
        <v>4.6101823449134827E-2</v>
      </c>
      <c r="L19" s="4">
        <v>4.6555206179618842E-2</v>
      </c>
      <c r="M19" s="4">
        <v>4.7018416225910187E-2</v>
      </c>
      <c r="N19" s="4">
        <v>4.7490261495113373E-2</v>
      </c>
      <c r="O19" s="4">
        <v>4.7951210290193558E-2</v>
      </c>
      <c r="P19" s="4">
        <v>4.8337612301111221E-2</v>
      </c>
      <c r="Q19" s="4">
        <v>4.8712730407714837E-2</v>
      </c>
      <c r="R19" s="4">
        <v>4.9009114503860467E-2</v>
      </c>
      <c r="S19" s="4">
        <v>4.9157876521348953E-2</v>
      </c>
      <c r="T19" s="4">
        <v>4.9218729138374329E-2</v>
      </c>
      <c r="U19" s="4">
        <v>4.9198191612958908E-2</v>
      </c>
      <c r="V19" s="4">
        <v>4.9035046249628067E-2</v>
      </c>
      <c r="W19" s="4">
        <v>4.8667691648006439E-2</v>
      </c>
      <c r="X19" s="4">
        <v>4.821724072098732E-2</v>
      </c>
      <c r="Y19" s="4">
        <v>4.7559753060340881E-2</v>
      </c>
      <c r="Z19" s="4">
        <v>4.6693067997694022E-2</v>
      </c>
      <c r="AA19" s="4">
        <v>4.5680221170187003E-2</v>
      </c>
      <c r="AB19" s="4">
        <v>4.4449176639318473E-2</v>
      </c>
      <c r="AC19" s="4">
        <v>1.068581633108634E-3</v>
      </c>
    </row>
    <row r="20" spans="1:29">
      <c r="A20" s="7" t="s">
        <v>25</v>
      </c>
      <c r="B20" s="7">
        <v>1.9011098146438601</v>
      </c>
      <c r="C20" s="7">
        <v>1.9786970615386961</v>
      </c>
      <c r="D20" s="7">
        <v>1.9088853597640989</v>
      </c>
      <c r="E20" s="7">
        <v>1.8951290845870969</v>
      </c>
      <c r="F20" s="7">
        <v>1.8792415857315059</v>
      </c>
      <c r="G20" s="7">
        <v>1.913681626319885</v>
      </c>
      <c r="H20" s="7">
        <v>1.9447134733200071</v>
      </c>
      <c r="I20" s="7">
        <v>1.9748988151550291</v>
      </c>
      <c r="J20" s="7">
        <v>2.0056900978088379</v>
      </c>
      <c r="K20" s="7">
        <v>2.037068367004395</v>
      </c>
      <c r="L20" s="7">
        <v>2.069823026657104</v>
      </c>
      <c r="M20" s="7">
        <v>2.104205846786499</v>
      </c>
      <c r="N20" s="7">
        <v>2.140647172927856</v>
      </c>
      <c r="O20" s="7">
        <v>2.1778442859649658</v>
      </c>
      <c r="P20" s="7">
        <v>2.2157661914825439</v>
      </c>
      <c r="Q20" s="7">
        <v>2.2544043064117432</v>
      </c>
      <c r="R20" s="7">
        <v>2.2934918403625488</v>
      </c>
      <c r="S20" s="7">
        <v>2.3327426910400391</v>
      </c>
      <c r="T20" s="7">
        <v>2.3721544742584229</v>
      </c>
      <c r="U20" s="7">
        <v>2.412049293518066</v>
      </c>
      <c r="V20" s="7">
        <v>2.4528098106384282</v>
      </c>
      <c r="W20" s="7">
        <v>2.4945495128631592</v>
      </c>
      <c r="X20" s="7">
        <v>2.536953449249268</v>
      </c>
      <c r="Y20" s="7">
        <v>2.5803482532501221</v>
      </c>
      <c r="Z20" s="7">
        <v>2.6254854202270508</v>
      </c>
      <c r="AA20" s="7">
        <v>2.672209739685059</v>
      </c>
      <c r="AB20" s="7">
        <v>2.720864057540894</v>
      </c>
      <c r="AC20" s="7">
        <v>1.3884415855716981E-2</v>
      </c>
    </row>
    <row r="21" spans="1:29">
      <c r="A21" s="5" t="s">
        <v>26</v>
      </c>
      <c r="B21" s="5">
        <v>4.8910813331604004</v>
      </c>
      <c r="C21" s="5">
        <v>4.9804158210754386</v>
      </c>
      <c r="D21" s="5">
        <v>4.9569354057312012</v>
      </c>
      <c r="E21" s="5">
        <v>5.0091915130615234</v>
      </c>
      <c r="F21" s="5">
        <v>5.0507125854492188</v>
      </c>
      <c r="G21" s="5">
        <v>5.1273622512817383</v>
      </c>
      <c r="H21" s="5">
        <v>5.1797270774841309</v>
      </c>
      <c r="I21" s="5">
        <v>5.2323527336120614</v>
      </c>
      <c r="J21" s="5">
        <v>5.2909073829650879</v>
      </c>
      <c r="K21" s="5">
        <v>5.3487496376037598</v>
      </c>
      <c r="L21" s="5">
        <v>5.4134812355041504</v>
      </c>
      <c r="M21" s="5">
        <v>5.4875597953796387</v>
      </c>
      <c r="N21" s="5">
        <v>5.5717768669128418</v>
      </c>
      <c r="O21" s="5">
        <v>5.6608176231384277</v>
      </c>
      <c r="P21" s="5">
        <v>5.7516789436340332</v>
      </c>
      <c r="Q21" s="5">
        <v>5.8464207649230957</v>
      </c>
      <c r="R21" s="5">
        <v>5.9404821395874023</v>
      </c>
      <c r="S21" s="5">
        <v>6.0359277725219727</v>
      </c>
      <c r="T21" s="5">
        <v>6.1293206214904794</v>
      </c>
      <c r="U21" s="5">
        <v>6.2236690521240234</v>
      </c>
      <c r="V21" s="5">
        <v>6.320319652557373</v>
      </c>
      <c r="W21" s="5">
        <v>6.419501781463623</v>
      </c>
      <c r="X21" s="5">
        <v>6.520169734954834</v>
      </c>
      <c r="Y21" s="5">
        <v>6.6258449554443359</v>
      </c>
      <c r="Z21" s="5">
        <v>6.7374391555786133</v>
      </c>
      <c r="AA21" s="5">
        <v>6.8549036979675293</v>
      </c>
      <c r="AB21" s="5">
        <v>6.9804344177246094</v>
      </c>
      <c r="AC21" s="5">
        <v>1.377469112288709E-2</v>
      </c>
    </row>
    <row r="22" spans="1:29">
      <c r="A22" s="4" t="s">
        <v>27</v>
      </c>
      <c r="B22" s="4">
        <v>1.8762225285172459E-2</v>
      </c>
      <c r="C22" s="4">
        <v>2.8111187741160389E-2</v>
      </c>
      <c r="D22" s="4">
        <v>4.2216714471578598E-2</v>
      </c>
      <c r="E22" s="4">
        <v>6.1634421348571777E-2</v>
      </c>
      <c r="F22" s="4">
        <v>8.6184062063694E-2</v>
      </c>
      <c r="G22" s="4">
        <v>0.1169434636831284</v>
      </c>
      <c r="H22" s="4">
        <v>0.1592939347028732</v>
      </c>
      <c r="I22" s="4">
        <v>0.21282967925071719</v>
      </c>
      <c r="J22" s="4">
        <v>0.28396725654602051</v>
      </c>
      <c r="K22" s="4">
        <v>0.35982298851013178</v>
      </c>
      <c r="L22" s="4">
        <v>0.43453183770179749</v>
      </c>
      <c r="M22" s="4">
        <v>0.5064389705657959</v>
      </c>
      <c r="N22" s="4">
        <v>0.5746803879737854</v>
      </c>
      <c r="O22" s="4">
        <v>0.63944709300994873</v>
      </c>
      <c r="P22" s="4">
        <v>0.69993162155151367</v>
      </c>
      <c r="Q22" s="4">
        <v>0.75637620687484741</v>
      </c>
      <c r="R22" s="4">
        <v>0.80846196413040161</v>
      </c>
      <c r="S22" s="4">
        <v>0.85591214895248413</v>
      </c>
      <c r="T22" s="4">
        <v>0.8987807035446167</v>
      </c>
      <c r="U22" s="4">
        <v>0.93630868196487427</v>
      </c>
      <c r="V22" s="4">
        <v>0.96902889013290405</v>
      </c>
      <c r="W22" s="4">
        <v>0.99835860729217529</v>
      </c>
      <c r="X22" s="4">
        <v>1.0234930515289311</v>
      </c>
      <c r="Y22" s="4">
        <v>1.046672463417053</v>
      </c>
      <c r="Z22" s="4">
        <v>1.067095875740051</v>
      </c>
      <c r="AA22" s="4">
        <v>1.0854165554046631</v>
      </c>
      <c r="AB22" s="4">
        <v>1.1022665500640869</v>
      </c>
      <c r="AC22" s="4">
        <v>0.16960320396264181</v>
      </c>
    </row>
    <row r="23" spans="1:29">
      <c r="A23" s="4" t="s">
        <v>28</v>
      </c>
      <c r="B23" s="4">
        <v>0.1417428404092789</v>
      </c>
      <c r="C23" s="4">
        <v>0.15866538882255549</v>
      </c>
      <c r="D23" s="4">
        <v>0.17515625059604639</v>
      </c>
      <c r="E23" s="4">
        <v>0.18216720223426819</v>
      </c>
      <c r="F23" s="4">
        <v>0.18950165808200839</v>
      </c>
      <c r="G23" s="4">
        <v>0.19932402670383451</v>
      </c>
      <c r="H23" s="4">
        <v>0.21114170551300049</v>
      </c>
      <c r="I23" s="4">
        <v>0.2262821048498154</v>
      </c>
      <c r="J23" s="4">
        <v>0.2380215525627136</v>
      </c>
      <c r="K23" s="4">
        <v>0.25386306643486017</v>
      </c>
      <c r="L23" s="4">
        <v>0.26367565989494318</v>
      </c>
      <c r="M23" s="4">
        <v>0.27195024490356451</v>
      </c>
      <c r="N23" s="4">
        <v>0.27859649062156677</v>
      </c>
      <c r="O23" s="4">
        <v>0.2867908775806427</v>
      </c>
      <c r="P23" s="4">
        <v>0.29231449961662292</v>
      </c>
      <c r="Q23" s="4">
        <v>0.29519769549369812</v>
      </c>
      <c r="R23" s="4">
        <v>0.30083072185516357</v>
      </c>
      <c r="S23" s="4">
        <v>0.30859920382499689</v>
      </c>
      <c r="T23" s="4">
        <v>0.31782028079032898</v>
      </c>
      <c r="U23" s="4">
        <v>0.32781410217285162</v>
      </c>
      <c r="V23" s="4">
        <v>0.33833733201026922</v>
      </c>
      <c r="W23" s="4">
        <v>0.34827795624732971</v>
      </c>
      <c r="X23" s="4">
        <v>0.35950967669487</v>
      </c>
      <c r="Y23" s="4">
        <v>0.36915764212608337</v>
      </c>
      <c r="Z23" s="4">
        <v>0.37854108214378362</v>
      </c>
      <c r="AA23" s="4">
        <v>0.38589134812355042</v>
      </c>
      <c r="AB23" s="4">
        <v>0.39218923449516302</v>
      </c>
      <c r="AC23" s="4">
        <v>3.9919662688145292E-2</v>
      </c>
    </row>
    <row r="24" spans="1:29">
      <c r="A24" s="5" t="s">
        <v>29</v>
      </c>
      <c r="B24" s="5">
        <v>4.7681002616882324</v>
      </c>
      <c r="C24" s="5">
        <v>4.8498620986938477</v>
      </c>
      <c r="D24" s="5">
        <v>4.8239965438842773</v>
      </c>
      <c r="E24" s="5">
        <v>4.8886594772338867</v>
      </c>
      <c r="F24" s="5">
        <v>4.947394847869873</v>
      </c>
      <c r="G24" s="5">
        <v>5.0449814796447754</v>
      </c>
      <c r="H24" s="5">
        <v>5.1278796195983887</v>
      </c>
      <c r="I24" s="5">
        <v>5.218900203704834</v>
      </c>
      <c r="J24" s="5">
        <v>5.33685302734375</v>
      </c>
      <c r="K24" s="5">
        <v>5.454709529876709</v>
      </c>
      <c r="L24" s="5">
        <v>5.5843367576599121</v>
      </c>
      <c r="M24" s="5">
        <v>5.7220487594604492</v>
      </c>
      <c r="N24" s="5">
        <v>5.8678607940673828</v>
      </c>
      <c r="O24" s="5">
        <v>6.0134739875793457</v>
      </c>
      <c r="P24" s="5">
        <v>6.1592960357666016</v>
      </c>
      <c r="Q24" s="5">
        <v>6.3075995445251456</v>
      </c>
      <c r="R24" s="5">
        <v>6.4481124877929688</v>
      </c>
      <c r="S24" s="5">
        <v>6.5832405090332031</v>
      </c>
      <c r="T24" s="5">
        <v>6.7102813720703116</v>
      </c>
      <c r="U24" s="5">
        <v>6.8321628570556641</v>
      </c>
      <c r="V24" s="5">
        <v>6.9510107040405273</v>
      </c>
      <c r="W24" s="5">
        <v>7.069582462310791</v>
      </c>
      <c r="X24" s="5">
        <v>7.1841535568237296</v>
      </c>
      <c r="Y24" s="5">
        <v>7.3033595085144043</v>
      </c>
      <c r="Z24" s="5">
        <v>7.4259939193725586</v>
      </c>
      <c r="AA24" s="5">
        <v>7.5544285774230957</v>
      </c>
      <c r="AB24" s="5">
        <v>7.6905121803283691</v>
      </c>
      <c r="AC24" s="5">
        <v>1.8556197418671649E-2</v>
      </c>
    </row>
    <row r="26" spans="1:29" s="4" customFormat="1" ht="12">
      <c r="B26" s="4" t="s">
        <v>30</v>
      </c>
    </row>
    <row r="27" spans="1:29" s="4" customFormat="1" ht="12">
      <c r="B27" s="4" t="s">
        <v>31</v>
      </c>
    </row>
    <row r="28" spans="1:29" s="4" customFormat="1" ht="12">
      <c r="B28" s="4" t="s">
        <v>32</v>
      </c>
    </row>
    <row r="29" spans="1:29" s="4" customFormat="1" ht="12">
      <c r="B29" s="4" t="s">
        <v>33</v>
      </c>
    </row>
    <row r="30" spans="1:29" s="4" customFormat="1" ht="12">
      <c r="B30" s="4" t="s">
        <v>34</v>
      </c>
    </row>
    <row r="31" spans="1:29" s="4" customFormat="1" ht="12">
      <c r="B31" s="4" t="s">
        <v>35</v>
      </c>
    </row>
    <row r="32" spans="1:29" s="4" customFormat="1" ht="12">
      <c r="B32" s="4" t="s">
        <v>36</v>
      </c>
    </row>
    <row r="33" spans="2:13" s="4" customFormat="1" ht="12">
      <c r="B33" s="4" t="s">
        <v>37</v>
      </c>
    </row>
    <row r="34" spans="2:13" s="4" customFormat="1" ht="12">
      <c r="B34" s="4" t="s">
        <v>38</v>
      </c>
    </row>
    <row r="35" spans="2:13" s="4" customFormat="1" ht="12">
      <c r="B35" s="7" t="s">
        <v>39</v>
      </c>
      <c r="C35" s="7"/>
      <c r="D35" s="7"/>
      <c r="E35" s="7"/>
      <c r="F35" s="7"/>
      <c r="G35" s="7"/>
      <c r="H35" s="7"/>
      <c r="I35" s="7"/>
      <c r="J35" s="7"/>
      <c r="K35" s="7"/>
      <c r="L35" s="7"/>
      <c r="M35" s="7"/>
    </row>
    <row r="36" spans="2:13" s="4" customFormat="1" ht="12">
      <c r="B36" s="7" t="s">
        <v>40</v>
      </c>
      <c r="C36" s="7"/>
      <c r="D36" s="7"/>
      <c r="E36" s="7"/>
      <c r="F36" s="7"/>
      <c r="G36" s="7"/>
      <c r="H36" s="7"/>
      <c r="I36" s="7"/>
      <c r="J36" s="7"/>
      <c r="K36" s="7"/>
      <c r="L36" s="7"/>
      <c r="M36" s="7"/>
    </row>
    <row r="37" spans="2:13" s="4" customFormat="1" ht="12">
      <c r="B37" s="7" t="s">
        <v>41</v>
      </c>
      <c r="C37" s="7"/>
      <c r="D37" s="7"/>
      <c r="E37" s="7"/>
      <c r="F37" s="7"/>
      <c r="G37" s="7"/>
      <c r="H37" s="7"/>
      <c r="I37" s="7"/>
      <c r="J37" s="7"/>
      <c r="K37" s="7"/>
      <c r="L37" s="7"/>
      <c r="M37" s="7"/>
    </row>
    <row r="38" spans="2:13" s="4" customFormat="1" ht="12">
      <c r="B38" s="8" t="s">
        <v>42</v>
      </c>
      <c r="C38" s="8"/>
      <c r="D38" s="8"/>
      <c r="E38" s="8"/>
      <c r="F38" s="8"/>
      <c r="G38" s="8"/>
      <c r="H38" s="8"/>
      <c r="I38" s="8"/>
      <c r="J38" s="8"/>
      <c r="K38" s="8"/>
      <c r="L38" s="8"/>
      <c r="M38" s="8"/>
    </row>
    <row r="39" spans="2:13" s="4" customFormat="1" ht="12">
      <c r="B39" s="4" t="s">
        <v>43</v>
      </c>
    </row>
    <row r="40" spans="2:13" s="4" customFormat="1" ht="12">
      <c r="B40" s="4" t="s">
        <v>44</v>
      </c>
    </row>
    <row r="41" spans="2:13" s="4" customFormat="1" ht="12">
      <c r="B41" s="4" t="s">
        <v>45</v>
      </c>
    </row>
    <row r="42" spans="2:13" s="4" customFormat="1" ht="12">
      <c r="B42" s="4" t="s">
        <v>46</v>
      </c>
    </row>
    <row r="43" spans="2:13" s="4" customFormat="1" ht="12">
      <c r="B43" s="4" t="s">
        <v>47</v>
      </c>
    </row>
    <row r="44" spans="2:13" s="4" customFormat="1" ht="12">
      <c r="B44" s="4" t="s">
        <v>48</v>
      </c>
    </row>
    <row r="45" spans="2:13" s="4" customFormat="1" ht="12">
      <c r="B45" s="4" t="s">
        <v>49</v>
      </c>
    </row>
    <row r="46" spans="2:13" s="4" customFormat="1" ht="12">
      <c r="B46" s="4" t="s">
        <v>50</v>
      </c>
    </row>
    <row r="47" spans="2:13" s="4" customFormat="1" ht="12">
      <c r="B47" s="4" t="s">
        <v>51</v>
      </c>
    </row>
    <row r="48" spans="2:13" s="4" customFormat="1" ht="12">
      <c r="B48" s="4" t="s">
        <v>52</v>
      </c>
    </row>
    <row r="49" spans="1:29" s="4" customFormat="1" ht="12">
      <c r="B49" s="4" t="s">
        <v>53</v>
      </c>
    </row>
    <row r="50" spans="1:29" s="4" customFormat="1" ht="12">
      <c r="B50" s="4" t="s">
        <v>54</v>
      </c>
    </row>
    <row r="51" spans="1:29" s="4" customFormat="1" ht="12">
      <c r="B51" s="4" t="s">
        <v>55</v>
      </c>
    </row>
    <row r="52" spans="1:29" s="4" customFormat="1" ht="12">
      <c r="B52" s="4" t="s">
        <v>56</v>
      </c>
    </row>
    <row r="53" spans="1:29" s="4" customFormat="1" ht="12">
      <c r="B53" s="4" t="s">
        <v>57</v>
      </c>
    </row>
    <row r="54" spans="1:29" s="4" customFormat="1" ht="12">
      <c r="B54" s="4" t="s">
        <v>58</v>
      </c>
    </row>
    <row r="55" spans="1:29" s="4" customFormat="1" ht="12">
      <c r="B55" s="4" t="s">
        <v>59</v>
      </c>
    </row>
    <row r="56" spans="1:29" s="4" customFormat="1" ht="12">
      <c r="B56" s="4" t="s">
        <v>60</v>
      </c>
    </row>
    <row r="57" spans="1:29" s="4" customFormat="1" ht="12">
      <c r="B57" s="4" t="s">
        <v>61</v>
      </c>
    </row>
    <row r="58" spans="1:29">
      <c r="B58" s="6">
        <v>2024</v>
      </c>
      <c r="C58" s="6">
        <v>2025</v>
      </c>
      <c r="D58" s="6">
        <v>2026</v>
      </c>
      <c r="E58" s="6">
        <v>2027</v>
      </c>
      <c r="F58" s="6">
        <v>2028</v>
      </c>
      <c r="G58" s="6">
        <v>2029</v>
      </c>
      <c r="H58" s="6">
        <v>2030</v>
      </c>
      <c r="I58" s="6">
        <v>2031</v>
      </c>
      <c r="J58" s="6">
        <v>2032</v>
      </c>
      <c r="K58" s="6">
        <v>2033</v>
      </c>
      <c r="L58" s="6">
        <v>2034</v>
      </c>
      <c r="M58" s="6">
        <v>2035</v>
      </c>
      <c r="N58" s="6">
        <v>2036</v>
      </c>
      <c r="O58" s="6">
        <v>2037</v>
      </c>
      <c r="P58" s="6">
        <v>2038</v>
      </c>
      <c r="Q58" s="6">
        <v>2039</v>
      </c>
      <c r="R58" s="6">
        <v>2040</v>
      </c>
      <c r="S58" s="6">
        <v>2041</v>
      </c>
      <c r="T58" s="6">
        <v>2042</v>
      </c>
      <c r="U58" s="6">
        <v>2043</v>
      </c>
      <c r="V58" s="6">
        <v>2044</v>
      </c>
      <c r="W58" s="6">
        <v>2045</v>
      </c>
      <c r="X58" s="6">
        <v>2046</v>
      </c>
      <c r="Y58" s="6">
        <v>2047</v>
      </c>
      <c r="Z58" s="6">
        <v>2048</v>
      </c>
      <c r="AA58" s="6">
        <v>2049</v>
      </c>
      <c r="AB58" s="6">
        <v>2050</v>
      </c>
      <c r="AC58" s="6"/>
    </row>
    <row r="59" spans="1:29">
      <c r="A59" t="s">
        <v>111</v>
      </c>
      <c r="B59" s="24">
        <f>B14+B18+B20</f>
        <v>2.9867523014545441</v>
      </c>
      <c r="C59" s="24">
        <f t="shared" ref="C59:AB59" si="0">C14+C18+C20</f>
        <v>3.0925395786762238</v>
      </c>
      <c r="D59" s="24">
        <f t="shared" si="0"/>
        <v>3.0572723746299744</v>
      </c>
      <c r="E59" s="24">
        <f t="shared" si="0"/>
        <v>3.0847806632518768</v>
      </c>
      <c r="F59" s="24">
        <f t="shared" si="0"/>
        <v>3.1073720455169673</v>
      </c>
      <c r="G59" s="24">
        <f t="shared" si="0"/>
        <v>3.1747905015945435</v>
      </c>
      <c r="H59" s="24">
        <f t="shared" si="0"/>
        <v>3.2333429157733917</v>
      </c>
      <c r="I59" s="24">
        <f t="shared" si="0"/>
        <v>3.2914175093173981</v>
      </c>
      <c r="J59" s="24">
        <f t="shared" si="0"/>
        <v>3.3522639870643616</v>
      </c>
      <c r="K59" s="24">
        <f t="shared" si="0"/>
        <v>3.4142163991928105</v>
      </c>
      <c r="L59" s="24">
        <f t="shared" si="0"/>
        <v>3.4802441596984859</v>
      </c>
      <c r="M59" s="24">
        <f t="shared" si="0"/>
        <v>3.5510989427566528</v>
      </c>
      <c r="N59" s="24">
        <f t="shared" si="0"/>
        <v>3.627654373645782</v>
      </c>
      <c r="O59" s="24">
        <f t="shared" si="0"/>
        <v>3.7072545886039734</v>
      </c>
      <c r="P59" s="24">
        <f t="shared" si="0"/>
        <v>3.7884232401847839</v>
      </c>
      <c r="Q59" s="24">
        <f t="shared" si="0"/>
        <v>3.8722490072250366</v>
      </c>
      <c r="R59" s="24">
        <f t="shared" si="0"/>
        <v>3.9576839804649353</v>
      </c>
      <c r="S59" s="24">
        <f t="shared" si="0"/>
        <v>4.044352650642395</v>
      </c>
      <c r="T59" s="24">
        <f t="shared" si="0"/>
        <v>4.1310218572616577</v>
      </c>
      <c r="U59" s="24">
        <f t="shared" si="0"/>
        <v>4.2188640832901001</v>
      </c>
      <c r="V59" s="24">
        <f t="shared" si="0"/>
        <v>4.3093096613883972</v>
      </c>
      <c r="W59" s="24">
        <f t="shared" si="0"/>
        <v>4.4023039937019348</v>
      </c>
      <c r="X59" s="24">
        <f t="shared" si="0"/>
        <v>4.4972906112670898</v>
      </c>
      <c r="Y59" s="24">
        <f t="shared" si="0"/>
        <v>4.5963493585586548</v>
      </c>
      <c r="Z59" s="24">
        <f t="shared" si="0"/>
        <v>4.6997910737991342</v>
      </c>
      <c r="AA59" s="24">
        <f t="shared" si="0"/>
        <v>4.8069868087768555</v>
      </c>
      <c r="AB59" s="24">
        <f t="shared" si="0"/>
        <v>4.9200910329818726</v>
      </c>
      <c r="AC59" s="24"/>
    </row>
  </sheetData>
  <conditionalFormatting sqref="A10 B58:AC58">
    <cfRule type="notContainsBlanks" dxfId="14" priority="6">
      <formula>LEN(TRIM(A10))&gt;0</formula>
    </cfRule>
  </conditionalFormatting>
  <conditionalFormatting sqref="AC1">
    <cfRule type="notContainsBlanks" dxfId="13" priority="2">
      <formula>LEN(TRIM(AC1))&gt;0</formula>
    </cfRule>
  </conditionalFormatting>
  <conditionalFormatting sqref="AC2:AC6">
    <cfRule type="notContainsBlanks" dxfId="12" priority="3">
      <formula>LEN(TRIM(AC2))&gt;0</formula>
    </cfRule>
  </conditionalFormatting>
  <conditionalFormatting sqref="AC7">
    <cfRule type="notContainsBlanks" dxfId="11" priority="4">
      <formula>LEN(TRIM(AC7))&gt;0</formula>
    </cfRule>
  </conditionalFormatting>
  <conditionalFormatting sqref="AC8:AC9">
    <cfRule type="notContainsBlanks" dxfId="10" priority="5">
      <formula>LEN(TRIM(AC8))&gt;0</formula>
    </cfRule>
  </conditionalFormatting>
  <conditionalFormatting sqref="AC11:AC20">
    <cfRule type="notContainsBlanks" dxfId="9" priority="8">
      <formula>LEN(TRIM(AC11))&gt;0</formula>
    </cfRule>
  </conditionalFormatting>
  <conditionalFormatting sqref="AC21">
    <cfRule type="notContainsBlanks" dxfId="8" priority="9">
      <formula>LEN(TRIM(AC21))&gt;0</formula>
    </cfRule>
  </conditionalFormatting>
  <conditionalFormatting sqref="AC22:AC23">
    <cfRule type="notContainsBlanks" dxfId="7" priority="10">
      <formula>LEN(TRIM(AC22))&gt;0</formula>
    </cfRule>
  </conditionalFormatting>
  <conditionalFormatting sqref="AC24">
    <cfRule type="notContainsBlanks" dxfId="6" priority="11">
      <formula>LEN(TRIM(AC24))&gt;0</formula>
    </cfRule>
  </conditionalFormatting>
  <conditionalFormatting sqref="AC58">
    <cfRule type="notContainsBlanks" dxfId="5" priority="7">
      <formula>LEN(TRIM(AC58))&gt;0</formula>
    </cfRule>
  </conditionalFormatting>
  <conditionalFormatting sqref="AD26:AD58">
    <cfRule type="notContainsBlanks" dxfId="4" priority="1">
      <formula>LEN(TRIM(AD26))&gt;0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488A-CBBB-42A5-AEF6-45F00DA1D5EB}">
  <dimension ref="A1:AG59"/>
  <sheetViews>
    <sheetView workbookViewId="0">
      <selection activeCell="A56" sqref="A56"/>
    </sheetView>
  </sheetViews>
  <sheetFormatPr defaultRowHeight="14.4"/>
  <cols>
    <col min="1" max="1" width="29.44140625" customWidth="1"/>
  </cols>
  <sheetData>
    <row r="1" spans="1:31">
      <c r="A1" s="9" t="s">
        <v>3</v>
      </c>
      <c r="B1" s="9" t="s">
        <v>62</v>
      </c>
      <c r="C1" s="10"/>
      <c r="D1" s="10"/>
      <c r="E1" s="10"/>
    </row>
    <row r="2" spans="1:31">
      <c r="A2" s="9" t="s">
        <v>5</v>
      </c>
      <c r="B2" s="9" t="s">
        <v>63</v>
      </c>
      <c r="C2" s="10"/>
      <c r="D2" s="10"/>
      <c r="E2" s="9" t="s">
        <v>7</v>
      </c>
    </row>
    <row r="3" spans="1:31">
      <c r="A3" s="9" t="s">
        <v>8</v>
      </c>
      <c r="B3" s="9" t="s">
        <v>64</v>
      </c>
      <c r="C3" s="10"/>
      <c r="D3" s="10"/>
      <c r="E3" s="10"/>
    </row>
    <row r="4" spans="1:31">
      <c r="A4" s="9" t="s">
        <v>10</v>
      </c>
      <c r="B4" s="10"/>
      <c r="C4" s="9" t="s">
        <v>65</v>
      </c>
      <c r="D4" s="10"/>
      <c r="E4" s="10"/>
    </row>
    <row r="6" spans="1:31" ht="15" thickBot="1">
      <c r="A6" s="11" t="s">
        <v>66</v>
      </c>
      <c r="B6" s="11">
        <v>2022</v>
      </c>
      <c r="C6" s="11">
        <v>2023</v>
      </c>
      <c r="D6" s="11">
        <v>2024</v>
      </c>
      <c r="E6" s="11">
        <v>2025</v>
      </c>
      <c r="F6" s="11">
        <v>2026</v>
      </c>
      <c r="G6" s="11">
        <v>2027</v>
      </c>
      <c r="H6" s="11">
        <v>2028</v>
      </c>
      <c r="I6" s="11">
        <v>2029</v>
      </c>
      <c r="J6" s="11">
        <v>2030</v>
      </c>
      <c r="K6" s="11">
        <v>2031</v>
      </c>
      <c r="L6" s="11">
        <v>2032</v>
      </c>
      <c r="M6" s="11">
        <v>2033</v>
      </c>
      <c r="N6" s="11">
        <v>2034</v>
      </c>
      <c r="O6" s="11">
        <v>2035</v>
      </c>
      <c r="P6" s="11">
        <v>2036</v>
      </c>
      <c r="Q6" s="11">
        <v>2037</v>
      </c>
      <c r="R6" s="11">
        <v>2038</v>
      </c>
      <c r="S6" s="11">
        <v>2039</v>
      </c>
      <c r="T6" s="11">
        <v>2040</v>
      </c>
      <c r="U6" s="11">
        <v>2041</v>
      </c>
      <c r="V6" s="11">
        <v>2042</v>
      </c>
      <c r="W6" s="11">
        <v>2043</v>
      </c>
      <c r="X6" s="11">
        <v>2044</v>
      </c>
      <c r="Y6" s="11">
        <v>2045</v>
      </c>
      <c r="Z6" s="11">
        <v>2046</v>
      </c>
      <c r="AA6" s="11">
        <v>2047</v>
      </c>
      <c r="AB6" s="11">
        <v>2048</v>
      </c>
      <c r="AC6" s="11">
        <v>2049</v>
      </c>
      <c r="AD6" s="11">
        <v>2050</v>
      </c>
      <c r="AE6" s="12" t="s">
        <v>67</v>
      </c>
    </row>
    <row r="7" spans="1:31" ht="15" thickTop="1">
      <c r="A7" s="13" t="s">
        <v>68</v>
      </c>
      <c r="B7" s="14">
        <v>0.119273</v>
      </c>
      <c r="C7" s="14">
        <v>0.11836099999999999</v>
      </c>
      <c r="D7" s="14">
        <v>0.110862</v>
      </c>
      <c r="E7" s="14">
        <v>0.111099</v>
      </c>
      <c r="F7" s="14">
        <v>0.111147</v>
      </c>
      <c r="G7" s="14">
        <v>0.11085399999999999</v>
      </c>
      <c r="H7" s="14">
        <v>0.110384</v>
      </c>
      <c r="I7" s="14">
        <v>0.109759</v>
      </c>
      <c r="J7" s="14">
        <v>0.108987</v>
      </c>
      <c r="K7" s="14">
        <v>0.10828500000000001</v>
      </c>
      <c r="L7" s="14">
        <v>0.10747900000000001</v>
      </c>
      <c r="M7" s="14">
        <v>0.106449</v>
      </c>
      <c r="N7" s="14">
        <v>0.10527499999999999</v>
      </c>
      <c r="O7" s="14">
        <v>0.104142</v>
      </c>
      <c r="P7" s="14">
        <v>0.10298300000000001</v>
      </c>
      <c r="Q7" s="14">
        <v>0.10173699999999999</v>
      </c>
      <c r="R7" s="14">
        <v>0.10034700000000001</v>
      </c>
      <c r="S7" s="14">
        <v>9.8874000000000004E-2</v>
      </c>
      <c r="T7" s="14">
        <v>9.7414000000000001E-2</v>
      </c>
      <c r="U7" s="14">
        <v>9.6060000000000006E-2</v>
      </c>
      <c r="V7" s="14">
        <v>9.4757999999999995E-2</v>
      </c>
      <c r="W7" s="14">
        <v>9.3488000000000002E-2</v>
      </c>
      <c r="X7" s="14">
        <v>9.2216000000000006E-2</v>
      </c>
      <c r="Y7" s="14">
        <v>9.0939000000000006E-2</v>
      </c>
      <c r="Z7" s="14">
        <v>8.9707999999999996E-2</v>
      </c>
      <c r="AA7" s="14">
        <v>8.8523000000000004E-2</v>
      </c>
      <c r="AB7" s="14">
        <v>8.7315000000000004E-2</v>
      </c>
      <c r="AC7" s="14">
        <v>8.6134000000000002E-2</v>
      </c>
      <c r="AD7" s="14">
        <v>8.4989999999999996E-2</v>
      </c>
      <c r="AE7" s="15">
        <v>-1.2030000000000001E-2</v>
      </c>
    </row>
    <row r="8" spans="1:31">
      <c r="A8" s="13" t="s">
        <v>69</v>
      </c>
      <c r="B8" s="14">
        <v>0.54288000000000003</v>
      </c>
      <c r="C8" s="14">
        <v>0.477379</v>
      </c>
      <c r="D8" s="14">
        <v>0.55079100000000003</v>
      </c>
      <c r="E8" s="14">
        <v>0.56004500000000002</v>
      </c>
      <c r="F8" s="14">
        <v>0.56774999999999998</v>
      </c>
      <c r="G8" s="14">
        <v>0.57508499999999996</v>
      </c>
      <c r="H8" s="14">
        <v>0.58246200000000004</v>
      </c>
      <c r="I8" s="14">
        <v>0.58957300000000001</v>
      </c>
      <c r="J8" s="14">
        <v>0.59539600000000004</v>
      </c>
      <c r="K8" s="14">
        <v>0.601495</v>
      </c>
      <c r="L8" s="14">
        <v>0.60778500000000002</v>
      </c>
      <c r="M8" s="14">
        <v>0.61240499999999998</v>
      </c>
      <c r="N8" s="14">
        <v>0.61662799999999995</v>
      </c>
      <c r="O8" s="14">
        <v>0.62129199999999996</v>
      </c>
      <c r="P8" s="14">
        <v>0.62604599999999999</v>
      </c>
      <c r="Q8" s="14">
        <v>0.63073500000000005</v>
      </c>
      <c r="R8" s="14">
        <v>0.63493599999999994</v>
      </c>
      <c r="S8" s="14">
        <v>0.63913600000000004</v>
      </c>
      <c r="T8" s="14">
        <v>0.64287499999999997</v>
      </c>
      <c r="U8" s="14">
        <v>0.647011</v>
      </c>
      <c r="V8" s="14">
        <v>0.65148700000000004</v>
      </c>
      <c r="W8" s="14">
        <v>0.65618699999999996</v>
      </c>
      <c r="X8" s="14">
        <v>0.66127499999999995</v>
      </c>
      <c r="Y8" s="14">
        <v>0.66691500000000004</v>
      </c>
      <c r="Z8" s="14">
        <v>0.67370399999999997</v>
      </c>
      <c r="AA8" s="14">
        <v>0.68126399999999998</v>
      </c>
      <c r="AB8" s="14">
        <v>0.68905400000000006</v>
      </c>
      <c r="AC8" s="14">
        <v>0.696994</v>
      </c>
      <c r="AD8" s="14">
        <v>0.70569899999999997</v>
      </c>
      <c r="AE8" s="15">
        <v>9.4120000000000002E-3</v>
      </c>
    </row>
    <row r="9" spans="1:31">
      <c r="A9" s="13" t="s">
        <v>70</v>
      </c>
      <c r="B9" s="14">
        <v>2.4215E-2</v>
      </c>
      <c r="C9" s="14">
        <v>2.3555E-2</v>
      </c>
      <c r="D9" s="14">
        <v>2.3130000000000001E-2</v>
      </c>
      <c r="E9" s="14">
        <v>2.2870000000000001E-2</v>
      </c>
      <c r="F9" s="14">
        <v>2.2631999999999999E-2</v>
      </c>
      <c r="G9" s="14">
        <v>2.2556E-2</v>
      </c>
      <c r="H9" s="14">
        <v>2.2463E-2</v>
      </c>
      <c r="I9" s="14">
        <v>2.2349999999999998E-2</v>
      </c>
      <c r="J9" s="14">
        <v>2.2206E-2</v>
      </c>
      <c r="K9" s="14">
        <v>2.2058999999999999E-2</v>
      </c>
      <c r="L9" s="14">
        <v>2.1898999999999998E-2</v>
      </c>
      <c r="M9" s="14">
        <v>2.1687999999999999E-2</v>
      </c>
      <c r="N9" s="14">
        <v>2.1453E-2</v>
      </c>
      <c r="O9" s="14">
        <v>2.1236000000000001E-2</v>
      </c>
      <c r="P9" s="14">
        <v>2.1016E-2</v>
      </c>
      <c r="Q9" s="14">
        <v>2.0782999999999999E-2</v>
      </c>
      <c r="R9" s="14">
        <v>2.0525999999999999E-2</v>
      </c>
      <c r="S9" s="14">
        <v>2.0267E-2</v>
      </c>
      <c r="T9" s="14">
        <v>2.001E-2</v>
      </c>
      <c r="U9" s="14">
        <v>1.9778E-2</v>
      </c>
      <c r="V9" s="14">
        <v>1.9556E-2</v>
      </c>
      <c r="W9" s="14">
        <v>1.9342000000000002E-2</v>
      </c>
      <c r="X9" s="14">
        <v>1.9133000000000001E-2</v>
      </c>
      <c r="Y9" s="14">
        <v>1.8929999999999999E-2</v>
      </c>
      <c r="Z9" s="14">
        <v>1.8741000000000001E-2</v>
      </c>
      <c r="AA9" s="14">
        <v>1.857E-2</v>
      </c>
      <c r="AB9" s="14">
        <v>1.84E-2</v>
      </c>
      <c r="AC9" s="14">
        <v>1.8238999999999998E-2</v>
      </c>
      <c r="AD9" s="14">
        <v>1.8093999999999999E-2</v>
      </c>
      <c r="AE9" s="15">
        <v>-1.0354E-2</v>
      </c>
    </row>
    <row r="10" spans="1:31">
      <c r="A10" s="16" t="s">
        <v>71</v>
      </c>
      <c r="B10" s="17">
        <v>0.41879300000000003</v>
      </c>
      <c r="C10" s="17">
        <v>0.407891</v>
      </c>
      <c r="D10" s="17">
        <v>0.40001900000000001</v>
      </c>
      <c r="E10" s="17">
        <v>0.394285</v>
      </c>
      <c r="F10" s="17">
        <v>0.38813999999999999</v>
      </c>
      <c r="G10" s="17">
        <v>0.38119500000000001</v>
      </c>
      <c r="H10" s="17">
        <v>0.37394899999999998</v>
      </c>
      <c r="I10" s="17">
        <v>0.36649399999999999</v>
      </c>
      <c r="J10" s="17">
        <v>0.35841099999999998</v>
      </c>
      <c r="K10" s="17">
        <v>0.35066599999999998</v>
      </c>
      <c r="L10" s="17">
        <v>0.34295799999999999</v>
      </c>
      <c r="M10" s="17">
        <v>0.33487299999999998</v>
      </c>
      <c r="N10" s="17">
        <v>0.32677299999999998</v>
      </c>
      <c r="O10" s="17">
        <v>0.31914799999999999</v>
      </c>
      <c r="P10" s="17">
        <v>0.311811</v>
      </c>
      <c r="Q10" s="17">
        <v>0.30456</v>
      </c>
      <c r="R10" s="17">
        <v>0.29719499999999999</v>
      </c>
      <c r="S10" s="17">
        <v>0.28995700000000002</v>
      </c>
      <c r="T10" s="17">
        <v>0.28303099999999998</v>
      </c>
      <c r="U10" s="17">
        <v>0.276615</v>
      </c>
      <c r="V10" s="17">
        <v>0.270569</v>
      </c>
      <c r="W10" s="17">
        <v>0.26481399999999999</v>
      </c>
      <c r="X10" s="17">
        <v>0.25929200000000002</v>
      </c>
      <c r="Y10" s="17">
        <v>0.25397799999999998</v>
      </c>
      <c r="Z10" s="17">
        <v>0.24892300000000001</v>
      </c>
      <c r="AA10" s="17">
        <v>0.24418300000000001</v>
      </c>
      <c r="AB10" s="17">
        <v>0.239593</v>
      </c>
      <c r="AC10" s="17">
        <v>0.23527899999999999</v>
      </c>
      <c r="AD10" s="17">
        <v>0.23125899999999999</v>
      </c>
      <c r="AE10" s="18">
        <v>-2.0985E-2</v>
      </c>
    </row>
    <row r="11" spans="1:31">
      <c r="A11" s="13" t="s">
        <v>20</v>
      </c>
      <c r="B11" s="14">
        <v>8.2377000000000006E-2</v>
      </c>
      <c r="C11" s="14">
        <v>8.1711000000000006E-2</v>
      </c>
      <c r="D11" s="14">
        <v>8.1786999999999999E-2</v>
      </c>
      <c r="E11" s="14">
        <v>8.2300999999999999E-2</v>
      </c>
      <c r="F11" s="14">
        <v>8.2629999999999995E-2</v>
      </c>
      <c r="G11" s="14">
        <v>8.2722000000000004E-2</v>
      </c>
      <c r="H11" s="14">
        <v>8.2723000000000005E-2</v>
      </c>
      <c r="I11" s="14">
        <v>8.2640000000000005E-2</v>
      </c>
      <c r="J11" s="14">
        <v>8.2437999999999997E-2</v>
      </c>
      <c r="K11" s="14">
        <v>8.2239999999999994E-2</v>
      </c>
      <c r="L11" s="14">
        <v>8.1999000000000002E-2</v>
      </c>
      <c r="M11" s="14">
        <v>8.1576999999999997E-2</v>
      </c>
      <c r="N11" s="14">
        <v>8.1060999999999994E-2</v>
      </c>
      <c r="O11" s="14">
        <v>8.0576999999999996E-2</v>
      </c>
      <c r="P11" s="14">
        <v>8.0064999999999997E-2</v>
      </c>
      <c r="Q11" s="14">
        <v>7.9491000000000006E-2</v>
      </c>
      <c r="R11" s="14">
        <v>7.8826999999999994E-2</v>
      </c>
      <c r="S11" s="14">
        <v>7.8130000000000005E-2</v>
      </c>
      <c r="T11" s="14">
        <v>7.7412999999999996E-2</v>
      </c>
      <c r="U11" s="14">
        <v>7.6771000000000006E-2</v>
      </c>
      <c r="V11" s="14">
        <v>7.6152999999999998E-2</v>
      </c>
      <c r="W11" s="14">
        <v>7.5556999999999999E-2</v>
      </c>
      <c r="X11" s="14">
        <v>7.4978000000000003E-2</v>
      </c>
      <c r="Y11" s="14">
        <v>7.4414999999999995E-2</v>
      </c>
      <c r="Z11" s="14">
        <v>7.3903999999999997E-2</v>
      </c>
      <c r="AA11" s="14">
        <v>7.3455999999999994E-2</v>
      </c>
      <c r="AB11" s="14">
        <v>7.2993000000000002E-2</v>
      </c>
      <c r="AC11" s="14">
        <v>7.2537000000000004E-2</v>
      </c>
      <c r="AD11" s="14">
        <v>7.2122000000000006E-2</v>
      </c>
      <c r="AE11" s="15">
        <v>-4.7369999999999999E-3</v>
      </c>
    </row>
    <row r="12" spans="1:31">
      <c r="A12" s="13" t="s">
        <v>21</v>
      </c>
      <c r="B12" s="14">
        <v>0.49728099999999997</v>
      </c>
      <c r="C12" s="14">
        <v>0.48855999999999999</v>
      </c>
      <c r="D12" s="14">
        <v>0.48579499999999998</v>
      </c>
      <c r="E12" s="14">
        <v>0.48757200000000001</v>
      </c>
      <c r="F12" s="14">
        <v>0.48936600000000002</v>
      </c>
      <c r="G12" s="14">
        <v>0.490566</v>
      </c>
      <c r="H12" s="14">
        <v>0.49202499999999999</v>
      </c>
      <c r="I12" s="14">
        <v>0.49368899999999999</v>
      </c>
      <c r="J12" s="14">
        <v>0.49101899999999998</v>
      </c>
      <c r="K12" s="14">
        <v>0.48896099999999998</v>
      </c>
      <c r="L12" s="14">
        <v>0.48697299999999999</v>
      </c>
      <c r="M12" s="14">
        <v>0.48422700000000002</v>
      </c>
      <c r="N12" s="14">
        <v>0.48097899999999999</v>
      </c>
      <c r="O12" s="14">
        <v>0.47800999999999999</v>
      </c>
      <c r="P12" s="14">
        <v>0.474966</v>
      </c>
      <c r="Q12" s="14">
        <v>0.47095500000000001</v>
      </c>
      <c r="R12" s="14">
        <v>0.46600999999999998</v>
      </c>
      <c r="S12" s="14">
        <v>0.45994200000000002</v>
      </c>
      <c r="T12" s="14">
        <v>0.45792899999999997</v>
      </c>
      <c r="U12" s="14">
        <v>0.45681100000000002</v>
      </c>
      <c r="V12" s="14">
        <v>0.45597100000000002</v>
      </c>
      <c r="W12" s="14">
        <v>0.45552999999999999</v>
      </c>
      <c r="X12" s="14">
        <v>0.455459</v>
      </c>
      <c r="Y12" s="14">
        <v>0.45567999999999997</v>
      </c>
      <c r="Z12" s="14">
        <v>0.45632899999999998</v>
      </c>
      <c r="AA12" s="14">
        <v>0.45772200000000002</v>
      </c>
      <c r="AB12" s="14">
        <v>0.45915800000000001</v>
      </c>
      <c r="AC12" s="14">
        <v>0.460843</v>
      </c>
      <c r="AD12" s="14">
        <v>0.46300400000000003</v>
      </c>
      <c r="AE12" s="15">
        <v>-2.5469999999999998E-3</v>
      </c>
    </row>
    <row r="13" spans="1:31">
      <c r="A13" s="13" t="s">
        <v>22</v>
      </c>
      <c r="B13" s="14">
        <v>0.603352</v>
      </c>
      <c r="C13" s="14">
        <v>0.60135499999999997</v>
      </c>
      <c r="D13" s="14">
        <v>0.60267999999999999</v>
      </c>
      <c r="E13" s="14">
        <v>0.60644600000000004</v>
      </c>
      <c r="F13" s="14">
        <v>0.60968599999999995</v>
      </c>
      <c r="G13" s="14">
        <v>0.61227900000000002</v>
      </c>
      <c r="H13" s="14">
        <v>0.61520399999999997</v>
      </c>
      <c r="I13" s="14">
        <v>0.61849299999999996</v>
      </c>
      <c r="J13" s="14">
        <v>0.62074799999999997</v>
      </c>
      <c r="K13" s="14">
        <v>0.62390000000000001</v>
      </c>
      <c r="L13" s="14">
        <v>0.62699000000000005</v>
      </c>
      <c r="M13" s="14">
        <v>0.62938700000000003</v>
      </c>
      <c r="N13" s="14">
        <v>0.63132500000000003</v>
      </c>
      <c r="O13" s="14">
        <v>0.63321400000000005</v>
      </c>
      <c r="P13" s="14">
        <v>0.63485499999999995</v>
      </c>
      <c r="Q13" s="14">
        <v>0.63615500000000003</v>
      </c>
      <c r="R13" s="14">
        <v>0.636938</v>
      </c>
      <c r="S13" s="14">
        <v>0.63747399999999999</v>
      </c>
      <c r="T13" s="14">
        <v>0.63791900000000001</v>
      </c>
      <c r="U13" s="14">
        <v>0.63905800000000001</v>
      </c>
      <c r="V13" s="14">
        <v>0.64029400000000003</v>
      </c>
      <c r="W13" s="14">
        <v>0.64160899999999998</v>
      </c>
      <c r="X13" s="14">
        <v>0.642984</v>
      </c>
      <c r="Y13" s="14">
        <v>0.64441700000000002</v>
      </c>
      <c r="Z13" s="14">
        <v>0.64599600000000001</v>
      </c>
      <c r="AA13" s="14">
        <v>0.64779299999999995</v>
      </c>
      <c r="AB13" s="14">
        <v>0.64965700000000004</v>
      </c>
      <c r="AC13" s="14">
        <v>0.65169699999999997</v>
      </c>
      <c r="AD13" s="14">
        <v>0.65393400000000002</v>
      </c>
      <c r="AE13" s="15">
        <v>2.879E-3</v>
      </c>
    </row>
    <row r="14" spans="1:31">
      <c r="A14" s="16" t="s">
        <v>72</v>
      </c>
      <c r="B14" s="17">
        <v>0.43073600000000001</v>
      </c>
      <c r="C14" s="17">
        <v>0.434585</v>
      </c>
      <c r="D14" s="17">
        <v>0.43993500000000002</v>
      </c>
      <c r="E14" s="17">
        <v>0.447378</v>
      </c>
      <c r="F14" s="17">
        <v>0.45436900000000002</v>
      </c>
      <c r="G14" s="17">
        <v>0.46098600000000001</v>
      </c>
      <c r="H14" s="17">
        <v>0.46887200000000001</v>
      </c>
      <c r="I14" s="17">
        <v>0.477159</v>
      </c>
      <c r="J14" s="17">
        <v>0.48619699999999999</v>
      </c>
      <c r="K14" s="17">
        <v>0.49543300000000001</v>
      </c>
      <c r="L14" s="17">
        <v>0.50508200000000003</v>
      </c>
      <c r="M14" s="17">
        <v>0.51431199999999999</v>
      </c>
      <c r="N14" s="17">
        <v>0.52371100000000004</v>
      </c>
      <c r="O14" s="17">
        <v>0.53291500000000003</v>
      </c>
      <c r="P14" s="17">
        <v>0.54290400000000005</v>
      </c>
      <c r="Q14" s="17">
        <v>0.55216500000000002</v>
      </c>
      <c r="R14" s="17">
        <v>0.56217499999999998</v>
      </c>
      <c r="S14" s="17">
        <v>0.57200700000000004</v>
      </c>
      <c r="T14" s="17">
        <v>0.58174599999999999</v>
      </c>
      <c r="U14" s="17">
        <v>0.59145400000000004</v>
      </c>
      <c r="V14" s="17">
        <v>0.60173699999999997</v>
      </c>
      <c r="W14" s="17">
        <v>0.61264799999999997</v>
      </c>
      <c r="X14" s="17">
        <v>0.62317100000000003</v>
      </c>
      <c r="Y14" s="17">
        <v>0.63440600000000003</v>
      </c>
      <c r="Z14" s="17">
        <v>0.64643499999999998</v>
      </c>
      <c r="AA14" s="17">
        <v>0.65822099999999995</v>
      </c>
      <c r="AB14" s="17">
        <v>0.67073700000000003</v>
      </c>
      <c r="AC14" s="17">
        <v>0.68349800000000005</v>
      </c>
      <c r="AD14" s="17">
        <v>0.69654000000000005</v>
      </c>
      <c r="AE14" s="18">
        <v>1.7312999999999999E-2</v>
      </c>
    </row>
    <row r="15" spans="1:31">
      <c r="A15" s="13" t="s">
        <v>24</v>
      </c>
      <c r="B15" s="14">
        <v>0.174708</v>
      </c>
      <c r="C15" s="14">
        <v>0.173262</v>
      </c>
      <c r="D15" s="14">
        <v>0.17277699999999999</v>
      </c>
      <c r="E15" s="14">
        <v>0.17319300000000001</v>
      </c>
      <c r="F15" s="14">
        <v>0.17386399999999999</v>
      </c>
      <c r="G15" s="14">
        <v>0.174594</v>
      </c>
      <c r="H15" s="14">
        <v>0.17566599999999999</v>
      </c>
      <c r="I15" s="14">
        <v>0.17710699999999999</v>
      </c>
      <c r="J15" s="14">
        <v>0.17887400000000001</v>
      </c>
      <c r="K15" s="14">
        <v>0.180673</v>
      </c>
      <c r="L15" s="14">
        <v>0.18267900000000001</v>
      </c>
      <c r="M15" s="14">
        <v>0.184498</v>
      </c>
      <c r="N15" s="14">
        <v>0.185888</v>
      </c>
      <c r="O15" s="14">
        <v>0.18745700000000001</v>
      </c>
      <c r="P15" s="14">
        <v>0.18862699999999999</v>
      </c>
      <c r="Q15" s="14">
        <v>0.18968199999999999</v>
      </c>
      <c r="R15" s="14">
        <v>0.190608</v>
      </c>
      <c r="S15" s="14">
        <v>0.190859</v>
      </c>
      <c r="T15" s="14">
        <v>0.19103999999999999</v>
      </c>
      <c r="U15" s="14">
        <v>0.19087699999999999</v>
      </c>
      <c r="V15" s="14">
        <v>0.19009000000000001</v>
      </c>
      <c r="W15" s="14">
        <v>0.18897900000000001</v>
      </c>
      <c r="X15" s="14">
        <v>0.18754999999999999</v>
      </c>
      <c r="Y15" s="14">
        <v>0.1855</v>
      </c>
      <c r="Z15" s="14">
        <v>0.183143</v>
      </c>
      <c r="AA15" s="14">
        <v>0.180174</v>
      </c>
      <c r="AB15" s="14">
        <v>0.176542</v>
      </c>
      <c r="AC15" s="14">
        <v>0.17224400000000001</v>
      </c>
      <c r="AD15" s="14">
        <v>0.16695299999999999</v>
      </c>
      <c r="AE15" s="15">
        <v>-1.6199999999999999E-3</v>
      </c>
    </row>
    <row r="16" spans="1:31">
      <c r="A16" s="16" t="s">
        <v>73</v>
      </c>
      <c r="B16" s="17">
        <v>1.8214999999999999</v>
      </c>
      <c r="C16" s="17">
        <v>1.853537</v>
      </c>
      <c r="D16" s="17">
        <v>1.8354539999999999</v>
      </c>
      <c r="E16" s="17">
        <v>1.821644</v>
      </c>
      <c r="F16" s="17">
        <v>1.820174</v>
      </c>
      <c r="G16" s="17">
        <v>1.8173820000000001</v>
      </c>
      <c r="H16" s="17">
        <v>1.8377559999999999</v>
      </c>
      <c r="I16" s="17">
        <v>1.8595930000000001</v>
      </c>
      <c r="J16" s="17">
        <v>1.882188</v>
      </c>
      <c r="K16" s="17">
        <v>1.9058200000000001</v>
      </c>
      <c r="L16" s="17">
        <v>1.9294819999999999</v>
      </c>
      <c r="M16" s="17">
        <v>1.951943</v>
      </c>
      <c r="N16" s="17">
        <v>1.9733750000000001</v>
      </c>
      <c r="O16" s="17">
        <v>1.994686</v>
      </c>
      <c r="P16" s="17">
        <v>2.0159479999999999</v>
      </c>
      <c r="Q16" s="17">
        <v>2.0364469999999999</v>
      </c>
      <c r="R16" s="17">
        <v>2.0566209999999998</v>
      </c>
      <c r="S16" s="17">
        <v>2.0767880000000001</v>
      </c>
      <c r="T16" s="17">
        <v>2.096851</v>
      </c>
      <c r="U16" s="17">
        <v>2.1177489999999999</v>
      </c>
      <c r="V16" s="17">
        <v>2.1392600000000002</v>
      </c>
      <c r="W16" s="17">
        <v>2.1619060000000001</v>
      </c>
      <c r="X16" s="17">
        <v>2.1855560000000001</v>
      </c>
      <c r="Y16" s="17">
        <v>2.21069</v>
      </c>
      <c r="Z16" s="17">
        <v>2.236834</v>
      </c>
      <c r="AA16" s="17">
        <v>2.2647439999999999</v>
      </c>
      <c r="AB16" s="17">
        <v>2.2939790000000002</v>
      </c>
      <c r="AC16" s="17">
        <v>2.3243649999999998</v>
      </c>
      <c r="AD16" s="17">
        <v>2.3563890000000001</v>
      </c>
      <c r="AE16" s="18">
        <v>9.2379999999999997E-3</v>
      </c>
    </row>
    <row r="17" spans="1:33">
      <c r="A17" s="19" t="s">
        <v>74</v>
      </c>
      <c r="B17" s="20">
        <v>4.7151149999999999</v>
      </c>
      <c r="C17" s="20">
        <v>4.660196</v>
      </c>
      <c r="D17" s="20">
        <v>4.7032290000000003</v>
      </c>
      <c r="E17" s="20">
        <v>4.7068329999999996</v>
      </c>
      <c r="F17" s="20">
        <v>4.7197579999999997</v>
      </c>
      <c r="G17" s="20">
        <v>4.7282190000000002</v>
      </c>
      <c r="H17" s="20">
        <v>4.7615030000000003</v>
      </c>
      <c r="I17" s="20">
        <v>4.796856</v>
      </c>
      <c r="J17" s="20">
        <v>4.8264649999999998</v>
      </c>
      <c r="K17" s="20">
        <v>4.8595329999999999</v>
      </c>
      <c r="L17" s="20">
        <v>4.8933260000000001</v>
      </c>
      <c r="M17" s="20">
        <v>4.92136</v>
      </c>
      <c r="N17" s="20">
        <v>4.9464670000000002</v>
      </c>
      <c r="O17" s="20">
        <v>4.9726759999999999</v>
      </c>
      <c r="P17" s="20">
        <v>4.9992200000000002</v>
      </c>
      <c r="Q17" s="20">
        <v>5.0227110000000001</v>
      </c>
      <c r="R17" s="20">
        <v>5.0441830000000003</v>
      </c>
      <c r="S17" s="20">
        <v>5.063434</v>
      </c>
      <c r="T17" s="20">
        <v>5.0862280000000002</v>
      </c>
      <c r="U17" s="20">
        <v>5.1121850000000002</v>
      </c>
      <c r="V17" s="20">
        <v>5.139875</v>
      </c>
      <c r="W17" s="20">
        <v>5.1700590000000002</v>
      </c>
      <c r="X17" s="20">
        <v>5.201613</v>
      </c>
      <c r="Y17" s="20">
        <v>5.2358710000000004</v>
      </c>
      <c r="Z17" s="20">
        <v>5.2737179999999997</v>
      </c>
      <c r="AA17" s="20">
        <v>5.3146490000000002</v>
      </c>
      <c r="AB17" s="20">
        <v>5.3574289999999998</v>
      </c>
      <c r="AC17" s="20">
        <v>5.4018309999999996</v>
      </c>
      <c r="AD17" s="20">
        <v>5.448982</v>
      </c>
      <c r="AE17" s="21">
        <v>5.1799999999999997E-3</v>
      </c>
      <c r="AF17" s="22"/>
      <c r="AG17" s="23"/>
    </row>
    <row r="18" spans="1:33">
      <c r="A18" s="13" t="s">
        <v>28</v>
      </c>
      <c r="B18" s="14">
        <v>0.120598</v>
      </c>
      <c r="C18" s="14">
        <v>0.141293</v>
      </c>
      <c r="D18" s="14">
        <v>0.15779599999999999</v>
      </c>
      <c r="E18" s="14">
        <v>0.17105699999999999</v>
      </c>
      <c r="F18" s="14">
        <v>0.17847299999999999</v>
      </c>
      <c r="G18" s="14">
        <v>0.18718199999999999</v>
      </c>
      <c r="H18" s="14">
        <v>0.19470299999999999</v>
      </c>
      <c r="I18" s="14">
        <v>0.20632900000000001</v>
      </c>
      <c r="J18" s="14">
        <v>0.214666</v>
      </c>
      <c r="K18" s="14">
        <v>0.22300600000000001</v>
      </c>
      <c r="L18" s="14">
        <v>0.23046800000000001</v>
      </c>
      <c r="M18" s="14">
        <v>0.24135400000000001</v>
      </c>
      <c r="N18" s="14">
        <v>0.25285299999999999</v>
      </c>
      <c r="O18" s="14">
        <v>0.25964599999999999</v>
      </c>
      <c r="P18" s="14">
        <v>0.27190500000000001</v>
      </c>
      <c r="Q18" s="14">
        <v>0.27923599999999998</v>
      </c>
      <c r="R18" s="14">
        <v>0.28964899999999999</v>
      </c>
      <c r="S18" s="14">
        <v>0.299346</v>
      </c>
      <c r="T18" s="14">
        <v>0.30795899999999998</v>
      </c>
      <c r="U18" s="14">
        <v>0.31545000000000001</v>
      </c>
      <c r="V18" s="14">
        <v>0.32173499999999999</v>
      </c>
      <c r="W18" s="14">
        <v>0.32723600000000003</v>
      </c>
      <c r="X18" s="14">
        <v>0.33231100000000002</v>
      </c>
      <c r="Y18" s="14">
        <v>0.33729500000000001</v>
      </c>
      <c r="Z18" s="14">
        <v>0.34577400000000003</v>
      </c>
      <c r="AA18" s="14">
        <v>0.34869</v>
      </c>
      <c r="AB18" s="14">
        <v>0.35358000000000001</v>
      </c>
      <c r="AC18" s="14">
        <v>0.35607299999999997</v>
      </c>
      <c r="AD18" s="14">
        <v>0.35779100000000003</v>
      </c>
      <c r="AE18" s="15">
        <v>3.9602999999999999E-2</v>
      </c>
      <c r="AF18" s="22"/>
      <c r="AG18" s="23"/>
    </row>
    <row r="19" spans="1:33">
      <c r="A19" s="19" t="s">
        <v>75</v>
      </c>
      <c r="B19" s="20">
        <v>4.5945159999999996</v>
      </c>
      <c r="C19" s="20">
        <v>4.5189029999999999</v>
      </c>
      <c r="D19" s="20">
        <v>4.5454340000000002</v>
      </c>
      <c r="E19" s="20">
        <v>4.5357770000000004</v>
      </c>
      <c r="F19" s="20">
        <v>4.5412850000000002</v>
      </c>
      <c r="G19" s="20">
        <v>4.5410360000000001</v>
      </c>
      <c r="H19" s="20">
        <v>4.5667999999999997</v>
      </c>
      <c r="I19" s="20">
        <v>4.5905269999999998</v>
      </c>
      <c r="J19" s="20">
        <v>4.6117980000000003</v>
      </c>
      <c r="K19" s="20">
        <v>4.6365270000000001</v>
      </c>
      <c r="L19" s="20">
        <v>4.6628579999999999</v>
      </c>
      <c r="M19" s="20">
        <v>4.6800059999999997</v>
      </c>
      <c r="N19" s="20">
        <v>4.6936140000000002</v>
      </c>
      <c r="O19" s="20">
        <v>4.7130299999999998</v>
      </c>
      <c r="P19" s="20">
        <v>4.7273149999999999</v>
      </c>
      <c r="Q19" s="20">
        <v>4.7434750000000001</v>
      </c>
      <c r="R19" s="20">
        <v>4.7545330000000003</v>
      </c>
      <c r="S19" s="20">
        <v>4.7640880000000001</v>
      </c>
      <c r="T19" s="20">
        <v>4.77827</v>
      </c>
      <c r="U19" s="20">
        <v>4.796735</v>
      </c>
      <c r="V19" s="20">
        <v>4.8181409999999998</v>
      </c>
      <c r="W19" s="20">
        <v>4.8428240000000002</v>
      </c>
      <c r="X19" s="20">
        <v>4.8693020000000002</v>
      </c>
      <c r="Y19" s="20">
        <v>4.8985760000000003</v>
      </c>
      <c r="Z19" s="20">
        <v>4.9279440000000001</v>
      </c>
      <c r="AA19" s="20">
        <v>4.9659589999999998</v>
      </c>
      <c r="AB19" s="20">
        <v>5.0038489999999998</v>
      </c>
      <c r="AC19" s="20">
        <v>5.045757</v>
      </c>
      <c r="AD19" s="20">
        <v>5.0911910000000002</v>
      </c>
      <c r="AE19" s="21">
        <v>3.673E-3</v>
      </c>
      <c r="AF19" s="22"/>
      <c r="AG19" s="23"/>
    </row>
    <row r="20" spans="1:33" ht="15" thickBot="1"/>
    <row r="21" spans="1:33">
      <c r="B21" s="56" t="s">
        <v>76</v>
      </c>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row>
    <row r="22" spans="1:33">
      <c r="B22" s="22" t="s">
        <v>37</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row>
    <row r="23" spans="1:33">
      <c r="B23" s="22" t="s">
        <v>77</v>
      </c>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row>
    <row r="24" spans="1:33">
      <c r="B24" s="22" t="s">
        <v>78</v>
      </c>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row>
    <row r="25" spans="1:33">
      <c r="B25" s="22" t="s">
        <v>79</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row>
    <row r="26" spans="1:33">
      <c r="B26" s="22" t="s">
        <v>80</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row>
    <row r="27" spans="1:33">
      <c r="B27" s="22" t="s">
        <v>50</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spans="1:33">
      <c r="B28" s="22" t="s">
        <v>81</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row>
    <row r="29" spans="1:33">
      <c r="B29" s="22" t="s">
        <v>82</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row>
    <row r="30" spans="1:33">
      <c r="B30" s="22" t="s">
        <v>83</v>
      </c>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row>
    <row r="31" spans="1:33">
      <c r="B31" s="22" t="s">
        <v>84</v>
      </c>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row>
    <row r="32" spans="1:33">
      <c r="B32" s="22" t="s">
        <v>85</v>
      </c>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2:33">
      <c r="B33" s="22" t="s">
        <v>86</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row>
    <row r="34" spans="2:33">
      <c r="B34" s="22" t="s">
        <v>87</v>
      </c>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row>
    <row r="35" spans="2:33">
      <c r="B35" s="22" t="s">
        <v>88</v>
      </c>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row>
    <row r="36" spans="2:33">
      <c r="B36" s="22" t="s">
        <v>89</v>
      </c>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row>
    <row r="37" spans="2:33">
      <c r="B37" s="22" t="s">
        <v>90</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row>
    <row r="38" spans="2:33">
      <c r="B38" s="22" t="s">
        <v>91</v>
      </c>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row>
    <row r="39" spans="2:33">
      <c r="B39" s="22" t="s">
        <v>92</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row>
    <row r="58" spans="1:28">
      <c r="B58" s="6">
        <v>2024</v>
      </c>
      <c r="C58" s="6">
        <v>2025</v>
      </c>
      <c r="D58" s="6">
        <v>2026</v>
      </c>
      <c r="E58" s="6">
        <v>2027</v>
      </c>
      <c r="F58" s="6">
        <v>2028</v>
      </c>
      <c r="G58" s="6">
        <v>2029</v>
      </c>
      <c r="H58" s="6">
        <v>2030</v>
      </c>
      <c r="I58" s="6">
        <v>2031</v>
      </c>
      <c r="J58" s="6">
        <v>2032</v>
      </c>
      <c r="K58" s="6">
        <v>2033</v>
      </c>
      <c r="L58" s="6">
        <v>2034</v>
      </c>
      <c r="M58" s="6">
        <v>2035</v>
      </c>
      <c r="N58" s="6">
        <v>2036</v>
      </c>
      <c r="O58" s="6">
        <v>2037</v>
      </c>
      <c r="P58" s="6">
        <v>2038</v>
      </c>
      <c r="Q58" s="6">
        <v>2039</v>
      </c>
      <c r="R58" s="6">
        <v>2040</v>
      </c>
      <c r="S58" s="6">
        <v>2041</v>
      </c>
      <c r="T58" s="6">
        <v>2042</v>
      </c>
      <c r="U58" s="6">
        <v>2043</v>
      </c>
      <c r="V58" s="6">
        <v>2044</v>
      </c>
      <c r="W58" s="6">
        <v>2045</v>
      </c>
      <c r="X58" s="6">
        <v>2046</v>
      </c>
      <c r="Y58" s="6">
        <v>2047</v>
      </c>
      <c r="Z58" s="6">
        <v>2048</v>
      </c>
      <c r="AA58" s="6">
        <v>2049</v>
      </c>
      <c r="AB58" s="6">
        <v>2050</v>
      </c>
    </row>
    <row r="59" spans="1:28">
      <c r="A59" t="s">
        <v>111</v>
      </c>
      <c r="B59" s="24">
        <f>B10+B14+B16</f>
        <v>2.6710289999999999</v>
      </c>
      <c r="C59" s="24">
        <f t="shared" ref="C59:AB59" si="0">C10+C14+C16</f>
        <v>2.6960129999999998</v>
      </c>
      <c r="D59" s="24">
        <f t="shared" si="0"/>
        <v>2.675408</v>
      </c>
      <c r="E59" s="24">
        <f t="shared" si="0"/>
        <v>2.6633070000000001</v>
      </c>
      <c r="F59" s="24">
        <f t="shared" si="0"/>
        <v>2.6626829999999999</v>
      </c>
      <c r="G59" s="24">
        <f t="shared" si="0"/>
        <v>2.6595630000000003</v>
      </c>
      <c r="H59" s="24">
        <f t="shared" si="0"/>
        <v>2.680577</v>
      </c>
      <c r="I59" s="24">
        <f t="shared" si="0"/>
        <v>2.703246</v>
      </c>
      <c r="J59" s="24">
        <f t="shared" si="0"/>
        <v>2.7267960000000002</v>
      </c>
      <c r="K59" s="24">
        <f t="shared" si="0"/>
        <v>2.751919</v>
      </c>
      <c r="L59" s="24">
        <f t="shared" si="0"/>
        <v>2.7775219999999998</v>
      </c>
      <c r="M59" s="24">
        <f t="shared" si="0"/>
        <v>2.8011279999999998</v>
      </c>
      <c r="N59" s="24">
        <f t="shared" si="0"/>
        <v>2.8238590000000001</v>
      </c>
      <c r="O59" s="24">
        <f t="shared" si="0"/>
        <v>2.846749</v>
      </c>
      <c r="P59" s="24">
        <f t="shared" si="0"/>
        <v>2.870663</v>
      </c>
      <c r="Q59" s="24">
        <f t="shared" si="0"/>
        <v>2.8931719999999999</v>
      </c>
      <c r="R59" s="24">
        <f t="shared" si="0"/>
        <v>2.915991</v>
      </c>
      <c r="S59" s="24">
        <f t="shared" si="0"/>
        <v>2.938752</v>
      </c>
      <c r="T59" s="24">
        <f t="shared" si="0"/>
        <v>2.9616280000000001</v>
      </c>
      <c r="U59" s="24">
        <f t="shared" si="0"/>
        <v>2.9858180000000001</v>
      </c>
      <c r="V59" s="24">
        <f t="shared" si="0"/>
        <v>3.0115660000000002</v>
      </c>
      <c r="W59" s="24">
        <f t="shared" si="0"/>
        <v>3.0393680000000001</v>
      </c>
      <c r="X59" s="24">
        <f t="shared" si="0"/>
        <v>3.0680190000000001</v>
      </c>
      <c r="Y59" s="24">
        <f t="shared" si="0"/>
        <v>3.0990739999999999</v>
      </c>
      <c r="Z59" s="24">
        <f t="shared" si="0"/>
        <v>3.1321919999999999</v>
      </c>
      <c r="AA59" s="24">
        <f t="shared" si="0"/>
        <v>3.1671480000000001</v>
      </c>
      <c r="AB59" s="24">
        <f t="shared" si="0"/>
        <v>3.2043090000000003</v>
      </c>
    </row>
  </sheetData>
  <mergeCells count="1">
    <mergeCell ref="B21:AG21"/>
  </mergeCells>
  <conditionalFormatting sqref="B58:AB58">
    <cfRule type="notContainsBlanks" dxfId="3" priority="1">
      <formula>LEN(TRIM(B58))&gt;0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152-E2AE-4C62-B725-C7B54C671468}">
  <dimension ref="A1:AC64"/>
  <sheetViews>
    <sheetView topLeftCell="A43" zoomScale="96" zoomScaleNormal="96" workbookViewId="0">
      <selection activeCell="D54" sqref="D54"/>
    </sheetView>
  </sheetViews>
  <sheetFormatPr defaultRowHeight="14.4"/>
  <cols>
    <col min="1" max="1" width="30.21875" customWidth="1"/>
    <col min="2" max="2" width="25.21875" customWidth="1"/>
    <col min="3" max="3" width="12.5546875" bestFit="1" customWidth="1"/>
  </cols>
  <sheetData>
    <row r="1" spans="1:29">
      <c r="B1" t="s">
        <v>93</v>
      </c>
      <c r="C1" s="6">
        <v>2024</v>
      </c>
      <c r="D1" s="6">
        <v>2025</v>
      </c>
      <c r="E1" s="6">
        <v>2026</v>
      </c>
      <c r="F1" s="6">
        <v>2027</v>
      </c>
      <c r="G1" s="6">
        <v>2028</v>
      </c>
      <c r="H1" s="6">
        <v>2029</v>
      </c>
      <c r="I1" s="6">
        <v>2030</v>
      </c>
      <c r="J1" s="6">
        <v>2031</v>
      </c>
      <c r="K1" s="6">
        <v>2032</v>
      </c>
      <c r="L1" s="6">
        <v>2033</v>
      </c>
      <c r="M1" s="6">
        <v>2034</v>
      </c>
      <c r="N1" s="6">
        <v>2035</v>
      </c>
      <c r="O1" s="6">
        <v>2036</v>
      </c>
      <c r="P1" s="6">
        <v>2037</v>
      </c>
      <c r="Q1" s="6">
        <v>2038</v>
      </c>
      <c r="R1" s="6">
        <v>2039</v>
      </c>
      <c r="S1" s="6">
        <v>2040</v>
      </c>
      <c r="T1" s="6">
        <v>2041</v>
      </c>
      <c r="U1" s="6">
        <v>2042</v>
      </c>
      <c r="V1" s="6">
        <v>2043</v>
      </c>
      <c r="W1" s="6">
        <v>2044</v>
      </c>
      <c r="X1" s="6">
        <v>2045</v>
      </c>
      <c r="Y1" s="6">
        <v>2046</v>
      </c>
      <c r="Z1" s="6">
        <v>2047</v>
      </c>
      <c r="AA1" s="6">
        <v>2048</v>
      </c>
      <c r="AB1" s="6">
        <v>2049</v>
      </c>
      <c r="AC1" s="6">
        <v>2050</v>
      </c>
    </row>
    <row r="2" spans="1:29">
      <c r="A2" t="str">
        <f>'AEO 2023 Table 5'!A7</f>
        <v xml:space="preserve">   Space Heating 2/</v>
      </c>
      <c r="B2" s="24" t="str">
        <f>'AEO 2025 Table 5'!A11</f>
        <v xml:space="preserve">   Space Heating 3/</v>
      </c>
      <c r="C2" s="25">
        <f>'AEO 2025 Table 5'!B11-'AEO 2023 Table 5'!D7</f>
        <v>7.5661154377937287E-2</v>
      </c>
      <c r="D2" s="25">
        <f>'AEO 2025 Table 5'!C11-'AEO 2023 Table 5'!E7</f>
        <v>8.6887245155334497E-2</v>
      </c>
      <c r="E2" s="25">
        <f>'AEO 2025 Table 5'!D11-'AEO 2023 Table 5'!F7</f>
        <v>8.6923511221885713E-2</v>
      </c>
      <c r="F2" s="25">
        <f>'AEO 2025 Table 5'!E11-'AEO 2023 Table 5'!G7</f>
        <v>8.8248938175201394E-2</v>
      </c>
      <c r="G2" s="25">
        <f>'AEO 2025 Table 5'!F11-'AEO 2023 Table 5'!H7</f>
        <v>8.8698121253013615E-2</v>
      </c>
      <c r="H2" s="25">
        <f>'AEO 2025 Table 5'!G11-'AEO 2023 Table 5'!I7</f>
        <v>8.8188382926940895E-2</v>
      </c>
      <c r="I2" s="25">
        <f>'AEO 2025 Table 5'!H11-'AEO 2023 Table 5'!J7</f>
        <v>8.7461862552642794E-2</v>
      </c>
      <c r="J2" s="25">
        <f>'AEO 2025 Table 5'!I11-'AEO 2023 Table 5'!K7</f>
        <v>8.6480865802764886E-2</v>
      </c>
      <c r="K2" s="25">
        <f>'AEO 2025 Table 5'!J11-'AEO 2023 Table 5'!L7</f>
        <v>8.5680848451614403E-2</v>
      </c>
      <c r="L2" s="25">
        <f>'AEO 2025 Table 5'!K11-'AEO 2023 Table 5'!M7</f>
        <v>8.4161185265541102E-2</v>
      </c>
      <c r="M2" s="25">
        <f>'AEO 2025 Table 5'!L11-'AEO 2023 Table 5'!N7</f>
        <v>8.3093111848831211E-2</v>
      </c>
      <c r="N2" s="25">
        <f>'AEO 2025 Table 5'!M11-'AEO 2023 Table 5'!O7</f>
        <v>8.3070184071540806E-2</v>
      </c>
      <c r="O2" s="25">
        <f>'AEO 2025 Table 5'!N11-'AEO 2023 Table 5'!P7</f>
        <v>8.3456737677574208E-2</v>
      </c>
      <c r="P2" s="25">
        <f>'AEO 2025 Table 5'!O11-'AEO 2023 Table 5'!Q7</f>
        <v>8.3906866658210816E-2</v>
      </c>
      <c r="Q2" s="25">
        <f>'AEO 2025 Table 5'!P11-'AEO 2023 Table 5'!R7</f>
        <v>8.4373098972320607E-2</v>
      </c>
      <c r="R2" s="25">
        <f>'AEO 2025 Table 5'!Q11-'AEO 2023 Table 5'!S7</f>
        <v>8.4893378330230709E-2</v>
      </c>
      <c r="S2" s="25">
        <f>'AEO 2025 Table 5'!R11-'AEO 2023 Table 5'!T7</f>
        <v>8.5206599865913391E-2</v>
      </c>
      <c r="T2" s="25">
        <f>'AEO 2025 Table 5'!S11-'AEO 2023 Table 5'!U7</f>
        <v>8.521158284187319E-2</v>
      </c>
      <c r="U2" s="25">
        <f>'AEO 2025 Table 5'!T11-'AEO 2023 Table 5'!V7</f>
        <v>8.4845874683380104E-2</v>
      </c>
      <c r="V2" s="25">
        <f>'AEO 2025 Table 5'!U11-'AEO 2023 Table 5'!W7</f>
        <v>8.4265508090972899E-2</v>
      </c>
      <c r="W2" s="25">
        <f>'AEO 2025 Table 5'!V11-'AEO 2023 Table 5'!X7</f>
        <v>8.3528757056236289E-2</v>
      </c>
      <c r="X2" s="25">
        <f>'AEO 2025 Table 5'!W11-'AEO 2023 Table 5'!Y7</f>
        <v>8.2762420426368707E-2</v>
      </c>
      <c r="Y2" s="25">
        <f>'AEO 2025 Table 5'!X11-'AEO 2023 Table 5'!Z7</f>
        <v>8.1874043170929015E-2</v>
      </c>
      <c r="Z2" s="25">
        <f>'AEO 2025 Table 5'!Y11-'AEO 2023 Table 5'!AA7</f>
        <v>8.0998719217300383E-2</v>
      </c>
      <c r="AA2" s="25">
        <f>'AEO 2025 Table 5'!Z11-'AEO 2023 Table 5'!AB7</f>
        <v>8.025897353649139E-2</v>
      </c>
      <c r="AB2" s="25">
        <f>'AEO 2025 Table 5'!AA11-'AEO 2023 Table 5'!AC7</f>
        <v>7.9652311030387904E-2</v>
      </c>
      <c r="AC2" s="25">
        <f>'AEO 2025 Table 5'!AB11-'AEO 2023 Table 5'!AD7</f>
        <v>7.9122046360969492E-2</v>
      </c>
    </row>
    <row r="3" spans="1:29">
      <c r="A3" t="str">
        <f>'AEO 2023 Table 5'!A8</f>
        <v xml:space="preserve">   Space Cooling 2/</v>
      </c>
      <c r="B3" s="24" t="str">
        <f>'AEO 2025 Table 5'!A12</f>
        <v xml:space="preserve">   Space Cooling 3/ 4/</v>
      </c>
      <c r="C3" s="25">
        <f>'AEO 2025 Table 5'!B12-'AEO 2023 Table 5'!D8</f>
        <v>2.2041345962524383E-2</v>
      </c>
      <c r="D3" s="25">
        <f>'AEO 2025 Table 5'!C12-'AEO 2023 Table 5'!E8</f>
        <v>-4.6921929550171049E-3</v>
      </c>
      <c r="E3" s="25">
        <f>'AEO 2025 Table 5'!D12-'AEO 2023 Table 5'!F8</f>
        <v>-8.9474821090695933E-4</v>
      </c>
      <c r="F3" s="25">
        <f>'AEO 2025 Table 5'!E12-'AEO 2023 Table 5'!G8</f>
        <v>6.3265405082703063E-3</v>
      </c>
      <c r="G3" s="25">
        <f>'AEO 2025 Table 5'!F12-'AEO 2023 Table 5'!H8</f>
        <v>1.0618759048461879E-2</v>
      </c>
      <c r="H3" s="25">
        <f>'AEO 2025 Table 5'!G12-'AEO 2023 Table 5'!I8</f>
        <v>1.115771718215941E-2</v>
      </c>
      <c r="I3" s="25">
        <f>'AEO 2025 Table 5'!H12-'AEO 2023 Table 5'!J8</f>
        <v>1.0678512004852259E-2</v>
      </c>
      <c r="J3" s="25">
        <f>'AEO 2025 Table 5'!I12-'AEO 2023 Table 5'!K8</f>
        <v>9.7295917320251446E-3</v>
      </c>
      <c r="K3" s="25">
        <f>'AEO 2025 Table 5'!J12-'AEO 2023 Table 5'!L8</f>
        <v>9.5505579376220506E-3</v>
      </c>
      <c r="L3" s="25">
        <f>'AEO 2025 Table 5'!K12-'AEO 2023 Table 5'!M8</f>
        <v>1.0241152973175072E-2</v>
      </c>
      <c r="M3" s="25">
        <f>'AEO 2025 Table 5'!L12-'AEO 2023 Table 5'!N8</f>
        <v>1.2429824611663864E-2</v>
      </c>
      <c r="N3" s="25">
        <f>'AEO 2025 Table 5'!M12-'AEO 2023 Table 5'!O8</f>
        <v>1.5776927288055465E-2</v>
      </c>
      <c r="O3" s="25">
        <f>'AEO 2025 Table 5'!N12-'AEO 2023 Table 5'!P8</f>
        <v>2.06164140739441E-2</v>
      </c>
      <c r="P3" s="25">
        <f>'AEO 2025 Table 5'!O12-'AEO 2023 Table 5'!Q8</f>
        <v>2.6189605369567825E-2</v>
      </c>
      <c r="Q3" s="25">
        <f>'AEO 2025 Table 5'!P12-'AEO 2023 Table 5'!R8</f>
        <v>3.2189284671783502E-2</v>
      </c>
      <c r="R3" s="25">
        <f>'AEO 2025 Table 5'!Q12-'AEO 2023 Table 5'!S8</f>
        <v>3.8704530872344933E-2</v>
      </c>
      <c r="S3" s="25">
        <f>'AEO 2025 Table 5'!R12-'AEO 2023 Table 5'!T8</f>
        <v>4.5120493412017848E-2</v>
      </c>
      <c r="T3" s="25">
        <f>'AEO 2025 Table 5'!S12-'AEO 2023 Table 5'!U8</f>
        <v>5.0917071022033689E-2</v>
      </c>
      <c r="U3" s="25">
        <f>'AEO 2025 Table 5'!T12-'AEO 2023 Table 5'!V8</f>
        <v>5.5404059875488243E-2</v>
      </c>
      <c r="V3" s="25">
        <f>'AEO 2025 Table 5'!U12-'AEO 2023 Table 5'!W8</f>
        <v>5.9701202190399205E-2</v>
      </c>
      <c r="W3" s="25">
        <f>'AEO 2025 Table 5'!V12-'AEO 2023 Table 5'!X8</f>
        <v>6.3523798561096245E-2</v>
      </c>
      <c r="X3" s="25">
        <f>'AEO 2025 Table 5'!W12-'AEO 2023 Table 5'!Y8</f>
        <v>6.6800295791625941E-2</v>
      </c>
      <c r="Y3" s="25">
        <f>'AEO 2025 Table 5'!X12-'AEO 2023 Table 5'!Z8</f>
        <v>6.8869857307434112E-2</v>
      </c>
      <c r="Z3" s="25">
        <f>'AEO 2025 Table 5'!Y12-'AEO 2023 Table 5'!AA8</f>
        <v>7.0693356929779072E-2</v>
      </c>
      <c r="AA3" s="25">
        <f>'AEO 2025 Table 5'!Z12-'AEO 2023 Table 5'!AB8</f>
        <v>7.3102605720519964E-2</v>
      </c>
      <c r="AB3" s="25">
        <f>'AEO 2025 Table 5'!AA12-'AEO 2023 Table 5'!AC8</f>
        <v>7.6570219474792478E-2</v>
      </c>
      <c r="AC3" s="25">
        <f>'AEO 2025 Table 5'!AB12-'AEO 2023 Table 5'!AD8</f>
        <v>8.0401625991821324E-2</v>
      </c>
    </row>
    <row r="4" spans="1:29">
      <c r="A4" t="str">
        <f>'AEO 2023 Table 5'!A9</f>
        <v xml:space="preserve">   Water Heating 2/</v>
      </c>
      <c r="B4" s="24" t="str">
        <f>'AEO 2025 Table 5'!A13</f>
        <v xml:space="preserve">   Water Heating 3/</v>
      </c>
      <c r="C4" s="25">
        <f>'AEO 2025 Table 5'!B13-'AEO 2023 Table 5'!D9</f>
        <v>5.1359571154117586E-2</v>
      </c>
      <c r="D4" s="25">
        <f>'AEO 2025 Table 5'!C13-'AEO 2023 Table 5'!E9</f>
        <v>5.1187839810848235E-2</v>
      </c>
      <c r="E4" s="25">
        <f>'AEO 2025 Table 5'!D13-'AEO 2023 Table 5'!F9</f>
        <v>5.1527577488899232E-2</v>
      </c>
      <c r="F4" s="25">
        <f>'AEO 2025 Table 5'!E13-'AEO 2023 Table 5'!G9</f>
        <v>5.2139341289043427E-2</v>
      </c>
      <c r="G4" s="25">
        <f>'AEO 2025 Table 5'!F13-'AEO 2023 Table 5'!H9</f>
        <v>5.236882102441788E-2</v>
      </c>
      <c r="H4" s="25">
        <f>'AEO 2025 Table 5'!G13-'AEO 2023 Table 5'!I9</f>
        <v>5.2117457830905919E-2</v>
      </c>
      <c r="I4" s="25">
        <f>'AEO 2025 Table 5'!H13-'AEO 2023 Table 5'!J9</f>
        <v>5.1607460767269131E-2</v>
      </c>
      <c r="J4" s="25">
        <f>'AEO 2025 Table 5'!I13-'AEO 2023 Table 5'!K9</f>
        <v>5.0969810322284703E-2</v>
      </c>
      <c r="K4" s="25">
        <f>'AEO 2025 Table 5'!J13-'AEO 2023 Table 5'!L9</f>
        <v>5.0416439581871031E-2</v>
      </c>
      <c r="L4" s="25">
        <f>'AEO 2025 Table 5'!K13-'AEO 2023 Table 5'!M9</f>
        <v>4.9781612419605256E-2</v>
      </c>
      <c r="M4" s="25">
        <f>'AEO 2025 Table 5'!L13-'AEO 2023 Table 5'!N9</f>
        <v>4.9260222026824951E-2</v>
      </c>
      <c r="N4" s="25">
        <f>'AEO 2025 Table 5'!M13-'AEO 2023 Table 5'!O9</f>
        <v>4.8851030529975886E-2</v>
      </c>
      <c r="O4" s="25">
        <f>'AEO 2025 Table 5'!N13-'AEO 2023 Table 5'!P9</f>
        <v>4.8597389670848846E-2</v>
      </c>
      <c r="P4" s="25">
        <f>'AEO 2025 Table 5'!O13-'AEO 2023 Table 5'!Q9</f>
        <v>4.839318960142136E-2</v>
      </c>
      <c r="Q4" s="25">
        <f>'AEO 2025 Table 5'!P13-'AEO 2023 Table 5'!R9</f>
        <v>4.8188275956153867E-2</v>
      </c>
      <c r="R4" s="25">
        <f>'AEO 2025 Table 5'!Q13-'AEO 2023 Table 5'!S9</f>
        <v>4.7995040615081787E-2</v>
      </c>
      <c r="S4" s="25">
        <f>'AEO 2025 Table 5'!R13-'AEO 2023 Table 5'!T9</f>
        <v>4.7738777568340302E-2</v>
      </c>
      <c r="T4" s="25">
        <f>'AEO 2025 Table 5'!S13-'AEO 2023 Table 5'!U9</f>
        <v>4.7390027162551876E-2</v>
      </c>
      <c r="U4" s="25">
        <f>'AEO 2025 Table 5'!T13-'AEO 2023 Table 5'!V9</f>
        <v>4.6916388803958889E-2</v>
      </c>
      <c r="V4" s="25">
        <f>'AEO 2025 Table 5'!U13-'AEO 2023 Table 5'!W9</f>
        <v>4.6393638141632082E-2</v>
      </c>
      <c r="W4" s="25">
        <f>'AEO 2025 Table 5'!V13-'AEO 2023 Table 5'!X9</f>
        <v>4.5839139894962314E-2</v>
      </c>
      <c r="X4" s="25">
        <f>'AEO 2025 Table 5'!W13-'AEO 2023 Table 5'!Y9</f>
        <v>4.5269671149253843E-2</v>
      </c>
      <c r="Y4" s="25">
        <f>'AEO 2025 Table 5'!X13-'AEO 2023 Table 5'!Z9</f>
        <v>4.4674594398975372E-2</v>
      </c>
      <c r="Z4" s="25">
        <f>'AEO 2025 Table 5'!Y13-'AEO 2023 Table 5'!AA9</f>
        <v>4.4096654586791989E-2</v>
      </c>
      <c r="AA4" s="25">
        <f>'AEO 2025 Table 5'!Z13-'AEO 2023 Table 5'!AB9</f>
        <v>4.3566128647327423E-2</v>
      </c>
      <c r="AB4" s="25">
        <f>'AEO 2025 Table 5'!AA13-'AEO 2023 Table 5'!AC9</f>
        <v>4.3089068375587465E-2</v>
      </c>
      <c r="AC4" s="25">
        <f>'AEO 2025 Table 5'!AB13-'AEO 2023 Table 5'!AD9</f>
        <v>4.2655590396881098E-2</v>
      </c>
    </row>
    <row r="5" spans="1:29">
      <c r="A5" t="str">
        <f>'AEO 2023 Table 5'!A10</f>
        <v xml:space="preserve">   Ventilation</v>
      </c>
      <c r="B5" s="26" t="str">
        <f>'AEO 2025 Table 5'!A14</f>
        <v xml:space="preserve">   Ventilation 4/</v>
      </c>
      <c r="C5" s="25">
        <f>'AEO 2025 Table 5'!B14-'AEO 2023 Table 5'!D10</f>
        <v>0.34460013108825682</v>
      </c>
      <c r="D5" s="25">
        <f>'AEO 2025 Table 5'!C14-'AEO 2023 Table 5'!E10</f>
        <v>0.3622104161643982</v>
      </c>
      <c r="E5" s="25">
        <f>'AEO 2025 Table 5'!D14-'AEO 2023 Table 5'!F10</f>
        <v>0.38488551269531251</v>
      </c>
      <c r="F5" s="25">
        <f>'AEO 2025 Table 5'!E14-'AEO 2023 Table 5'!G10</f>
        <v>0.41356868427276611</v>
      </c>
      <c r="G5" s="25">
        <f>'AEO 2025 Table 5'!F14-'AEO 2023 Table 5'!H10</f>
        <v>0.43885861957168582</v>
      </c>
      <c r="H5" s="25">
        <f>'AEO 2025 Table 5'!G14-'AEO 2023 Table 5'!I10</f>
        <v>0.45919620986557008</v>
      </c>
      <c r="I5" s="25">
        <f>'AEO 2025 Table 5'!H14-'AEO 2023 Table 5'!J10</f>
        <v>0.47460241533660891</v>
      </c>
      <c r="J5" s="25">
        <f>'AEO 2025 Table 5'!I14-'AEO 2023 Table 5'!K10</f>
        <v>0.48928599203491213</v>
      </c>
      <c r="K5" s="25">
        <f>'AEO 2025 Table 5'!J14-'AEO 2023 Table 5'!L10</f>
        <v>0.50490293235015871</v>
      </c>
      <c r="L5" s="25">
        <f>'AEO 2025 Table 5'!K14-'AEO 2023 Table 5'!M10</f>
        <v>0.5202722159881592</v>
      </c>
      <c r="M5" s="25">
        <f>'AEO 2025 Table 5'!L14-'AEO 2023 Table 5'!N10</f>
        <v>0.53692345595550539</v>
      </c>
      <c r="N5" s="25">
        <f>'AEO 2025 Table 5'!M14-'AEO 2023 Table 5'!O10</f>
        <v>0.55478489804458619</v>
      </c>
      <c r="O5" s="25">
        <f>'AEO 2025 Table 5'!N14-'AEO 2023 Table 5'!P10</f>
        <v>0.57441237579727167</v>
      </c>
      <c r="P5" s="25">
        <f>'AEO 2025 Table 5'!O14-'AEO 2023 Table 5'!Q10</f>
        <v>0.59423965782165533</v>
      </c>
      <c r="Q5" s="25">
        <f>'AEO 2025 Table 5'!P14-'AEO 2023 Table 5'!R10</f>
        <v>0.61412050073623659</v>
      </c>
      <c r="R5" s="25">
        <f>'AEO 2025 Table 5'!Q14-'AEO 2023 Table 5'!S10</f>
        <v>0.63419400336074827</v>
      </c>
      <c r="S5" s="25">
        <f>'AEO 2025 Table 5'!R14-'AEO 2023 Table 5'!T10</f>
        <v>0.65347562899017331</v>
      </c>
      <c r="T5" s="25">
        <f>'AEO 2025 Table 5'!S14-'AEO 2023 Table 5'!U10</f>
        <v>0.67167463279724116</v>
      </c>
      <c r="U5" s="25">
        <f>'AEO 2025 Table 5'!T14-'AEO 2023 Table 5'!V10</f>
        <v>0.68830355668640131</v>
      </c>
      <c r="V5" s="25">
        <f>'AEO 2025 Table 5'!U14-'AEO 2023 Table 5'!W10</f>
        <v>0.70414485467529297</v>
      </c>
      <c r="W5" s="25">
        <f>'AEO 2025 Table 5'!V14-'AEO 2023 Table 5'!X10</f>
        <v>0.71947026902008049</v>
      </c>
      <c r="X5" s="25">
        <f>'AEO 2025 Table 5'!W14-'AEO 2023 Table 5'!Y10</f>
        <v>0.73470921723556515</v>
      </c>
      <c r="Y5" s="25">
        <f>'AEO 2025 Table 5'!X14-'AEO 2023 Table 5'!Z10</f>
        <v>0.74954516062927246</v>
      </c>
      <c r="Z5" s="25">
        <f>'AEO 2025 Table 5'!Y14-'AEO 2023 Table 5'!AA10</f>
        <v>0.76466757449340794</v>
      </c>
      <c r="AA5" s="25">
        <f>'AEO 2025 Table 5'!Z14-'AEO 2023 Table 5'!AB10</f>
        <v>0.78044381659698514</v>
      </c>
      <c r="AB5" s="25">
        <f>'AEO 2025 Table 5'!AA14-'AEO 2023 Table 5'!AC10</f>
        <v>0.79701813439941405</v>
      </c>
      <c r="AC5" s="25">
        <f>'AEO 2025 Table 5'!AB14-'AEO 2023 Table 5'!AD10</f>
        <v>0.81438051492309593</v>
      </c>
    </row>
    <row r="6" spans="1:29">
      <c r="A6" t="str">
        <f>'AEO 2023 Table 5'!A11</f>
        <v xml:space="preserve">   Cooking</v>
      </c>
      <c r="B6" s="24" t="str">
        <f>'AEO 2025 Table 5'!A15</f>
        <v xml:space="preserve">   Cooking</v>
      </c>
      <c r="C6" s="25">
        <f>'AEO 2025 Table 5'!B15-'AEO 2023 Table 5'!D11</f>
        <v>2.5702095036506667E-3</v>
      </c>
      <c r="D6" s="25">
        <f>'AEO 2025 Table 5'!C15-'AEO 2023 Table 5'!E11</f>
        <v>2.2695941319465646E-3</v>
      </c>
      <c r="E6" s="25">
        <f>'AEO 2025 Table 5'!D15-'AEO 2023 Table 5'!F11</f>
        <v>2.403409297466283E-3</v>
      </c>
      <c r="F6" s="25">
        <f>'AEO 2025 Table 5'!E15-'AEO 2023 Table 5'!G11</f>
        <v>3.2362796692848167E-3</v>
      </c>
      <c r="G6" s="25">
        <f>'AEO 2025 Table 5'!F15-'AEO 2023 Table 5'!H11</f>
        <v>3.7176973123550366E-3</v>
      </c>
      <c r="H6" s="25">
        <f>'AEO 2025 Table 5'!G15-'AEO 2023 Table 5'!I11</f>
        <v>3.7074458456039378E-3</v>
      </c>
      <c r="I6" s="25">
        <f>'AEO 2025 Table 5'!H15-'AEO 2023 Table 5'!J11</f>
        <v>3.4851203794479396E-3</v>
      </c>
      <c r="J6" s="25">
        <f>'AEO 2025 Table 5'!I15-'AEO 2023 Table 5'!K11</f>
        <v>3.1583759880065981E-3</v>
      </c>
      <c r="K6" s="25">
        <f>'AEO 2025 Table 5'!J15-'AEO 2023 Table 5'!L11</f>
        <v>2.9475802311897253E-3</v>
      </c>
      <c r="L6" s="25">
        <f>'AEO 2025 Table 5'!K15-'AEO 2023 Table 5'!M11</f>
        <v>2.8258666615486178E-3</v>
      </c>
      <c r="M6" s="25">
        <f>'AEO 2025 Table 5'!L15-'AEO 2023 Table 5'!N11</f>
        <v>2.8950255408287107E-3</v>
      </c>
      <c r="N6" s="25">
        <f>'AEO 2025 Table 5'!M15-'AEO 2023 Table 5'!O11</f>
        <v>3.0756006460189861E-3</v>
      </c>
      <c r="O6" s="25">
        <f>'AEO 2025 Table 5'!N15-'AEO 2023 Table 5'!P11</f>
        <v>3.4591228342056302E-3</v>
      </c>
      <c r="P6" s="25">
        <f>'AEO 2025 Table 5'!O15-'AEO 2023 Table 5'!Q11</f>
        <v>3.9053602781295715E-3</v>
      </c>
      <c r="Q6" s="25">
        <f>'AEO 2025 Table 5'!P15-'AEO 2023 Table 5'!R11</f>
        <v>4.384727440357214E-3</v>
      </c>
      <c r="R6" s="25">
        <f>'AEO 2025 Table 5'!Q15-'AEO 2023 Table 5'!S11</f>
        <v>4.8738487911224315E-3</v>
      </c>
      <c r="S6" s="25">
        <f>'AEO 2025 Table 5'!R15-'AEO 2023 Table 5'!T11</f>
        <v>5.3004996652603192E-3</v>
      </c>
      <c r="T6" s="25">
        <f>'AEO 2025 Table 5'!S15-'AEO 2023 Table 5'!U11</f>
        <v>5.5953920164108217E-3</v>
      </c>
      <c r="U6" s="25">
        <f>'AEO 2025 Table 5'!T15-'AEO 2023 Table 5'!V11</f>
        <v>5.742828247070314E-3</v>
      </c>
      <c r="V6" s="25">
        <f>'AEO 2025 Table 5'!U15-'AEO 2023 Table 5'!W11</f>
        <v>5.8082053475379952E-3</v>
      </c>
      <c r="W6" s="25">
        <f>'AEO 2025 Table 5'!V15-'AEO 2023 Table 5'!X11</f>
        <v>5.815820321559903E-3</v>
      </c>
      <c r="X6" s="25">
        <f>'AEO 2025 Table 5'!W15-'AEO 2023 Table 5'!Y11</f>
        <v>5.7939869976043751E-3</v>
      </c>
      <c r="Y6" s="25">
        <f>'AEO 2025 Table 5'!X15-'AEO 2023 Table 5'!Z11</f>
        <v>5.6856351337432887E-3</v>
      </c>
      <c r="Z6" s="25">
        <f>'AEO 2025 Table 5'!Y15-'AEO 2023 Table 5'!AA11</f>
        <v>5.5439067783355778E-3</v>
      </c>
      <c r="AA6" s="25">
        <f>'AEO 2025 Table 5'!Z15-'AEO 2023 Table 5'!AB11</f>
        <v>5.4628504819869972E-3</v>
      </c>
      <c r="AB6" s="25">
        <f>'AEO 2025 Table 5'!AA15-'AEO 2023 Table 5'!AC11</f>
        <v>5.4362242226600604E-3</v>
      </c>
      <c r="AC6" s="25">
        <f>'AEO 2025 Table 5'!AB15-'AEO 2023 Table 5'!AD11</f>
        <v>5.4320322065353338E-3</v>
      </c>
    </row>
    <row r="7" spans="1:29">
      <c r="A7" t="str">
        <f>'AEO 2023 Table 5'!A12</f>
        <v xml:space="preserve">   Lighting</v>
      </c>
      <c r="B7" s="24" t="str">
        <f>'AEO 2025 Table 5'!A16</f>
        <v xml:space="preserve">   Lighting</v>
      </c>
      <c r="C7" s="25">
        <f>'AEO 2025 Table 5'!B16-'AEO 2023 Table 5'!D12</f>
        <v>8.9799723224639916E-2</v>
      </c>
      <c r="D7" s="25">
        <f>'AEO 2025 Table 5'!C16-'AEO 2023 Table 5'!E12</f>
        <v>7.6431109931945795E-2</v>
      </c>
      <c r="E7" s="25">
        <f>'AEO 2025 Table 5'!D16-'AEO 2023 Table 5'!F12</f>
        <v>7.1924681362152076E-2</v>
      </c>
      <c r="F7" s="25">
        <f>'AEO 2025 Table 5'!E16-'AEO 2023 Table 5'!G12</f>
        <v>7.4415281757354734E-2</v>
      </c>
      <c r="G7" s="25">
        <f>'AEO 2025 Table 5'!F16-'AEO 2023 Table 5'!H12</f>
        <v>7.5894075489044199E-2</v>
      </c>
      <c r="H7" s="25">
        <f>'AEO 2025 Table 5'!G16-'AEO 2023 Table 5'!I12</f>
        <v>7.4617922912597667E-2</v>
      </c>
      <c r="I7" s="25">
        <f>'AEO 2025 Table 5'!H16-'AEO 2023 Table 5'!J12</f>
        <v>6.7274163776397722E-2</v>
      </c>
      <c r="J7" s="25">
        <f>'AEO 2025 Table 5'!I16-'AEO 2023 Table 5'!K12</f>
        <v>6.0384910549163839E-2</v>
      </c>
      <c r="K7" s="25">
        <f>'AEO 2025 Table 5'!J16-'AEO 2023 Table 5'!L12</f>
        <v>5.5014776756286632E-2</v>
      </c>
      <c r="L7" s="25">
        <f>'AEO 2025 Table 5'!K16-'AEO 2023 Table 5'!M12</f>
        <v>5.0427378890991192E-2</v>
      </c>
      <c r="M7" s="25">
        <f>'AEO 2025 Table 5'!L16-'AEO 2023 Table 5'!N12</f>
        <v>4.7134365173339854E-2</v>
      </c>
      <c r="N7" s="25">
        <f>'AEO 2025 Table 5'!M16-'AEO 2023 Table 5'!O12</f>
        <v>4.4723271121978769E-2</v>
      </c>
      <c r="O7" s="25">
        <f>'AEO 2025 Table 5'!N16-'AEO 2023 Table 5'!P12</f>
        <v>4.4126917442321778E-2</v>
      </c>
      <c r="P7" s="25">
        <f>'AEO 2025 Table 5'!O16-'AEO 2023 Table 5'!Q12</f>
        <v>4.5556023044586169E-2</v>
      </c>
      <c r="Q7" s="25">
        <f>'AEO 2025 Table 5'!P16-'AEO 2023 Table 5'!R12</f>
        <v>4.8556004276275655E-2</v>
      </c>
      <c r="R7" s="25">
        <f>'AEO 2025 Table 5'!Q16-'AEO 2023 Table 5'!S12</f>
        <v>5.3428692729949934E-2</v>
      </c>
      <c r="S7" s="25">
        <f>'AEO 2025 Table 5'!R16-'AEO 2023 Table 5'!T12</f>
        <v>5.3057685752868677E-2</v>
      </c>
      <c r="T7" s="25">
        <f>'AEO 2025 Table 5'!S16-'AEO 2023 Table 5'!U12</f>
        <v>5.2490841259002663E-2</v>
      </c>
      <c r="U7" s="25">
        <f>'AEO 2025 Table 5'!T16-'AEO 2023 Table 5'!V12</f>
        <v>5.143112202072142E-2</v>
      </c>
      <c r="V7" s="25">
        <f>'AEO 2025 Table 5'!U16-'AEO 2023 Table 5'!W12</f>
        <v>5.0195383758544931E-2</v>
      </c>
      <c r="W7" s="25">
        <f>'AEO 2025 Table 5'!V16-'AEO 2023 Table 5'!X12</f>
        <v>4.8812864891052243E-2</v>
      </c>
      <c r="X7" s="25">
        <f>'AEO 2025 Table 5'!W16-'AEO 2023 Table 5'!Y12</f>
        <v>4.7379029579162624E-2</v>
      </c>
      <c r="Y7" s="25">
        <f>'AEO 2025 Table 5'!X16-'AEO 2023 Table 5'!Z12</f>
        <v>4.5338618751525894E-2</v>
      </c>
      <c r="Z7" s="25">
        <f>'AEO 2025 Table 5'!Y16-'AEO 2023 Table 5'!AA12</f>
        <v>4.2990990760803205E-2</v>
      </c>
      <c r="AA7" s="25">
        <f>'AEO 2025 Table 5'!Z16-'AEO 2023 Table 5'!AB12</f>
        <v>4.123121833038329E-2</v>
      </c>
      <c r="AB7" s="25">
        <f>'AEO 2025 Table 5'!AA16-'AEO 2023 Table 5'!AC12</f>
        <v>3.9847639019012449E-2</v>
      </c>
      <c r="AC7" s="25">
        <f>'AEO 2025 Table 5'!AB16-'AEO 2023 Table 5'!AD12</f>
        <v>3.8873367496490452E-2</v>
      </c>
    </row>
    <row r="8" spans="1:29">
      <c r="A8" t="str">
        <f>'AEO 2023 Table 5'!A13</f>
        <v xml:space="preserve">   Refrigeration</v>
      </c>
      <c r="B8" s="24" t="str">
        <f>'AEO 2025 Table 5'!A17</f>
        <v xml:space="preserve">   Refrigeration</v>
      </c>
      <c r="C8" s="25">
        <f>'AEO 2025 Table 5'!B17-'AEO 2023 Table 5'!D13</f>
        <v>-0.23537984722137451</v>
      </c>
      <c r="D8" s="25">
        <f>'AEO 2025 Table 5'!C17-'AEO 2023 Table 5'!E13</f>
        <v>-0.23784351553535465</v>
      </c>
      <c r="E8" s="25">
        <f>'AEO 2025 Table 5'!D17-'AEO 2023 Table 5'!F13</f>
        <v>-0.23895241106605525</v>
      </c>
      <c r="F8" s="25">
        <f>'AEO 2025 Table 5'!E17-'AEO 2023 Table 5'!G13</f>
        <v>-0.23790508718872072</v>
      </c>
      <c r="G8" s="25">
        <f>'AEO 2025 Table 5'!F17-'AEO 2023 Table 5'!H13</f>
        <v>-0.23755201054000846</v>
      </c>
      <c r="H8" s="25">
        <f>'AEO 2025 Table 5'!G17-'AEO 2023 Table 5'!I13</f>
        <v>-0.23843202921676637</v>
      </c>
      <c r="I8" s="25">
        <f>'AEO 2025 Table 5'!H17-'AEO 2023 Table 5'!J13</f>
        <v>-0.23994730577278139</v>
      </c>
      <c r="J8" s="25">
        <f>'AEO 2025 Table 5'!I17-'AEO 2023 Table 5'!K13</f>
        <v>-0.24209866299629212</v>
      </c>
      <c r="K8" s="25">
        <f>'AEO 2025 Table 5'!J17-'AEO 2023 Table 5'!L13</f>
        <v>-0.24380485176086436</v>
      </c>
      <c r="L8" s="25">
        <f>'AEO 2025 Table 5'!K17-'AEO 2023 Table 5'!M13</f>
        <v>-0.24473831931304935</v>
      </c>
      <c r="M8" s="25">
        <f>'AEO 2025 Table 5'!L17-'AEO 2023 Table 5'!N13</f>
        <v>-0.24485179133415225</v>
      </c>
      <c r="N8" s="25">
        <f>'AEO 2025 Table 5'!M17-'AEO 2023 Table 5'!O13</f>
        <v>-0.24452576352500927</v>
      </c>
      <c r="O8" s="25">
        <f>'AEO 2025 Table 5'!N17-'AEO 2023 Table 5'!P13</f>
        <v>-0.24355557344436646</v>
      </c>
      <c r="P8" s="25">
        <f>'AEO 2025 Table 5'!O17-'AEO 2023 Table 5'!Q13</f>
        <v>-0.24219535854339602</v>
      </c>
      <c r="Q8" s="25">
        <f>'AEO 2025 Table 5'!P17-'AEO 2023 Table 5'!R13</f>
        <v>-0.24035757211494452</v>
      </c>
      <c r="R8" s="25">
        <f>'AEO 2025 Table 5'!Q17-'AEO 2023 Table 5'!S13</f>
        <v>-0.2382591362228394</v>
      </c>
      <c r="S8" s="25">
        <f>'AEO 2025 Table 5'!R17-'AEO 2023 Table 5'!T13</f>
        <v>-0.23619487008476259</v>
      </c>
      <c r="T8" s="25">
        <f>'AEO 2025 Table 5'!S17-'AEO 2023 Table 5'!U13</f>
        <v>-0.23467645660209663</v>
      </c>
      <c r="U8" s="25">
        <f>'AEO 2025 Table 5'!T17-'AEO 2023 Table 5'!V13</f>
        <v>-0.2334790075721741</v>
      </c>
      <c r="V8" s="25">
        <f>'AEO 2025 Table 5'!U17-'AEO 2023 Table 5'!W13</f>
        <v>-0.2324697244491577</v>
      </c>
      <c r="W8" s="25">
        <f>'AEO 2025 Table 5'!V17-'AEO 2023 Table 5'!X13</f>
        <v>-0.23159023836517328</v>
      </c>
      <c r="X8" s="25">
        <f>'AEO 2025 Table 5'!W17-'AEO 2023 Table 5'!Y13</f>
        <v>-0.23077122587394711</v>
      </c>
      <c r="Y8" s="25">
        <f>'AEO 2025 Table 5'!X17-'AEO 2023 Table 5'!Z13</f>
        <v>-0.23016246718978883</v>
      </c>
      <c r="Z8" s="25">
        <f>'AEO 2025 Table 5'!Y17-'AEO 2023 Table 5'!AA13</f>
        <v>-0.22971591855812068</v>
      </c>
      <c r="AA8" s="25">
        <f>'AEO 2025 Table 5'!Z17-'AEO 2023 Table 5'!AB13</f>
        <v>-0.22924359529685973</v>
      </c>
      <c r="AB8" s="25">
        <f>'AEO 2025 Table 5'!AA17-'AEO 2023 Table 5'!AC13</f>
        <v>-0.22880255195808408</v>
      </c>
      <c r="AC8" s="25">
        <f>'AEO 2025 Table 5'!AB17-'AEO 2023 Table 5'!AD13</f>
        <v>-0.2284333686676025</v>
      </c>
    </row>
    <row r="9" spans="1:29">
      <c r="A9" t="str">
        <f>'AEO 2023 Table 5'!A14</f>
        <v xml:space="preserve">   Computing</v>
      </c>
      <c r="B9" s="26" t="str">
        <f>'AEO 2025 Table 5'!A18</f>
        <v xml:space="preserve">   Computing 4/ 5/</v>
      </c>
      <c r="C9" s="25">
        <f>'AEO 2025 Table 5'!B18-'AEO 2023 Table 5'!D14</f>
        <v>-9.8911644277572597E-2</v>
      </c>
      <c r="D9" s="25">
        <f>'AEO 2025 Table 5'!C18-'AEO 2023 Table 5'!E14</f>
        <v>-9.0030899026870725E-2</v>
      </c>
      <c r="E9" s="25">
        <f>'AEO 2025 Table 5'!D18-'AEO 2023 Table 5'!F14</f>
        <v>-7.9007497829437334E-2</v>
      </c>
      <c r="F9" s="25">
        <f>'AEO 2025 Table 5'!E18-'AEO 2023 Table 5'!G14</f>
        <v>-6.6098105607986513E-2</v>
      </c>
      <c r="G9" s="25">
        <f>'AEO 2025 Table 5'!F18-'AEO 2023 Table 5'!H14</f>
        <v>-5.3549159786224432E-2</v>
      </c>
      <c r="H9" s="25">
        <f>'AEO 2025 Table 5'!G18-'AEO 2023 Table 5'!I14</f>
        <v>-4.1740334590911921E-2</v>
      </c>
      <c r="I9" s="25">
        <f>'AEO 2025 Table 5'!H18-'AEO 2023 Table 5'!J14</f>
        <v>-3.0580972883224478E-2</v>
      </c>
      <c r="J9" s="25">
        <f>'AEO 2025 Table 5'!I18-'AEO 2023 Table 5'!K14</f>
        <v>-1.8866297872543292E-2</v>
      </c>
      <c r="K9" s="25">
        <f>'AEO 2025 Table 5'!J18-'AEO 2023 Table 5'!L14</f>
        <v>-6.3690430946350407E-3</v>
      </c>
      <c r="L9" s="25">
        <f>'AEO 2025 Table 5'!K18-'AEO 2023 Table 5'!M14</f>
        <v>7.6908162002563563E-3</v>
      </c>
      <c r="M9" s="25">
        <f>'AEO 2025 Table 5'!L18-'AEO 2023 Table 5'!N14</f>
        <v>2.3013677085876427E-2</v>
      </c>
      <c r="N9" s="25">
        <f>'AEO 2025 Table 5'!M18-'AEO 2023 Table 5'!O14</f>
        <v>4.0045197925567599E-2</v>
      </c>
      <c r="O9" s="25">
        <f>'AEO 2025 Table 5'!N18-'AEO 2023 Table 5'!P14</f>
        <v>5.7879824920654244E-2</v>
      </c>
      <c r="P9" s="25">
        <f>'AEO 2025 Table 5'!O18-'AEO 2023 Table 5'!Q14</f>
        <v>7.8445644817352278E-2</v>
      </c>
      <c r="Q9" s="25">
        <f>'AEO 2025 Table 5'!P18-'AEO 2023 Table 5'!R14</f>
        <v>9.9166547966003438E-2</v>
      </c>
      <c r="R9" s="25">
        <f>'AEO 2025 Table 5'!Q18-'AEO 2023 Table 5'!S14</f>
        <v>0.12168669745254512</v>
      </c>
      <c r="S9" s="25">
        <f>'AEO 2025 Table 5'!R18-'AEO 2023 Table 5'!T14</f>
        <v>0.14593951111221315</v>
      </c>
      <c r="T9" s="25">
        <f>'AEO 2025 Table 5'!S18-'AEO 2023 Table 5'!U14</f>
        <v>0.17186632680511471</v>
      </c>
      <c r="U9" s="25">
        <f>'AEO 2025 Table 5'!T18-'AEO 2023 Table 5'!V14</f>
        <v>0.19825782631683353</v>
      </c>
      <c r="V9" s="25">
        <f>'AEO 2025 Table 5'!U18-'AEO 2023 Table 5'!W14</f>
        <v>0.22520793509674075</v>
      </c>
      <c r="W9" s="25">
        <f>'AEO 2025 Table 5'!V18-'AEO 2023 Table 5'!X14</f>
        <v>0.25456658172988889</v>
      </c>
      <c r="X9" s="25">
        <f>'AEO 2025 Table 5'!W18-'AEO 2023 Table 5'!Y14</f>
        <v>0.28466126360321042</v>
      </c>
      <c r="Y9" s="25">
        <f>'AEO 2025 Table 5'!X18-'AEO 2023 Table 5'!Z14</f>
        <v>0.31543400138854982</v>
      </c>
      <c r="Z9" s="25">
        <f>'AEO 2025 Table 5'!Y18-'AEO 2023 Table 5'!AA14</f>
        <v>0.34892953081512501</v>
      </c>
      <c r="AA9" s="25">
        <f>'AEO 2025 Table 5'!Z18-'AEO 2023 Table 5'!AB14</f>
        <v>0.38353183697509807</v>
      </c>
      <c r="AB9" s="25">
        <f>'AEO 2025 Table 5'!AA18-'AEO 2023 Table 5'!AC14</f>
        <v>0.41898193469238298</v>
      </c>
      <c r="AC9" s="25">
        <f>'AEO 2025 Table 5'!AB18-'AEO 2023 Table 5'!AD14</f>
        <v>0.45704746051788303</v>
      </c>
    </row>
    <row r="10" spans="1:29">
      <c r="A10" t="str">
        <f>'AEO 2023 Table 5'!A15</f>
        <v xml:space="preserve">   Office Equipment</v>
      </c>
      <c r="B10" s="24" t="str">
        <f>'AEO 2025 Table 5'!A19</f>
        <v xml:space="preserve">   Office Equipment</v>
      </c>
      <c r="C10" s="25">
        <f>'AEO 2025 Table 5'!B19-'AEO 2023 Table 5'!D15</f>
        <v>-0.12954512157034873</v>
      </c>
      <c r="D10" s="25">
        <f>'AEO 2025 Table 5'!C19-'AEO 2023 Table 5'!E15</f>
        <v>-0.12988976735997201</v>
      </c>
      <c r="E10" s="25">
        <f>'AEO 2025 Table 5'!D19-'AEO 2023 Table 5'!F15</f>
        <v>-0.1303437356724739</v>
      </c>
      <c r="F10" s="25">
        <f>'AEO 2025 Table 5'!E19-'AEO 2023 Table 5'!G15</f>
        <v>-0.13070644067549705</v>
      </c>
      <c r="G10" s="25">
        <f>'AEO 2025 Table 5'!F19-'AEO 2023 Table 5'!H15</f>
        <v>-0.13133214717245101</v>
      </c>
      <c r="H10" s="25">
        <f>'AEO 2025 Table 5'!G19-'AEO 2023 Table 5'!I15</f>
        <v>-0.13239646444392203</v>
      </c>
      <c r="I10" s="25">
        <f>'AEO 2025 Table 5'!H19-'AEO 2023 Table 5'!J15</f>
        <v>-0.13384342475438119</v>
      </c>
      <c r="J10" s="25">
        <f>'AEO 2025 Table 5'!I19-'AEO 2023 Table 5'!K15</f>
        <v>-0.13530292414832115</v>
      </c>
      <c r="K10" s="25">
        <f>'AEO 2025 Table 5'!J19-'AEO 2023 Table 5'!L15</f>
        <v>-0.13696589941763879</v>
      </c>
      <c r="L10" s="25">
        <f>'AEO 2025 Table 5'!K19-'AEO 2023 Table 5'!M15</f>
        <v>-0.13839617655086517</v>
      </c>
      <c r="M10" s="25">
        <f>'AEO 2025 Table 5'!L19-'AEO 2023 Table 5'!N15</f>
        <v>-0.13933279382038116</v>
      </c>
      <c r="N10" s="25">
        <f>'AEO 2025 Table 5'!M19-'AEO 2023 Table 5'!O15</f>
        <v>-0.14043858377408983</v>
      </c>
      <c r="O10" s="25">
        <f>'AEO 2025 Table 5'!N19-'AEO 2023 Table 5'!P15</f>
        <v>-0.14113673850488662</v>
      </c>
      <c r="P10" s="25">
        <f>'AEO 2025 Table 5'!O19-'AEO 2023 Table 5'!Q15</f>
        <v>-0.14173078970980643</v>
      </c>
      <c r="Q10" s="25">
        <f>'AEO 2025 Table 5'!P19-'AEO 2023 Table 5'!R15</f>
        <v>-0.14227038769888878</v>
      </c>
      <c r="R10" s="25">
        <f>'AEO 2025 Table 5'!Q19-'AEO 2023 Table 5'!S15</f>
        <v>-0.14214626959228516</v>
      </c>
      <c r="S10" s="25">
        <f>'AEO 2025 Table 5'!R19-'AEO 2023 Table 5'!T15</f>
        <v>-0.14203088549613951</v>
      </c>
      <c r="T10" s="25">
        <f>'AEO 2025 Table 5'!S19-'AEO 2023 Table 5'!U15</f>
        <v>-0.14171912347865104</v>
      </c>
      <c r="U10" s="25">
        <f>'AEO 2025 Table 5'!T19-'AEO 2023 Table 5'!V15</f>
        <v>-0.14087127086162568</v>
      </c>
      <c r="V10" s="25">
        <f>'AEO 2025 Table 5'!U19-'AEO 2023 Table 5'!W15</f>
        <v>-0.1397808083870411</v>
      </c>
      <c r="W10" s="25">
        <f>'AEO 2025 Table 5'!V19-'AEO 2023 Table 5'!X15</f>
        <v>-0.13851495375037193</v>
      </c>
      <c r="X10" s="25">
        <f>'AEO 2025 Table 5'!W19-'AEO 2023 Table 5'!Y15</f>
        <v>-0.13683230835199356</v>
      </c>
      <c r="Y10" s="25">
        <f>'AEO 2025 Table 5'!X19-'AEO 2023 Table 5'!Z15</f>
        <v>-0.13492575927901268</v>
      </c>
      <c r="Z10" s="25">
        <f>'AEO 2025 Table 5'!Y19-'AEO 2023 Table 5'!AA15</f>
        <v>-0.13261424693965912</v>
      </c>
      <c r="AA10" s="25">
        <f>'AEO 2025 Table 5'!Z19-'AEO 2023 Table 5'!AB15</f>
        <v>-0.12984893200230599</v>
      </c>
      <c r="AB10" s="25">
        <f>'AEO 2025 Table 5'!AA19-'AEO 2023 Table 5'!AC15</f>
        <v>-0.12656377882981301</v>
      </c>
      <c r="AC10" s="25">
        <f>'AEO 2025 Table 5'!AB19-'AEO 2023 Table 5'!AD15</f>
        <v>-0.12250382336068152</v>
      </c>
    </row>
    <row r="11" spans="1:29">
      <c r="A11" t="str">
        <f>'AEO 2023 Table 5'!A16</f>
        <v xml:space="preserve">   Other Uses 3/</v>
      </c>
      <c r="B11" s="26" t="str">
        <f>'AEO 2025 Table 5'!A20</f>
        <v xml:space="preserve">   Other Uses 4/ 6/</v>
      </c>
      <c r="C11" s="25">
        <f>'AEO 2025 Table 5'!B20-'AEO 2023 Table 5'!D16</f>
        <v>6.5655814643860166E-2</v>
      </c>
      <c r="D11" s="25">
        <f>'AEO 2025 Table 5'!C20-'AEO 2023 Table 5'!E16</f>
        <v>0.15705306153869603</v>
      </c>
      <c r="E11" s="25">
        <f>'AEO 2025 Table 5'!D20-'AEO 2023 Table 5'!F16</f>
        <v>8.871135976409894E-2</v>
      </c>
      <c r="F11" s="25">
        <f>'AEO 2025 Table 5'!E20-'AEO 2023 Table 5'!G16</f>
        <v>7.7747084587096893E-2</v>
      </c>
      <c r="G11" s="25">
        <f>'AEO 2025 Table 5'!F20-'AEO 2023 Table 5'!H16</f>
        <v>4.1485585731505958E-2</v>
      </c>
      <c r="H11" s="25">
        <f>'AEO 2025 Table 5'!G20-'AEO 2023 Table 5'!I16</f>
        <v>5.408862631988498E-2</v>
      </c>
      <c r="I11" s="25">
        <f>'AEO 2025 Table 5'!H20-'AEO 2023 Table 5'!J16</f>
        <v>6.252547332000713E-2</v>
      </c>
      <c r="J11" s="25">
        <f>'AEO 2025 Table 5'!I20-'AEO 2023 Table 5'!K16</f>
        <v>6.9078815155029005E-2</v>
      </c>
      <c r="K11" s="25">
        <f>'AEO 2025 Table 5'!J20-'AEO 2023 Table 5'!L16</f>
        <v>7.6208097808837971E-2</v>
      </c>
      <c r="L11" s="25">
        <f>'AEO 2025 Table 5'!K20-'AEO 2023 Table 5'!M16</f>
        <v>8.5125367004394992E-2</v>
      </c>
      <c r="M11" s="25">
        <f>'AEO 2025 Table 5'!L20-'AEO 2023 Table 5'!N16</f>
        <v>9.6448026657103947E-2</v>
      </c>
      <c r="N11" s="25">
        <f>'AEO 2025 Table 5'!M20-'AEO 2023 Table 5'!O16</f>
        <v>0.10951984678649906</v>
      </c>
      <c r="O11" s="25">
        <f>'AEO 2025 Table 5'!N20-'AEO 2023 Table 5'!P16</f>
        <v>0.12469917292785615</v>
      </c>
      <c r="P11" s="25">
        <f>'AEO 2025 Table 5'!O20-'AEO 2023 Table 5'!Q16</f>
        <v>0.14139728596496592</v>
      </c>
      <c r="Q11" s="25">
        <f>'AEO 2025 Table 5'!P20-'AEO 2023 Table 5'!R16</f>
        <v>0.15914519148254413</v>
      </c>
      <c r="R11" s="25">
        <f>'AEO 2025 Table 5'!Q20-'AEO 2023 Table 5'!S16</f>
        <v>0.17761630641174309</v>
      </c>
      <c r="S11" s="25">
        <f>'AEO 2025 Table 5'!R20-'AEO 2023 Table 5'!T16</f>
        <v>0.19664084036254881</v>
      </c>
      <c r="T11" s="25">
        <f>'AEO 2025 Table 5'!S20-'AEO 2023 Table 5'!U16</f>
        <v>0.21499369104003918</v>
      </c>
      <c r="U11" s="25">
        <f>'AEO 2025 Table 5'!T20-'AEO 2023 Table 5'!V16</f>
        <v>0.23289447425842269</v>
      </c>
      <c r="V11" s="25">
        <f>'AEO 2025 Table 5'!U20-'AEO 2023 Table 5'!W16</f>
        <v>0.25014329351806586</v>
      </c>
      <c r="W11" s="25">
        <f>'AEO 2025 Table 5'!V20-'AEO 2023 Table 5'!X16</f>
        <v>0.26725381063842812</v>
      </c>
      <c r="X11" s="25">
        <f>'AEO 2025 Table 5'!W20-'AEO 2023 Table 5'!Y16</f>
        <v>0.28385951286315914</v>
      </c>
      <c r="Y11" s="25">
        <f>'AEO 2025 Table 5'!X20-'AEO 2023 Table 5'!Z16</f>
        <v>0.30011944924926803</v>
      </c>
      <c r="Z11" s="25">
        <f>'AEO 2025 Table 5'!Y20-'AEO 2023 Table 5'!AA16</f>
        <v>0.3156042532501222</v>
      </c>
      <c r="AA11" s="25">
        <f>'AEO 2025 Table 5'!Z20-'AEO 2023 Table 5'!AB16</f>
        <v>0.33150642022705057</v>
      </c>
      <c r="AB11" s="25">
        <f>'AEO 2025 Table 5'!AA20-'AEO 2023 Table 5'!AC16</f>
        <v>0.34784473968505925</v>
      </c>
      <c r="AC11" s="25">
        <f>'AEO 2025 Table 5'!AB20-'AEO 2023 Table 5'!AD16</f>
        <v>0.36447505754089393</v>
      </c>
    </row>
    <row r="12" spans="1:29">
      <c r="B12" s="24"/>
    </row>
    <row r="13" spans="1:29">
      <c r="B13" s="24" t="s">
        <v>94</v>
      </c>
      <c r="C13" s="27">
        <f>C11+C9+C5</f>
        <v>0.31134430145454439</v>
      </c>
      <c r="D13" s="27">
        <f t="shared" ref="D13:AC13" si="0">D11+D9+D5</f>
        <v>0.4292325786762235</v>
      </c>
      <c r="E13" s="27">
        <f t="shared" si="0"/>
        <v>0.39458937462997412</v>
      </c>
      <c r="F13" s="27">
        <f t="shared" si="0"/>
        <v>0.42521766325187649</v>
      </c>
      <c r="G13" s="27">
        <f t="shared" si="0"/>
        <v>0.42679504551696734</v>
      </c>
      <c r="H13" s="27">
        <f t="shared" si="0"/>
        <v>0.47154450159454314</v>
      </c>
      <c r="I13" s="27">
        <f t="shared" si="0"/>
        <v>0.5065469157733915</v>
      </c>
      <c r="J13" s="27">
        <f t="shared" si="0"/>
        <v>0.53949850931739785</v>
      </c>
      <c r="K13" s="27">
        <f t="shared" si="0"/>
        <v>0.57474198706436164</v>
      </c>
      <c r="L13" s="27">
        <f t="shared" si="0"/>
        <v>0.61308839919281055</v>
      </c>
      <c r="M13" s="27">
        <f t="shared" si="0"/>
        <v>0.65638515969848577</v>
      </c>
      <c r="N13" s="27">
        <f t="shared" si="0"/>
        <v>0.70434994275665286</v>
      </c>
      <c r="O13" s="27">
        <f t="shared" si="0"/>
        <v>0.75699137364578206</v>
      </c>
      <c r="P13" s="27">
        <f t="shared" si="0"/>
        <v>0.81408258860397353</v>
      </c>
      <c r="Q13" s="27">
        <f t="shared" si="0"/>
        <v>0.87243224018478416</v>
      </c>
      <c r="R13" s="27">
        <f t="shared" si="0"/>
        <v>0.93349700722503648</v>
      </c>
      <c r="S13" s="27">
        <f t="shared" si="0"/>
        <v>0.99605598046493526</v>
      </c>
      <c r="T13" s="27">
        <f t="shared" si="0"/>
        <v>1.0585346506423949</v>
      </c>
      <c r="U13" s="27">
        <f t="shared" si="0"/>
        <v>1.1194558572616575</v>
      </c>
      <c r="V13" s="27">
        <f t="shared" si="0"/>
        <v>1.1794960832900996</v>
      </c>
      <c r="W13" s="27">
        <f t="shared" si="0"/>
        <v>1.2412906613883976</v>
      </c>
      <c r="X13" s="27">
        <f t="shared" si="0"/>
        <v>1.3032299937019347</v>
      </c>
      <c r="Y13" s="27">
        <f t="shared" si="0"/>
        <v>1.3650986112670904</v>
      </c>
      <c r="Z13" s="27">
        <f t="shared" si="0"/>
        <v>1.4292013585586552</v>
      </c>
      <c r="AA13" s="27">
        <f t="shared" si="0"/>
        <v>1.4954820737991339</v>
      </c>
      <c r="AB13" s="27">
        <f t="shared" si="0"/>
        <v>1.5638448087768562</v>
      </c>
      <c r="AC13" s="27">
        <f t="shared" si="0"/>
        <v>1.6359030329818729</v>
      </c>
    </row>
    <row r="14" spans="1:29">
      <c r="B14" s="24"/>
    </row>
    <row r="15" spans="1:29">
      <c r="A15" s="28" t="s">
        <v>95</v>
      </c>
      <c r="B15" s="24"/>
    </row>
    <row r="19" spans="28:28">
      <c r="AB19" s="29" t="s">
        <v>96</v>
      </c>
    </row>
    <row r="20" spans="28:28">
      <c r="AB20" s="30" t="s">
        <v>97</v>
      </c>
    </row>
    <row r="21" spans="28:28">
      <c r="AB21" s="30" t="s">
        <v>98</v>
      </c>
    </row>
    <row r="37" spans="2:29">
      <c r="B37" t="s">
        <v>99</v>
      </c>
      <c r="C37">
        <v>3412</v>
      </c>
    </row>
    <row r="39" spans="2:29">
      <c r="C39" s="6">
        <v>2024</v>
      </c>
      <c r="D39" s="6">
        <v>2025</v>
      </c>
      <c r="E39" s="6">
        <v>2026</v>
      </c>
      <c r="F39" s="6">
        <v>2027</v>
      </c>
      <c r="G39" s="6">
        <v>2028</v>
      </c>
      <c r="H39" s="6">
        <v>2029</v>
      </c>
      <c r="I39" s="6">
        <v>2030</v>
      </c>
      <c r="J39" s="6">
        <v>2031</v>
      </c>
      <c r="K39" s="6">
        <v>2032</v>
      </c>
      <c r="L39" s="6">
        <v>2033</v>
      </c>
      <c r="M39" s="6">
        <v>2034</v>
      </c>
      <c r="N39" s="6">
        <v>2035</v>
      </c>
      <c r="O39" s="6">
        <v>2036</v>
      </c>
      <c r="P39" s="6">
        <v>2037</v>
      </c>
      <c r="Q39" s="6">
        <v>2038</v>
      </c>
      <c r="R39" s="6">
        <v>2039</v>
      </c>
      <c r="S39" s="6">
        <v>2040</v>
      </c>
      <c r="T39" s="6">
        <v>2041</v>
      </c>
      <c r="U39" s="6">
        <v>2042</v>
      </c>
      <c r="V39" s="6">
        <v>2043</v>
      </c>
      <c r="W39" s="6">
        <v>2044</v>
      </c>
      <c r="X39" s="6">
        <v>2045</v>
      </c>
      <c r="Y39" s="6">
        <v>2046</v>
      </c>
      <c r="Z39" s="6">
        <v>2047</v>
      </c>
      <c r="AA39" s="6">
        <v>2048</v>
      </c>
      <c r="AB39" s="6">
        <v>2049</v>
      </c>
      <c r="AC39" s="6">
        <v>2050</v>
      </c>
    </row>
    <row r="40" spans="2:29">
      <c r="B40" s="24" t="s">
        <v>100</v>
      </c>
      <c r="C40" s="31">
        <f>C13*10^15/$C$37/10^9</f>
        <v>91.24979526803763</v>
      </c>
      <c r="D40" s="31">
        <f t="shared" ref="D40:AB40" si="1">D13*10^15/$C$37/10^9</f>
        <v>125.80087300006551</v>
      </c>
      <c r="E40" s="31">
        <f t="shared" si="1"/>
        <v>115.64753066529137</v>
      </c>
      <c r="F40" s="31">
        <f t="shared" si="1"/>
        <v>124.62416859668127</v>
      </c>
      <c r="G40" s="31">
        <f t="shared" si="1"/>
        <v>125.08647289477355</v>
      </c>
      <c r="H40" s="31">
        <f t="shared" si="1"/>
        <v>138.20178827507127</v>
      </c>
      <c r="I40" s="31">
        <f t="shared" si="1"/>
        <v>148.4604090777818</v>
      </c>
      <c r="J40" s="31">
        <f t="shared" si="1"/>
        <v>158.11796873311781</v>
      </c>
      <c r="K40" s="31">
        <f t="shared" si="1"/>
        <v>168.44724122636623</v>
      </c>
      <c r="L40" s="31">
        <f t="shared" si="1"/>
        <v>179.68593176811564</v>
      </c>
      <c r="M40" s="31">
        <f t="shared" si="1"/>
        <v>192.37548642980241</v>
      </c>
      <c r="N40" s="31">
        <f t="shared" si="1"/>
        <v>206.43316024520891</v>
      </c>
      <c r="O40" s="31">
        <f t="shared" si="1"/>
        <v>221.86148113885758</v>
      </c>
      <c r="P40" s="31">
        <f t="shared" si="1"/>
        <v>238.59395914536151</v>
      </c>
      <c r="Q40" s="31">
        <f>Q13*10^15/$C$37/10^9</f>
        <v>255.69526382906921</v>
      </c>
      <c r="R40" s="31">
        <f t="shared" si="1"/>
        <v>273.59232333676334</v>
      </c>
      <c r="S40" s="31">
        <f t="shared" si="1"/>
        <v>291.92730963216155</v>
      </c>
      <c r="T40" s="31">
        <f t="shared" si="1"/>
        <v>310.23876044618839</v>
      </c>
      <c r="U40" s="31">
        <f t="shared" si="1"/>
        <v>328.09374480118919</v>
      </c>
      <c r="V40" s="31">
        <f t="shared" si="1"/>
        <v>345.6905285140972</v>
      </c>
      <c r="W40" s="31">
        <f t="shared" si="1"/>
        <v>363.80148340808836</v>
      </c>
      <c r="X40" s="31">
        <f t="shared" si="1"/>
        <v>381.95486333585427</v>
      </c>
      <c r="Y40" s="31">
        <f t="shared" si="1"/>
        <v>400.08751795635709</v>
      </c>
      <c r="Z40" s="31">
        <f t="shared" si="1"/>
        <v>418.87495854591305</v>
      </c>
      <c r="AA40" s="31">
        <f t="shared" si="1"/>
        <v>438.30072502905449</v>
      </c>
      <c r="AB40" s="31">
        <f t="shared" si="1"/>
        <v>458.33669659345139</v>
      </c>
      <c r="AC40" s="31">
        <f>AC13*10^15/$C$37/10^9</f>
        <v>479.4557540978526</v>
      </c>
    </row>
    <row r="42" spans="2:29">
      <c r="C42">
        <v>2025</v>
      </c>
      <c r="D42">
        <f>C42+5</f>
        <v>2030</v>
      </c>
      <c r="E42">
        <v>2035</v>
      </c>
      <c r="F42">
        <v>2040</v>
      </c>
      <c r="G42">
        <v>2050</v>
      </c>
    </row>
    <row r="43" spans="2:29">
      <c r="B43" t="s">
        <v>101</v>
      </c>
      <c r="C43" s="31">
        <f>HLOOKUP(C42,$C$39:$AC$40,2,FALSE)</f>
        <v>125.80087300006551</v>
      </c>
      <c r="D43" s="31">
        <f t="shared" ref="D43:G43" si="2">HLOOKUP(D42,$C$39:$AC$40,2,FALSE)</f>
        <v>148.4604090777818</v>
      </c>
      <c r="E43" s="31">
        <f t="shared" si="2"/>
        <v>206.43316024520891</v>
      </c>
      <c r="F43" s="31">
        <f t="shared" si="2"/>
        <v>291.92730963216155</v>
      </c>
      <c r="G43" s="31">
        <f t="shared" si="2"/>
        <v>479.4557540978526</v>
      </c>
    </row>
    <row r="44" spans="2:29" ht="30.6" customHeight="1" thickBot="1"/>
    <row r="45" spans="2:29" ht="45.6" thickBot="1">
      <c r="B45">
        <v>2035</v>
      </c>
      <c r="C45" s="32" t="s">
        <v>102</v>
      </c>
      <c r="D45" s="33" t="s">
        <v>103</v>
      </c>
    </row>
    <row r="46" spans="2:29" ht="16.2" thickTop="1" thickBot="1">
      <c r="B46" s="34" t="s">
        <v>104</v>
      </c>
      <c r="C46" s="35">
        <v>0</v>
      </c>
      <c r="D46" s="35">
        <v>693</v>
      </c>
    </row>
    <row r="47" spans="2:29" ht="15.6" thickBot="1">
      <c r="B47" s="36" t="s">
        <v>105</v>
      </c>
      <c r="C47" s="37">
        <v>233</v>
      </c>
      <c r="D47" s="37">
        <v>422</v>
      </c>
    </row>
    <row r="48" spans="2:29" ht="15.6" thickBot="1">
      <c r="B48" s="34" t="s">
        <v>106</v>
      </c>
      <c r="C48" s="35">
        <v>4769</v>
      </c>
      <c r="D48" s="35">
        <v>4865</v>
      </c>
    </row>
    <row r="62" spans="2:29">
      <c r="B62" t="s">
        <v>111</v>
      </c>
      <c r="C62" s="6">
        <v>2024</v>
      </c>
      <c r="D62" s="6">
        <v>2025</v>
      </c>
      <c r="E62" s="6">
        <v>2026</v>
      </c>
      <c r="F62" s="6">
        <v>2027</v>
      </c>
      <c r="G62" s="6">
        <v>2028</v>
      </c>
      <c r="H62" s="6">
        <v>2029</v>
      </c>
      <c r="I62" s="6">
        <v>2030</v>
      </c>
      <c r="J62" s="6">
        <v>2031</v>
      </c>
      <c r="K62" s="6">
        <v>2032</v>
      </c>
      <c r="L62" s="6">
        <v>2033</v>
      </c>
      <c r="M62" s="6">
        <v>2034</v>
      </c>
      <c r="N62" s="6">
        <v>2035</v>
      </c>
      <c r="O62" s="6">
        <v>2036</v>
      </c>
      <c r="P62" s="6">
        <v>2037</v>
      </c>
      <c r="Q62" s="6">
        <v>2038</v>
      </c>
      <c r="R62" s="6">
        <v>2039</v>
      </c>
      <c r="S62" s="6">
        <v>2040</v>
      </c>
      <c r="T62" s="6">
        <v>2041</v>
      </c>
      <c r="U62" s="6">
        <v>2042</v>
      </c>
      <c r="V62" s="6">
        <v>2043</v>
      </c>
      <c r="W62" s="6">
        <v>2044</v>
      </c>
      <c r="X62" s="6">
        <v>2045</v>
      </c>
      <c r="Y62" s="6">
        <v>2046</v>
      </c>
      <c r="Z62" s="6">
        <v>2047</v>
      </c>
      <c r="AA62" s="6">
        <v>2048</v>
      </c>
      <c r="AB62" s="6">
        <v>2049</v>
      </c>
      <c r="AC62" s="6">
        <v>2050</v>
      </c>
    </row>
    <row r="63" spans="2:29">
      <c r="B63" t="s">
        <v>112</v>
      </c>
      <c r="C63" s="24">
        <f>'AEO 2023 Table 5'!B59</f>
        <v>2.6710289999999999</v>
      </c>
      <c r="D63" s="24">
        <f>'AEO 2023 Table 5'!C59</f>
        <v>2.6960129999999998</v>
      </c>
      <c r="E63" s="24">
        <f>'AEO 2023 Table 5'!D59</f>
        <v>2.675408</v>
      </c>
      <c r="F63" s="24">
        <f>'AEO 2023 Table 5'!E59</f>
        <v>2.6633070000000001</v>
      </c>
      <c r="G63" s="24">
        <f>'AEO 2023 Table 5'!F59</f>
        <v>2.6626829999999999</v>
      </c>
      <c r="H63" s="24">
        <f>'AEO 2023 Table 5'!G59</f>
        <v>2.6595630000000003</v>
      </c>
      <c r="I63" s="24">
        <f>'AEO 2023 Table 5'!H59</f>
        <v>2.680577</v>
      </c>
      <c r="J63" s="24">
        <f>'AEO 2023 Table 5'!I59</f>
        <v>2.703246</v>
      </c>
      <c r="K63" s="24">
        <f>'AEO 2023 Table 5'!J59</f>
        <v>2.7267960000000002</v>
      </c>
      <c r="L63" s="24">
        <f>'AEO 2023 Table 5'!K59</f>
        <v>2.751919</v>
      </c>
      <c r="M63" s="24">
        <f>'AEO 2023 Table 5'!L59</f>
        <v>2.7775219999999998</v>
      </c>
      <c r="N63" s="24">
        <f>'AEO 2023 Table 5'!M59</f>
        <v>2.8011279999999998</v>
      </c>
      <c r="O63" s="24">
        <f>'AEO 2023 Table 5'!N59</f>
        <v>2.8238590000000001</v>
      </c>
      <c r="P63" s="24">
        <f>'AEO 2023 Table 5'!O59</f>
        <v>2.846749</v>
      </c>
      <c r="Q63" s="24">
        <f>'AEO 2023 Table 5'!P59</f>
        <v>2.870663</v>
      </c>
      <c r="R63" s="24">
        <f>'AEO 2023 Table 5'!Q59</f>
        <v>2.8931719999999999</v>
      </c>
      <c r="S63" s="24">
        <f>'AEO 2023 Table 5'!R59</f>
        <v>2.915991</v>
      </c>
      <c r="T63" s="24">
        <f>'AEO 2023 Table 5'!S59</f>
        <v>2.938752</v>
      </c>
      <c r="U63" s="24">
        <f>'AEO 2023 Table 5'!T59</f>
        <v>2.9616280000000001</v>
      </c>
      <c r="V63" s="24">
        <f>'AEO 2023 Table 5'!U59</f>
        <v>2.9858180000000001</v>
      </c>
      <c r="W63" s="24">
        <f>'AEO 2023 Table 5'!V59</f>
        <v>3.0115660000000002</v>
      </c>
      <c r="X63" s="24">
        <f>'AEO 2023 Table 5'!W59</f>
        <v>3.0393680000000001</v>
      </c>
      <c r="Y63" s="24">
        <f>'AEO 2023 Table 5'!X59</f>
        <v>3.0680190000000001</v>
      </c>
      <c r="Z63" s="24">
        <f>'AEO 2023 Table 5'!Y59</f>
        <v>3.0990739999999999</v>
      </c>
      <c r="AA63" s="24">
        <f>'AEO 2023 Table 5'!Z59</f>
        <v>3.1321919999999999</v>
      </c>
      <c r="AB63" s="24">
        <f>'AEO 2023 Table 5'!AA59</f>
        <v>3.1671480000000001</v>
      </c>
      <c r="AC63" s="24">
        <f>'AEO 2023 Table 5'!AB59</f>
        <v>3.2043090000000003</v>
      </c>
    </row>
    <row r="64" spans="2:29">
      <c r="B64" t="s">
        <v>113</v>
      </c>
      <c r="C64" s="24">
        <f>'AEO 2025 Table 5'!B59</f>
        <v>2.9867523014545441</v>
      </c>
      <c r="D64" s="24">
        <f>'AEO 2025 Table 5'!C59</f>
        <v>3.0925395786762238</v>
      </c>
      <c r="E64" s="24">
        <f>'AEO 2025 Table 5'!D59</f>
        <v>3.0572723746299744</v>
      </c>
      <c r="F64" s="24">
        <f>'AEO 2025 Table 5'!E59</f>
        <v>3.0847806632518768</v>
      </c>
      <c r="G64" s="24">
        <f>'AEO 2025 Table 5'!F59</f>
        <v>3.1073720455169673</v>
      </c>
      <c r="H64" s="24">
        <f>'AEO 2025 Table 5'!G59</f>
        <v>3.1747905015945435</v>
      </c>
      <c r="I64" s="24">
        <f>'AEO 2025 Table 5'!H59</f>
        <v>3.2333429157733917</v>
      </c>
      <c r="J64" s="24">
        <f>'AEO 2025 Table 5'!I59</f>
        <v>3.2914175093173981</v>
      </c>
      <c r="K64" s="24">
        <f>'AEO 2025 Table 5'!J59</f>
        <v>3.3522639870643616</v>
      </c>
      <c r="L64" s="24">
        <f>'AEO 2025 Table 5'!K59</f>
        <v>3.4142163991928105</v>
      </c>
      <c r="M64" s="24">
        <f>'AEO 2025 Table 5'!L59</f>
        <v>3.4802441596984859</v>
      </c>
      <c r="N64" s="24">
        <f>'AEO 2025 Table 5'!M59</f>
        <v>3.5510989427566528</v>
      </c>
      <c r="O64" s="24">
        <f>'AEO 2025 Table 5'!N59</f>
        <v>3.627654373645782</v>
      </c>
      <c r="P64" s="24">
        <f>'AEO 2025 Table 5'!O59</f>
        <v>3.7072545886039734</v>
      </c>
      <c r="Q64" s="24">
        <f>'AEO 2025 Table 5'!P59</f>
        <v>3.7884232401847839</v>
      </c>
      <c r="R64" s="24">
        <f>'AEO 2025 Table 5'!Q59</f>
        <v>3.8722490072250366</v>
      </c>
      <c r="S64" s="24">
        <f>'AEO 2025 Table 5'!R59</f>
        <v>3.9576839804649353</v>
      </c>
      <c r="T64" s="24">
        <f>'AEO 2025 Table 5'!S59</f>
        <v>4.044352650642395</v>
      </c>
      <c r="U64" s="24">
        <f>'AEO 2025 Table 5'!T59</f>
        <v>4.1310218572616577</v>
      </c>
      <c r="V64" s="24">
        <f>'AEO 2025 Table 5'!U59</f>
        <v>4.2188640832901001</v>
      </c>
      <c r="W64" s="24">
        <f>'AEO 2025 Table 5'!V59</f>
        <v>4.3093096613883972</v>
      </c>
      <c r="X64" s="24">
        <f>'AEO 2025 Table 5'!W59</f>
        <v>4.4023039937019348</v>
      </c>
      <c r="Y64" s="24">
        <f>'AEO 2025 Table 5'!X59</f>
        <v>4.4972906112670898</v>
      </c>
      <c r="Z64" s="24">
        <f>'AEO 2025 Table 5'!Y59</f>
        <v>4.5963493585586548</v>
      </c>
      <c r="AA64" s="24">
        <f>'AEO 2025 Table 5'!Z59</f>
        <v>4.6997910737991342</v>
      </c>
      <c r="AB64" s="24">
        <f>'AEO 2025 Table 5'!AA59</f>
        <v>4.8069868087768555</v>
      </c>
      <c r="AC64" s="24">
        <f>'AEO 2025 Table 5'!AB59</f>
        <v>4.9200910329818726</v>
      </c>
    </row>
  </sheetData>
  <conditionalFormatting sqref="C1:AC1">
    <cfRule type="notContainsBlanks" dxfId="2" priority="4">
      <formula>LEN(TRIM(C1))&gt;0</formula>
    </cfRule>
  </conditionalFormatting>
  <conditionalFormatting sqref="C2:AC11">
    <cfRule type="colorScale" priority="3">
      <colorScale>
        <cfvo type="min"/>
        <cfvo type="max"/>
        <color rgb="FFFCFCFF"/>
        <color rgb="FF63BE7B"/>
      </colorScale>
    </cfRule>
  </conditionalFormatting>
  <conditionalFormatting sqref="C39:AC39">
    <cfRule type="notContainsBlanks" dxfId="1" priority="2">
      <formula>LEN(TRIM(C39))&gt;0</formula>
    </cfRule>
  </conditionalFormatting>
  <conditionalFormatting sqref="C62:AC62">
    <cfRule type="notContainsBlanks" dxfId="0" priority="1">
      <formula>LEN(TRIM(C62))&gt;0</formula>
    </cfRule>
  </conditionalFormatting>
  <hyperlinks>
    <hyperlink ref="AB19" r:id="rId1" xr:uid="{82294DB7-CBD2-462B-A7A2-4536E3884D47}"/>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047CD-7CCB-4F9C-AF6A-5EF62554D35B}">
  <dimension ref="A2:AE7"/>
  <sheetViews>
    <sheetView topLeftCell="A12" workbookViewId="0">
      <selection activeCell="D14" sqref="D14"/>
    </sheetView>
  </sheetViews>
  <sheetFormatPr defaultRowHeight="14.4"/>
  <cols>
    <col min="1" max="1" width="19.21875" customWidth="1"/>
  </cols>
  <sheetData>
    <row r="2" spans="1:31" ht="15" thickBot="1"/>
    <row r="3" spans="1:31">
      <c r="A3" s="40" t="s">
        <v>121</v>
      </c>
      <c r="B3" s="42" t="s">
        <v>5</v>
      </c>
      <c r="C3" s="43">
        <v>2022</v>
      </c>
      <c r="D3" s="43">
        <v>2023</v>
      </c>
      <c r="E3" s="43">
        <v>2024</v>
      </c>
      <c r="F3" s="43">
        <v>2025</v>
      </c>
      <c r="G3" s="43">
        <v>2026</v>
      </c>
      <c r="H3" s="43">
        <v>2027</v>
      </c>
      <c r="I3" s="43">
        <v>2028</v>
      </c>
      <c r="J3" s="43">
        <v>2029</v>
      </c>
      <c r="K3" s="43">
        <v>2030</v>
      </c>
      <c r="L3" s="43">
        <v>2031</v>
      </c>
      <c r="M3" s="43">
        <v>2032</v>
      </c>
      <c r="N3" s="43">
        <v>2033</v>
      </c>
      <c r="O3" s="43">
        <v>2034</v>
      </c>
      <c r="P3" s="44">
        <v>2035</v>
      </c>
      <c r="Q3">
        <f>P3+1</f>
        <v>2036</v>
      </c>
      <c r="R3">
        <f t="shared" ref="R3:AE3" si="0">Q3+1</f>
        <v>2037</v>
      </c>
      <c r="S3">
        <f t="shared" si="0"/>
        <v>2038</v>
      </c>
      <c r="T3">
        <f t="shared" si="0"/>
        <v>2039</v>
      </c>
      <c r="U3">
        <f t="shared" si="0"/>
        <v>2040</v>
      </c>
      <c r="V3">
        <f t="shared" si="0"/>
        <v>2041</v>
      </c>
      <c r="W3">
        <f t="shared" si="0"/>
        <v>2042</v>
      </c>
      <c r="X3">
        <f t="shared" si="0"/>
        <v>2043</v>
      </c>
      <c r="Y3">
        <f t="shared" si="0"/>
        <v>2044</v>
      </c>
      <c r="Z3">
        <f t="shared" si="0"/>
        <v>2045</v>
      </c>
      <c r="AA3">
        <f t="shared" si="0"/>
        <v>2046</v>
      </c>
      <c r="AB3">
        <f t="shared" si="0"/>
        <v>2047</v>
      </c>
      <c r="AC3">
        <f t="shared" si="0"/>
        <v>2048</v>
      </c>
      <c r="AD3">
        <f t="shared" si="0"/>
        <v>2049</v>
      </c>
      <c r="AE3">
        <f t="shared" si="0"/>
        <v>2050</v>
      </c>
    </row>
    <row r="4" spans="1:31">
      <c r="A4" s="48">
        <f>SLOPE(F4:P4,F$3:P$3)</f>
        <v>30.125</v>
      </c>
      <c r="B4" s="45" t="s">
        <v>114</v>
      </c>
      <c r="C4">
        <v>0</v>
      </c>
      <c r="D4" s="49">
        <v>30.125</v>
      </c>
      <c r="E4" s="49">
        <v>60.25</v>
      </c>
      <c r="F4" s="49">
        <v>90.375</v>
      </c>
      <c r="G4" s="49">
        <v>120.5</v>
      </c>
      <c r="H4" s="49">
        <v>150.625</v>
      </c>
      <c r="I4" s="49">
        <v>180.75</v>
      </c>
      <c r="J4" s="49">
        <v>210.875</v>
      </c>
      <c r="K4" s="49">
        <v>241</v>
      </c>
      <c r="L4" s="49">
        <v>271.125</v>
      </c>
      <c r="M4" s="49">
        <v>301.25</v>
      </c>
      <c r="N4" s="49">
        <v>331.375</v>
      </c>
      <c r="O4" s="49">
        <v>361.5</v>
      </c>
      <c r="P4" s="50">
        <v>391.625</v>
      </c>
      <c r="Q4" s="49">
        <f>P4+$A4/2</f>
        <v>406.6875</v>
      </c>
      <c r="R4" s="49">
        <f>Q4+$A4/2</f>
        <v>421.75</v>
      </c>
      <c r="S4" s="49">
        <f t="shared" ref="S4:AE4" si="1">R4+$A4/2</f>
        <v>436.8125</v>
      </c>
      <c r="T4" s="49">
        <f t="shared" si="1"/>
        <v>451.875</v>
      </c>
      <c r="U4" s="49">
        <f t="shared" si="1"/>
        <v>466.9375</v>
      </c>
      <c r="V4" s="49">
        <f t="shared" si="1"/>
        <v>482</v>
      </c>
      <c r="W4" s="49">
        <f t="shared" si="1"/>
        <v>497.0625</v>
      </c>
      <c r="X4" s="49">
        <f t="shared" si="1"/>
        <v>512.125</v>
      </c>
      <c r="Y4" s="49">
        <f t="shared" si="1"/>
        <v>527.1875</v>
      </c>
      <c r="Z4" s="49">
        <f t="shared" si="1"/>
        <v>542.25</v>
      </c>
      <c r="AA4" s="49">
        <f t="shared" si="1"/>
        <v>557.3125</v>
      </c>
      <c r="AB4" s="49">
        <f t="shared" si="1"/>
        <v>572.375</v>
      </c>
      <c r="AC4" s="49">
        <f t="shared" si="1"/>
        <v>587.4375</v>
      </c>
      <c r="AD4" s="49">
        <f t="shared" si="1"/>
        <v>602.5</v>
      </c>
      <c r="AE4" s="49">
        <f t="shared" si="1"/>
        <v>617.5625</v>
      </c>
    </row>
    <row r="5" spans="1:31">
      <c r="A5" s="48">
        <f>SLOPE(F5:P5,F$3:P$3)</f>
        <v>15.875</v>
      </c>
      <c r="B5" s="45" t="s">
        <v>115</v>
      </c>
      <c r="C5">
        <v>0</v>
      </c>
      <c r="D5" s="49">
        <v>15.875</v>
      </c>
      <c r="E5" s="49">
        <v>31.75</v>
      </c>
      <c r="F5" s="49">
        <v>47.625</v>
      </c>
      <c r="G5" s="49">
        <v>63.5</v>
      </c>
      <c r="H5" s="49">
        <v>79.375</v>
      </c>
      <c r="I5" s="49">
        <v>95.25</v>
      </c>
      <c r="J5" s="49">
        <v>111.125</v>
      </c>
      <c r="K5" s="49">
        <v>127</v>
      </c>
      <c r="L5" s="49">
        <v>142.875</v>
      </c>
      <c r="M5" s="49">
        <v>158.75</v>
      </c>
      <c r="N5" s="49">
        <v>174.625</v>
      </c>
      <c r="O5" s="49">
        <v>190.5</v>
      </c>
      <c r="P5" s="50">
        <v>206.375</v>
      </c>
      <c r="Q5" s="49">
        <f t="shared" ref="Q5:AE6" si="2">P5+$A5/2</f>
        <v>214.3125</v>
      </c>
      <c r="R5" s="49">
        <f t="shared" si="2"/>
        <v>222.25</v>
      </c>
      <c r="S5" s="49">
        <f t="shared" si="2"/>
        <v>230.1875</v>
      </c>
      <c r="T5" s="49">
        <f t="shared" si="2"/>
        <v>238.125</v>
      </c>
      <c r="U5" s="49">
        <f t="shared" si="2"/>
        <v>246.0625</v>
      </c>
      <c r="V5" s="49">
        <f t="shared" si="2"/>
        <v>254</v>
      </c>
      <c r="W5" s="49">
        <f t="shared" si="2"/>
        <v>261.9375</v>
      </c>
      <c r="X5" s="49">
        <f t="shared" si="2"/>
        <v>269.875</v>
      </c>
      <c r="Y5" s="49">
        <f t="shared" si="2"/>
        <v>277.8125</v>
      </c>
      <c r="Z5" s="49">
        <f t="shared" si="2"/>
        <v>285.75</v>
      </c>
      <c r="AA5" s="49">
        <f t="shared" si="2"/>
        <v>293.6875</v>
      </c>
      <c r="AB5" s="49">
        <f t="shared" si="2"/>
        <v>301.625</v>
      </c>
      <c r="AC5" s="49">
        <f t="shared" si="2"/>
        <v>309.5625</v>
      </c>
      <c r="AD5" s="49">
        <f t="shared" si="2"/>
        <v>317.5</v>
      </c>
      <c r="AE5" s="49">
        <f t="shared" si="2"/>
        <v>325.4375</v>
      </c>
    </row>
    <row r="6" spans="1:31" ht="15" thickBot="1">
      <c r="A6" s="48">
        <f>SLOPE(F6:P6,F$3:P$3)</f>
        <v>20.794999999999998</v>
      </c>
      <c r="B6" s="46" t="s">
        <v>116</v>
      </c>
      <c r="C6" s="47">
        <v>0</v>
      </c>
      <c r="D6" s="51">
        <v>20.795000000000002</v>
      </c>
      <c r="E6" s="51">
        <v>41.59</v>
      </c>
      <c r="F6" s="51">
        <v>62.384999999999998</v>
      </c>
      <c r="G6" s="51">
        <v>83.18</v>
      </c>
      <c r="H6" s="51">
        <v>103.97499999999999</v>
      </c>
      <c r="I6" s="51">
        <v>124.77</v>
      </c>
      <c r="J6" s="51">
        <v>145.565</v>
      </c>
      <c r="K6" s="51">
        <v>166.36</v>
      </c>
      <c r="L6" s="51">
        <v>187.155</v>
      </c>
      <c r="M6" s="51">
        <v>207.95</v>
      </c>
      <c r="N6" s="51">
        <v>228.745</v>
      </c>
      <c r="O6" s="51">
        <v>249.54</v>
      </c>
      <c r="P6" s="52">
        <v>270.33499999999998</v>
      </c>
      <c r="Q6" s="49">
        <f t="shared" si="2"/>
        <v>280.73249999999996</v>
      </c>
      <c r="R6" s="49">
        <f t="shared" si="2"/>
        <v>291.12999999999994</v>
      </c>
      <c r="S6" s="49">
        <f t="shared" si="2"/>
        <v>301.52749999999992</v>
      </c>
      <c r="T6" s="49">
        <f t="shared" si="2"/>
        <v>311.9249999999999</v>
      </c>
      <c r="U6" s="49">
        <f t="shared" si="2"/>
        <v>322.32249999999988</v>
      </c>
      <c r="V6" s="49">
        <f t="shared" si="2"/>
        <v>332.71999999999986</v>
      </c>
      <c r="W6" s="49">
        <f t="shared" si="2"/>
        <v>343.11749999999984</v>
      </c>
      <c r="X6" s="49">
        <f t="shared" si="2"/>
        <v>353.51499999999982</v>
      </c>
      <c r="Y6" s="49">
        <f t="shared" si="2"/>
        <v>363.9124999999998</v>
      </c>
      <c r="Z6" s="49">
        <f t="shared" si="2"/>
        <v>374.30999999999977</v>
      </c>
      <c r="AA6" s="49">
        <f t="shared" si="2"/>
        <v>384.70749999999975</v>
      </c>
      <c r="AB6" s="49">
        <f t="shared" si="2"/>
        <v>395.10499999999973</v>
      </c>
      <c r="AC6" s="49">
        <f t="shared" si="2"/>
        <v>405.50249999999971</v>
      </c>
      <c r="AD6" s="49">
        <f t="shared" si="2"/>
        <v>415.89999999999969</v>
      </c>
      <c r="AE6" s="49">
        <f t="shared" si="2"/>
        <v>426.29749999999967</v>
      </c>
    </row>
    <row r="7" spans="1:31">
      <c r="E7" s="53"/>
      <c r="F7" s="53"/>
      <c r="G7" s="53"/>
      <c r="H7" s="53"/>
      <c r="I7" s="53"/>
      <c r="J7" s="53"/>
      <c r="K7" s="53"/>
      <c r="L7" s="53"/>
      <c r="M7" s="53"/>
      <c r="N7" s="53"/>
      <c r="O7" s="53"/>
      <c r="P7" s="53"/>
      <c r="Q7" s="53"/>
      <c r="R7" s="5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C7AF-6089-471C-9D72-4369B72568F5}">
  <sheetPr>
    <tabColor rgb="FF002060"/>
  </sheetPr>
  <dimension ref="A1:AY2"/>
  <sheetViews>
    <sheetView workbookViewId="0">
      <selection sqref="A1:XFD2"/>
    </sheetView>
  </sheetViews>
  <sheetFormatPr defaultRowHeight="14.4"/>
  <cols>
    <col min="1" max="1" width="15.5546875" customWidth="1"/>
  </cols>
  <sheetData>
    <row r="1" spans="1:51">
      <c r="A1" t="s">
        <v>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s="41" customFormat="1">
      <c r="A2" s="41" t="s">
        <v>1</v>
      </c>
      <c r="B2" s="54">
        <v>0</v>
      </c>
      <c r="C2" s="54">
        <v>0</v>
      </c>
      <c r="D2" s="54">
        <v>0</v>
      </c>
      <c r="E2" s="54">
        <v>0</v>
      </c>
      <c r="F2" s="54">
        <v>0</v>
      </c>
      <c r="G2" s="54">
        <v>0</v>
      </c>
      <c r="H2" s="54">
        <v>0</v>
      </c>
      <c r="I2" s="54">
        <v>0</v>
      </c>
      <c r="J2" s="54">
        <v>0</v>
      </c>
      <c r="K2" s="54">
        <v>0</v>
      </c>
      <c r="L2" s="54">
        <v>0</v>
      </c>
      <c r="M2" s="54">
        <v>0</v>
      </c>
      <c r="N2" s="54">
        <v>0</v>
      </c>
      <c r="O2" s="54">
        <v>0</v>
      </c>
      <c r="P2" s="54">
        <v>0</v>
      </c>
      <c r="Q2" s="54">
        <v>0</v>
      </c>
      <c r="R2" s="54">
        <v>0</v>
      </c>
      <c r="S2" s="54">
        <v>0</v>
      </c>
      <c r="T2" s="54">
        <v>0</v>
      </c>
      <c r="U2" s="54">
        <v>0</v>
      </c>
      <c r="V2" s="54">
        <v>0</v>
      </c>
      <c r="W2" s="54">
        <v>0</v>
      </c>
      <c r="X2" s="54">
        <v>0</v>
      </c>
      <c r="Y2" s="54">
        <v>0</v>
      </c>
      <c r="Z2" s="54">
        <v>0</v>
      </c>
      <c r="AA2" s="54">
        <v>0</v>
      </c>
      <c r="AB2" s="54">
        <v>0</v>
      </c>
      <c r="AC2" s="54">
        <v>0</v>
      </c>
      <c r="AD2" s="54">
        <v>0</v>
      </c>
      <c r="AE2" s="54">
        <v>0</v>
      </c>
      <c r="AF2" s="54">
        <v>0</v>
      </c>
      <c r="AG2" s="54">
        <v>0</v>
      </c>
      <c r="AH2" s="54">
        <v>0</v>
      </c>
      <c r="AI2" s="54">
        <v>0</v>
      </c>
      <c r="AJ2" s="54">
        <v>0</v>
      </c>
      <c r="AK2" s="54">
        <v>0</v>
      </c>
      <c r="AL2" s="54">
        <v>0</v>
      </c>
      <c r="AM2" s="54">
        <v>0</v>
      </c>
      <c r="AN2" s="54">
        <v>0</v>
      </c>
      <c r="AO2" s="54">
        <v>0</v>
      </c>
      <c r="AP2" s="54">
        <v>0</v>
      </c>
      <c r="AQ2" s="54">
        <v>0</v>
      </c>
      <c r="AR2" s="54">
        <v>0</v>
      </c>
      <c r="AS2" s="54">
        <v>0</v>
      </c>
      <c r="AT2" s="54">
        <v>0</v>
      </c>
      <c r="AU2" s="54">
        <v>0</v>
      </c>
      <c r="AV2" s="54">
        <v>0</v>
      </c>
      <c r="AW2" s="54">
        <v>0</v>
      </c>
      <c r="AX2" s="54">
        <v>0</v>
      </c>
      <c r="AY2" s="5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7CC6-6156-4D64-A44E-01D101893DEE}">
  <sheetPr>
    <tabColor rgb="FF002060"/>
  </sheetPr>
  <dimension ref="A1:AY2"/>
  <sheetViews>
    <sheetView workbookViewId="0">
      <selection sqref="A1:XFD2"/>
    </sheetView>
  </sheetViews>
  <sheetFormatPr defaultRowHeight="14.4"/>
  <cols>
    <col min="1" max="1" width="15.5546875" customWidth="1"/>
  </cols>
  <sheetData>
    <row r="1" spans="1:51">
      <c r="A1" t="s">
        <v>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s="41" customFormat="1">
      <c r="A2" s="41" t="s">
        <v>1</v>
      </c>
      <c r="B2" s="54">
        <v>0</v>
      </c>
      <c r="C2" s="54">
        <v>0</v>
      </c>
      <c r="D2" s="54">
        <v>0</v>
      </c>
      <c r="E2" s="54">
        <v>0</v>
      </c>
      <c r="F2" s="54">
        <v>0</v>
      </c>
      <c r="G2" s="54">
        <v>0</v>
      </c>
      <c r="H2" s="54">
        <v>0</v>
      </c>
      <c r="I2" s="54">
        <v>0</v>
      </c>
      <c r="J2" s="54">
        <v>0</v>
      </c>
      <c r="K2" s="54">
        <v>0</v>
      </c>
      <c r="L2" s="54">
        <v>0</v>
      </c>
      <c r="M2" s="54">
        <v>0</v>
      </c>
      <c r="N2" s="54">
        <v>0</v>
      </c>
      <c r="O2" s="54">
        <v>0</v>
      </c>
      <c r="P2" s="54">
        <v>0</v>
      </c>
      <c r="Q2" s="54">
        <v>0</v>
      </c>
      <c r="R2" s="54">
        <v>0</v>
      </c>
      <c r="S2" s="54">
        <v>0</v>
      </c>
      <c r="T2" s="54">
        <v>0</v>
      </c>
      <c r="U2" s="54">
        <v>0</v>
      </c>
      <c r="V2" s="54">
        <v>0</v>
      </c>
      <c r="W2" s="54">
        <v>0</v>
      </c>
      <c r="X2" s="54">
        <v>0</v>
      </c>
      <c r="Y2" s="54">
        <v>0</v>
      </c>
      <c r="Z2" s="54">
        <v>0</v>
      </c>
      <c r="AA2" s="54">
        <v>0</v>
      </c>
      <c r="AB2" s="54">
        <v>0</v>
      </c>
      <c r="AC2" s="54">
        <v>0</v>
      </c>
      <c r="AD2" s="54">
        <v>0</v>
      </c>
      <c r="AE2" s="54">
        <v>0</v>
      </c>
      <c r="AF2" s="54">
        <v>0</v>
      </c>
      <c r="AG2" s="54">
        <v>0</v>
      </c>
      <c r="AH2" s="54">
        <v>0</v>
      </c>
      <c r="AI2" s="54">
        <v>0</v>
      </c>
      <c r="AJ2" s="54">
        <v>0</v>
      </c>
      <c r="AK2" s="54">
        <v>0</v>
      </c>
      <c r="AL2" s="54">
        <v>0</v>
      </c>
      <c r="AM2" s="54">
        <v>0</v>
      </c>
      <c r="AN2" s="54">
        <v>0</v>
      </c>
      <c r="AO2" s="54">
        <v>0</v>
      </c>
      <c r="AP2" s="54">
        <v>0</v>
      </c>
      <c r="AQ2" s="54">
        <v>0</v>
      </c>
      <c r="AR2" s="54">
        <v>0</v>
      </c>
      <c r="AS2" s="54">
        <v>0</v>
      </c>
      <c r="AT2" s="54">
        <v>0</v>
      </c>
      <c r="AU2" s="54">
        <v>0</v>
      </c>
      <c r="AV2" s="54">
        <v>0</v>
      </c>
      <c r="AW2" s="54">
        <v>0</v>
      </c>
      <c r="AX2" s="54">
        <v>0</v>
      </c>
      <c r="AY2" s="5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2C6F-1FBE-4489-B976-BAC29E9763D4}">
  <sheetPr>
    <tabColor rgb="FF002060"/>
  </sheetPr>
  <dimension ref="A1:AY2"/>
  <sheetViews>
    <sheetView tabSelected="1" workbookViewId="0">
      <selection activeCell="H11" sqref="H11"/>
    </sheetView>
  </sheetViews>
  <sheetFormatPr defaultRowHeight="14.4"/>
  <cols>
    <col min="1" max="1" width="15.5546875" customWidth="1"/>
  </cols>
  <sheetData>
    <row r="1" spans="1:51">
      <c r="A1" t="s">
        <v>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s="41" customFormat="1">
      <c r="A2" s="41" t="s">
        <v>1</v>
      </c>
      <c r="B2" s="54">
        <v>0</v>
      </c>
      <c r="C2" s="54">
        <v>0</v>
      </c>
      <c r="D2" s="54">
        <v>0</v>
      </c>
      <c r="E2" s="54">
        <v>0</v>
      </c>
      <c r="F2" s="54">
        <v>0</v>
      </c>
      <c r="G2" s="54">
        <v>0</v>
      </c>
      <c r="H2" s="54">
        <v>0</v>
      </c>
      <c r="I2" s="54">
        <v>0</v>
      </c>
      <c r="J2" s="54">
        <v>0</v>
      </c>
      <c r="K2" s="54">
        <v>0</v>
      </c>
      <c r="L2" s="54">
        <v>0</v>
      </c>
      <c r="M2" s="54">
        <v>0</v>
      </c>
      <c r="N2" s="54">
        <v>0</v>
      </c>
      <c r="O2" s="54">
        <v>0</v>
      </c>
      <c r="P2" s="54">
        <v>0</v>
      </c>
      <c r="Q2" s="54">
        <v>0</v>
      </c>
      <c r="R2" s="54">
        <v>0</v>
      </c>
      <c r="S2" s="54">
        <v>0</v>
      </c>
      <c r="T2" s="54">
        <v>0</v>
      </c>
      <c r="U2" s="54">
        <v>0</v>
      </c>
      <c r="V2" s="54">
        <v>0</v>
      </c>
      <c r="W2" s="54">
        <v>0</v>
      </c>
      <c r="X2" s="54">
        <v>0</v>
      </c>
      <c r="Y2" s="54">
        <v>0</v>
      </c>
      <c r="Z2" s="54">
        <v>0</v>
      </c>
      <c r="AA2" s="54">
        <v>0</v>
      </c>
      <c r="AB2" s="54">
        <v>0</v>
      </c>
      <c r="AC2" s="54">
        <v>0</v>
      </c>
      <c r="AD2" s="54">
        <v>0</v>
      </c>
      <c r="AE2" s="54">
        <v>0</v>
      </c>
      <c r="AF2" s="54">
        <v>0</v>
      </c>
      <c r="AG2" s="54">
        <v>0</v>
      </c>
      <c r="AH2" s="54">
        <v>0</v>
      </c>
      <c r="AI2" s="54">
        <v>0</v>
      </c>
      <c r="AJ2" s="54">
        <v>0</v>
      </c>
      <c r="AK2" s="54">
        <v>0</v>
      </c>
      <c r="AL2" s="54">
        <v>0</v>
      </c>
      <c r="AM2" s="54">
        <v>0</v>
      </c>
      <c r="AN2" s="54">
        <v>0</v>
      </c>
      <c r="AO2" s="54">
        <v>0</v>
      </c>
      <c r="AP2" s="54">
        <v>0</v>
      </c>
      <c r="AQ2" s="54">
        <v>0</v>
      </c>
      <c r="AR2" s="54">
        <v>0</v>
      </c>
      <c r="AS2" s="54">
        <v>0</v>
      </c>
      <c r="AT2" s="54">
        <v>0</v>
      </c>
      <c r="AU2" s="54">
        <v>0</v>
      </c>
      <c r="AV2" s="54">
        <v>0</v>
      </c>
      <c r="AW2" s="54">
        <v>0</v>
      </c>
      <c r="AX2" s="54">
        <v>0</v>
      </c>
      <c r="AY2" s="5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AEO 2025 Table 5</vt:lpstr>
      <vt:lpstr>AEO 2023 Table 5</vt:lpstr>
      <vt:lpstr>Compare AEO Projections</vt:lpstr>
      <vt:lpstr>Rhodium Group Projections</vt:lpstr>
      <vt:lpstr>BDCL-low</vt:lpstr>
      <vt:lpstr>BDCL-mid</vt:lpstr>
      <vt:lpstr>BDCL-high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Trevisan</dc:creator>
  <cp:lastModifiedBy>Rachel Goldstein</cp:lastModifiedBy>
  <dcterms:created xsi:type="dcterms:W3CDTF">2015-06-05T18:17:20Z</dcterms:created>
  <dcterms:modified xsi:type="dcterms:W3CDTF">2025-10-27T20:25:11Z</dcterms:modified>
</cp:coreProperties>
</file>