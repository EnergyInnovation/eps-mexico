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09"/>
  <workbookPr defaultThemeVersion="124226"/>
  <mc:AlternateContent xmlns:mc="http://schemas.openxmlformats.org/markup-compatibility/2006">
    <mc:Choice Requires="x15">
      <x15ac:absPath xmlns:x15ac="http://schemas.microsoft.com/office/spreadsheetml/2010/11/ac" url="C:\Users\Rod\Downloads\MX\FoBObE\"/>
    </mc:Choice>
  </mc:AlternateContent>
  <xr:revisionPtr revIDLastSave="0" documentId="13_ncr:1_{A39513CA-5F4C-4DD0-89DC-024E7C760305}" xr6:coauthVersionLast="47" xr6:coauthVersionMax="47" xr10:uidLastSave="{00000000-0000-0000-0000-000000000000}"/>
  <bookViews>
    <workbookView xWindow="-120" yWindow="-120" windowWidth="20730" windowHeight="11040" firstSheet="4" activeTab="4" xr2:uid="{00000000-000D-0000-FFFF-FFFF00000000}"/>
  </bookViews>
  <sheets>
    <sheet name="About" sheetId="1" r:id="rId1"/>
    <sheet name="Residential" sheetId="2" r:id="rId2"/>
    <sheet name="Commercial" sheetId="3" r:id="rId3"/>
    <sheet name="MEX Split" sheetId="5" r:id="rId4"/>
    <sheet name="FoBObE" sheetId="4" r:id="rId5"/>
  </sheets>
  <definedNames>
    <definedName name="outputfrac_bio">#REF!</definedName>
    <definedName name="outputfrac_coal">#REF!</definedName>
    <definedName name="outputfrac_elec">#REF!</definedName>
    <definedName name="outputfrac_ngps">#REF!</definedName>
    <definedName name="outputfrac_nonenergy">#REF!</definedName>
    <definedName name="outputfrac_oth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5" l="1"/>
  <c r="H3" i="5" s="1"/>
  <c r="H4" i="5" l="1"/>
  <c r="G3" i="5" l="1"/>
  <c r="D2" i="4" s="1"/>
  <c r="G4" i="5"/>
  <c r="D3" i="4" s="1"/>
  <c r="C4" i="5"/>
  <c r="C3" i="5" l="1"/>
  <c r="C5" i="5" s="1"/>
  <c r="D4" i="5" s="1"/>
  <c r="B4" i="4" s="1"/>
  <c r="C5" i="4"/>
  <c r="D3" i="5" l="1"/>
  <c r="B2" i="4" s="1"/>
  <c r="D4" i="4"/>
  <c r="C21" i="3" l="1"/>
  <c r="C20" i="3"/>
  <c r="G31" i="2"/>
  <c r="C24" i="2"/>
  <c r="C23" i="2"/>
  <c r="C34" i="2" s="1"/>
  <c r="C2" i="4" s="1"/>
  <c r="C21" i="2"/>
  <c r="B24" i="2"/>
  <c r="B21" i="2"/>
  <c r="B22" i="2"/>
  <c r="B23" i="2"/>
  <c r="B20" i="2"/>
  <c r="C36" i="2" l="1"/>
  <c r="C4" i="4" s="1"/>
  <c r="C25" i="2"/>
  <c r="C35" i="2"/>
  <c r="C3" i="4" l="1"/>
</calcChain>
</file>

<file path=xl/sharedStrings.xml><?xml version="1.0" encoding="utf-8"?>
<sst xmlns="http://schemas.openxmlformats.org/spreadsheetml/2006/main" count="90" uniqueCount="74">
  <si>
    <t>FoBObE Fraction of Buildings Owned by Entity</t>
  </si>
  <si>
    <t>Sources:</t>
  </si>
  <si>
    <t>Residential &amp; Commercial</t>
  </si>
  <si>
    <t>SENER - SIE Sistema de Información energética</t>
  </si>
  <si>
    <t>Balance Nacional de Energía (BNE)</t>
  </si>
  <si>
    <t>https://www.gob.mx/cms/uploads/attachment/file/977268/Balance_Nacional_de_Energ_a_2023.FINAL06.02.2025.1.pdf</t>
  </si>
  <si>
    <t>Notes</t>
  </si>
  <si>
    <t>In the output tab, we show more decimal places than the source data</t>
  </si>
  <si>
    <t>provide in order to avoid rounding error in Vensim (each column must</t>
  </si>
  <si>
    <t>add to 1).</t>
  </si>
  <si>
    <t>Residential</t>
  </si>
  <si>
    <t>2.1.14</t>
  </si>
  <si>
    <t>2005 Residential Delivered Energy Consumption Intensities, by Ownership of Unit</t>
  </si>
  <si>
    <t>Per Square</t>
  </si>
  <si>
    <t>Per Household</t>
  </si>
  <si>
    <t>Percent of</t>
  </si>
  <si>
    <t>Ownership</t>
  </si>
  <si>
    <t>Foot (thousand Btu)</t>
  </si>
  <si>
    <t>(1)</t>
  </si>
  <si>
    <t>(million Btu)</t>
  </si>
  <si>
    <t>Members (million Btu)</t>
  </si>
  <si>
    <t>Total Consumption</t>
  </si>
  <si>
    <t>Owned</t>
  </si>
  <si>
    <t>Rented</t>
  </si>
  <si>
    <t>Public Housing</t>
  </si>
  <si>
    <t>Not Public Housing</t>
  </si>
  <si>
    <t>Note(s):</t>
  </si>
  <si>
    <t>1) Energy consumption per square foot was calculated using estimates of average heated floor space per household. According to the 2005 Residential Energy Consumption Survey (RECS), the average heated floor space per household in the U.S. was 1,618 square feet. Average total floor space, which includes garages, attics and unfinished basements, equaled 2,309 square feet.</t>
  </si>
  <si>
    <t>Source(s):</t>
  </si>
  <si>
    <t>EIA, 2005 Residential Energy Consumption Survey, Oct. 2008</t>
  </si>
  <si>
    <t>Converting percentage of energy consumption (by ownership) to percentage of floor area (by ownership):</t>
  </si>
  <si>
    <t>Floor Area</t>
  </si>
  <si>
    <t>Assumptions:</t>
  </si>
  <si>
    <t>All owner-occupied housing belongs to consumers.</t>
  </si>
  <si>
    <t>All public housing belongs to government.</t>
  </si>
  <si>
    <t>Fraction of rental housing that is owned by an individual (consumers):</t>
  </si>
  <si>
    <t>Fraction of rental housing that is owned by a company (industry):</t>
  </si>
  <si>
    <t>government</t>
  </si>
  <si>
    <t>industry</t>
  </si>
  <si>
    <t>consumers</t>
  </si>
  <si>
    <t>Commercial</t>
  </si>
  <si>
    <t>3.2.3</t>
  </si>
  <si>
    <t>Number of Floors and Type of Ownership, as of 2003 (Percent of Total Floorspace)</t>
  </si>
  <si>
    <t>Floors</t>
  </si>
  <si>
    <t>One</t>
  </si>
  <si>
    <t>Nongovernment Owned</t>
  </si>
  <si>
    <t>Two</t>
  </si>
  <si>
    <t>Owner-Occupied</t>
  </si>
  <si>
    <t>Three</t>
  </si>
  <si>
    <t>Nonowner-Occupied</t>
  </si>
  <si>
    <t>Four to Nine</t>
  </si>
  <si>
    <t>Unoccupied</t>
  </si>
  <si>
    <t>Ten or More</t>
  </si>
  <si>
    <t>Government Owned</t>
  </si>
  <si>
    <t>Total</t>
  </si>
  <si>
    <t>Federal</t>
  </si>
  <si>
    <t>State</t>
  </si>
  <si>
    <t>Local</t>
  </si>
  <si>
    <t>EIA, Commercial Building Characteristics 2003, June 2006, Table C1.</t>
  </si>
  <si>
    <t>SPLIT EDIFICIOS RESIDENCIALES</t>
  </si>
  <si>
    <t>SPLIT EDIFICIOS COMERCIALES</t>
  </si>
  <si>
    <t>PUBLICO</t>
  </si>
  <si>
    <t>PRIVADO</t>
  </si>
  <si>
    <t>TOTAL</t>
  </si>
  <si>
    <t>Balance Nacional de Energía 2017-2019</t>
  </si>
  <si>
    <t>Residencial</t>
  </si>
  <si>
    <t>Comercial</t>
  </si>
  <si>
    <t>Público</t>
  </si>
  <si>
    <t>Ownership by Cash Flow Entity (dimensionless)</t>
  </si>
  <si>
    <t>Urban Residential</t>
  </si>
  <si>
    <t>Rural Residential</t>
  </si>
  <si>
    <t>domestic industries</t>
  </si>
  <si>
    <t>labor and consumers</t>
  </si>
  <si>
    <t>foreign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</si>
</sst>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00000"/>
  </numFmts>
  <fonts count="12">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sz val="10"/>
      <name val="Arial"/>
      <family val="2"/>
    </font>
    <font>
      <u/>
      <sz val="10"/>
      <name val="Arial"/>
      <family val="2"/>
    </font>
    <font>
      <sz val="9"/>
      <name val="Arial"/>
      <family val="2"/>
    </font>
    <font>
      <sz val="8"/>
      <name val="Arial"/>
      <family val="2"/>
    </font>
    <font>
      <sz val="8"/>
      <color indexed="8"/>
      <name val="Arial"/>
      <family val="2"/>
    </font>
    <font>
      <i/>
      <sz val="11"/>
      <color theme="1"/>
      <name val="Calibri"/>
      <family val="2"/>
      <scheme val="minor"/>
    </font>
    <font>
      <sz val="9.6"/>
      <color rgb="FF00000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6" tint="0.39997558519241921"/>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70">
    <xf numFmtId="0" fontId="0" fillId="0" borderId="0" xfId="0"/>
    <xf numFmtId="0" fontId="2" fillId="0" borderId="0" xfId="0" applyFont="1"/>
    <xf numFmtId="0" fontId="0" fillId="0" borderId="0" xfId="0" applyAlignment="1">
      <alignment horizontal="left"/>
    </xf>
    <xf numFmtId="0" fontId="3" fillId="0" borderId="0" xfId="3"/>
    <xf numFmtId="0" fontId="2" fillId="2" borderId="0" xfId="0" applyFont="1" applyFill="1"/>
    <xf numFmtId="0" fontId="4"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0" xfId="0" applyFont="1"/>
    <xf numFmtId="0" fontId="5" fillId="0" borderId="5" xfId="0" applyFont="1" applyBorder="1"/>
    <xf numFmtId="0" fontId="6" fillId="0" borderId="4" xfId="0" applyFont="1" applyBorder="1" applyAlignment="1">
      <alignment horizontal="left"/>
    </xf>
    <xf numFmtId="0" fontId="5" fillId="0" borderId="0" xfId="0" quotePrefix="1" applyFont="1" applyAlignment="1">
      <alignment horizontal="left"/>
    </xf>
    <xf numFmtId="0" fontId="6" fillId="0" borderId="0" xfId="0" applyFont="1"/>
    <xf numFmtId="0" fontId="5" fillId="0" borderId="4" xfId="0" applyFont="1" applyBorder="1" applyAlignment="1">
      <alignment horizontal="left"/>
    </xf>
    <xf numFmtId="164" fontId="5" fillId="0" borderId="0" xfId="1" applyNumberFormat="1" applyFont="1" applyBorder="1" applyAlignment="1">
      <alignment horizontal="right"/>
    </xf>
    <xf numFmtId="164" fontId="5" fillId="0" borderId="0" xfId="1" applyNumberFormat="1" applyFont="1" applyAlignment="1">
      <alignment horizontal="right"/>
    </xf>
    <xf numFmtId="9" fontId="5" fillId="0" borderId="0" xfId="0" applyNumberFormat="1" applyFont="1" applyAlignment="1">
      <alignment horizontal="right"/>
    </xf>
    <xf numFmtId="0" fontId="5" fillId="0" borderId="4" xfId="0" applyFont="1" applyBorder="1" applyAlignment="1">
      <alignment horizontal="left" indent="1"/>
    </xf>
    <xf numFmtId="9" fontId="5" fillId="0" borderId="0" xfId="0" applyNumberFormat="1" applyFont="1"/>
    <xf numFmtId="9" fontId="6" fillId="0" borderId="0" xfId="0" applyNumberFormat="1" applyFont="1"/>
    <xf numFmtId="9" fontId="4" fillId="0" borderId="0" xfId="0" applyNumberFormat="1" applyFont="1" applyAlignment="1">
      <alignment horizontal="right"/>
    </xf>
    <xf numFmtId="0" fontId="7" fillId="0" borderId="4" xfId="0" applyFont="1" applyBorder="1" applyAlignment="1">
      <alignment horizontal="left" vertical="top"/>
    </xf>
    <xf numFmtId="0" fontId="8" fillId="0" borderId="6" xfId="0" applyFont="1" applyBorder="1" applyAlignment="1">
      <alignment horizontal="left" vertical="top"/>
    </xf>
    <xf numFmtId="0" fontId="0" fillId="0" borderId="0" xfId="0" applyAlignment="1">
      <alignment horizontal="left" indent="1"/>
    </xf>
    <xf numFmtId="165" fontId="0" fillId="0" borderId="0" xfId="2" applyNumberFormat="1" applyFont="1"/>
    <xf numFmtId="0" fontId="0" fillId="3" borderId="0" xfId="0" applyFill="1"/>
    <xf numFmtId="0" fontId="2" fillId="2" borderId="9" xfId="0" applyFont="1" applyFill="1" applyBorder="1"/>
    <xf numFmtId="0" fontId="2" fillId="2" borderId="10" xfId="0" applyFont="1" applyFill="1" applyBorder="1"/>
    <xf numFmtId="0" fontId="0" fillId="4" borderId="11" xfId="0" applyFill="1" applyBorder="1"/>
    <xf numFmtId="0" fontId="0" fillId="4" borderId="13" xfId="0" applyFill="1" applyBorder="1"/>
    <xf numFmtId="165" fontId="0" fillId="4" borderId="12" xfId="0" applyNumberFormat="1" applyFill="1" applyBorder="1" applyAlignment="1">
      <alignment horizontal="left"/>
    </xf>
    <xf numFmtId="165" fontId="0" fillId="4" borderId="12" xfId="2" applyNumberFormat="1" applyFont="1" applyFill="1" applyBorder="1" applyAlignment="1">
      <alignment horizontal="left"/>
    </xf>
    <xf numFmtId="165" fontId="0" fillId="4" borderId="14" xfId="2" applyNumberFormat="1" applyFont="1" applyFill="1" applyBorder="1" applyAlignment="1">
      <alignment horizontal="left"/>
    </xf>
    <xf numFmtId="0" fontId="4" fillId="0" borderId="1" xfId="0" applyFont="1" applyBorder="1" applyAlignment="1">
      <alignment horizontal="left"/>
    </xf>
    <xf numFmtId="0" fontId="4" fillId="0" borderId="2" xfId="0" quotePrefix="1" applyFont="1" applyBorder="1" applyAlignment="1">
      <alignment horizontal="left"/>
    </xf>
    <xf numFmtId="0" fontId="6" fillId="0" borderId="0" xfId="0" applyFont="1" applyAlignment="1">
      <alignment horizontal="left"/>
    </xf>
    <xf numFmtId="0" fontId="6" fillId="0" borderId="5" xfId="0" applyFont="1" applyBorder="1"/>
    <xf numFmtId="9" fontId="5" fillId="0" borderId="0" xfId="2" applyFont="1" applyBorder="1" applyAlignment="1"/>
    <xf numFmtId="0" fontId="4" fillId="0" borderId="0" xfId="0" applyFont="1" applyAlignment="1">
      <alignment horizontal="left"/>
    </xf>
    <xf numFmtId="9" fontId="4" fillId="0" borderId="0" xfId="2" applyFont="1" applyBorder="1" applyAlignment="1"/>
    <xf numFmtId="0" fontId="5" fillId="0" borderId="0" xfId="0" applyFont="1" applyAlignment="1">
      <alignment horizontal="left" indent="1"/>
    </xf>
    <xf numFmtId="0" fontId="5" fillId="0" borderId="6" xfId="0" applyFont="1" applyBorder="1" applyAlignment="1">
      <alignment horizontal="left"/>
    </xf>
    <xf numFmtId="9" fontId="5" fillId="0" borderId="7" xfId="2" applyFont="1" applyBorder="1" applyAlignment="1"/>
    <xf numFmtId="0" fontId="5" fillId="0" borderId="0" xfId="0" applyFont="1" applyAlignment="1">
      <alignment horizontal="left"/>
    </xf>
    <xf numFmtId="0" fontId="5" fillId="0" borderId="7" xfId="0" applyFont="1" applyBorder="1" applyAlignment="1">
      <alignment horizontal="left" indent="1"/>
    </xf>
    <xf numFmtId="0" fontId="8" fillId="0" borderId="6" xfId="0" applyFont="1" applyBorder="1" applyAlignment="1">
      <alignment vertical="top"/>
    </xf>
    <xf numFmtId="0" fontId="2" fillId="0" borderId="0" xfId="0" applyFont="1" applyAlignment="1">
      <alignment horizontal="right"/>
    </xf>
    <xf numFmtId="166" fontId="0" fillId="0" borderId="0" xfId="0" applyNumberFormat="1"/>
    <xf numFmtId="0" fontId="10" fillId="0" borderId="0" xfId="0" applyFont="1" applyAlignment="1">
      <alignment wrapText="1"/>
    </xf>
    <xf numFmtId="0" fontId="2" fillId="2" borderId="15" xfId="0" applyFont="1" applyFill="1" applyBorder="1"/>
    <xf numFmtId="0" fontId="0" fillId="2" borderId="15" xfId="0" applyFill="1" applyBorder="1"/>
    <xf numFmtId="0" fontId="2" fillId="0" borderId="15" xfId="0" applyFont="1" applyBorder="1"/>
    <xf numFmtId="2" fontId="0" fillId="0" borderId="15" xfId="0" applyNumberFormat="1" applyBorder="1"/>
    <xf numFmtId="0" fontId="2" fillId="0" borderId="16" xfId="0" applyFont="1" applyBorder="1"/>
    <xf numFmtId="2" fontId="0" fillId="0" borderId="16" xfId="0" applyNumberFormat="1" applyBorder="1"/>
    <xf numFmtId="0" fontId="0" fillId="0" borderId="17" xfId="0" applyBorder="1"/>
    <xf numFmtId="2" fontId="0" fillId="0" borderId="17" xfId="0" applyNumberFormat="1" applyBorder="1"/>
    <xf numFmtId="0" fontId="11" fillId="0" borderId="0" xfId="0" applyFont="1"/>
    <xf numFmtId="0" fontId="7" fillId="0" borderId="0" xfId="0" applyFont="1" applyAlignment="1">
      <alignment horizontal="left" vertical="top" wrapText="1"/>
    </xf>
    <xf numFmtId="0" fontId="7" fillId="0" borderId="5"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5" fillId="0" borderId="0" xfId="0" applyFont="1" applyAlignment="1">
      <alignment horizontal="center"/>
    </xf>
    <xf numFmtId="0" fontId="5" fillId="0" borderId="5"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9" fillId="0" borderId="7" xfId="0" applyFont="1" applyBorder="1" applyAlignment="1">
      <alignment vertical="top"/>
    </xf>
    <xf numFmtId="0" fontId="9" fillId="0" borderId="8" xfId="0" applyFont="1" applyBorder="1" applyAlignment="1">
      <alignment vertical="top"/>
    </xf>
    <xf numFmtId="0" fontId="4" fillId="0" borderId="2" xfId="0" applyFont="1" applyBorder="1" applyAlignment="1"/>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10" sqref="B10"/>
    </sheetView>
  </sheetViews>
  <sheetFormatPr defaultColWidth="8.85546875" defaultRowHeight="15"/>
  <cols>
    <col min="1" max="1" width="11.7109375" customWidth="1"/>
    <col min="2" max="2" width="67.140625" customWidth="1"/>
    <col min="3" max="3" width="68.42578125" customWidth="1"/>
  </cols>
  <sheetData>
    <row r="1" spans="1:2">
      <c r="A1" s="1" t="s">
        <v>0</v>
      </c>
    </row>
    <row r="4" spans="1:2">
      <c r="A4" s="1" t="s">
        <v>1</v>
      </c>
      <c r="B4" s="4" t="s">
        <v>2</v>
      </c>
    </row>
    <row r="5" spans="1:2">
      <c r="B5" t="s">
        <v>3</v>
      </c>
    </row>
    <row r="6" spans="1:2">
      <c r="B6" s="2">
        <v>2023</v>
      </c>
    </row>
    <row r="7" spans="1:2">
      <c r="B7" t="s">
        <v>4</v>
      </c>
    </row>
    <row r="8" spans="1:2">
      <c r="B8" s="3" t="s">
        <v>5</v>
      </c>
    </row>
    <row r="11" spans="1:2">
      <c r="A11" s="1" t="s">
        <v>6</v>
      </c>
    </row>
    <row r="12" spans="1:2">
      <c r="A12" t="s">
        <v>7</v>
      </c>
    </row>
    <row r="13" spans="1:2">
      <c r="A13" t="s">
        <v>8</v>
      </c>
    </row>
    <row r="14" spans="1:2">
      <c r="A14" t="s">
        <v>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
  <sheetViews>
    <sheetView workbookViewId="0"/>
  </sheetViews>
  <sheetFormatPr defaultColWidth="8.85546875" defaultRowHeight="15"/>
  <cols>
    <col min="2" max="2" width="22.7109375" customWidth="1"/>
    <col min="3" max="3" width="12.7109375" customWidth="1"/>
  </cols>
  <sheetData>
    <row r="1" spans="1:17">
      <c r="A1" s="1" t="s">
        <v>10</v>
      </c>
    </row>
    <row r="3" spans="1:17">
      <c r="A3" s="5" t="s">
        <v>11</v>
      </c>
      <c r="B3" s="69" t="s">
        <v>12</v>
      </c>
      <c r="C3" s="69"/>
      <c r="D3" s="69"/>
      <c r="E3" s="69"/>
      <c r="F3" s="69"/>
      <c r="G3" s="69"/>
      <c r="H3" s="69"/>
      <c r="I3" s="69"/>
      <c r="J3" s="69"/>
      <c r="K3" s="69"/>
      <c r="L3" s="69"/>
      <c r="M3" s="69"/>
      <c r="N3" s="6"/>
      <c r="O3" s="6"/>
      <c r="P3" s="6"/>
      <c r="Q3" s="7"/>
    </row>
    <row r="4" spans="1:17">
      <c r="A4" s="8"/>
      <c r="B4" s="9"/>
      <c r="C4" s="9"/>
      <c r="D4" s="9"/>
      <c r="E4" s="9"/>
      <c r="F4" s="9"/>
      <c r="G4" s="9"/>
      <c r="H4" s="9"/>
      <c r="I4" s="9"/>
      <c r="J4" s="9"/>
      <c r="K4" s="9"/>
      <c r="L4" s="9"/>
      <c r="M4" s="9"/>
      <c r="N4" s="9"/>
      <c r="O4" s="9"/>
      <c r="P4" s="9"/>
      <c r="Q4" s="10"/>
    </row>
    <row r="5" spans="1:17">
      <c r="A5" s="8"/>
      <c r="B5" s="9"/>
      <c r="C5" s="63" t="s">
        <v>13</v>
      </c>
      <c r="D5" s="63"/>
      <c r="E5" s="63"/>
      <c r="F5" s="9"/>
      <c r="G5" s="63" t="s">
        <v>14</v>
      </c>
      <c r="H5" s="63"/>
      <c r="I5" s="63"/>
      <c r="J5" s="9"/>
      <c r="K5" s="63" t="s">
        <v>14</v>
      </c>
      <c r="L5" s="63"/>
      <c r="M5" s="63"/>
      <c r="N5" s="9"/>
      <c r="O5" s="63" t="s">
        <v>15</v>
      </c>
      <c r="P5" s="63"/>
      <c r="Q5" s="64"/>
    </row>
    <row r="6" spans="1:17">
      <c r="A6" s="11" t="s">
        <v>16</v>
      </c>
      <c r="B6" s="9"/>
      <c r="C6" s="65" t="s">
        <v>17</v>
      </c>
      <c r="D6" s="65"/>
      <c r="E6" s="65"/>
      <c r="F6" s="12" t="s">
        <v>18</v>
      </c>
      <c r="G6" s="65" t="s">
        <v>19</v>
      </c>
      <c r="H6" s="65"/>
      <c r="I6" s="65"/>
      <c r="J6" s="9"/>
      <c r="K6" s="65" t="s">
        <v>20</v>
      </c>
      <c r="L6" s="65"/>
      <c r="M6" s="65"/>
      <c r="N6" s="13"/>
      <c r="O6" s="65" t="s">
        <v>21</v>
      </c>
      <c r="P6" s="65"/>
      <c r="Q6" s="66"/>
    </row>
    <row r="7" spans="1:17">
      <c r="A7" s="14" t="s">
        <v>22</v>
      </c>
      <c r="B7" s="9"/>
      <c r="C7" s="9"/>
      <c r="D7" s="15">
        <v>54.92</v>
      </c>
      <c r="E7" s="16"/>
      <c r="F7" s="15"/>
      <c r="G7" s="9"/>
      <c r="H7" s="15">
        <v>104.45</v>
      </c>
      <c r="I7" s="15"/>
      <c r="J7" s="15"/>
      <c r="K7" s="16"/>
      <c r="L7" s="15">
        <v>40.328185328185334</v>
      </c>
      <c r="M7" s="9"/>
      <c r="N7" s="9"/>
      <c r="O7" s="9"/>
      <c r="P7" s="17">
        <v>0.7816091954022989</v>
      </c>
      <c r="Q7" s="10"/>
    </row>
    <row r="8" spans="1:17">
      <c r="A8" s="14" t="s">
        <v>23</v>
      </c>
      <c r="B8" s="9"/>
      <c r="C8" s="9"/>
      <c r="D8" s="15">
        <v>77.42</v>
      </c>
      <c r="E8" s="16"/>
      <c r="F8" s="15"/>
      <c r="G8" s="15"/>
      <c r="H8" s="15">
        <v>71.67</v>
      </c>
      <c r="I8" s="15"/>
      <c r="J8" s="15"/>
      <c r="K8" s="16"/>
      <c r="L8" s="15">
        <v>28.44047619047619</v>
      </c>
      <c r="M8" s="9"/>
      <c r="N8" s="9"/>
      <c r="O8" s="9"/>
      <c r="P8" s="17">
        <v>0.21839080459770113</v>
      </c>
      <c r="Q8" s="10"/>
    </row>
    <row r="9" spans="1:17">
      <c r="A9" s="18" t="s">
        <v>24</v>
      </c>
      <c r="B9" s="9"/>
      <c r="C9" s="9"/>
      <c r="D9" s="15">
        <v>75.709999999999994</v>
      </c>
      <c r="E9" s="16"/>
      <c r="F9" s="15"/>
      <c r="G9" s="15"/>
      <c r="H9" s="15">
        <v>62.67</v>
      </c>
      <c r="I9" s="15"/>
      <c r="J9" s="15"/>
      <c r="K9" s="16"/>
      <c r="L9" s="15">
        <v>28.747706422018346</v>
      </c>
      <c r="M9" s="9"/>
      <c r="N9" s="9"/>
      <c r="O9" s="9"/>
      <c r="P9" s="19">
        <v>2.4904214559386975E-2</v>
      </c>
      <c r="Q9" s="10"/>
    </row>
    <row r="10" spans="1:17">
      <c r="A10" s="18" t="s">
        <v>25</v>
      </c>
      <c r="B10" s="9"/>
      <c r="C10" s="9"/>
      <c r="D10" s="15">
        <v>77.650000000000006</v>
      </c>
      <c r="E10" s="16"/>
      <c r="F10" s="15"/>
      <c r="G10" s="15"/>
      <c r="H10" s="15">
        <v>73.040000000000006</v>
      </c>
      <c r="I10" s="15"/>
      <c r="J10" s="15"/>
      <c r="K10" s="16"/>
      <c r="L10" s="15">
        <v>28.420233463035025</v>
      </c>
      <c r="M10" s="9"/>
      <c r="N10" s="9"/>
      <c r="O10" s="9"/>
      <c r="P10" s="20">
        <v>0.1934865900383142</v>
      </c>
      <c r="Q10" s="10"/>
    </row>
    <row r="11" spans="1:17">
      <c r="A11" s="8"/>
      <c r="B11" s="9"/>
      <c r="C11" s="9"/>
      <c r="D11" s="9"/>
      <c r="E11" s="9"/>
      <c r="F11" s="9"/>
      <c r="G11" s="9"/>
      <c r="H11" s="9"/>
      <c r="I11" s="9"/>
      <c r="J11" s="9"/>
      <c r="K11" s="9"/>
      <c r="L11" s="9"/>
      <c r="M11" s="9"/>
      <c r="N11" s="9"/>
      <c r="O11" s="9"/>
      <c r="P11" s="17">
        <v>1</v>
      </c>
      <c r="Q11" s="10"/>
    </row>
    <row r="12" spans="1:17">
      <c r="A12" s="8"/>
      <c r="B12" s="9"/>
      <c r="C12" s="9"/>
      <c r="D12" s="9"/>
      <c r="E12" s="9"/>
      <c r="F12" s="9"/>
      <c r="G12" s="9"/>
      <c r="H12" s="9"/>
      <c r="I12" s="9"/>
      <c r="J12" s="9"/>
      <c r="K12" s="9"/>
      <c r="L12" s="9"/>
      <c r="M12" s="9"/>
      <c r="N12" s="9"/>
      <c r="O12" s="9"/>
      <c r="P12" s="21"/>
      <c r="Q12" s="10"/>
    </row>
    <row r="13" spans="1:17">
      <c r="A13" s="22" t="s">
        <v>26</v>
      </c>
      <c r="B13" s="59" t="s">
        <v>27</v>
      </c>
      <c r="C13" s="59"/>
      <c r="D13" s="59"/>
      <c r="E13" s="59"/>
      <c r="F13" s="59"/>
      <c r="G13" s="59"/>
      <c r="H13" s="59"/>
      <c r="I13" s="59"/>
      <c r="J13" s="59"/>
      <c r="K13" s="59"/>
      <c r="L13" s="59"/>
      <c r="M13" s="59"/>
      <c r="N13" s="59"/>
      <c r="O13" s="59"/>
      <c r="P13" s="59"/>
      <c r="Q13" s="60"/>
    </row>
    <row r="14" spans="1:17">
      <c r="A14" s="22"/>
      <c r="B14" s="59"/>
      <c r="C14" s="59"/>
      <c r="D14" s="59"/>
      <c r="E14" s="59"/>
      <c r="F14" s="59"/>
      <c r="G14" s="59"/>
      <c r="H14" s="59"/>
      <c r="I14" s="59"/>
      <c r="J14" s="59"/>
      <c r="K14" s="59"/>
      <c r="L14" s="59"/>
      <c r="M14" s="59"/>
      <c r="N14" s="59"/>
      <c r="O14" s="59"/>
      <c r="P14" s="59"/>
      <c r="Q14" s="60"/>
    </row>
    <row r="15" spans="1:17">
      <c r="A15" s="22"/>
      <c r="B15" s="59"/>
      <c r="C15" s="59"/>
      <c r="D15" s="59"/>
      <c r="E15" s="59"/>
      <c r="F15" s="59"/>
      <c r="G15" s="59"/>
      <c r="H15" s="59"/>
      <c r="I15" s="59"/>
      <c r="J15" s="59"/>
      <c r="K15" s="59"/>
      <c r="L15" s="59"/>
      <c r="M15" s="59"/>
      <c r="N15" s="59"/>
      <c r="O15" s="59"/>
      <c r="P15" s="59"/>
      <c r="Q15" s="60"/>
    </row>
    <row r="16" spans="1:17">
      <c r="A16" s="23" t="s">
        <v>28</v>
      </c>
      <c r="B16" s="61" t="s">
        <v>29</v>
      </c>
      <c r="C16" s="61"/>
      <c r="D16" s="61"/>
      <c r="E16" s="61"/>
      <c r="F16" s="61"/>
      <c r="G16" s="61"/>
      <c r="H16" s="61"/>
      <c r="I16" s="61"/>
      <c r="J16" s="61"/>
      <c r="K16" s="61"/>
      <c r="L16" s="61"/>
      <c r="M16" s="61"/>
      <c r="N16" s="61"/>
      <c r="O16" s="61"/>
      <c r="P16" s="61"/>
      <c r="Q16" s="62"/>
    </row>
    <row r="18" spans="1:7">
      <c r="A18" t="s">
        <v>30</v>
      </c>
    </row>
    <row r="20" spans="1:7">
      <c r="B20" s="1" t="str">
        <f>A6</f>
        <v>Ownership</v>
      </c>
      <c r="C20" s="1" t="s">
        <v>31</v>
      </c>
    </row>
    <row r="21" spans="1:7">
      <c r="B21" t="str">
        <f t="shared" ref="B21:B23" si="0">A7</f>
        <v>Owned</v>
      </c>
      <c r="C21" s="25">
        <f>(P7/D7)/SUM(P$7/D$7,P$9/D$9,P$10/D$10)</f>
        <v>0.83458607438155852</v>
      </c>
    </row>
    <row r="22" spans="1:7">
      <c r="B22" t="str">
        <f t="shared" si="0"/>
        <v>Rented</v>
      </c>
      <c r="C22" s="25"/>
    </row>
    <row r="23" spans="1:7">
      <c r="B23" s="24" t="str">
        <f t="shared" si="0"/>
        <v>Public Housing</v>
      </c>
      <c r="C23" s="25">
        <f>(P9/D9)/SUM(P$7/D$7,P$9/D$9,P$10/D$10)</f>
        <v>1.9289972368294446E-2</v>
      </c>
    </row>
    <row r="24" spans="1:7">
      <c r="B24" s="24" t="str">
        <f>A10</f>
        <v>Not Public Housing</v>
      </c>
      <c r="C24" s="25">
        <f>(P10/D10)/SUM(P$7/D$7,P$9/D$9,P$10/D$10)</f>
        <v>0.14612395325014693</v>
      </c>
    </row>
    <row r="25" spans="1:7">
      <c r="C25" s="25">
        <f>SUM(C21:C24)</f>
        <v>0.99999999999999989</v>
      </c>
    </row>
    <row r="27" spans="1:7">
      <c r="A27" s="1" t="s">
        <v>32</v>
      </c>
    </row>
    <row r="28" spans="1:7">
      <c r="B28" t="s">
        <v>33</v>
      </c>
    </row>
    <row r="29" spans="1:7">
      <c r="B29" t="s">
        <v>34</v>
      </c>
    </row>
    <row r="30" spans="1:7">
      <c r="B30" t="s">
        <v>35</v>
      </c>
      <c r="G30" s="26">
        <v>0.75</v>
      </c>
    </row>
    <row r="31" spans="1:7">
      <c r="B31" t="s">
        <v>36</v>
      </c>
      <c r="G31" s="26">
        <f>1-G30</f>
        <v>0.25</v>
      </c>
    </row>
    <row r="32" spans="1:7" ht="15.75" thickBot="1"/>
    <row r="33" spans="2:3">
      <c r="B33" s="27" t="s">
        <v>16</v>
      </c>
      <c r="C33" s="28" t="s">
        <v>31</v>
      </c>
    </row>
    <row r="34" spans="2:3">
      <c r="B34" s="29" t="s">
        <v>37</v>
      </c>
      <c r="C34" s="31">
        <f>C23</f>
        <v>1.9289972368294446E-2</v>
      </c>
    </row>
    <row r="35" spans="2:3">
      <c r="B35" s="29" t="s">
        <v>38</v>
      </c>
      <c r="C35" s="32">
        <f>C24*G31</f>
        <v>3.6530988312536733E-2</v>
      </c>
    </row>
    <row r="36" spans="2:3" ht="15.75" thickBot="1">
      <c r="B36" s="30" t="s">
        <v>39</v>
      </c>
      <c r="C36" s="33">
        <f>C21+(C24*G30)</f>
        <v>0.94417903931916869</v>
      </c>
    </row>
  </sheetData>
  <mergeCells count="11">
    <mergeCell ref="B13:Q15"/>
    <mergeCell ref="B16:Q16"/>
    <mergeCell ref="B3:M3"/>
    <mergeCell ref="C5:E5"/>
    <mergeCell ref="G5:I5"/>
    <mergeCell ref="K5:M5"/>
    <mergeCell ref="O5:Q5"/>
    <mergeCell ref="C6:E6"/>
    <mergeCell ref="G6:I6"/>
    <mergeCell ref="K6:M6"/>
    <mergeCell ref="O6:Q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workbookViewId="0"/>
  </sheetViews>
  <sheetFormatPr defaultColWidth="8.85546875" defaultRowHeight="15"/>
  <cols>
    <col min="2" max="2" width="13.42578125" customWidth="1"/>
    <col min="3" max="3" width="13.28515625" customWidth="1"/>
  </cols>
  <sheetData>
    <row r="1" spans="1:17">
      <c r="A1" s="1" t="s">
        <v>40</v>
      </c>
    </row>
    <row r="3" spans="1:17">
      <c r="A3" s="34" t="s">
        <v>41</v>
      </c>
      <c r="B3" s="35" t="s">
        <v>42</v>
      </c>
      <c r="C3" s="6"/>
      <c r="D3" s="6"/>
      <c r="E3" s="6"/>
      <c r="F3" s="6"/>
      <c r="G3" s="6"/>
      <c r="H3" s="6"/>
      <c r="I3" s="6"/>
      <c r="J3" s="6"/>
      <c r="K3" s="6"/>
      <c r="L3" s="6"/>
      <c r="M3" s="6"/>
      <c r="N3" s="6"/>
      <c r="O3" s="6"/>
      <c r="P3" s="6"/>
      <c r="Q3" s="7"/>
    </row>
    <row r="4" spans="1:17">
      <c r="A4" s="8"/>
      <c r="B4" s="9"/>
      <c r="C4" s="9"/>
      <c r="D4" s="9"/>
      <c r="E4" s="9"/>
      <c r="F4" s="9"/>
      <c r="G4" s="9"/>
      <c r="H4" s="9"/>
      <c r="I4" s="9"/>
      <c r="J4" s="9"/>
      <c r="K4" s="9"/>
      <c r="L4" s="9"/>
      <c r="M4" s="9"/>
      <c r="N4" s="9"/>
      <c r="O4" s="9"/>
      <c r="P4" s="9"/>
      <c r="Q4" s="10"/>
    </row>
    <row r="5" spans="1:17">
      <c r="A5" s="11" t="s">
        <v>43</v>
      </c>
      <c r="B5" s="13"/>
      <c r="C5" s="13"/>
      <c r="D5" s="13"/>
      <c r="E5" s="13"/>
      <c r="F5" s="13"/>
      <c r="G5" s="36" t="s">
        <v>16</v>
      </c>
      <c r="H5" s="13"/>
      <c r="I5" s="13"/>
      <c r="J5" s="13"/>
      <c r="K5" s="13"/>
      <c r="L5" s="9"/>
      <c r="M5" s="9"/>
      <c r="N5" s="9"/>
      <c r="O5" s="9"/>
      <c r="P5" s="9"/>
      <c r="Q5" s="37"/>
    </row>
    <row r="6" spans="1:17">
      <c r="A6" s="14" t="s">
        <v>44</v>
      </c>
      <c r="B6" s="9"/>
      <c r="C6" s="9"/>
      <c r="D6" s="38">
        <v>0.4010403803408249</v>
      </c>
      <c r="E6" s="9"/>
      <c r="F6" s="9"/>
      <c r="G6" s="39" t="s">
        <v>45</v>
      </c>
      <c r="H6" s="9"/>
      <c r="I6" s="9"/>
      <c r="J6" s="9"/>
      <c r="K6" s="40">
        <v>0.76285811311434926</v>
      </c>
      <c r="L6" s="9"/>
      <c r="M6" s="9"/>
      <c r="N6" s="9"/>
      <c r="O6" s="9"/>
      <c r="P6" s="9"/>
      <c r="Q6" s="10"/>
    </row>
    <row r="7" spans="1:17">
      <c r="A7" s="14" t="s">
        <v>46</v>
      </c>
      <c r="B7" s="9"/>
      <c r="C7" s="9"/>
      <c r="D7" s="38">
        <v>0.25114225734749318</v>
      </c>
      <c r="E7" s="9"/>
      <c r="F7" s="9"/>
      <c r="G7" s="41" t="s">
        <v>47</v>
      </c>
      <c r="H7" s="9"/>
      <c r="I7" s="9"/>
      <c r="J7" s="9"/>
      <c r="K7" s="19">
        <v>0.36414855519881451</v>
      </c>
      <c r="L7" s="9"/>
      <c r="M7" s="9"/>
      <c r="N7" s="9"/>
      <c r="O7" s="9"/>
      <c r="P7" s="9"/>
      <c r="Q7" s="10"/>
    </row>
    <row r="8" spans="1:17">
      <c r="A8" s="14" t="s">
        <v>48</v>
      </c>
      <c r="B8" s="9"/>
      <c r="C8" s="9"/>
      <c r="D8" s="38">
        <v>0.11578476166954804</v>
      </c>
      <c r="E8" s="9"/>
      <c r="F8" s="9"/>
      <c r="G8" s="41" t="s">
        <v>49</v>
      </c>
      <c r="H8" s="9"/>
      <c r="I8" s="9"/>
      <c r="J8" s="9"/>
      <c r="K8" s="19">
        <v>0.36913435416152135</v>
      </c>
      <c r="L8" s="9"/>
      <c r="M8" s="9"/>
      <c r="N8" s="9"/>
      <c r="O8" s="9"/>
      <c r="P8" s="9"/>
      <c r="Q8" s="10"/>
    </row>
    <row r="9" spans="1:17">
      <c r="A9" s="14" t="s">
        <v>50</v>
      </c>
      <c r="B9" s="9"/>
      <c r="C9" s="9"/>
      <c r="D9" s="38">
        <v>0.15567115337120277</v>
      </c>
      <c r="E9" s="9"/>
      <c r="F9" s="9"/>
      <c r="G9" s="41" t="s">
        <v>51</v>
      </c>
      <c r="H9" s="9"/>
      <c r="I9" s="9"/>
      <c r="J9" s="9"/>
      <c r="K9" s="19">
        <v>2.9575203754013336E-2</v>
      </c>
      <c r="L9" s="9"/>
      <c r="M9" s="9"/>
      <c r="N9" s="9"/>
      <c r="O9" s="9"/>
      <c r="P9" s="9"/>
      <c r="Q9" s="10"/>
    </row>
    <row r="10" spans="1:17">
      <c r="A10" s="42" t="s">
        <v>52</v>
      </c>
      <c r="B10" s="9"/>
      <c r="C10" s="9"/>
      <c r="D10" s="43">
        <v>7.6361447270931096E-2</v>
      </c>
      <c r="E10" s="9"/>
      <c r="F10" s="9"/>
      <c r="G10" s="39" t="s">
        <v>53</v>
      </c>
      <c r="H10" s="9"/>
      <c r="I10" s="9"/>
      <c r="J10" s="9"/>
      <c r="K10" s="40">
        <v>0.23714188688565077</v>
      </c>
      <c r="L10" s="9"/>
      <c r="M10" s="9"/>
      <c r="N10" s="9"/>
      <c r="O10" s="9"/>
      <c r="P10" s="9"/>
      <c r="Q10" s="10"/>
    </row>
    <row r="11" spans="1:17">
      <c r="A11" s="14" t="s">
        <v>54</v>
      </c>
      <c r="B11" s="9"/>
      <c r="C11" s="9"/>
      <c r="D11" s="38">
        <v>1</v>
      </c>
      <c r="E11" s="9"/>
      <c r="F11" s="9"/>
      <c r="G11" s="41" t="s">
        <v>55</v>
      </c>
      <c r="H11" s="9"/>
      <c r="I11" s="9"/>
      <c r="J11" s="9"/>
      <c r="K11" s="38">
        <v>3.0192640158063718E-2</v>
      </c>
      <c r="L11" s="9"/>
      <c r="M11" s="9"/>
      <c r="N11" s="9"/>
      <c r="O11" s="9"/>
      <c r="P11" s="9"/>
      <c r="Q11" s="10"/>
    </row>
    <row r="12" spans="1:17">
      <c r="A12" s="8"/>
      <c r="B12" s="9"/>
      <c r="C12" s="9"/>
      <c r="D12" s="38"/>
      <c r="E12" s="9"/>
      <c r="F12" s="9"/>
      <c r="G12" s="41" t="s">
        <v>56</v>
      </c>
      <c r="H12" s="44"/>
      <c r="I12" s="9"/>
      <c r="J12" s="9"/>
      <c r="K12" s="38">
        <v>4.8779945665596444E-2</v>
      </c>
      <c r="L12" s="9"/>
      <c r="M12" s="9"/>
      <c r="N12" s="9"/>
      <c r="O12" s="9"/>
      <c r="P12" s="9"/>
      <c r="Q12" s="10"/>
    </row>
    <row r="13" spans="1:17">
      <c r="A13" s="8"/>
      <c r="B13" s="9"/>
      <c r="C13" s="9"/>
      <c r="D13" s="38"/>
      <c r="E13" s="9"/>
      <c r="F13" s="9"/>
      <c r="G13" s="45" t="s">
        <v>57</v>
      </c>
      <c r="H13" s="9"/>
      <c r="I13" s="9"/>
      <c r="J13" s="9"/>
      <c r="K13" s="43">
        <v>0.14816930106199061</v>
      </c>
      <c r="L13" s="9"/>
      <c r="M13" s="9"/>
      <c r="N13" s="9"/>
      <c r="O13" s="9"/>
      <c r="P13" s="19"/>
      <c r="Q13" s="10"/>
    </row>
    <row r="14" spans="1:17">
      <c r="A14" s="8"/>
      <c r="B14" s="9"/>
      <c r="C14" s="9"/>
      <c r="D14" s="38"/>
      <c r="E14" s="9"/>
      <c r="F14" s="9"/>
      <c r="G14" s="44" t="s">
        <v>54</v>
      </c>
      <c r="H14" s="9"/>
      <c r="I14" s="9"/>
      <c r="J14" s="9"/>
      <c r="K14" s="19">
        <v>1</v>
      </c>
      <c r="L14" s="9"/>
      <c r="M14" s="9"/>
      <c r="N14" s="9"/>
      <c r="O14" s="9"/>
      <c r="P14" s="19"/>
      <c r="Q14" s="10"/>
    </row>
    <row r="15" spans="1:17">
      <c r="A15" s="8"/>
      <c r="B15" s="9"/>
      <c r="C15" s="9"/>
      <c r="D15" s="38"/>
      <c r="E15" s="9"/>
      <c r="F15" s="9"/>
      <c r="G15" s="9"/>
      <c r="H15" s="9"/>
      <c r="I15" s="9"/>
      <c r="J15" s="19"/>
      <c r="K15" s="9"/>
      <c r="L15" s="9"/>
      <c r="M15" s="9"/>
      <c r="N15" s="9"/>
      <c r="O15" s="9"/>
      <c r="P15" s="19"/>
      <c r="Q15" s="10"/>
    </row>
    <row r="16" spans="1:17">
      <c r="A16" s="46" t="s">
        <v>28</v>
      </c>
      <c r="B16" s="67" t="s">
        <v>58</v>
      </c>
      <c r="C16" s="67"/>
      <c r="D16" s="67"/>
      <c r="E16" s="67"/>
      <c r="F16" s="67"/>
      <c r="G16" s="67"/>
      <c r="H16" s="67"/>
      <c r="I16" s="67"/>
      <c r="J16" s="67"/>
      <c r="K16" s="67"/>
      <c r="L16" s="67"/>
      <c r="M16" s="67"/>
      <c r="N16" s="67"/>
      <c r="O16" s="67"/>
      <c r="P16" s="67"/>
      <c r="Q16" s="68"/>
    </row>
    <row r="18" spans="2:3" ht="15.75" thickBot="1"/>
    <row r="19" spans="2:3">
      <c r="B19" s="27" t="s">
        <v>16</v>
      </c>
      <c r="C19" s="28" t="s">
        <v>31</v>
      </c>
    </row>
    <row r="20" spans="2:3">
      <c r="B20" s="29" t="s">
        <v>37</v>
      </c>
      <c r="C20" s="31">
        <f>K10</f>
        <v>0.23714188688565077</v>
      </c>
    </row>
    <row r="21" spans="2:3">
      <c r="B21" s="29" t="s">
        <v>38</v>
      </c>
      <c r="C21" s="32">
        <f>K6</f>
        <v>0.76285811311434926</v>
      </c>
    </row>
    <row r="22" spans="2:3" ht="15.75" thickBot="1">
      <c r="B22" s="30" t="s">
        <v>39</v>
      </c>
      <c r="C22" s="33">
        <v>0</v>
      </c>
    </row>
  </sheetData>
  <mergeCells count="1">
    <mergeCell ref="B16:Q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0B03-E0A3-5D4F-B77E-09651BD6C4D7}">
  <dimension ref="B2:J11"/>
  <sheetViews>
    <sheetView workbookViewId="0">
      <selection activeCell="D3" sqref="D3:D4"/>
    </sheetView>
  </sheetViews>
  <sheetFormatPr defaultColWidth="11.42578125" defaultRowHeight="15"/>
  <sheetData>
    <row r="2" spans="2:10">
      <c r="B2" s="50" t="s">
        <v>59</v>
      </c>
      <c r="C2" s="51"/>
      <c r="D2" s="51"/>
      <c r="F2" s="50" t="s">
        <v>60</v>
      </c>
      <c r="G2" s="51"/>
      <c r="H2" s="51"/>
    </row>
    <row r="3" spans="2:10">
      <c r="B3" s="52" t="s">
        <v>61</v>
      </c>
      <c r="C3" s="53">
        <f>SUM(D11:F11)/3-G3</f>
        <v>4.9179999999999993</v>
      </c>
      <c r="D3" s="53">
        <f>C3/C5</f>
        <v>2.1455557591463146E-2</v>
      </c>
      <c r="F3" s="52" t="s">
        <v>61</v>
      </c>
      <c r="G3" s="53">
        <f>SUM(D11:F11)*0.8/3</f>
        <v>19.672000000000001</v>
      </c>
      <c r="H3" s="53">
        <f>G3/G5</f>
        <v>0.22575511827891179</v>
      </c>
    </row>
    <row r="4" spans="2:10" ht="15.75" thickBot="1">
      <c r="B4" s="54" t="s">
        <v>62</v>
      </c>
      <c r="C4" s="55">
        <f>SUM(D9:F9)/3</f>
        <v>224.29999999999998</v>
      </c>
      <c r="D4" s="55">
        <f>C4/C5</f>
        <v>0.97854444240853677</v>
      </c>
      <c r="F4" s="54" t="s">
        <v>62</v>
      </c>
      <c r="G4" s="53">
        <f>SUM(D10:F10)/3</f>
        <v>67.466666666666669</v>
      </c>
      <c r="H4" s="55">
        <f>G4/G5</f>
        <v>0.7742448817210883</v>
      </c>
    </row>
    <row r="5" spans="2:10">
      <c r="B5" s="56" t="s">
        <v>63</v>
      </c>
      <c r="C5" s="57">
        <f>C3+C4</f>
        <v>229.21799999999999</v>
      </c>
      <c r="D5" s="56"/>
      <c r="F5" s="56" t="s">
        <v>63</v>
      </c>
      <c r="G5" s="57">
        <f>SUM(G3:G4)</f>
        <v>87.138666666666666</v>
      </c>
      <c r="H5" s="56"/>
    </row>
    <row r="7" spans="2:10">
      <c r="B7" t="s">
        <v>64</v>
      </c>
    </row>
    <row r="8" spans="2:10">
      <c r="D8" s="1">
        <v>2017</v>
      </c>
      <c r="E8" s="1">
        <v>2018</v>
      </c>
      <c r="F8" s="1">
        <v>2019</v>
      </c>
      <c r="G8" s="1">
        <v>2020</v>
      </c>
      <c r="H8" s="1">
        <v>2021</v>
      </c>
      <c r="I8" s="1">
        <v>2022</v>
      </c>
      <c r="J8" s="1">
        <v>2023</v>
      </c>
    </row>
    <row r="9" spans="2:10">
      <c r="B9" s="58" t="s">
        <v>65</v>
      </c>
      <c r="C9" s="58"/>
      <c r="D9" s="58">
        <v>212.95</v>
      </c>
      <c r="E9" s="58">
        <v>227.8</v>
      </c>
      <c r="F9" s="58">
        <v>232.15</v>
      </c>
      <c r="G9" s="58">
        <v>260.10000000000002</v>
      </c>
      <c r="H9" s="58">
        <v>250.06</v>
      </c>
      <c r="I9" s="58">
        <v>264.91000000000003</v>
      </c>
      <c r="J9" s="58">
        <v>271.63</v>
      </c>
    </row>
    <row r="10" spans="2:10">
      <c r="B10" s="58" t="s">
        <v>66</v>
      </c>
      <c r="C10" s="58"/>
      <c r="D10" s="58">
        <v>68.13</v>
      </c>
      <c r="E10" s="58">
        <v>66.17</v>
      </c>
      <c r="F10" s="58">
        <v>68.099999999999994</v>
      </c>
      <c r="G10" s="58">
        <v>65.8</v>
      </c>
      <c r="H10" s="58">
        <v>71.990000000000009</v>
      </c>
      <c r="I10">
        <v>80.177510985352882</v>
      </c>
      <c r="J10">
        <v>77.91580925432757</v>
      </c>
    </row>
    <row r="11" spans="2:10">
      <c r="B11" s="58" t="s">
        <v>67</v>
      </c>
      <c r="C11" s="58"/>
      <c r="D11" s="58">
        <v>24.18</v>
      </c>
      <c r="E11" s="58">
        <v>24.83</v>
      </c>
      <c r="F11" s="58">
        <v>24.76</v>
      </c>
      <c r="G11" s="58">
        <v>23.72</v>
      </c>
      <c r="H11" s="58">
        <v>22.619999999999997</v>
      </c>
      <c r="I11">
        <v>23.911701065246337</v>
      </c>
      <c r="J11">
        <v>21.983645139813582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D5"/>
  <sheetViews>
    <sheetView tabSelected="1" workbookViewId="0">
      <selection activeCell="D2" sqref="D2"/>
    </sheetView>
  </sheetViews>
  <sheetFormatPr defaultColWidth="8.85546875" defaultRowHeight="15"/>
  <cols>
    <col min="1" max="1" width="35.28515625" customWidth="1"/>
    <col min="2" max="2" width="18.28515625" customWidth="1"/>
    <col min="3" max="3" width="19" customWidth="1"/>
    <col min="4" max="4" width="15.140625" customWidth="1"/>
  </cols>
  <sheetData>
    <row r="1" spans="1:4" ht="30">
      <c r="A1" s="49" t="s">
        <v>68</v>
      </c>
      <c r="B1" s="47" t="s">
        <v>69</v>
      </c>
      <c r="C1" s="47" t="s">
        <v>70</v>
      </c>
      <c r="D1" s="47" t="s">
        <v>40</v>
      </c>
    </row>
    <row r="2" spans="1:4">
      <c r="A2" t="s">
        <v>37</v>
      </c>
      <c r="B2" s="48">
        <f>'MEX Split'!D3</f>
        <v>2.1455557591463146E-2</v>
      </c>
      <c r="C2" s="48">
        <f>B2</f>
        <v>2.1455557591463146E-2</v>
      </c>
      <c r="D2" s="48">
        <f>'MEX Split'!H3</f>
        <v>0.22575511827891179</v>
      </c>
    </row>
    <row r="3" spans="1:4">
      <c r="A3" t="s">
        <v>71</v>
      </c>
      <c r="B3" s="48">
        <v>0</v>
      </c>
      <c r="C3" s="48">
        <f t="shared" ref="C3:C5" si="0">B3</f>
        <v>0</v>
      </c>
      <c r="D3" s="48">
        <f>'MEX Split'!H4</f>
        <v>0.7742448817210883</v>
      </c>
    </row>
    <row r="4" spans="1:4">
      <c r="A4" t="s">
        <v>72</v>
      </c>
      <c r="B4" s="48">
        <f>'MEX Split'!D4</f>
        <v>0.97854444240853677</v>
      </c>
      <c r="C4" s="48">
        <f t="shared" si="0"/>
        <v>0.97854444240853677</v>
      </c>
      <c r="D4">
        <f>Commercial!C22</f>
        <v>0</v>
      </c>
    </row>
    <row r="5" spans="1:4">
      <c r="A5" t="s">
        <v>73</v>
      </c>
      <c r="B5">
        <v>0</v>
      </c>
      <c r="C5">
        <f t="shared" si="0"/>
        <v>0</v>
      </c>
      <c r="D5">
        <v>0</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71FCF8-E967-4369-911D-2673EEB78B21}"/>
</file>

<file path=customXml/itemProps2.xml><?xml version="1.0" encoding="utf-8"?>
<ds:datastoreItem xmlns:ds="http://schemas.openxmlformats.org/officeDocument/2006/customXml" ds:itemID="{A0975397-097C-44D3-9C92-87919ED8E173}"/>
</file>

<file path=customXml/itemProps3.xml><?xml version="1.0" encoding="utf-8"?>
<ds:datastoreItem xmlns:ds="http://schemas.openxmlformats.org/officeDocument/2006/customXml" ds:itemID="{98B13E72-6037-435B-8C2E-B6451D881DDE}"/>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rodrigo.palacios@iniciativaclimatica.org</cp:lastModifiedBy>
  <cp:revision/>
  <dcterms:created xsi:type="dcterms:W3CDTF">2014-04-17T21:40:42Z</dcterms:created>
  <dcterms:modified xsi:type="dcterms:W3CDTF">2025-02-17T17:12:12Z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